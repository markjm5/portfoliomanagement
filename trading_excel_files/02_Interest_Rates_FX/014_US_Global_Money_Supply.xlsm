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6.xml" ContentType="application/vnd.openxmlformats-officedocument.spreadsheetml.workshee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worksheets/sheet7.xml" ContentType="application/vnd.openxmlformats-officedocument.spreadsheetml.workshee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worksheets/sheet8.xml" ContentType="application/vnd.openxmlformats-officedocument.spreadsheetml.workshee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worksheets/sheet9.xml" ContentType="application/vnd.openxmlformats-officedocument.spreadsheetml.worksheet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4420" yWindow="-13640" windowWidth="19820" windowHeight="13100" tabRatio="894" firstSheet="4" activeTab="2" autoFilterDateGrouping="1"/>
  </bookViews>
  <sheets>
    <sheet xmlns:r="http://schemas.openxmlformats.org/officeDocument/2006/relationships" name="Note" sheetId="1" state="visible" r:id="rId1"/>
    <sheet xmlns:r="http://schemas.openxmlformats.org/officeDocument/2006/relationships" name="DB Money Supply" sheetId="2" state="visible" r:id="rId2"/>
    <sheet xmlns:r="http://schemas.openxmlformats.org/officeDocument/2006/relationships" name="Data" sheetId="3" state="visible" r:id="rId3"/>
    <sheet xmlns:r="http://schemas.openxmlformats.org/officeDocument/2006/relationships" name="DB Trading Economics" sheetId="4" state="visible" r:id="rId4"/>
    <sheet xmlns:r="http://schemas.openxmlformats.org/officeDocument/2006/relationships" name="Velocity" sheetId="5" state="visible" r:id="rId5"/>
    <sheet xmlns:r="http://schemas.openxmlformats.org/officeDocument/2006/relationships" name="US M1 Real Monthly" sheetId="6" state="visible" r:id="rId6"/>
    <sheet xmlns:r="http://schemas.openxmlformats.org/officeDocument/2006/relationships" name="US M2 Real Monthly" sheetId="7" state="visible" r:id="rId7"/>
    <sheet xmlns:r="http://schemas.openxmlformats.org/officeDocument/2006/relationships" name="US M1" sheetId="8" state="visible" r:id="rId8"/>
    <sheet xmlns:r="http://schemas.openxmlformats.org/officeDocument/2006/relationships" name="US M2 " sheetId="9" state="visible" r:id="rId9"/>
    <sheet xmlns:r="http://schemas.openxmlformats.org/officeDocument/2006/relationships" name="Money Supply Monthly" sheetId="10" state="visible" r:id="rId10"/>
    <sheet xmlns:r="http://schemas.openxmlformats.org/officeDocument/2006/relationships" name="yoy" sheetId="11" state="visible" r:id="rId11"/>
    <sheet xmlns:r="http://schemas.openxmlformats.org/officeDocument/2006/relationships" name="momAnnualized" sheetId="12" state="visible" r:id="rId12"/>
    <sheet xmlns:r="http://schemas.openxmlformats.org/officeDocument/2006/relationships" name="Country" sheetId="13" state="visible" r:id="rId13"/>
  </sheets>
  <definedNames/>
  <calcPr calcId="191029" fullCalcOnLoad="1"/>
</workbook>
</file>

<file path=xl/styles.xml><?xml version="1.0" encoding="utf-8"?>
<styleSheet xmlns="http://schemas.openxmlformats.org/spreadsheetml/2006/main">
  <numFmts count="8">
    <numFmt numFmtId="164" formatCode="0.0"/>
    <numFmt numFmtId="165" formatCode="0.0%"/>
    <numFmt numFmtId="166" formatCode="yyyy\-mm\-dd"/>
    <numFmt numFmtId="167" formatCode="0.000"/>
    <numFmt numFmtId="168" formatCode="dd\-mm\-yyyy"/>
    <numFmt numFmtId="169" formatCode="yyyy\-mm\-dd\ h:mm:ss"/>
    <numFmt numFmtId="170" formatCode="dd-mm-YYYY"/>
    <numFmt numFmtId="171" formatCode="yyyy-mm-dd h:mm:ss"/>
  </numFmts>
  <fonts count="16">
    <font>
      <name val="Calibri"/>
      <family val="2"/>
      <color theme="1"/>
      <sz val="11"/>
      <scheme val="minor"/>
    </font>
    <font>
      <name val="Arial"/>
      <family val="2"/>
      <color theme="10"/>
      <sz val="10"/>
      <u val="single"/>
    </font>
    <font>
      <name val="Calibri"/>
      <family val="2"/>
      <sz val="9"/>
      <scheme val="minor"/>
    </font>
    <font>
      <name val="Calibri"/>
      <family val="2"/>
      <color theme="1"/>
      <sz val="9"/>
      <scheme val="minor"/>
    </font>
    <font>
      <name val="Calibri"/>
      <family val="2"/>
      <b val="1"/>
      <color theme="1"/>
      <sz val="14"/>
      <scheme val="minor"/>
    </font>
    <font>
      <name val="Calibri"/>
      <family val="2"/>
      <b val="1"/>
      <color theme="1"/>
      <sz val="9"/>
      <scheme val="minor"/>
    </font>
    <font>
      <name val="Calibri"/>
      <family val="2"/>
      <color theme="1"/>
      <sz val="11"/>
      <scheme val="minor"/>
    </font>
    <font>
      <name val="Arial"/>
      <family val="2"/>
      <sz val="10"/>
    </font>
    <font>
      <name val="Calibri"/>
      <family val="2"/>
      <b val="1"/>
      <color theme="0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sz val="11"/>
      <scheme val="minor"/>
    </font>
    <font>
      <name val="Calibri"/>
      <family val="2"/>
      <color rgb="FF00B0F0"/>
      <sz val="11"/>
      <scheme val="minor"/>
    </font>
    <font>
      <name val="Calibri"/>
      <family val="2"/>
      <color rgb="FF333333"/>
      <sz val="11"/>
      <scheme val="minor"/>
    </font>
    <font>
      <name val="Calibri"/>
      <family val="2"/>
      <color theme="0"/>
      <sz val="11"/>
      <scheme val="minor"/>
    </font>
    <font>
      <name val="Arial"/>
      <family val="2"/>
      <color theme="0"/>
      <sz val="10"/>
    </font>
    <font>
      <name val="Arial"/>
      <family val="2"/>
      <sz val="10"/>
    </font>
  </fonts>
  <fills count="12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3999755851924192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7" tint="0.3999755851924192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"/>
        <bgColor indexed="64"/>
      </patternFill>
    </fill>
    <fill>
      <patternFill patternType="solid">
        <fgColor rgb="FF00B050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5">
    <xf numFmtId="0" fontId="6" fillId="0" borderId="0"/>
    <xf numFmtId="0" fontId="1" fillId="0" borderId="0"/>
    <xf numFmtId="9" fontId="6" fillId="0" borderId="0"/>
    <xf numFmtId="0" fontId="15" fillId="0" borderId="0"/>
    <xf numFmtId="0" fontId="15" fillId="0" borderId="0"/>
  </cellStyleXfs>
  <cellXfs count="89">
    <xf numFmtId="0" fontId="0" fillId="0" borderId="0" pivotButton="0" quotePrefix="0" xfId="0"/>
    <xf numFmtId="0" fontId="1" fillId="0" borderId="0" pivotButton="0" quotePrefix="0" xfId="1"/>
    <xf numFmtId="0" fontId="3" fillId="0" borderId="1" pivotButton="0" quotePrefix="0" xfId="0"/>
    <xf numFmtId="0" fontId="4" fillId="3" borderId="1" applyAlignment="1" pivotButton="0" quotePrefix="0" xfId="0">
      <alignment horizontal="center" textRotation="90"/>
    </xf>
    <xf numFmtId="0" fontId="4" fillId="4" borderId="1" applyAlignment="1" pivotButton="0" quotePrefix="0" xfId="0">
      <alignment horizontal="center" textRotation="90"/>
    </xf>
    <xf numFmtId="0" fontId="4" fillId="5" borderId="1" applyAlignment="1" pivotButton="0" quotePrefix="0" xfId="0">
      <alignment horizontal="center" textRotation="90"/>
    </xf>
    <xf numFmtId="0" fontId="4" fillId="6" borderId="1" applyAlignment="1" pivotButton="0" quotePrefix="0" xfId="0">
      <alignment horizontal="center" textRotation="90"/>
    </xf>
    <xf numFmtId="0" fontId="4" fillId="7" borderId="1" applyAlignment="1" pivotButton="0" quotePrefix="0" xfId="0">
      <alignment horizontal="center" textRotation="90"/>
    </xf>
    <xf numFmtId="0" fontId="4" fillId="8" borderId="1" applyAlignment="1" pivotButton="0" quotePrefix="0" xfId="0">
      <alignment horizontal="center" textRotation="90"/>
    </xf>
    <xf numFmtId="0" fontId="4" fillId="8" borderId="1" applyAlignment="1" pivotButton="0" quotePrefix="0" xfId="0">
      <alignment horizontal="left" textRotation="90"/>
    </xf>
    <xf numFmtId="0" fontId="5" fillId="8" borderId="1" applyAlignment="1" pivotButton="0" quotePrefix="0" xfId="0">
      <alignment horizontal="center" vertical="center"/>
    </xf>
    <xf numFmtId="0" fontId="5" fillId="8" borderId="1" applyAlignment="1" pivotButton="0" quotePrefix="0" xfId="0">
      <alignment horizontal="left" vertical="center"/>
    </xf>
    <xf numFmtId="17" fontId="2" fillId="8" borderId="1" applyAlignment="1" pivotButton="0" quotePrefix="0" xfId="0">
      <alignment horizontal="left" vertical="top" wrapText="1"/>
    </xf>
    <xf numFmtId="164" fontId="3" fillId="0" borderId="1" applyAlignment="1" pivotButton="0" quotePrefix="0" xfId="0">
      <alignment horizontal="center" vertical="center"/>
    </xf>
    <xf numFmtId="165" fontId="3" fillId="0" borderId="1" applyAlignment="1" pivotButton="0" quotePrefix="0" xfId="0">
      <alignment horizontal="center" vertical="center"/>
    </xf>
    <xf numFmtId="165" fontId="5" fillId="8" borderId="1" applyAlignment="1" pivotButton="0" quotePrefix="0" xfId="0">
      <alignment horizontal="center" vertical="center"/>
    </xf>
    <xf numFmtId="0" fontId="0" fillId="2" borderId="0" applyAlignment="1" pivotButton="0" quotePrefix="0" xfId="0">
      <alignment horizontal="center"/>
    </xf>
    <xf numFmtId="10" fontId="0" fillId="2" borderId="0" pivotButton="0" quotePrefix="0" xfId="0"/>
    <xf numFmtId="0" fontId="0" fillId="9" borderId="0" pivotButton="0" quotePrefix="0" xfId="0"/>
    <xf numFmtId="10" fontId="0" fillId="9" borderId="0" pivotButton="0" quotePrefix="0" xfId="0"/>
    <xf numFmtId="14" fontId="0" fillId="2" borderId="0" pivotButton="0" quotePrefix="0" xfId="0"/>
    <xf numFmtId="165" fontId="0" fillId="2" borderId="0" pivotButton="0" quotePrefix="0" xfId="0"/>
    <xf numFmtId="166" fontId="7" fillId="2" borderId="1" applyAlignment="1" pivotButton="0" quotePrefix="0" xfId="3">
      <alignment horizontal="center"/>
    </xf>
    <xf numFmtId="0" fontId="0" fillId="2" borderId="1" applyAlignment="1" pivotButton="0" quotePrefix="0" xfId="0">
      <alignment horizontal="center"/>
    </xf>
    <xf numFmtId="164" fontId="7" fillId="2" borderId="1" applyAlignment="1" pivotButton="0" quotePrefix="0" xfId="3">
      <alignment horizontal="center"/>
    </xf>
    <xf numFmtId="166" fontId="7" fillId="2" borderId="1" pivotButton="0" quotePrefix="0" xfId="3"/>
    <xf numFmtId="164" fontId="7" fillId="2" borderId="1" pivotButton="0" quotePrefix="0" xfId="3"/>
    <xf numFmtId="165" fontId="0" fillId="2" borderId="12" applyAlignment="1" pivotButton="0" quotePrefix="0" xfId="2">
      <alignment horizontal="center"/>
    </xf>
    <xf numFmtId="166" fontId="7" fillId="2" borderId="12" applyAlignment="1" pivotButton="0" quotePrefix="0" xfId="3">
      <alignment horizontal="center"/>
    </xf>
    <xf numFmtId="0" fontId="7" fillId="2" borderId="1" applyAlignment="1" pivotButton="0" quotePrefix="0" xfId="3">
      <alignment horizontal="center"/>
    </xf>
    <xf numFmtId="10" fontId="7" fillId="2" borderId="1" applyAlignment="1" pivotButton="0" quotePrefix="0" xfId="2">
      <alignment horizontal="center"/>
    </xf>
    <xf numFmtId="10" fontId="7" fillId="2" borderId="1" applyAlignment="1" pivotButton="0" quotePrefix="0" xfId="3">
      <alignment horizontal="center"/>
    </xf>
    <xf numFmtId="165" fontId="7" fillId="2" borderId="1" applyAlignment="1" pivotButton="0" quotePrefix="0" xfId="2">
      <alignment horizontal="center"/>
    </xf>
    <xf numFmtId="14" fontId="7" fillId="2" borderId="1" applyAlignment="1" pivotButton="0" quotePrefix="0" xfId="3">
      <alignment horizontal="center"/>
    </xf>
    <xf numFmtId="9" fontId="7" fillId="2" borderId="1" applyAlignment="1" pivotButton="0" quotePrefix="0" xfId="2">
      <alignment horizontal="center"/>
    </xf>
    <xf numFmtId="14" fontId="0" fillId="2" borderId="1" pivotButton="0" quotePrefix="0" xfId="0"/>
    <xf numFmtId="2" fontId="0" fillId="2" borderId="1" applyAlignment="1" pivotButton="0" quotePrefix="0" xfId="0">
      <alignment horizontal="center"/>
    </xf>
    <xf numFmtId="10" fontId="0" fillId="2" borderId="0" pivotButton="0" quotePrefix="0" xfId="2"/>
    <xf numFmtId="0" fontId="11" fillId="2" borderId="0" pivotButton="0" quotePrefix="0" xfId="0"/>
    <xf numFmtId="0" fontId="11" fillId="2" borderId="0" applyAlignment="1" pivotButton="0" quotePrefix="0" xfId="0">
      <alignment horizontal="center"/>
    </xf>
    <xf numFmtId="0" fontId="9" fillId="2" borderId="0" pivotButton="0" quotePrefix="0" xfId="0"/>
    <xf numFmtId="0" fontId="0" fillId="0" borderId="0" applyAlignment="1" pivotButton="0" quotePrefix="0" xfId="0">
      <alignment vertical="center"/>
    </xf>
    <xf numFmtId="0" fontId="0" fillId="2" borderId="0" applyAlignment="1" pivotButton="0" quotePrefix="0" xfId="0">
      <alignment vertical="center"/>
    </xf>
    <xf numFmtId="0" fontId="10" fillId="10" borderId="1" applyAlignment="1" pivotButton="0" quotePrefix="0" xfId="0">
      <alignment horizontal="center"/>
    </xf>
    <xf numFmtId="0" fontId="13" fillId="11" borderId="9" applyAlignment="1" pivotButton="0" quotePrefix="0" xfId="0">
      <alignment horizontal="center" wrapText="1"/>
    </xf>
    <xf numFmtId="0" fontId="13" fillId="11" borderId="10" applyAlignment="1" pivotButton="0" quotePrefix="0" xfId="0">
      <alignment horizontal="center" wrapText="1"/>
    </xf>
    <xf numFmtId="0" fontId="13" fillId="11" borderId="11" applyAlignment="1" pivotButton="0" quotePrefix="0" xfId="0">
      <alignment horizontal="center" wrapText="1"/>
    </xf>
    <xf numFmtId="0" fontId="13" fillId="11" borderId="3" applyAlignment="1" pivotButton="0" quotePrefix="0" xfId="0">
      <alignment horizontal="center" wrapText="1"/>
    </xf>
    <xf numFmtId="0" fontId="13" fillId="11" borderId="0" applyAlignment="1" pivotButton="0" quotePrefix="0" xfId="0">
      <alignment horizontal="center" wrapText="1"/>
    </xf>
    <xf numFmtId="0" fontId="13" fillId="11" borderId="4" applyAlignment="1" pivotButton="0" quotePrefix="0" xfId="0">
      <alignment horizontal="center" wrapText="1"/>
    </xf>
    <xf numFmtId="0" fontId="14" fillId="11" borderId="10" applyAlignment="1" pivotButton="0" quotePrefix="0" xfId="3">
      <alignment horizontal="center" wrapText="1"/>
    </xf>
    <xf numFmtId="14" fontId="7" fillId="2" borderId="2" applyAlignment="1" pivotButton="0" quotePrefix="0" xfId="3">
      <alignment horizontal="center"/>
    </xf>
    <xf numFmtId="0" fontId="7" fillId="2" borderId="2" applyAlignment="1" pivotButton="0" quotePrefix="0" xfId="3">
      <alignment horizontal="center"/>
    </xf>
    <xf numFmtId="164" fontId="7" fillId="2" borderId="2" applyAlignment="1" pivotButton="0" quotePrefix="0" xfId="3">
      <alignment horizontal="center"/>
    </xf>
    <xf numFmtId="0" fontId="13" fillId="11" borderId="6" applyAlignment="1" pivotButton="0" quotePrefix="0" xfId="0">
      <alignment horizontal="center" wrapText="1"/>
    </xf>
    <xf numFmtId="0" fontId="14" fillId="11" borderId="7" applyAlignment="1" pivotButton="0" quotePrefix="0" xfId="3">
      <alignment horizontal="center" wrapText="1"/>
    </xf>
    <xf numFmtId="0" fontId="13" fillId="11" borderId="7" applyAlignment="1" pivotButton="0" quotePrefix="0" xfId="0">
      <alignment horizontal="center" wrapText="1"/>
    </xf>
    <xf numFmtId="0" fontId="13" fillId="11" borderId="9" applyAlignment="1" pivotButton="0" quotePrefix="0" xfId="0">
      <alignment wrapText="1"/>
    </xf>
    <xf numFmtId="0" fontId="13" fillId="11" borderId="10" applyAlignment="1" pivotButton="0" quotePrefix="0" xfId="0">
      <alignment wrapText="1"/>
    </xf>
    <xf numFmtId="165" fontId="0" fillId="2" borderId="1" applyAlignment="1" pivotButton="0" quotePrefix="0" xfId="2">
      <alignment horizontal="center"/>
    </xf>
    <xf numFmtId="0" fontId="15" fillId="0" borderId="0" pivotButton="0" quotePrefix="0" xfId="4"/>
    <xf numFmtId="167" fontId="15" fillId="0" borderId="0" pivotButton="0" quotePrefix="0" xfId="4"/>
    <xf numFmtId="0" fontId="7" fillId="0" borderId="0" pivotButton="0" quotePrefix="0" xfId="4"/>
    <xf numFmtId="168" fontId="15" fillId="0" borderId="0" pivotButton="0" quotePrefix="0" xfId="4"/>
    <xf numFmtId="14" fontId="0" fillId="2" borderId="1" applyAlignment="1" pivotButton="0" quotePrefix="0" xfId="0">
      <alignment horizontal="center"/>
    </xf>
    <xf numFmtId="0" fontId="15" fillId="0" borderId="0" applyAlignment="1" pivotButton="0" quotePrefix="0" xfId="4">
      <alignment wrapText="1"/>
    </xf>
    <xf numFmtId="0" fontId="0" fillId="2" borderId="0" pivotButton="0" quotePrefix="0" xfId="0"/>
    <xf numFmtId="0" fontId="1" fillId="2" borderId="0" pivotButton="0" quotePrefix="0" xfId="1"/>
    <xf numFmtId="0" fontId="9" fillId="10" borderId="1" applyAlignment="1" pivotButton="0" quotePrefix="0" xfId="0">
      <alignment horizontal="center"/>
    </xf>
    <xf numFmtId="168" fontId="0" fillId="0" borderId="0" pivotButton="0" quotePrefix="0" xfId="0"/>
    <xf numFmtId="169" fontId="0" fillId="0" borderId="0" pivotButton="0" quotePrefix="0" xfId="0"/>
    <xf numFmtId="0" fontId="3" fillId="2" borderId="0" applyAlignment="1" pivotButton="0" quotePrefix="0" xfId="0">
      <alignment horizontal="center"/>
    </xf>
    <xf numFmtId="0" fontId="3" fillId="2" borderId="0" applyAlignment="1" pivotButton="0" quotePrefix="0" xfId="0">
      <alignment horizontal="center" vertical="center"/>
    </xf>
    <xf numFmtId="0" fontId="9" fillId="10" borderId="1" applyAlignment="1" pivotButton="0" quotePrefix="0" xfId="0">
      <alignment horizontal="center"/>
    </xf>
    <xf numFmtId="0" fontId="0" fillId="0" borderId="13" pivotButton="0" quotePrefix="0" xfId="0"/>
    <xf numFmtId="0" fontId="0" fillId="0" borderId="14" pivotButton="0" quotePrefix="0" xfId="0"/>
    <xf numFmtId="0" fontId="9" fillId="2" borderId="5" applyAlignment="1" pivotButton="0" quotePrefix="0" xfId="0">
      <alignment horizontal="center" vertical="center"/>
    </xf>
    <xf numFmtId="0" fontId="0" fillId="2" borderId="0" pivotButton="0" quotePrefix="0" xfId="0"/>
    <xf numFmtId="0" fontId="0" fillId="0" borderId="5" pivotButton="0" quotePrefix="0" xfId="0"/>
    <xf numFmtId="0" fontId="8" fillId="11" borderId="15" applyAlignment="1" pivotButton="0" quotePrefix="0" xfId="0">
      <alignment horizontal="center"/>
    </xf>
    <xf numFmtId="0" fontId="0" fillId="0" borderId="7" pivotButton="0" quotePrefix="0" xfId="0"/>
    <xf numFmtId="0" fontId="0" fillId="0" borderId="8" pivotButton="0" quotePrefix="0" xfId="0"/>
    <xf numFmtId="0" fontId="0" fillId="2" borderId="0" applyAlignment="1" pivotButton="0" quotePrefix="0" xfId="0">
      <alignment vertical="center" wrapText="1"/>
    </xf>
    <xf numFmtId="0" fontId="1" fillId="2" borderId="0" pivotButton="0" quotePrefix="0" xfId="1"/>
    <xf numFmtId="0" fontId="0" fillId="2" borderId="0" applyAlignment="1" pivotButton="0" quotePrefix="0" xfId="0">
      <alignment wrapText="1"/>
    </xf>
    <xf numFmtId="0" fontId="12" fillId="2" borderId="0" applyAlignment="1" pivotButton="0" quotePrefix="0" xfId="0">
      <alignment wrapText="1"/>
    </xf>
    <xf numFmtId="170" fontId="0" fillId="0" borderId="0" pivotButton="0" quotePrefix="0" xfId="0"/>
    <xf numFmtId="170" fontId="0" fillId="0" borderId="0" pivotButton="0" quotePrefix="0" xfId="0"/>
    <xf numFmtId="171" fontId="0" fillId="0" borderId="0" pivotButton="0" quotePrefix="0" xfId="0"/>
  </cellXfs>
  <cellStyles count="5">
    <cellStyle name="Normal" xfId="0" builtinId="0"/>
    <cellStyle name="Hyperlink" xfId="1" builtinId="8"/>
    <cellStyle name="Percent" xfId="2" builtinId="5"/>
    <cellStyle name="Normal 2" xfId="3"/>
    <cellStyle name="Normal 3" xfId="4"/>
  </cellStyles>
  <dxfs count="36"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0" formatCode="dd/mm/yyyy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bottom style="medium">
          <color indexed="64"/>
        </bottom>
      </border>
    </dxf>
    <dxf>
      <font>
        <name val="Calibri"/>
        <family val="2"/>
        <strike val="0"/>
        <outline val="0"/>
        <shadow val="0"/>
        <color theme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general" vertical="bottom" wrapText="1"/>
      <border outline="0">
        <left/>
        <right/>
        <top/>
        <bottom/>
      </border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0.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70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 patternType="solid"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color theme="0"/>
        <vertAlign val="baseline"/>
      </font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0.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0" formatCode="General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64" formatCode="0.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numFmt numFmtId="170" formatCode="dd/mm/yyyy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name val="Arial"/>
        <strike val="0"/>
        <outline val="0"/>
        <shadow val="0"/>
        <condense val="0"/>
        <color auto="1"/>
        <extend val="0"/>
        <sz val="10"/>
        <vertAlign val="baseline"/>
      </font>
      <fill>
        <patternFill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color theme="0"/>
        <vertAlign val="baseline"/>
      </font>
      <fill>
        <patternFill patternType="solid">
          <fgColor indexed="64"/>
          <bgColor rgb="FF00B050"/>
        </patternFill>
      </fill>
      <alignment horizontal="center" vertical="bottom" wrapText="1"/>
      <border outline="0">
        <left/>
        <right/>
        <top/>
        <bottom/>
      </border>
    </dxf>
    <dxf>
      <numFmt numFmtId="165" formatCode="0.0%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yyyy\-mm\-dd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medium">
          <color indexed="64"/>
        </top>
        <bottom style="thin">
          <color indexed="64"/>
        </bottom>
      </border>
    </dxf>
    <dxf>
      <alignment horizontal="center" vertical="bottom"/>
    </dxf>
    <dxf>
      <font>
        <name val="Calibri"/>
        <family val="2"/>
        <strike val="0"/>
        <outline val="0"/>
        <shadow val="0"/>
        <condense val="0"/>
        <color theme="0"/>
        <extend val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bottom" wrapText="1"/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>
          <fgColor indexed="64"/>
          <bgColor theme="0"/>
        </patternFill>
      </fill>
      <alignment horizontal="general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yyyy\-mm\-dd"/>
      <fill>
        <patternFill>
          <fgColor indexed="64"/>
          <bgColor theme="0"/>
        </patternFill>
      </fill>
      <alignment horizontal="general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ont>
        <name val="Calibri"/>
        <family val="2"/>
        <strike val="0"/>
        <outline val="0"/>
        <shadow val="0"/>
        <color theme="0"/>
        <sz val="11"/>
        <vertAlign val="baseline"/>
        <scheme val="minor"/>
      </font>
      <fill>
        <patternFill patternType="solid">
          <fgColor indexed="64"/>
          <bgColor rgb="FF00B050"/>
        </patternFill>
      </fill>
      <alignment horizontal="center" vertical="bottom" wrapText="1"/>
      <border outline="0">
        <left/>
        <right/>
        <top/>
        <bottom/>
      </border>
    </dxf>
    <dxf>
      <numFmt numFmtId="167" formatCode="0.000"/>
    </dxf>
    <dxf>
      <numFmt numFmtId="168" formatCode="dd\-mm\-yyyy"/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styles" Target="styles.xml" Id="rId14"/><Relationship Type="http://schemas.openxmlformats.org/officeDocument/2006/relationships/theme" Target="theme/theme1.xml" Id="rId15"/><Relationship Type="http://schemas.microsoft.com/office/2006/relationships/vbaProject" Target="vbaProject.bin" Id="rId16"/></Relationships>
</file>

<file path=xl/charts/chart1.xml><?xml version="1.0" encoding="utf-8"?>
<chartSpace xmlns="http://schemas.openxmlformats.org/drawingml/2006/chart">
  <chart>
    <title>
      <tx>
        <strRef>
          <f>Velocity!$B$8</f>
          <strCache>
            <ptCount val="1"/>
            <pt idx="0">
              <v>Velocity of M2 Money Stock, Ratio, Quarterly, Seasonally Adjusted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Velocity!$B$11</f>
              <strCache>
                <ptCount val="1"/>
                <pt idx="0">
                  <v>Velocity of M2 Money Stock, Ratio, Quarterly, Seasonally Adjusted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Velocity!$A$12:$A$267</f>
              <numCache>
                <formatCode>dd\-mm\-yyyy</formatCode>
                <ptCount val="256"/>
                <pt idx="0">
                  <v>21551</v>
                </pt>
                <pt idx="1">
                  <v>21641</v>
                </pt>
                <pt idx="2">
                  <v>21732</v>
                </pt>
                <pt idx="3">
                  <v>21824</v>
                </pt>
                <pt idx="4">
                  <v>21916</v>
                </pt>
                <pt idx="5">
                  <v>22007</v>
                </pt>
                <pt idx="6">
                  <v>22098</v>
                </pt>
                <pt idx="7">
                  <v>22190</v>
                </pt>
                <pt idx="8">
                  <v>22282</v>
                </pt>
                <pt idx="9">
                  <v>22372</v>
                </pt>
                <pt idx="10">
                  <v>22463</v>
                </pt>
                <pt idx="11">
                  <v>22555</v>
                </pt>
                <pt idx="12">
                  <v>22647</v>
                </pt>
                <pt idx="13">
                  <v>22737</v>
                </pt>
                <pt idx="14">
                  <v>22828</v>
                </pt>
                <pt idx="15">
                  <v>22920</v>
                </pt>
                <pt idx="16">
                  <v>23012</v>
                </pt>
                <pt idx="17">
                  <v>23102</v>
                </pt>
                <pt idx="18">
                  <v>23193</v>
                </pt>
                <pt idx="19">
                  <v>23285</v>
                </pt>
                <pt idx="20">
                  <v>23377</v>
                </pt>
                <pt idx="21">
                  <v>23468</v>
                </pt>
                <pt idx="22">
                  <v>23559</v>
                </pt>
                <pt idx="23">
                  <v>23651</v>
                </pt>
                <pt idx="24">
                  <v>23743</v>
                </pt>
                <pt idx="25">
                  <v>23833</v>
                </pt>
                <pt idx="26">
                  <v>23924</v>
                </pt>
                <pt idx="27">
                  <v>24016</v>
                </pt>
                <pt idx="28">
                  <v>24108</v>
                </pt>
                <pt idx="29">
                  <v>24198</v>
                </pt>
                <pt idx="30">
                  <v>24289</v>
                </pt>
                <pt idx="31">
                  <v>24381</v>
                </pt>
                <pt idx="32">
                  <v>24473</v>
                </pt>
                <pt idx="33">
                  <v>24563</v>
                </pt>
                <pt idx="34">
                  <v>24654</v>
                </pt>
                <pt idx="35">
                  <v>24746</v>
                </pt>
                <pt idx="36">
                  <v>24838</v>
                </pt>
                <pt idx="37">
                  <v>24929</v>
                </pt>
                <pt idx="38">
                  <v>25020</v>
                </pt>
                <pt idx="39">
                  <v>25112</v>
                </pt>
                <pt idx="40">
                  <v>25204</v>
                </pt>
                <pt idx="41">
                  <v>25294</v>
                </pt>
                <pt idx="42">
                  <v>25385</v>
                </pt>
                <pt idx="43">
                  <v>25477</v>
                </pt>
                <pt idx="44">
                  <v>25569</v>
                </pt>
                <pt idx="45">
                  <v>25659</v>
                </pt>
                <pt idx="46">
                  <v>25750</v>
                </pt>
                <pt idx="47">
                  <v>25842</v>
                </pt>
                <pt idx="48">
                  <v>25934</v>
                </pt>
                <pt idx="49">
                  <v>26024</v>
                </pt>
                <pt idx="50">
                  <v>26115</v>
                </pt>
                <pt idx="51">
                  <v>26207</v>
                </pt>
                <pt idx="52">
                  <v>26299</v>
                </pt>
                <pt idx="53">
                  <v>26390</v>
                </pt>
                <pt idx="54">
                  <v>26481</v>
                </pt>
                <pt idx="55">
                  <v>26573</v>
                </pt>
                <pt idx="56">
                  <v>26665</v>
                </pt>
                <pt idx="57">
                  <v>26755</v>
                </pt>
                <pt idx="58">
                  <v>26846</v>
                </pt>
                <pt idx="59">
                  <v>26938</v>
                </pt>
                <pt idx="60">
                  <v>27030</v>
                </pt>
                <pt idx="61">
                  <v>27120</v>
                </pt>
                <pt idx="62">
                  <v>27211</v>
                </pt>
                <pt idx="63">
                  <v>27303</v>
                </pt>
                <pt idx="64">
                  <v>27395</v>
                </pt>
                <pt idx="65">
                  <v>27485</v>
                </pt>
                <pt idx="66">
                  <v>27576</v>
                </pt>
                <pt idx="67">
                  <v>27668</v>
                </pt>
                <pt idx="68">
                  <v>27760</v>
                </pt>
                <pt idx="69">
                  <v>27851</v>
                </pt>
                <pt idx="70">
                  <v>27942</v>
                </pt>
                <pt idx="71">
                  <v>28034</v>
                </pt>
                <pt idx="72">
                  <v>28126</v>
                </pt>
                <pt idx="73">
                  <v>28216</v>
                </pt>
                <pt idx="74">
                  <v>28307</v>
                </pt>
                <pt idx="75">
                  <v>28399</v>
                </pt>
                <pt idx="76">
                  <v>28491</v>
                </pt>
                <pt idx="77">
                  <v>28581</v>
                </pt>
                <pt idx="78">
                  <v>28672</v>
                </pt>
                <pt idx="79">
                  <v>28764</v>
                </pt>
                <pt idx="80">
                  <v>28856</v>
                </pt>
                <pt idx="81">
                  <v>28946</v>
                </pt>
                <pt idx="82">
                  <v>29037</v>
                </pt>
                <pt idx="83">
                  <v>29129</v>
                </pt>
                <pt idx="84">
                  <v>29221</v>
                </pt>
                <pt idx="85">
                  <v>29312</v>
                </pt>
                <pt idx="86">
                  <v>29403</v>
                </pt>
                <pt idx="87">
                  <v>29495</v>
                </pt>
                <pt idx="88">
                  <v>29587</v>
                </pt>
                <pt idx="89">
                  <v>29677</v>
                </pt>
                <pt idx="90">
                  <v>29768</v>
                </pt>
                <pt idx="91">
                  <v>29860</v>
                </pt>
                <pt idx="92">
                  <v>29952</v>
                </pt>
                <pt idx="93">
                  <v>30042</v>
                </pt>
                <pt idx="94">
                  <v>30133</v>
                </pt>
                <pt idx="95">
                  <v>30225</v>
                </pt>
                <pt idx="96">
                  <v>30317</v>
                </pt>
                <pt idx="97">
                  <v>30407</v>
                </pt>
                <pt idx="98">
                  <v>30498</v>
                </pt>
                <pt idx="99">
                  <v>30590</v>
                </pt>
                <pt idx="100">
                  <v>30682</v>
                </pt>
                <pt idx="101">
                  <v>30773</v>
                </pt>
                <pt idx="102">
                  <v>30864</v>
                </pt>
                <pt idx="103">
                  <v>30956</v>
                </pt>
                <pt idx="104">
                  <v>31048</v>
                </pt>
                <pt idx="105">
                  <v>31138</v>
                </pt>
                <pt idx="106">
                  <v>31229</v>
                </pt>
                <pt idx="107">
                  <v>31321</v>
                </pt>
                <pt idx="108">
                  <v>31413</v>
                </pt>
                <pt idx="109">
                  <v>31503</v>
                </pt>
                <pt idx="110">
                  <v>31594</v>
                </pt>
                <pt idx="111">
                  <v>31686</v>
                </pt>
                <pt idx="112">
                  <v>31778</v>
                </pt>
                <pt idx="113">
                  <v>31868</v>
                </pt>
                <pt idx="114">
                  <v>31959</v>
                </pt>
                <pt idx="115">
                  <v>32051</v>
                </pt>
                <pt idx="116">
                  <v>32143</v>
                </pt>
                <pt idx="117">
                  <v>32234</v>
                </pt>
                <pt idx="118">
                  <v>32325</v>
                </pt>
                <pt idx="119">
                  <v>32417</v>
                </pt>
                <pt idx="120">
                  <v>32509</v>
                </pt>
                <pt idx="121">
                  <v>32599</v>
                </pt>
                <pt idx="122">
                  <v>32690</v>
                </pt>
                <pt idx="123">
                  <v>32782</v>
                </pt>
                <pt idx="124">
                  <v>32874</v>
                </pt>
                <pt idx="125">
                  <v>32964</v>
                </pt>
                <pt idx="126">
                  <v>33055</v>
                </pt>
                <pt idx="127">
                  <v>33147</v>
                </pt>
                <pt idx="128">
                  <v>33239</v>
                </pt>
                <pt idx="129">
                  <v>33329</v>
                </pt>
                <pt idx="130">
                  <v>33420</v>
                </pt>
                <pt idx="131">
                  <v>33512</v>
                </pt>
                <pt idx="132">
                  <v>33604</v>
                </pt>
                <pt idx="133">
                  <v>33695</v>
                </pt>
                <pt idx="134">
                  <v>33786</v>
                </pt>
                <pt idx="135">
                  <v>33878</v>
                </pt>
                <pt idx="136">
                  <v>33970</v>
                </pt>
                <pt idx="137">
                  <v>34060</v>
                </pt>
                <pt idx="138">
                  <v>34151</v>
                </pt>
                <pt idx="139">
                  <v>34243</v>
                </pt>
                <pt idx="140">
                  <v>34335</v>
                </pt>
                <pt idx="141">
                  <v>34425</v>
                </pt>
                <pt idx="142">
                  <v>34516</v>
                </pt>
                <pt idx="143">
                  <v>34608</v>
                </pt>
                <pt idx="144">
                  <v>34700</v>
                </pt>
                <pt idx="145">
                  <v>34790</v>
                </pt>
                <pt idx="146">
                  <v>34881</v>
                </pt>
                <pt idx="147">
                  <v>34973</v>
                </pt>
                <pt idx="148">
                  <v>35065</v>
                </pt>
                <pt idx="149">
                  <v>35156</v>
                </pt>
                <pt idx="150">
                  <v>35247</v>
                </pt>
                <pt idx="151">
                  <v>35339</v>
                </pt>
                <pt idx="152">
                  <v>35431</v>
                </pt>
                <pt idx="153">
                  <v>35521</v>
                </pt>
                <pt idx="154">
                  <v>35612</v>
                </pt>
                <pt idx="155">
                  <v>35704</v>
                </pt>
                <pt idx="156">
                  <v>35796</v>
                </pt>
                <pt idx="157">
                  <v>35886</v>
                </pt>
                <pt idx="158">
                  <v>35977</v>
                </pt>
                <pt idx="159">
                  <v>36069</v>
                </pt>
                <pt idx="160">
                  <v>36161</v>
                </pt>
                <pt idx="161">
                  <v>36251</v>
                </pt>
                <pt idx="162">
                  <v>36342</v>
                </pt>
                <pt idx="163">
                  <v>36434</v>
                </pt>
                <pt idx="164">
                  <v>36526</v>
                </pt>
                <pt idx="165">
                  <v>36617</v>
                </pt>
                <pt idx="166">
                  <v>36708</v>
                </pt>
                <pt idx="167">
                  <v>36800</v>
                </pt>
                <pt idx="168">
                  <v>36892</v>
                </pt>
                <pt idx="169">
                  <v>36982</v>
                </pt>
                <pt idx="170">
                  <v>37073</v>
                </pt>
                <pt idx="171">
                  <v>37165</v>
                </pt>
                <pt idx="172">
                  <v>37257</v>
                </pt>
                <pt idx="173">
                  <v>37347</v>
                </pt>
                <pt idx="174">
                  <v>37438</v>
                </pt>
                <pt idx="175">
                  <v>37530</v>
                </pt>
                <pt idx="176">
                  <v>37622</v>
                </pt>
                <pt idx="177">
                  <v>37712</v>
                </pt>
                <pt idx="178">
                  <v>37803</v>
                </pt>
                <pt idx="179">
                  <v>37895</v>
                </pt>
                <pt idx="180">
                  <v>37987</v>
                </pt>
                <pt idx="181">
                  <v>38078</v>
                </pt>
                <pt idx="182">
                  <v>38169</v>
                </pt>
                <pt idx="183">
                  <v>38261</v>
                </pt>
                <pt idx="184">
                  <v>38353</v>
                </pt>
                <pt idx="185">
                  <v>38443</v>
                </pt>
                <pt idx="186">
                  <v>38534</v>
                </pt>
                <pt idx="187">
                  <v>38626</v>
                </pt>
                <pt idx="188">
                  <v>38718</v>
                </pt>
                <pt idx="189">
                  <v>38808</v>
                </pt>
                <pt idx="190">
                  <v>38899</v>
                </pt>
                <pt idx="191">
                  <v>38991</v>
                </pt>
                <pt idx="192">
                  <v>39083</v>
                </pt>
                <pt idx="193">
                  <v>39173</v>
                </pt>
                <pt idx="194">
                  <v>39264</v>
                </pt>
                <pt idx="195">
                  <v>39356</v>
                </pt>
                <pt idx="196">
                  <v>39448</v>
                </pt>
                <pt idx="197">
                  <v>39539</v>
                </pt>
                <pt idx="198">
                  <v>39630</v>
                </pt>
                <pt idx="199">
                  <v>39722</v>
                </pt>
                <pt idx="200">
                  <v>39814</v>
                </pt>
                <pt idx="201">
                  <v>39904</v>
                </pt>
                <pt idx="202">
                  <v>39995</v>
                </pt>
                <pt idx="203">
                  <v>40087</v>
                </pt>
                <pt idx="204">
                  <v>40179</v>
                </pt>
                <pt idx="205">
                  <v>40269</v>
                </pt>
                <pt idx="206">
                  <v>40360</v>
                </pt>
                <pt idx="207">
                  <v>40452</v>
                </pt>
                <pt idx="208">
                  <v>40544</v>
                </pt>
                <pt idx="209">
                  <v>40634</v>
                </pt>
                <pt idx="210">
                  <v>40725</v>
                </pt>
                <pt idx="211">
                  <v>40817</v>
                </pt>
                <pt idx="212">
                  <v>40909</v>
                </pt>
                <pt idx="213">
                  <v>41000</v>
                </pt>
                <pt idx="214">
                  <v>41091</v>
                </pt>
                <pt idx="215">
                  <v>41183</v>
                </pt>
                <pt idx="216">
                  <v>41275</v>
                </pt>
                <pt idx="217">
                  <v>41365</v>
                </pt>
                <pt idx="218">
                  <v>41456</v>
                </pt>
                <pt idx="219">
                  <v>41548</v>
                </pt>
                <pt idx="220">
                  <v>41640</v>
                </pt>
                <pt idx="221">
                  <v>41730</v>
                </pt>
                <pt idx="222">
                  <v>41821</v>
                </pt>
                <pt idx="223">
                  <v>41913</v>
                </pt>
                <pt idx="224">
                  <v>42005</v>
                </pt>
                <pt idx="225">
                  <v>42095</v>
                </pt>
                <pt idx="226">
                  <v>42186</v>
                </pt>
                <pt idx="227">
                  <v>42278</v>
                </pt>
                <pt idx="228">
                  <v>42370</v>
                </pt>
                <pt idx="229">
                  <v>42461</v>
                </pt>
                <pt idx="230">
                  <v>42552</v>
                </pt>
                <pt idx="231">
                  <v>42644</v>
                </pt>
                <pt idx="232">
                  <v>42736</v>
                </pt>
                <pt idx="233">
                  <v>42826</v>
                </pt>
                <pt idx="234">
                  <v>42917</v>
                </pt>
                <pt idx="235">
                  <v>43009</v>
                </pt>
                <pt idx="236">
                  <v>43101</v>
                </pt>
                <pt idx="237">
                  <v>43191</v>
                </pt>
                <pt idx="238">
                  <v>43282</v>
                </pt>
                <pt idx="239">
                  <v>43374</v>
                </pt>
                <pt idx="240">
                  <v>43466</v>
                </pt>
                <pt idx="241">
                  <v>43556</v>
                </pt>
                <pt idx="242">
                  <v>43647</v>
                </pt>
                <pt idx="243">
                  <v>43739</v>
                </pt>
                <pt idx="244">
                  <v>43831</v>
                </pt>
                <pt idx="245">
                  <v>43922</v>
                </pt>
                <pt idx="246">
                  <v>44013</v>
                </pt>
                <pt idx="247">
                  <v>44105</v>
                </pt>
                <pt idx="248">
                  <v>44197</v>
                </pt>
                <pt idx="249">
                  <v>44287</v>
                </pt>
                <pt idx="250">
                  <v>44378</v>
                </pt>
                <pt idx="251">
                  <v>44470</v>
                </pt>
                <pt idx="252">
                  <v>44562</v>
                </pt>
                <pt idx="253">
                  <v>44652</v>
                </pt>
                <pt idx="254">
                  <v>44743</v>
                </pt>
                <pt idx="255">
                  <v>44835</v>
                </pt>
              </numCache>
            </numRef>
          </cat>
          <val>
            <numRef>
              <f>Velocity!$B$12:$B$267</f>
              <numCache>
                <formatCode>0.000</formatCode>
                <ptCount val="256"/>
                <pt idx="0">
                  <v>1.773</v>
                </pt>
                <pt idx="1">
                  <v>1.789</v>
                </pt>
                <pt idx="2">
                  <v>1.773</v>
                </pt>
                <pt idx="3">
                  <v>1.779</v>
                </pt>
                <pt idx="4">
                  <v>1.817</v>
                </pt>
                <pt idx="5">
                  <v>1.797</v>
                </pt>
                <pt idx="6">
                  <v>1.78</v>
                </pt>
                <pt idx="7">
                  <v>1.737</v>
                </pt>
                <pt idx="8">
                  <v>1.723</v>
                </pt>
                <pt idx="9">
                  <v>1.725</v>
                </pt>
                <pt idx="10">
                  <v>1.733</v>
                </pt>
                <pt idx="11">
                  <v>1.742</v>
                </pt>
                <pt idx="12">
                  <v>1.746</v>
                </pt>
                <pt idx="13">
                  <v>1.728</v>
                </pt>
                <pt idx="14">
                  <v>1.726</v>
                </pt>
                <pt idx="15">
                  <v>1.701</v>
                </pt>
                <pt idx="16">
                  <v>1.69</v>
                </pt>
                <pt idx="17">
                  <v>1.675</v>
                </pt>
                <pt idx="18">
                  <v>1.68</v>
                </pt>
                <pt idx="19">
                  <v>1.672</v>
                </pt>
                <pt idx="20">
                  <v>1.685</v>
                </pt>
                <pt idx="21">
                  <v>1.679</v>
                </pt>
                <pt idx="22">
                  <v>1.674</v>
                </pt>
                <pt idx="23">
                  <v>1.653</v>
                </pt>
                <pt idx="24">
                  <v>1.668</v>
                </pt>
                <pt idx="25">
                  <v>1.669</v>
                </pt>
                <pt idx="26">
                  <v>1.68</v>
                </pt>
                <pt idx="27">
                  <v>1.693</v>
                </pt>
                <pt idx="28">
                  <v>1.713</v>
                </pt>
                <pt idx="29">
                  <v>1.712</v>
                </pt>
                <pt idx="30">
                  <v>1.733</v>
                </pt>
                <pt idx="31">
                  <v>1.744</v>
                </pt>
                <pt idx="32">
                  <v>1.739</v>
                </pt>
                <pt idx="33">
                  <v>1.708</v>
                </pt>
                <pt idx="34">
                  <v>1.695</v>
                </pt>
                <pt idx="35">
                  <v>1.691</v>
                </pt>
                <pt idx="36">
                  <v>1.715</v>
                </pt>
                <pt idx="37">
                  <v>1.733</v>
                </pt>
                <pt idx="38">
                  <v>1.73</v>
                </pt>
                <pt idx="39">
                  <v>1.722</v>
                </pt>
                <pt idx="40">
                  <v>1.737</v>
                </pt>
                <pt idx="41">
                  <v>1.749</v>
                </pt>
                <pt idx="42">
                  <v>1.774</v>
                </pt>
                <pt idx="43">
                  <v>1.773</v>
                </pt>
                <pt idx="44">
                  <v>1.789</v>
                </pt>
                <pt idx="45">
                  <v>1.804</v>
                </pt>
                <pt idx="46">
                  <v>1.795</v>
                </pt>
                <pt idx="47">
                  <v>1.752</v>
                </pt>
                <pt idx="48">
                  <v>1.77</v>
                </pt>
                <pt idx="49">
                  <v>1.736</v>
                </pt>
                <pt idx="50">
                  <v>1.717</v>
                </pt>
                <pt idx="51">
                  <v>1.69</v>
                </pt>
                <pt idx="52">
                  <v>1.696</v>
                </pt>
                <pt idx="53">
                  <v>1.703</v>
                </pt>
                <pt idx="54">
                  <v>1.679</v>
                </pt>
                <pt idx="55">
                  <v>1.673</v>
                </pt>
                <pt idx="56">
                  <v>1.694</v>
                </pt>
                <pt idx="57">
                  <v>1.71</v>
                </pt>
                <pt idx="58">
                  <v>1.711</v>
                </pt>
                <pt idx="59">
                  <v>1.739</v>
                </pt>
                <pt idx="60">
                  <v>1.725</v>
                </pt>
                <pt idx="61">
                  <v>1.748</v>
                </pt>
                <pt idx="62">
                  <v>1.764</v>
                </pt>
                <pt idx="63">
                  <v>1.781</v>
                </pt>
                <pt idx="64">
                  <v>1.766</v>
                </pt>
                <pt idx="65">
                  <v>1.741</v>
                </pt>
                <pt idx="66">
                  <v>1.739</v>
                </pt>
                <pt idx="67">
                  <v>1.75</v>
                </pt>
                <pt idx="68">
                  <v>1.752</v>
                </pt>
                <pt idx="69">
                  <v>1.731</v>
                </pt>
                <pt idx="70">
                  <v>1.717</v>
                </pt>
                <pt idx="71">
                  <v>1.699</v>
                </pt>
                <pt idx="72">
                  <v>1.689</v>
                </pt>
                <pt idx="73">
                  <v>1.701</v>
                </pt>
                <pt idx="74">
                  <v>1.713</v>
                </pt>
                <pt idx="75">
                  <v>1.715</v>
                </pt>
                <pt idx="76">
                  <v>1.713</v>
                </pt>
                <pt idx="77">
                  <v>1.78</v>
                </pt>
                <pt idx="78">
                  <v>1.795</v>
                </pt>
                <pt idx="79">
                  <v>1.822</v>
                </pt>
                <pt idx="80">
                  <v>1.832</v>
                </pt>
                <pt idx="81">
                  <v>1.835</v>
                </pt>
                <pt idx="82">
                  <v>1.846</v>
                </pt>
                <pt idx="83">
                  <v>1.857</v>
                </pt>
                <pt idx="84">
                  <v>1.869</v>
                </pt>
                <pt idx="85">
                  <v>1.847</v>
                </pt>
                <pt idx="86">
                  <v>1.831</v>
                </pt>
                <pt idx="87">
                  <v>1.874</v>
                </pt>
                <pt idx="88">
                  <v>1.928</v>
                </pt>
                <pt idx="89">
                  <v>1.9</v>
                </pt>
                <pt idx="90">
                  <v>1.925</v>
                </pt>
                <pt idx="91">
                  <v>1.888</v>
                </pt>
                <pt idx="92">
                  <v>1.842</v>
                </pt>
                <pt idx="93">
                  <v>1.836</v>
                </pt>
                <pt idx="94">
                  <v>1.825</v>
                </pt>
                <pt idx="95">
                  <v>1.804</v>
                </pt>
                <pt idx="96">
                  <v>1.745</v>
                </pt>
                <pt idx="97">
                  <v>1.753</v>
                </pt>
                <pt idx="98">
                  <v>1.779</v>
                </pt>
                <pt idx="99">
                  <v>1.797</v>
                </pt>
                <pt idx="100">
                  <v>1.812</v>
                </pt>
                <pt idx="101">
                  <v>1.82</v>
                </pt>
                <pt idx="102">
                  <v>1.829</v>
                </pt>
                <pt idx="103">
                  <v>1.818</v>
                </pt>
                <pt idx="104">
                  <v>1.799</v>
                </pt>
                <pt idx="105">
                  <v>1.795</v>
                </pt>
                <pt idx="106">
                  <v>1.795</v>
                </pt>
                <pt idx="107">
                  <v>1.792</v>
                </pt>
                <pt idx="108">
                  <v>1.792</v>
                </pt>
                <pt idx="109">
                  <v>1.76</v>
                </pt>
                <pt idx="110">
                  <v>1.741</v>
                </pt>
                <pt idx="111">
                  <v>1.721</v>
                </pt>
                <pt idx="112">
                  <v>1.718</v>
                </pt>
                <pt idx="113">
                  <v>1.734</v>
                </pt>
                <pt idx="114">
                  <v>1.751</v>
                </pt>
                <pt idx="115">
                  <v>1.776</v>
                </pt>
                <pt idx="116">
                  <v>1.768</v>
                </pt>
                <pt idx="117">
                  <v>1.774</v>
                </pt>
                <pt idx="118">
                  <v>1.79</v>
                </pt>
                <pt idx="119">
                  <v>1.813</v>
                </pt>
                <pt idx="120">
                  <v>1.84</v>
                </pt>
                <pt idx="121">
                  <v>1.861</v>
                </pt>
                <pt idx="122">
                  <v>1.853</v>
                </pt>
                <pt idx="123">
                  <v>1.834</v>
                </pt>
                <pt idx="124">
                  <v>1.848</v>
                </pt>
                <pt idx="125">
                  <v>1.859</v>
                </pt>
                <pt idx="126">
                  <v>1.856</v>
                </pt>
                <pt idx="127">
                  <v>1.839</v>
                </pt>
                <pt idx="128">
                  <v>1.826</v>
                </pt>
                <pt idx="129">
                  <v>1.833</v>
                </pt>
                <pt idx="130">
                  <v>1.85</v>
                </pt>
                <pt idx="131">
                  <v>1.861</v>
                </pt>
                <pt idx="132">
                  <v>1.874</v>
                </pt>
                <pt idx="133">
                  <v>1.905</v>
                </pt>
                <pt idx="134">
                  <v>1.931</v>
                </pt>
                <pt idx="135">
                  <v>1.951</v>
                </pt>
                <pt idx="136">
                  <v>1.971</v>
                </pt>
                <pt idx="137">
                  <v>1.985</v>
                </pt>
                <pt idx="138">
                  <v>1.997</v>
                </pt>
                <pt idx="139">
                  <v>2.023</v>
                </pt>
                <pt idx="140">
                  <v>2.047</v>
                </pt>
                <pt idx="141">
                  <v>2.08</v>
                </pt>
                <pt idx="142">
                  <v>2.103</v>
                </pt>
                <pt idx="143">
                  <v>2.139</v>
                </pt>
                <pt idx="144">
                  <v>2.155</v>
                </pt>
                <pt idx="145">
                  <v>2.151</v>
                </pt>
                <pt idx="146">
                  <v>2.142</v>
                </pt>
                <pt idx="147">
                  <v>2.147</v>
                </pt>
                <pt idx="148">
                  <v>2.147</v>
                </pt>
                <pt idx="149">
                  <v>2.165</v>
                </pt>
                <pt idx="150">
                  <v>2.171</v>
                </pt>
                <pt idx="151">
                  <v>2.176</v>
                </pt>
                <pt idx="152">
                  <v>2.174</v>
                </pt>
                <pt idx="153">
                  <v>2.19</v>
                </pt>
                <pt idx="154">
                  <v>2.192</v>
                </pt>
                <pt idx="155">
                  <v>2.184</v>
                </pt>
                <pt idx="156">
                  <v>2.17</v>
                </pt>
                <pt idx="157">
                  <v>2.155</v>
                </pt>
                <pt idx="158">
                  <v>2.155</v>
                </pt>
                <pt idx="159">
                  <v>2.14</v>
                </pt>
                <pt idx="160">
                  <v>2.129</v>
                </pt>
                <pt idx="161">
                  <v>2.124</v>
                </pt>
                <pt idx="162">
                  <v>2.128</v>
                </pt>
                <pt idx="163">
                  <v>2.146</v>
                </pt>
                <pt idx="164">
                  <v>2.135</v>
                </pt>
                <pt idx="165">
                  <v>2.151</v>
                </pt>
                <pt idx="166">
                  <v>2.141</v>
                </pt>
                <pt idx="167">
                  <v>2.133</v>
                </pt>
                <pt idx="168">
                  <v>2.085</v>
                </pt>
                <pt idx="169">
                  <v>2.059</v>
                </pt>
                <pt idx="170">
                  <v>2.014</v>
                </pt>
                <pt idx="171">
                  <v>1.98</v>
                </pt>
                <pt idx="172">
                  <v>1.969</v>
                </pt>
                <pt idx="173">
                  <v>1.972</v>
                </pt>
                <pt idx="174">
                  <v>1.953</v>
                </pt>
                <pt idx="175">
                  <v>1.927</v>
                </pt>
                <pt idx="176">
                  <v>1.915</v>
                </pt>
                <pt idx="177">
                  <v>1.901</v>
                </pt>
                <pt idx="178">
                  <v>1.905</v>
                </pt>
                <pt idx="179">
                  <v>1.94</v>
                </pt>
                <pt idx="180">
                  <v>1.95</v>
                </pt>
                <pt idx="181">
                  <v>1.94</v>
                </pt>
                <pt idx="182">
                  <v>1.949</v>
                </pt>
                <pt idx="183">
                  <v>1.958</v>
                </pt>
                <pt idx="184">
                  <v>1.985</v>
                </pt>
                <pt idx="185">
                  <v>1.995</v>
                </pt>
                <pt idx="186">
                  <v>2</v>
                </pt>
                <pt idx="187">
                  <v>2.001</v>
                </pt>
                <pt idx="188">
                  <v>2.016</v>
                </pt>
                <pt idx="189">
                  <v>2.017</v>
                </pt>
                <pt idx="190">
                  <v>2.006</v>
                </pt>
                <pt idx="191">
                  <v>1.997</v>
                </pt>
                <pt idx="192">
                  <v>1.993</v>
                </pt>
                <pt idx="193">
                  <v>1.986</v>
                </pt>
                <pt idx="194">
                  <v>1.977</v>
                </pt>
                <pt idx="195">
                  <v>1.977</v>
                </pt>
                <pt idx="196">
                  <v>1.939</v>
                </pt>
                <pt idx="197">
                  <v>1.927</v>
                </pt>
                <pt idx="198">
                  <v>1.908</v>
                </pt>
                <pt idx="199">
                  <v>1.813</v>
                </pt>
                <pt idx="200">
                  <v>1.735</v>
                </pt>
                <pt idx="201">
                  <v>1.709</v>
                </pt>
                <pt idx="202">
                  <v>1.711</v>
                </pt>
                <pt idx="203">
                  <v>1.726</v>
                </pt>
                <pt idx="204">
                  <v>1.739</v>
                </pt>
                <pt idx="205">
                  <v>1.746</v>
                </pt>
                <pt idx="206">
                  <v>1.748</v>
                </pt>
                <pt idx="207">
                  <v>1.745</v>
                </pt>
                <pt idx="208">
                  <v>1.728</v>
                </pt>
                <pt idx="209">
                  <v>1.714</v>
                </pt>
                <pt idx="210">
                  <v>1.656</v>
                </pt>
                <pt idx="211">
                  <v>1.648</v>
                </pt>
                <pt idx="212">
                  <v>1.642</v>
                </pt>
                <pt idx="213">
                  <v>1.631</v>
                </pt>
                <pt idx="214">
                  <v>1.612</v>
                </pt>
                <pt idx="215">
                  <v>1.586</v>
                </pt>
                <pt idx="216">
                  <v>1.582</v>
                </pt>
                <pt idx="217">
                  <v>1.571</v>
                </pt>
                <pt idx="218">
                  <v>1.569</v>
                </pt>
                <pt idx="219">
                  <v>1.559</v>
                </pt>
                <pt idx="220">
                  <v>1.537</v>
                </pt>
                <pt idx="221">
                  <v>1.543</v>
                </pt>
                <pt idx="222">
                  <v>1.548</v>
                </pt>
                <pt idx="223">
                  <v>1.537</v>
                </pt>
                <pt idx="224">
                  <v>1.52</v>
                </pt>
                <pt idx="225">
                  <v>1.521</v>
                </pt>
                <pt idx="226">
                  <v>1.512</v>
                </pt>
                <pt idx="227">
                  <v>1.493</v>
                </pt>
                <pt idx="228">
                  <v>1.468</v>
                </pt>
                <pt idx="229">
                  <v>1.458</v>
                </pt>
                <pt idx="230">
                  <v>1.448</v>
                </pt>
                <pt idx="231">
                  <v>1.441</v>
                </pt>
                <pt idx="232">
                  <v>1.434</v>
                </pt>
                <pt idx="233">
                  <v>1.427</v>
                </pt>
                <pt idx="234">
                  <v>1.431</v>
                </pt>
                <pt idx="235">
                  <v>1.441</v>
                </pt>
                <pt idx="236">
                  <v>1.448</v>
                </pt>
                <pt idx="237">
                  <v>1.457</v>
                </pt>
                <pt idx="238">
                  <v>1.459</v>
                </pt>
                <pt idx="239">
                  <v>1.459</v>
                </pt>
                <pt idx="240">
                  <v>1.452</v>
                </pt>
                <pt idx="241">
                  <v>1.452</v>
                </pt>
                <pt idx="242">
                  <v>1.443</v>
                </pt>
                <pt idx="243">
                  <v>1.425</v>
                </pt>
                <pt idx="244">
                  <v>1.38</v>
                </pt>
                <pt idx="245">
                  <v>1.112</v>
                </pt>
                <pt idx="246">
                  <v>1.161</v>
                </pt>
                <pt idx="247">
                  <v>1.147</v>
                </pt>
                <pt idx="248">
                  <v>1.139</v>
                </pt>
                <pt idx="249">
                  <v>1.132</v>
                </pt>
                <pt idx="250">
                  <v>1.131</v>
                </pt>
                <pt idx="251">
                  <v>1.142</v>
                </pt>
                <pt idx="252">
                  <v>1.145</v>
                </pt>
                <pt idx="253">
                  <v>1.165</v>
                </pt>
                <pt idx="254">
                  <v>1.189</v>
                </pt>
                <pt idx="255">
                  <v>1.223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658712208"/>
        <axId val="1542582576"/>
      </lineChart>
      <dateAx>
        <axId val="1658712208"/>
        <scaling>
          <orientation val="minMax"/>
        </scaling>
        <delete val="0"/>
        <axPos val="b"/>
        <numFmt formatCode="dd\-mm\-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542582576"/>
        <crosses val="autoZero"/>
        <lblOffset val="100"/>
        <baseTimeUnit val="months"/>
      </dateAx>
      <valAx>
        <axId val="1542582576"/>
        <scaling>
          <orientation val="minMax"/>
          <min val="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658712208"/>
        <crosses val="autoZero"/>
        <crossBetween val="between"/>
      </valAx>
    </plotArea>
    <plotVisOnly val="1"/>
    <dispBlanksAs val="gap"/>
  </chart>
</chartSpace>
</file>

<file path=xl/charts/chart2.xml><?xml version="1.0" encoding="utf-8"?>
<chartSpace xmlns="http://schemas.openxmlformats.org/drawingml/2006/chart">
  <chart>
    <title>
      <tx>
        <strRef>
          <f>Table3032[[#Headers],[Real M1 Money Stock]]</f>
          <strCache>
            <ptCount val="1"/>
            <pt idx="0">
              <v>Real M1 Money Stock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'US M1 Real Monthly'!$B$5</f>
              <strCache>
                <ptCount val="1"/>
                <pt idx="0">
                  <v>Real M1 Money Stock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M1 Real Monthly'!$A$6:$A$778</f>
              <numCache>
                <formatCode>yyyy\-mm\-dd</formatCode>
                <ptCount val="773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  <pt idx="756">
                  <v>44562</v>
                </pt>
                <pt idx="757">
                  <v>44593</v>
                </pt>
                <pt idx="758">
                  <v>44621</v>
                </pt>
                <pt idx="759">
                  <v>44652</v>
                </pt>
                <pt idx="760">
                  <v>44682</v>
                </pt>
                <pt idx="761">
                  <v>44713</v>
                </pt>
                <pt idx="762">
                  <v>44743</v>
                </pt>
                <pt idx="763">
                  <v>44774</v>
                </pt>
                <pt idx="764">
                  <v>44805</v>
                </pt>
                <pt idx="765">
                  <v>44835</v>
                </pt>
                <pt idx="766">
                  <v>44866</v>
                </pt>
                <pt idx="767">
                  <v>44896</v>
                </pt>
                <pt idx="768">
                  <v>44927</v>
                </pt>
                <pt idx="769">
                  <v>44958</v>
                </pt>
              </numCache>
            </numRef>
          </cat>
          <val>
            <numRef>
              <f>'US M1 Real Monthly'!$B$6:$B$778</f>
              <numCache>
                <formatCode>0.0</formatCode>
                <ptCount val="773"/>
                <pt idx="0">
                  <v>478.8</v>
                </pt>
                <pt idx="1">
                  <v>480.7</v>
                </pt>
                <pt idx="2">
                  <v>482.2</v>
                </pt>
                <pt idx="3">
                  <v>482.1</v>
                </pt>
                <pt idx="4">
                  <v>484.5</v>
                </pt>
                <pt idx="5">
                  <v>485.1</v>
                </pt>
                <pt idx="6">
                  <v>486.1</v>
                </pt>
                <pt idx="7">
                  <v>486.3</v>
                </pt>
                <pt idx="8">
                  <v>482.1</v>
                </pt>
                <pt idx="9">
                  <v>478.7</v>
                </pt>
                <pt idx="10">
                  <v>478.4</v>
                </pt>
                <pt idx="11">
                  <v>475.7</v>
                </pt>
                <pt idx="12">
                  <v>476.7</v>
                </pt>
                <pt idx="13">
                  <v>475.7</v>
                </pt>
                <pt idx="14">
                  <v>475.3</v>
                </pt>
                <pt idx="15">
                  <v>472.6</v>
                </pt>
                <pt idx="16">
                  <v>472.1</v>
                </pt>
                <pt idx="17">
                  <v>471.5</v>
                </pt>
                <pt idx="18">
                  <v>474.5</v>
                </pt>
                <pt idx="19">
                  <v>477.2</v>
                </pt>
                <pt idx="20">
                  <v>476.9</v>
                </pt>
                <pt idx="21">
                  <v>473.6</v>
                </pt>
                <pt idx="22">
                  <v>473.1</v>
                </pt>
                <pt idx="23">
                  <v>472</v>
                </pt>
                <pt idx="24">
                  <v>472.9</v>
                </pt>
                <pt idx="25">
                  <v>474.5</v>
                </pt>
                <pt idx="26">
                  <v>475.5</v>
                </pt>
                <pt idx="27">
                  <v>476.7</v>
                </pt>
                <pt idx="28">
                  <v>478.2</v>
                </pt>
                <pt idx="29">
                  <v>478.9</v>
                </pt>
                <pt idx="30">
                  <v>477.6</v>
                </pt>
                <pt idx="31">
                  <v>479.3</v>
                </pt>
                <pt idx="32">
                  <v>479.7</v>
                </pt>
                <pt idx="33">
                  <v>480.7</v>
                </pt>
                <pt idx="34">
                  <v>483</v>
                </pt>
                <pt idx="35">
                  <v>483.8</v>
                </pt>
                <pt idx="36">
                  <v>483.4</v>
                </pt>
                <pt idx="37">
                  <v>483.9</v>
                </pt>
                <pt idx="38">
                  <v>483.9</v>
                </pt>
                <pt idx="39">
                  <v>484.6</v>
                </pt>
                <pt idx="40">
                  <v>485.4</v>
                </pt>
                <pt idx="41">
                  <v>485.3</v>
                </pt>
                <pt idx="42">
                  <v>484.8</v>
                </pt>
                <pt idx="43">
                  <v>484.1</v>
                </pt>
                <pt idx="44">
                  <v>480.9</v>
                </pt>
                <pt idx="45">
                  <v>482.9</v>
                </pt>
                <pt idx="46">
                  <v>484.9</v>
                </pt>
                <pt idx="47">
                  <v>486.5</v>
                </pt>
                <pt idx="48">
                  <v>487.2</v>
                </pt>
                <pt idx="49">
                  <v>488.5</v>
                </pt>
                <pt idx="50">
                  <v>489</v>
                </pt>
                <pt idx="51">
                  <v>491.1</v>
                </pt>
                <pt idx="52">
                  <v>493</v>
                </pt>
                <pt idx="53">
                  <v>491.3</v>
                </pt>
                <pt idx="54">
                  <v>493</v>
                </pt>
                <pt idx="55">
                  <v>493.7</v>
                </pt>
                <pt idx="56">
                  <v>494.8</v>
                </pt>
                <pt idx="57">
                  <v>496.3</v>
                </pt>
                <pt idx="58">
                  <v>499</v>
                </pt>
                <pt idx="59">
                  <v>496.4</v>
                </pt>
                <pt idx="60">
                  <v>496.8</v>
                </pt>
                <pt idx="61">
                  <v>499.2</v>
                </pt>
                <pt idx="62">
                  <v>499.4</v>
                </pt>
                <pt idx="63">
                  <v>500.2</v>
                </pt>
                <pt idx="64">
                  <v>501.3</v>
                </pt>
                <pt idx="65">
                  <v>501.8</v>
                </pt>
                <pt idx="66">
                  <v>505.5</v>
                </pt>
                <pt idx="67">
                  <v>508.2</v>
                </pt>
                <pt idx="68">
                  <v>510.6</v>
                </pt>
                <pt idx="69">
                  <v>511.6</v>
                </pt>
                <pt idx="70">
                  <v>512.7</v>
                </pt>
                <pt idx="71">
                  <v>513</v>
                </pt>
                <pt idx="72">
                  <v>513.7</v>
                </pt>
                <pt idx="73">
                  <v>514.4</v>
                </pt>
                <pt idx="74">
                  <v>515.8</v>
                </pt>
                <pt idx="75">
                  <v>516.3</v>
                </pt>
                <pt idx="76">
                  <v>513.7</v>
                </pt>
                <pt idx="77">
                  <v>513.1</v>
                </pt>
                <pt idx="78">
                  <v>516.1</v>
                </pt>
                <pt idx="79">
                  <v>518.9</v>
                </pt>
                <pt idx="80">
                  <v>521.2</v>
                </pt>
                <pt idx="81">
                  <v>524.5</v>
                </pt>
                <pt idx="82">
                  <v>525</v>
                </pt>
                <pt idx="83">
                  <v>526.8</v>
                </pt>
                <pt idx="84">
                  <v>530.4</v>
                </pt>
                <pt idx="85">
                  <v>528.7</v>
                </pt>
                <pt idx="86">
                  <v>529.8</v>
                </pt>
                <pt idx="87">
                  <v>532.2</v>
                </pt>
                <pt idx="88">
                  <v>529.5</v>
                </pt>
                <pt idx="89">
                  <v>530</v>
                </pt>
                <pt idx="90">
                  <v>524.8</v>
                </pt>
                <pt idx="91">
                  <v>523.1</v>
                </pt>
                <pt idx="92">
                  <v>525.2</v>
                </pt>
                <pt idx="93">
                  <v>521.2</v>
                </pt>
                <pt idx="94">
                  <v>521.3</v>
                </pt>
                <pt idx="95">
                  <v>522.5</v>
                </pt>
                <pt idx="96">
                  <v>522.5</v>
                </pt>
                <pt idx="97">
                  <v>524.2</v>
                </pt>
                <pt idx="98">
                  <v>529.7</v>
                </pt>
                <pt idx="99">
                  <v>526.3</v>
                </pt>
                <pt idx="100">
                  <v>530.8</v>
                </pt>
                <pt idx="101">
                  <v>531.5</v>
                </pt>
                <pt idx="102">
                  <v>533.2</v>
                </pt>
                <pt idx="103">
                  <v>536.4</v>
                </pt>
                <pt idx="104">
                  <v>537.8</v>
                </pt>
                <pt idx="105">
                  <v>538.9</v>
                </pt>
                <pt idx="106">
                  <v>538.1</v>
                </pt>
                <pt idx="107">
                  <v>539.1</v>
                </pt>
                <pt idx="108">
                  <v>540.5</v>
                </pt>
                <pt idx="109">
                  <v>540.1</v>
                </pt>
                <pt idx="110">
                  <v>540.8</v>
                </pt>
                <pt idx="111">
                  <v>542.4</v>
                </pt>
                <pt idx="112">
                  <v>544.9</v>
                </pt>
                <pt idx="113">
                  <v>545.8</v>
                </pt>
                <pt idx="114">
                  <v>545.8</v>
                </pt>
                <pt idx="115">
                  <v>548</v>
                </pt>
                <pt idx="116">
                  <v>549</v>
                </pt>
                <pt idx="117">
                  <v>549.6</v>
                </pt>
                <pt idx="118">
                  <v>553.7</v>
                </pt>
                <pt idx="119">
                  <v>554.5</v>
                </pt>
                <pt idx="120">
                  <v>556.6</v>
                </pt>
                <pt idx="121">
                  <v>556.7</v>
                </pt>
                <pt idx="122">
                  <v>554</v>
                </pt>
                <pt idx="123">
                  <v>552.9</v>
                </pt>
                <pt idx="124">
                  <v>551.6</v>
                </pt>
                <pt idx="125">
                  <v>550</v>
                </pt>
                <pt idx="126">
                  <v>548.1</v>
                </pt>
                <pt idx="127">
                  <v>546.6</v>
                </pt>
                <pt idx="128">
                  <v>544.7</v>
                </pt>
                <pt idx="129">
                  <v>544</v>
                </pt>
                <pt idx="130">
                  <v>542.9</v>
                </pt>
                <pt idx="131">
                  <v>540.8</v>
                </pt>
                <pt idx="132">
                  <v>544.1</v>
                </pt>
                <pt idx="133">
                  <v>538.1</v>
                </pt>
                <pt idx="134">
                  <v>537.1</v>
                </pt>
                <pt idx="135">
                  <v>536.9</v>
                </pt>
                <pt idx="136">
                  <v>536.8</v>
                </pt>
                <pt idx="137">
                  <v>535.1</v>
                </pt>
                <pt idx="138">
                  <v>534.7</v>
                </pt>
                <pt idx="139">
                  <v>538.2</v>
                </pt>
                <pt idx="140">
                  <v>540.3</v>
                </pt>
                <pt idx="141">
                  <v>540.4</v>
                </pt>
                <pt idx="142">
                  <v>539.6</v>
                </pt>
                <pt idx="143">
                  <v>538.7</v>
                </pt>
                <pt idx="144">
                  <v>540.1</v>
                </pt>
                <pt idx="145">
                  <v>544.9</v>
                </pt>
                <pt idx="146">
                  <v>547</v>
                </pt>
                <pt idx="147">
                  <v>548.6</v>
                </pt>
                <pt idx="148">
                  <v>550.9</v>
                </pt>
                <pt idx="149">
                  <v>551.9</v>
                </pt>
                <pt idx="150">
                  <v>553.9</v>
                </pt>
                <pt idx="151">
                  <v>554.3</v>
                </pt>
                <pt idx="152">
                  <v>555.1</v>
                </pt>
                <pt idx="153">
                  <v>555.5</v>
                </pt>
                <pt idx="154">
                  <v>555.6</v>
                </pt>
                <pt idx="155">
                  <v>555.5</v>
                </pt>
                <pt idx="156">
                  <v>558.5</v>
                </pt>
                <pt idx="157">
                  <v>561.1</v>
                </pt>
                <pt idx="158">
                  <v>565.9</v>
                </pt>
                <pt idx="159">
                  <v>567.7</v>
                </pt>
                <pt idx="160">
                  <v>567.1</v>
                </pt>
                <pt idx="161">
                  <v>567.4</v>
                </pt>
                <pt idx="162">
                  <v>571.3</v>
                </pt>
                <pt idx="163">
                  <v>574.9</v>
                </pt>
                <pt idx="164">
                  <v>577.7</v>
                </pt>
                <pt idx="165">
                  <v>580.6</v>
                </pt>
                <pt idx="166">
                  <v>581.1</v>
                </pt>
                <pt idx="167">
                  <v>586.4</v>
                </pt>
                <pt idx="168">
                  <v>589</v>
                </pt>
                <pt idx="169">
                  <v>586.5</v>
                </pt>
                <pt idx="170">
                  <v>580</v>
                </pt>
                <pt idx="171">
                  <v>578.3</v>
                </pt>
                <pt idx="172">
                  <v>580.6</v>
                </pt>
                <pt idx="173">
                  <v>580.8</v>
                </pt>
                <pt idx="174">
                  <v>582.6</v>
                </pt>
                <pt idx="175">
                  <v>572.7</v>
                </pt>
                <pt idx="176">
                  <v>570.6</v>
                </pt>
                <pt idx="177">
                  <v>568</v>
                </pt>
                <pt idx="178">
                  <v>568.6</v>
                </pt>
                <pt idx="179">
                  <v>567.8</v>
                </pt>
                <pt idx="180">
                  <v>563.7</v>
                </pt>
                <pt idx="181">
                  <v>560.9</v>
                </pt>
                <pt idx="182">
                  <v>557.9</v>
                </pt>
                <pt idx="183">
                  <v>555.5</v>
                </pt>
                <pt idx="184">
                  <v>550.6</v>
                </pt>
                <pt idx="185">
                  <v>548</v>
                </pt>
                <pt idx="186">
                  <v>546.2</v>
                </pt>
                <pt idx="187">
                  <v>541.3</v>
                </pt>
                <pt idx="188">
                  <v>535.6</v>
                </pt>
                <pt idx="189">
                  <v>533.9</v>
                </pt>
                <pt idx="190">
                  <v>531.5</v>
                </pt>
                <pt idx="191">
                  <v>528.3</v>
                </pt>
                <pt idx="192">
                  <v>523.7</v>
                </pt>
                <pt idx="193">
                  <v>522.8</v>
                </pt>
                <pt idx="194">
                  <v>523.5</v>
                </pt>
                <pt idx="195">
                  <v>521.1</v>
                </pt>
                <pt idx="196">
                  <v>525.8</v>
                </pt>
                <pt idx="197">
                  <v>527.9</v>
                </pt>
                <pt idx="198">
                  <v>525.4</v>
                </pt>
                <pt idx="199">
                  <v>524.2</v>
                </pt>
                <pt idx="200">
                  <v>523.3</v>
                </pt>
                <pt idx="201">
                  <v>519.9</v>
                </pt>
                <pt idx="202">
                  <v>518.6</v>
                </pt>
                <pt idx="203">
                  <v>516.4</v>
                </pt>
                <pt idx="204">
                  <v>516.8</v>
                </pt>
                <pt idx="205">
                  <v>520.2</v>
                </pt>
                <pt idx="206">
                  <v>522.7</v>
                </pt>
                <pt idx="207">
                  <v>525.3</v>
                </pt>
                <pt idx="208">
                  <v>524.6</v>
                </pt>
                <pt idx="209">
                  <v>522.4</v>
                </pt>
                <pt idx="210">
                  <v>521.4</v>
                </pt>
                <pt idx="211">
                  <v>521.8</v>
                </pt>
                <pt idx="212">
                  <v>520.1</v>
                </pt>
                <pt idx="213">
                  <v>521.6</v>
                </pt>
                <pt idx="214">
                  <v>522.5</v>
                </pt>
                <pt idx="215">
                  <v>524.3</v>
                </pt>
                <pt idx="216">
                  <v>525.2</v>
                </pt>
                <pt idx="217">
                  <v>525.3</v>
                </pt>
                <pt idx="218">
                  <v>526.7</v>
                </pt>
                <pt idx="219">
                  <v>526.7</v>
                </pt>
                <pt idx="220">
                  <v>526.9</v>
                </pt>
                <pt idx="221">
                  <v>526.9</v>
                </pt>
                <pt idx="222">
                  <v>526.6</v>
                </pt>
                <pt idx="223">
                  <v>527.5</v>
                </pt>
                <pt idx="224">
                  <v>529.4</v>
                </pt>
                <pt idx="225">
                  <v>529.9</v>
                </pt>
                <pt idx="226">
                  <v>530</v>
                </pt>
                <pt idx="227">
                  <v>531.1</v>
                </pt>
                <pt idx="228">
                  <v>533.3</v>
                </pt>
                <pt idx="229">
                  <v>532.2</v>
                </pt>
                <pt idx="230">
                  <v>531.5</v>
                </pt>
                <pt idx="231">
                  <v>531.9</v>
                </pt>
                <pt idx="232">
                  <v>534.7</v>
                </pt>
                <pt idx="233">
                  <v>533.7</v>
                </pt>
                <pt idx="234">
                  <v>530.7</v>
                </pt>
                <pt idx="235">
                  <v>530.5</v>
                </pt>
                <pt idx="236">
                  <v>529.6</v>
                </pt>
                <pt idx="237">
                  <v>526.5</v>
                </pt>
                <pt idx="238">
                  <v>526.5</v>
                </pt>
                <pt idx="239">
                  <v>526.2</v>
                </pt>
                <pt idx="240">
                  <v>523.5</v>
                </pt>
                <pt idx="241">
                  <v>520.1</v>
                </pt>
                <pt idx="242">
                  <v>518.6</v>
                </pt>
                <pt idx="243">
                  <v>521.2</v>
                </pt>
                <pt idx="244">
                  <v>517.6</v>
                </pt>
                <pt idx="245">
                  <v>517.2</v>
                </pt>
                <pt idx="246">
                  <v>516.7</v>
                </pt>
                <pt idx="247">
                  <v>514</v>
                </pt>
                <pt idx="248">
                  <v>509.8</v>
                </pt>
                <pt idx="249">
                  <v>506.4</v>
                </pt>
                <pt idx="250">
                  <v>501.1</v>
                </pt>
                <pt idx="251">
                  <v>496.5</v>
                </pt>
                <pt idx="252">
                  <v>494.6</v>
                </pt>
                <pt idx="253">
                  <v>493.8</v>
                </pt>
                <pt idx="254">
                  <v>484.9</v>
                </pt>
                <pt idx="255">
                  <v>474.4</v>
                </pt>
                <pt idx="256">
                  <v>471</v>
                </pt>
                <pt idx="257">
                  <v>471.6</v>
                </pt>
                <pt idx="258">
                  <v>477</v>
                </pt>
                <pt idx="259">
                  <v>479.8</v>
                </pt>
                <pt idx="260">
                  <v>482.5</v>
                </pt>
                <pt idx="261">
                  <v>482.9</v>
                </pt>
                <pt idx="262">
                  <v>479.8</v>
                </pt>
                <pt idx="263">
                  <v>472.8</v>
                </pt>
                <pt idx="264">
                  <v>471.7</v>
                </pt>
                <pt idx="265">
                  <v>471.4</v>
                </pt>
                <pt idx="266">
                  <v>472.9</v>
                </pt>
                <pt idx="267">
                  <v>479.7</v>
                </pt>
                <pt idx="268">
                  <v>473.5</v>
                </pt>
                <pt idx="269">
                  <v>469.8</v>
                </pt>
                <pt idx="270">
                  <v>466.6</v>
                </pt>
                <pt idx="271">
                  <v>463</v>
                </pt>
                <pt idx="272">
                  <v>458.6</v>
                </pt>
                <pt idx="273">
                  <v>458.7</v>
                </pt>
                <pt idx="274">
                  <v>459.8</v>
                </pt>
                <pt idx="275">
                  <v>464.1</v>
                </pt>
                <pt idx="276">
                  <v>469</v>
                </pt>
                <pt idx="277">
                  <v>466.6</v>
                </pt>
                <pt idx="278">
                  <v>467.5</v>
                </pt>
                <pt idx="279">
                  <v>470.6</v>
                </pt>
                <pt idx="280">
                  <v>465.8</v>
                </pt>
                <pt idx="281">
                  <v>461.3</v>
                </pt>
                <pt idx="282">
                  <v>459.5</v>
                </pt>
                <pt idx="283">
                  <v>462</v>
                </pt>
                <pt idx="284">
                  <v>467.7</v>
                </pt>
                <pt idx="285">
                  <v>473.5</v>
                </pt>
                <pt idx="286">
                  <v>481.1</v>
                </pt>
                <pt idx="287">
                  <v>486</v>
                </pt>
                <pt idx="288">
                  <v>487.4</v>
                </pt>
                <pt idx="289">
                  <v>494.2</v>
                </pt>
                <pt idx="290">
                  <v>500.1</v>
                </pt>
                <pt idx="291">
                  <v>499.2</v>
                </pt>
                <pt idx="292">
                  <v>504</v>
                </pt>
                <pt idx="293">
                  <v>507</v>
                </pt>
                <pt idx="294">
                  <v>508.8</v>
                </pt>
                <pt idx="295">
                  <v>510</v>
                </pt>
                <pt idx="296">
                  <v>510.8</v>
                </pt>
                <pt idx="297">
                  <v>513.1</v>
                </pt>
                <pt idx="298">
                  <v>513.4</v>
                </pt>
                <pt idx="299">
                  <v>514.2</v>
                </pt>
                <pt idx="300">
                  <v>514.3</v>
                </pt>
                <pt idx="301">
                  <v>514.1</v>
                </pt>
                <pt idx="302">
                  <v>516.4</v>
                </pt>
                <pt idx="303">
                  <v>517.9</v>
                </pt>
                <pt idx="304">
                  <v>518.6</v>
                </pt>
                <pt idx="305">
                  <v>520.9</v>
                </pt>
                <pt idx="306">
                  <v>519.6</v>
                </pt>
                <pt idx="307">
                  <v>518.2</v>
                </pt>
                <pt idx="308">
                  <v>518.7</v>
                </pt>
                <pt idx="309">
                  <v>517.3</v>
                </pt>
                <pt idx="310">
                  <v>519.9</v>
                </pt>
                <pt idx="311">
                  <v>522.8</v>
                </pt>
                <pt idx="312">
                  <v>527</v>
                </pt>
                <pt idx="313">
                  <v>530.2</v>
                </pt>
                <pt idx="314">
                  <v>530.5</v>
                </pt>
                <pt idx="315">
                  <v>533.1</v>
                </pt>
                <pt idx="316">
                  <v>536.5</v>
                </pt>
                <pt idx="317">
                  <v>541.7</v>
                </pt>
                <pt idx="318">
                  <v>547</v>
                </pt>
                <pt idx="319">
                  <v>552.5</v>
                </pt>
                <pt idx="320">
                  <v>558.1</v>
                </pt>
                <pt idx="321">
                  <v>560.2</v>
                </pt>
                <pt idx="322">
                  <v>561.7</v>
                </pt>
                <pt idx="323">
                  <v>566</v>
                </pt>
                <pt idx="324">
                  <v>565.4</v>
                </pt>
                <pt idx="325">
                  <v>569.9</v>
                </pt>
                <pt idx="326">
                  <v>580.7</v>
                </pt>
                <pt idx="327">
                  <v>589.7</v>
                </pt>
                <pt idx="328">
                  <v>598.2</v>
                </pt>
                <pt idx="329">
                  <v>603.8</v>
                </pt>
                <pt idx="330">
                  <v>612.1</v>
                </pt>
                <pt idx="331">
                  <v>619.3</v>
                </pt>
                <pt idx="332">
                  <v>624.9</v>
                </pt>
                <pt idx="333">
                  <v>630.6</v>
                </pt>
                <pt idx="334">
                  <v>638.9</v>
                </pt>
                <pt idx="335">
                  <v>654.1</v>
                </pt>
                <pt idx="336">
                  <v>655.5</v>
                </pt>
                <pt idx="337">
                  <v>653.6</v>
                </pt>
                <pt idx="338">
                  <v>654</v>
                </pt>
                <pt idx="339">
                  <v>660.1</v>
                </pt>
                <pt idx="340">
                  <v>660</v>
                </pt>
                <pt idx="341">
                  <v>654.8</v>
                </pt>
                <pt idx="342">
                  <v>652.9</v>
                </pt>
                <pt idx="343">
                  <v>651.7</v>
                </pt>
                <pt idx="344">
                  <v>651.8</v>
                </pt>
                <pt idx="345">
                  <v>657.6</v>
                </pt>
                <pt idx="346">
                  <v>652.7</v>
                </pt>
                <pt idx="347">
                  <v>649</v>
                </pt>
                <pt idx="348">
                  <v>651.9</v>
                </pt>
                <pt idx="349">
                  <v>652.1</v>
                </pt>
                <pt idx="350">
                  <v>653.9</v>
                </pt>
                <pt idx="351">
                  <v>655.4</v>
                </pt>
                <pt idx="352">
                  <v>656.8</v>
                </pt>
                <pt idx="353">
                  <v>659.6</v>
                </pt>
                <pt idx="354">
                  <v>659.4</v>
                </pt>
                <pt idx="355">
                  <v>658.2</v>
                </pt>
                <pt idx="356">
                  <v>655.8</v>
                </pt>
                <pt idx="357">
                  <v>653.3</v>
                </pt>
                <pt idx="358">
                  <v>652.5</v>
                </pt>
                <pt idx="359">
                  <v>651.8</v>
                </pt>
                <pt idx="360">
                  <v>648.3</v>
                </pt>
                <pt idx="361">
                  <v>644.6</v>
                </pt>
                <pt idx="362">
                  <v>640.8</v>
                </pt>
                <pt idx="363">
                  <v>633</v>
                </pt>
                <pt idx="364">
                  <v>626.5</v>
                </pt>
                <pt idx="365">
                  <v>623.3</v>
                </pt>
                <pt idx="366">
                  <v>624.7</v>
                </pt>
                <pt idx="367">
                  <v>626</v>
                </pt>
                <pt idx="368">
                  <v>625.8</v>
                </pt>
                <pt idx="369">
                  <v>627.3</v>
                </pt>
                <pt idx="370">
                  <v>625.8</v>
                </pt>
                <pt idx="371">
                  <v>627.8</v>
                </pt>
                <pt idx="372">
                  <v>623.8</v>
                </pt>
                <pt idx="373">
                  <v>623.5</v>
                </pt>
                <pt idx="374">
                  <v>623.3</v>
                </pt>
                <pt idx="375">
                  <v>625.4</v>
                </pt>
                <pt idx="376">
                  <v>622.9</v>
                </pt>
                <pt idx="377">
                  <v>622.6</v>
                </pt>
                <pt idx="378">
                  <v>620.8</v>
                </pt>
                <pt idx="379">
                  <v>619.8</v>
                </pt>
                <pt idx="380">
                  <v>619</v>
                </pt>
                <pt idx="381">
                  <v>614.6</v>
                </pt>
                <pt idx="382">
                  <v>614.9</v>
                </pt>
                <pt idx="383">
                  <v>614.5</v>
                </pt>
                <pt idx="384">
                  <v>614.1</v>
                </pt>
                <pt idx="385">
                  <v>617.7</v>
                </pt>
                <pt idx="386">
                  <v>622.2</v>
                </pt>
                <pt idx="387">
                  <v>624.1</v>
                </pt>
                <pt idx="388">
                  <v>626</v>
                </pt>
                <pt idx="389">
                  <v>629.9</v>
                </pt>
                <pt idx="390">
                  <v>632.6</v>
                </pt>
                <pt idx="391">
                  <v>634.6</v>
                </pt>
                <pt idx="392">
                  <v>634.8</v>
                </pt>
                <pt idx="393">
                  <v>639.9</v>
                </pt>
                <pt idx="394">
                  <v>644.1</v>
                </pt>
                <pt idx="395">
                  <v>649.1</v>
                </pt>
                <pt idx="396">
                  <v>658.3</v>
                </pt>
                <pt idx="397">
                  <v>667.5</v>
                </pt>
                <pt idx="398">
                  <v>673.4</v>
                </pt>
                <pt idx="399">
                  <v>677</v>
                </pt>
                <pt idx="400">
                  <v>680.5</v>
                </pt>
                <pt idx="401">
                  <v>681.2</v>
                </pt>
                <pt idx="402">
                  <v>685.6</v>
                </pt>
                <pt idx="403">
                  <v>691.5</v>
                </pt>
                <pt idx="404">
                  <v>700.2</v>
                </pt>
                <pt idx="405">
                  <v>708.3</v>
                </pt>
                <pt idx="406">
                  <v>714.8</v>
                </pt>
                <pt idx="407">
                  <v>720.2</v>
                </pt>
                <pt idx="408">
                  <v>721.6</v>
                </pt>
                <pt idx="409">
                  <v>722.2</v>
                </pt>
                <pt idx="410">
                  <v>724.6</v>
                </pt>
                <pt idx="411">
                  <v>728.5</v>
                </pt>
                <pt idx="412">
                  <v>739.2</v>
                </pt>
                <pt idx="413">
                  <v>745</v>
                </pt>
                <pt idx="414">
                  <v>750.6</v>
                </pt>
                <pt idx="415">
                  <v>755.7</v>
                </pt>
                <pt idx="416">
                  <v>761.5</v>
                </pt>
                <pt idx="417">
                  <v>764.5</v>
                </pt>
                <pt idx="418">
                  <v>769.9</v>
                </pt>
                <pt idx="419">
                  <v>772.1</v>
                </pt>
                <pt idx="420">
                  <v>773.5</v>
                </pt>
                <pt idx="421">
                  <v>774.6</v>
                </pt>
                <pt idx="422">
                  <v>775.1</v>
                </pt>
                <pt idx="423">
                  <v>775.2</v>
                </pt>
                <pt idx="424">
                  <v>775.1</v>
                </pt>
                <pt idx="425">
                  <v>774.3</v>
                </pt>
                <pt idx="426">
                  <v>775.4</v>
                </pt>
                <pt idx="427">
                  <v>772.2</v>
                </pt>
                <pt idx="428">
                  <v>771.5</v>
                </pt>
                <pt idx="429">
                  <v>769.9</v>
                </pt>
                <pt idx="430">
                  <v>768.3</v>
                </pt>
                <pt idx="431">
                  <v>766.6</v>
                </pt>
                <pt idx="432">
                  <v>765</v>
                </pt>
                <pt idx="433">
                  <v>760.4</v>
                </pt>
                <pt idx="434">
                  <v>758.4</v>
                </pt>
                <pt idx="435">
                  <v>757.1</v>
                </pt>
                <pt idx="436">
                  <v>753</v>
                </pt>
                <pt idx="437">
                  <v>750.8</v>
                </pt>
                <pt idx="438">
                  <v>750.7</v>
                </pt>
                <pt idx="439">
                  <v>749.1</v>
                </pt>
                <pt idx="440">
                  <v>745.9</v>
                </pt>
                <pt idx="441">
                  <v>740.9</v>
                </pt>
                <pt idx="442">
                  <v>737.9</v>
                </pt>
                <pt idx="443">
                  <v>732.6</v>
                </pt>
                <pt idx="444">
                  <v>726.2</v>
                </pt>
                <pt idx="445">
                  <v>721.6</v>
                </pt>
                <pt idx="446">
                  <v>721.9</v>
                </pt>
                <pt idx="447">
                  <v>720.6</v>
                </pt>
                <pt idx="448">
                  <v>713.9</v>
                </pt>
                <pt idx="449">
                  <v>711.7</v>
                </pt>
                <pt idx="450">
                  <v>708.5</v>
                </pt>
                <pt idx="451">
                  <v>700.8</v>
                </pt>
                <pt idx="452">
                  <v>695.1</v>
                </pt>
                <pt idx="453">
                  <v>686.3</v>
                </pt>
                <pt idx="454">
                  <v>682.7</v>
                </pt>
                <pt idx="455">
                  <v>679.6</v>
                </pt>
                <pt idx="456">
                  <v>678.3</v>
                </pt>
                <pt idx="457">
                  <v>675.5</v>
                </pt>
                <pt idx="458">
                  <v>671.2</v>
                </pt>
                <pt idx="459">
                  <v>665.4</v>
                </pt>
                <pt idx="460">
                  <v>665.3</v>
                </pt>
                <pt idx="461">
                  <v>665.5</v>
                </pt>
                <pt idx="462">
                  <v>664.3</v>
                </pt>
                <pt idx="463">
                  <v>668.7</v>
                </pt>
                <pt idx="464">
                  <v>661.8</v>
                </pt>
                <pt idx="465">
                  <v>659.8</v>
                </pt>
                <pt idx="466">
                  <v>662.3</v>
                </pt>
                <pt idx="467">
                  <v>662.7</v>
                </pt>
                <pt idx="468">
                  <v>663</v>
                </pt>
                <pt idx="469">
                  <v>665.3</v>
                </pt>
                <pt idx="470">
                  <v>664.8</v>
                </pt>
                <pt idx="471">
                  <v>663.7</v>
                </pt>
                <pt idx="472">
                  <v>663.7</v>
                </pt>
                <pt idx="473">
                  <v>661.1</v>
                </pt>
                <pt idx="474">
                  <v>658.8</v>
                </pt>
                <pt idx="475">
                  <v>658.4</v>
                </pt>
                <pt idx="476">
                  <v>660.5</v>
                </pt>
                <pt idx="477">
                  <v>662.6</v>
                </pt>
                <pt idx="478">
                  <v>667.2</v>
                </pt>
                <pt idx="479">
                  <v>666.1</v>
                </pt>
                <pt idx="480">
                  <v>666.7</v>
                </pt>
                <pt idx="481">
                  <v>665.9</v>
                </pt>
                <pt idx="482">
                  <v>665.4</v>
                </pt>
                <pt idx="483">
                  <v>664</v>
                </pt>
                <pt idx="484">
                  <v>664.9</v>
                </pt>
                <pt idx="485">
                  <v>662.5</v>
                </pt>
                <pt idx="486">
                  <v>659.3</v>
                </pt>
                <pt idx="487">
                  <v>657.8</v>
                </pt>
                <pt idx="488">
                  <v>653.5</v>
                </pt>
                <pt idx="489">
                  <v>656.3</v>
                </pt>
                <pt idx="490">
                  <v>659.6</v>
                </pt>
                <pt idx="491">
                  <v>664.8</v>
                </pt>
                <pt idx="492">
                  <v>662.8</v>
                </pt>
                <pt idx="493">
                  <v>652.1</v>
                </pt>
                <pt idx="494">
                  <v>647.7</v>
                </pt>
                <pt idx="495">
                  <v>652.8</v>
                </pt>
                <pt idx="496">
                  <v>645.4</v>
                </pt>
                <pt idx="497">
                  <v>640.3</v>
                </pt>
                <pt idx="498">
                  <v>639</v>
                </pt>
                <pt idx="499">
                  <v>637.1</v>
                </pt>
                <pt idx="500">
                  <v>633.5</v>
                </pt>
                <pt idx="501">
                  <v>631.8</v>
                </pt>
                <pt idx="502">
                  <v>627.1</v>
                </pt>
                <pt idx="503">
                  <v>623.5</v>
                </pt>
                <pt idx="504">
                  <v>624.5</v>
                </pt>
                <pt idx="505">
                  <v>625.7</v>
                </pt>
                <pt idx="506">
                  <v>629.7</v>
                </pt>
                <pt idx="507">
                  <v>633</v>
                </pt>
                <pt idx="508">
                  <v>630.9</v>
                </pt>
                <pt idx="509">
                  <v>633.8</v>
                </pt>
                <pt idx="510">
                  <v>642</v>
                </pt>
                <pt idx="511">
                  <v>648.4</v>
                </pt>
                <pt idx="512">
                  <v>677</v>
                </pt>
                <pt idx="513">
                  <v>656.4</v>
                </pt>
                <pt idx="514">
                  <v>659.7</v>
                </pt>
                <pt idx="515">
                  <v>667</v>
                </pt>
                <pt idx="516">
                  <v>670.1</v>
                </pt>
                <pt idx="517">
                  <v>668.9</v>
                </pt>
                <pt idx="518">
                  <v>668.5</v>
                </pt>
                <pt idx="519">
                  <v>662</v>
                </pt>
                <pt idx="520">
                  <v>662.6</v>
                </pt>
                <pt idx="521">
                  <v>664.4</v>
                </pt>
                <pt idx="522">
                  <v>666.2</v>
                </pt>
                <pt idx="523">
                  <v>657.7</v>
                </pt>
                <pt idx="524">
                  <v>661.6</v>
                </pt>
                <pt idx="525">
                  <v>664.5</v>
                </pt>
                <pt idx="526">
                  <v>666.4</v>
                </pt>
                <pt idx="527">
                  <v>671.2</v>
                </pt>
                <pt idx="528">
                  <v>672.1</v>
                </pt>
                <pt idx="529">
                  <v>674.4</v>
                </pt>
                <pt idx="530">
                  <v>673.9</v>
                </pt>
                <pt idx="531">
                  <v>682.3</v>
                </pt>
                <pt idx="532">
                  <v>693.7</v>
                </pt>
                <pt idx="533">
                  <v>699.6</v>
                </pt>
                <pt idx="534">
                  <v>700.9</v>
                </pt>
                <pt idx="535">
                  <v>702.7</v>
                </pt>
                <pt idx="536">
                  <v>700.8</v>
                </pt>
                <pt idx="537">
                  <v>701.9</v>
                </pt>
                <pt idx="538">
                  <v>702.2</v>
                </pt>
                <pt idx="539">
                  <v>704.2</v>
                </pt>
                <pt idx="540">
                  <v>701</v>
                </pt>
                <pt idx="541">
                  <v>707.8</v>
                </pt>
                <pt idx="542">
                  <v>710.2</v>
                </pt>
                <pt idx="543">
                  <v>711.2</v>
                </pt>
                <pt idx="544">
                  <v>708.4</v>
                </pt>
                <pt idx="545">
                  <v>710.8</v>
                </pt>
                <pt idx="546">
                  <v>709</v>
                </pt>
                <pt idx="547">
                  <v>715.8</v>
                </pt>
                <pt idx="548">
                  <v>717.9</v>
                </pt>
                <pt idx="549">
                  <v>714</v>
                </pt>
                <pt idx="550">
                  <v>716.8</v>
                </pt>
                <pt idx="551">
                  <v>717.8</v>
                </pt>
                <pt idx="552">
                  <v>713.5</v>
                </pt>
                <pt idx="553">
                  <v>712.6</v>
                </pt>
                <pt idx="554">
                  <v>709.9</v>
                </pt>
                <pt idx="555">
                  <v>701.3</v>
                </pt>
                <pt idx="556">
                  <v>705.6</v>
                </pt>
                <pt idx="557">
                  <v>712.5</v>
                </pt>
                <pt idx="558">
                  <v>702.4</v>
                </pt>
                <pt idx="559">
                  <v>702.6</v>
                </pt>
                <pt idx="560">
                  <v>693.5</v>
                </pt>
                <pt idx="561">
                  <v>691.4</v>
                </pt>
                <pt idx="562">
                  <v>694.6</v>
                </pt>
                <pt idx="563">
                  <v>693.7</v>
                </pt>
                <pt idx="564">
                  <v>692.2</v>
                </pt>
                <pt idx="565">
                  <v>691.3</v>
                </pt>
                <pt idx="566">
                  <v>692.6</v>
                </pt>
                <pt idx="567">
                  <v>688.3</v>
                </pt>
                <pt idx="568">
                  <v>689.1</v>
                </pt>
                <pt idx="569">
                  <v>681.6</v>
                </pt>
                <pt idx="570">
                  <v>676.4</v>
                </pt>
                <pt idx="571">
                  <v>673.4</v>
                </pt>
                <pt idx="572">
                  <v>672.8</v>
                </pt>
                <pt idx="573">
                  <v>678.7</v>
                </pt>
                <pt idx="574">
                  <v>678.6</v>
                </pt>
                <pt idx="575">
                  <v>672.9</v>
                </pt>
                <pt idx="576">
                  <v>674.3</v>
                </pt>
                <pt idx="577">
                  <v>667.4</v>
                </pt>
                <pt idx="578">
                  <v>665.7</v>
                </pt>
                <pt idx="579">
                  <v>669.2</v>
                </pt>
                <pt idx="580">
                  <v>667.9</v>
                </pt>
                <pt idx="581">
                  <v>660.2</v>
                </pt>
                <pt idx="582">
                  <v>660.8</v>
                </pt>
                <pt idx="583">
                  <v>662.7</v>
                </pt>
                <pt idx="584">
                  <v>659.7</v>
                </pt>
                <pt idx="585">
                  <v>659.4</v>
                </pt>
                <pt idx="586">
                  <v>650.7</v>
                </pt>
                <pt idx="587">
                  <v>649.5</v>
                </pt>
                <pt idx="588">
                  <v>649.3</v>
                </pt>
                <pt idx="589">
                  <v>649</v>
                </pt>
                <pt idx="590">
                  <v>650.6</v>
                </pt>
                <pt idx="591">
                  <v>650.4</v>
                </pt>
                <pt idx="592">
                  <v>647.5</v>
                </pt>
                <pt idx="593">
                  <v>645.9</v>
                </pt>
                <pt idx="594">
                  <v>648.9</v>
                </pt>
                <pt idx="595">
                  <v>643.6</v>
                </pt>
                <pt idx="596">
                  <v>668</v>
                </pt>
                <pt idx="597">
                  <v>679.2</v>
                </pt>
                <pt idx="598">
                  <v>710.6</v>
                </pt>
                <pt idx="599">
                  <v>757.7</v>
                </pt>
                <pt idx="600">
                  <v>746.8</v>
                </pt>
                <pt idx="601">
                  <v>736.8</v>
                </pt>
                <pt idx="602">
                  <v>743</v>
                </pt>
                <pt idx="603">
                  <v>757.7</v>
                </pt>
                <pt idx="604">
                  <v>759.3</v>
                </pt>
                <pt idx="605">
                  <v>772.3</v>
                </pt>
                <pt idx="606">
                  <v>774.2</v>
                </pt>
                <pt idx="607">
                  <v>770.5</v>
                </pt>
                <pt idx="608">
                  <v>771.3</v>
                </pt>
                <pt idx="609">
                  <v>774.9</v>
                </pt>
                <pt idx="610">
                  <v>774.7</v>
                </pt>
                <pt idx="611">
                  <v>778.8</v>
                </pt>
                <pt idx="612">
                  <v>770</v>
                </pt>
                <pt idx="613">
                  <v>782.3</v>
                </pt>
                <pt idx="614">
                  <v>787.6</v>
                </pt>
                <pt idx="615">
                  <v>781.5</v>
                </pt>
                <pt idx="616">
                  <v>787</v>
                </pt>
                <pt idx="617">
                  <v>797.2</v>
                </pt>
                <pt idx="618">
                  <v>792.3</v>
                </pt>
                <pt idx="619">
                  <v>802.4</v>
                </pt>
                <pt idx="620">
                  <v>809.2</v>
                </pt>
                <pt idx="621">
                  <v>812.8</v>
                </pt>
                <pt idx="622">
                  <v>832.6</v>
                </pt>
                <pt idx="623">
                  <v>833.1</v>
                </pt>
                <pt idx="624">
                  <v>834.7</v>
                </pt>
                <pt idx="625">
                  <v>842.8</v>
                </pt>
                <pt idx="626">
                  <v>850.3</v>
                </pt>
                <pt idx="627">
                  <v>846.5</v>
                </pt>
                <pt idx="628">
                  <v>863.7</v>
                </pt>
                <pt idx="629">
                  <v>873.4</v>
                </pt>
                <pt idx="630">
                  <v>885.6</v>
                </pt>
                <pt idx="631">
                  <v>935.6</v>
                </pt>
                <pt idx="632">
                  <v>935.6</v>
                </pt>
                <pt idx="633">
                  <v>938.7</v>
                </pt>
                <pt idx="634">
                  <v>960.5</v>
                </pt>
                <pt idx="635">
                  <v>953.1</v>
                </pt>
                <pt idx="636">
                  <v>966.4</v>
                </pt>
                <pt idx="637">
                  <v>966.6</v>
                </pt>
                <pt idx="638">
                  <v>973.7</v>
                </pt>
                <pt idx="639">
                  <v>976.2</v>
                </pt>
                <pt idx="640">
                  <v>986.5</v>
                </pt>
                <pt idx="641">
                  <v>995.7</v>
                </pt>
                <pt idx="642">
                  <v>1012.7</v>
                </pt>
                <pt idx="643">
                  <v>1023.9</v>
                </pt>
                <pt idx="644">
                  <v>1033.1</v>
                </pt>
                <pt idx="645">
                  <v>1044.8</v>
                </pt>
                <pt idx="646">
                  <v>1055.7</v>
                </pt>
                <pt idx="647">
                  <v>1064.2</v>
                </pt>
                <pt idx="648">
                  <v>1069</v>
                </pt>
                <pt idx="649">
                  <v>1059.9</v>
                </pt>
                <pt idx="650">
                  <v>1066.1</v>
                </pt>
                <pt idx="651">
                  <v>1080.6</v>
                </pt>
                <pt idx="652">
                  <v>1088.2</v>
                </pt>
                <pt idx="653">
                  <v>1084.6</v>
                </pt>
                <pt idx="654">
                  <v>1091.6</v>
                </pt>
                <pt idx="655">
                  <v>1092.8</v>
                </pt>
                <pt idx="656">
                  <v>1107.1</v>
                </pt>
                <pt idx="657">
                  <v>1126</v>
                </pt>
                <pt idx="658">
                  <v>1127.2</v>
                </pt>
                <pt idx="659">
                  <v>1139.3</v>
                </pt>
                <pt idx="660">
                  <v>1146.6</v>
                </pt>
                <pt idx="661">
                  <v>1156.5</v>
                </pt>
                <pt idx="662">
                  <v>1165.1</v>
                </pt>
                <pt idx="663">
                  <v>1171.6</v>
                </pt>
                <pt idx="664">
                  <v>1176.4</v>
                </pt>
                <pt idx="665">
                  <v>1189.5</v>
                </pt>
                <pt idx="666">
                  <v>1196.4</v>
                </pt>
                <pt idx="667">
                  <v>1179.7</v>
                </pt>
                <pt idx="668">
                  <v>1206.9</v>
                </pt>
                <pt idx="669">
                  <v>1211.7</v>
                </pt>
                <pt idx="670">
                  <v>1220.6</v>
                </pt>
                <pt idx="671">
                  <v>1247.5</v>
                </pt>
                <pt idx="672">
                  <v>1252.3</v>
                </pt>
                <pt idx="673">
                  <v>1276.8</v>
                </pt>
                <pt idx="674">
                  <v>1270.3</v>
                </pt>
                <pt idx="675">
                  <v>1268.7</v>
                </pt>
                <pt idx="676">
                  <v>1257.3</v>
                </pt>
                <pt idx="677">
                  <v>1269.9</v>
                </pt>
                <pt idx="678">
                  <v>1277</v>
                </pt>
                <pt idx="679">
                  <v>1271.7</v>
                </pt>
                <pt idx="680">
                  <v>1283</v>
                </pt>
                <pt idx="681">
                  <v>1271.3</v>
                </pt>
                <pt idx="682">
                  <v>1296</v>
                </pt>
                <pt idx="683">
                  <v>1303.8</v>
                </pt>
                <pt idx="684">
                  <v>1302.3</v>
                </pt>
                <pt idx="685">
                  <v>1318</v>
                </pt>
                <pt idx="686">
                  <v>1324.6</v>
                </pt>
                <pt idx="687">
                  <v>1338.3</v>
                </pt>
                <pt idx="688">
                  <v>1351.6</v>
                </pt>
                <pt idx="689">
                  <v>1350.8</v>
                </pt>
                <pt idx="690">
                  <v>1351.6</v>
                </pt>
                <pt idx="691">
                  <v>1379.2</v>
                </pt>
                <pt idx="692">
                  <v>1379.6</v>
                </pt>
                <pt idx="693">
                  <v>1379</v>
                </pt>
                <pt idx="694">
                  <v>1385.8</v>
                </pt>
                <pt idx="695">
                  <v>1378.8</v>
                </pt>
                <pt idx="696">
                  <v>1391.2</v>
                </pt>
                <pt idx="697">
                  <v>1393.6</v>
                </pt>
                <pt idx="698">
                  <v>1415.7</v>
                </pt>
                <pt idx="699">
                  <v>1413.9</v>
                </pt>
                <pt idx="700">
                  <v>1441.6</v>
                </pt>
                <pt idx="701">
                  <v>1444.2</v>
                </pt>
                <pt idx="702">
                  <v>1452.9</v>
                </pt>
                <pt idx="703">
                  <v>1462.2</v>
                </pt>
                <pt idx="704">
                  <v>1448.4</v>
                </pt>
                <pt idx="705">
                  <v>1461.5</v>
                </pt>
                <pt idx="706">
                  <v>1466.4</v>
                </pt>
                <pt idx="707">
                  <v>1460.3</v>
                </pt>
                <pt idx="708">
                  <v>1467</v>
                </pt>
                <pt idx="709">
                  <v>1448.3</v>
                </pt>
                <pt idx="710">
                  <v>1469.3</v>
                </pt>
                <pt idx="711">
                  <v>1462.7</v>
                </pt>
                <pt idx="712">
                  <v>1457.1</v>
                </pt>
                <pt idx="713">
                  <v>1455.9</v>
                </pt>
                <pt idx="714">
                  <v>1464.8</v>
                </pt>
                <pt idx="715">
                  <v>1466.4</v>
                </pt>
                <pt idx="716">
                  <v>1467.2</v>
                </pt>
                <pt idx="717">
                  <v>1473.6</v>
                </pt>
                <pt idx="718">
                  <v>1465.2</v>
                </pt>
                <pt idx="719">
                  <v>1492.7</v>
                </pt>
                <pt idx="720">
                  <v>1481.9</v>
                </pt>
                <pt idx="721">
                  <v>1481.2</v>
                </pt>
                <pt idx="722">
                  <v>1470.1</v>
                </pt>
                <pt idx="723">
                  <v>1482.7</v>
                </pt>
                <pt idx="724">
                  <v>1483.9</v>
                </pt>
                <pt idx="725">
                  <v>1500.4</v>
                </pt>
                <pt idx="726">
                  <v>1509.8</v>
                </pt>
                <pt idx="727">
                  <v>1505.6</v>
                </pt>
                <pt idx="728">
                  <v>1520.2</v>
                </pt>
                <pt idx="729">
                  <v>1528.9</v>
                </pt>
                <pt idx="730">
                  <v>1532</v>
                </pt>
                <pt idx="731">
                  <v>1554.9</v>
                </pt>
                <pt idx="732">
                  <v>1535.9</v>
                </pt>
                <pt idx="733">
                  <v>1535.7</v>
                </pt>
                <pt idx="734">
                  <v>1650.8</v>
                </pt>
                <pt idx="735">
                  <v>1872.2</v>
                </pt>
                <pt idx="736">
                  <v>6348.7</v>
                </pt>
                <pt idx="737">
                  <v>6443.8</v>
                </pt>
                <pt idx="738">
                  <v>6491.9</v>
                </pt>
                <pt idx="739">
                  <v>6506.5</v>
                </pt>
                <pt idx="740">
                  <v>6598.7</v>
                </pt>
                <pt idx="741">
                  <v>6668.5</v>
                </pt>
                <pt idx="742">
                  <v>6751.6</v>
                </pt>
                <pt idx="743">
                  <v>6803.3</v>
                </pt>
                <pt idx="744">
                  <v>6890.7</v>
                </pt>
                <pt idx="745">
                  <v>6965.2</v>
                </pt>
                <pt idx="746">
                  <v>7034.1</v>
                </pt>
                <pt idx="747">
                  <v>7100.2</v>
                </pt>
                <pt idx="748">
                  <v>7177.7</v>
                </pt>
                <pt idx="749">
                  <v>7155.3</v>
                </pt>
                <pt idx="750">
                  <v>7188.1</v>
                </pt>
                <pt idx="751">
                  <v>7232.1</v>
                </pt>
                <pt idx="752">
                  <v>7249.6</v>
                </pt>
                <pt idx="753">
                  <v>7245.4</v>
                </pt>
                <pt idx="754">
                  <v>7265.7</v>
                </pt>
                <pt idx="755">
                  <v>7296.9</v>
                </pt>
                <pt idx="756">
                  <v>7256.3</v>
                </pt>
                <pt idx="757">
                  <v>7214.6</v>
                </pt>
                <pt idx="758">
                  <v>7188.4</v>
                </pt>
                <pt idx="759">
                  <v>7155.6</v>
                </pt>
                <pt idx="760">
                  <v>7085.9</v>
                </pt>
                <pt idx="761">
                  <v>6992.3</v>
                </pt>
                <pt idx="762">
                  <v>6987.9</v>
                </pt>
                <pt idx="763">
                  <v>6934.3</v>
                </pt>
                <pt idx="764">
                  <v>6838.7</v>
                </pt>
                <pt idx="765">
                  <v>6744.9</v>
                </pt>
                <pt idx="766">
                  <v>6687.4</v>
                </pt>
                <pt idx="767">
                  <v>6632.6</v>
                </pt>
                <pt idx="768">
                  <v>6512.1</v>
                </pt>
                <pt idx="769">
                  <v>6410.4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50942064"/>
        <axId val="1050940424"/>
      </lineChart>
      <dateAx>
        <axId val="1050942064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0424"/>
        <crosses val="autoZero"/>
        <lblOffset val="100"/>
        <baseTimeUnit val="months"/>
      </dateAx>
      <valAx>
        <axId val="10509404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2064"/>
        <crosses val="autoZero"/>
        <crossBetween val="between"/>
      </valAx>
    </plotArea>
    <plotVisOnly val="1"/>
    <dispBlanksAs val="gap"/>
  </chart>
</chartSpace>
</file>

<file path=xl/charts/chart3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/>
              <a:t>Real M1 Money Stock yoy %</a:t>
            </a:r>
            <a:endParaRPr lang="en-GB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M1 Real Monthly'!$A$18:$A$788</f>
              <numCache>
                <formatCode>yyyy\-mm\-dd</formatCode>
                <ptCount val="771"/>
                <pt idx="0">
                  <v>21916</v>
                </pt>
                <pt idx="1">
                  <v>21947</v>
                </pt>
                <pt idx="2">
                  <v>21976</v>
                </pt>
                <pt idx="3">
                  <v>22007</v>
                </pt>
                <pt idx="4">
                  <v>22037</v>
                </pt>
                <pt idx="5">
                  <v>22068</v>
                </pt>
                <pt idx="6">
                  <v>22098</v>
                </pt>
                <pt idx="7">
                  <v>22129</v>
                </pt>
                <pt idx="8">
                  <v>22160</v>
                </pt>
                <pt idx="9">
                  <v>22190</v>
                </pt>
                <pt idx="10">
                  <v>22221</v>
                </pt>
                <pt idx="11">
                  <v>22251</v>
                </pt>
                <pt idx="12">
                  <v>22282</v>
                </pt>
                <pt idx="13">
                  <v>22313</v>
                </pt>
                <pt idx="14">
                  <v>22341</v>
                </pt>
                <pt idx="15">
                  <v>22372</v>
                </pt>
                <pt idx="16">
                  <v>22402</v>
                </pt>
                <pt idx="17">
                  <v>22433</v>
                </pt>
                <pt idx="18">
                  <v>22463</v>
                </pt>
                <pt idx="19">
                  <v>22494</v>
                </pt>
                <pt idx="20">
                  <v>22525</v>
                </pt>
                <pt idx="21">
                  <v>22555</v>
                </pt>
                <pt idx="22">
                  <v>22586</v>
                </pt>
                <pt idx="23">
                  <v>22616</v>
                </pt>
                <pt idx="24">
                  <v>22647</v>
                </pt>
                <pt idx="25">
                  <v>22678</v>
                </pt>
                <pt idx="26">
                  <v>22706</v>
                </pt>
                <pt idx="27">
                  <v>22737</v>
                </pt>
                <pt idx="28">
                  <v>22767</v>
                </pt>
                <pt idx="29">
                  <v>22798</v>
                </pt>
                <pt idx="30">
                  <v>22828</v>
                </pt>
                <pt idx="31">
                  <v>22859</v>
                </pt>
                <pt idx="32">
                  <v>22890</v>
                </pt>
                <pt idx="33">
                  <v>22920</v>
                </pt>
                <pt idx="34">
                  <v>22951</v>
                </pt>
                <pt idx="35">
                  <v>22981</v>
                </pt>
                <pt idx="36">
                  <v>23012</v>
                </pt>
                <pt idx="37">
                  <v>23043</v>
                </pt>
                <pt idx="38">
                  <v>23071</v>
                </pt>
                <pt idx="39">
                  <v>23102</v>
                </pt>
                <pt idx="40">
                  <v>23132</v>
                </pt>
                <pt idx="41">
                  <v>23163</v>
                </pt>
                <pt idx="42">
                  <v>23193</v>
                </pt>
                <pt idx="43">
                  <v>23224</v>
                </pt>
                <pt idx="44">
                  <v>23255</v>
                </pt>
                <pt idx="45">
                  <v>23285</v>
                </pt>
                <pt idx="46">
                  <v>23316</v>
                </pt>
                <pt idx="47">
                  <v>23346</v>
                </pt>
                <pt idx="48">
                  <v>23377</v>
                </pt>
                <pt idx="49">
                  <v>23408</v>
                </pt>
                <pt idx="50">
                  <v>23437</v>
                </pt>
                <pt idx="51">
                  <v>23468</v>
                </pt>
                <pt idx="52">
                  <v>23498</v>
                </pt>
                <pt idx="53">
                  <v>23529</v>
                </pt>
                <pt idx="54">
                  <v>23559</v>
                </pt>
                <pt idx="55">
                  <v>23590</v>
                </pt>
                <pt idx="56">
                  <v>23621</v>
                </pt>
                <pt idx="57">
                  <v>23651</v>
                </pt>
                <pt idx="58">
                  <v>23682</v>
                </pt>
                <pt idx="59">
                  <v>23712</v>
                </pt>
                <pt idx="60">
                  <v>23743</v>
                </pt>
                <pt idx="61">
                  <v>23774</v>
                </pt>
                <pt idx="62">
                  <v>23802</v>
                </pt>
                <pt idx="63">
                  <v>23833</v>
                </pt>
                <pt idx="64">
                  <v>23863</v>
                </pt>
                <pt idx="65">
                  <v>23894</v>
                </pt>
                <pt idx="66">
                  <v>23924</v>
                </pt>
                <pt idx="67">
                  <v>23955</v>
                </pt>
                <pt idx="68">
                  <v>23986</v>
                </pt>
                <pt idx="69">
                  <v>24016</v>
                </pt>
                <pt idx="70">
                  <v>24047</v>
                </pt>
                <pt idx="71">
                  <v>24077</v>
                </pt>
                <pt idx="72">
                  <v>24108</v>
                </pt>
                <pt idx="73">
                  <v>24139</v>
                </pt>
                <pt idx="74">
                  <v>24167</v>
                </pt>
                <pt idx="75">
                  <v>24198</v>
                </pt>
                <pt idx="76">
                  <v>24228</v>
                </pt>
                <pt idx="77">
                  <v>24259</v>
                </pt>
                <pt idx="78">
                  <v>24289</v>
                </pt>
                <pt idx="79">
                  <v>24320</v>
                </pt>
                <pt idx="80">
                  <v>24351</v>
                </pt>
                <pt idx="81">
                  <v>24381</v>
                </pt>
                <pt idx="82">
                  <v>24412</v>
                </pt>
                <pt idx="83">
                  <v>24442</v>
                </pt>
                <pt idx="84">
                  <v>24473</v>
                </pt>
                <pt idx="85">
                  <v>24504</v>
                </pt>
                <pt idx="86">
                  <v>24532</v>
                </pt>
                <pt idx="87">
                  <v>24563</v>
                </pt>
                <pt idx="88">
                  <v>24593</v>
                </pt>
                <pt idx="89">
                  <v>24624</v>
                </pt>
                <pt idx="90">
                  <v>24654</v>
                </pt>
                <pt idx="91">
                  <v>24685</v>
                </pt>
                <pt idx="92">
                  <v>24716</v>
                </pt>
                <pt idx="93">
                  <v>24746</v>
                </pt>
                <pt idx="94">
                  <v>24777</v>
                </pt>
                <pt idx="95">
                  <v>24807</v>
                </pt>
                <pt idx="96">
                  <v>24838</v>
                </pt>
                <pt idx="97">
                  <v>24869</v>
                </pt>
                <pt idx="98">
                  <v>24898</v>
                </pt>
                <pt idx="99">
                  <v>24929</v>
                </pt>
                <pt idx="100">
                  <v>24959</v>
                </pt>
                <pt idx="101">
                  <v>24990</v>
                </pt>
                <pt idx="102">
                  <v>25020</v>
                </pt>
                <pt idx="103">
                  <v>25051</v>
                </pt>
                <pt idx="104">
                  <v>25082</v>
                </pt>
                <pt idx="105">
                  <v>25112</v>
                </pt>
                <pt idx="106">
                  <v>25143</v>
                </pt>
                <pt idx="107">
                  <v>25173</v>
                </pt>
                <pt idx="108">
                  <v>25204</v>
                </pt>
                <pt idx="109">
                  <v>25235</v>
                </pt>
                <pt idx="110">
                  <v>25263</v>
                </pt>
                <pt idx="111">
                  <v>25294</v>
                </pt>
                <pt idx="112">
                  <v>25324</v>
                </pt>
                <pt idx="113">
                  <v>25355</v>
                </pt>
                <pt idx="114">
                  <v>25385</v>
                </pt>
                <pt idx="115">
                  <v>25416</v>
                </pt>
                <pt idx="116">
                  <v>25447</v>
                </pt>
                <pt idx="117">
                  <v>25477</v>
                </pt>
                <pt idx="118">
                  <v>25508</v>
                </pt>
                <pt idx="119">
                  <v>25538</v>
                </pt>
                <pt idx="120">
                  <v>25569</v>
                </pt>
                <pt idx="121">
                  <v>25600</v>
                </pt>
                <pt idx="122">
                  <v>25628</v>
                </pt>
                <pt idx="123">
                  <v>25659</v>
                </pt>
                <pt idx="124">
                  <v>25689</v>
                </pt>
                <pt idx="125">
                  <v>25720</v>
                </pt>
                <pt idx="126">
                  <v>25750</v>
                </pt>
                <pt idx="127">
                  <v>25781</v>
                </pt>
                <pt idx="128">
                  <v>25812</v>
                </pt>
                <pt idx="129">
                  <v>25842</v>
                </pt>
                <pt idx="130">
                  <v>25873</v>
                </pt>
                <pt idx="131">
                  <v>25903</v>
                </pt>
                <pt idx="132">
                  <v>25934</v>
                </pt>
                <pt idx="133">
                  <v>25965</v>
                </pt>
                <pt idx="134">
                  <v>25993</v>
                </pt>
                <pt idx="135">
                  <v>26024</v>
                </pt>
                <pt idx="136">
                  <v>26054</v>
                </pt>
                <pt idx="137">
                  <v>26085</v>
                </pt>
                <pt idx="138">
                  <v>26115</v>
                </pt>
                <pt idx="139">
                  <v>26146</v>
                </pt>
                <pt idx="140">
                  <v>26177</v>
                </pt>
                <pt idx="141">
                  <v>26207</v>
                </pt>
                <pt idx="142">
                  <v>26238</v>
                </pt>
                <pt idx="143">
                  <v>26268</v>
                </pt>
                <pt idx="144">
                  <v>26299</v>
                </pt>
                <pt idx="145">
                  <v>26330</v>
                </pt>
                <pt idx="146">
                  <v>26359</v>
                </pt>
                <pt idx="147">
                  <v>26390</v>
                </pt>
                <pt idx="148">
                  <v>26420</v>
                </pt>
                <pt idx="149">
                  <v>26451</v>
                </pt>
                <pt idx="150">
                  <v>26481</v>
                </pt>
                <pt idx="151">
                  <v>26512</v>
                </pt>
                <pt idx="152">
                  <v>26543</v>
                </pt>
                <pt idx="153">
                  <v>26573</v>
                </pt>
                <pt idx="154">
                  <v>26604</v>
                </pt>
                <pt idx="155">
                  <v>26634</v>
                </pt>
                <pt idx="156">
                  <v>26665</v>
                </pt>
                <pt idx="157">
                  <v>26696</v>
                </pt>
                <pt idx="158">
                  <v>26724</v>
                </pt>
                <pt idx="159">
                  <v>26755</v>
                </pt>
                <pt idx="160">
                  <v>26785</v>
                </pt>
                <pt idx="161">
                  <v>26816</v>
                </pt>
                <pt idx="162">
                  <v>26846</v>
                </pt>
                <pt idx="163">
                  <v>26877</v>
                </pt>
                <pt idx="164">
                  <v>26908</v>
                </pt>
                <pt idx="165">
                  <v>26938</v>
                </pt>
                <pt idx="166">
                  <v>26969</v>
                </pt>
                <pt idx="167">
                  <v>26999</v>
                </pt>
                <pt idx="168">
                  <v>27030</v>
                </pt>
                <pt idx="169">
                  <v>27061</v>
                </pt>
                <pt idx="170">
                  <v>27089</v>
                </pt>
                <pt idx="171">
                  <v>27120</v>
                </pt>
                <pt idx="172">
                  <v>27150</v>
                </pt>
                <pt idx="173">
                  <v>27181</v>
                </pt>
                <pt idx="174">
                  <v>27211</v>
                </pt>
                <pt idx="175">
                  <v>27242</v>
                </pt>
                <pt idx="176">
                  <v>27273</v>
                </pt>
                <pt idx="177">
                  <v>27303</v>
                </pt>
                <pt idx="178">
                  <v>27334</v>
                </pt>
                <pt idx="179">
                  <v>27364</v>
                </pt>
                <pt idx="180">
                  <v>27395</v>
                </pt>
                <pt idx="181">
                  <v>27426</v>
                </pt>
                <pt idx="182">
                  <v>27454</v>
                </pt>
                <pt idx="183">
                  <v>27485</v>
                </pt>
                <pt idx="184">
                  <v>27515</v>
                </pt>
                <pt idx="185">
                  <v>27546</v>
                </pt>
                <pt idx="186">
                  <v>27576</v>
                </pt>
                <pt idx="187">
                  <v>27607</v>
                </pt>
                <pt idx="188">
                  <v>27638</v>
                </pt>
                <pt idx="189">
                  <v>27668</v>
                </pt>
                <pt idx="190">
                  <v>27699</v>
                </pt>
                <pt idx="191">
                  <v>27729</v>
                </pt>
                <pt idx="192">
                  <v>27760</v>
                </pt>
                <pt idx="193">
                  <v>27791</v>
                </pt>
                <pt idx="194">
                  <v>27820</v>
                </pt>
                <pt idx="195">
                  <v>27851</v>
                </pt>
                <pt idx="196">
                  <v>27881</v>
                </pt>
                <pt idx="197">
                  <v>27912</v>
                </pt>
                <pt idx="198">
                  <v>27942</v>
                </pt>
                <pt idx="199">
                  <v>27973</v>
                </pt>
                <pt idx="200">
                  <v>28004</v>
                </pt>
                <pt idx="201">
                  <v>28034</v>
                </pt>
                <pt idx="202">
                  <v>28065</v>
                </pt>
                <pt idx="203">
                  <v>28095</v>
                </pt>
                <pt idx="204">
                  <v>28126</v>
                </pt>
                <pt idx="205">
                  <v>28157</v>
                </pt>
                <pt idx="206">
                  <v>28185</v>
                </pt>
                <pt idx="207">
                  <v>28216</v>
                </pt>
                <pt idx="208">
                  <v>28246</v>
                </pt>
                <pt idx="209">
                  <v>28277</v>
                </pt>
                <pt idx="210">
                  <v>28307</v>
                </pt>
                <pt idx="211">
                  <v>28338</v>
                </pt>
                <pt idx="212">
                  <v>28369</v>
                </pt>
                <pt idx="213">
                  <v>28399</v>
                </pt>
                <pt idx="214">
                  <v>28430</v>
                </pt>
                <pt idx="215">
                  <v>28460</v>
                </pt>
                <pt idx="216">
                  <v>28491</v>
                </pt>
                <pt idx="217">
                  <v>28522</v>
                </pt>
                <pt idx="218">
                  <v>28550</v>
                </pt>
                <pt idx="219">
                  <v>28581</v>
                </pt>
                <pt idx="220">
                  <v>28611</v>
                </pt>
                <pt idx="221">
                  <v>28642</v>
                </pt>
                <pt idx="222">
                  <v>28672</v>
                </pt>
                <pt idx="223">
                  <v>28703</v>
                </pt>
                <pt idx="224">
                  <v>28734</v>
                </pt>
                <pt idx="225">
                  <v>28764</v>
                </pt>
                <pt idx="226">
                  <v>28795</v>
                </pt>
                <pt idx="227">
                  <v>28825</v>
                </pt>
                <pt idx="228">
                  <v>28856</v>
                </pt>
                <pt idx="229">
                  <v>28887</v>
                </pt>
                <pt idx="230">
                  <v>28915</v>
                </pt>
                <pt idx="231">
                  <v>28946</v>
                </pt>
                <pt idx="232">
                  <v>28976</v>
                </pt>
                <pt idx="233">
                  <v>29007</v>
                </pt>
                <pt idx="234">
                  <v>29037</v>
                </pt>
                <pt idx="235">
                  <v>29068</v>
                </pt>
                <pt idx="236">
                  <v>29099</v>
                </pt>
                <pt idx="237">
                  <v>29129</v>
                </pt>
                <pt idx="238">
                  <v>29160</v>
                </pt>
                <pt idx="239">
                  <v>29190</v>
                </pt>
                <pt idx="240">
                  <v>29221</v>
                </pt>
                <pt idx="241">
                  <v>29252</v>
                </pt>
                <pt idx="242">
                  <v>29281</v>
                </pt>
                <pt idx="243">
                  <v>29312</v>
                </pt>
                <pt idx="244">
                  <v>29342</v>
                </pt>
                <pt idx="245">
                  <v>29373</v>
                </pt>
                <pt idx="246">
                  <v>29403</v>
                </pt>
                <pt idx="247">
                  <v>29434</v>
                </pt>
                <pt idx="248">
                  <v>29465</v>
                </pt>
                <pt idx="249">
                  <v>29495</v>
                </pt>
                <pt idx="250">
                  <v>29526</v>
                </pt>
                <pt idx="251">
                  <v>29556</v>
                </pt>
                <pt idx="252">
                  <v>29587</v>
                </pt>
                <pt idx="253">
                  <v>29618</v>
                </pt>
                <pt idx="254">
                  <v>29646</v>
                </pt>
                <pt idx="255">
                  <v>29677</v>
                </pt>
                <pt idx="256">
                  <v>29707</v>
                </pt>
                <pt idx="257">
                  <v>29738</v>
                </pt>
                <pt idx="258">
                  <v>29768</v>
                </pt>
                <pt idx="259">
                  <v>29799</v>
                </pt>
                <pt idx="260">
                  <v>29830</v>
                </pt>
                <pt idx="261">
                  <v>29860</v>
                </pt>
                <pt idx="262">
                  <v>29891</v>
                </pt>
                <pt idx="263">
                  <v>29921</v>
                </pt>
                <pt idx="264">
                  <v>29952</v>
                </pt>
                <pt idx="265">
                  <v>29983</v>
                </pt>
                <pt idx="266">
                  <v>30011</v>
                </pt>
                <pt idx="267">
                  <v>30042</v>
                </pt>
                <pt idx="268">
                  <v>30072</v>
                </pt>
                <pt idx="269">
                  <v>30103</v>
                </pt>
                <pt idx="270">
                  <v>30133</v>
                </pt>
                <pt idx="271">
                  <v>30164</v>
                </pt>
                <pt idx="272">
                  <v>30195</v>
                </pt>
                <pt idx="273">
                  <v>30225</v>
                </pt>
                <pt idx="274">
                  <v>30256</v>
                </pt>
                <pt idx="275">
                  <v>30286</v>
                </pt>
                <pt idx="276">
                  <v>30317</v>
                </pt>
                <pt idx="277">
                  <v>30348</v>
                </pt>
                <pt idx="278">
                  <v>30376</v>
                </pt>
                <pt idx="279">
                  <v>30407</v>
                </pt>
                <pt idx="280">
                  <v>30437</v>
                </pt>
                <pt idx="281">
                  <v>30468</v>
                </pt>
                <pt idx="282">
                  <v>30498</v>
                </pt>
                <pt idx="283">
                  <v>30529</v>
                </pt>
                <pt idx="284">
                  <v>30560</v>
                </pt>
                <pt idx="285">
                  <v>30590</v>
                </pt>
                <pt idx="286">
                  <v>30621</v>
                </pt>
                <pt idx="287">
                  <v>30651</v>
                </pt>
                <pt idx="288">
                  <v>30682</v>
                </pt>
                <pt idx="289">
                  <v>30713</v>
                </pt>
                <pt idx="290">
                  <v>30742</v>
                </pt>
                <pt idx="291">
                  <v>30773</v>
                </pt>
                <pt idx="292">
                  <v>30803</v>
                </pt>
                <pt idx="293">
                  <v>30834</v>
                </pt>
                <pt idx="294">
                  <v>30864</v>
                </pt>
                <pt idx="295">
                  <v>30895</v>
                </pt>
                <pt idx="296">
                  <v>30926</v>
                </pt>
                <pt idx="297">
                  <v>30956</v>
                </pt>
                <pt idx="298">
                  <v>30987</v>
                </pt>
                <pt idx="299">
                  <v>31017</v>
                </pt>
                <pt idx="300">
                  <v>31048</v>
                </pt>
                <pt idx="301">
                  <v>31079</v>
                </pt>
                <pt idx="302">
                  <v>31107</v>
                </pt>
                <pt idx="303">
                  <v>31138</v>
                </pt>
                <pt idx="304">
                  <v>31168</v>
                </pt>
                <pt idx="305">
                  <v>31199</v>
                </pt>
                <pt idx="306">
                  <v>31229</v>
                </pt>
                <pt idx="307">
                  <v>31260</v>
                </pt>
                <pt idx="308">
                  <v>31291</v>
                </pt>
                <pt idx="309">
                  <v>31321</v>
                </pt>
                <pt idx="310">
                  <v>31352</v>
                </pt>
                <pt idx="311">
                  <v>31382</v>
                </pt>
                <pt idx="312">
                  <v>31413</v>
                </pt>
                <pt idx="313">
                  <v>31444</v>
                </pt>
                <pt idx="314">
                  <v>31472</v>
                </pt>
                <pt idx="315">
                  <v>31503</v>
                </pt>
                <pt idx="316">
                  <v>31533</v>
                </pt>
                <pt idx="317">
                  <v>31564</v>
                </pt>
                <pt idx="318">
                  <v>31594</v>
                </pt>
                <pt idx="319">
                  <v>31625</v>
                </pt>
                <pt idx="320">
                  <v>31656</v>
                </pt>
                <pt idx="321">
                  <v>31686</v>
                </pt>
                <pt idx="322">
                  <v>31717</v>
                </pt>
                <pt idx="323">
                  <v>31747</v>
                </pt>
                <pt idx="324">
                  <v>31778</v>
                </pt>
                <pt idx="325">
                  <v>31809</v>
                </pt>
                <pt idx="326">
                  <v>31837</v>
                </pt>
                <pt idx="327">
                  <v>31868</v>
                </pt>
                <pt idx="328">
                  <v>31898</v>
                </pt>
                <pt idx="329">
                  <v>31929</v>
                </pt>
                <pt idx="330">
                  <v>31959</v>
                </pt>
                <pt idx="331">
                  <v>31990</v>
                </pt>
                <pt idx="332">
                  <v>32021</v>
                </pt>
                <pt idx="333">
                  <v>32051</v>
                </pt>
                <pt idx="334">
                  <v>32082</v>
                </pt>
                <pt idx="335">
                  <v>32112</v>
                </pt>
                <pt idx="336">
                  <v>32143</v>
                </pt>
                <pt idx="337">
                  <v>32174</v>
                </pt>
                <pt idx="338">
                  <v>32203</v>
                </pt>
                <pt idx="339">
                  <v>32234</v>
                </pt>
                <pt idx="340">
                  <v>32264</v>
                </pt>
                <pt idx="341">
                  <v>32295</v>
                </pt>
                <pt idx="342">
                  <v>32325</v>
                </pt>
                <pt idx="343">
                  <v>32356</v>
                </pt>
                <pt idx="344">
                  <v>32387</v>
                </pt>
                <pt idx="345">
                  <v>32417</v>
                </pt>
                <pt idx="346">
                  <v>32448</v>
                </pt>
                <pt idx="347">
                  <v>32478</v>
                </pt>
                <pt idx="348">
                  <v>32509</v>
                </pt>
                <pt idx="349">
                  <v>32540</v>
                </pt>
                <pt idx="350">
                  <v>32568</v>
                </pt>
                <pt idx="351">
                  <v>32599</v>
                </pt>
                <pt idx="352">
                  <v>32629</v>
                </pt>
                <pt idx="353">
                  <v>32660</v>
                </pt>
                <pt idx="354">
                  <v>32690</v>
                </pt>
                <pt idx="355">
                  <v>32721</v>
                </pt>
                <pt idx="356">
                  <v>32752</v>
                </pt>
                <pt idx="357">
                  <v>32782</v>
                </pt>
                <pt idx="358">
                  <v>32813</v>
                </pt>
                <pt idx="359">
                  <v>32843</v>
                </pt>
                <pt idx="360">
                  <v>32874</v>
                </pt>
                <pt idx="361">
                  <v>32905</v>
                </pt>
                <pt idx="362">
                  <v>32933</v>
                </pt>
                <pt idx="363">
                  <v>32964</v>
                </pt>
                <pt idx="364">
                  <v>32994</v>
                </pt>
                <pt idx="365">
                  <v>33025</v>
                </pt>
                <pt idx="366">
                  <v>33055</v>
                </pt>
                <pt idx="367">
                  <v>33086</v>
                </pt>
                <pt idx="368">
                  <v>33117</v>
                </pt>
                <pt idx="369">
                  <v>33147</v>
                </pt>
                <pt idx="370">
                  <v>33178</v>
                </pt>
                <pt idx="371">
                  <v>33208</v>
                </pt>
                <pt idx="372">
                  <v>33239</v>
                </pt>
                <pt idx="373">
                  <v>33270</v>
                </pt>
                <pt idx="374">
                  <v>33298</v>
                </pt>
                <pt idx="375">
                  <v>33329</v>
                </pt>
                <pt idx="376">
                  <v>33359</v>
                </pt>
                <pt idx="377">
                  <v>33390</v>
                </pt>
                <pt idx="378">
                  <v>33420</v>
                </pt>
                <pt idx="379">
                  <v>33451</v>
                </pt>
                <pt idx="380">
                  <v>33482</v>
                </pt>
                <pt idx="381">
                  <v>33512</v>
                </pt>
                <pt idx="382">
                  <v>33543</v>
                </pt>
                <pt idx="383">
                  <v>33573</v>
                </pt>
                <pt idx="384">
                  <v>33604</v>
                </pt>
                <pt idx="385">
                  <v>33635</v>
                </pt>
                <pt idx="386">
                  <v>33664</v>
                </pt>
                <pt idx="387">
                  <v>33695</v>
                </pt>
                <pt idx="388">
                  <v>33725</v>
                </pt>
                <pt idx="389">
                  <v>33756</v>
                </pt>
                <pt idx="390">
                  <v>33786</v>
                </pt>
                <pt idx="391">
                  <v>33817</v>
                </pt>
                <pt idx="392">
                  <v>33848</v>
                </pt>
                <pt idx="393">
                  <v>33878</v>
                </pt>
                <pt idx="394">
                  <v>33909</v>
                </pt>
                <pt idx="395">
                  <v>33939</v>
                </pt>
                <pt idx="396">
                  <v>33970</v>
                </pt>
                <pt idx="397">
                  <v>34001</v>
                </pt>
                <pt idx="398">
                  <v>34029</v>
                </pt>
                <pt idx="399">
                  <v>34060</v>
                </pt>
                <pt idx="400">
                  <v>34090</v>
                </pt>
                <pt idx="401">
                  <v>34121</v>
                </pt>
                <pt idx="402">
                  <v>34151</v>
                </pt>
                <pt idx="403">
                  <v>34182</v>
                </pt>
                <pt idx="404">
                  <v>34213</v>
                </pt>
                <pt idx="405">
                  <v>34243</v>
                </pt>
                <pt idx="406">
                  <v>34274</v>
                </pt>
                <pt idx="407">
                  <v>34304</v>
                </pt>
                <pt idx="408">
                  <v>34335</v>
                </pt>
                <pt idx="409">
                  <v>34366</v>
                </pt>
                <pt idx="410">
                  <v>34394</v>
                </pt>
                <pt idx="411">
                  <v>34425</v>
                </pt>
                <pt idx="412">
                  <v>34455</v>
                </pt>
                <pt idx="413">
                  <v>34486</v>
                </pt>
                <pt idx="414">
                  <v>34516</v>
                </pt>
                <pt idx="415">
                  <v>34547</v>
                </pt>
                <pt idx="416">
                  <v>34578</v>
                </pt>
                <pt idx="417">
                  <v>34608</v>
                </pt>
                <pt idx="418">
                  <v>34639</v>
                </pt>
                <pt idx="419">
                  <v>34669</v>
                </pt>
                <pt idx="420">
                  <v>34700</v>
                </pt>
                <pt idx="421">
                  <v>34731</v>
                </pt>
                <pt idx="422">
                  <v>34759</v>
                </pt>
                <pt idx="423">
                  <v>34790</v>
                </pt>
                <pt idx="424">
                  <v>34820</v>
                </pt>
                <pt idx="425">
                  <v>34851</v>
                </pt>
                <pt idx="426">
                  <v>34881</v>
                </pt>
                <pt idx="427">
                  <v>34912</v>
                </pt>
                <pt idx="428">
                  <v>34943</v>
                </pt>
                <pt idx="429">
                  <v>34973</v>
                </pt>
                <pt idx="430">
                  <v>35004</v>
                </pt>
                <pt idx="431">
                  <v>35034</v>
                </pt>
                <pt idx="432">
                  <v>35065</v>
                </pt>
                <pt idx="433">
                  <v>35096</v>
                </pt>
                <pt idx="434">
                  <v>35125</v>
                </pt>
                <pt idx="435">
                  <v>35156</v>
                </pt>
                <pt idx="436">
                  <v>35186</v>
                </pt>
                <pt idx="437">
                  <v>35217</v>
                </pt>
                <pt idx="438">
                  <v>35247</v>
                </pt>
                <pt idx="439">
                  <v>35278</v>
                </pt>
                <pt idx="440">
                  <v>35309</v>
                </pt>
                <pt idx="441">
                  <v>35339</v>
                </pt>
                <pt idx="442">
                  <v>35370</v>
                </pt>
                <pt idx="443">
                  <v>35400</v>
                </pt>
                <pt idx="444">
                  <v>35431</v>
                </pt>
                <pt idx="445">
                  <v>35462</v>
                </pt>
                <pt idx="446">
                  <v>35490</v>
                </pt>
                <pt idx="447">
                  <v>35521</v>
                </pt>
                <pt idx="448">
                  <v>35551</v>
                </pt>
                <pt idx="449">
                  <v>35582</v>
                </pt>
                <pt idx="450">
                  <v>35612</v>
                </pt>
                <pt idx="451">
                  <v>35643</v>
                </pt>
                <pt idx="452">
                  <v>35674</v>
                </pt>
                <pt idx="453">
                  <v>35704</v>
                </pt>
                <pt idx="454">
                  <v>35735</v>
                </pt>
                <pt idx="455">
                  <v>35765</v>
                </pt>
                <pt idx="456">
                  <v>35796</v>
                </pt>
                <pt idx="457">
                  <v>35827</v>
                </pt>
                <pt idx="458">
                  <v>35855</v>
                </pt>
                <pt idx="459">
                  <v>35886</v>
                </pt>
                <pt idx="460">
                  <v>35916</v>
                </pt>
                <pt idx="461">
                  <v>35947</v>
                </pt>
                <pt idx="462">
                  <v>35977</v>
                </pt>
                <pt idx="463">
                  <v>36008</v>
                </pt>
                <pt idx="464">
                  <v>36039</v>
                </pt>
                <pt idx="465">
                  <v>36069</v>
                </pt>
                <pt idx="466">
                  <v>36100</v>
                </pt>
                <pt idx="467">
                  <v>36130</v>
                </pt>
                <pt idx="468">
                  <v>36161</v>
                </pt>
                <pt idx="469">
                  <v>36192</v>
                </pt>
                <pt idx="470">
                  <v>36220</v>
                </pt>
                <pt idx="471">
                  <v>36251</v>
                </pt>
                <pt idx="472">
                  <v>36281</v>
                </pt>
                <pt idx="473">
                  <v>36312</v>
                </pt>
                <pt idx="474">
                  <v>36342</v>
                </pt>
                <pt idx="475">
                  <v>36373</v>
                </pt>
                <pt idx="476">
                  <v>36404</v>
                </pt>
                <pt idx="477">
                  <v>36434</v>
                </pt>
                <pt idx="478">
                  <v>36465</v>
                </pt>
                <pt idx="479">
                  <v>36495</v>
                </pt>
                <pt idx="480">
                  <v>36526</v>
                </pt>
                <pt idx="481">
                  <v>36557</v>
                </pt>
                <pt idx="482">
                  <v>36586</v>
                </pt>
                <pt idx="483">
                  <v>36617</v>
                </pt>
                <pt idx="484">
                  <v>36647</v>
                </pt>
                <pt idx="485">
                  <v>36678</v>
                </pt>
                <pt idx="486">
                  <v>36708</v>
                </pt>
                <pt idx="487">
                  <v>36739</v>
                </pt>
                <pt idx="488">
                  <v>36770</v>
                </pt>
                <pt idx="489">
                  <v>36800</v>
                </pt>
                <pt idx="490">
                  <v>36831</v>
                </pt>
                <pt idx="491">
                  <v>36861</v>
                </pt>
                <pt idx="492">
                  <v>36892</v>
                </pt>
                <pt idx="493">
                  <v>36923</v>
                </pt>
                <pt idx="494">
                  <v>36951</v>
                </pt>
                <pt idx="495">
                  <v>36982</v>
                </pt>
                <pt idx="496">
                  <v>37012</v>
                </pt>
                <pt idx="497">
                  <v>37043</v>
                </pt>
                <pt idx="498">
                  <v>37073</v>
                </pt>
                <pt idx="499">
                  <v>37104</v>
                </pt>
                <pt idx="500">
                  <v>37135</v>
                </pt>
                <pt idx="501">
                  <v>37165</v>
                </pt>
                <pt idx="502">
                  <v>37196</v>
                </pt>
                <pt idx="503">
                  <v>37226</v>
                </pt>
                <pt idx="504">
                  <v>37257</v>
                </pt>
                <pt idx="505">
                  <v>37288</v>
                </pt>
                <pt idx="506">
                  <v>37316</v>
                </pt>
                <pt idx="507">
                  <v>37347</v>
                </pt>
                <pt idx="508">
                  <v>37377</v>
                </pt>
                <pt idx="509">
                  <v>37408</v>
                </pt>
                <pt idx="510">
                  <v>37438</v>
                </pt>
                <pt idx="511">
                  <v>37469</v>
                </pt>
                <pt idx="512">
                  <v>37500</v>
                </pt>
                <pt idx="513">
                  <v>37530</v>
                </pt>
                <pt idx="514">
                  <v>37561</v>
                </pt>
                <pt idx="515">
                  <v>37591</v>
                </pt>
                <pt idx="516">
                  <v>37622</v>
                </pt>
                <pt idx="517">
                  <v>37653</v>
                </pt>
                <pt idx="518">
                  <v>37681</v>
                </pt>
                <pt idx="519">
                  <v>37712</v>
                </pt>
                <pt idx="520">
                  <v>37742</v>
                </pt>
                <pt idx="521">
                  <v>37773</v>
                </pt>
                <pt idx="522">
                  <v>37803</v>
                </pt>
                <pt idx="523">
                  <v>37834</v>
                </pt>
                <pt idx="524">
                  <v>37865</v>
                </pt>
                <pt idx="525">
                  <v>37895</v>
                </pt>
                <pt idx="526">
                  <v>37926</v>
                </pt>
                <pt idx="527">
                  <v>37956</v>
                </pt>
                <pt idx="528">
                  <v>37987</v>
                </pt>
                <pt idx="529">
                  <v>38018</v>
                </pt>
                <pt idx="530">
                  <v>38047</v>
                </pt>
                <pt idx="531">
                  <v>38078</v>
                </pt>
                <pt idx="532">
                  <v>38108</v>
                </pt>
                <pt idx="533">
                  <v>38139</v>
                </pt>
                <pt idx="534">
                  <v>38169</v>
                </pt>
                <pt idx="535">
                  <v>38200</v>
                </pt>
                <pt idx="536">
                  <v>38231</v>
                </pt>
                <pt idx="537">
                  <v>38261</v>
                </pt>
                <pt idx="538">
                  <v>38292</v>
                </pt>
                <pt idx="539">
                  <v>38322</v>
                </pt>
                <pt idx="540">
                  <v>38353</v>
                </pt>
                <pt idx="541">
                  <v>38384</v>
                </pt>
                <pt idx="542">
                  <v>38412</v>
                </pt>
                <pt idx="543">
                  <v>38443</v>
                </pt>
                <pt idx="544">
                  <v>38473</v>
                </pt>
                <pt idx="545">
                  <v>38504</v>
                </pt>
                <pt idx="546">
                  <v>38534</v>
                </pt>
                <pt idx="547">
                  <v>38565</v>
                </pt>
                <pt idx="548">
                  <v>38596</v>
                </pt>
                <pt idx="549">
                  <v>38626</v>
                </pt>
                <pt idx="550">
                  <v>38657</v>
                </pt>
                <pt idx="551">
                  <v>38687</v>
                </pt>
                <pt idx="552">
                  <v>38718</v>
                </pt>
                <pt idx="553">
                  <v>38749</v>
                </pt>
                <pt idx="554">
                  <v>38777</v>
                </pt>
                <pt idx="555">
                  <v>38808</v>
                </pt>
                <pt idx="556">
                  <v>38838</v>
                </pt>
                <pt idx="557">
                  <v>38869</v>
                </pt>
                <pt idx="558">
                  <v>38899</v>
                </pt>
                <pt idx="559">
                  <v>38930</v>
                </pt>
                <pt idx="560">
                  <v>38961</v>
                </pt>
                <pt idx="561">
                  <v>38991</v>
                </pt>
                <pt idx="562">
                  <v>39022</v>
                </pt>
                <pt idx="563">
                  <v>39052</v>
                </pt>
                <pt idx="564">
                  <v>39083</v>
                </pt>
                <pt idx="565">
                  <v>39114</v>
                </pt>
                <pt idx="566">
                  <v>39142</v>
                </pt>
                <pt idx="567">
                  <v>39173</v>
                </pt>
                <pt idx="568">
                  <v>39203</v>
                </pt>
                <pt idx="569">
                  <v>39234</v>
                </pt>
                <pt idx="570">
                  <v>39264</v>
                </pt>
                <pt idx="571">
                  <v>39295</v>
                </pt>
                <pt idx="572">
                  <v>39326</v>
                </pt>
                <pt idx="573">
                  <v>39356</v>
                </pt>
                <pt idx="574">
                  <v>39387</v>
                </pt>
                <pt idx="575">
                  <v>39417</v>
                </pt>
                <pt idx="576">
                  <v>39448</v>
                </pt>
                <pt idx="577">
                  <v>39479</v>
                </pt>
                <pt idx="578">
                  <v>39508</v>
                </pt>
                <pt idx="579">
                  <v>39539</v>
                </pt>
                <pt idx="580">
                  <v>39569</v>
                </pt>
                <pt idx="581">
                  <v>39600</v>
                </pt>
                <pt idx="582">
                  <v>39630</v>
                </pt>
                <pt idx="583">
                  <v>39661</v>
                </pt>
                <pt idx="584">
                  <v>39692</v>
                </pt>
                <pt idx="585">
                  <v>39722</v>
                </pt>
                <pt idx="586">
                  <v>39753</v>
                </pt>
                <pt idx="587">
                  <v>39783</v>
                </pt>
                <pt idx="588">
                  <v>39814</v>
                </pt>
                <pt idx="589">
                  <v>39845</v>
                </pt>
                <pt idx="590">
                  <v>39873</v>
                </pt>
                <pt idx="591">
                  <v>39904</v>
                </pt>
                <pt idx="592">
                  <v>39934</v>
                </pt>
                <pt idx="593">
                  <v>39965</v>
                </pt>
                <pt idx="594">
                  <v>39995</v>
                </pt>
                <pt idx="595">
                  <v>40026</v>
                </pt>
                <pt idx="596">
                  <v>40057</v>
                </pt>
                <pt idx="597">
                  <v>40087</v>
                </pt>
                <pt idx="598">
                  <v>40118</v>
                </pt>
                <pt idx="599">
                  <v>40148</v>
                </pt>
                <pt idx="600">
                  <v>40179</v>
                </pt>
                <pt idx="601">
                  <v>40210</v>
                </pt>
                <pt idx="602">
                  <v>40238</v>
                </pt>
                <pt idx="603">
                  <v>40269</v>
                </pt>
                <pt idx="604">
                  <v>40299</v>
                </pt>
                <pt idx="605">
                  <v>40330</v>
                </pt>
                <pt idx="606">
                  <v>40360</v>
                </pt>
                <pt idx="607">
                  <v>40391</v>
                </pt>
                <pt idx="608">
                  <v>40422</v>
                </pt>
                <pt idx="609">
                  <v>40452</v>
                </pt>
                <pt idx="610">
                  <v>40483</v>
                </pt>
                <pt idx="611">
                  <v>40513</v>
                </pt>
                <pt idx="612">
                  <v>40544</v>
                </pt>
                <pt idx="613">
                  <v>40575</v>
                </pt>
                <pt idx="614">
                  <v>40603</v>
                </pt>
                <pt idx="615">
                  <v>40634</v>
                </pt>
                <pt idx="616">
                  <v>40664</v>
                </pt>
                <pt idx="617">
                  <v>40695</v>
                </pt>
                <pt idx="618">
                  <v>40725</v>
                </pt>
                <pt idx="619">
                  <v>40756</v>
                </pt>
                <pt idx="620">
                  <v>40787</v>
                </pt>
                <pt idx="621">
                  <v>40817</v>
                </pt>
                <pt idx="622">
                  <v>40848</v>
                </pt>
                <pt idx="623">
                  <v>40878</v>
                </pt>
                <pt idx="624">
                  <v>40909</v>
                </pt>
                <pt idx="625">
                  <v>40940</v>
                </pt>
                <pt idx="626">
                  <v>40969</v>
                </pt>
                <pt idx="627">
                  <v>41000</v>
                </pt>
                <pt idx="628">
                  <v>41030</v>
                </pt>
                <pt idx="629">
                  <v>41061</v>
                </pt>
                <pt idx="630">
                  <v>41091</v>
                </pt>
                <pt idx="631">
                  <v>41122</v>
                </pt>
                <pt idx="632">
                  <v>41153</v>
                </pt>
                <pt idx="633">
                  <v>41183</v>
                </pt>
                <pt idx="634">
                  <v>41214</v>
                </pt>
                <pt idx="635">
                  <v>41244</v>
                </pt>
                <pt idx="636">
                  <v>41275</v>
                </pt>
                <pt idx="637">
                  <v>41306</v>
                </pt>
                <pt idx="638">
                  <v>41334</v>
                </pt>
                <pt idx="639">
                  <v>41365</v>
                </pt>
                <pt idx="640">
                  <v>41395</v>
                </pt>
                <pt idx="641">
                  <v>41426</v>
                </pt>
                <pt idx="642">
                  <v>41456</v>
                </pt>
                <pt idx="643">
                  <v>41487</v>
                </pt>
                <pt idx="644">
                  <v>41518</v>
                </pt>
                <pt idx="645">
                  <v>41548</v>
                </pt>
                <pt idx="646">
                  <v>41579</v>
                </pt>
                <pt idx="647">
                  <v>41609</v>
                </pt>
                <pt idx="648">
                  <v>41640</v>
                </pt>
                <pt idx="649">
                  <v>41671</v>
                </pt>
                <pt idx="650">
                  <v>41699</v>
                </pt>
                <pt idx="651">
                  <v>41730</v>
                </pt>
                <pt idx="652">
                  <v>41760</v>
                </pt>
                <pt idx="653">
                  <v>41791</v>
                </pt>
                <pt idx="654">
                  <v>41821</v>
                </pt>
                <pt idx="655">
                  <v>41852</v>
                </pt>
                <pt idx="656">
                  <v>41883</v>
                </pt>
                <pt idx="657">
                  <v>41913</v>
                </pt>
                <pt idx="658">
                  <v>41944</v>
                </pt>
                <pt idx="659">
                  <v>41974</v>
                </pt>
                <pt idx="660">
                  <v>42005</v>
                </pt>
                <pt idx="661">
                  <v>42036</v>
                </pt>
                <pt idx="662">
                  <v>42064</v>
                </pt>
                <pt idx="663">
                  <v>42095</v>
                </pt>
                <pt idx="664">
                  <v>42125</v>
                </pt>
                <pt idx="665">
                  <v>42156</v>
                </pt>
                <pt idx="666">
                  <v>42186</v>
                </pt>
                <pt idx="667">
                  <v>42217</v>
                </pt>
                <pt idx="668">
                  <v>42248</v>
                </pt>
                <pt idx="669">
                  <v>42278</v>
                </pt>
                <pt idx="670">
                  <v>42309</v>
                </pt>
                <pt idx="671">
                  <v>42339</v>
                </pt>
                <pt idx="672">
                  <v>42370</v>
                </pt>
                <pt idx="673">
                  <v>42401</v>
                </pt>
                <pt idx="674">
                  <v>42430</v>
                </pt>
                <pt idx="675">
                  <v>42461</v>
                </pt>
                <pt idx="676">
                  <v>42491</v>
                </pt>
                <pt idx="677">
                  <v>42522</v>
                </pt>
                <pt idx="678">
                  <v>42552</v>
                </pt>
                <pt idx="679">
                  <v>42583</v>
                </pt>
                <pt idx="680">
                  <v>42614</v>
                </pt>
                <pt idx="681">
                  <v>42644</v>
                </pt>
                <pt idx="682">
                  <v>42675</v>
                </pt>
                <pt idx="683">
                  <v>42705</v>
                </pt>
                <pt idx="684">
                  <v>42736</v>
                </pt>
                <pt idx="685">
                  <v>42767</v>
                </pt>
                <pt idx="686">
                  <v>42795</v>
                </pt>
                <pt idx="687">
                  <v>42826</v>
                </pt>
                <pt idx="688">
                  <v>42856</v>
                </pt>
                <pt idx="689">
                  <v>42887</v>
                </pt>
                <pt idx="690">
                  <v>42917</v>
                </pt>
                <pt idx="691">
                  <v>42948</v>
                </pt>
                <pt idx="692">
                  <v>42979</v>
                </pt>
                <pt idx="693">
                  <v>43009</v>
                </pt>
                <pt idx="694">
                  <v>43040</v>
                </pt>
                <pt idx="695">
                  <v>43070</v>
                </pt>
                <pt idx="696">
                  <v>43101</v>
                </pt>
                <pt idx="697">
                  <v>43132</v>
                </pt>
                <pt idx="698">
                  <v>43160</v>
                </pt>
                <pt idx="699">
                  <v>43191</v>
                </pt>
                <pt idx="700">
                  <v>43221</v>
                </pt>
                <pt idx="701">
                  <v>43252</v>
                </pt>
                <pt idx="702">
                  <v>43282</v>
                </pt>
                <pt idx="703">
                  <v>43313</v>
                </pt>
                <pt idx="704">
                  <v>43344</v>
                </pt>
                <pt idx="705">
                  <v>43374</v>
                </pt>
                <pt idx="706">
                  <v>43405</v>
                </pt>
                <pt idx="707">
                  <v>43435</v>
                </pt>
                <pt idx="708">
                  <v>43466</v>
                </pt>
                <pt idx="709">
                  <v>43497</v>
                </pt>
                <pt idx="710">
                  <v>43525</v>
                </pt>
                <pt idx="711">
                  <v>43556</v>
                </pt>
                <pt idx="712">
                  <v>43586</v>
                </pt>
                <pt idx="713">
                  <v>43617</v>
                </pt>
                <pt idx="714">
                  <v>43647</v>
                </pt>
                <pt idx="715">
                  <v>43678</v>
                </pt>
                <pt idx="716">
                  <v>43709</v>
                </pt>
                <pt idx="717">
                  <v>43739</v>
                </pt>
                <pt idx="718">
                  <v>43770</v>
                </pt>
                <pt idx="719">
                  <v>43800</v>
                </pt>
                <pt idx="720">
                  <v>43831</v>
                </pt>
                <pt idx="721">
                  <v>43862</v>
                </pt>
                <pt idx="722">
                  <v>43891</v>
                </pt>
                <pt idx="723">
                  <v>43922</v>
                </pt>
                <pt idx="724">
                  <v>43952</v>
                </pt>
                <pt idx="725">
                  <v>43983</v>
                </pt>
                <pt idx="726">
                  <v>44013</v>
                </pt>
                <pt idx="727">
                  <v>44044</v>
                </pt>
                <pt idx="728">
                  <v>44075</v>
                </pt>
                <pt idx="729">
                  <v>44105</v>
                </pt>
                <pt idx="730">
                  <v>44136</v>
                </pt>
                <pt idx="731">
                  <v>44166</v>
                </pt>
                <pt idx="732">
                  <v>44197</v>
                </pt>
                <pt idx="733">
                  <v>44228</v>
                </pt>
                <pt idx="734">
                  <v>44256</v>
                </pt>
                <pt idx="735">
                  <v>44287</v>
                </pt>
                <pt idx="736">
                  <v>44317</v>
                </pt>
                <pt idx="737">
                  <v>44348</v>
                </pt>
                <pt idx="738">
                  <v>44378</v>
                </pt>
                <pt idx="739">
                  <v>44409</v>
                </pt>
                <pt idx="740">
                  <v>44440</v>
                </pt>
                <pt idx="741">
                  <v>44470</v>
                </pt>
                <pt idx="742">
                  <v>44501</v>
                </pt>
                <pt idx="743">
                  <v>44531</v>
                </pt>
                <pt idx="744">
                  <v>44562</v>
                </pt>
                <pt idx="745">
                  <v>44593</v>
                </pt>
                <pt idx="746">
                  <v>44621</v>
                </pt>
                <pt idx="747">
                  <v>44652</v>
                </pt>
                <pt idx="748">
                  <v>44682</v>
                </pt>
                <pt idx="749">
                  <v>44713</v>
                </pt>
                <pt idx="750">
                  <v>44743</v>
                </pt>
                <pt idx="751">
                  <v>44774</v>
                </pt>
                <pt idx="752">
                  <v>44805</v>
                </pt>
                <pt idx="753">
                  <v>44835</v>
                </pt>
                <pt idx="754">
                  <v>44866</v>
                </pt>
                <pt idx="755">
                  <v>44896</v>
                </pt>
                <pt idx="756">
                  <v>44927</v>
                </pt>
                <pt idx="757">
                  <v>44958</v>
                </pt>
              </numCache>
            </numRef>
          </cat>
          <val>
            <numRef>
              <f>'US M1 Real Monthly'!$C$18:$C$788</f>
              <numCache>
                <formatCode>0.0%</formatCode>
                <ptCount val="771"/>
                <pt idx="0">
                  <v>-0.004385964912280749</v>
                </pt>
                <pt idx="1">
                  <v>-0.01040149781568546</v>
                </pt>
                <pt idx="2">
                  <v>-0.01430941518042301</v>
                </pt>
                <pt idx="3">
                  <v>-0.01970545529973034</v>
                </pt>
                <pt idx="4">
                  <v>-0.02559339525283793</v>
                </pt>
                <pt idx="5">
                  <v>-0.02803545660688522</v>
                </pt>
                <pt idx="6">
                  <v>-0.02386340259205929</v>
                </pt>
                <pt idx="7">
                  <v>-0.0187127287682501</v>
                </pt>
                <pt idx="8">
                  <v>-0.0107861439535367</v>
                </pt>
                <pt idx="9">
                  <v>-0.01065385418842692</v>
                </pt>
                <pt idx="10">
                  <v>-0.01107859531772566</v>
                </pt>
                <pt idx="11">
                  <v>-0.007778011351692219</v>
                </pt>
                <pt idx="12">
                  <v>-0.00797147052653663</v>
                </pt>
                <pt idx="13">
                  <v>-0.002522598276224487</v>
                </pt>
                <pt idx="14">
                  <v>0.0004207868714495868</v>
                </pt>
                <pt idx="15">
                  <v>0.008675412611087528</v>
                </pt>
                <pt idx="16">
                  <v>0.01292099131539921</v>
                </pt>
                <pt idx="17">
                  <v>0.01569459172852593</v>
                </pt>
                <pt idx="18">
                  <v>0.006533192834562745</v>
                </pt>
                <pt idx="19">
                  <v>0.004400670578373895</v>
                </pt>
                <pt idx="20">
                  <v>0.005871251834766222</v>
                </pt>
                <pt idx="21">
                  <v>0.01499155405405398</v>
                </pt>
                <pt idx="22">
                  <v>0.02092580849714643</v>
                </pt>
                <pt idx="23">
                  <v>0.02500000000000003</v>
                </pt>
                <pt idx="24">
                  <v>0.0222034256713893</v>
                </pt>
                <pt idx="25">
                  <v>0.01981032665964168</v>
                </pt>
                <pt idx="26">
                  <v>0.01766561514195579</v>
                </pt>
                <pt idx="27">
                  <v>0.01657226767358933</v>
                </pt>
                <pt idx="28">
                  <v>0.01505646173149308</v>
                </pt>
                <pt idx="29">
                  <v>0.01336395907287541</v>
                </pt>
                <pt idx="30">
                  <v>0.01507537688442209</v>
                </pt>
                <pt idx="31">
                  <v>0.01001460463175467</v>
                </pt>
                <pt idx="32">
                  <v>0.002501563477173209</v>
                </pt>
                <pt idx="33">
                  <v>0.004576659038901578</v>
                </pt>
                <pt idx="34">
                  <v>0.003933747412008234</v>
                </pt>
                <pt idx="35">
                  <v>0.005580818520049584</v>
                </pt>
                <pt idx="36">
                  <v>0.007860984691766677</v>
                </pt>
                <pt idx="37">
                  <v>0.009506096300888662</v>
                </pt>
                <pt idx="38">
                  <v>0.01053936763794177</v>
                </pt>
                <pt idx="39">
                  <v>0.01341312422616591</v>
                </pt>
                <pt idx="40">
                  <v>0.01565718994643598</v>
                </pt>
                <pt idx="41">
                  <v>0.0123634865031939</v>
                </pt>
                <pt idx="42">
                  <v>0.01691419141914189</v>
                </pt>
                <pt idx="43">
                  <v>0.01983061350960538</v>
                </pt>
                <pt idx="44">
                  <v>0.02890413807444382</v>
                </pt>
                <pt idx="45">
                  <v>0.02774901635949479</v>
                </pt>
                <pt idx="46">
                  <v>0.02907816044545272</v>
                </pt>
                <pt idx="47">
                  <v>0.0203494347379239</v>
                </pt>
                <pt idx="48">
                  <v>0.01970443349753699</v>
                </pt>
                <pt idx="49">
                  <v>0.02190378710337767</v>
                </pt>
                <pt idx="50">
                  <v>0.02126789366053165</v>
                </pt>
                <pt idx="51">
                  <v>0.01852983099165132</v>
                </pt>
                <pt idx="52">
                  <v>0.01683569979716027</v>
                </pt>
                <pt idx="53">
                  <v>0.02137187054752697</v>
                </pt>
                <pt idx="54">
                  <v>0.02535496957403651</v>
                </pt>
                <pt idx="55">
                  <v>0.02937006279116873</v>
                </pt>
                <pt idx="56">
                  <v>0.03193209377526275</v>
                </pt>
                <pt idx="57">
                  <v>0.03082812814829742</v>
                </pt>
                <pt idx="58">
                  <v>0.02745490981963937</v>
                </pt>
                <pt idx="59">
                  <v>0.0334407735697019</v>
                </pt>
                <pt idx="60">
                  <v>0.03401771336553952</v>
                </pt>
                <pt idx="61">
                  <v>0.03044871794871793</v>
                </pt>
                <pt idx="62">
                  <v>0.03283940728874645</v>
                </pt>
                <pt idx="63">
                  <v>0.03218712514993995</v>
                </pt>
                <pt idx="64">
                  <v>0.02473568721324563</v>
                </pt>
                <pt idx="65">
                  <v>0.02251893184535674</v>
                </pt>
                <pt idx="66">
                  <v>0.02096933728981211</v>
                </pt>
                <pt idx="67">
                  <v>0.02105470287288467</v>
                </pt>
                <pt idx="68">
                  <v>0.02075989032510776</v>
                </pt>
                <pt idx="69">
                  <v>0.02521501172791239</v>
                </pt>
                <pt idx="70">
                  <v>0.02399063779988288</v>
                </pt>
                <pt idx="71">
                  <v>0.02690058479532155</v>
                </pt>
                <pt idx="72">
                  <v>0.03250924664200882</v>
                </pt>
                <pt idx="73">
                  <v>0.0277993779160188</v>
                </pt>
                <pt idx="74">
                  <v>0.02714230321830167</v>
                </pt>
                <pt idx="75">
                  <v>0.03079604880883225</v>
                </pt>
                <pt idx="76">
                  <v>0.0307572513139964</v>
                </pt>
                <pt idx="77">
                  <v>0.03293704930812703</v>
                </pt>
                <pt idx="78">
                  <v>0.0168571982173996</v>
                </pt>
                <pt idx="79">
                  <v>0.00809404509539419</v>
                </pt>
                <pt idx="80">
                  <v>0.007674597083653108</v>
                </pt>
                <pt idx="81">
                  <v>-0.006291706387035185</v>
                </pt>
                <pt idx="82">
                  <v>-0.007047619047619134</v>
                </pt>
                <pt idx="83">
                  <v>-0.008162490508731881</v>
                </pt>
                <pt idx="84">
                  <v>-0.01489441930618397</v>
                </pt>
                <pt idx="85">
                  <v>-0.008511443162473991</v>
                </pt>
                <pt idx="86">
                  <v>-0.000188750471876008</v>
                </pt>
                <pt idx="87">
                  <v>-0.01108605787298025</v>
                </pt>
                <pt idx="88">
                  <v>0.00245514636449472</v>
                </pt>
                <pt idx="89">
                  <v>0.002830188679245283</v>
                </pt>
                <pt idx="90">
                  <v>0.01600609756097578</v>
                </pt>
                <pt idx="91">
                  <v>0.0254253488816669</v>
                </pt>
                <pt idx="92">
                  <v>0.02399086062452382</v>
                </pt>
                <pt idx="93">
                  <v>0.03396009209516487</v>
                </pt>
                <pt idx="94">
                  <v>0.03222712449645131</v>
                </pt>
                <pt idx="95">
                  <v>0.03177033492822971</v>
                </pt>
                <pt idx="96">
                  <v>0.03444976076555024</v>
                </pt>
                <pt idx="97">
                  <v>0.03033193437619225</v>
                </pt>
                <pt idx="98">
                  <v>0.02095525769303362</v>
                </pt>
                <pt idx="99">
                  <v>0.03059091772753187</v>
                </pt>
                <pt idx="100">
                  <v>0.02656367746797291</v>
                </pt>
                <pt idx="101">
                  <v>0.02690498588899333</v>
                </pt>
                <pt idx="102">
                  <v>0.02363090772693156</v>
                </pt>
                <pt idx="103">
                  <v>0.02162565249813576</v>
                </pt>
                <pt idx="104">
                  <v>0.02082558571959845</v>
                </pt>
                <pt idx="105">
                  <v>0.01985526071627398</v>
                </pt>
                <pt idx="106">
                  <v>0.02899089388589486</v>
                </pt>
                <pt idx="107">
                  <v>0.0285661287330736</v>
                </pt>
                <pt idx="108">
                  <v>0.02978723404255323</v>
                </pt>
                <pt idx="109">
                  <v>0.030735049064988</v>
                </pt>
                <pt idx="110">
                  <v>0.02440828402366873</v>
                </pt>
                <pt idx="111">
                  <v>0.01935840707964602</v>
                </pt>
                <pt idx="112">
                  <v>0.01229583409799972</v>
                </pt>
                <pt idx="113">
                  <v>0.007695126419934126</v>
                </pt>
                <pt idx="114">
                  <v>0.004213997801392577</v>
                </pt>
                <pt idx="115">
                  <v>-0.002554744525547404</v>
                </pt>
                <pt idx="116">
                  <v>-0.007832422586520865</v>
                </pt>
                <pt idx="117">
                  <v>-0.01018922852983993</v>
                </pt>
                <pt idx="118">
                  <v>-0.01950514719162013</v>
                </pt>
                <pt idx="119">
                  <v>-0.024706943192065</v>
                </pt>
                <pt idx="120">
                  <v>-0.02245777937477542</v>
                </pt>
                <pt idx="121">
                  <v>-0.03341117298365371</v>
                </pt>
                <pt idx="122">
                  <v>-0.03050541516245483</v>
                </pt>
                <pt idx="123">
                  <v>-0.02893832519442937</v>
                </pt>
                <pt idx="124">
                  <v>-0.02683103698332137</v>
                </pt>
                <pt idx="125">
                  <v>-0.02709090909090905</v>
                </pt>
                <pt idx="126">
                  <v>-0.02444809341361061</v>
                </pt>
                <pt idx="127">
                  <v>-0.01536772777167943</v>
                </pt>
                <pt idx="128">
                  <v>-0.008077841013402039</v>
                </pt>
                <pt idx="129">
                  <v>-0.006617647058823571</v>
                </pt>
                <pt idx="130">
                  <v>-0.006078467489408647</v>
                </pt>
                <pt idx="131">
                  <v>-0.003883136094674388</v>
                </pt>
                <pt idx="132">
                  <v>-0.007351589781290204</v>
                </pt>
                <pt idx="133">
                  <v>0.01263705630923612</v>
                </pt>
                <pt idx="134">
                  <v>0.01843232172779739</v>
                </pt>
                <pt idx="135">
                  <v>0.0217917675544795</v>
                </pt>
                <pt idx="136">
                  <v>0.02626676602086443</v>
                </pt>
                <pt idx="137">
                  <v>0.03139600074752374</v>
                </pt>
                <pt idx="138">
                  <v>0.03590798578642216</v>
                </pt>
                <pt idx="139">
                  <v>0.02991452991452974</v>
                </pt>
                <pt idx="140">
                  <v>0.02739218952433846</v>
                </pt>
                <pt idx="141">
                  <v>0.02794226498889716</v>
                </pt>
                <pt idx="142">
                  <v>0.02965159377316531</v>
                </pt>
                <pt idx="143">
                  <v>0.03118618897345453</v>
                </pt>
                <pt idx="144">
                  <v>0.03406776522866132</v>
                </pt>
                <pt idx="145">
                  <v>0.02973022572949173</v>
                </pt>
                <pt idx="146">
                  <v>0.03455210237659959</v>
                </pt>
                <pt idx="147">
                  <v>0.03481589500546851</v>
                </pt>
                <pt idx="148">
                  <v>0.02940642584861145</v>
                </pt>
                <pt idx="149">
                  <v>0.02808479797064686</v>
                </pt>
                <pt idx="150">
                  <v>0.03141361256544498</v>
                </pt>
                <pt idx="151">
                  <v>0.03716399061879853</v>
                </pt>
                <pt idx="152">
                  <v>0.0407133849756801</v>
                </pt>
                <pt idx="153">
                  <v>0.04518451845184523</v>
                </pt>
                <pt idx="154">
                  <v>0.0458963282937365</v>
                </pt>
                <pt idx="155">
                  <v>0.05562556255625559</v>
                </pt>
                <pt idx="156">
                  <v>0.05461056401074306</v>
                </pt>
                <pt idx="157">
                  <v>0.04526822313313131</v>
                </pt>
                <pt idx="158">
                  <v>0.02491606290864114</v>
                </pt>
                <pt idx="159">
                  <v>0.01867183371499015</v>
                </pt>
                <pt idx="160">
                  <v>0.0238053253394463</v>
                </pt>
                <pt idx="161">
                  <v>0.02361649629890726</v>
                </pt>
                <pt idx="162">
                  <v>0.0197794503763348</v>
                </pt>
                <pt idx="163">
                  <v>-0.003826752478691828</v>
                </pt>
                <pt idx="164">
                  <v>-0.01229011597715081</v>
                </pt>
                <pt idx="165">
                  <v>-0.02170168790905963</v>
                </pt>
                <pt idx="166">
                  <v>-0.02151092755119601</v>
                </pt>
                <pt idx="167">
                  <v>-0.03171896316507507</v>
                </pt>
                <pt idx="168">
                  <v>-0.04295415959252964</v>
                </pt>
                <pt idx="169">
                  <v>-0.04364876385336747</v>
                </pt>
                <pt idx="170">
                  <v>-0.03810344827586211</v>
                </pt>
                <pt idx="171">
                  <v>-0.03942590351028871</v>
                </pt>
                <pt idx="172">
                  <v>-0.05167068549776094</v>
                </pt>
                <pt idx="173">
                  <v>-0.05647382920110185</v>
                </pt>
                <pt idx="174">
                  <v>-0.06247854445588736</v>
                </pt>
                <pt idx="175">
                  <v>-0.05482800768290569</v>
                </pt>
                <pt idx="176">
                  <v>-0.06133894146512443</v>
                </pt>
                <pt idx="177">
                  <v>-0.06003521126760567</v>
                </pt>
                <pt idx="178">
                  <v>-0.06524797748856845</v>
                </pt>
                <pt idx="179">
                  <v>-0.06956674885523072</v>
                </pt>
                <pt idx="180">
                  <v>-0.07095973035302465</v>
                </pt>
                <pt idx="181">
                  <v>-0.0679265466215012</v>
                </pt>
                <pt idx="182">
                  <v>-0.06165979566230503</v>
                </pt>
                <pt idx="183">
                  <v>-0.06192619261926188</v>
                </pt>
                <pt idx="184">
                  <v>-0.04504177261169645</v>
                </pt>
                <pt idx="185">
                  <v>-0.03667883211678837</v>
                </pt>
                <pt idx="186">
                  <v>-0.03808128890516307</v>
                </pt>
                <pt idx="187">
                  <v>-0.03159061518566398</v>
                </pt>
                <pt idx="188">
                  <v>-0.02296489917849154</v>
                </pt>
                <pt idx="189">
                  <v>-0.02622213897733658</v>
                </pt>
                <pt idx="190">
                  <v>-0.02427093132643458</v>
                </pt>
                <pt idx="191">
                  <v>-0.02252508044671584</v>
                </pt>
                <pt idx="192">
                  <v>-0.01317548214626712</v>
                </pt>
                <pt idx="193">
                  <v>-0.0049732211170618</v>
                </pt>
                <pt idx="194">
                  <v>-0.001528175740210037</v>
                </pt>
                <pt idx="195">
                  <v>0.008059873344847307</v>
                </pt>
                <pt idx="196">
                  <v>-0.002282236591859893</v>
                </pt>
                <pt idx="197">
                  <v>-0.0104186398939193</v>
                </pt>
                <pt idx="198">
                  <v>-0.007613247049866769</v>
                </pt>
                <pt idx="199">
                  <v>-0.004578405188859387</v>
                </pt>
                <pt idx="200">
                  <v>-0.006115039174469581</v>
                </pt>
                <pt idx="201">
                  <v>0.003269859588382469</v>
                </pt>
                <pt idx="202">
                  <v>0.007520246818357071</v>
                </pt>
                <pt idx="203">
                  <v>0.01529821843532141</v>
                </pt>
                <pt idx="204">
                  <v>0.01625386996904042</v>
                </pt>
                <pt idx="205">
                  <v>0.009803921568627276</v>
                </pt>
                <pt idx="206">
                  <v>0.007652573177731012</v>
                </pt>
                <pt idx="207">
                  <v>0.002665143727394043</v>
                </pt>
                <pt idx="208">
                  <v>0.004384292794510016</v>
                </pt>
                <pt idx="209">
                  <v>0.008614088820826952</v>
                </pt>
                <pt idx="210">
                  <v>0.00997314921365563</v>
                </pt>
                <pt idx="211">
                  <v>0.0109237255653508</v>
                </pt>
                <pt idx="212">
                  <v>0.01788117669678899</v>
                </pt>
                <pt idx="213">
                  <v>0.01591257668711648</v>
                </pt>
                <pt idx="214">
                  <v>0.01435406698564593</v>
                </pt>
                <pt idx="215">
                  <v>0.01296967385084888</v>
                </pt>
                <pt idx="216">
                  <v>0.01542269611576525</v>
                </pt>
                <pt idx="217">
                  <v>0.01313535122786996</v>
                </pt>
                <pt idx="218">
                  <v>0.009113347256502665</v>
                </pt>
                <pt idx="219">
                  <v>0.009872792861211186</v>
                </pt>
                <pt idx="220">
                  <v>0.01480356803947631</v>
                </pt>
                <pt idx="221">
                  <v>0.01290567470108193</v>
                </pt>
                <pt idx="222">
                  <v>0.00778579567033806</v>
                </pt>
                <pt idx="223">
                  <v>0.005687203791469194</v>
                </pt>
                <pt idx="224">
                  <v>0.0003777861730261532</v>
                </pt>
                <pt idx="225">
                  <v>-0.006416304963200561</v>
                </pt>
                <pt idx="226">
                  <v>-0.006603773584905661</v>
                </pt>
                <pt idx="227">
                  <v>-0.009226134437958909</v>
                </pt>
                <pt idx="228">
                  <v>-0.01837614850928175</v>
                </pt>
                <pt idx="229">
                  <v>-0.02273581360390835</v>
                </pt>
                <pt idx="230">
                  <v>-0.02427093132643458</v>
                </pt>
                <pt idx="231">
                  <v>-0.02011656326377126</v>
                </pt>
                <pt idx="232">
                  <v>-0.03198054984103239</v>
                </pt>
                <pt idx="233">
                  <v>-0.03091624508150646</v>
                </pt>
                <pt idx="234">
                  <v>-0.02638025249670247</v>
                </pt>
                <pt idx="235">
                  <v>-0.03110273327049953</v>
                </pt>
                <pt idx="236">
                  <v>-0.03738670694864051</v>
                </pt>
                <pt idx="237">
                  <v>-0.03817663817663822</v>
                </pt>
                <pt idx="238">
                  <v>-0.04824311490978153</v>
                </pt>
                <pt idx="239">
                  <v>-0.05644241733181308</v>
                </pt>
                <pt idx="240">
                  <v>-0.05520534861509069</v>
                </pt>
                <pt idx="241">
                  <v>-0.05056719861565086</v>
                </pt>
                <pt idx="242">
                  <v>-0.06498264558426542</v>
                </pt>
                <pt idx="243">
                  <v>-0.08979278587874148</v>
                </pt>
                <pt idx="244">
                  <v>-0.09003091190108195</v>
                </pt>
                <pt idx="245">
                  <v>-0.08816705336426918</v>
                </pt>
                <pt idx="246">
                  <v>-0.07683375266111872</v>
                </pt>
                <pt idx="247">
                  <v>-0.06653696498054472</v>
                </pt>
                <pt idx="248">
                  <v>-0.05355041192624561</v>
                </pt>
                <pt idx="249">
                  <v>-0.04640600315955767</v>
                </pt>
                <pt idx="250">
                  <v>-0.04250648573139096</v>
                </pt>
                <pt idx="251">
                  <v>-0.04773413897280965</v>
                </pt>
                <pt idx="252">
                  <v>-0.04630004043671661</v>
                </pt>
                <pt idx="253">
                  <v>-0.04536249493722162</v>
                </pt>
                <pt idx="254">
                  <v>-0.02474737059187461</v>
                </pt>
                <pt idx="255">
                  <v>0.01117200674536259</v>
                </pt>
                <pt idx="256">
                  <v>0.005307855626326964</v>
                </pt>
                <pt idx="257">
                  <v>-0.003816793893129795</v>
                </pt>
                <pt idx="258">
                  <v>-0.02180293501048213</v>
                </pt>
                <pt idx="259">
                  <v>-0.03501458941225513</v>
                </pt>
                <pt idx="260">
                  <v>-0.04953367875647664</v>
                </pt>
                <pt idx="261">
                  <v>-0.05011389521640089</v>
                </pt>
                <pt idx="262">
                  <v>-0.04168403501458941</v>
                </pt>
                <pt idx="263">
                  <v>-0.01840101522842637</v>
                </pt>
                <pt idx="264">
                  <v>-0.00572397710409156</v>
                </pt>
                <pt idx="265">
                  <v>-0.01018243529910894</v>
                </pt>
                <pt idx="266">
                  <v>-0.01141890463100016</v>
                </pt>
                <pt idx="267">
                  <v>-0.01897018970189695</v>
                </pt>
                <pt idx="268">
                  <v>-0.01626187961985214</v>
                </pt>
                <pt idx="269">
                  <v>-0.01809280544912729</v>
                </pt>
                <pt idx="270">
                  <v>-0.01521645949421351</v>
                </pt>
                <pt idx="271">
                  <v>-0.002159827213822894</v>
                </pt>
                <pt idx="272">
                  <v>0.01984300043610982</v>
                </pt>
                <pt idx="273">
                  <v>0.03226509701329848</v>
                </pt>
                <pt idx="274">
                  <v>0.04632448890822099</v>
                </pt>
                <pt idx="275">
                  <v>0.04718810601163537</v>
                </pt>
                <pt idx="276">
                  <v>0.03923240938166307</v>
                </pt>
                <pt idx="277">
                  <v>0.05915130732961844</v>
                </pt>
                <pt idx="278">
                  <v>0.06973262032085567</v>
                </pt>
                <pt idx="279">
                  <v>0.06077348066298335</v>
                </pt>
                <pt idx="280">
                  <v>0.08200944611421208</v>
                </pt>
                <pt idx="281">
                  <v>0.09906785172339039</v>
                </pt>
                <pt idx="282">
                  <v>0.1072905331882481</v>
                </pt>
                <pt idx="283">
                  <v>0.1038961038961039</v>
                </pt>
                <pt idx="284">
                  <v>0.09215308958734236</v>
                </pt>
                <pt idx="285">
                  <v>0.08363252375923975</v>
                </pt>
                <pt idx="286">
                  <v>0.06713780918727906</v>
                </pt>
                <pt idx="287">
                  <v>0.05802469135802479</v>
                </pt>
                <pt idx="288">
                  <v>0.05519080837094784</v>
                </pt>
                <pt idx="289">
                  <v>0.0402670983407528</v>
                </pt>
                <pt idx="290">
                  <v>0.03259348130373916</v>
                </pt>
                <pt idx="291">
                  <v>0.03745993589743588</v>
                </pt>
                <pt idx="292">
                  <v>0.02896825396825401</v>
                </pt>
                <pt idx="293">
                  <v>0.02741617357001968</v>
                </pt>
                <pt idx="294">
                  <v>0.02122641509433965</v>
                </pt>
                <pt idx="295">
                  <v>0.01607843137254911</v>
                </pt>
                <pt idx="296">
                  <v>0.01546593578700085</v>
                </pt>
                <pt idx="297">
                  <v>0.008185538881309552</v>
                </pt>
                <pt idx="298">
                  <v>0.01266069341643942</v>
                </pt>
                <pt idx="299">
                  <v>0.01672500972384268</v>
                </pt>
                <pt idx="300">
                  <v>0.02469375850670824</v>
                </pt>
                <pt idx="301">
                  <v>0.031316864423264</v>
                </pt>
                <pt idx="302">
                  <v>0.02730441518202948</v>
                </pt>
                <pt idx="303">
                  <v>0.02934929523073961</v>
                </pt>
                <pt idx="304">
                  <v>0.03451600462784415</v>
                </pt>
                <pt idx="305">
                  <v>0.03993088884622781</v>
                </pt>
                <pt idx="306">
                  <v>0.05273287143956885</v>
                </pt>
                <pt idx="307">
                  <v>0.06619065997684283</v>
                </pt>
                <pt idx="308">
                  <v>0.07595912859070748</v>
                </pt>
                <pt idx="309">
                  <v>0.08293060119853102</v>
                </pt>
                <pt idx="310">
                  <v>0.08040007693787281</v>
                </pt>
                <pt idx="311">
                  <v>0.08263198163733751</v>
                </pt>
                <pt idx="312">
                  <v>0.07286527514231494</v>
                </pt>
                <pt idx="313">
                  <v>0.07487740475292329</v>
                </pt>
                <pt idx="314">
                  <v>0.09462770970782289</v>
                </pt>
                <pt idx="315">
                  <v>0.1061714500093791</v>
                </pt>
                <pt idx="316">
                  <v>0.1150046598322461</v>
                </pt>
                <pt idx="317">
                  <v>0.1146390991323609</v>
                </pt>
                <pt idx="318">
                  <v>0.1190127970749543</v>
                </pt>
                <pt idx="319">
                  <v>0.1209049773755655</v>
                </pt>
                <pt idx="320">
                  <v>0.1196918115033147</v>
                </pt>
                <pt idx="321">
                  <v>0.1256694037843627</v>
                </pt>
                <pt idx="322">
                  <v>0.1374399145451307</v>
                </pt>
                <pt idx="323">
                  <v>0.1556537102473499</v>
                </pt>
                <pt idx="324">
                  <v>0.1593562079943403</v>
                </pt>
                <pt idx="325">
                  <v>0.1468678715564135</v>
                </pt>
                <pt idx="326">
                  <v>0.1262269674530738</v>
                </pt>
                <pt idx="327">
                  <v>0.1193827369849075</v>
                </pt>
                <pt idx="328">
                  <v>0.103309929789368</v>
                </pt>
                <pt idx="329">
                  <v>0.0844650546538589</v>
                </pt>
                <pt idx="330">
                  <v>0.06665577520013062</v>
                </pt>
                <pt idx="331">
                  <v>0.05231713224608444</v>
                </pt>
                <pt idx="332">
                  <v>0.04304688750200029</v>
                </pt>
                <pt idx="333">
                  <v>0.04281636536631779</v>
                </pt>
                <pt idx="334">
                  <v>0.02159962435435916</v>
                </pt>
                <pt idx="335">
                  <v>-0.007796972939917478</v>
                </pt>
                <pt idx="336">
                  <v>-0.005491990846681957</v>
                </pt>
                <pt idx="337">
                  <v>-0.002294981640146879</v>
                </pt>
                <pt idx="338">
                  <v>-0.0001529051987767932</v>
                </pt>
                <pt idx="339">
                  <v>-0.007120133313134442</v>
                </pt>
                <pt idx="340">
                  <v>-0.004848484848484917</v>
                </pt>
                <pt idx="341">
                  <v>0.007330482590103953</v>
                </pt>
                <pt idx="342">
                  <v>0.009955582784499924</v>
                </pt>
                <pt idx="343">
                  <v>0.009973914377781187</v>
                </pt>
                <pt idx="344">
                  <v>0.006136851795029151</v>
                </pt>
                <pt idx="345">
                  <v>-0.006538929440389398</v>
                </pt>
                <pt idx="346">
                  <v>-0.0003064194882795242</v>
                </pt>
                <pt idx="347">
                  <v>0.004314329738058482</v>
                </pt>
                <pt idx="348">
                  <v>-0.005522319374137173</v>
                </pt>
                <pt idx="349">
                  <v>-0.01150130348106119</v>
                </pt>
                <pt idx="350">
                  <v>-0.02003364428811748</v>
                </pt>
                <pt idx="351">
                  <v>-0.03417760146475431</v>
                </pt>
                <pt idx="352">
                  <v>-0.04613276492082819</v>
                </pt>
                <pt idx="353">
                  <v>-0.05503335354760471</v>
                </pt>
                <pt idx="354">
                  <v>-0.05262359720958437</v>
                </pt>
                <pt idx="355">
                  <v>-0.04892130051656038</v>
                </pt>
                <pt idx="356">
                  <v>-0.04574565416285453</v>
                </pt>
                <pt idx="357">
                  <v>-0.0397979488749426</v>
                </pt>
                <pt idx="358">
                  <v>-0.04091954022988513</v>
                </pt>
                <pt idx="359">
                  <v>-0.0368211107701749</v>
                </pt>
                <pt idx="360">
                  <v>-0.0377911460743483</v>
                </pt>
                <pt idx="361">
                  <v>-0.03273347812596963</v>
                </pt>
                <pt idx="362">
                  <v>-0.02730961298377029</v>
                </pt>
                <pt idx="363">
                  <v>-0.01200631911532389</v>
                </pt>
                <pt idx="364">
                  <v>-0.005746209098164441</v>
                </pt>
                <pt idx="365">
                  <v>-0.001123054708807848</v>
                </pt>
                <pt idx="366">
                  <v>-0.006242996638386571</v>
                </pt>
                <pt idx="367">
                  <v>-0.009904153354632661</v>
                </pt>
                <pt idx="368">
                  <v>-0.01086609140300408</v>
                </pt>
                <pt idx="369">
                  <v>-0.02024549657261268</v>
                </pt>
                <pt idx="370">
                  <v>-0.01741770533716839</v>
                </pt>
                <pt idx="371">
                  <v>-0.02118509079324618</v>
                </pt>
                <pt idx="372">
                  <v>-0.01554985572298803</v>
                </pt>
                <pt idx="373">
                  <v>-0.009302325581395276</v>
                </pt>
                <pt idx="374">
                  <v>-0.001764800256698073</v>
                </pt>
                <pt idx="375">
                  <v>-0.002078669651423017</v>
                </pt>
                <pt idx="376">
                  <v>0.004976721785198303</v>
                </pt>
                <pt idx="377">
                  <v>0.01172502409251519</v>
                </pt>
                <pt idx="378">
                  <v>0.019007731958763</v>
                </pt>
                <pt idx="379">
                  <v>0.02387867053888362</v>
                </pt>
                <pt idx="380">
                  <v>0.02552504038772206</v>
                </pt>
                <pt idx="381">
                  <v>0.04116498535632925</v>
                </pt>
                <pt idx="382">
                  <v>0.0474873963246057</v>
                </pt>
                <pt idx="383">
                  <v>0.05630593978844593</v>
                </pt>
                <pt idx="384">
                  <v>0.07197524833089063</v>
                </pt>
                <pt idx="385">
                  <v>0.08062166100048559</v>
                </pt>
                <pt idx="386">
                  <v>0.08228865316618439</v>
                </pt>
                <pt idx="387">
                  <v>0.0847620573626021</v>
                </pt>
                <pt idx="388">
                  <v>0.08706070287539937</v>
                </pt>
                <pt idx="389">
                  <v>0.08144149865057956</v>
                </pt>
                <pt idx="390">
                  <v>0.08378122036041732</v>
                </pt>
                <pt idx="391">
                  <v>0.08966277970375036</v>
                </pt>
                <pt idx="392">
                  <v>0.1030245746691873</v>
                </pt>
                <pt idx="393">
                  <v>0.1068917018284107</v>
                </pt>
                <pt idx="394">
                  <v>0.1097655643533612</v>
                </pt>
                <pt idx="395">
                  <v>0.1095362810044678</v>
                </pt>
                <pt idx="396">
                  <v>0.09615676743126245</v>
                </pt>
                <pt idx="397">
                  <v>0.08194756554307123</v>
                </pt>
                <pt idx="398">
                  <v>0.0760320760320761</v>
                </pt>
                <pt idx="399">
                  <v>0.07607090103397342</v>
                </pt>
                <pt idx="400">
                  <v>0.08626010286554012</v>
                </pt>
                <pt idx="401">
                  <v>0.0936582501467997</v>
                </pt>
                <pt idx="402">
                  <v>0.09480746791131855</v>
                </pt>
                <pt idx="403">
                  <v>0.09284164859002175</v>
                </pt>
                <pt idx="404">
                  <v>0.08754641530991138</v>
                </pt>
                <pt idx="405">
                  <v>0.07934491034872236</v>
                </pt>
                <pt idx="406">
                  <v>0.07708449916060441</v>
                </pt>
                <pt idx="407">
                  <v>0.07206331574562617</v>
                </pt>
                <pt idx="408">
                  <v>0.07192350332594231</v>
                </pt>
                <pt idx="409">
                  <v>0.07255607864857376</v>
                </pt>
                <pt idx="410">
                  <v>0.06969362406845156</v>
                </pt>
                <pt idx="411">
                  <v>0.06410432395332882</v>
                </pt>
                <pt idx="412">
                  <v>0.04856601731601728</v>
                </pt>
                <pt idx="413">
                  <v>0.03932885906040262</v>
                </pt>
                <pt idx="414">
                  <v>0.03304023447908334</v>
                </pt>
                <pt idx="415">
                  <v>0.02183406113537118</v>
                </pt>
                <pt idx="416">
                  <v>0.01313197636244255</v>
                </pt>
                <pt idx="417">
                  <v>0.007063440156965307</v>
                </pt>
                <pt idx="418">
                  <v>-0.002078191972983534</v>
                </pt>
                <pt idx="419">
                  <v>-0.007123429607563787</v>
                </pt>
                <pt idx="420">
                  <v>-0.01098901098901099</v>
                </pt>
                <pt idx="421">
                  <v>-0.0183320423444359</v>
                </pt>
                <pt idx="422">
                  <v>-0.02154560701844929</v>
                </pt>
                <pt idx="423">
                  <v>-0.02334881320949435</v>
                </pt>
                <pt idx="424">
                  <v>-0.02851245000645081</v>
                </pt>
                <pt idx="425">
                  <v>-0.03034999354255457</v>
                </pt>
                <pt idx="426">
                  <v>-0.0318545266958988</v>
                </pt>
                <pt idx="427">
                  <v>-0.02991452991452994</v>
                </pt>
                <pt idx="428">
                  <v>-0.03318211276733639</v>
                </pt>
                <pt idx="429">
                  <v>-0.03766722951032601</v>
                </pt>
                <pt idx="430">
                  <v>-0.03956787713132888</v>
                </pt>
                <pt idx="431">
                  <v>-0.04435168275502217</v>
                </pt>
                <pt idx="432">
                  <v>-0.05071895424836596</v>
                </pt>
                <pt idx="433">
                  <v>-0.05102577590741709</v>
                </pt>
                <pt idx="434">
                  <v>-0.04812763713080169</v>
                </pt>
                <pt idx="435">
                  <v>-0.04821027605336151</v>
                </pt>
                <pt idx="436">
                  <v>-0.05192563081009299</v>
                </pt>
                <pt idx="437">
                  <v>-0.05207778369738934</v>
                </pt>
                <pt idx="438">
                  <v>-0.05621420007992546</v>
                </pt>
                <pt idx="439">
                  <v>-0.06447737284741699</v>
                </pt>
                <pt idx="440">
                  <v>-0.06810564418822893</v>
                </pt>
                <pt idx="441">
                  <v>-0.07369415575651238</v>
                </pt>
                <pt idx="442">
                  <v>-0.07480688440168036</v>
                </pt>
                <pt idx="443">
                  <v>-0.07234507234507234</v>
                </pt>
                <pt idx="444">
                  <v>-0.06595979069126974</v>
                </pt>
                <pt idx="445">
                  <v>-0.06388580931263861</v>
                </pt>
                <pt idx="446">
                  <v>-0.0702313339797755</v>
                </pt>
                <pt idx="447">
                  <v>-0.07660283097418824</v>
                </pt>
                <pt idx="448">
                  <v>-0.06807676145118367</v>
                </pt>
                <pt idx="449">
                  <v>-0.06491499227202478</v>
                </pt>
                <pt idx="450">
                  <v>-0.0623853211009175</v>
                </pt>
                <pt idx="451">
                  <v>-0.04580479452054782</v>
                </pt>
                <pt idx="452">
                  <v>-0.04790677600345284</v>
                </pt>
                <pt idx="453">
                  <v>-0.03861285152265773</v>
                </pt>
                <pt idx="454">
                  <v>-0.02988135344953873</v>
                </pt>
                <pt idx="455">
                  <v>-0.02486756915832839</v>
                </pt>
                <pt idx="456">
                  <v>-0.02255639097744354</v>
                </pt>
                <pt idx="457">
                  <v>-0.01509992598075506</v>
                </pt>
                <pt idx="458">
                  <v>-0.009535160905840421</v>
                </pt>
                <pt idx="459">
                  <v>-0.002554854223023643</v>
                </pt>
                <pt idx="460">
                  <v>-0.002404930106718637</v>
                </pt>
                <pt idx="461">
                  <v>-0.00661157024793385</v>
                </pt>
                <pt idx="462">
                  <v>-0.008279391841035677</v>
                </pt>
                <pt idx="463">
                  <v>-0.01540302078660097</v>
                </pt>
                <pt idx="464">
                  <v>-0.001964339679661461</v>
                </pt>
                <pt idx="465">
                  <v>0.004243710215216836</v>
                </pt>
                <pt idx="466">
                  <v>0.007398459912426531</v>
                </pt>
                <pt idx="467">
                  <v>0.005130526633469107</v>
                </pt>
                <pt idx="468">
                  <v>0.005580693815988002</v>
                </pt>
                <pt idx="469">
                  <v>0.0009018487900195743</v>
                </pt>
                <pt idx="470">
                  <v>0.0009025270758123087</v>
                </pt>
                <pt idx="471">
                  <v>0.000452011450956689</v>
                </pt>
                <pt idx="472">
                  <v>0.001808045803826927</v>
                </pt>
                <pt idx="473">
                  <v>0.002117682650128539</v>
                </pt>
                <pt idx="474">
                  <v>0.0007589556769884639</v>
                </pt>
                <pt idx="475">
                  <v>-0.0009113001215067174</v>
                </pt>
                <pt idx="476">
                  <v>-0.01059803179409538</v>
                </pt>
                <pt idx="477">
                  <v>-0.009507998792635176</v>
                </pt>
                <pt idx="478">
                  <v>-0.0113908872901679</v>
                </pt>
                <pt idx="479">
                  <v>-0.001951658910073665</v>
                </pt>
                <pt idx="480">
                  <v>-0.005849707514624405</v>
                </pt>
                <pt idx="481">
                  <v>-0.02072383240726829</v>
                </pt>
                <pt idx="482">
                  <v>-0.02660054102795301</v>
                </pt>
                <pt idx="483">
                  <v>-0.01686746987951814</v>
                </pt>
                <pt idx="484">
                  <v>-0.02932771845390285</v>
                </pt>
                <pt idx="485">
                  <v>-0.03350943396226422</v>
                </pt>
                <pt idx="486">
                  <v>-0.03079023206431056</v>
                </pt>
                <pt idx="487">
                  <v>-0.03146853146853137</v>
                </pt>
                <pt idx="488">
                  <v>-0.0306044376434583</v>
                </pt>
                <pt idx="489">
                  <v>-0.03733048910559196</v>
                </pt>
                <pt idx="490">
                  <v>-0.04927228623408126</v>
                </pt>
                <pt idx="491">
                  <v>-0.06212394705174482</v>
                </pt>
                <pt idx="492">
                  <v>-0.05778515389257688</v>
                </pt>
                <pt idx="493">
                  <v>-0.04048458825333534</v>
                </pt>
                <pt idx="494">
                  <v>-0.02779064381658175</v>
                </pt>
                <pt idx="495">
                  <v>-0.03033088235294111</v>
                </pt>
                <pt idx="496">
                  <v>-0.0224666873256895</v>
                </pt>
                <pt idx="497">
                  <v>-0.01015149148836483</v>
                </pt>
                <pt idx="498">
                  <v>0.004694835680751174</v>
                </pt>
                <pt idx="499">
                  <v>0.01773661905509332</v>
                </pt>
                <pt idx="500">
                  <v>0.06866614048934491</v>
                </pt>
                <pt idx="501">
                  <v>0.03893637226970564</v>
                </pt>
                <pt idx="502">
                  <v>0.05198532929357363</v>
                </pt>
                <pt idx="503">
                  <v>0.06976744186046512</v>
                </pt>
                <pt idx="504">
                  <v>0.07301841473178547</v>
                </pt>
                <pt idx="505">
                  <v>0.0690426722071279</v>
                </pt>
                <pt idx="506">
                  <v>0.06161664284579951</v>
                </pt>
                <pt idx="507">
                  <v>0.04581358609794629</v>
                </pt>
                <pt idx="508">
                  <v>0.05024568077349825</v>
                </pt>
                <pt idx="509">
                  <v>0.0482802145787315</v>
                </pt>
                <pt idx="510">
                  <v>0.0376947040498443</v>
                </pt>
                <pt idx="511">
                  <v>0.01434299814929067</v>
                </pt>
                <pt idx="512">
                  <v>-0.02274741506646969</v>
                </pt>
                <pt idx="513">
                  <v>0.01234003656307133</v>
                </pt>
                <pt idx="514">
                  <v>0.01015613157495821</v>
                </pt>
                <pt idx="515">
                  <v>0.006296851574212962</v>
                </pt>
                <pt idx="516">
                  <v>0.002984629159826891</v>
                </pt>
                <pt idx="517">
                  <v>0.008222454776498729</v>
                </pt>
                <pt idx="518">
                  <v>0.008077786088257259</v>
                </pt>
                <pt idx="519">
                  <v>0.03066465256797576</v>
                </pt>
                <pt idx="520">
                  <v>0.04693631150015096</v>
                </pt>
                <pt idx="521">
                  <v>0.0529801324503312</v>
                </pt>
                <pt idx="522">
                  <v>0.05208646052236555</v>
                </pt>
                <pt idx="523">
                  <v>0.06842025239470884</v>
                </pt>
                <pt idx="524">
                  <v>0.0592503022974606</v>
                </pt>
                <pt idx="525">
                  <v>0.05628291948833706</v>
                </pt>
                <pt idx="526">
                  <v>0.05372148859543828</v>
                </pt>
                <pt idx="527">
                  <v>0.04916567342073897</v>
                </pt>
                <pt idx="528">
                  <v>0.04299955363785148</v>
                </pt>
                <pt idx="529">
                  <v>0.04952550415183864</v>
                </pt>
                <pt idx="530">
                  <v>0.05386555868823278</v>
                </pt>
                <pt idx="531">
                  <v>0.04235673457423434</v>
                </pt>
                <pt idx="532">
                  <v>0.02119071644803219</v>
                </pt>
                <pt idx="533">
                  <v>0.01600914808461968</v>
                </pt>
                <pt idx="534">
                  <v>0.01155657012412616</v>
                </pt>
                <pt idx="535">
                  <v>0.01864237939376677</v>
                </pt>
                <pt idx="536">
                  <v>0.02440068493150688</v>
                </pt>
                <pt idx="537">
                  <v>0.01723892292349341</v>
                </pt>
                <pt idx="538">
                  <v>0.0207917972087723</v>
                </pt>
                <pt idx="539">
                  <v>0.01931269525702912</v>
                </pt>
                <pt idx="540">
                  <v>0.01783166904422254</v>
                </pt>
                <pt idx="541">
                  <v>0.006781576716586703</v>
                </pt>
                <pt idx="542">
                  <v>-0.0004224162207829741</v>
                </pt>
                <pt idx="543">
                  <v>-0.01392013498312724</v>
                </pt>
                <pt idx="544">
                  <v>-0.00395256916996041</v>
                </pt>
                <pt idx="545">
                  <v>0.00239167135621841</v>
                </pt>
                <pt idx="546">
                  <v>-0.009308885754583954</v>
                </pt>
                <pt idx="547">
                  <v>-0.0184409052808046</v>
                </pt>
                <pt idx="548">
                  <v>-0.03398802061568461</v>
                </pt>
                <pt idx="549">
                  <v>-0.0316526610644258</v>
                </pt>
                <pt idx="550">
                  <v>-0.03097098214285705</v>
                </pt>
                <pt idx="551">
                  <v>-0.03357481192532726</v>
                </pt>
                <pt idx="552">
                  <v>-0.02985283812193406</v>
                </pt>
                <pt idx="553">
                  <v>-0.02989054167836103</v>
                </pt>
                <pt idx="554">
                  <v>-0.02436962952528519</v>
                </pt>
                <pt idx="555">
                  <v>-0.01853700270925424</v>
                </pt>
                <pt idx="556">
                  <v>-0.0233843537414966</v>
                </pt>
                <pt idx="557">
                  <v>-0.04336842105263155</v>
                </pt>
                <pt idx="558">
                  <v>-0.03701594533029613</v>
                </pt>
                <pt idx="559">
                  <v>-0.04155992029604333</v>
                </pt>
                <pt idx="560">
                  <v>-0.02984859408795969</v>
                </pt>
                <pt idx="561">
                  <v>-0.01836852762510838</v>
                </pt>
                <pt idx="562">
                  <v>-0.02303484019579614</v>
                </pt>
                <pt idx="563">
                  <v>-0.02998414300129749</v>
                </pt>
                <pt idx="564">
                  <v>-0.02585957815660227</v>
                </pt>
                <pt idx="565">
                  <v>-0.0345725444814118</v>
                </pt>
                <pt idx="566">
                  <v>-0.03883915680046199</v>
                </pt>
                <pt idx="567">
                  <v>-0.02774952782217044</v>
                </pt>
                <pt idx="568">
                  <v>-0.03076476563633732</v>
                </pt>
                <pt idx="569">
                  <v>-0.03139671361502344</v>
                </pt>
                <pt idx="570">
                  <v>-0.02306327616794799</v>
                </pt>
                <pt idx="571">
                  <v>-0.01588951588951579</v>
                </pt>
                <pt idx="572">
                  <v>-0.0194708680142686</v>
                </pt>
                <pt idx="573">
                  <v>-0.02843671725357311</v>
                </pt>
                <pt idx="574">
                  <v>-0.04111405835543763</v>
                </pt>
                <pt idx="575">
                  <v>-0.03477485510477037</v>
                </pt>
                <pt idx="576">
                  <v>-0.03707548568886253</v>
                </pt>
                <pt idx="577">
                  <v>-0.02756967335930473</v>
                </pt>
                <pt idx="578">
                  <v>-0.02268289019077666</v>
                </pt>
                <pt idx="579">
                  <v>-0.02809324566646752</v>
                </pt>
                <pt idx="580">
                  <v>-0.03054349453511001</v>
                </pt>
                <pt idx="581">
                  <v>-0.02166010299909129</v>
                </pt>
                <pt idx="582">
                  <v>-0.01800847457627115</v>
                </pt>
                <pt idx="583">
                  <v>-0.02882148785272374</v>
                </pt>
                <pt idx="584">
                  <v>0.01258147642867963</v>
                </pt>
                <pt idx="585">
                  <v>0.03002729754322122</v>
                </pt>
                <pt idx="586">
                  <v>0.09205471031197168</v>
                </pt>
                <pt idx="587">
                  <v>0.1665896843725944</v>
                </pt>
                <pt idx="588">
                  <v>0.1501617126135839</v>
                </pt>
                <pt idx="589">
                  <v>0.1352850539291217</v>
                </pt>
                <pt idx="590">
                  <v>0.1420227482324008</v>
                </pt>
                <pt idx="591">
                  <v>0.1649753997539976</v>
                </pt>
                <pt idx="592">
                  <v>0.1726640926640926</v>
                </pt>
                <pt idx="593">
                  <v>0.1956959281622542</v>
                </pt>
                <pt idx="594">
                  <v>0.1930960086299893</v>
                </pt>
                <pt idx="595">
                  <v>0.197172156619018</v>
                </pt>
                <pt idx="596">
                  <v>0.1546407185628742</v>
                </pt>
                <pt idx="597">
                  <v>0.1409010600706713</v>
                </pt>
                <pt idx="598">
                  <v>0.09020546017450046</v>
                </pt>
                <pt idx="599">
                  <v>0.02784743302098444</v>
                </pt>
                <pt idx="600">
                  <v>0.03106588109266209</v>
                </pt>
                <pt idx="601">
                  <v>0.06175352877307275</v>
                </pt>
                <pt idx="602">
                  <v>0.0600269179004038</v>
                </pt>
                <pt idx="603">
                  <v>0.03141084862082612</v>
                </pt>
                <pt idx="604">
                  <v>0.03648096931384176</v>
                </pt>
                <pt idx="605">
                  <v>0.03224135698562747</v>
                </pt>
                <pt idx="606">
                  <v>0.0233789718419012</v>
                </pt>
                <pt idx="607">
                  <v>0.04140168721609341</v>
                </pt>
                <pt idx="608">
                  <v>0.04913781926617411</v>
                </pt>
                <pt idx="609">
                  <v>0.04890953671441473</v>
                </pt>
                <pt idx="610">
                  <v>0.0747386084936104</v>
                </pt>
                <pt idx="611">
                  <v>0.06972265023112489</v>
                </pt>
                <pt idx="612">
                  <v>0.08402597402597409</v>
                </pt>
                <pt idx="613">
                  <v>0.07733606033490989</v>
                </pt>
                <pt idx="614">
                  <v>0.07960893854748595</v>
                </pt>
                <pt idx="615">
                  <v>0.08317338451695458</v>
                </pt>
                <pt idx="616">
                  <v>0.09745870393900895</v>
                </pt>
                <pt idx="617">
                  <v>0.09558454591068731</v>
                </pt>
                <pt idx="618">
                  <v>0.1177584248390762</v>
                </pt>
                <pt idx="619">
                  <v>0.1660019940179462</v>
                </pt>
                <pt idx="620">
                  <v>0.1562036579337617</v>
                </pt>
                <pt idx="621">
                  <v>0.1548966535433072</v>
                </pt>
                <pt idx="622">
                  <v>0.1536151813595964</v>
                </pt>
                <pt idx="623">
                  <v>0.144040331292762</v>
                </pt>
                <pt idx="624">
                  <v>0.1577812387684197</v>
                </pt>
                <pt idx="625">
                  <v>0.1468913146654011</v>
                </pt>
                <pt idx="626">
                  <v>0.145125249911796</v>
                </pt>
                <pt idx="627">
                  <v>0.1532191376255169</v>
                </pt>
                <pt idx="628">
                  <v>0.1421789973370383</v>
                </pt>
                <pt idx="629">
                  <v>0.1400274788184109</v>
                </pt>
                <pt idx="630">
                  <v>0.1435185185185185</v>
                </pt>
                <pt idx="631">
                  <v>0.09437793929029495</v>
                </pt>
                <pt idx="632">
                  <v>0.1042112013681059</v>
                </pt>
                <pt idx="633">
                  <v>0.1130286566528176</v>
                </pt>
                <pt idx="634">
                  <v>0.09911504424778766</v>
                </pt>
                <pt idx="635">
                  <v>0.1165669919210996</v>
                </pt>
                <pt idx="636">
                  <v>0.1061672185430464</v>
                </pt>
                <pt idx="637">
                  <v>0.09652389819987592</v>
                </pt>
                <pt idx="638">
                  <v>0.09489575844716017</v>
                </pt>
                <pt idx="639">
                  <v>0.1069452980946526</v>
                </pt>
                <pt idx="640">
                  <v>0.1030917384693361</v>
                </pt>
                <pt idx="641">
                  <v>0.08928392085969655</v>
                </pt>
                <pt idx="642">
                  <v>0.077910536190382</v>
                </pt>
                <pt idx="643">
                  <v>0.06729172770778394</v>
                </pt>
                <pt idx="644">
                  <v>0.07162907753363663</v>
                </pt>
                <pt idx="645">
                  <v>0.07771822358346099</v>
                </pt>
                <pt idx="646">
                  <v>0.06772757412143601</v>
                </pt>
                <pt idx="647">
                  <v>0.07056944183424159</v>
                </pt>
                <pt idx="648">
                  <v>0.07259120673526652</v>
                </pt>
                <pt idx="649">
                  <v>0.09114067364845731</v>
                </pt>
                <pt idx="650">
                  <v>0.09286183284870088</v>
                </pt>
                <pt idx="651">
                  <v>0.08421247455117528</v>
                </pt>
                <pt idx="652">
                  <v>0.08105127733872454</v>
                </pt>
                <pt idx="653">
                  <v>0.09671768393877936</v>
                </pt>
                <pt idx="654">
                  <v>0.09600586295346299</v>
                </pt>
                <pt idx="655">
                  <v>0.07952049780380682</v>
                </pt>
                <pt idx="656">
                  <v>0.0901454249841931</v>
                </pt>
                <pt idx="657">
                  <v>0.07611012433392544</v>
                </pt>
                <pt idx="658">
                  <v>0.08286018452803394</v>
                </pt>
                <pt idx="659">
                  <v>0.09497059597998775</v>
                </pt>
                <pt idx="660">
                  <v>0.09218559218559223</v>
                </pt>
                <pt idx="661">
                  <v>0.1040207522697795</v>
                </pt>
                <pt idx="662">
                  <v>0.09029267874002236</v>
                </pt>
                <pt idx="663">
                  <v>0.0828781153977468</v>
                </pt>
                <pt idx="664">
                  <v>0.06876912614756873</v>
                </pt>
                <pt idx="665">
                  <v>0.06759142496847423</v>
                </pt>
                <pt idx="666">
                  <v>0.06736877298562345</v>
                </pt>
                <pt idx="667">
                  <v>0.07798592862592184</v>
                </pt>
                <pt idx="668">
                  <v>0.06305410555969831</v>
                </pt>
                <pt idx="669">
                  <v>0.04918709251464876</v>
                </pt>
                <pt idx="670">
                  <v>0.06177289857447165</v>
                </pt>
                <pt idx="671">
                  <v>0.04513026052104205</v>
                </pt>
                <pt idx="672">
                  <v>0.03992653517527749</v>
                </pt>
                <pt idx="673">
                  <v>0.0322681704260652</v>
                </pt>
                <pt idx="674">
                  <v>0.04274580807683221</v>
                </pt>
                <pt idx="675">
                  <v>0.05485930480018909</v>
                </pt>
                <pt idx="676">
                  <v>0.07500198838781513</v>
                </pt>
                <pt idx="677">
                  <v>0.06370580360658308</v>
                </pt>
                <pt idx="678">
                  <v>0.05841816758026618</v>
                </pt>
                <pt idx="679">
                  <v>0.08453251553039239</v>
                </pt>
                <pt idx="680">
                  <v>0.07529228371005449</v>
                </pt>
                <pt idx="681">
                  <v>0.08471643199874149</v>
                </pt>
                <pt idx="682">
                  <v>0.06929012345679009</v>
                </pt>
                <pt idx="683">
                  <v>0.05752416014726185</v>
                </pt>
                <pt idx="684">
                  <v>0.06826384089687483</v>
                </pt>
                <pt idx="685">
                  <v>0.05735963581183605</v>
                </pt>
                <pt idx="686">
                  <v>0.06877547939000464</v>
                </pt>
                <pt idx="687">
                  <v>0.05648957632817764</v>
                </pt>
                <pt idx="688">
                  <v>0.06658774785439479</v>
                </pt>
                <pt idx="689">
                  <v>0.06914421083802198</v>
                </pt>
                <pt idx="690">
                  <v>0.07494820952944672</v>
                </pt>
                <pt idx="691">
                  <v>0.06017981438515081</v>
                </pt>
                <pt idx="692">
                  <v>0.04986952739924629</v>
                </pt>
                <pt idx="693">
                  <v>0.05982596084118927</v>
                </pt>
                <pt idx="694">
                  <v>0.05816135084427777</v>
                </pt>
                <pt idx="695">
                  <v>0.05910937046707282</v>
                </pt>
                <pt idx="696">
                  <v>0.05448533640022998</v>
                </pt>
                <pt idx="697">
                  <v>0.03925086107921932</v>
                </pt>
                <pt idx="698">
                  <v>0.03786112877021961</v>
                </pt>
                <pt idx="699">
                  <v>0.03451446354056154</v>
                </pt>
                <pt idx="700">
                  <v>0.0107519422863485</v>
                </pt>
                <pt idx="701">
                  <v>0.008101371001246397</v>
                </pt>
                <pt idx="702">
                  <v>0.008190515520682678</v>
                </pt>
                <pt idx="703">
                  <v>0.002872384078785423</v>
                </pt>
                <pt idx="704">
                  <v>0.01297983982325321</v>
                </pt>
                <pt idx="705">
                  <v>0.008279165241190496</v>
                </pt>
                <pt idx="706">
                  <v>-0.0008183306055646791</v>
                </pt>
                <pt idx="707">
                  <v>0.02218722180373902</v>
                </pt>
                <pt idx="708">
                  <v>0.01015678254942065</v>
                </pt>
                <pt idx="709">
                  <v>0.0227162880618657</v>
                </pt>
                <pt idx="710">
                  <v>0.0005444769618185221</v>
                </pt>
                <pt idx="711">
                  <v>0.01367334381623026</v>
                </pt>
                <pt idx="712">
                  <v>0.01839269782444594</v>
                </pt>
                <pt idx="713">
                  <v>0.03056528607734047</v>
                </pt>
                <pt idx="714">
                  <v>0.03072091753140361</v>
                </pt>
                <pt idx="715">
                  <v>0.02673213311511171</v>
                </pt>
                <pt idx="716">
                  <v>0.03612322791712105</v>
                </pt>
                <pt idx="717">
                  <v>0.03752714440825203</v>
                </pt>
                <pt idx="718">
                  <v>0.04559104559104556</v>
                </pt>
                <pt idx="719">
                  <v>0.04166945802907486</v>
                </pt>
                <pt idx="720">
                  <v>0.03643970578311627</v>
                </pt>
                <pt idx="721">
                  <v>0.03679449095328112</v>
                </pt>
                <pt idx="722">
                  <v>0.1229168083803823</v>
                </pt>
                <pt idx="723">
                  <v>0.2626964321845282</v>
                </pt>
                <pt idx="724">
                  <v>3.278388031538513</v>
                </pt>
                <pt idx="725">
                  <v>3.294721407624633</v>
                </pt>
                <pt idx="726">
                  <v>3.299841038548152</v>
                </pt>
                <pt idx="727">
                  <v>3.321532943676939</v>
                </pt>
                <pt idx="728">
                  <v>3.340678858044994</v>
                </pt>
                <pt idx="729">
                  <v>3.3616325462751</v>
                </pt>
                <pt idx="730">
                  <v>3.407049608355091</v>
                </pt>
                <pt idx="731">
                  <v>3.37539391600746</v>
                </pt>
                <pt idx="732">
                  <v>3.486424897454261</v>
                </pt>
                <pt idx="733">
                  <v>3.53552126066289</v>
                </pt>
                <pt idx="734">
                  <v>3.261024957596317</v>
                </pt>
                <pt idx="735">
                  <v>2.792436705480184</v>
                </pt>
                <pt idx="736">
                  <v>0.1305779135886087</v>
                </pt>
                <pt idx="737">
                  <v>0.1104162140351966</v>
                </pt>
                <pt idx="738">
                  <v>0.1072413315054146</v>
                </pt>
                <pt idx="739">
                  <v>0.1115192499807885</v>
                </pt>
                <pt idx="740">
                  <v>0.09864064133844554</v>
                </pt>
                <pt idx="741">
                  <v>0.08651120941741015</v>
                </pt>
                <pt idx="742">
                  <v>0.07614491379821071</v>
                </pt>
                <pt idx="743">
                  <v>0.07255302573750966</v>
                </pt>
                <pt idx="744">
                  <v>0.05305701888052018</v>
                </pt>
                <pt idx="745">
                  <v>0.035806581289841</v>
                </pt>
                <pt idx="746">
                  <v>0.02193599749790297</v>
                </pt>
                <pt idx="747">
                  <v>0.007802597109940642</v>
                </pt>
                <pt idx="748">
                  <v>-0.01278961227134043</v>
                </pt>
                <pt idx="749">
                  <v>-0.02278031668832893</v>
                </pt>
                <pt idx="750">
                  <v>-0.02785158804134621</v>
                </pt>
                <pt idx="751">
                  <v>-0.04117752796559784</v>
                </pt>
                <pt idx="752">
                  <v>-0.05667898918561031</v>
                </pt>
                <pt idx="753">
                  <v>-0.06907831175642477</v>
                </pt>
                <pt idx="754">
                  <v>-0.07959315688784291</v>
                </pt>
                <pt idx="755">
                  <v>-0.09103866025298404</v>
                </pt>
                <pt idx="756">
                  <v>-0.1025591554924686</v>
                </pt>
                <pt idx="757">
                  <v>-0.1114684112771326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050943048"/>
        <axId val="1050921400"/>
      </barChart>
      <dateAx>
        <axId val="1050943048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21400"/>
        <crosses val="autoZero"/>
        <lblOffset val="100"/>
        <baseTimeUnit val="months"/>
      </dateAx>
      <valAx>
        <axId val="1050921400"/>
        <scaling>
          <orientation val="minMax"/>
          <max val="0.4"/>
          <min val="-0.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3048"/>
        <crosses val="autoZero"/>
        <crossBetween val="between"/>
      </valAx>
    </plotArea>
    <plotVisOnly val="1"/>
    <dispBlanksAs val="gap"/>
  </chart>
</chartSpace>
</file>

<file path=xl/charts/chart4.xml><?xml version="1.0" encoding="utf-8"?>
<chartSpace xmlns="http://schemas.openxmlformats.org/drawingml/2006/chart">
  <chart>
    <title>
      <tx>
        <strRef>
          <f>Table30[[#Headers],[Real M2 Money Stock]]</f>
          <strCache>
            <ptCount val="1"/>
            <pt idx="0">
              <v>Real M2 Money Stock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'US M2 Real Monthly'!$B$5</f>
              <strCache>
                <ptCount val="1"/>
                <pt idx="0">
                  <v>Real M2 Money Stock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M2 Real Monthly'!$A$6:$A$778</f>
              <numCache>
                <formatCode>yyyy\-mm\-dd</formatCode>
                <ptCount val="773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  <pt idx="756">
                  <v>44562</v>
                </pt>
                <pt idx="757">
                  <v>44593</v>
                </pt>
                <pt idx="758">
                  <v>44621</v>
                </pt>
                <pt idx="759">
                  <v>44652</v>
                </pt>
                <pt idx="760">
                  <v>44682</v>
                </pt>
                <pt idx="761">
                  <v>44713</v>
                </pt>
                <pt idx="762">
                  <v>44743</v>
                </pt>
                <pt idx="763">
                  <v>44774</v>
                </pt>
                <pt idx="764">
                  <v>44805</v>
                </pt>
                <pt idx="765">
                  <v>44835</v>
                </pt>
                <pt idx="766">
                  <v>44866</v>
                </pt>
                <pt idx="767">
                  <v>44896</v>
                </pt>
                <pt idx="768">
                  <v>44927</v>
                </pt>
                <pt idx="769">
                  <v>44958</v>
                </pt>
              </numCache>
            </numRef>
          </cat>
          <val>
            <numRef>
              <f>'US M2 Real Monthly'!$B$6:$B$778</f>
              <numCache>
                <formatCode>0.0</formatCode>
                <ptCount val="773"/>
                <pt idx="0">
                  <v>987.9</v>
                </pt>
                <pt idx="1">
                  <v>992.1</v>
                </pt>
                <pt idx="2">
                  <v>998.3</v>
                </pt>
                <pt idx="3">
                  <v>1001</v>
                </pt>
                <pt idx="4">
                  <v>1006.2</v>
                </pt>
                <pt idx="5">
                  <v>1010.3</v>
                </pt>
                <pt idx="6">
                  <v>1012.7</v>
                </pt>
                <pt idx="7">
                  <v>1015.8</v>
                </pt>
                <pt idx="8">
                  <v>1014.4</v>
                </pt>
                <pt idx="9">
                  <v>1010.2</v>
                </pt>
                <pt idx="10">
                  <v>1012.3</v>
                </pt>
                <pt idx="11">
                  <v>1012.6</v>
                </pt>
                <pt idx="12">
                  <v>1015.3</v>
                </pt>
                <pt idx="13">
                  <v>1014.6</v>
                </pt>
                <pt idx="14">
                  <v>1017.7</v>
                </pt>
                <pt idx="15">
                  <v>1015.9</v>
                </pt>
                <pt idx="16">
                  <v>1017.6</v>
                </pt>
                <pt idx="17">
                  <v>1020.9</v>
                </pt>
                <pt idx="18">
                  <v>1029.1</v>
                </pt>
                <pt idx="19">
                  <v>1036.5</v>
                </pt>
                <pt idx="20">
                  <v>1041.5</v>
                </pt>
                <pt idx="21">
                  <v>1040.3</v>
                </pt>
                <pt idx="22">
                  <v>1044</v>
                </pt>
                <pt idx="23">
                  <v>1048</v>
                </pt>
                <pt idx="24">
                  <v>1052.6</v>
                </pt>
                <pt idx="25">
                  <v>1060.7</v>
                </pt>
                <pt idx="26">
                  <v>1066.7</v>
                </pt>
                <pt idx="27">
                  <v>1073.1</v>
                </pt>
                <pt idx="28">
                  <v>1079.8</v>
                </pt>
                <pt idx="29">
                  <v>1086.8</v>
                </pt>
                <pt idx="30">
                  <v>1088.2</v>
                </pt>
                <pt idx="31">
                  <v>1094.2</v>
                </pt>
                <pt idx="32">
                  <v>1099.1</v>
                </pt>
                <pt idx="33">
                  <v>1104.4</v>
                </pt>
                <pt idx="34">
                  <v>1112.1</v>
                </pt>
                <pt idx="35">
                  <v>1118</v>
                </pt>
                <pt idx="36">
                  <v>1123.5</v>
                </pt>
                <pt idx="37">
                  <v>1129.5</v>
                </pt>
                <pt idx="38">
                  <v>1137.2</v>
                </pt>
                <pt idx="39">
                  <v>1143.7</v>
                </pt>
                <pt idx="40">
                  <v>1149.1</v>
                </pt>
                <pt idx="41">
                  <v>1156.2</v>
                </pt>
                <pt idx="42">
                  <v>1160.8</v>
                </pt>
                <pt idx="43">
                  <v>1165.1</v>
                </pt>
                <pt idx="44">
                  <v>1166.7</v>
                </pt>
                <pt idx="45">
                  <v>1175.8</v>
                </pt>
                <pt idx="46">
                  <v>1184.3</v>
                </pt>
                <pt idx="47">
                  <v>1193.9</v>
                </pt>
                <pt idx="48">
                  <v>1199.7</v>
                </pt>
                <pt idx="49">
                  <v>1207</v>
                </pt>
                <pt idx="50">
                  <v>1215</v>
                </pt>
                <pt idx="51">
                  <v>1224.7</v>
                </pt>
                <pt idx="52">
                  <v>1232.7</v>
                </pt>
                <pt idx="53">
                  <v>1236.2</v>
                </pt>
                <pt idx="54">
                  <v>1241.8</v>
                </pt>
                <pt idx="55">
                  <v>1247.5</v>
                </pt>
                <pt idx="56">
                  <v>1256.5</v>
                </pt>
                <pt idx="57">
                  <v>1262.8</v>
                </pt>
                <pt idx="58">
                  <v>1271.9</v>
                </pt>
                <pt idx="59">
                  <v>1273.3</v>
                </pt>
                <pt idx="60">
                  <v>1277.3</v>
                </pt>
                <pt idx="61">
                  <v>1286.3</v>
                </pt>
                <pt idx="62">
                  <v>1292.2</v>
                </pt>
                <pt idx="63">
                  <v>1297.9</v>
                </pt>
                <pt idx="64">
                  <v>1304.7</v>
                </pt>
                <pt idx="65">
                  <v>1312.8</v>
                </pt>
                <pt idx="66">
                  <v>1322.1</v>
                </pt>
                <pt idx="67">
                  <v>1331.4</v>
                </pt>
                <pt idx="68">
                  <v>1341.4</v>
                </pt>
                <pt idx="69">
                  <v>1346.7</v>
                </pt>
                <pt idx="70">
                  <v>1352.1</v>
                </pt>
                <pt idx="71">
                  <v>1359</v>
                </pt>
                <pt idx="72">
                  <v>1366.7</v>
                </pt>
                <pt idx="73">
                  <v>1376</v>
                </pt>
                <pt idx="74">
                  <v>1383.6</v>
                </pt>
                <pt idx="75">
                  <v>1387.5</v>
                </pt>
                <pt idx="76">
                  <v>1388.5</v>
                </pt>
                <pt idx="77">
                  <v>1392.3</v>
                </pt>
                <pt idx="78">
                  <v>1402.5</v>
                </pt>
                <pt idx="79">
                  <v>1413</v>
                </pt>
                <pt idx="80">
                  <v>1421.6</v>
                </pt>
                <pt idx="81">
                  <v>1430</v>
                </pt>
                <pt idx="82">
                  <v>1435.3</v>
                </pt>
                <pt idx="83">
                  <v>1441.8</v>
                </pt>
                <pt idx="84">
                  <v>1449.2</v>
                </pt>
                <pt idx="85">
                  <v>1448.3</v>
                </pt>
                <pt idx="86">
                  <v>1451.8</v>
                </pt>
                <pt idx="87">
                  <v>1453.8</v>
                </pt>
                <pt idx="88">
                  <v>1453.2</v>
                </pt>
                <pt idx="89">
                  <v>1455.2</v>
                </pt>
                <pt idx="90">
                  <v>1451.2</v>
                </pt>
                <pt idx="91">
                  <v>1447.5</v>
                </pt>
                <pt idx="92">
                  <v>1451.6</v>
                </pt>
                <pt idx="93">
                  <v>1448.1</v>
                </pt>
                <pt idx="94">
                  <v>1451.6</v>
                </pt>
                <pt idx="95">
                  <v>1458.7</v>
                </pt>
                <pt idx="96">
                  <v>1463.8</v>
                </pt>
                <pt idx="97">
                  <v>1470</v>
                </pt>
                <pt idx="98">
                  <v>1483.9</v>
                </pt>
                <pt idx="99">
                  <v>1486.7</v>
                </pt>
                <pt idx="100">
                  <v>1502.1</v>
                </pt>
                <pt idx="101">
                  <v>1507.5</v>
                </pt>
                <pt idx="102">
                  <v>1515.9</v>
                </pt>
                <pt idx="103">
                  <v>1524.8</v>
                </pt>
                <pt idx="104">
                  <v>1531.8</v>
                </pt>
                <pt idx="105">
                  <v>1537.7</v>
                </pt>
                <pt idx="106">
                  <v>1537.5</v>
                </pt>
                <pt idx="107">
                  <v>1543.5</v>
                </pt>
                <pt idx="108">
                  <v>1546.6</v>
                </pt>
                <pt idx="109">
                  <v>1550.9</v>
                </pt>
                <pt idx="110">
                  <v>1554.5</v>
                </pt>
                <pt idx="111">
                  <v>1557.3</v>
                </pt>
                <pt idx="112">
                  <v>1562</v>
                </pt>
                <pt idx="113">
                  <v>1563.7</v>
                </pt>
                <pt idx="114">
                  <v>1563.3</v>
                </pt>
                <pt idx="115">
                  <v>1569.7</v>
                </pt>
                <pt idx="116">
                  <v>1577.2</v>
                </pt>
                <pt idx="117">
                  <v>1579.6</v>
                </pt>
                <pt idx="118">
                  <v>1588.7</v>
                </pt>
                <pt idx="119">
                  <v>1592.1</v>
                </pt>
                <pt idx="120">
                  <v>1594.7</v>
                </pt>
                <pt idx="121">
                  <v>1597.5</v>
                </pt>
                <pt idx="122">
                  <v>1591.1</v>
                </pt>
                <pt idx="123">
                  <v>1586</v>
                </pt>
                <pt idx="124">
                  <v>1583.8</v>
                </pt>
                <pt idx="125">
                  <v>1580.6</v>
                </pt>
                <pt idx="126">
                  <v>1574.7</v>
                </pt>
                <pt idx="127">
                  <v>1572.1</v>
                </pt>
                <pt idx="128">
                  <v>1569</v>
                </pt>
                <pt idx="129">
                  <v>1564.1</v>
                </pt>
                <pt idx="130">
                  <v>1561.1</v>
                </pt>
                <pt idx="131">
                  <v>1559.4</v>
                </pt>
                <pt idx="132">
                  <v>1555.7</v>
                </pt>
                <pt idx="133">
                  <v>1538.8</v>
                </pt>
                <pt idx="134">
                  <v>1533.4</v>
                </pt>
                <pt idx="135">
                  <v>1528.3</v>
                </pt>
                <pt idx="136">
                  <v>1532.4</v>
                </pt>
                <pt idx="137">
                  <v>1534</v>
                </pt>
                <pt idx="138">
                  <v>1540.1</v>
                </pt>
                <pt idx="139">
                  <v>1551</v>
                </pt>
                <pt idx="140">
                  <v>1559.2</v>
                </pt>
                <pt idx="141">
                  <v>1564.5</v>
                </pt>
                <pt idx="142">
                  <v>1568.4</v>
                </pt>
                <pt idx="143">
                  <v>1574.1</v>
                </pt>
                <pt idx="144">
                  <v>1586.2</v>
                </pt>
                <pt idx="145">
                  <v>1606.5</v>
                </pt>
                <pt idx="146">
                  <v>1624.7</v>
                </pt>
                <pt idx="147">
                  <v>1641.9</v>
                </pt>
                <pt idx="148">
                  <v>1654.3</v>
                </pt>
                <pt idx="149">
                  <v>1661.7</v>
                </pt>
                <pt idx="150">
                  <v>1673.9</v>
                </pt>
                <pt idx="151">
                  <v>1684.3</v>
                </pt>
                <pt idx="152">
                  <v>1697.3</v>
                </pt>
                <pt idx="153">
                  <v>1707.6</v>
                </pt>
                <pt idx="154">
                  <v>1718.5</v>
                </pt>
                <pt idx="155">
                  <v>1728.2</v>
                </pt>
                <pt idx="156">
                  <v>1742</v>
                </pt>
                <pt idx="157">
                  <v>1752.9</v>
                </pt>
                <pt idx="158">
                  <v>1771.7</v>
                </pt>
                <pt idx="159">
                  <v>1779.3</v>
                </pt>
                <pt idx="160">
                  <v>1786.8</v>
                </pt>
                <pt idx="161">
                  <v>1797.8</v>
                </pt>
                <pt idx="162">
                  <v>1817</v>
                </pt>
                <pt idx="163">
                  <v>1834.6</v>
                </pt>
                <pt idx="164">
                  <v>1848.7</v>
                </pt>
                <pt idx="165">
                  <v>1864.7</v>
                </pt>
                <pt idx="166">
                  <v>1872.4</v>
                </pt>
                <pt idx="167">
                  <v>1887.8</v>
                </pt>
                <pt idx="168">
                  <v>1897.7</v>
                </pt>
                <pt idx="169">
                  <v>1893.3</v>
                </pt>
                <pt idx="170">
                  <v>1878.6</v>
                </pt>
                <pt idx="171">
                  <v>1875.7</v>
                </pt>
                <pt idx="172">
                  <v>1883.4</v>
                </pt>
                <pt idx="173">
                  <v>1885.3</v>
                </pt>
                <pt idx="174">
                  <v>1892.5</v>
                </pt>
                <pt idx="175">
                  <v>1864</v>
                </pt>
                <pt idx="176">
                  <v>1856.9</v>
                </pt>
                <pt idx="177">
                  <v>1847.8</v>
                </pt>
                <pt idx="178">
                  <v>1849.5</v>
                </pt>
                <pt idx="179">
                  <v>1847.7</v>
                </pt>
                <pt idx="180">
                  <v>1837</v>
                </pt>
                <pt idx="181">
                  <v>1827.1</v>
                </pt>
                <pt idx="182">
                  <v>1820.3</v>
                </pt>
                <pt idx="183">
                  <v>1814.8</v>
                </pt>
                <pt idx="184">
                  <v>1799.6</v>
                </pt>
                <pt idx="185">
                  <v>1791.4</v>
                </pt>
                <pt idx="186">
                  <v>1787.8</v>
                </pt>
                <pt idx="187">
                  <v>1771.7</v>
                </pt>
                <pt idx="188">
                  <v>1754.7</v>
                </pt>
                <pt idx="189">
                  <v>1751.6</v>
                </pt>
                <pt idx="190">
                  <v>1744.9</v>
                </pt>
                <pt idx="191">
                  <v>1738.2</v>
                </pt>
                <pt idx="192">
                  <v>1732.9</v>
                </pt>
                <pt idx="193">
                  <v>1737.8</v>
                </pt>
                <pt idx="194">
                  <v>1751.9</v>
                </pt>
                <pt idx="195">
                  <v>1764.3</v>
                </pt>
                <pt idx="196">
                  <v>1785.1</v>
                </pt>
                <pt idx="197">
                  <v>1800</v>
                </pt>
                <pt idx="198">
                  <v>1805.7</v>
                </pt>
                <pt idx="199">
                  <v>1813.8</v>
                </pt>
                <pt idx="200">
                  <v>1815.9</v>
                </pt>
                <pt idx="201">
                  <v>1817.5</v>
                </pt>
                <pt idx="202">
                  <v>1820.8</v>
                </pt>
                <pt idx="203">
                  <v>1827.7</v>
                </pt>
                <pt idx="204">
                  <v>1839.8</v>
                </pt>
                <pt idx="205">
                  <v>1861</v>
                </pt>
                <pt idx="206">
                  <v>1875</v>
                </pt>
                <pt idx="207">
                  <v>1890.9</v>
                </pt>
                <pt idx="208">
                  <v>1900.9</v>
                </pt>
                <pt idx="209">
                  <v>1900.5</v>
                </pt>
                <pt idx="210">
                  <v>1905.8</v>
                </pt>
                <pt idx="211">
                  <v>1917.5</v>
                </pt>
                <pt idx="212">
                  <v>1928.5</v>
                </pt>
                <pt idx="213">
                  <v>1943</v>
                </pt>
                <pt idx="214">
                  <v>1959</v>
                </pt>
                <pt idx="215">
                  <v>1972.6</v>
                </pt>
                <pt idx="216">
                  <v>1985</v>
                </pt>
                <pt idx="217">
                  <v>1985.8</v>
                </pt>
                <pt idx="218">
                  <v>1994.1</v>
                </pt>
                <pt idx="219">
                  <v>1999.3</v>
                </pt>
                <pt idx="220">
                  <v>2008.3</v>
                </pt>
                <pt idx="221">
                  <v>2012.9</v>
                </pt>
                <pt idx="222">
                  <v>2017.6</v>
                </pt>
                <pt idx="223">
                  <v>2024.5</v>
                </pt>
                <pt idx="224">
                  <v>2033</v>
                </pt>
                <pt idx="225">
                  <v>2035.7</v>
                </pt>
                <pt idx="226">
                  <v>2036.1</v>
                </pt>
                <pt idx="227">
                  <v>2039</v>
                </pt>
                <pt idx="228">
                  <v>2041</v>
                </pt>
                <pt idx="229">
                  <v>2040.5</v>
                </pt>
                <pt idx="230">
                  <v>2038.2</v>
                </pt>
                <pt idx="231">
                  <v>2035.1</v>
                </pt>
                <pt idx="232">
                  <v>2031.8</v>
                </pt>
                <pt idx="233">
                  <v>2028.5</v>
                </pt>
                <pt idx="234">
                  <v>2021.5</v>
                </pt>
                <pt idx="235">
                  <v>2023.5</v>
                </pt>
                <pt idx="236">
                  <v>2022.6</v>
                </pt>
                <pt idx="237">
                  <v>2015.4</v>
                </pt>
                <pt idx="238">
                  <v>2013.5</v>
                </pt>
                <pt idx="239">
                  <v>2011.8</v>
                </pt>
                <pt idx="240">
                  <v>2002.3</v>
                </pt>
                <pt idx="241">
                  <v>1991</v>
                </pt>
                <pt idx="242">
                  <v>1985.4</v>
                </pt>
                <pt idx="243">
                  <v>1986</v>
                </pt>
                <pt idx="244">
                  <v>1975.1</v>
                </pt>
                <pt idx="245">
                  <v>1970.9</v>
                </pt>
                <pt idx="246">
                  <v>1965.5</v>
                </pt>
                <pt idx="247">
                  <v>1962.8</v>
                </pt>
                <pt idx="248">
                  <v>1954.4</v>
                </pt>
                <pt idx="249">
                  <v>1942</v>
                </pt>
                <pt idx="250">
                  <v>1928.8</v>
                </pt>
                <pt idx="251">
                  <v>1916.4</v>
                </pt>
                <pt idx="252">
                  <v>1900.9</v>
                </pt>
                <pt idx="253">
                  <v>1891.9</v>
                </pt>
                <pt idx="254">
                  <v>1872.4</v>
                </pt>
                <pt idx="255">
                  <v>1856.9</v>
                </pt>
                <pt idx="256">
                  <v>1851</v>
                </pt>
                <pt idx="257">
                  <v>1853.6</v>
                </pt>
                <pt idx="258">
                  <v>1871.1</v>
                </pt>
                <pt idx="259">
                  <v>1876.8</v>
                </pt>
                <pt idx="260">
                  <v>1876</v>
                </pt>
                <pt idx="261">
                  <v>1871.1</v>
                </pt>
                <pt idx="262">
                  <v>1864.3</v>
                </pt>
                <pt idx="263">
                  <v>1851.6</v>
                </pt>
                <pt idx="264">
                  <v>1842.8</v>
                </pt>
                <pt idx="265">
                  <v>1839.4</v>
                </pt>
                <pt idx="266">
                  <v>1847.2</v>
                </pt>
                <pt idx="267">
                  <v>1862.2</v>
                </pt>
                <pt idx="268">
                  <v>1855.3</v>
                </pt>
                <pt idx="269">
                  <v>1845.6</v>
                </pt>
                <pt idx="270">
                  <v>1838.1</v>
                </pt>
                <pt idx="271">
                  <v>1837.6</v>
                </pt>
                <pt idx="272">
                  <v>1832.4</v>
                </pt>
                <pt idx="273">
                  <v>1843.5</v>
                </pt>
                <pt idx="274">
                  <v>1850.9</v>
                </pt>
                <pt idx="275">
                  <v>1865.6</v>
                </pt>
                <pt idx="276">
                  <v>1875.4</v>
                </pt>
                <pt idx="277">
                  <v>1873.8</v>
                </pt>
                <pt idx="278">
                  <v>1886.5</v>
                </pt>
                <pt idx="279">
                  <v>1898.8</v>
                </pt>
                <pt idx="280">
                  <v>1893</v>
                </pt>
                <pt idx="281">
                  <v>1882.5</v>
                </pt>
                <pt idx="282">
                  <v>1878.5</v>
                </pt>
                <pt idx="283">
                  <v>1888.6</v>
                </pt>
                <pt idx="284">
                  <v>1902.1</v>
                </pt>
                <pt idx="285">
                  <v>1905.9</v>
                </pt>
                <pt idx="286">
                  <v>1922.1</v>
                </pt>
                <pt idx="287">
                  <v>1950.8</v>
                </pt>
                <pt idx="288">
                  <v>2001.4</v>
                </pt>
                <pt idx="289">
                  <v>2037.6</v>
                </pt>
                <pt idx="290">
                  <v>2054.2</v>
                </pt>
                <pt idx="291">
                  <v>2053.2</v>
                </pt>
                <pt idx="292">
                  <v>2059.6</v>
                </pt>
                <pt idx="293">
                  <v>2065.9</v>
                </pt>
                <pt idx="294">
                  <v>2068.9</v>
                </pt>
                <pt idx="295">
                  <v>2071.9</v>
                </pt>
                <pt idx="296">
                  <v>2074.9</v>
                </pt>
                <pt idx="297">
                  <v>2082.5</v>
                </pt>
                <pt idx="298">
                  <v>2089.3</v>
                </pt>
                <pt idx="299">
                  <v>2094.2</v>
                </pt>
                <pt idx="300">
                  <v>2094.2</v>
                </pt>
                <pt idx="301">
                  <v>2103.5</v>
                </pt>
                <pt idx="302">
                  <v>2113.9</v>
                </pt>
                <pt idx="303">
                  <v>2121.7</v>
                </pt>
                <pt idx="304">
                  <v>2129.6</v>
                </pt>
                <pt idx="305">
                  <v>2136.1</v>
                </pt>
                <pt idx="306">
                  <v>2135.9</v>
                </pt>
                <pt idx="307">
                  <v>2136.4</v>
                </pt>
                <pt idx="308">
                  <v>2143.6</v>
                </pt>
                <pt idx="309">
                  <v>2149.3</v>
                </pt>
                <pt idx="310">
                  <v>2166.6</v>
                </pt>
                <pt idx="311">
                  <v>2186.2</v>
                </pt>
                <pt idx="312">
                  <v>2206.6</v>
                </pt>
                <pt idx="313">
                  <v>2214.6</v>
                </pt>
                <pt idx="314">
                  <v>2215.5</v>
                </pt>
                <pt idx="315">
                  <v>2220</v>
                </pt>
                <pt idx="316">
                  <v>2229</v>
                </pt>
                <pt idx="317">
                  <v>2244.3</v>
                </pt>
                <pt idx="318">
                  <v>2255.8</v>
                </pt>
                <pt idx="319">
                  <v>2265.1</v>
                </pt>
                <pt idx="320">
                  <v>2272.3</v>
                </pt>
                <pt idx="321">
                  <v>2274.7</v>
                </pt>
                <pt idx="322">
                  <v>2273.2</v>
                </pt>
                <pt idx="323">
                  <v>2275.9</v>
                </pt>
                <pt idx="324">
                  <v>2276.7</v>
                </pt>
                <pt idx="325">
                  <v>2290.7</v>
                </pt>
                <pt idx="326">
                  <v>2321.8</v>
                </pt>
                <pt idx="327">
                  <v>2353.1</v>
                </pt>
                <pt idx="328">
                  <v>2371.4</v>
                </pt>
                <pt idx="329">
                  <v>2381.2</v>
                </pt>
                <pt idx="330">
                  <v>2398.7</v>
                </pt>
                <pt idx="331">
                  <v>2414.7</v>
                </pt>
                <pt idx="332">
                  <v>2425.3</v>
                </pt>
                <pt idx="333">
                  <v>2438.7</v>
                </pt>
                <pt idx="334">
                  <v>2446.8</v>
                </pt>
                <pt idx="335">
                  <v>2462.1</v>
                </pt>
                <pt idx="336">
                  <v>2463.1</v>
                </pt>
                <pt idx="337">
                  <v>2457.5</v>
                </pt>
                <pt idx="338">
                  <v>2454.3</v>
                </pt>
                <pt idx="339">
                  <v>2455.8</v>
                </pt>
                <pt idx="340">
                  <v>2453.9</v>
                </pt>
                <pt idx="341">
                  <v>2444.6</v>
                </pt>
                <pt idx="342">
                  <v>2442</v>
                </pt>
                <pt idx="343">
                  <v>2439.4</v>
                </pt>
                <pt idx="344">
                  <v>2440.7</v>
                </pt>
                <pt idx="345">
                  <v>2447.7</v>
                </pt>
                <pt idx="346">
                  <v>2442.7</v>
                </pt>
                <pt idx="347">
                  <v>2445</v>
                </pt>
                <pt idx="348">
                  <v>2454.7</v>
                </pt>
                <pt idx="349">
                  <v>2470.2</v>
                </pt>
                <pt idx="350">
                  <v>2481.3</v>
                </pt>
                <pt idx="351">
                  <v>2483.5</v>
                </pt>
                <pt idx="352">
                  <v>2490.2</v>
                </pt>
                <pt idx="353">
                  <v>2490.2</v>
                </pt>
                <pt idx="354">
                  <v>2487.1</v>
                </pt>
                <pt idx="355">
                  <v>2480.7</v>
                </pt>
                <pt idx="356">
                  <v>2474.4</v>
                </pt>
                <pt idx="357">
                  <v>2473.1</v>
                </pt>
                <pt idx="358">
                  <v>2477.3</v>
                </pt>
                <pt idx="359">
                  <v>2475.7</v>
                </pt>
                <pt idx="360">
                  <v>2468.4</v>
                </pt>
                <pt idx="361">
                  <v>2460.7</v>
                </pt>
                <pt idx="362">
                  <v>2454.7</v>
                </pt>
                <pt idx="363">
                  <v>2441.9</v>
                </pt>
                <pt idx="364">
                  <v>2434.6</v>
                </pt>
                <pt idx="365">
                  <v>2439.9</v>
                </pt>
                <pt idx="366">
                  <v>2451.7</v>
                </pt>
                <pt idx="367">
                  <v>2469.4</v>
                </pt>
                <pt idx="368">
                  <v>2478</v>
                </pt>
                <pt idx="369">
                  <v>2483.3</v>
                </pt>
                <pt idx="370">
                  <v>2488.7</v>
                </pt>
                <pt idx="371">
                  <v>2496</v>
                </pt>
                <pt idx="372">
                  <v>2483.8</v>
                </pt>
                <pt idx="373">
                  <v>2483.8</v>
                </pt>
                <pt idx="374">
                  <v>2480.6</v>
                </pt>
                <pt idx="375">
                  <v>2483.8</v>
                </pt>
                <pt idx="376">
                  <v>2479.2</v>
                </pt>
                <pt idx="377">
                  <v>2474</v>
                </pt>
                <pt idx="378">
                  <v>2470.9</v>
                </pt>
                <pt idx="379">
                  <v>2463.5</v>
                </pt>
                <pt idx="380">
                  <v>2456.3</v>
                </pt>
                <pt idx="381">
                  <v>2443.3</v>
                </pt>
                <pt idx="382">
                  <v>2440.2</v>
                </pt>
                <pt idx="383">
                  <v>2438</v>
                </pt>
                <pt idx="384">
                  <v>2440.8</v>
                </pt>
                <pt idx="385">
                  <v>2451.4</v>
                </pt>
                <pt idx="386">
                  <v>2464.3</v>
                </pt>
                <pt idx="387">
                  <v>2466.6</v>
                </pt>
                <pt idx="388">
                  <v>2465.3</v>
                </pt>
                <pt idx="389">
                  <v>2464.6</v>
                </pt>
                <pt idx="390">
                  <v>2464.1</v>
                </pt>
                <pt idx="391">
                  <v>2456.1</v>
                </pt>
                <pt idx="392">
                  <v>2448.8</v>
                </pt>
                <pt idx="393">
                  <v>2449.1</v>
                </pt>
                <pt idx="394">
                  <v>2442.3</v>
                </pt>
                <pt idx="395">
                  <v>2440.1</v>
                </pt>
                <pt idx="396">
                  <v>2444.8</v>
                </pt>
                <pt idx="397">
                  <v>2453.1</v>
                </pt>
                <pt idx="398">
                  <v>2447.1</v>
                </pt>
                <pt idx="399">
                  <v>2438.8</v>
                </pt>
                <pt idx="400">
                  <v>2432.8</v>
                </pt>
                <pt idx="401">
                  <v>2422.1</v>
                </pt>
                <pt idx="402">
                  <v>2415.6</v>
                </pt>
                <pt idx="403">
                  <v>2413.9</v>
                </pt>
                <pt idx="404">
                  <v>2416.9</v>
                </pt>
                <pt idx="405">
                  <v>2416.2</v>
                </pt>
                <pt idx="406">
                  <v>2411.3</v>
                </pt>
                <pt idx="407">
                  <v>2406.7</v>
                </pt>
                <pt idx="408">
                  <v>2394.3</v>
                </pt>
                <pt idx="409">
                  <v>2386.1</v>
                </pt>
                <pt idx="410">
                  <v>2380.8</v>
                </pt>
                <pt idx="411">
                  <v>2372.3</v>
                </pt>
                <pt idx="412">
                  <v>2383.4</v>
                </pt>
                <pt idx="413">
                  <v>2385.6</v>
                </pt>
                <pt idx="414">
                  <v>2382</v>
                </pt>
                <pt idx="415">
                  <v>2379.6</v>
                </pt>
                <pt idx="416">
                  <v>2380.8</v>
                </pt>
                <pt idx="417">
                  <v>2374.1</v>
                </pt>
                <pt idx="418">
                  <v>2376.8</v>
                </pt>
                <pt idx="419">
                  <v>2374.9</v>
                </pt>
                <pt idx="420">
                  <v>2375.2</v>
                </pt>
                <pt idx="421">
                  <v>2369.3</v>
                </pt>
                <pt idx="422">
                  <v>2365.8</v>
                </pt>
                <pt idx="423">
                  <v>2365</v>
                </pt>
                <pt idx="424">
                  <v>2366.6</v>
                </pt>
                <pt idx="425">
                  <v>2352.6</v>
                </pt>
                <pt idx="426">
                  <v>2350.5</v>
                </pt>
                <pt idx="427">
                  <v>2339.4</v>
                </pt>
                <pt idx="428">
                  <v>2335</v>
                </pt>
                <pt idx="429">
                  <v>2332.2</v>
                </pt>
                <pt idx="430">
                  <v>2327.9</v>
                </pt>
                <pt idx="431">
                  <v>2322.7</v>
                </pt>
                <pt idx="432">
                  <v>2320.5</v>
                </pt>
                <pt idx="433">
                  <v>2312.7</v>
                </pt>
                <pt idx="434">
                  <v>2308.9</v>
                </pt>
                <pt idx="435">
                  <v>2305.1</v>
                </pt>
                <pt idx="436">
                  <v>2317</v>
                </pt>
                <pt idx="437">
                  <v>2328.7</v>
                </pt>
                <pt idx="438">
                  <v>2337.7</v>
                </pt>
                <pt idx="439">
                  <v>2347.3</v>
                </pt>
                <pt idx="440">
                  <v>2352.8</v>
                </pt>
                <pt idx="441">
                  <v>2354</v>
                </pt>
                <pt idx="442">
                  <v>2355.2</v>
                </pt>
                <pt idx="443">
                  <v>2358.3</v>
                </pt>
                <pt idx="444">
                  <v>2358</v>
                </pt>
                <pt idx="445">
                  <v>2362.5</v>
                </pt>
                <pt idx="446">
                  <v>2371</v>
                </pt>
                <pt idx="447">
                  <v>2368.8</v>
                </pt>
                <pt idx="448">
                  <v>2371.9</v>
                </pt>
                <pt idx="449">
                  <v>2375.6</v>
                </pt>
                <pt idx="450">
                  <v>2380.3</v>
                </pt>
                <pt idx="451">
                  <v>2381.7</v>
                </pt>
                <pt idx="452">
                  <v>2380.1</v>
                </pt>
                <pt idx="453">
                  <v>2384.8</v>
                </pt>
                <pt idx="454">
                  <v>2391.4</v>
                </pt>
                <pt idx="455">
                  <v>2400.1</v>
                </pt>
                <pt idx="456">
                  <v>2405.6</v>
                </pt>
                <pt idx="457">
                  <v>2408.5</v>
                </pt>
                <pt idx="458">
                  <v>2416.3</v>
                </pt>
                <pt idx="459">
                  <v>2424.6</v>
                </pt>
                <pt idx="460">
                  <v>2432.3</v>
                </pt>
                <pt idx="461">
                  <v>2438.2</v>
                </pt>
                <pt idx="462">
                  <v>2446.3</v>
                </pt>
                <pt idx="463">
                  <v>2461.1</v>
                </pt>
                <pt idx="464">
                  <v>2464.7</v>
                </pt>
                <pt idx="465">
                  <v>2472</v>
                </pt>
                <pt idx="466">
                  <v>2482.9</v>
                </pt>
                <pt idx="467">
                  <v>2492.5</v>
                </pt>
                <pt idx="468">
                  <v>2503.8</v>
                </pt>
                <pt idx="469">
                  <v>2524</v>
                </pt>
                <pt idx="470">
                  <v>2539.7</v>
                </pt>
                <pt idx="471">
                  <v>2552.5</v>
                </pt>
                <pt idx="472">
                  <v>2561.1</v>
                </pt>
                <pt idx="473">
                  <v>2570.1</v>
                </pt>
                <pt idx="474">
                  <v>2575.9</v>
                </pt>
                <pt idx="475">
                  <v>2587.9</v>
                </pt>
                <pt idx="476">
                  <v>2610.2</v>
                </pt>
                <pt idx="477">
                  <v>2628.2</v>
                </pt>
                <pt idx="478">
                  <v>2648.6</v>
                </pt>
                <pt idx="479">
                  <v>2661.3</v>
                </pt>
                <pt idx="480">
                  <v>2673.1</v>
                </pt>
                <pt idx="481">
                  <v>2686.9</v>
                </pt>
                <pt idx="482">
                  <v>2689.4</v>
                </pt>
                <pt idx="483">
                  <v>2688.8</v>
                </pt>
                <pt idx="484">
                  <v>2702</v>
                </pt>
                <pt idx="485">
                  <v>2715.2</v>
                </pt>
                <pt idx="486">
                  <v>2720.2</v>
                </pt>
                <pt idx="487">
                  <v>2723.9</v>
                </pt>
                <pt idx="488">
                  <v>2722.1</v>
                </pt>
                <pt idx="489">
                  <v>2731.4</v>
                </pt>
                <pt idx="490">
                  <v>2737.8</v>
                </pt>
                <pt idx="491">
                  <v>2747.6</v>
                </pt>
                <pt idx="492">
                  <v>2756.2</v>
                </pt>
                <pt idx="493">
                  <v>2752.6</v>
                </pt>
                <pt idx="494">
                  <v>2754.5</v>
                </pt>
                <pt idx="495">
                  <v>2788.8</v>
                </pt>
                <pt idx="496">
                  <v>2776.8</v>
                </pt>
                <pt idx="497">
                  <v>2771.1</v>
                </pt>
                <pt idx="498">
                  <v>2773.2</v>
                </pt>
                <pt idx="499">
                  <v>2789.5</v>
                </pt>
                <pt idx="500">
                  <v>2795.6</v>
                </pt>
                <pt idx="501">
                  <v>2800</v>
                </pt>
                <pt idx="502">
                  <v>2801.5</v>
                </pt>
                <pt idx="503">
                  <v>2820.7</v>
                </pt>
                <pt idx="504">
                  <v>2833.5</v>
                </pt>
                <pt idx="505">
                  <v>2848.9</v>
                </pt>
                <pt idx="506">
                  <v>2880.2</v>
                </pt>
                <pt idx="507">
                  <v>2911.5</v>
                </pt>
                <pt idx="508">
                  <v>2895.1</v>
                </pt>
                <pt idx="509">
                  <v>2911.4</v>
                </pt>
                <pt idx="510">
                  <v>2933.1</v>
                </pt>
                <pt idx="511">
                  <v>2952.2</v>
                </pt>
                <pt idx="512">
                  <v>3003</v>
                </pt>
                <pt idx="513">
                  <v>3005.1</v>
                </pt>
                <pt idx="514">
                  <v>3031.4</v>
                </pt>
                <pt idx="515">
                  <v>3063</v>
                </pt>
                <pt idx="516">
                  <v>3069.3</v>
                </pt>
                <pt idx="517">
                  <v>3080.6</v>
                </pt>
                <pt idx="518">
                  <v>3078.5</v>
                </pt>
                <pt idx="519">
                  <v>3064.9</v>
                </pt>
                <pt idx="520">
                  <v>3076</v>
                </pt>
                <pt idx="521">
                  <v>3088.3</v>
                </pt>
                <pt idx="522">
                  <v>3105.1</v>
                </pt>
                <pt idx="523">
                  <v>3120</v>
                </pt>
                <pt idx="524">
                  <v>3128.3</v>
                </pt>
                <pt idx="525">
                  <v>3145.9</v>
                </pt>
                <pt idx="526">
                  <v>3168.4</v>
                </pt>
                <pt idx="527">
                  <v>3174.9</v>
                </pt>
                <pt idx="528">
                  <v>3178.9</v>
                </pt>
                <pt idx="529">
                  <v>3181.2</v>
                </pt>
                <pt idx="530">
                  <v>3187.3</v>
                </pt>
                <pt idx="531">
                  <v>3219.9</v>
                </pt>
                <pt idx="532">
                  <v>3258.2</v>
                </pt>
                <pt idx="533">
                  <v>3274.7</v>
                </pt>
                <pt idx="534">
                  <v>3289.4</v>
                </pt>
                <pt idx="535">
                  <v>3306.7</v>
                </pt>
                <pt idx="536">
                  <v>3280.8</v>
                </pt>
                <pt idx="537">
                  <v>3279.4</v>
                </pt>
                <pt idx="538">
                  <v>3280.6</v>
                </pt>
                <pt idx="539">
                  <v>3270.8</v>
                </pt>
                <pt idx="540">
                  <v>3261.1</v>
                </pt>
                <pt idx="541">
                  <v>3274.9</v>
                </pt>
                <pt idx="542">
                  <v>3287.1</v>
                </pt>
                <pt idx="543">
                  <v>3303.7</v>
                </pt>
                <pt idx="544">
                  <v>3330.6</v>
                </pt>
                <pt idx="545">
                  <v>3319.5</v>
                </pt>
                <pt idx="546">
                  <v>3323.3</v>
                </pt>
                <pt idx="547">
                  <v>3335.4</v>
                </pt>
                <pt idx="548">
                  <v>3343.2</v>
                </pt>
                <pt idx="549">
                  <v>3340.3</v>
                </pt>
                <pt idx="550">
                  <v>3338.4</v>
                </pt>
                <pt idx="551">
                  <v>3348.1</v>
                </pt>
                <pt idx="552">
                  <v>3353.1</v>
                </pt>
                <pt idx="553">
                  <v>3343.5</v>
                </pt>
                <pt idx="554">
                  <v>3336</v>
                </pt>
                <pt idx="555">
                  <v>3332.9</v>
                </pt>
                <pt idx="556">
                  <v>3343.6</v>
                </pt>
                <pt idx="557">
                  <v>3358.7</v>
                </pt>
                <pt idx="558">
                  <v>3354.2</v>
                </pt>
                <pt idx="559">
                  <v>3350.4</v>
                </pt>
                <pt idx="560">
                  <v>3322.1</v>
                </pt>
                <pt idx="561">
                  <v>3334.3</v>
                </pt>
                <pt idx="562">
                  <v>3359.4</v>
                </pt>
                <pt idx="563">
                  <v>3373</v>
                </pt>
                <pt idx="564">
                  <v>3374</v>
                </pt>
                <pt idx="565">
                  <v>3384.5</v>
                </pt>
                <pt idx="566">
                  <v>3386.5</v>
                </pt>
                <pt idx="567">
                  <v>3388.2</v>
                </pt>
                <pt idx="568">
                  <v>3381.5</v>
                </pt>
                <pt idx="569">
                  <v>3391.9</v>
                </pt>
                <pt idx="570">
                  <v>3393.9</v>
                </pt>
                <pt idx="571">
                  <v>3394.1</v>
                </pt>
                <pt idx="572">
                  <v>3424.2</v>
                </pt>
                <pt idx="573">
                  <v>3463.7</v>
                </pt>
                <pt idx="574">
                  <v>3479.4</v>
                </pt>
                <pt idx="575">
                  <v>3481.8</v>
                </pt>
                <pt idx="576">
                  <v>3494.7</v>
                </pt>
                <pt idx="577">
                  <v>3488.9</v>
                </pt>
                <pt idx="578">
                  <v>3487.3</v>
                </pt>
                <pt idx="579">
                  <v>3512</v>
                </pt>
                <pt idx="580">
                  <v>3504.3</v>
                </pt>
                <pt idx="581">
                  <v>3512.3</v>
                </pt>
                <pt idx="582">
                  <v>3520.7</v>
                </pt>
                <pt idx="583">
                  <v>3556.2</v>
                </pt>
                <pt idx="584">
                  <v>3549.9</v>
                </pt>
                <pt idx="585">
                  <v>3545.7</v>
                </pt>
                <pt idx="586">
                  <v>3529.7</v>
                </pt>
                <pt idx="587">
                  <v>3533.6</v>
                </pt>
                <pt idx="588">
                  <v>3537.4</v>
                </pt>
                <pt idx="589">
                  <v>3568.9</v>
                </pt>
                <pt idx="590">
                  <v>3586.9</v>
                </pt>
                <pt idx="591">
                  <v>3598.7</v>
                </pt>
                <pt idx="592">
                  <v>3583.1</v>
                </pt>
                <pt idx="593">
                  <v>3554.1</v>
                </pt>
                <pt idx="594">
                  <v>3550.2</v>
                </pt>
                <pt idx="595">
                  <v>3562.2</v>
                </pt>
                <pt idx="596">
                  <v>3590.8</v>
                </pt>
                <pt idx="597">
                  <v>3670.7</v>
                </pt>
                <pt idx="598">
                  <v>3760.6</v>
                </pt>
                <pt idx="599">
                  <v>3875.2</v>
                </pt>
                <pt idx="600">
                  <v>3903.9</v>
                </pt>
                <pt idx="601">
                  <v>3903.6</v>
                </pt>
                <pt idx="602">
                  <v>3938.6</v>
                </pt>
                <pt idx="603">
                  <v>3936.3</v>
                </pt>
                <pt idx="604">
                  <v>3957.7</v>
                </pt>
                <pt idx="605">
                  <v>3929.7</v>
                </pt>
                <pt idx="606">
                  <v>3933</v>
                </pt>
                <pt idx="607">
                  <v>3919.8</v>
                </pt>
                <pt idx="608">
                  <v>3911.9</v>
                </pt>
                <pt idx="609">
                  <v>3912.6</v>
                </pt>
                <pt idx="610">
                  <v>3913.2</v>
                </pt>
                <pt idx="611">
                  <v>3909</v>
                </pt>
                <pt idx="612">
                  <v>3889</v>
                </pt>
                <pt idx="613">
                  <v>3915.4</v>
                </pt>
                <pt idx="614">
                  <v>3912.8</v>
                </pt>
                <pt idx="615">
                  <v>3926</v>
                </pt>
                <pt idx="616">
                  <v>3953.2</v>
                </pt>
                <pt idx="617">
                  <v>3963.6</v>
                </pt>
                <pt idx="618">
                  <v>3960.8</v>
                </pt>
                <pt idx="619">
                  <v>3978.1</v>
                </pt>
                <pt idx="620">
                  <v>3985.8</v>
                </pt>
                <pt idx="621">
                  <v>3994.5</v>
                </pt>
                <pt idx="622">
                  <v>3993.8</v>
                </pt>
                <pt idx="623">
                  <v>3992.3</v>
                </pt>
                <pt idx="624">
                  <v>3989</v>
                </pt>
                <pt idx="625">
                  <v>4004.9</v>
                </pt>
                <pt idx="626">
                  <v>4009.7</v>
                </pt>
                <pt idx="627">
                  <v>4018.4</v>
                </pt>
                <pt idx="628">
                  <v>4037</v>
                </pt>
                <pt idx="629">
                  <v>4070.6</v>
                </pt>
                <pt idx="630">
                  <v>4133.5</v>
                </pt>
                <pt idx="631">
                  <v>4204.9</v>
                </pt>
                <pt idx="632">
                  <v>4205</v>
                </pt>
                <pt idx="633">
                  <v>4217</v>
                </pt>
                <pt idx="634">
                  <v>4231.5</v>
                </pt>
                <pt idx="635">
                  <v>4251.4</v>
                </pt>
                <pt idx="636">
                  <v>4272</v>
                </pt>
                <pt idx="637">
                  <v>4285.8</v>
                </pt>
                <pt idx="638">
                  <v>4296.5</v>
                </pt>
                <pt idx="639">
                  <v>4312.9</v>
                </pt>
                <pt idx="640">
                  <v>4341</v>
                </pt>
                <pt idx="641">
                  <v>4375.6</v>
                </pt>
                <pt idx="642">
                  <v>4397.3</v>
                </pt>
                <pt idx="643">
                  <v>4402.1</v>
                </pt>
                <pt idx="644">
                  <v>4415.6</v>
                </pt>
                <pt idx="645">
                  <v>4432.5</v>
                </pt>
                <pt idx="646">
                  <v>4470.3</v>
                </pt>
                <pt idx="647">
                  <v>4523.7</v>
                </pt>
                <pt idx="648">
                  <v>4524.8</v>
                </pt>
                <pt idx="649">
                  <v>4508.2</v>
                </pt>
                <pt idx="650">
                  <v>4545.5</v>
                </pt>
                <pt idx="651">
                  <v>4567.1</v>
                </pt>
                <pt idx="652">
                  <v>4580.1</v>
                </pt>
                <pt idx="653">
                  <v>4594.1</v>
                </pt>
                <pt idx="654">
                  <v>4602.1</v>
                </pt>
                <pt idx="655">
                  <v>4616.1</v>
                </pt>
                <pt idx="656">
                  <v>4640.3</v>
                </pt>
                <pt idx="657">
                  <v>4691.1</v>
                </pt>
                <pt idx="658">
                  <v>4685.9</v>
                </pt>
                <pt idx="659">
                  <v>4701.4</v>
                </pt>
                <pt idx="660">
                  <v>4709.5</v>
                </pt>
                <pt idx="661">
                  <v>4745.9</v>
                </pt>
                <pt idx="662">
                  <v>4748.6</v>
                </pt>
                <pt idx="663">
                  <v>4760.8</v>
                </pt>
                <pt idx="664">
                  <v>4778.4</v>
                </pt>
                <pt idx="665">
                  <v>4794.9</v>
                </pt>
                <pt idx="666">
                  <v>4812.6</v>
                </pt>
                <pt idx="667">
                  <v>4825.6</v>
                </pt>
                <pt idx="668">
                  <v>4842.5</v>
                </pt>
                <pt idx="669">
                  <v>4871.3</v>
                </pt>
                <pt idx="670">
                  <v>4896.9</v>
                </pt>
                <pt idx="671">
                  <v>4945.9</v>
                </pt>
                <pt idx="672">
                  <v>5003.5</v>
                </pt>
                <pt idx="673">
                  <v>5047.5</v>
                </pt>
                <pt idx="674">
                  <v>5037.3</v>
                </pt>
                <pt idx="675">
                  <v>5049.9</v>
                </pt>
                <pt idx="676">
                  <v>5045.5</v>
                </pt>
                <pt idx="677">
                  <v>5050</v>
                </pt>
                <pt idx="678">
                  <v>5062.8</v>
                </pt>
                <pt idx="679">
                  <v>5084.1</v>
                </pt>
                <pt idx="680">
                  <v>5120.4</v>
                </pt>
                <pt idx="681">
                  <v>5130.1</v>
                </pt>
                <pt idx="682">
                  <v>5161.2</v>
                </pt>
                <pt idx="683">
                  <v>5192.9</v>
                </pt>
                <pt idx="684">
                  <v>5247.1</v>
                </pt>
                <pt idx="685">
                  <v>5290.7</v>
                </pt>
                <pt idx="686">
                  <v>5299.4</v>
                </pt>
                <pt idx="687">
                  <v>5314.2</v>
                </pt>
                <pt idx="688">
                  <v>5329.1</v>
                </pt>
                <pt idx="689">
                  <v>5340.6</v>
                </pt>
                <pt idx="690">
                  <v>5367.6</v>
                </pt>
                <pt idx="691">
                  <v>5393.1</v>
                </pt>
                <pt idx="692">
                  <v>5404.2</v>
                </pt>
                <pt idx="693">
                  <v>5419.2</v>
                </pt>
                <pt idx="694">
                  <v>5443</v>
                </pt>
                <pt idx="695">
                  <v>5445.7</v>
                </pt>
                <pt idx="696">
                  <v>5452.6</v>
                </pt>
                <pt idx="697">
                  <v>5474.8</v>
                </pt>
                <pt idx="698">
                  <v>5505.3</v>
                </pt>
                <pt idx="699">
                  <v>5522.2</v>
                </pt>
                <pt idx="700">
                  <v>5548.3</v>
                </pt>
                <pt idx="701">
                  <v>5553.3</v>
                </pt>
                <pt idx="702">
                  <v>5575.9</v>
                </pt>
                <pt idx="703">
                  <v>5576.9</v>
                </pt>
                <pt idx="704">
                  <v>5566.5</v>
                </pt>
                <pt idx="705">
                  <v>5583.4</v>
                </pt>
                <pt idx="706">
                  <v>5580.6</v>
                </pt>
                <pt idx="707">
                  <v>5592.3</v>
                </pt>
                <pt idx="708">
                  <v>5573.3</v>
                </pt>
                <pt idx="709">
                  <v>5575.4</v>
                </pt>
                <pt idx="710">
                  <v>5597.6</v>
                </pt>
                <pt idx="711">
                  <v>5590.4</v>
                </pt>
                <pt idx="712">
                  <v>5601.1</v>
                </pt>
                <pt idx="713">
                  <v>5618.6</v>
                </pt>
                <pt idx="714">
                  <v>5628.3</v>
                </pt>
                <pt idx="715">
                  <v>5635</v>
                </pt>
                <pt idx="716">
                  <v>5636</v>
                </pt>
                <pt idx="717">
                  <v>5626.6</v>
                </pt>
                <pt idx="718">
                  <v>5636.2</v>
                </pt>
                <pt idx="719">
                  <v>5682.2</v>
                </pt>
                <pt idx="720">
                  <v>5709.9</v>
                </pt>
                <pt idx="721">
                  <v>5712.1</v>
                </pt>
                <pt idx="722">
                  <v>5708</v>
                </pt>
                <pt idx="723">
                  <v>5697.6</v>
                </pt>
                <pt idx="724">
                  <v>5735.9</v>
                </pt>
                <pt idx="725">
                  <v>5783.7</v>
                </pt>
                <pt idx="726">
                  <v>5804.3</v>
                </pt>
                <pt idx="727">
                  <v>5824.7</v>
                </pt>
                <pt idx="728">
                  <v>5850.9</v>
                </pt>
                <pt idx="729">
                  <v>5885.8</v>
                </pt>
                <pt idx="730">
                  <v>5912.3</v>
                </pt>
                <pt idx="731">
                  <v>5924.1</v>
                </pt>
                <pt idx="732">
                  <v>5943.6</v>
                </pt>
                <pt idx="733">
                  <v>5959.7</v>
                </pt>
                <pt idx="734">
                  <v>6190.3</v>
                </pt>
                <pt idx="735">
                  <v>6637.3</v>
                </pt>
                <pt idx="736">
                  <v>6976.7</v>
                </pt>
                <pt idx="737">
                  <v>7055.5</v>
                </pt>
                <pt idx="738">
                  <v>7080.1</v>
                </pt>
                <pt idx="739">
                  <v>7072.2</v>
                </pt>
                <pt idx="740">
                  <v>7144.3</v>
                </pt>
                <pt idx="741">
                  <v>7195.6</v>
                </pt>
                <pt idx="742">
                  <v>7265.5</v>
                </pt>
                <pt idx="743">
                  <v>7294.4</v>
                </pt>
                <pt idx="744">
                  <v>7369.7</v>
                </pt>
                <pt idx="745">
                  <v>7434.7</v>
                </pt>
                <pt idx="746">
                  <v>7489.3</v>
                </pt>
                <pt idx="747">
                  <v>7543.9</v>
                </pt>
                <pt idx="748">
                  <v>7611.4</v>
                </pt>
                <pt idx="749">
                  <v>7579.5</v>
                </pt>
                <pt idx="750">
                  <v>7603.4</v>
                </pt>
                <pt idx="751">
                  <v>7640.4</v>
                </pt>
                <pt idx="752">
                  <v>7650.4</v>
                </pt>
                <pt idx="753">
                  <v>7636.3</v>
                </pt>
                <pt idx="754">
                  <v>7648.1</v>
                </pt>
                <pt idx="755">
                  <v>7672.3</v>
                </pt>
                <pt idx="756">
                  <v>7629.9</v>
                </pt>
                <pt idx="757">
                  <v>7578.9</v>
                </pt>
                <pt idx="758">
                  <v>7547.8</v>
                </pt>
                <pt idx="759">
                  <v>7511.2</v>
                </pt>
                <pt idx="760">
                  <v>7438.4</v>
                </pt>
                <pt idx="761">
                  <v>7351.5</v>
                </pt>
                <pt idx="762">
                  <v>7366.3</v>
                </pt>
                <pt idx="763">
                  <v>7334</v>
                </pt>
                <pt idx="764">
                  <v>7258.2</v>
                </pt>
                <pt idx="765">
                  <v>7189.7</v>
                </pt>
                <pt idx="766">
                  <v>7159</v>
                </pt>
                <pt idx="767">
                  <v>7132.4</v>
                </pt>
                <pt idx="768">
                  <v>7048.6</v>
                </pt>
                <pt idx="769">
                  <v>6982.5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50945672"/>
        <axId val="1050932224"/>
      </lineChart>
      <dateAx>
        <axId val="1050945672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32224"/>
        <crosses val="autoZero"/>
        <lblOffset val="100"/>
        <baseTimeUnit val="months"/>
      </dateAx>
      <valAx>
        <axId val="1050932224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5672"/>
        <crosses val="autoZero"/>
        <crossBetween val="between"/>
      </valAx>
    </plotArea>
    <plotVisOnly val="1"/>
    <dispBlanksAs val="gap"/>
  </chart>
</chartSpace>
</file>

<file path=xl/charts/chart5.xml><?xml version="1.0" encoding="utf-8"?>
<chartSpace xmlns="http://schemas.openxmlformats.org/drawingml/2006/chart">
  <chart>
    <title>
      <tx>
        <strRef>
          <f>Table30[[#Headers],[M2 Money Stock % yoy]]</f>
          <strCache>
            <ptCount val="1"/>
            <pt idx="0">
              <v>M2 Money Stock % yoy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'US M2 Real Monthly'!$C$5</f>
              <strCache>
                <ptCount val="1"/>
                <pt idx="0">
                  <v>M2 Money Stock % yoy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M2 Real Monthly'!$A$6:$A$777</f>
              <numCache>
                <formatCode>yyyy\-mm\-dd</formatCode>
                <ptCount val="772"/>
                <pt idx="0">
                  <v>21551</v>
                </pt>
                <pt idx="1">
                  <v>21582</v>
                </pt>
                <pt idx="2">
                  <v>21610</v>
                </pt>
                <pt idx="3">
                  <v>21641</v>
                </pt>
                <pt idx="4">
                  <v>21671</v>
                </pt>
                <pt idx="5">
                  <v>21702</v>
                </pt>
                <pt idx="6">
                  <v>21732</v>
                </pt>
                <pt idx="7">
                  <v>21763</v>
                </pt>
                <pt idx="8">
                  <v>21794</v>
                </pt>
                <pt idx="9">
                  <v>21824</v>
                </pt>
                <pt idx="10">
                  <v>21855</v>
                </pt>
                <pt idx="11">
                  <v>21885</v>
                </pt>
                <pt idx="12">
                  <v>21916</v>
                </pt>
                <pt idx="13">
                  <v>21947</v>
                </pt>
                <pt idx="14">
                  <v>21976</v>
                </pt>
                <pt idx="15">
                  <v>22007</v>
                </pt>
                <pt idx="16">
                  <v>22037</v>
                </pt>
                <pt idx="17">
                  <v>22068</v>
                </pt>
                <pt idx="18">
                  <v>22098</v>
                </pt>
                <pt idx="19">
                  <v>22129</v>
                </pt>
                <pt idx="20">
                  <v>22160</v>
                </pt>
                <pt idx="21">
                  <v>22190</v>
                </pt>
                <pt idx="22">
                  <v>22221</v>
                </pt>
                <pt idx="23">
                  <v>22251</v>
                </pt>
                <pt idx="24">
                  <v>22282</v>
                </pt>
                <pt idx="25">
                  <v>22313</v>
                </pt>
                <pt idx="26">
                  <v>22341</v>
                </pt>
                <pt idx="27">
                  <v>22372</v>
                </pt>
                <pt idx="28">
                  <v>22402</v>
                </pt>
                <pt idx="29">
                  <v>22433</v>
                </pt>
                <pt idx="30">
                  <v>22463</v>
                </pt>
                <pt idx="31">
                  <v>22494</v>
                </pt>
                <pt idx="32">
                  <v>22525</v>
                </pt>
                <pt idx="33">
                  <v>22555</v>
                </pt>
                <pt idx="34">
                  <v>22586</v>
                </pt>
                <pt idx="35">
                  <v>22616</v>
                </pt>
                <pt idx="36">
                  <v>22647</v>
                </pt>
                <pt idx="37">
                  <v>22678</v>
                </pt>
                <pt idx="38">
                  <v>22706</v>
                </pt>
                <pt idx="39">
                  <v>22737</v>
                </pt>
                <pt idx="40">
                  <v>22767</v>
                </pt>
                <pt idx="41">
                  <v>22798</v>
                </pt>
                <pt idx="42">
                  <v>22828</v>
                </pt>
                <pt idx="43">
                  <v>22859</v>
                </pt>
                <pt idx="44">
                  <v>22890</v>
                </pt>
                <pt idx="45">
                  <v>22920</v>
                </pt>
                <pt idx="46">
                  <v>22951</v>
                </pt>
                <pt idx="47">
                  <v>22981</v>
                </pt>
                <pt idx="48">
                  <v>23012</v>
                </pt>
                <pt idx="49">
                  <v>23043</v>
                </pt>
                <pt idx="50">
                  <v>23071</v>
                </pt>
                <pt idx="51">
                  <v>23102</v>
                </pt>
                <pt idx="52">
                  <v>23132</v>
                </pt>
                <pt idx="53">
                  <v>23163</v>
                </pt>
                <pt idx="54">
                  <v>23193</v>
                </pt>
                <pt idx="55">
                  <v>23224</v>
                </pt>
                <pt idx="56">
                  <v>23255</v>
                </pt>
                <pt idx="57">
                  <v>23285</v>
                </pt>
                <pt idx="58">
                  <v>23316</v>
                </pt>
                <pt idx="59">
                  <v>23346</v>
                </pt>
                <pt idx="60">
                  <v>23377</v>
                </pt>
                <pt idx="61">
                  <v>23408</v>
                </pt>
                <pt idx="62">
                  <v>23437</v>
                </pt>
                <pt idx="63">
                  <v>23468</v>
                </pt>
                <pt idx="64">
                  <v>23498</v>
                </pt>
                <pt idx="65">
                  <v>23529</v>
                </pt>
                <pt idx="66">
                  <v>23559</v>
                </pt>
                <pt idx="67">
                  <v>23590</v>
                </pt>
                <pt idx="68">
                  <v>23621</v>
                </pt>
                <pt idx="69">
                  <v>23651</v>
                </pt>
                <pt idx="70">
                  <v>23682</v>
                </pt>
                <pt idx="71">
                  <v>23712</v>
                </pt>
                <pt idx="72">
                  <v>23743</v>
                </pt>
                <pt idx="73">
                  <v>23774</v>
                </pt>
                <pt idx="74">
                  <v>23802</v>
                </pt>
                <pt idx="75">
                  <v>23833</v>
                </pt>
                <pt idx="76">
                  <v>23863</v>
                </pt>
                <pt idx="77">
                  <v>23894</v>
                </pt>
                <pt idx="78">
                  <v>23924</v>
                </pt>
                <pt idx="79">
                  <v>23955</v>
                </pt>
                <pt idx="80">
                  <v>23986</v>
                </pt>
                <pt idx="81">
                  <v>24016</v>
                </pt>
                <pt idx="82">
                  <v>24047</v>
                </pt>
                <pt idx="83">
                  <v>24077</v>
                </pt>
                <pt idx="84">
                  <v>24108</v>
                </pt>
                <pt idx="85">
                  <v>24139</v>
                </pt>
                <pt idx="86">
                  <v>24167</v>
                </pt>
                <pt idx="87">
                  <v>24198</v>
                </pt>
                <pt idx="88">
                  <v>24228</v>
                </pt>
                <pt idx="89">
                  <v>24259</v>
                </pt>
                <pt idx="90">
                  <v>24289</v>
                </pt>
                <pt idx="91">
                  <v>24320</v>
                </pt>
                <pt idx="92">
                  <v>24351</v>
                </pt>
                <pt idx="93">
                  <v>24381</v>
                </pt>
                <pt idx="94">
                  <v>24412</v>
                </pt>
                <pt idx="95">
                  <v>24442</v>
                </pt>
                <pt idx="96">
                  <v>24473</v>
                </pt>
                <pt idx="97">
                  <v>24504</v>
                </pt>
                <pt idx="98">
                  <v>24532</v>
                </pt>
                <pt idx="99">
                  <v>24563</v>
                </pt>
                <pt idx="100">
                  <v>24593</v>
                </pt>
                <pt idx="101">
                  <v>24624</v>
                </pt>
                <pt idx="102">
                  <v>24654</v>
                </pt>
                <pt idx="103">
                  <v>24685</v>
                </pt>
                <pt idx="104">
                  <v>24716</v>
                </pt>
                <pt idx="105">
                  <v>24746</v>
                </pt>
                <pt idx="106">
                  <v>24777</v>
                </pt>
                <pt idx="107">
                  <v>24807</v>
                </pt>
                <pt idx="108">
                  <v>24838</v>
                </pt>
                <pt idx="109">
                  <v>24869</v>
                </pt>
                <pt idx="110">
                  <v>24898</v>
                </pt>
                <pt idx="111">
                  <v>24929</v>
                </pt>
                <pt idx="112">
                  <v>24959</v>
                </pt>
                <pt idx="113">
                  <v>24990</v>
                </pt>
                <pt idx="114">
                  <v>25020</v>
                </pt>
                <pt idx="115">
                  <v>25051</v>
                </pt>
                <pt idx="116">
                  <v>25082</v>
                </pt>
                <pt idx="117">
                  <v>25112</v>
                </pt>
                <pt idx="118">
                  <v>25143</v>
                </pt>
                <pt idx="119">
                  <v>25173</v>
                </pt>
                <pt idx="120">
                  <v>25204</v>
                </pt>
                <pt idx="121">
                  <v>25235</v>
                </pt>
                <pt idx="122">
                  <v>25263</v>
                </pt>
                <pt idx="123">
                  <v>25294</v>
                </pt>
                <pt idx="124">
                  <v>25324</v>
                </pt>
                <pt idx="125">
                  <v>25355</v>
                </pt>
                <pt idx="126">
                  <v>25385</v>
                </pt>
                <pt idx="127">
                  <v>25416</v>
                </pt>
                <pt idx="128">
                  <v>25447</v>
                </pt>
                <pt idx="129">
                  <v>25477</v>
                </pt>
                <pt idx="130">
                  <v>25508</v>
                </pt>
                <pt idx="131">
                  <v>25538</v>
                </pt>
                <pt idx="132">
                  <v>25569</v>
                </pt>
                <pt idx="133">
                  <v>25600</v>
                </pt>
                <pt idx="134">
                  <v>25628</v>
                </pt>
                <pt idx="135">
                  <v>25659</v>
                </pt>
                <pt idx="136">
                  <v>25689</v>
                </pt>
                <pt idx="137">
                  <v>25720</v>
                </pt>
                <pt idx="138">
                  <v>25750</v>
                </pt>
                <pt idx="139">
                  <v>25781</v>
                </pt>
                <pt idx="140">
                  <v>25812</v>
                </pt>
                <pt idx="141">
                  <v>25842</v>
                </pt>
                <pt idx="142">
                  <v>25873</v>
                </pt>
                <pt idx="143">
                  <v>25903</v>
                </pt>
                <pt idx="144">
                  <v>25934</v>
                </pt>
                <pt idx="145">
                  <v>25965</v>
                </pt>
                <pt idx="146">
                  <v>25993</v>
                </pt>
                <pt idx="147">
                  <v>26024</v>
                </pt>
                <pt idx="148">
                  <v>26054</v>
                </pt>
                <pt idx="149">
                  <v>26085</v>
                </pt>
                <pt idx="150">
                  <v>26115</v>
                </pt>
                <pt idx="151">
                  <v>26146</v>
                </pt>
                <pt idx="152">
                  <v>26177</v>
                </pt>
                <pt idx="153">
                  <v>26207</v>
                </pt>
                <pt idx="154">
                  <v>26238</v>
                </pt>
                <pt idx="155">
                  <v>26268</v>
                </pt>
                <pt idx="156">
                  <v>26299</v>
                </pt>
                <pt idx="157">
                  <v>26330</v>
                </pt>
                <pt idx="158">
                  <v>26359</v>
                </pt>
                <pt idx="159">
                  <v>26390</v>
                </pt>
                <pt idx="160">
                  <v>26420</v>
                </pt>
                <pt idx="161">
                  <v>26451</v>
                </pt>
                <pt idx="162">
                  <v>26481</v>
                </pt>
                <pt idx="163">
                  <v>26512</v>
                </pt>
                <pt idx="164">
                  <v>26543</v>
                </pt>
                <pt idx="165">
                  <v>26573</v>
                </pt>
                <pt idx="166">
                  <v>26604</v>
                </pt>
                <pt idx="167">
                  <v>26634</v>
                </pt>
                <pt idx="168">
                  <v>26665</v>
                </pt>
                <pt idx="169">
                  <v>26696</v>
                </pt>
                <pt idx="170">
                  <v>26724</v>
                </pt>
                <pt idx="171">
                  <v>26755</v>
                </pt>
                <pt idx="172">
                  <v>26785</v>
                </pt>
                <pt idx="173">
                  <v>26816</v>
                </pt>
                <pt idx="174">
                  <v>26846</v>
                </pt>
                <pt idx="175">
                  <v>26877</v>
                </pt>
                <pt idx="176">
                  <v>26908</v>
                </pt>
                <pt idx="177">
                  <v>26938</v>
                </pt>
                <pt idx="178">
                  <v>26969</v>
                </pt>
                <pt idx="179">
                  <v>26999</v>
                </pt>
                <pt idx="180">
                  <v>27030</v>
                </pt>
                <pt idx="181">
                  <v>27061</v>
                </pt>
                <pt idx="182">
                  <v>27089</v>
                </pt>
                <pt idx="183">
                  <v>27120</v>
                </pt>
                <pt idx="184">
                  <v>27150</v>
                </pt>
                <pt idx="185">
                  <v>27181</v>
                </pt>
                <pt idx="186">
                  <v>27211</v>
                </pt>
                <pt idx="187">
                  <v>27242</v>
                </pt>
                <pt idx="188">
                  <v>27273</v>
                </pt>
                <pt idx="189">
                  <v>27303</v>
                </pt>
                <pt idx="190">
                  <v>27334</v>
                </pt>
                <pt idx="191">
                  <v>27364</v>
                </pt>
                <pt idx="192">
                  <v>27395</v>
                </pt>
                <pt idx="193">
                  <v>27426</v>
                </pt>
                <pt idx="194">
                  <v>27454</v>
                </pt>
                <pt idx="195">
                  <v>27485</v>
                </pt>
                <pt idx="196">
                  <v>27515</v>
                </pt>
                <pt idx="197">
                  <v>27546</v>
                </pt>
                <pt idx="198">
                  <v>27576</v>
                </pt>
                <pt idx="199">
                  <v>27607</v>
                </pt>
                <pt idx="200">
                  <v>27638</v>
                </pt>
                <pt idx="201">
                  <v>27668</v>
                </pt>
                <pt idx="202">
                  <v>27699</v>
                </pt>
                <pt idx="203">
                  <v>27729</v>
                </pt>
                <pt idx="204">
                  <v>27760</v>
                </pt>
                <pt idx="205">
                  <v>27791</v>
                </pt>
                <pt idx="206">
                  <v>27820</v>
                </pt>
                <pt idx="207">
                  <v>27851</v>
                </pt>
                <pt idx="208">
                  <v>27881</v>
                </pt>
                <pt idx="209">
                  <v>27912</v>
                </pt>
                <pt idx="210">
                  <v>27942</v>
                </pt>
                <pt idx="211">
                  <v>27973</v>
                </pt>
                <pt idx="212">
                  <v>28004</v>
                </pt>
                <pt idx="213">
                  <v>28034</v>
                </pt>
                <pt idx="214">
                  <v>28065</v>
                </pt>
                <pt idx="215">
                  <v>28095</v>
                </pt>
                <pt idx="216">
                  <v>28126</v>
                </pt>
                <pt idx="217">
                  <v>28157</v>
                </pt>
                <pt idx="218">
                  <v>28185</v>
                </pt>
                <pt idx="219">
                  <v>28216</v>
                </pt>
                <pt idx="220">
                  <v>28246</v>
                </pt>
                <pt idx="221">
                  <v>28277</v>
                </pt>
                <pt idx="222">
                  <v>28307</v>
                </pt>
                <pt idx="223">
                  <v>28338</v>
                </pt>
                <pt idx="224">
                  <v>28369</v>
                </pt>
                <pt idx="225">
                  <v>28399</v>
                </pt>
                <pt idx="226">
                  <v>28430</v>
                </pt>
                <pt idx="227">
                  <v>28460</v>
                </pt>
                <pt idx="228">
                  <v>28491</v>
                </pt>
                <pt idx="229">
                  <v>28522</v>
                </pt>
                <pt idx="230">
                  <v>28550</v>
                </pt>
                <pt idx="231">
                  <v>28581</v>
                </pt>
                <pt idx="232">
                  <v>28611</v>
                </pt>
                <pt idx="233">
                  <v>28642</v>
                </pt>
                <pt idx="234">
                  <v>28672</v>
                </pt>
                <pt idx="235">
                  <v>28703</v>
                </pt>
                <pt idx="236">
                  <v>28734</v>
                </pt>
                <pt idx="237">
                  <v>28764</v>
                </pt>
                <pt idx="238">
                  <v>28795</v>
                </pt>
                <pt idx="239">
                  <v>28825</v>
                </pt>
                <pt idx="240">
                  <v>28856</v>
                </pt>
                <pt idx="241">
                  <v>28887</v>
                </pt>
                <pt idx="242">
                  <v>28915</v>
                </pt>
                <pt idx="243">
                  <v>28946</v>
                </pt>
                <pt idx="244">
                  <v>28976</v>
                </pt>
                <pt idx="245">
                  <v>29007</v>
                </pt>
                <pt idx="246">
                  <v>29037</v>
                </pt>
                <pt idx="247">
                  <v>29068</v>
                </pt>
                <pt idx="248">
                  <v>29099</v>
                </pt>
                <pt idx="249">
                  <v>29129</v>
                </pt>
                <pt idx="250">
                  <v>29160</v>
                </pt>
                <pt idx="251">
                  <v>29190</v>
                </pt>
                <pt idx="252">
                  <v>29221</v>
                </pt>
                <pt idx="253">
                  <v>29252</v>
                </pt>
                <pt idx="254">
                  <v>29281</v>
                </pt>
                <pt idx="255">
                  <v>29312</v>
                </pt>
                <pt idx="256">
                  <v>29342</v>
                </pt>
                <pt idx="257">
                  <v>29373</v>
                </pt>
                <pt idx="258">
                  <v>29403</v>
                </pt>
                <pt idx="259">
                  <v>29434</v>
                </pt>
                <pt idx="260">
                  <v>29465</v>
                </pt>
                <pt idx="261">
                  <v>29495</v>
                </pt>
                <pt idx="262">
                  <v>29526</v>
                </pt>
                <pt idx="263">
                  <v>29556</v>
                </pt>
                <pt idx="264">
                  <v>29587</v>
                </pt>
                <pt idx="265">
                  <v>29618</v>
                </pt>
                <pt idx="266">
                  <v>29646</v>
                </pt>
                <pt idx="267">
                  <v>29677</v>
                </pt>
                <pt idx="268">
                  <v>29707</v>
                </pt>
                <pt idx="269">
                  <v>29738</v>
                </pt>
                <pt idx="270">
                  <v>29768</v>
                </pt>
                <pt idx="271">
                  <v>29799</v>
                </pt>
                <pt idx="272">
                  <v>29830</v>
                </pt>
                <pt idx="273">
                  <v>29860</v>
                </pt>
                <pt idx="274">
                  <v>29891</v>
                </pt>
                <pt idx="275">
                  <v>29921</v>
                </pt>
                <pt idx="276">
                  <v>29952</v>
                </pt>
                <pt idx="277">
                  <v>29983</v>
                </pt>
                <pt idx="278">
                  <v>30011</v>
                </pt>
                <pt idx="279">
                  <v>30042</v>
                </pt>
                <pt idx="280">
                  <v>30072</v>
                </pt>
                <pt idx="281">
                  <v>30103</v>
                </pt>
                <pt idx="282">
                  <v>30133</v>
                </pt>
                <pt idx="283">
                  <v>30164</v>
                </pt>
                <pt idx="284">
                  <v>30195</v>
                </pt>
                <pt idx="285">
                  <v>30225</v>
                </pt>
                <pt idx="286">
                  <v>30256</v>
                </pt>
                <pt idx="287">
                  <v>30286</v>
                </pt>
                <pt idx="288">
                  <v>30317</v>
                </pt>
                <pt idx="289">
                  <v>30348</v>
                </pt>
                <pt idx="290">
                  <v>30376</v>
                </pt>
                <pt idx="291">
                  <v>30407</v>
                </pt>
                <pt idx="292">
                  <v>30437</v>
                </pt>
                <pt idx="293">
                  <v>30468</v>
                </pt>
                <pt idx="294">
                  <v>30498</v>
                </pt>
                <pt idx="295">
                  <v>30529</v>
                </pt>
                <pt idx="296">
                  <v>30560</v>
                </pt>
                <pt idx="297">
                  <v>30590</v>
                </pt>
                <pt idx="298">
                  <v>30621</v>
                </pt>
                <pt idx="299">
                  <v>30651</v>
                </pt>
                <pt idx="300">
                  <v>30682</v>
                </pt>
                <pt idx="301">
                  <v>30713</v>
                </pt>
                <pt idx="302">
                  <v>30742</v>
                </pt>
                <pt idx="303">
                  <v>30773</v>
                </pt>
                <pt idx="304">
                  <v>30803</v>
                </pt>
                <pt idx="305">
                  <v>30834</v>
                </pt>
                <pt idx="306">
                  <v>30864</v>
                </pt>
                <pt idx="307">
                  <v>30895</v>
                </pt>
                <pt idx="308">
                  <v>30926</v>
                </pt>
                <pt idx="309">
                  <v>30956</v>
                </pt>
                <pt idx="310">
                  <v>30987</v>
                </pt>
                <pt idx="311">
                  <v>31017</v>
                </pt>
                <pt idx="312">
                  <v>31048</v>
                </pt>
                <pt idx="313">
                  <v>31079</v>
                </pt>
                <pt idx="314">
                  <v>31107</v>
                </pt>
                <pt idx="315">
                  <v>31138</v>
                </pt>
                <pt idx="316">
                  <v>31168</v>
                </pt>
                <pt idx="317">
                  <v>31199</v>
                </pt>
                <pt idx="318">
                  <v>31229</v>
                </pt>
                <pt idx="319">
                  <v>31260</v>
                </pt>
                <pt idx="320">
                  <v>31291</v>
                </pt>
                <pt idx="321">
                  <v>31321</v>
                </pt>
                <pt idx="322">
                  <v>31352</v>
                </pt>
                <pt idx="323">
                  <v>31382</v>
                </pt>
                <pt idx="324">
                  <v>31413</v>
                </pt>
                <pt idx="325">
                  <v>31444</v>
                </pt>
                <pt idx="326">
                  <v>31472</v>
                </pt>
                <pt idx="327">
                  <v>31503</v>
                </pt>
                <pt idx="328">
                  <v>31533</v>
                </pt>
                <pt idx="329">
                  <v>31564</v>
                </pt>
                <pt idx="330">
                  <v>31594</v>
                </pt>
                <pt idx="331">
                  <v>31625</v>
                </pt>
                <pt idx="332">
                  <v>31656</v>
                </pt>
                <pt idx="333">
                  <v>31686</v>
                </pt>
                <pt idx="334">
                  <v>31717</v>
                </pt>
                <pt idx="335">
                  <v>31747</v>
                </pt>
                <pt idx="336">
                  <v>31778</v>
                </pt>
                <pt idx="337">
                  <v>31809</v>
                </pt>
                <pt idx="338">
                  <v>31837</v>
                </pt>
                <pt idx="339">
                  <v>31868</v>
                </pt>
                <pt idx="340">
                  <v>31898</v>
                </pt>
                <pt idx="341">
                  <v>31929</v>
                </pt>
                <pt idx="342">
                  <v>31959</v>
                </pt>
                <pt idx="343">
                  <v>31990</v>
                </pt>
                <pt idx="344">
                  <v>32021</v>
                </pt>
                <pt idx="345">
                  <v>32051</v>
                </pt>
                <pt idx="346">
                  <v>32082</v>
                </pt>
                <pt idx="347">
                  <v>32112</v>
                </pt>
                <pt idx="348">
                  <v>32143</v>
                </pt>
                <pt idx="349">
                  <v>32174</v>
                </pt>
                <pt idx="350">
                  <v>32203</v>
                </pt>
                <pt idx="351">
                  <v>32234</v>
                </pt>
                <pt idx="352">
                  <v>32264</v>
                </pt>
                <pt idx="353">
                  <v>32295</v>
                </pt>
                <pt idx="354">
                  <v>32325</v>
                </pt>
                <pt idx="355">
                  <v>32356</v>
                </pt>
                <pt idx="356">
                  <v>32387</v>
                </pt>
                <pt idx="357">
                  <v>32417</v>
                </pt>
                <pt idx="358">
                  <v>32448</v>
                </pt>
                <pt idx="359">
                  <v>32478</v>
                </pt>
                <pt idx="360">
                  <v>32509</v>
                </pt>
                <pt idx="361">
                  <v>32540</v>
                </pt>
                <pt idx="362">
                  <v>32568</v>
                </pt>
                <pt idx="363">
                  <v>32599</v>
                </pt>
                <pt idx="364">
                  <v>32629</v>
                </pt>
                <pt idx="365">
                  <v>32660</v>
                </pt>
                <pt idx="366">
                  <v>32690</v>
                </pt>
                <pt idx="367">
                  <v>32721</v>
                </pt>
                <pt idx="368">
                  <v>32752</v>
                </pt>
                <pt idx="369">
                  <v>32782</v>
                </pt>
                <pt idx="370">
                  <v>32813</v>
                </pt>
                <pt idx="371">
                  <v>32843</v>
                </pt>
                <pt idx="372">
                  <v>32874</v>
                </pt>
                <pt idx="373">
                  <v>32905</v>
                </pt>
                <pt idx="374">
                  <v>32933</v>
                </pt>
                <pt idx="375">
                  <v>32964</v>
                </pt>
                <pt idx="376">
                  <v>32994</v>
                </pt>
                <pt idx="377">
                  <v>33025</v>
                </pt>
                <pt idx="378">
                  <v>33055</v>
                </pt>
                <pt idx="379">
                  <v>33086</v>
                </pt>
                <pt idx="380">
                  <v>33117</v>
                </pt>
                <pt idx="381">
                  <v>33147</v>
                </pt>
                <pt idx="382">
                  <v>33178</v>
                </pt>
                <pt idx="383">
                  <v>33208</v>
                </pt>
                <pt idx="384">
                  <v>33239</v>
                </pt>
                <pt idx="385">
                  <v>33270</v>
                </pt>
                <pt idx="386">
                  <v>33298</v>
                </pt>
                <pt idx="387">
                  <v>33329</v>
                </pt>
                <pt idx="388">
                  <v>33359</v>
                </pt>
                <pt idx="389">
                  <v>33390</v>
                </pt>
                <pt idx="390">
                  <v>33420</v>
                </pt>
                <pt idx="391">
                  <v>33451</v>
                </pt>
                <pt idx="392">
                  <v>33482</v>
                </pt>
                <pt idx="393">
                  <v>33512</v>
                </pt>
                <pt idx="394">
                  <v>33543</v>
                </pt>
                <pt idx="395">
                  <v>33573</v>
                </pt>
                <pt idx="396">
                  <v>33604</v>
                </pt>
                <pt idx="397">
                  <v>33635</v>
                </pt>
                <pt idx="398">
                  <v>33664</v>
                </pt>
                <pt idx="399">
                  <v>33695</v>
                </pt>
                <pt idx="400">
                  <v>33725</v>
                </pt>
                <pt idx="401">
                  <v>33756</v>
                </pt>
                <pt idx="402">
                  <v>33786</v>
                </pt>
                <pt idx="403">
                  <v>33817</v>
                </pt>
                <pt idx="404">
                  <v>33848</v>
                </pt>
                <pt idx="405">
                  <v>33878</v>
                </pt>
                <pt idx="406">
                  <v>33909</v>
                </pt>
                <pt idx="407">
                  <v>33939</v>
                </pt>
                <pt idx="408">
                  <v>33970</v>
                </pt>
                <pt idx="409">
                  <v>34001</v>
                </pt>
                <pt idx="410">
                  <v>34029</v>
                </pt>
                <pt idx="411">
                  <v>34060</v>
                </pt>
                <pt idx="412">
                  <v>34090</v>
                </pt>
                <pt idx="413">
                  <v>34121</v>
                </pt>
                <pt idx="414">
                  <v>34151</v>
                </pt>
                <pt idx="415">
                  <v>34182</v>
                </pt>
                <pt idx="416">
                  <v>34213</v>
                </pt>
                <pt idx="417">
                  <v>34243</v>
                </pt>
                <pt idx="418">
                  <v>34274</v>
                </pt>
                <pt idx="419">
                  <v>34304</v>
                </pt>
                <pt idx="420">
                  <v>34335</v>
                </pt>
                <pt idx="421">
                  <v>34366</v>
                </pt>
                <pt idx="422">
                  <v>34394</v>
                </pt>
                <pt idx="423">
                  <v>34425</v>
                </pt>
                <pt idx="424">
                  <v>34455</v>
                </pt>
                <pt idx="425">
                  <v>34486</v>
                </pt>
                <pt idx="426">
                  <v>34516</v>
                </pt>
                <pt idx="427">
                  <v>34547</v>
                </pt>
                <pt idx="428">
                  <v>34578</v>
                </pt>
                <pt idx="429">
                  <v>34608</v>
                </pt>
                <pt idx="430">
                  <v>34639</v>
                </pt>
                <pt idx="431">
                  <v>34669</v>
                </pt>
                <pt idx="432">
                  <v>34700</v>
                </pt>
                <pt idx="433">
                  <v>34731</v>
                </pt>
                <pt idx="434">
                  <v>34759</v>
                </pt>
                <pt idx="435">
                  <v>34790</v>
                </pt>
                <pt idx="436">
                  <v>34820</v>
                </pt>
                <pt idx="437">
                  <v>34851</v>
                </pt>
                <pt idx="438">
                  <v>34881</v>
                </pt>
                <pt idx="439">
                  <v>34912</v>
                </pt>
                <pt idx="440">
                  <v>34943</v>
                </pt>
                <pt idx="441">
                  <v>34973</v>
                </pt>
                <pt idx="442">
                  <v>35004</v>
                </pt>
                <pt idx="443">
                  <v>35034</v>
                </pt>
                <pt idx="444">
                  <v>35065</v>
                </pt>
                <pt idx="445">
                  <v>35096</v>
                </pt>
                <pt idx="446">
                  <v>35125</v>
                </pt>
                <pt idx="447">
                  <v>35156</v>
                </pt>
                <pt idx="448">
                  <v>35186</v>
                </pt>
                <pt idx="449">
                  <v>35217</v>
                </pt>
                <pt idx="450">
                  <v>35247</v>
                </pt>
                <pt idx="451">
                  <v>35278</v>
                </pt>
                <pt idx="452">
                  <v>35309</v>
                </pt>
                <pt idx="453">
                  <v>35339</v>
                </pt>
                <pt idx="454">
                  <v>35370</v>
                </pt>
                <pt idx="455">
                  <v>35400</v>
                </pt>
                <pt idx="456">
                  <v>35431</v>
                </pt>
                <pt idx="457">
                  <v>35462</v>
                </pt>
                <pt idx="458">
                  <v>35490</v>
                </pt>
                <pt idx="459">
                  <v>35521</v>
                </pt>
                <pt idx="460">
                  <v>35551</v>
                </pt>
                <pt idx="461">
                  <v>35582</v>
                </pt>
                <pt idx="462">
                  <v>35612</v>
                </pt>
                <pt idx="463">
                  <v>35643</v>
                </pt>
                <pt idx="464">
                  <v>35674</v>
                </pt>
                <pt idx="465">
                  <v>35704</v>
                </pt>
                <pt idx="466">
                  <v>35735</v>
                </pt>
                <pt idx="467">
                  <v>35765</v>
                </pt>
                <pt idx="468">
                  <v>35796</v>
                </pt>
                <pt idx="469">
                  <v>35827</v>
                </pt>
                <pt idx="470">
                  <v>35855</v>
                </pt>
                <pt idx="471">
                  <v>35886</v>
                </pt>
                <pt idx="472">
                  <v>35916</v>
                </pt>
                <pt idx="473">
                  <v>35947</v>
                </pt>
                <pt idx="474">
                  <v>35977</v>
                </pt>
                <pt idx="475">
                  <v>36008</v>
                </pt>
                <pt idx="476">
                  <v>36039</v>
                </pt>
                <pt idx="477">
                  <v>36069</v>
                </pt>
                <pt idx="478">
                  <v>36100</v>
                </pt>
                <pt idx="479">
                  <v>36130</v>
                </pt>
                <pt idx="480">
                  <v>36161</v>
                </pt>
                <pt idx="481">
                  <v>36192</v>
                </pt>
                <pt idx="482">
                  <v>36220</v>
                </pt>
                <pt idx="483">
                  <v>36251</v>
                </pt>
                <pt idx="484">
                  <v>36281</v>
                </pt>
                <pt idx="485">
                  <v>36312</v>
                </pt>
                <pt idx="486">
                  <v>36342</v>
                </pt>
                <pt idx="487">
                  <v>36373</v>
                </pt>
                <pt idx="488">
                  <v>36404</v>
                </pt>
                <pt idx="489">
                  <v>36434</v>
                </pt>
                <pt idx="490">
                  <v>36465</v>
                </pt>
                <pt idx="491">
                  <v>36495</v>
                </pt>
                <pt idx="492">
                  <v>36526</v>
                </pt>
                <pt idx="493">
                  <v>36557</v>
                </pt>
                <pt idx="494">
                  <v>36586</v>
                </pt>
                <pt idx="495">
                  <v>36617</v>
                </pt>
                <pt idx="496">
                  <v>36647</v>
                </pt>
                <pt idx="497">
                  <v>36678</v>
                </pt>
                <pt idx="498">
                  <v>36708</v>
                </pt>
                <pt idx="499">
                  <v>36739</v>
                </pt>
                <pt idx="500">
                  <v>36770</v>
                </pt>
                <pt idx="501">
                  <v>36800</v>
                </pt>
                <pt idx="502">
                  <v>36831</v>
                </pt>
                <pt idx="503">
                  <v>36861</v>
                </pt>
                <pt idx="504">
                  <v>36892</v>
                </pt>
                <pt idx="505">
                  <v>36923</v>
                </pt>
                <pt idx="506">
                  <v>36951</v>
                </pt>
                <pt idx="507">
                  <v>36982</v>
                </pt>
                <pt idx="508">
                  <v>37012</v>
                </pt>
                <pt idx="509">
                  <v>37043</v>
                </pt>
                <pt idx="510">
                  <v>37073</v>
                </pt>
                <pt idx="511">
                  <v>37104</v>
                </pt>
                <pt idx="512">
                  <v>37135</v>
                </pt>
                <pt idx="513">
                  <v>37165</v>
                </pt>
                <pt idx="514">
                  <v>37196</v>
                </pt>
                <pt idx="515">
                  <v>37226</v>
                </pt>
                <pt idx="516">
                  <v>37257</v>
                </pt>
                <pt idx="517">
                  <v>37288</v>
                </pt>
                <pt idx="518">
                  <v>37316</v>
                </pt>
                <pt idx="519">
                  <v>37347</v>
                </pt>
                <pt idx="520">
                  <v>37377</v>
                </pt>
                <pt idx="521">
                  <v>37408</v>
                </pt>
                <pt idx="522">
                  <v>37438</v>
                </pt>
                <pt idx="523">
                  <v>37469</v>
                </pt>
                <pt idx="524">
                  <v>37500</v>
                </pt>
                <pt idx="525">
                  <v>37530</v>
                </pt>
                <pt idx="526">
                  <v>37561</v>
                </pt>
                <pt idx="527">
                  <v>37591</v>
                </pt>
                <pt idx="528">
                  <v>37622</v>
                </pt>
                <pt idx="529">
                  <v>37653</v>
                </pt>
                <pt idx="530">
                  <v>37681</v>
                </pt>
                <pt idx="531">
                  <v>37712</v>
                </pt>
                <pt idx="532">
                  <v>37742</v>
                </pt>
                <pt idx="533">
                  <v>37773</v>
                </pt>
                <pt idx="534">
                  <v>37803</v>
                </pt>
                <pt idx="535">
                  <v>37834</v>
                </pt>
                <pt idx="536">
                  <v>37865</v>
                </pt>
                <pt idx="537">
                  <v>37895</v>
                </pt>
                <pt idx="538">
                  <v>37926</v>
                </pt>
                <pt idx="539">
                  <v>37956</v>
                </pt>
                <pt idx="540">
                  <v>37987</v>
                </pt>
                <pt idx="541">
                  <v>38018</v>
                </pt>
                <pt idx="542">
                  <v>38047</v>
                </pt>
                <pt idx="543">
                  <v>38078</v>
                </pt>
                <pt idx="544">
                  <v>38108</v>
                </pt>
                <pt idx="545">
                  <v>38139</v>
                </pt>
                <pt idx="546">
                  <v>38169</v>
                </pt>
                <pt idx="547">
                  <v>38200</v>
                </pt>
                <pt idx="548">
                  <v>38231</v>
                </pt>
                <pt idx="549">
                  <v>38261</v>
                </pt>
                <pt idx="550">
                  <v>38292</v>
                </pt>
                <pt idx="551">
                  <v>38322</v>
                </pt>
                <pt idx="552">
                  <v>38353</v>
                </pt>
                <pt idx="553">
                  <v>38384</v>
                </pt>
                <pt idx="554">
                  <v>38412</v>
                </pt>
                <pt idx="555">
                  <v>38443</v>
                </pt>
                <pt idx="556">
                  <v>38473</v>
                </pt>
                <pt idx="557">
                  <v>38504</v>
                </pt>
                <pt idx="558">
                  <v>38534</v>
                </pt>
                <pt idx="559">
                  <v>38565</v>
                </pt>
                <pt idx="560">
                  <v>38596</v>
                </pt>
                <pt idx="561">
                  <v>38626</v>
                </pt>
                <pt idx="562">
                  <v>38657</v>
                </pt>
                <pt idx="563">
                  <v>38687</v>
                </pt>
                <pt idx="564">
                  <v>38718</v>
                </pt>
                <pt idx="565">
                  <v>38749</v>
                </pt>
                <pt idx="566">
                  <v>38777</v>
                </pt>
                <pt idx="567">
                  <v>38808</v>
                </pt>
                <pt idx="568">
                  <v>38838</v>
                </pt>
                <pt idx="569">
                  <v>38869</v>
                </pt>
                <pt idx="570">
                  <v>38899</v>
                </pt>
                <pt idx="571">
                  <v>38930</v>
                </pt>
                <pt idx="572">
                  <v>38961</v>
                </pt>
                <pt idx="573">
                  <v>38991</v>
                </pt>
                <pt idx="574">
                  <v>39022</v>
                </pt>
                <pt idx="575">
                  <v>39052</v>
                </pt>
                <pt idx="576">
                  <v>39083</v>
                </pt>
                <pt idx="577">
                  <v>39114</v>
                </pt>
                <pt idx="578">
                  <v>39142</v>
                </pt>
                <pt idx="579">
                  <v>39173</v>
                </pt>
                <pt idx="580">
                  <v>39203</v>
                </pt>
                <pt idx="581">
                  <v>39234</v>
                </pt>
                <pt idx="582">
                  <v>39264</v>
                </pt>
                <pt idx="583">
                  <v>39295</v>
                </pt>
                <pt idx="584">
                  <v>39326</v>
                </pt>
                <pt idx="585">
                  <v>39356</v>
                </pt>
                <pt idx="586">
                  <v>39387</v>
                </pt>
                <pt idx="587">
                  <v>39417</v>
                </pt>
                <pt idx="588">
                  <v>39448</v>
                </pt>
                <pt idx="589">
                  <v>39479</v>
                </pt>
                <pt idx="590">
                  <v>39508</v>
                </pt>
                <pt idx="591">
                  <v>39539</v>
                </pt>
                <pt idx="592">
                  <v>39569</v>
                </pt>
                <pt idx="593">
                  <v>39600</v>
                </pt>
                <pt idx="594">
                  <v>39630</v>
                </pt>
                <pt idx="595">
                  <v>39661</v>
                </pt>
                <pt idx="596">
                  <v>39692</v>
                </pt>
                <pt idx="597">
                  <v>39722</v>
                </pt>
                <pt idx="598">
                  <v>39753</v>
                </pt>
                <pt idx="599">
                  <v>39783</v>
                </pt>
                <pt idx="600">
                  <v>39814</v>
                </pt>
                <pt idx="601">
                  <v>39845</v>
                </pt>
                <pt idx="602">
                  <v>39873</v>
                </pt>
                <pt idx="603">
                  <v>39904</v>
                </pt>
                <pt idx="604">
                  <v>39934</v>
                </pt>
                <pt idx="605">
                  <v>39965</v>
                </pt>
                <pt idx="606">
                  <v>39995</v>
                </pt>
                <pt idx="607">
                  <v>40026</v>
                </pt>
                <pt idx="608">
                  <v>40057</v>
                </pt>
                <pt idx="609">
                  <v>40087</v>
                </pt>
                <pt idx="610">
                  <v>40118</v>
                </pt>
                <pt idx="611">
                  <v>40148</v>
                </pt>
                <pt idx="612">
                  <v>40179</v>
                </pt>
                <pt idx="613">
                  <v>40210</v>
                </pt>
                <pt idx="614">
                  <v>40238</v>
                </pt>
                <pt idx="615">
                  <v>40269</v>
                </pt>
                <pt idx="616">
                  <v>40299</v>
                </pt>
                <pt idx="617">
                  <v>40330</v>
                </pt>
                <pt idx="618">
                  <v>40360</v>
                </pt>
                <pt idx="619">
                  <v>40391</v>
                </pt>
                <pt idx="620">
                  <v>40422</v>
                </pt>
                <pt idx="621">
                  <v>40452</v>
                </pt>
                <pt idx="622">
                  <v>40483</v>
                </pt>
                <pt idx="623">
                  <v>40513</v>
                </pt>
                <pt idx="624">
                  <v>40544</v>
                </pt>
                <pt idx="625">
                  <v>40575</v>
                </pt>
                <pt idx="626">
                  <v>40603</v>
                </pt>
                <pt idx="627">
                  <v>40634</v>
                </pt>
                <pt idx="628">
                  <v>40664</v>
                </pt>
                <pt idx="629">
                  <v>40695</v>
                </pt>
                <pt idx="630">
                  <v>40725</v>
                </pt>
                <pt idx="631">
                  <v>40756</v>
                </pt>
                <pt idx="632">
                  <v>40787</v>
                </pt>
                <pt idx="633">
                  <v>40817</v>
                </pt>
                <pt idx="634">
                  <v>40848</v>
                </pt>
                <pt idx="635">
                  <v>40878</v>
                </pt>
                <pt idx="636">
                  <v>40909</v>
                </pt>
                <pt idx="637">
                  <v>40940</v>
                </pt>
                <pt idx="638">
                  <v>40969</v>
                </pt>
                <pt idx="639">
                  <v>41000</v>
                </pt>
                <pt idx="640">
                  <v>41030</v>
                </pt>
                <pt idx="641">
                  <v>41061</v>
                </pt>
                <pt idx="642">
                  <v>41091</v>
                </pt>
                <pt idx="643">
                  <v>41122</v>
                </pt>
                <pt idx="644">
                  <v>41153</v>
                </pt>
                <pt idx="645">
                  <v>41183</v>
                </pt>
                <pt idx="646">
                  <v>41214</v>
                </pt>
                <pt idx="647">
                  <v>41244</v>
                </pt>
                <pt idx="648">
                  <v>41275</v>
                </pt>
                <pt idx="649">
                  <v>41306</v>
                </pt>
                <pt idx="650">
                  <v>41334</v>
                </pt>
                <pt idx="651">
                  <v>41365</v>
                </pt>
                <pt idx="652">
                  <v>41395</v>
                </pt>
                <pt idx="653">
                  <v>41426</v>
                </pt>
                <pt idx="654">
                  <v>41456</v>
                </pt>
                <pt idx="655">
                  <v>41487</v>
                </pt>
                <pt idx="656">
                  <v>41518</v>
                </pt>
                <pt idx="657">
                  <v>41548</v>
                </pt>
                <pt idx="658">
                  <v>41579</v>
                </pt>
                <pt idx="659">
                  <v>41609</v>
                </pt>
                <pt idx="660">
                  <v>41640</v>
                </pt>
                <pt idx="661">
                  <v>41671</v>
                </pt>
                <pt idx="662">
                  <v>41699</v>
                </pt>
                <pt idx="663">
                  <v>41730</v>
                </pt>
                <pt idx="664">
                  <v>41760</v>
                </pt>
                <pt idx="665">
                  <v>41791</v>
                </pt>
                <pt idx="666">
                  <v>41821</v>
                </pt>
                <pt idx="667">
                  <v>41852</v>
                </pt>
                <pt idx="668">
                  <v>41883</v>
                </pt>
                <pt idx="669">
                  <v>41913</v>
                </pt>
                <pt idx="670">
                  <v>41944</v>
                </pt>
                <pt idx="671">
                  <v>41974</v>
                </pt>
                <pt idx="672">
                  <v>42005</v>
                </pt>
                <pt idx="673">
                  <v>42036</v>
                </pt>
                <pt idx="674">
                  <v>42064</v>
                </pt>
                <pt idx="675">
                  <v>42095</v>
                </pt>
                <pt idx="676">
                  <v>42125</v>
                </pt>
                <pt idx="677">
                  <v>42156</v>
                </pt>
                <pt idx="678">
                  <v>42186</v>
                </pt>
                <pt idx="679">
                  <v>42217</v>
                </pt>
                <pt idx="680">
                  <v>42248</v>
                </pt>
                <pt idx="681">
                  <v>42278</v>
                </pt>
                <pt idx="682">
                  <v>42309</v>
                </pt>
                <pt idx="683">
                  <v>42339</v>
                </pt>
                <pt idx="684">
                  <v>42370</v>
                </pt>
                <pt idx="685">
                  <v>42401</v>
                </pt>
                <pt idx="686">
                  <v>42430</v>
                </pt>
                <pt idx="687">
                  <v>42461</v>
                </pt>
                <pt idx="688">
                  <v>42491</v>
                </pt>
                <pt idx="689">
                  <v>42522</v>
                </pt>
                <pt idx="690">
                  <v>42552</v>
                </pt>
                <pt idx="691">
                  <v>42583</v>
                </pt>
                <pt idx="692">
                  <v>42614</v>
                </pt>
                <pt idx="693">
                  <v>42644</v>
                </pt>
                <pt idx="694">
                  <v>42675</v>
                </pt>
                <pt idx="695">
                  <v>42705</v>
                </pt>
                <pt idx="696">
                  <v>42736</v>
                </pt>
                <pt idx="697">
                  <v>42767</v>
                </pt>
                <pt idx="698">
                  <v>42795</v>
                </pt>
                <pt idx="699">
                  <v>42826</v>
                </pt>
                <pt idx="700">
                  <v>42856</v>
                </pt>
                <pt idx="701">
                  <v>42887</v>
                </pt>
                <pt idx="702">
                  <v>42917</v>
                </pt>
                <pt idx="703">
                  <v>42948</v>
                </pt>
                <pt idx="704">
                  <v>42979</v>
                </pt>
                <pt idx="705">
                  <v>43009</v>
                </pt>
                <pt idx="706">
                  <v>43040</v>
                </pt>
                <pt idx="707">
                  <v>43070</v>
                </pt>
                <pt idx="708">
                  <v>43101</v>
                </pt>
                <pt idx="709">
                  <v>43132</v>
                </pt>
                <pt idx="710">
                  <v>43160</v>
                </pt>
                <pt idx="711">
                  <v>43191</v>
                </pt>
                <pt idx="712">
                  <v>43221</v>
                </pt>
                <pt idx="713">
                  <v>43252</v>
                </pt>
                <pt idx="714">
                  <v>43282</v>
                </pt>
                <pt idx="715">
                  <v>43313</v>
                </pt>
                <pt idx="716">
                  <v>43344</v>
                </pt>
                <pt idx="717">
                  <v>43374</v>
                </pt>
                <pt idx="718">
                  <v>43405</v>
                </pt>
                <pt idx="719">
                  <v>43435</v>
                </pt>
                <pt idx="720">
                  <v>43466</v>
                </pt>
                <pt idx="721">
                  <v>43497</v>
                </pt>
                <pt idx="722">
                  <v>43525</v>
                </pt>
                <pt idx="723">
                  <v>43556</v>
                </pt>
                <pt idx="724">
                  <v>43586</v>
                </pt>
                <pt idx="725">
                  <v>43617</v>
                </pt>
                <pt idx="726">
                  <v>43647</v>
                </pt>
                <pt idx="727">
                  <v>43678</v>
                </pt>
                <pt idx="728">
                  <v>43709</v>
                </pt>
                <pt idx="729">
                  <v>43739</v>
                </pt>
                <pt idx="730">
                  <v>43770</v>
                </pt>
                <pt idx="731">
                  <v>43800</v>
                </pt>
                <pt idx="732">
                  <v>43831</v>
                </pt>
                <pt idx="733">
                  <v>43862</v>
                </pt>
                <pt idx="734">
                  <v>43891</v>
                </pt>
                <pt idx="735">
                  <v>43922</v>
                </pt>
                <pt idx="736">
                  <v>43952</v>
                </pt>
                <pt idx="737">
                  <v>43983</v>
                </pt>
                <pt idx="738">
                  <v>44013</v>
                </pt>
                <pt idx="739">
                  <v>44044</v>
                </pt>
                <pt idx="740">
                  <v>44075</v>
                </pt>
                <pt idx="741">
                  <v>44105</v>
                </pt>
                <pt idx="742">
                  <v>44136</v>
                </pt>
                <pt idx="743">
                  <v>44166</v>
                </pt>
                <pt idx="744">
                  <v>44197</v>
                </pt>
                <pt idx="745">
                  <v>44228</v>
                </pt>
                <pt idx="746">
                  <v>44256</v>
                </pt>
                <pt idx="747">
                  <v>44287</v>
                </pt>
                <pt idx="748">
                  <v>44317</v>
                </pt>
                <pt idx="749">
                  <v>44348</v>
                </pt>
                <pt idx="750">
                  <v>44378</v>
                </pt>
                <pt idx="751">
                  <v>44409</v>
                </pt>
                <pt idx="752">
                  <v>44440</v>
                </pt>
                <pt idx="753">
                  <v>44470</v>
                </pt>
                <pt idx="754">
                  <v>44501</v>
                </pt>
                <pt idx="755">
                  <v>44531</v>
                </pt>
                <pt idx="756">
                  <v>44562</v>
                </pt>
                <pt idx="757">
                  <v>44593</v>
                </pt>
                <pt idx="758">
                  <v>44621</v>
                </pt>
                <pt idx="759">
                  <v>44652</v>
                </pt>
                <pt idx="760">
                  <v>44682</v>
                </pt>
                <pt idx="761">
                  <v>44713</v>
                </pt>
                <pt idx="762">
                  <v>44743</v>
                </pt>
                <pt idx="763">
                  <v>44774</v>
                </pt>
                <pt idx="764">
                  <v>44805</v>
                </pt>
                <pt idx="765">
                  <v>44835</v>
                </pt>
                <pt idx="766">
                  <v>44866</v>
                </pt>
                <pt idx="767">
                  <v>44896</v>
                </pt>
                <pt idx="768">
                  <v>44927</v>
                </pt>
                <pt idx="769">
                  <v>44958</v>
                </pt>
              </numCache>
            </numRef>
          </cat>
          <val>
            <numRef>
              <f>'US M2 Real Monthly'!$C$6:$C$777</f>
              <numCache>
                <formatCode>General</formatCode>
                <ptCount val="772"/>
                <pt idx="12">
                  <formatCode>0.0%</formatCode>
                  <v>0.02773560076930861</v>
                </pt>
                <pt idx="13">
                  <formatCode>0.0%</formatCode>
                  <v>0.02267916540671303</v>
                </pt>
                <pt idx="14">
                  <formatCode>0.0%</formatCode>
                  <v>0.0194330361614746</v>
                </pt>
                <pt idx="15">
                  <formatCode>0.0%</formatCode>
                  <v>0.01488511488511486</v>
                </pt>
                <pt idx="16">
                  <formatCode>0.0%</formatCode>
                  <v>0.011329755515802</v>
                </pt>
                <pt idx="17">
                  <formatCode>0.0%</formatCode>
                  <v>0.01049193308918145</v>
                </pt>
                <pt idx="18">
                  <formatCode>0.0%</formatCode>
                  <v>0.01619433198380553</v>
                </pt>
                <pt idx="19">
                  <formatCode>0.0%</formatCode>
                  <v>0.02037802717070294</v>
                </pt>
                <pt idx="20">
                  <formatCode>0.0%</formatCode>
                  <v>0.02671529968454261</v>
                </pt>
                <pt idx="21">
                  <formatCode>0.0%</formatCode>
                  <v>0.02979607998416146</v>
                </pt>
                <pt idx="22">
                  <formatCode>0.0%</formatCode>
                  <v>0.03131482762027072</v>
                </pt>
                <pt idx="23">
                  <formatCode>0.0%</formatCode>
                  <v>0.03495951017183486</v>
                </pt>
                <pt idx="24">
                  <formatCode>0.0%</formatCode>
                  <v>0.03673790997734656</v>
                </pt>
                <pt idx="25">
                  <formatCode>0.0%</formatCode>
                  <v>0.04543662527104279</v>
                </pt>
                <pt idx="26">
                  <formatCode>0.0%</formatCode>
                  <v>0.04814778421931807</v>
                </pt>
                <pt idx="27">
                  <formatCode>0.0%</formatCode>
                  <v>0.05630475440496105</v>
                </pt>
                <pt idx="28">
                  <formatCode>0.0%</formatCode>
                  <v>0.06112421383647792</v>
                </pt>
                <pt idx="29">
                  <formatCode>0.0%</formatCode>
                  <v>0.06455088647272013</v>
                </pt>
                <pt idx="30">
                  <formatCode>0.0%</formatCode>
                  <v>0.05742882130016533</v>
                </pt>
                <pt idx="31">
                  <formatCode>0.0%</formatCode>
                  <v>0.0556681138446696</v>
                </pt>
                <pt idx="32">
                  <formatCode>0.0%</formatCode>
                  <v>0.05530484877580404</v>
                </pt>
                <pt idx="33">
                  <formatCode>0.0%</formatCode>
                  <v>0.0616168412957802</v>
                </pt>
                <pt idx="34">
                  <formatCode>0.0%</formatCode>
                  <v>0.06522988505747118</v>
                </pt>
                <pt idx="35">
                  <formatCode>0.0%</formatCode>
                  <v>0.06679389312977099</v>
                </pt>
                <pt idx="36">
                  <formatCode>0.0%</formatCode>
                  <v>0.06735702071062141</v>
                </pt>
                <pt idx="37">
                  <formatCode>0.0%</formatCode>
                  <v>0.06486282643537282</v>
                </pt>
                <pt idx="38">
                  <formatCode>0.0%</formatCode>
                  <v>0.06609168463485515</v>
                </pt>
                <pt idx="39">
                  <formatCode>0.0%</formatCode>
                  <v>0.0657906998415806</v>
                </pt>
                <pt idx="40">
                  <formatCode>0.0%</formatCode>
                  <v>0.06417855158362656</v>
                </pt>
                <pt idx="41">
                  <formatCode>0.0%</formatCode>
                  <v>0.06385719543614289</v>
                </pt>
                <pt idx="42">
                  <formatCode>0.0%</formatCode>
                  <v>0.06671567726520851</v>
                </pt>
                <pt idx="43">
                  <formatCode>0.0%</formatCode>
                  <v>0.06479619813562407</v>
                </pt>
                <pt idx="44">
                  <formatCode>0.0%</formatCode>
                  <v>0.0615048676189611</v>
                </pt>
                <pt idx="45">
                  <formatCode>0.0%</formatCode>
                  <v>0.06465048895327767</v>
                </pt>
                <pt idx="46">
                  <formatCode>0.0%</formatCode>
                  <v>0.06492221922488989</v>
                </pt>
                <pt idx="47">
                  <formatCode>0.0%</formatCode>
                  <v>0.0678890876565296</v>
                </pt>
                <pt idx="48">
                  <formatCode>0.0%</formatCode>
                  <v>0.06782376502002674</v>
                </pt>
                <pt idx="49">
                  <formatCode>0.0%</formatCode>
                  <v>0.06861443116423196</v>
                </pt>
                <pt idx="50">
                  <formatCode>0.0%</formatCode>
                  <v>0.06841364755539918</v>
                </pt>
                <pt idx="51">
                  <formatCode>0.0%</formatCode>
                  <v>0.07082276820844627</v>
                </pt>
                <pt idx="52">
                  <formatCode>0.0%</formatCode>
                  <v>0.07275258898268222</v>
                </pt>
                <pt idx="53">
                  <formatCode>0.0%</formatCode>
                  <v>0.06919218128351497</v>
                </pt>
                <pt idx="54">
                  <formatCode>0.0%</formatCode>
                  <v>0.06977946243969677</v>
                </pt>
                <pt idx="55">
                  <formatCode>0.0%</formatCode>
                  <v>0.07072354304351566</v>
                </pt>
                <pt idx="56">
                  <formatCode>0.0%</formatCode>
                  <v>0.07696922945058708</v>
                </pt>
                <pt idx="57">
                  <formatCode>0.0%</formatCode>
                  <v>0.07399217554005784</v>
                </pt>
                <pt idx="58">
                  <formatCode>0.0%</formatCode>
                  <v>0.07396774465929253</v>
                </pt>
                <pt idx="59">
                  <formatCode>0.0%</formatCode>
                  <v>0.06650473238964726</v>
                </pt>
                <pt idx="60">
                  <formatCode>0.0%</formatCode>
                  <v>0.06468283737601059</v>
                </pt>
                <pt idx="61">
                  <formatCode>0.0%</formatCode>
                  <v>0.06570008285004139</v>
                </pt>
                <pt idx="62">
                  <formatCode>0.0%</formatCode>
                  <v>0.0635390946502058</v>
                </pt>
                <pt idx="63">
                  <formatCode>0.0%</formatCode>
                  <v>0.05976973952804772</v>
                </pt>
                <pt idx="64">
                  <formatCode>0.0%</formatCode>
                  <v>0.05840837186663422</v>
                </pt>
                <pt idx="65">
                  <formatCode>0.0%</formatCode>
                  <v>0.0619640834816372</v>
                </pt>
                <pt idx="66">
                  <formatCode>0.0%</formatCode>
                  <v>0.06466419713319371</v>
                </pt>
                <pt idx="67">
                  <formatCode>0.0%</formatCode>
                  <v>0.06725450901803615</v>
                </pt>
                <pt idx="68">
                  <formatCode>0.0%</formatCode>
                  <v>0.06756864305610831</v>
                </pt>
                <pt idx="69">
                  <formatCode>0.0%</formatCode>
                  <v>0.06643965790307262</v>
                </pt>
                <pt idx="70">
                  <formatCode>0.0%</formatCode>
                  <v>0.06305527164085212</v>
                </pt>
                <pt idx="71">
                  <formatCode>0.0%</formatCode>
                  <v>0.06730542684363469</v>
                </pt>
                <pt idx="72">
                  <formatCode>0.0%</formatCode>
                  <v>0.06999138808424027</v>
                </pt>
                <pt idx="73">
                  <formatCode>0.0%</formatCode>
                  <v>0.06973489854621787</v>
                </pt>
                <pt idx="74">
                  <formatCode>0.0%</formatCode>
                  <v>0.07073208481659175</v>
                </pt>
                <pt idx="75">
                  <formatCode>0.0%</formatCode>
                  <v>0.06903459434471061</v>
                </pt>
                <pt idx="76">
                  <formatCode>0.0%</formatCode>
                  <v>0.06422932474898441</v>
                </pt>
                <pt idx="77">
                  <formatCode>0.0%</formatCode>
                  <v>0.06055758683729433</v>
                </pt>
                <pt idx="78">
                  <formatCode>0.0%</formatCode>
                  <v>0.06081234399818478</v>
                </pt>
                <pt idx="79">
                  <formatCode>0.0%</formatCode>
                  <v>0.0612888688598467</v>
                </pt>
                <pt idx="80">
                  <formatCode>0.0%</formatCode>
                  <v>0.05978828090055152</v>
                </pt>
                <pt idx="81">
                  <formatCode>0.0%</formatCode>
                  <v>0.06185490458156973</v>
                </pt>
                <pt idx="82">
                  <formatCode>0.0%</formatCode>
                  <v>0.06153391021374163</v>
                </pt>
                <pt idx="83">
                  <formatCode>0.0%</formatCode>
                  <v>0.06092715231788076</v>
                </pt>
                <pt idx="84">
                  <formatCode>0.0%</formatCode>
                  <v>0.06036438135655228</v>
                </pt>
                <pt idx="85">
                  <formatCode>0.0%</formatCode>
                  <v>0.05254360465116276</v>
                </pt>
                <pt idx="86">
                  <formatCode>0.0%</formatCode>
                  <v>0.04929170280427873</v>
                </pt>
                <pt idx="87">
                  <formatCode>0.0%</formatCode>
                  <v>0.04778378378378375</v>
                </pt>
                <pt idx="88">
                  <formatCode>0.0%</formatCode>
                  <v>0.04659704717320853</v>
                </pt>
                <pt idx="89">
                  <formatCode>0.0%</formatCode>
                  <v>0.04517704517704525</v>
                </pt>
                <pt idx="90">
                  <formatCode>0.0%</formatCode>
                  <v>0.03472370766488417</v>
                </pt>
                <pt idx="91">
                  <formatCode>0.0%</formatCode>
                  <v>0.02441613588110404</v>
                </pt>
                <pt idx="92">
                  <formatCode>0.0%</formatCode>
                  <v>0.02110298255486776</v>
                </pt>
                <pt idx="93">
                  <formatCode>0.0%</formatCode>
                  <v>0.01265734265734259</v>
                </pt>
                <pt idx="94">
                  <formatCode>0.0%</formatCode>
                  <v>0.01135651083397196</v>
                </pt>
                <pt idx="95">
                  <formatCode>0.0%</formatCode>
                  <v>0.01172145928700242</v>
                </pt>
                <pt idx="96">
                  <formatCode>0.0%</formatCode>
                  <v>0.01007452387524145</v>
                </pt>
                <pt idx="97">
                  <formatCode>0.0%</formatCode>
                  <v>0.01498308361527311</v>
                </pt>
                <pt idx="98">
                  <formatCode>0.0%</formatCode>
                  <v>0.02211048353767746</v>
                </pt>
                <pt idx="99">
                  <formatCode>0.0%</formatCode>
                  <v>0.02263034805337742</v>
                </pt>
                <pt idx="100">
                  <formatCode>0.0%</formatCode>
                  <v>0.03364987613542517</v>
                </pt>
                <pt idx="101">
                  <formatCode>0.0%</formatCode>
                  <v>0.03594007696536555</v>
                </pt>
                <pt idx="102">
                  <formatCode>0.0%</formatCode>
                  <v>0.04458379272326354</v>
                </pt>
                <pt idx="103">
                  <formatCode>0.0%</formatCode>
                  <v>0.05340241796200342</v>
                </pt>
                <pt idx="104">
                  <formatCode>0.0%</formatCode>
                  <v>0.05524937999448887</v>
                </pt>
                <pt idx="105">
                  <formatCode>0.0%</formatCode>
                  <v>0.06187417995994762</v>
                </pt>
                <pt idx="106">
                  <formatCode>0.0%</formatCode>
                  <v>0.05917608156516953</v>
                </pt>
                <pt idx="107">
                  <formatCode>0.0%</formatCode>
                  <v>0.05813395489134157</v>
                </pt>
                <pt idx="108">
                  <formatCode>0.0%</formatCode>
                  <v>0.05656510452247572</v>
                </pt>
                <pt idx="109">
                  <formatCode>0.0%</formatCode>
                  <v>0.05503401360544224</v>
                </pt>
                <pt idx="110">
                  <formatCode>0.0%</formatCode>
                  <v>0.04757733000876063</v>
                </pt>
                <pt idx="111">
                  <formatCode>0.0%</formatCode>
                  <v>0.04748772449048221</v>
                </pt>
                <pt idx="112">
                  <formatCode>0.0%</formatCode>
                  <v>0.03987750482657619</v>
                </pt>
                <pt idx="113">
                  <formatCode>0.0%</formatCode>
                  <v>0.03728026533996686</v>
                </pt>
                <pt idx="114">
                  <formatCode>0.0%</formatCode>
                  <v>0.03126855333465259</v>
                </pt>
                <pt idx="115">
                  <formatCode>0.0%</formatCode>
                  <v>0.02944648478488988</v>
                </pt>
                <pt idx="116">
                  <formatCode>0.0%</formatCode>
                  <v>0.02963833398616013</v>
                </pt>
                <pt idx="117">
                  <formatCode>0.0%</formatCode>
                  <v>0.02724848800156068</v>
                </pt>
                <pt idx="118">
                  <formatCode>0.0%</formatCode>
                  <v>0.03330081300813011</v>
                </pt>
                <pt idx="119">
                  <formatCode>0.0%</formatCode>
                  <v>0.03148688046647224</v>
                </pt>
                <pt idx="120">
                  <formatCode>0.0%</formatCode>
                  <v>0.03110047846889961</v>
                </pt>
                <pt idx="121">
                  <formatCode>0.0%</formatCode>
                  <v>0.03004706944354885</v>
                </pt>
                <pt idx="122">
                  <formatCode>0.0%</formatCode>
                  <v>0.02354454808620129</v>
                </pt>
                <pt idx="123">
                  <formatCode>0.0%</formatCode>
                  <v>0.01842933281962374</v>
                </pt>
                <pt idx="124">
                  <formatCode>0.0%</formatCode>
                  <v>0.0139564660691421</v>
                </pt>
                <pt idx="125">
                  <formatCode>0.0%</formatCode>
                  <v>0.01080769968664057</v>
                </pt>
                <pt idx="126">
                  <formatCode>0.0%</formatCode>
                  <v>0.007292266359623931</v>
                </pt>
                <pt idx="127">
                  <formatCode>0.0%</formatCode>
                  <v>0.001528954577307679</v>
                </pt>
                <pt idx="128">
                  <formatCode>0.0%</formatCode>
                  <v>-0.005199086989601855</v>
                </pt>
                <pt idx="129">
                  <formatCode>0.0%</formatCode>
                  <v>-0.00981261078754115</v>
                </pt>
                <pt idx="130">
                  <formatCode>0.0%</formatCode>
                  <v>-0.01737269465600814</v>
                </pt>
                <pt idx="131">
                  <formatCode>0.0%</formatCode>
                  <v>-0.02053891087243252</v>
                </pt>
                <pt idx="132">
                  <formatCode>0.0%</formatCode>
                  <v>-0.02445601053489685</v>
                </pt>
                <pt idx="133">
                  <formatCode>0.0%</formatCode>
                  <v>-0.03674491392801255</v>
                </pt>
                <pt idx="134">
                  <formatCode>0.0%</formatCode>
                  <v>-0.03626421972220465</v>
                </pt>
                <pt idx="135">
                  <formatCode>0.0%</formatCode>
                  <v>-0.03638083228247165</v>
                </pt>
                <pt idx="136">
                  <formatCode>0.0%</formatCode>
                  <v>-0.03245359262533139</v>
                </pt>
                <pt idx="137">
                  <formatCode>0.0%</formatCode>
                  <v>-0.02948247500949001</v>
                </pt>
                <pt idx="138">
                  <formatCode>0.0%</formatCode>
                  <v>-0.02197243919476734</v>
                </pt>
                <pt idx="139">
                  <formatCode>0.0%</formatCode>
                  <v>-0.01342153807009727</v>
                </pt>
                <pt idx="140">
                  <formatCode>0.0%</formatCode>
                  <v>-0.006246016571064343</v>
                </pt>
                <pt idx="141">
                  <formatCode>0.0%</formatCode>
                  <v>0.0002557381241609174</v>
                </pt>
                <pt idx="142">
                  <formatCode>0.0%</formatCode>
                  <v>0.004676189866120161</v>
                </pt>
                <pt idx="143">
                  <formatCode>0.0%</formatCode>
                  <v>0.009426702577914465</v>
                </pt>
                <pt idx="144">
                  <formatCode>0.0%</formatCode>
                  <v>0.01960532236292344</v>
                </pt>
                <pt idx="145">
                  <formatCode>0.0%</formatCode>
                  <v>0.04399532102937357</v>
                </pt>
                <pt idx="146">
                  <formatCode>0.0%</formatCode>
                  <v>0.05954088952654229</v>
                </pt>
                <pt idx="147">
                  <formatCode>0.0%</formatCode>
                  <v>0.07433095596414326</v>
                </pt>
                <pt idx="148">
                  <formatCode>0.0%</formatCode>
                  <v>0.0795484207778647</v>
                </pt>
                <pt idx="149">
                  <formatCode>0.0%</formatCode>
                  <v>0.08324641460234683</v>
                </pt>
                <pt idx="150">
                  <formatCode>0.0%</formatCode>
                  <v>0.08687747548860476</v>
                </pt>
                <pt idx="151">
                  <formatCode>0.0%</formatCode>
                  <v>0.08594455190199868</v>
                </pt>
                <pt idx="152">
                  <formatCode>0.0%</formatCode>
                  <v>0.08857106208311949</v>
                </pt>
                <pt idx="153">
                  <formatCode>0.0%</formatCode>
                  <v>0.0914669223394055</v>
                </pt>
                <pt idx="154">
                  <formatCode>0.0%</formatCode>
                  <v>0.09570262688089767</v>
                </pt>
                <pt idx="155">
                  <formatCode>0.0%</formatCode>
                  <v>0.09789721110475837</v>
                </pt>
                <pt idx="156">
                  <formatCode>0.0%</formatCode>
                  <v>0.0982221661833312</v>
                </pt>
                <pt idx="157">
                  <formatCode>0.0%</formatCode>
                  <v>0.09112978524743236</v>
                </pt>
                <pt idx="158">
                  <formatCode>0.0%</formatCode>
                  <v>0.0904782421370099</v>
                </pt>
                <pt idx="159">
                  <formatCode>0.0%</formatCode>
                  <v>0.08368353736524749</v>
                </pt>
                <pt idx="160">
                  <formatCode>0.0%</formatCode>
                  <v>0.08009429970380222</v>
                </pt>
                <pt idx="161">
                  <formatCode>0.0%</formatCode>
                  <v>0.08190407414093995</v>
                </pt>
                <pt idx="162">
                  <formatCode>0.0%</formatCode>
                  <v>0.08548897783619087</v>
                </pt>
                <pt idx="163">
                  <formatCode>0.0%</formatCode>
                  <v>0.08923588434364423</v>
                </pt>
                <pt idx="164">
                  <formatCode>0.0%</formatCode>
                  <v>0.08920049490367059</v>
                </pt>
                <pt idx="165">
                  <formatCode>0.0%</formatCode>
                  <v>0.09200046849379254</v>
                </pt>
                <pt idx="166">
                  <formatCode>0.0%</formatCode>
                  <v>0.0895548443409951</v>
                </pt>
                <pt idx="167">
                  <formatCode>0.0%</formatCode>
                  <v>0.0923504224048142</v>
                </pt>
                <pt idx="168">
                  <formatCode>0.0%</formatCode>
                  <v>0.08938002296211255</v>
                </pt>
                <pt idx="169">
                  <formatCode>0.0%</formatCode>
                  <v>0.08009584117747724</v>
                </pt>
                <pt idx="170">
                  <formatCode>0.0%</formatCode>
                  <v>0.06033752892701917</v>
                </pt>
                <pt idx="171">
                  <formatCode>0.0%</formatCode>
                  <v>0.05417860956555954</v>
                </pt>
                <pt idx="172">
                  <formatCode>0.0%</formatCode>
                  <v>0.05406312961719283</v>
                </pt>
                <pt idx="173">
                  <formatCode>0.0%</formatCode>
                  <v>0.04867059739681834</v>
                </pt>
                <pt idx="174">
                  <formatCode>0.0%</formatCode>
                  <v>0.04155200880572372</v>
                </pt>
                <pt idx="175">
                  <formatCode>0.0%</formatCode>
                  <v>0.01602529161670124</v>
                </pt>
                <pt idx="176">
                  <formatCode>0.0%</formatCode>
                  <v>0.004435549304916993</v>
                </pt>
                <pt idx="177">
                  <formatCode>0.0%</formatCode>
                  <v>-0.009063120072934033</v>
                </pt>
                <pt idx="178">
                  <formatCode>0.0%</formatCode>
                  <v>-0.01223029267250592</v>
                </pt>
                <pt idx="179">
                  <formatCode>0.0%</formatCode>
                  <v>-0.02124165695518588</v>
                </pt>
                <pt idx="180">
                  <formatCode>0.0%</formatCode>
                  <v>-0.03198608842282766</v>
                </pt>
                <pt idx="181">
                  <formatCode>0.0%</formatCode>
                  <v>-0.03496540432049863</v>
                </pt>
                <pt idx="182">
                  <formatCode>0.0%</formatCode>
                  <v>-0.03103374853614391</v>
                </pt>
                <pt idx="183">
                  <formatCode>0.0%</formatCode>
                  <v>-0.03246787865863416</v>
                </pt>
                <pt idx="184">
                  <formatCode>0.0%</formatCode>
                  <v>-0.04449400021238196</v>
                </pt>
                <pt idx="185">
                  <formatCode>0.0%</formatCode>
                  <v>-0.04980639685991612</v>
                </pt>
                <pt idx="186">
                  <formatCode>0.0%</formatCode>
                  <v>-0.05532364597093794</v>
                </pt>
                <pt idx="187">
                  <formatCode>0.0%</formatCode>
                  <v>-0.04951716738197422</v>
                </pt>
                <pt idx="188">
                  <formatCode>0.0%</formatCode>
                  <v>-0.05503796650331199</v>
                </pt>
                <pt idx="189">
                  <formatCode>0.0%</formatCode>
                  <v>-0.05206191146227949</v>
                </pt>
                <pt idx="190">
                  <formatCode>0.0%</formatCode>
                  <v>-0.05655582589889154</v>
                </pt>
                <pt idx="191">
                  <formatCode>0.0%</formatCode>
                  <v>-0.05926286734859555</v>
                </pt>
                <pt idx="192">
                  <formatCode>0.0%</formatCode>
                  <v>-0.05666848121937938</v>
                </pt>
                <pt idx="193">
                  <formatCode>0.0%</formatCode>
                  <v>-0.04887526681626619</v>
                </pt>
                <pt idx="194">
                  <formatCode>0.0%</formatCode>
                  <v>-0.03757622369939013</v>
                </pt>
                <pt idx="195">
                  <formatCode>0.0%</formatCode>
                  <v>-0.02782675776945118</v>
                </pt>
                <pt idx="196">
                  <formatCode>0.0%</formatCode>
                  <v>-0.00805734607690598</v>
                </pt>
                <pt idx="197">
                  <formatCode>0.0%</formatCode>
                  <v>0.0048007145249525</v>
                </pt>
                <pt idx="198">
                  <formatCode>0.0%</formatCode>
                  <v>0.01001230562702768</v>
                </pt>
                <pt idx="199">
                  <formatCode>0.0%</formatCode>
                  <v>0.02376248800587002</v>
                </pt>
                <pt idx="200">
                  <formatCode>0.0%</formatCode>
                  <v>0.03487775688151824</v>
                </pt>
                <pt idx="201">
                  <formatCode>0.0%</formatCode>
                  <v>0.03762274491893132</v>
                </pt>
                <pt idx="202">
                  <formatCode>0.0%</formatCode>
                  <v>0.04349819473895344</v>
                </pt>
                <pt idx="203">
                  <formatCode>0.0%</formatCode>
                  <v>0.05149004717523875</v>
                </pt>
                <pt idx="204">
                  <formatCode>0.0%</formatCode>
                  <v>0.0616884990478388</v>
                </pt>
                <pt idx="205">
                  <formatCode>0.0%</formatCode>
                  <v>0.07089423408907818</v>
                </pt>
                <pt idx="206">
                  <formatCode>0.0%</formatCode>
                  <v>0.07026656772646835</v>
                </pt>
                <pt idx="207">
                  <formatCode>0.0%</formatCode>
                  <v>0.07175650399591914</v>
                </pt>
                <pt idx="208">
                  <formatCode>0.0%</formatCode>
                  <v>0.06487031538849375</v>
                </pt>
                <pt idx="209">
                  <formatCode>0.0%</formatCode>
                  <v>0.05583333333333333</v>
                </pt>
                <pt idx="210">
                  <formatCode>0.0%</formatCode>
                  <v>0.05543556515478756</v>
                </pt>
                <pt idx="211">
                  <formatCode>0.0%</formatCode>
                  <v>0.05717278641526081</v>
                </pt>
                <pt idx="212">
                  <formatCode>0.0%</formatCode>
                  <v>0.06200781981386635</v>
                </pt>
                <pt idx="213">
                  <formatCode>0.0%</formatCode>
                  <v>0.06905089408528198</v>
                </pt>
                <pt idx="214">
                  <formatCode>0.0%</formatCode>
                  <v>0.07590070298769774</v>
                </pt>
                <pt idx="215">
                  <formatCode>0.0%</formatCode>
                  <v>0.07927996936039824</v>
                </pt>
                <pt idx="216">
                  <formatCode>0.0%</formatCode>
                  <v>0.07892162191542562</v>
                </pt>
                <pt idx="217">
                  <formatCode>0.0%</formatCode>
                  <v>0.06706072004298762</v>
                </pt>
                <pt idx="218">
                  <formatCode>0.0%</formatCode>
                  <v>0.06351999999999995</v>
                </pt>
                <pt idx="219">
                  <formatCode>0.0%</formatCode>
                  <v>0.05732719868845516</v>
                </pt>
                <pt idx="220">
                  <formatCode>0.0%</formatCode>
                  <v>0.0564995528433899</v>
                </pt>
                <pt idx="221">
                  <formatCode>0.0%</formatCode>
                  <v>0.05914233096553544</v>
                </pt>
                <pt idx="222">
                  <formatCode>0.0%</formatCode>
                  <v>0.05866302864938606</v>
                </pt>
                <pt idx="223">
                  <formatCode>0.0%</formatCode>
                  <v>0.05580182529335072</v>
                </pt>
                <pt idx="224">
                  <formatCode>0.0%</formatCode>
                  <v>0.0541871921182266</v>
                </pt>
                <pt idx="225">
                  <formatCode>0.0%</formatCode>
                  <v>0.0477097272259393</v>
                </pt>
                <pt idx="226">
                  <formatCode>0.0%</formatCode>
                  <v>0.03935681470137821</v>
                </pt>
                <pt idx="227">
                  <formatCode>0.0%</formatCode>
                  <v>0.0336611578627193</v>
                </pt>
                <pt idx="228">
                  <formatCode>0.0%</formatCode>
                  <v>0.02821158690176322</v>
                </pt>
                <pt idx="229">
                  <formatCode>0.0%</formatCode>
                  <v>0.02754557357236381</v>
                </pt>
                <pt idx="230">
                  <formatCode>0.0%</formatCode>
                  <v>0.0221152399578758</v>
                </pt>
                <pt idx="231">
                  <formatCode>0.0%</formatCode>
                  <v>0.01790626719351771</v>
                </pt>
                <pt idx="232">
                  <formatCode>0.0%</formatCode>
                  <v>0.01170143902803366</v>
                </pt>
                <pt idx="233">
                  <formatCode>0.0%</formatCode>
                  <v>0.007750012419891653</v>
                </pt>
                <pt idx="234">
                  <formatCode>0.0%</formatCode>
                  <v>0.001932989690721695</v>
                </pt>
                <pt idx="235">
                  <formatCode>0.0%</formatCode>
                  <v>-0.0004939491232403062</v>
                </pt>
                <pt idx="236">
                  <formatCode>0.0%</formatCode>
                  <v>-0.005115592720118097</v>
                </pt>
                <pt idx="237">
                  <formatCode>0.0%</formatCode>
                  <v>-0.009971999803507371</v>
                </pt>
                <pt idx="238">
                  <formatCode>0.0%</formatCode>
                  <v>-0.01109965129414072</v>
                </pt>
                <pt idx="239">
                  <formatCode>0.0%</formatCode>
                  <v>-0.01333987248651302</v>
                </pt>
                <pt idx="240">
                  <formatCode>0.0%</formatCode>
                  <v>-0.0189612934835865</v>
                </pt>
                <pt idx="241">
                  <formatCode>0.0%</formatCode>
                  <v>-0.02425876010781671</v>
                </pt>
                <pt idx="242">
                  <formatCode>0.0%</formatCode>
                  <v>-0.02590521047983512</v>
                </pt>
                <pt idx="243">
                  <formatCode>0.0%</formatCode>
                  <v>-0.02412657854650873</v>
                </pt>
                <pt idx="244">
                  <formatCode>0.0%</formatCode>
                  <v>-0.02790628998917219</v>
                </pt>
                <pt idx="245">
                  <formatCode>0.0%</formatCode>
                  <v>-0.02839536603401524</v>
                </pt>
                <pt idx="246">
                  <formatCode>0.0%</formatCode>
                  <v>-0.02770220133564185</v>
                </pt>
                <pt idx="247">
                  <formatCode>0.0%</formatCode>
                  <v>-0.02999752903385226</v>
                </pt>
                <pt idx="248">
                  <formatCode>0.0%</formatCode>
                  <v>-0.03371897557599121</v>
                </pt>
                <pt idx="249">
                  <formatCode>0.0%</formatCode>
                  <v>-0.0364195693162648</v>
                </pt>
                <pt idx="250">
                  <formatCode>0.0%</formatCode>
                  <v>-0.04206605413459153</v>
                </pt>
                <pt idx="251">
                  <formatCode>0.0%</formatCode>
                  <v>-0.04742022069788242</v>
                </pt>
                <pt idx="252">
                  <formatCode>0.0%</formatCode>
                  <v>-0.05064176197373015</v>
                </pt>
                <pt idx="253">
                  <formatCode>0.0%</formatCode>
                  <v>-0.04977398292315414</v>
                </pt>
                <pt idx="254">
                  <formatCode>0.0%</formatCode>
                  <v>-0.05691548302609046</v>
                </pt>
                <pt idx="255">
                  <formatCode>0.0%</formatCode>
                  <v>-0.06500503524672704</v>
                </pt>
                <pt idx="256">
                  <formatCode>0.0%</formatCode>
                  <v>-0.06283226165763754</v>
                </pt>
                <pt idx="257">
                  <formatCode>0.0%</formatCode>
                  <v>-0.05951595717692434</v>
                </pt>
                <pt idx="258">
                  <formatCode>0.0%</formatCode>
                  <v>-0.04802849147799547</v>
                </pt>
                <pt idx="259">
                  <formatCode>0.0%</formatCode>
                  <v>-0.04381495822294681</v>
                </pt>
                <pt idx="260">
                  <formatCode>0.0%</formatCode>
                  <v>-0.0401146131805158</v>
                </pt>
                <pt idx="261">
                  <formatCode>0.0%</formatCode>
                  <v>-0.03650875386199798</v>
                </pt>
                <pt idx="262">
                  <formatCode>0.0%</formatCode>
                  <v>-0.03344048112816259</v>
                </pt>
                <pt idx="263">
                  <formatCode>0.0%</formatCode>
                  <v>-0.03381340012523491</v>
                </pt>
                <pt idx="264">
                  <formatCode>0.0%</formatCode>
                  <v>-0.03056446946183394</v>
                </pt>
                <pt idx="265">
                  <formatCode>0.0%</formatCode>
                  <v>-0.02774988107193826</v>
                </pt>
                <pt idx="266">
                  <formatCode>0.0%</formatCode>
                  <v>-0.01345866267891479</v>
                </pt>
                <pt idx="267">
                  <formatCode>0.0%</formatCode>
                  <v>0.002854219397921242</v>
                </pt>
                <pt idx="268">
                  <formatCode>0.0%</formatCode>
                  <v>0.002323068611561294</v>
                </pt>
                <pt idx="269">
                  <formatCode>0.0%</formatCode>
                  <v>-0.004315925766076823</v>
                </pt>
                <pt idx="270">
                  <formatCode>0.0%</formatCode>
                  <v>-0.01763668430335097</v>
                </pt>
                <pt idx="271">
                  <formatCode>0.0%</formatCode>
                  <v>-0.02088661551577155</v>
                </pt>
                <pt idx="272">
                  <formatCode>0.0%</formatCode>
                  <v>-0.02324093816631125</v>
                </pt>
                <pt idx="273">
                  <formatCode>0.0%</formatCode>
                  <v>-0.01475068141734804</v>
                </pt>
                <pt idx="274">
                  <formatCode>0.0%</formatCode>
                  <v>-0.007187684385560191</v>
                </pt>
                <pt idx="275">
                  <formatCode>0.0%</formatCode>
                  <v>0.00756102829984878</v>
                </pt>
                <pt idx="276">
                  <formatCode>0.0%</formatCode>
                  <v>0.01769047102235736</v>
                </pt>
                <pt idx="277">
                  <formatCode>0.0%</formatCode>
                  <v>0.01870175057083824</v>
                </pt>
                <pt idx="278">
                  <formatCode>0.0%</formatCode>
                  <v>0.02127544391511474</v>
                </pt>
                <pt idx="279">
                  <formatCode>0.0%</formatCode>
                  <v>0.01965417248415847</v>
                </pt>
                <pt idx="280">
                  <formatCode>0.0%</formatCode>
                  <v>0.0203201638549022</v>
                </pt>
                <pt idx="281">
                  <formatCode>0.0%</formatCode>
                  <v>0.01999349804941487</v>
                </pt>
                <pt idx="282">
                  <formatCode>0.0%</formatCode>
                  <v>0.02197921767042059</v>
                </pt>
                <pt idx="283">
                  <formatCode>0.0%</formatCode>
                  <v>0.02775359164127122</v>
                </pt>
                <pt idx="284">
                  <formatCode>0.0%</formatCode>
                  <v>0.03803754638725159</v>
                </pt>
                <pt idx="285">
                  <formatCode>0.0%</formatCode>
                  <v>0.03384865744507735</v>
                </pt>
                <pt idx="286">
                  <formatCode>0.0%</formatCode>
                  <v>0.03846777243503151</v>
                </pt>
                <pt idx="287">
                  <formatCode>0.0%</formatCode>
                  <v>0.04566895368782164</v>
                </pt>
                <pt idx="288">
                  <formatCode>0.0%</formatCode>
                  <v>0.06718566705769435</v>
                </pt>
                <pt idx="289">
                  <formatCode>0.0%</formatCode>
                  <v>0.08741594620557154</v>
                </pt>
                <pt idx="290">
                  <formatCode>0.0%</formatCode>
                  <v>0.08889477869069697</v>
                </pt>
                <pt idx="291">
                  <formatCode>0.0%</formatCode>
                  <v>0.08131451443016635</v>
                </pt>
                <pt idx="292">
                  <formatCode>0.0%</formatCode>
                  <v>0.08800845219228733</v>
                </pt>
                <pt idx="293">
                  <formatCode>0.0%</formatCode>
                  <v>0.09742363877822049</v>
                </pt>
                <pt idx="294">
                  <formatCode>0.0%</formatCode>
                  <v>0.1013574660633485</v>
                </pt>
                <pt idx="295">
                  <formatCode>0.0%</formatCode>
                  <v>0.09705602033252154</v>
                </pt>
                <pt idx="296">
                  <formatCode>0.0%</formatCode>
                  <v>0.09084695862467809</v>
                </pt>
                <pt idx="297">
                  <formatCode>0.0%</formatCode>
                  <v>0.09265963586756908</v>
                </pt>
                <pt idx="298">
                  <formatCode>0.0%</formatCode>
                  <v>0.08698819000052041</v>
                </pt>
                <pt idx="299">
                  <formatCode>0.0%</formatCode>
                  <v>0.07350830428542129</v>
                </pt>
                <pt idx="300">
                  <formatCode>0.0%</formatCode>
                  <v>0.04636754272009579</v>
                </pt>
                <pt idx="301">
                  <formatCode>0.0%</formatCode>
                  <v>0.03234197094621127</v>
                </pt>
                <pt idx="302">
                  <formatCode>0.0%</formatCode>
                  <v>0.02906240872359083</v>
                </pt>
                <pt idx="303">
                  <formatCode>0.0%</formatCode>
                  <v>0.03336255601013053</v>
                </pt>
                <pt idx="304">
                  <formatCode>0.0%</formatCode>
                  <v>0.03398718197708293</v>
                </pt>
                <pt idx="305">
                  <formatCode>0.0%</formatCode>
                  <v>0.03398034754828395</v>
                </pt>
                <pt idx="306">
                  <formatCode>0.0%</formatCode>
                  <v>0.03238435883802987</v>
                </pt>
                <pt idx="307">
                  <formatCode>0.0%</formatCode>
                  <v>0.03113084608330518</v>
                </pt>
                <pt idx="308">
                  <formatCode>0.0%</formatCode>
                  <v>0.03311002939900709</v>
                </pt>
                <pt idx="309">
                  <formatCode>0.0%</formatCode>
                  <v>0.032076830732293</v>
                </pt>
                <pt idx="310">
                  <formatCode>0.0%</formatCode>
                  <v>0.03699803762025546</v>
                </pt>
                <pt idx="311">
                  <formatCode>0.0%</formatCode>
                  <v>0.04393085665170472</v>
                </pt>
                <pt idx="312">
                  <formatCode>0.0%</formatCode>
                  <v>0.05367204660490885</v>
                </pt>
                <pt idx="313">
                  <formatCode>0.0%</formatCode>
                  <v>0.0528167340147373</v>
                </pt>
                <pt idx="314">
                  <formatCode>0.0%</formatCode>
                  <v>0.04806282227163059</v>
                </pt>
                <pt idx="315">
                  <formatCode>0.0%</formatCode>
                  <v>0.0463307724937551</v>
                </pt>
                <pt idx="316">
                  <formatCode>0.0%</formatCode>
                  <v>0.04667543200601056</v>
                </pt>
                <pt idx="317">
                  <formatCode>0.0%</formatCode>
                  <v>0.05065305931370268</v>
                </pt>
                <pt idx="318">
                  <formatCode>0.0%</formatCode>
                  <v>0.05613558687204461</v>
                </pt>
                <pt idx="319">
                  <formatCode>0.0%</formatCode>
                  <v>0.06024152780378197</v>
                </pt>
                <pt idx="320">
                  <formatCode>0.0%</formatCode>
                  <v>0.06003918641537613</v>
                </pt>
                <pt idx="321">
                  <formatCode>0.0%</formatCode>
                  <v>0.05834457730423841</v>
                </pt>
                <pt idx="322">
                  <formatCode>0.0%</formatCode>
                  <v>0.04920151389273512</v>
                </pt>
                <pt idx="323">
                  <formatCode>0.0%</formatCode>
                  <v>0.04103009788674425</v>
                </pt>
                <pt idx="324">
                  <formatCode>0.0%</formatCode>
                  <v>0.03176833136952774</v>
                </pt>
                <pt idx="325">
                  <formatCode>0.0%</formatCode>
                  <v>0.034362864625666</v>
                </pt>
                <pt idx="326">
                  <formatCode>0.0%</formatCode>
                  <v>0.04798013992326797</v>
                </pt>
                <pt idx="327">
                  <formatCode>0.0%</formatCode>
                  <v>0.05995495495495491</v>
                </pt>
                <pt idx="328">
                  <formatCode>0.0%</formatCode>
                  <v>0.06388515029161063</v>
                </pt>
                <pt idx="329">
                  <formatCode>0.0%</formatCode>
                  <v>0.06099897518157092</v>
                </pt>
                <pt idx="330">
                  <formatCode>0.0%</formatCode>
                  <v>0.0633478145225639</v>
                </pt>
                <pt idx="331">
                  <formatCode>0.0%</formatCode>
                  <v>0.06604564919871084</v>
                </pt>
                <pt idx="332">
                  <formatCode>0.0%</formatCode>
                  <v>0.06733265853980548</v>
                </pt>
                <pt idx="333">
                  <formatCode>0.0%</formatCode>
                  <v>0.07209741943992615</v>
                </pt>
                <pt idx="334">
                  <formatCode>0.0%</formatCode>
                  <v>0.07636811543199032</v>
                </pt>
                <pt idx="335">
                  <formatCode>0.0%</formatCode>
                  <v>0.08181378795201889</v>
                </pt>
                <pt idx="336">
                  <formatCode>0.0%</formatCode>
                  <v>0.08187288619493131</v>
                </pt>
                <pt idx="337">
                  <formatCode>0.0%</formatCode>
                  <v>0.072816169729777</v>
                </pt>
                <pt idx="338">
                  <formatCode>0.0%</formatCode>
                  <v>0.05706779223016625</v>
                </pt>
                <pt idx="339">
                  <formatCode>0.0%</formatCode>
                  <v>0.04364455399260562</v>
                </pt>
                <pt idx="340">
                  <formatCode>0.0%</formatCode>
                  <v>0.03478957577802142</v>
                </pt>
                <pt idx="341">
                  <formatCode>0.0%</formatCode>
                  <v>0.02662523097597854</v>
                </pt>
                <pt idx="342">
                  <formatCode>0.0%</formatCode>
                  <v>0.01805144453245516</v>
                </pt>
                <pt idx="343">
                  <formatCode>0.0%</formatCode>
                  <v>0.01022901395618515</v>
                </pt>
                <pt idx="344">
                  <formatCode>0.0%</formatCode>
                  <v>0.006349729930317748</v>
                </pt>
                <pt idx="345">
                  <formatCode>0.0%</formatCode>
                  <v>0.003690490835281093</v>
                </pt>
                <pt idx="346">
                  <formatCode>0.0%</formatCode>
                  <v>-0.001675658002288852</v>
                </pt>
                <pt idx="347">
                  <formatCode>0.0%</formatCode>
                  <v>-0.006945290605580566</v>
                </pt>
                <pt idx="348">
                  <formatCode>0.0%</formatCode>
                  <v>-0.003410336567739877</v>
                </pt>
                <pt idx="349">
                  <formatCode>0.0%</formatCode>
                  <v>0.005167853509664219</v>
                </pt>
                <pt idx="350">
                  <formatCode>0.0%</formatCode>
                  <v>0.011001100110011</v>
                </pt>
                <pt idx="351">
                  <formatCode>0.0%</formatCode>
                  <v>0.01127942014822046</v>
                </pt>
                <pt idx="352">
                  <formatCode>0.0%</formatCode>
                  <v>0.01479277884184349</v>
                </pt>
                <pt idx="353">
                  <formatCode>0.0%</formatCode>
                  <v>0.0186533584226458</v>
                </pt>
                <pt idx="354">
                  <formatCode>0.0%</formatCode>
                  <v>0.01846846846846843</v>
                </pt>
                <pt idx="355">
                  <formatCode>0.0%</formatCode>
                  <v>0.01693039271952108</v>
                </pt>
                <pt idx="356">
                  <formatCode>0.0%</formatCode>
                  <v>0.0138075142377188</v>
                </pt>
                <pt idx="357">
                  <formatCode>0.0%</formatCode>
                  <v>0.01037708869551011</v>
                </pt>
                <pt idx="358">
                  <formatCode>0.0%</formatCode>
                  <v>0.01416465386662315</v>
                </pt>
                <pt idx="359">
                  <formatCode>0.0%</formatCode>
                  <v>0.01255623721881383</v>
                </pt>
                <pt idx="360">
                  <formatCode>0.0%</formatCode>
                  <v>0.005581130076995264</v>
                </pt>
                <pt idx="361">
                  <formatCode>0.0%</formatCode>
                  <v>-0.003845842441907538</v>
                </pt>
                <pt idx="362">
                  <formatCode>0.0%</formatCode>
                  <v>-0.0107201869987508</v>
                </pt>
                <pt idx="363">
                  <formatCode>0.0%</formatCode>
                  <v>-0.01675055365411714</v>
                </pt>
                <pt idx="364">
                  <formatCode>0.0%</formatCode>
                  <v>-0.02232752389366312</v>
                </pt>
                <pt idx="365">
                  <formatCode>0.0%</formatCode>
                  <v>-0.02019918078869156</v>
                </pt>
                <pt idx="366">
                  <formatCode>0.0%</formatCode>
                  <v>-0.01423344457400189</v>
                </pt>
                <pt idx="367">
                  <formatCode>0.0%</formatCode>
                  <v>-0.004555165880598108</v>
                </pt>
                <pt idx="368">
                  <formatCode>0.0%</formatCode>
                  <v>0.001454898157128964</v>
                </pt>
                <pt idx="369">
                  <formatCode>0.0%</formatCode>
                  <v>0.004124378310622406</v>
                </pt>
                <pt idx="370">
                  <formatCode>0.0%</formatCode>
                  <v>0.004601784200540764</v>
                </pt>
                <pt idx="371">
                  <formatCode>0.0%</formatCode>
                  <v>0.008199701094639973</v>
                </pt>
                <pt idx="372">
                  <formatCode>0.0%</formatCode>
                  <v>0.006238859180035687</v>
                </pt>
                <pt idx="373">
                  <formatCode>0.0%</formatCode>
                  <v>0.009387572641931307</v>
                </pt>
                <pt idx="374">
                  <formatCode>0.0%</formatCode>
                  <v>0.01055118751782299</v>
                </pt>
                <pt idx="375">
                  <formatCode>0.0%</formatCode>
                  <v>0.01715876981039358</v>
                </pt>
                <pt idx="376">
                  <formatCode>0.0%</formatCode>
                  <v>0.0183192310851885</v>
                </pt>
                <pt idx="377">
                  <formatCode>0.0%</formatCode>
                  <v>0.01397598262223858</v>
                </pt>
                <pt idx="378">
                  <formatCode>0.0%</formatCode>
                  <v>0.007831300730105753</v>
                </pt>
                <pt idx="379">
                  <formatCode>0.0%</formatCode>
                  <v>-0.002389244350854495</v>
                </pt>
                <pt idx="380">
                  <formatCode>0.0%</formatCode>
                  <v>-0.008757062146892583</v>
                </pt>
                <pt idx="381">
                  <formatCode>0.0%</formatCode>
                  <v>-0.0161075987597149</v>
                </pt>
                <pt idx="382">
                  <formatCode>0.0%</formatCode>
                  <v>-0.01948808614939527</v>
                </pt>
                <pt idx="383">
                  <formatCode>0.0%</formatCode>
                  <v>-0.02323717948717949</v>
                </pt>
                <pt idx="384">
                  <formatCode>0.0%</formatCode>
                  <v>-0.01731218294548675</v>
                </pt>
                <pt idx="385">
                  <formatCode>0.0%</formatCode>
                  <v>-0.01304452854497145</v>
                </pt>
                <pt idx="386">
                  <formatCode>0.0%</formatCode>
                  <v>-0.006570990889300866</v>
                </pt>
                <pt idx="387">
                  <formatCode>0.0%</formatCode>
                  <v>-0.006924873178194811</v>
                </pt>
                <pt idx="388">
                  <formatCode>0.0%</formatCode>
                  <v>-0.005606647305582299</v>
                </pt>
                <pt idx="389">
                  <formatCode>0.0%</formatCode>
                  <v>-0.003799514955537628</v>
                </pt>
                <pt idx="390">
                  <formatCode>0.0%</formatCode>
                  <v>-0.002752033671941471</v>
                </pt>
                <pt idx="391">
                  <formatCode>0.0%</formatCode>
                  <v>-0.003003856302009373</v>
                </pt>
                <pt idx="392">
                  <formatCode>0.0%</formatCode>
                  <v>-0.003053372959329072</v>
                </pt>
                <pt idx="393">
                  <formatCode>0.0%</formatCode>
                  <v>0.002373838660827458</v>
                </pt>
                <pt idx="394">
                  <formatCode>0.0%</formatCode>
                  <v>0.0008605851979347446</v>
                </pt>
                <pt idx="395">
                  <formatCode>0.0%</formatCode>
                  <v>0.0008613617719441793</v>
                </pt>
                <pt idx="396">
                  <formatCode>0.0%</formatCode>
                  <v>0.001638806948541462</v>
                </pt>
                <pt idx="397">
                  <formatCode>0.0%</formatCode>
                  <v>0.0006934812760054736</v>
                </pt>
                <pt idx="398">
                  <formatCode>0.0%</formatCode>
                  <v>-0.006979669683074411</v>
                </pt>
                <pt idx="399">
                  <formatCode>0.0%</formatCode>
                  <v>-0.01127057488040206</v>
                </pt>
                <pt idx="400">
                  <formatCode>0.0%</formatCode>
                  <v>-0.01318297975905569</v>
                </pt>
                <pt idx="401">
                  <formatCode>0.0%</formatCode>
                  <v>-0.01724417755416701</v>
                </pt>
                <pt idx="402">
                  <formatCode>0.0%</formatCode>
                  <v>-0.0196826427498884</v>
                </pt>
                <pt idx="403">
                  <formatCode>0.0%</formatCode>
                  <v>-0.01718171084239234</v>
                </pt>
                <pt idx="404">
                  <formatCode>0.0%</formatCode>
                  <v>-0.01302678863116632</v>
                </pt>
                <pt idx="405">
                  <formatCode>0.0%</formatCode>
                  <v>-0.0134335061859459</v>
                </pt>
                <pt idx="406">
                  <formatCode>0.0%</formatCode>
                  <v>-0.01269295336363264</v>
                </pt>
                <pt idx="407">
                  <formatCode>0.0%</formatCode>
                  <v>-0.01368796360804889</v>
                </pt>
                <pt idx="408">
                  <formatCode>0.0%</formatCode>
                  <v>-0.02065608638743455</v>
                </pt>
                <pt idx="409">
                  <formatCode>0.0%</formatCode>
                  <v>-0.02731238025355672</v>
                </pt>
                <pt idx="410">
                  <formatCode>0.0%</formatCode>
                  <v>-0.02709329410322411</v>
                </pt>
                <pt idx="411">
                  <formatCode>0.0%</formatCode>
                  <v>-0.02726750861079219</v>
                </pt>
                <pt idx="412">
                  <formatCode>0.0%</formatCode>
                  <v>-0.02030582045379813</v>
                </pt>
                <pt idx="413">
                  <formatCode>0.0%</formatCode>
                  <v>-0.01506956773048181</v>
                </pt>
                <pt idx="414">
                  <formatCode>0.0%</formatCode>
                  <v>-0.01390958768007945</v>
                </pt>
                <pt idx="415">
                  <formatCode>0.0%</formatCode>
                  <v>-0.01420937072786784</v>
                </pt>
                <pt idx="416">
                  <formatCode>0.0%</formatCode>
                  <v>-0.01493648889072775</v>
                </pt>
                <pt idx="417">
                  <formatCode>0.0%</formatCode>
                  <v>-0.01742405430014068</v>
                </pt>
                <pt idx="418">
                  <formatCode>0.0%</formatCode>
                  <v>-0.01430763488574628</v>
                </pt>
                <pt idx="419">
                  <formatCode>0.0%</formatCode>
                  <v>-0.01321311339178117</v>
                </pt>
                <pt idx="420">
                  <formatCode>0.0%</formatCode>
                  <v>-0.007977279371841608</v>
                </pt>
                <pt idx="421">
                  <formatCode>0.0%</formatCode>
                  <v>-0.007040777838313452</v>
                </pt>
                <pt idx="422">
                  <formatCode>0.0%</formatCode>
                  <v>-0.006300403225806451</v>
                </pt>
                <pt idx="423">
                  <formatCode>0.0%</formatCode>
                  <v>-0.003077182481136526</v>
                </pt>
                <pt idx="424">
                  <formatCode>0.0%</formatCode>
                  <v>-0.007048753881010397</v>
                </pt>
                <pt idx="425">
                  <formatCode>0.0%</formatCode>
                  <v>-0.01383299798792757</v>
                </pt>
                <pt idx="426">
                  <formatCode>0.0%</formatCode>
                  <v>-0.01322418136020151</v>
                </pt>
                <pt idx="427">
                  <formatCode>0.0%</formatCode>
                  <v>-0.0168935955622793</v>
                </pt>
                <pt idx="428">
                  <formatCode>0.0%</formatCode>
                  <v>-0.01923723118279578</v>
                </pt>
                <pt idx="429">
                  <formatCode>0.0%</formatCode>
                  <v>-0.01764879322690708</v>
                </pt>
                <pt idx="430">
                  <formatCode>0.0%</formatCode>
                  <v>-0.02057388084819929</v>
                </pt>
                <pt idx="431">
                  <formatCode>0.0%</formatCode>
                  <v>-0.02197987283675113</v>
                </pt>
                <pt idx="432">
                  <formatCode>0.0%</formatCode>
                  <v>-0.02302963960929598</v>
                </pt>
                <pt idx="433">
                  <formatCode>0.0%</formatCode>
                  <v>-0.02388891233697732</v>
                </pt>
                <pt idx="434">
                  <formatCode>0.0%</formatCode>
                  <v>-0.02405106095189791</v>
                </pt>
                <pt idx="435">
                  <formatCode>0.0%</formatCode>
                  <v>-0.02532769556025374</v>
                </pt>
                <pt idx="436">
                  <formatCode>0.0%</formatCode>
                  <v>-0.02095833685455925</v>
                </pt>
                <pt idx="437">
                  <formatCode>0.0%</formatCode>
                  <v>-0.01015897305109245</v>
                </pt>
                <pt idx="438">
                  <formatCode>0.0%</formatCode>
                  <v>-0.005445649861731624</v>
                </pt>
                <pt idx="439">
                  <formatCode>0.0%</formatCode>
                  <v>0.003376934256647042</v>
                </pt>
                <pt idx="440">
                  <formatCode>0.0%</formatCode>
                  <v>0.007623126338329842</v>
                </pt>
                <pt idx="441">
                  <formatCode>0.0%</formatCode>
                  <v>0.009347397307263607</v>
                </pt>
                <pt idx="442">
                  <formatCode>0.0%</formatCode>
                  <v>0.01172730787404946</v>
                </pt>
                <pt idx="443">
                  <formatCode>0.0%</formatCode>
                  <v>0.01532699014078459</v>
                </pt>
                <pt idx="444">
                  <formatCode>0.0%</formatCode>
                  <v>0.01616031027795734</v>
                </pt>
                <pt idx="445">
                  <formatCode>0.0%</formatCode>
                  <v>0.02153327279802836</v>
                </pt>
                <pt idx="446">
                  <formatCode>0.0%</formatCode>
                  <v>0.02689592446619598</v>
                </pt>
                <pt idx="447">
                  <formatCode>0.0%</formatCode>
                  <v>0.02763437594898281</v>
                </pt>
                <pt idx="448">
                  <formatCode>0.0%</formatCode>
                  <v>0.0236944324557618</v>
                </pt>
                <pt idx="449">
                  <formatCode>0.0%</formatCode>
                  <v>0.02013999227036548</v>
                </pt>
                <pt idx="450">
                  <formatCode>0.0%</formatCode>
                  <v>0.01822303973991546</v>
                </pt>
                <pt idx="451">
                  <formatCode>0.0%</formatCode>
                  <v>0.01465513568781137</v>
                </pt>
                <pt idx="452">
                  <formatCode>0.0%</formatCode>
                  <v>0.01160319619177139</v>
                </pt>
                <pt idx="453">
                  <formatCode>0.0%</formatCode>
                  <v>0.01308411214953279</v>
                </pt>
                <pt idx="454">
                  <formatCode>0.0%</formatCode>
                  <v>0.01537024456521751</v>
                </pt>
                <pt idx="455">
                  <formatCode>0.0%</formatCode>
                  <v>0.01772463215027762</v>
                </pt>
                <pt idx="456">
                  <formatCode>0.0%</formatCode>
                  <v>0.02018659881255297</v>
                </pt>
                <pt idx="457">
                  <formatCode>0.0%</formatCode>
                  <v>0.01947089947089947</v>
                </pt>
                <pt idx="458">
                  <formatCode>0.0%</formatCode>
                  <v>0.01910586250527211</v>
                </pt>
                <pt idx="459">
                  <formatCode>0.0%</formatCode>
                  <v>0.0235562310030394</v>
                </pt>
                <pt idx="460">
                  <formatCode>0.0%</formatCode>
                  <v>0.02546481723512799</v>
                </pt>
                <pt idx="461">
                  <formatCode>0.0%</formatCode>
                  <v>0.02635123758208449</v>
                </pt>
                <pt idx="462">
                  <formatCode>0.0%</formatCode>
                  <v>0.0277275973616771</v>
                </pt>
                <pt idx="463">
                  <formatCode>0.0%</formatCode>
                  <v>0.03333753201494735</v>
                </pt>
                <pt idx="464">
                  <formatCode>0.0%</formatCode>
                  <v>0.0355447250115541</v>
                </pt>
                <pt idx="465">
                  <formatCode>0.0%</formatCode>
                  <v>0.03656491110365642</v>
                </pt>
                <pt idx="466">
                  <formatCode>0.0%</formatCode>
                  <v>0.03826210587940119</v>
                </pt>
                <pt idx="467">
                  <formatCode>0.0%</formatCode>
                  <v>0.03849839590017087</v>
                </pt>
                <pt idx="468">
                  <formatCode>0.0%</formatCode>
                  <v>0.04082141669437989</v>
                </pt>
                <pt idx="469">
                  <formatCode>0.0%</formatCode>
                  <v>0.04795515881253892</v>
                </pt>
                <pt idx="470">
                  <formatCode>0.0%</formatCode>
                  <v>0.05106981748954999</v>
                </pt>
                <pt idx="471">
                  <formatCode>0.0%</formatCode>
                  <v>0.05275096923203831</v>
                </pt>
                <pt idx="472">
                  <formatCode>0.0%</formatCode>
                  <v>0.05295399416190425</v>
                </pt>
                <pt idx="473">
                  <formatCode>0.0%</formatCode>
                  <v>0.05409728488229026</v>
                </pt>
                <pt idx="474">
                  <formatCode>0.0%</formatCode>
                  <v>0.05297796672525851</v>
                </pt>
                <pt idx="475">
                  <formatCode>0.0%</formatCode>
                  <v>0.05152167729876892</v>
                </pt>
                <pt idx="476">
                  <formatCode>0.0%</formatCode>
                  <v>0.05903355377936463</v>
                </pt>
                <pt idx="477">
                  <formatCode>0.0%</formatCode>
                  <v>0.0631877022653721</v>
                </pt>
                <pt idx="478">
                  <formatCode>0.0%</formatCode>
                  <v>0.06673647750614194</v>
                </pt>
                <pt idx="479">
                  <formatCode>0.0%</formatCode>
                  <v>0.06772316950852565</v>
                </pt>
                <pt idx="480">
                  <formatCode>0.0%</formatCode>
                  <v>0.06761722182282918</v>
                </pt>
                <pt idx="481">
                  <formatCode>0.0%</formatCode>
                  <v>0.06454041204437405</v>
                </pt>
                <pt idx="482">
                  <formatCode>0.0%</formatCode>
                  <v>0.05894396976020801</v>
                </pt>
                <pt idx="483">
                  <formatCode>0.0%</formatCode>
                  <v>0.0533986287952988</v>
                </pt>
                <pt idx="484">
                  <formatCode>0.0%</formatCode>
                  <v>0.05501542306040377</v>
                </pt>
                <pt idx="485">
                  <formatCode>0.0%</formatCode>
                  <v>0.056456947200498</v>
                </pt>
                <pt idx="486">
                  <formatCode>0.0%</formatCode>
                  <v>0.05601925540587745</v>
                </pt>
                <pt idx="487">
                  <formatCode>0.0%</formatCode>
                  <v>0.0525522624521813</v>
                </pt>
                <pt idx="488">
                  <formatCode>0.0%</formatCode>
                  <v>0.0428702781396062</v>
                </pt>
                <pt idx="489">
                  <formatCode>0.0%</formatCode>
                  <v>0.03926641808081587</v>
                </pt>
                <pt idx="490">
                  <formatCode>0.0%</formatCode>
                  <v>0.03367816959903355</v>
                </pt>
                <pt idx="491">
                  <formatCode>0.0%</formatCode>
                  <v>0.03242776086874825</v>
                </pt>
                <pt idx="492">
                  <formatCode>0.0%</formatCode>
                  <v>0.03108750140286555</v>
                </pt>
                <pt idx="493">
                  <formatCode>0.0%</formatCode>
                  <v>0.02445197067252217</v>
                </pt>
                <pt idx="494">
                  <formatCode>0.0%</formatCode>
                  <v>0.02420614263404473</v>
                </pt>
                <pt idx="495">
                  <formatCode>0.0%</formatCode>
                  <v>0.03719131210949122</v>
                </pt>
                <pt idx="496">
                  <formatCode>0.0%</formatCode>
                  <v>0.02768319763138423</v>
                </pt>
                <pt idx="497">
                  <formatCode>0.0%</formatCode>
                  <v>0.02058780200353568</v>
                </pt>
                <pt idx="498">
                  <formatCode>0.0%</formatCode>
                  <v>0.01948386148077347</v>
                </pt>
                <pt idx="499">
                  <formatCode>0.0%</formatCode>
                  <v>0.0240831161202687</v>
                </pt>
                <pt idx="500">
                  <formatCode>0.0%</formatCode>
                  <v>0.02700121229932773</v>
                </pt>
                <pt idx="501">
                  <formatCode>0.0%</formatCode>
                  <v>0.0251153254741158</v>
                </pt>
                <pt idx="502">
                  <formatCode>0.0%</formatCode>
                  <v>0.02326685660018987</v>
                </pt>
                <pt idx="503">
                  <formatCode>0.0%</formatCode>
                  <v>0.02660503712330758</v>
                </pt>
                <pt idx="504">
                  <formatCode>0.0%</formatCode>
                  <v>0.02804586024236274</v>
                </pt>
                <pt idx="505">
                  <formatCode>0.0%</formatCode>
                  <v>0.03498510499164433</v>
                </pt>
                <pt idx="506">
                  <formatCode>0.0%</formatCode>
                  <v>0.04563441640951164</v>
                </pt>
                <pt idx="507">
                  <formatCode>0.0%</formatCode>
                  <v>0.04399741824440613</v>
                </pt>
                <pt idx="508">
                  <formatCode>0.0%</formatCode>
                  <v>0.04260299625468154</v>
                </pt>
                <pt idx="509">
                  <formatCode>0.0%</formatCode>
                  <v>0.05062971383205232</v>
                </pt>
                <pt idx="510">
                  <formatCode>0.0%</formatCode>
                  <v>0.05765902206836871</v>
                </pt>
                <pt idx="511">
                  <formatCode>0.0%</formatCode>
                  <v>0.05832586485033153</v>
                </pt>
                <pt idx="512">
                  <formatCode>0.0%</formatCode>
                  <v>0.07418800972957508</v>
                </pt>
                <pt idx="513">
                  <formatCode>0.0%</formatCode>
                  <v>0.07324999999999997</v>
                </pt>
                <pt idx="514">
                  <formatCode>0.0%</formatCode>
                  <v>0.08206318043905055</v>
                </pt>
                <pt idx="515">
                  <formatCode>0.0%</formatCode>
                  <v>0.0859006629560039</v>
                </pt>
                <pt idx="516">
                  <formatCode>0.0%</formatCode>
                  <v>0.08321863419798842</v>
                </pt>
                <pt idx="517">
                  <formatCode>0.0%</formatCode>
                  <v>0.08132963599985953</v>
                </pt>
                <pt idx="518">
                  <formatCode>0.0%</formatCode>
                  <v>0.06884938545934317</v>
                </pt>
                <pt idx="519">
                  <formatCode>0.0%</formatCode>
                  <v>0.05268761806628888</v>
                </pt>
                <pt idx="520">
                  <formatCode>0.0%</formatCode>
                  <v>0.06248488825947294</v>
                </pt>
                <pt idx="521">
                  <formatCode>0.0%</formatCode>
                  <v>0.06076114584048914</v>
                </pt>
                <pt idx="522">
                  <formatCode>0.0%</formatCode>
                  <v>0.05864102826361188</v>
                </pt>
                <pt idx="523">
                  <formatCode>0.0%</formatCode>
                  <v>0.05683896754962407</v>
                </pt>
                <pt idx="524">
                  <formatCode>0.0%</formatCode>
                  <v>0.04172494172494179</v>
                </pt>
                <pt idx="525">
                  <formatCode>0.0%</formatCode>
                  <v>0.04685368207380792</v>
                </pt>
                <pt idx="526">
                  <formatCode>0.0%</formatCode>
                  <v>0.04519363990235534</v>
                </pt>
                <pt idx="527">
                  <formatCode>0.0%</formatCode>
                  <v>0.03653281096963764</v>
                </pt>
                <pt idx="528">
                  <formatCode>0.0%</formatCode>
                  <v>0.03570846772879806</v>
                </pt>
                <pt idx="529">
                  <formatCode>0.0%</formatCode>
                  <v>0.03265597610855026</v>
                </pt>
                <pt idx="530">
                  <formatCode>0.0%</formatCode>
                  <v>0.03534188728276764</v>
                </pt>
                <pt idx="531">
                  <formatCode>0.0%</formatCode>
                  <v>0.05057261248327841</v>
                </pt>
                <pt idx="532">
                  <formatCode>0.0%</formatCode>
                  <v>0.05923276983094922</v>
                </pt>
                <pt idx="533">
                  <formatCode>0.0%</formatCode>
                  <v>0.06035683061878691</v>
                </pt>
                <pt idx="534">
                  <formatCode>0.0%</formatCode>
                  <v>0.05935396605584367</v>
                </pt>
                <pt idx="535">
                  <formatCode>0.0%</formatCode>
                  <v>0.05983974358974353</v>
                </pt>
                <pt idx="536">
                  <formatCode>0.0%</formatCode>
                  <v>0.04874852156123134</v>
                </pt>
                <pt idx="537">
                  <formatCode>0.0%</formatCode>
                  <v>0.04243618678279665</v>
                </pt>
                <pt idx="538">
                  <formatCode>0.0%</formatCode>
                  <v>0.0354121954298699</v>
                </pt>
                <pt idx="539">
                  <formatCode>0.0%</formatCode>
                  <v>0.0302056757693156</v>
                </pt>
                <pt idx="540">
                  <formatCode>0.0%</formatCode>
                  <v>0.02585800119538199</v>
                </pt>
                <pt idx="541">
                  <formatCode>0.0%</formatCode>
                  <v>0.02945429397711564</v>
                </pt>
                <pt idx="542">
                  <formatCode>0.0%</formatCode>
                  <v>0.03131176858155797</v>
                </pt>
                <pt idx="543">
                  <formatCode>0.0%</formatCode>
                  <v>0.02602565297058906</v>
                </pt>
                <pt idx="544">
                  <formatCode>0.0%</formatCode>
                  <v>0.02222085814253271</v>
                </pt>
                <pt idx="545">
                  <formatCode>0.0%</formatCode>
                  <v>0.01368064250160326</v>
                </pt>
                <pt idx="546">
                  <formatCode>0.0%</formatCode>
                  <v>0.01030583085061108</v>
                </pt>
                <pt idx="547">
                  <formatCode>0.0%</formatCode>
                  <v>0.008679347990443727</v>
                </pt>
                <pt idx="548">
                  <formatCode>0.0%</formatCode>
                  <v>0.01901975128017545</v>
                </pt>
                <pt idx="549">
                  <formatCode>0.0%</formatCode>
                  <v>0.0185704702079649</v>
                </pt>
                <pt idx="550">
                  <formatCode>0.0%</formatCode>
                  <v>0.01761872828141199</v>
                </pt>
                <pt idx="551">
                  <formatCode>0.0%</formatCode>
                  <v>0.0236333618686559</v>
                </pt>
                <pt idx="552">
                  <formatCode>0.0%</formatCode>
                  <v>0.02821133973199227</v>
                </pt>
                <pt idx="553">
                  <formatCode>0.0%</formatCode>
                  <v>0.02094720449479371</v>
                </pt>
                <pt idx="554">
                  <formatCode>0.0%</formatCode>
                  <v>0.01487633476316513</v>
                </pt>
                <pt idx="555">
                  <formatCode>0.0%</formatCode>
                  <v>0.008838574931137898</v>
                </pt>
                <pt idx="556">
                  <formatCode>0.0%</formatCode>
                  <v>0.0039032006245121</v>
                </pt>
                <pt idx="557">
                  <formatCode>0.0%</formatCode>
                  <v>0.01180900738062956</v>
                </pt>
                <pt idx="558">
                  <formatCode>0.0%</formatCode>
                  <v>0.009297986940691371</v>
                </pt>
                <pt idx="559">
                  <formatCode>0.0%</formatCode>
                  <v>0.004497211728728188</v>
                </pt>
                <pt idx="560">
                  <formatCode>0.0%</formatCode>
                  <v>-0.006311318497248118</v>
                </pt>
                <pt idx="561">
                  <formatCode>0.0%</formatCode>
                  <v>-0.001796245846181481</v>
                </pt>
                <pt idx="562">
                  <formatCode>0.0%</formatCode>
                  <v>0.006290438533429188</v>
                </pt>
                <pt idx="563">
                  <formatCode>0.0%</formatCode>
                  <v>0.007437053851438157</v>
                </pt>
                <pt idx="564">
                  <formatCode>0.0%</formatCode>
                  <v>0.006233038084160953</v>
                </pt>
                <pt idx="565">
                  <formatCode>0.0%</formatCode>
                  <v>0.01226259907282787</v>
                </pt>
                <pt idx="566">
                  <formatCode>0.0%</formatCode>
                  <v>0.0151378896882494</v>
                </pt>
                <pt idx="567">
                  <formatCode>0.0%</formatCode>
                  <v>0.01659215698040737</v>
                </pt>
                <pt idx="568">
                  <formatCode>0.0%</formatCode>
                  <v>0.01133508792917816</v>
                </pt>
                <pt idx="569">
                  <formatCode>0.0%</formatCode>
                  <v>0.009884776848185391</v>
                </pt>
                <pt idx="570">
                  <formatCode>0.0%</formatCode>
                  <v>0.01183590722079789</v>
                </pt>
                <pt idx="571">
                  <formatCode>0.0%</formatCode>
                  <v>0.01304321872015276</v>
                </pt>
                <pt idx="572">
                  <formatCode>0.0%</formatCode>
                  <v>0.03073357213810539</v>
                </pt>
                <pt idx="573">
                  <formatCode>0.0%</formatCode>
                  <v>0.03880874546381538</v>
                </pt>
                <pt idx="574">
                  <formatCode>0.0%</formatCode>
                  <v>0.03572066440435792</v>
                </pt>
                <pt idx="575">
                  <formatCode>0.0%</formatCode>
                  <v>0.03225615179365555</v>
                </pt>
                <pt idx="576">
                  <formatCode>0.0%</formatCode>
                  <v>0.03577356253704796</v>
                </pt>
                <pt idx="577">
                  <formatCode>0.0%</formatCode>
                  <v>0.03084650613089085</v>
                </pt>
                <pt idx="578">
                  <formatCode>0.0%</formatCode>
                  <v>0.02976524435257646</v>
                </pt>
                <pt idx="579">
                  <formatCode>0.0%</formatCode>
                  <v>0.03653857505460132</v>
                </pt>
                <pt idx="580">
                  <formatCode>0.0%</formatCode>
                  <v>0.03631524471388443</v>
                </pt>
                <pt idx="581">
                  <formatCode>0.0%</formatCode>
                  <v>0.03549632949084586</v>
                </pt>
                <pt idx="582">
                  <formatCode>0.0%</formatCode>
                  <v>0.03736114794189567</v>
                </pt>
                <pt idx="583">
                  <formatCode>0.0%</formatCode>
                  <v>0.04775934710232459</v>
                </pt>
                <pt idx="584">
                  <formatCode>0.0%</formatCode>
                  <v>0.03670930436306299</v>
                </pt>
                <pt idx="585">
                  <formatCode>0.0%</formatCode>
                  <v>0.02367410572509166</v>
                </pt>
                <pt idx="586">
                  <formatCode>0.0%</formatCode>
                  <v>0.01445651549117656</v>
                </pt>
                <pt idx="587">
                  <formatCode>0.0%</formatCode>
                  <v>0.01487736228387608</v>
                </pt>
                <pt idx="588">
                  <formatCode>0.0%</formatCode>
                  <v>0.01221850230348822</v>
                </pt>
                <pt idx="589">
                  <formatCode>0.0%</formatCode>
                  <v>0.02292986328069019</v>
                </pt>
                <pt idx="590">
                  <formatCode>0.0%</formatCode>
                  <v>0.02856077767900666</v>
                </pt>
                <pt idx="591">
                  <formatCode>0.0%</formatCode>
                  <v>0.02468678815489744</v>
                </pt>
                <pt idx="592">
                  <formatCode>0.0%</formatCode>
                  <v>0.02248665924721049</v>
                </pt>
                <pt idx="593">
                  <formatCode>0.0%</formatCode>
                  <v>0.01190103351080481</v>
                </pt>
                <pt idx="594">
                  <formatCode>0.0%</formatCode>
                  <v>0.008379015536683047</v>
                </pt>
                <pt idx="595">
                  <formatCode>0.0%</formatCode>
                  <v>0.001687194196051966</v>
                </pt>
                <pt idx="596">
                  <formatCode>0.0%</formatCode>
                  <v>0.01152145130848759</v>
                </pt>
                <pt idx="597">
                  <formatCode>0.0%</formatCode>
                  <v>0.03525396959697662</v>
                </pt>
                <pt idx="598">
                  <formatCode>0.0%</formatCode>
                  <v>0.0654163243335128</v>
                </pt>
                <pt idx="599">
                  <formatCode>0.0%</formatCode>
                  <v>0.09667194928684625</v>
                </pt>
                <pt idx="600">
                  <formatCode>0.0%</formatCode>
                  <v>0.1036071691072539</v>
                </pt>
                <pt idx="601">
                  <formatCode>0.0%</formatCode>
                  <v>0.09378239793773986</v>
                </pt>
                <pt idx="602">
                  <formatCode>0.0%</formatCode>
                  <v>0.09805124201957116</v>
                </pt>
                <pt idx="603">
                  <formatCode>0.0%</formatCode>
                  <v>0.09381165420846427</v>
                </pt>
                <pt idx="604">
                  <formatCode>0.0%</formatCode>
                  <v>0.1045463425525383</v>
                </pt>
                <pt idx="605">
                  <formatCode>0.0%</formatCode>
                  <v>0.1056807630623786</v>
                </pt>
                <pt idx="606">
                  <formatCode>0.0%</formatCode>
                  <v>0.1078249112726044</v>
                </pt>
                <pt idx="607">
                  <formatCode>0.0%</formatCode>
                  <v>0.1003874010442986</v>
                </pt>
                <pt idx="608">
                  <formatCode>0.0%</formatCode>
                  <v>0.08942296981174108</v>
                </pt>
                <pt idx="609">
                  <formatCode>0.0%</formatCode>
                  <v>0.06590023701201408</v>
                </pt>
                <pt idx="610">
                  <formatCode>0.0%</formatCode>
                  <v>0.04057863106951016</v>
                </pt>
                <pt idx="611">
                  <formatCode>0.0%</formatCode>
                  <v>0.008722130470685431</v>
                </pt>
                <pt idx="612">
                  <formatCode>0.0%</formatCode>
                  <v>-0.003816696124388455</v>
                </pt>
                <pt idx="613">
                  <formatCode>0.0%</formatCode>
                  <v>0.003022850701916227</v>
                </pt>
                <pt idx="614">
                  <formatCode>0.0%</formatCode>
                  <v>-0.006550550957192842</v>
                </pt>
                <pt idx="615">
                  <formatCode>0.0%</formatCode>
                  <v>-0.002616670477351874</v>
                </pt>
                <pt idx="616">
                  <formatCode>0.0%</formatCode>
                  <v>-0.001137024029107815</v>
                </pt>
                <pt idx="617">
                  <formatCode>0.0%</formatCode>
                  <v>0.008626612718528156</v>
                </pt>
                <pt idx="618">
                  <formatCode>0.0%</formatCode>
                  <v>0.007068395626748076</v>
                </pt>
                <pt idx="619">
                  <formatCode>0.0%</formatCode>
                  <v>0.01487320781672527</v>
                </pt>
                <pt idx="620">
                  <formatCode>0.0%</formatCode>
                  <v>0.0188910759477492</v>
                </pt>
                <pt idx="621">
                  <formatCode>0.0%</formatCode>
                  <v>0.02093237233553139</v>
                </pt>
                <pt idx="622">
                  <formatCode>0.0%</formatCode>
                  <v>0.02059695389962189</v>
                </pt>
                <pt idx="623">
                  <formatCode>0.0%</formatCode>
                  <v>0.02130979790227685</v>
                </pt>
                <pt idx="624">
                  <formatCode>0.0%</formatCode>
                  <v>0.02571355104139882</v>
                </pt>
                <pt idx="625">
                  <formatCode>0.0%</formatCode>
                  <v>0.02285845635184145</v>
                </pt>
                <pt idx="626">
                  <formatCode>0.0%</formatCode>
                  <v>0.02476487425884268</v>
                </pt>
                <pt idx="627">
                  <formatCode>0.0%</formatCode>
                  <v>0.02353540499235866</v>
                </pt>
                <pt idx="628">
                  <formatCode>0.0%</formatCode>
                  <v>0.02119801679651932</v>
                </pt>
                <pt idx="629">
                  <formatCode>0.0%</formatCode>
                  <v>0.02699566051064689</v>
                </pt>
                <pt idx="630">
                  <formatCode>0.0%</formatCode>
                  <v>0.04360230256513831</v>
                </pt>
                <pt idx="631">
                  <formatCode>0.0%</formatCode>
                  <v>0.05701214147457322</v>
                </pt>
                <pt idx="632">
                  <formatCode>0.0%</formatCode>
                  <v>0.05499523307742481</v>
                </pt>
                <pt idx="633">
                  <formatCode>0.0%</formatCode>
                  <v>0.055701589685818</v>
                </pt>
                <pt idx="634">
                  <formatCode>0.0%</formatCode>
                  <v>0.05951725174019726</v>
                </pt>
                <pt idx="635">
                  <formatCode>0.0%</formatCode>
                  <v>0.06489993236981174</v>
                </pt>
                <pt idx="636">
                  <formatCode>0.0%</formatCode>
                  <v>0.07094509902231136</v>
                </pt>
                <pt idx="637">
                  <formatCode>0.0%</formatCode>
                  <v>0.07013907962745639</v>
                </pt>
                <pt idx="638">
                  <formatCode>0.0%</formatCode>
                  <v>0.0715265481208071</v>
                </pt>
                <pt idx="639">
                  <formatCode>0.0%</formatCode>
                  <v>0.07328787577145121</v>
                </pt>
                <pt idx="640">
                  <formatCode>0.0%</formatCode>
                  <v>0.07530344315085459</v>
                </pt>
                <pt idx="641">
                  <formatCode>0.0%</formatCode>
                  <v>0.07492752911118765</v>
                </pt>
                <pt idx="642">
                  <formatCode>0.0%</formatCode>
                  <v>0.06382000725777191</v>
                </pt>
                <pt idx="643">
                  <formatCode>0.0%</formatCode>
                  <v>0.046897667007539</v>
                </pt>
                <pt idx="644">
                  <formatCode>0.0%</formatCode>
                  <v>0.05008323424494658</v>
                </pt>
                <pt idx="645">
                  <formatCode>0.0%</formatCode>
                  <v>0.05110267963006877</v>
                </pt>
                <pt idx="646">
                  <formatCode>0.0%</formatCode>
                  <v>0.05643388869195325</v>
                </pt>
                <pt idx="647">
                  <formatCode>0.0%</formatCode>
                  <v>0.06404948957990314</v>
                </pt>
                <pt idx="648">
                  <formatCode>0.0%</formatCode>
                  <v>0.05917602996254686</v>
                </pt>
                <pt idx="649">
                  <formatCode>0.0%</formatCode>
                  <v>0.0518922954874235</v>
                </pt>
                <pt idx="650">
                  <formatCode>0.0%</formatCode>
                  <v>0.05795414872570697</v>
                </pt>
                <pt idx="651">
                  <formatCode>0.0%</formatCode>
                  <v>0.0589394606877045</v>
                </pt>
                <pt idx="652">
                  <formatCode>0.0%</formatCode>
                  <v>0.05507947477539746</v>
                </pt>
                <pt idx="653">
                  <formatCode>0.0%</formatCode>
                  <v>0.0499360087759393</v>
                </pt>
                <pt idx="654">
                  <formatCode>0.0%</formatCode>
                  <v>0.04657403406635894</v>
                </pt>
                <pt idx="655">
                  <formatCode>0.0%</formatCode>
                  <v>0.04861316190000227</v>
                </pt>
                <pt idx="656">
                  <formatCode>0.0%</formatCode>
                  <v>0.05088776157260617</v>
                </pt>
                <pt idx="657">
                  <formatCode>0.0%</formatCode>
                  <v>0.05834179357022005</v>
                </pt>
                <pt idx="658">
                  <formatCode>0.0%</formatCode>
                  <v>0.04822942531821118</v>
                </pt>
                <pt idx="659">
                  <formatCode>0.0%</formatCode>
                  <v>0.03928200366956248</v>
                </pt>
                <pt idx="660">
                  <formatCode>0.0%</formatCode>
                  <v>0.04081948373408766</v>
                </pt>
                <pt idx="661">
                  <formatCode>0.0%</formatCode>
                  <v>0.05272614347189562</v>
                </pt>
                <pt idx="662">
                  <formatCode>0.0%</formatCode>
                  <v>0.04468155318446824</v>
                </pt>
                <pt idx="663">
                  <formatCode>0.0%</formatCode>
                  <v>0.0424120338945939</v>
                </pt>
                <pt idx="664">
                  <formatCode>0.0%</formatCode>
                  <v>0.04329599790397573</v>
                </pt>
                <pt idx="665">
                  <formatCode>0.0%</formatCode>
                  <v>0.04370823447465211</v>
                </pt>
                <pt idx="666">
                  <formatCode>0.0%</formatCode>
                  <v>0.04573998826622629</v>
                </pt>
                <pt idx="667">
                  <formatCode>0.0%</formatCode>
                  <v>0.04538463204869912</v>
                </pt>
                <pt idx="668">
                  <formatCode>0.0%</formatCode>
                  <v>0.04357476887270215</v>
                </pt>
                <pt idx="669">
                  <formatCode>0.0%</formatCode>
                  <v>0.03841316535567347</v>
                </pt>
                <pt idx="670">
                  <formatCode>0.0%</formatCode>
                  <v>0.0450287031306686</v>
                </pt>
                <pt idx="671">
                  <formatCode>0.0%</formatCode>
                  <v>0.05200578551069895</v>
                </pt>
                <pt idx="672">
                  <formatCode>0.0%</formatCode>
                  <v>0.06242700923664932</v>
                </pt>
                <pt idx="673">
                  <formatCode>0.0%</formatCode>
                  <v>0.06354959017257009</v>
                </pt>
                <pt idx="674">
                  <formatCode>0.0%</formatCode>
                  <v>0.06079686644484686</v>
                </pt>
                <pt idx="675">
                  <formatCode>0.0%</formatCode>
                  <v>0.06072508822046703</v>
                </pt>
                <pt idx="676">
                  <formatCode>0.0%</formatCode>
                  <v>0.0558973715051064</v>
                </pt>
                <pt idx="677">
                  <formatCode>0.0%</formatCode>
                  <v>0.05320236084172775</v>
                </pt>
                <pt idx="678">
                  <formatCode>0.0%</formatCode>
                  <v>0.05198853010846523</v>
                </pt>
                <pt idx="679">
                  <formatCode>0.0%</formatCode>
                  <v>0.05356846816976127</v>
                </pt>
                <pt idx="680">
                  <formatCode>0.0%</formatCode>
                  <v>0.05738771295818268</v>
                </pt>
                <pt idx="681">
                  <formatCode>0.0%</formatCode>
                  <v>0.05312750189887713</v>
                </pt>
                <pt idx="682">
                  <formatCode>0.0%</formatCode>
                  <v>0.05397292164430562</v>
                </pt>
                <pt idx="683">
                  <formatCode>0.0%</formatCode>
                  <v>0.04994035463717423</v>
                </pt>
                <pt idx="684">
                  <formatCode>0.0%</formatCode>
                  <v>0.0486859198561008</v>
                </pt>
                <pt idx="685">
                  <formatCode>0.0%</formatCode>
                  <v>0.04818226844972755</v>
                </pt>
                <pt idx="686">
                  <formatCode>0.0%</formatCode>
                  <v>0.05203184245528347</v>
                </pt>
                <pt idx="687">
                  <formatCode>0.0%</formatCode>
                  <v>0.05233767005287238</v>
                </pt>
                <pt idx="688">
                  <formatCode>0.0%</formatCode>
                  <v>0.05620850262610254</v>
                </pt>
                <pt idx="689">
                  <formatCode>0.0%</formatCode>
                  <v>0.05754455445544562</v>
                </pt>
                <pt idx="690">
                  <formatCode>0.0%</formatCode>
                  <v>0.06020383977245796</v>
                </pt>
                <pt idx="691">
                  <formatCode>0.0%</formatCode>
                  <v>0.06077771877028382</v>
                </pt>
                <pt idx="692">
                  <formatCode>0.0%</formatCode>
                  <v>0.05542535739395364</v>
                </pt>
                <pt idx="693">
                  <formatCode>0.0%</formatCode>
                  <v>0.05635367731623154</v>
                </pt>
                <pt idx="694">
                  <formatCode>0.0%</formatCode>
                  <v>0.0545997054948462</v>
                </pt>
                <pt idx="695">
                  <formatCode>0.0%</formatCode>
                  <v>0.04868185406998021</v>
                </pt>
                <pt idx="696">
                  <formatCode>0.0%</formatCode>
                  <v>0.03916449086161879</v>
                </pt>
                <pt idx="697">
                  <formatCode>0.0%</formatCode>
                  <v>0.03479690778157907</v>
                </pt>
                <pt idx="698">
                  <formatCode>0.0%</formatCode>
                  <v>0.03885345510812555</v>
                </pt>
                <pt idx="699">
                  <formatCode>0.0%</formatCode>
                  <v>0.03914041624327274</v>
                </pt>
                <pt idx="700">
                  <formatCode>0.0%</formatCode>
                  <v>0.0411326490401756</v>
                </pt>
                <pt idx="701">
                  <formatCode>0.0%</formatCode>
                  <v>0.03982698573194019</v>
                </pt>
                <pt idx="702">
                  <formatCode>0.0%</formatCode>
                  <v>0.03880691556747881</v>
                </pt>
                <pt idx="703">
                  <formatCode>0.0%</formatCode>
                  <v>0.03408058445050143</v>
                </pt>
                <pt idx="704">
                  <formatCode>0.0%</formatCode>
                  <v>0.03003219717997117</v>
                </pt>
                <pt idx="705">
                  <formatCode>0.0%</formatCode>
                  <v>0.03029967522881603</v>
                </pt>
                <pt idx="706">
                  <formatCode>0.0%</formatCode>
                  <v>0.0252801763733236</v>
                </pt>
                <pt idx="707">
                  <formatCode>0.0%</formatCode>
                  <v>0.02692032245624995</v>
                </pt>
                <pt idx="708">
                  <formatCode>0.0%</formatCode>
                  <v>0.02213622858819642</v>
                </pt>
                <pt idx="709">
                  <formatCode>0.0%</formatCode>
                  <v>0.01837510046029069</v>
                </pt>
                <pt idx="710">
                  <formatCode>0.0%</formatCode>
                  <v>0.01676566218008104</v>
                </pt>
                <pt idx="711">
                  <formatCode>0.0%</formatCode>
                  <v>0.01235015030241567</v>
                </pt>
                <pt idx="712">
                  <formatCode>0.0%</formatCode>
                  <v>0.009516428455562997</v>
                </pt>
                <pt idx="713">
                  <formatCode>0.0%</formatCode>
                  <v>0.01175877406226931</v>
                </pt>
                <pt idx="714">
                  <formatCode>0.0%</formatCode>
                  <v>0.009397586039921905</v>
                </pt>
                <pt idx="715">
                  <formatCode>0.0%</formatCode>
                  <v>0.01041797414334135</v>
                </pt>
                <pt idx="716">
                  <formatCode>0.0%</formatCode>
                  <v>0.01248540375460343</v>
                </pt>
                <pt idx="717">
                  <formatCode>0.0%</formatCode>
                  <v>0.007737221048107019</v>
                </pt>
                <pt idx="718">
                  <formatCode>0.0%</formatCode>
                  <v>0.009963086406479492</v>
                </pt>
                <pt idx="719">
                  <formatCode>0.0%</formatCode>
                  <v>0.01607567548235961</v>
                </pt>
                <pt idx="720">
                  <formatCode>0.0%</formatCode>
                  <v>0.02450971596720066</v>
                </pt>
                <pt idx="721">
                  <formatCode>0.0%</formatCode>
                  <v>0.02451842020303489</v>
                </pt>
                <pt idx="722">
                  <formatCode>0.0%</formatCode>
                  <v>0.01972273831642126</v>
                </pt>
                <pt idx="723">
                  <formatCode>0.0%</formatCode>
                  <v>0.01917572982255308</v>
                </pt>
                <pt idx="724">
                  <formatCode>0.0%</formatCode>
                  <v>0.02406670118369593</v>
                </pt>
                <pt idx="725">
                  <formatCode>0.0%</formatCode>
                  <v>0.02938454419250337</v>
                </pt>
                <pt idx="726">
                  <formatCode>0.0%</formatCode>
                  <v>0.03127054350336692</v>
                </pt>
                <pt idx="727">
                  <formatCode>0.0%</formatCode>
                  <v>0.03366459627329189</v>
                </pt>
                <pt idx="728">
                  <formatCode>0.0%</formatCode>
                  <v>0.03812987934705458</v>
                </pt>
                <pt idx="729">
                  <formatCode>0.0%</formatCode>
                  <v>0.04606689652721</v>
                </pt>
                <pt idx="730">
                  <formatCode>0.0%</formatCode>
                  <v>0.04898690607146666</v>
                </pt>
                <pt idx="731">
                  <formatCode>0.0%</formatCode>
                  <v>0.04257153919256636</v>
                </pt>
                <pt idx="732">
                  <formatCode>0.0%</formatCode>
                  <v>0.04092891294068211</v>
                </pt>
                <pt idx="733">
                  <formatCode>0.0%</formatCode>
                  <v>0.04334658006687548</v>
                </pt>
                <pt idx="734">
                  <formatCode>0.0%</formatCode>
                  <v>0.08449544498948847</v>
                </pt>
                <pt idx="735">
                  <formatCode>0.0%</formatCode>
                  <v>0.1649290929514181</v>
                </pt>
                <pt idx="736">
                  <formatCode>0.0%</formatCode>
                  <v>0.2163217629317108</v>
                </pt>
                <pt idx="737">
                  <formatCode>0.0%</formatCode>
                  <v>0.2198938395836575</v>
                </pt>
                <pt idx="738">
                  <formatCode>0.0%</formatCode>
                  <v>0.2198025601709078</v>
                </pt>
                <pt idx="739">
                  <formatCode>0.0%</formatCode>
                  <v>0.2141741205555651</v>
                </pt>
                <pt idx="740">
                  <formatCode>0.0%</formatCode>
                  <v>0.2210600078620384</v>
                </pt>
                <pt idx="741">
                  <formatCode>0.0%</formatCode>
                  <v>0.2225355941418329</v>
                </pt>
                <pt idx="742">
                  <formatCode>0.0%</formatCode>
                  <v>0.2288787781404867</v>
                </pt>
                <pt idx="743">
                  <formatCode>0.0%</formatCode>
                  <v>0.2313093972080146</v>
                </pt>
                <pt idx="744">
                  <formatCode>0.0%</formatCode>
                  <v>0.239938757655293</v>
                </pt>
                <pt idx="745">
                  <formatCode>0.0%</formatCode>
                  <v>0.2474956793127171</v>
                </pt>
                <pt idx="746">
                  <formatCode>0.0%</formatCode>
                  <v>0.2098444340338917</v>
                </pt>
                <pt idx="747">
                  <formatCode>0.0%</formatCode>
                  <v>0.1365916863784972</v>
                </pt>
                <pt idx="748">
                  <formatCode>0.0%</formatCode>
                  <v>0.09097424283687128</v>
                </pt>
                <pt idx="749">
                  <formatCode>0.0%</formatCode>
                  <v>0.07426830132520729</v>
                </pt>
                <pt idx="750">
                  <formatCode>0.0%</formatCode>
                  <v>0.07391138543240904</v>
                </pt>
                <pt idx="751">
                  <formatCode>0.0%</formatCode>
                  <v>0.08034275048782555</v>
                </pt>
                <pt idx="752">
                  <formatCode>0.0%</formatCode>
                  <v>0.07083969038254265</v>
                </pt>
                <pt idx="753">
                  <formatCode>0.0%</formatCode>
                  <v>0.06124576129857132</v>
                </pt>
                <pt idx="754">
                  <formatCode>0.0%</formatCode>
                  <v>0.05265983070676489</v>
                </pt>
                <pt idx="755">
                  <formatCode>0.0%</formatCode>
                  <v>0.05180686554068883</v>
                </pt>
                <pt idx="756">
                  <formatCode>0.0%</formatCode>
                  <v>0.03530672890348316</v>
                </pt>
                <pt idx="757">
                  <formatCode>0.0%</formatCode>
                  <v>0.01939553714339514</v>
                </pt>
                <pt idx="758">
                  <formatCode>0.0%</formatCode>
                  <v>0.00781114389862871</v>
                </pt>
                <pt idx="759">
                  <formatCode>0.0%</formatCode>
                  <v>-0.004334627977571259</v>
                </pt>
                <pt idx="760">
                  <formatCode>0.0%</formatCode>
                  <v>-0.02272906429828941</v>
                </pt>
                <pt idx="761">
                  <formatCode>0.0%</formatCode>
                  <v>-0.03008113991688106</v>
                </pt>
                <pt idx="762">
                  <formatCode>0.0%</formatCode>
                  <v>-0.03118341794460366</v>
                </pt>
                <pt idx="763">
                  <formatCode>0.0%</formatCode>
                  <v>-0.04010261242866861</v>
                </pt>
                <pt idx="764">
                  <formatCode>0.0%</formatCode>
                  <v>-0.05126529331799642</v>
                </pt>
                <pt idx="765">
                  <formatCode>0.0%</formatCode>
                  <v>-0.05848382069850587</v>
                </pt>
                <pt idx="766">
                  <formatCode>0.0%</formatCode>
                  <v>-0.06395052365947103</v>
                </pt>
                <pt idx="767">
                  <formatCode>0.0%</formatCode>
                  <v>-0.07037003245441401</v>
                </pt>
                <pt idx="768">
                  <formatCode>0.0%</formatCode>
                  <v>-0.07618710599090411</v>
                </pt>
                <pt idx="769">
                  <formatCode>0.0%</formatCode>
                  <v>-0.0786921584926572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150"/>
        <axId val="1050945672"/>
        <axId val="1050932224"/>
      </barChart>
      <dateAx>
        <axId val="1050945672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32224"/>
        <crosses val="autoZero"/>
        <lblOffset val="100"/>
        <baseTimeUnit val="months"/>
      </dateAx>
      <valAx>
        <axId val="1050932224"/>
        <scaling>
          <orientation val="minMax"/>
          <min val="-0.06000000000000001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5672"/>
        <crosses val="autoZero"/>
        <crossBetween val="between"/>
      </valAx>
    </plotArea>
    <plotVisOnly val="1"/>
    <dispBlanksAs val="gap"/>
  </chart>
</chartSpace>
</file>

<file path=xl/charts/chart6.xml><?xml version="1.0" encoding="utf-8"?>
<chartSpace xmlns="http://schemas.openxmlformats.org/drawingml/2006/chart">
  <chart>
    <title>
      <tx>
        <strRef>
          <f>Table2634[[#Headers],[M1 Money Stock, Billions of Dollars, Weekly, Seasonally Adjusted]]</f>
          <strCache>
            <ptCount val="1"/>
            <pt idx="0">
              <v>M1 Money Stock, Billions of Dollars, Weekly, Seasonally Adjusted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en-US"/>
        </a:p>
      </txPr>
    </title>
    <plotArea>
      <layout/>
      <lineChart>
        <grouping val="standard"/>
        <varyColors val="0"/>
        <ser>
          <idx val="0"/>
          <order val="0"/>
          <tx>
            <strRef>
              <f>'US M1'!$B$5</f>
              <strCache>
                <ptCount val="1"/>
                <pt idx="0">
                  <v>M1 Money Stock, Billions of Dollars, Weekly, Seasonally Adjusted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'US M1'!$A$6:$A$2412</f>
              <numCache>
                <formatCode>yyyy\-mm\-dd</formatCode>
                <ptCount val="2407"/>
                <pt idx="0">
                  <v>27400</v>
                </pt>
                <pt idx="1">
                  <v>27407</v>
                </pt>
                <pt idx="2">
                  <v>27414</v>
                </pt>
                <pt idx="3">
                  <v>27421</v>
                </pt>
                <pt idx="4">
                  <v>27428</v>
                </pt>
                <pt idx="5">
                  <v>27435</v>
                </pt>
                <pt idx="6">
                  <v>27442</v>
                </pt>
                <pt idx="7">
                  <v>27449</v>
                </pt>
                <pt idx="8">
                  <v>27456</v>
                </pt>
                <pt idx="9">
                  <v>27463</v>
                </pt>
                <pt idx="10">
                  <v>27470</v>
                </pt>
                <pt idx="11">
                  <v>27477</v>
                </pt>
                <pt idx="12">
                  <v>27484</v>
                </pt>
                <pt idx="13">
                  <v>27491</v>
                </pt>
                <pt idx="14">
                  <v>27498</v>
                </pt>
                <pt idx="15">
                  <v>27505</v>
                </pt>
                <pt idx="16">
                  <v>27512</v>
                </pt>
                <pt idx="17">
                  <v>27519</v>
                </pt>
                <pt idx="18">
                  <v>27526</v>
                </pt>
                <pt idx="19">
                  <v>27533</v>
                </pt>
                <pt idx="20">
                  <v>27540</v>
                </pt>
                <pt idx="21">
                  <v>27547</v>
                </pt>
                <pt idx="22">
                  <v>27554</v>
                </pt>
                <pt idx="23">
                  <v>27561</v>
                </pt>
                <pt idx="24">
                  <v>27568</v>
                </pt>
                <pt idx="25">
                  <v>27575</v>
                </pt>
                <pt idx="26">
                  <v>27582</v>
                </pt>
                <pt idx="27">
                  <v>27589</v>
                </pt>
                <pt idx="28">
                  <v>27596</v>
                </pt>
                <pt idx="29">
                  <v>27603</v>
                </pt>
                <pt idx="30">
                  <v>27610</v>
                </pt>
                <pt idx="31">
                  <v>27617</v>
                </pt>
                <pt idx="32">
                  <v>27624</v>
                </pt>
                <pt idx="33">
                  <v>27631</v>
                </pt>
                <pt idx="34">
                  <v>27638</v>
                </pt>
                <pt idx="35">
                  <v>27645</v>
                </pt>
                <pt idx="36">
                  <v>27652</v>
                </pt>
                <pt idx="37">
                  <v>27659</v>
                </pt>
                <pt idx="38">
                  <v>27666</v>
                </pt>
                <pt idx="39">
                  <v>27673</v>
                </pt>
                <pt idx="40">
                  <v>27680</v>
                </pt>
                <pt idx="41">
                  <v>27687</v>
                </pt>
                <pt idx="42">
                  <v>27694</v>
                </pt>
                <pt idx="43">
                  <v>27701</v>
                </pt>
                <pt idx="44">
                  <v>27708</v>
                </pt>
                <pt idx="45">
                  <v>27715</v>
                </pt>
                <pt idx="46">
                  <v>27722</v>
                </pt>
                <pt idx="47">
                  <v>27729</v>
                </pt>
                <pt idx="48">
                  <v>27736</v>
                </pt>
                <pt idx="49">
                  <v>27743</v>
                </pt>
                <pt idx="50">
                  <v>27750</v>
                </pt>
                <pt idx="51">
                  <v>27757</v>
                </pt>
                <pt idx="52">
                  <v>27764</v>
                </pt>
                <pt idx="53">
                  <v>27771</v>
                </pt>
                <pt idx="54">
                  <v>27778</v>
                </pt>
                <pt idx="55">
                  <v>27785</v>
                </pt>
                <pt idx="56">
                  <v>27792</v>
                </pt>
                <pt idx="57">
                  <v>27799</v>
                </pt>
                <pt idx="58">
                  <v>27806</v>
                </pt>
                <pt idx="59">
                  <v>27813</v>
                </pt>
                <pt idx="60">
                  <v>27820</v>
                </pt>
                <pt idx="61">
                  <v>27827</v>
                </pt>
                <pt idx="62">
                  <v>27834</v>
                </pt>
                <pt idx="63">
                  <v>27841</v>
                </pt>
                <pt idx="64">
                  <v>27848</v>
                </pt>
                <pt idx="65">
                  <v>27855</v>
                </pt>
                <pt idx="66">
                  <v>27862</v>
                </pt>
                <pt idx="67">
                  <v>27869</v>
                </pt>
                <pt idx="68">
                  <v>27876</v>
                </pt>
                <pt idx="69">
                  <v>27883</v>
                </pt>
                <pt idx="70">
                  <v>27890</v>
                </pt>
                <pt idx="71">
                  <v>27897</v>
                </pt>
                <pt idx="72">
                  <v>27904</v>
                </pt>
                <pt idx="73">
                  <v>27911</v>
                </pt>
                <pt idx="74">
                  <v>27918</v>
                </pt>
                <pt idx="75">
                  <v>27925</v>
                </pt>
                <pt idx="76">
                  <v>27932</v>
                </pt>
                <pt idx="77">
                  <v>27939</v>
                </pt>
                <pt idx="78">
                  <v>27946</v>
                </pt>
                <pt idx="79">
                  <v>27953</v>
                </pt>
                <pt idx="80">
                  <v>27960</v>
                </pt>
                <pt idx="81">
                  <v>27967</v>
                </pt>
                <pt idx="82">
                  <v>27974</v>
                </pt>
                <pt idx="83">
                  <v>27981</v>
                </pt>
                <pt idx="84">
                  <v>27988</v>
                </pt>
                <pt idx="85">
                  <v>27995</v>
                </pt>
                <pt idx="86">
                  <v>28002</v>
                </pt>
                <pt idx="87">
                  <v>28009</v>
                </pt>
                <pt idx="88">
                  <v>28016</v>
                </pt>
                <pt idx="89">
                  <v>28023</v>
                </pt>
                <pt idx="90">
                  <v>28030</v>
                </pt>
                <pt idx="91">
                  <v>28037</v>
                </pt>
                <pt idx="92">
                  <v>28044</v>
                </pt>
                <pt idx="93">
                  <v>28051</v>
                </pt>
                <pt idx="94">
                  <v>28058</v>
                </pt>
                <pt idx="95">
                  <v>28065</v>
                </pt>
                <pt idx="96">
                  <v>28072</v>
                </pt>
                <pt idx="97">
                  <v>28079</v>
                </pt>
                <pt idx="98">
                  <v>28086</v>
                </pt>
                <pt idx="99">
                  <v>28093</v>
                </pt>
                <pt idx="100">
                  <v>28100</v>
                </pt>
                <pt idx="101">
                  <v>28107</v>
                </pt>
                <pt idx="102">
                  <v>28114</v>
                </pt>
                <pt idx="103">
                  <v>28121</v>
                </pt>
                <pt idx="104">
                  <v>28128</v>
                </pt>
                <pt idx="105">
                  <v>28135</v>
                </pt>
                <pt idx="106">
                  <v>28142</v>
                </pt>
                <pt idx="107">
                  <v>28149</v>
                </pt>
                <pt idx="108">
                  <v>28156</v>
                </pt>
                <pt idx="109">
                  <v>28163</v>
                </pt>
                <pt idx="110">
                  <v>28170</v>
                </pt>
                <pt idx="111">
                  <v>28177</v>
                </pt>
                <pt idx="112">
                  <v>28184</v>
                </pt>
                <pt idx="113">
                  <v>28191</v>
                </pt>
                <pt idx="114">
                  <v>28198</v>
                </pt>
                <pt idx="115">
                  <v>28205</v>
                </pt>
                <pt idx="116">
                  <v>28212</v>
                </pt>
                <pt idx="117">
                  <v>28219</v>
                </pt>
                <pt idx="118">
                  <v>28226</v>
                </pt>
                <pt idx="119">
                  <v>28233</v>
                </pt>
                <pt idx="120">
                  <v>28240</v>
                </pt>
                <pt idx="121">
                  <v>28247</v>
                </pt>
                <pt idx="122">
                  <v>28254</v>
                </pt>
                <pt idx="123">
                  <v>28261</v>
                </pt>
                <pt idx="124">
                  <v>28268</v>
                </pt>
                <pt idx="125">
                  <v>28275</v>
                </pt>
                <pt idx="126">
                  <v>28282</v>
                </pt>
                <pt idx="127">
                  <v>28289</v>
                </pt>
                <pt idx="128">
                  <v>28296</v>
                </pt>
                <pt idx="129">
                  <v>28303</v>
                </pt>
                <pt idx="130">
                  <v>28310</v>
                </pt>
                <pt idx="131">
                  <v>28317</v>
                </pt>
                <pt idx="132">
                  <v>28324</v>
                </pt>
                <pt idx="133">
                  <v>28331</v>
                </pt>
                <pt idx="134">
                  <v>28338</v>
                </pt>
                <pt idx="135">
                  <v>28345</v>
                </pt>
                <pt idx="136">
                  <v>28352</v>
                </pt>
                <pt idx="137">
                  <v>28359</v>
                </pt>
                <pt idx="138">
                  <v>28366</v>
                </pt>
                <pt idx="139">
                  <v>28373</v>
                </pt>
                <pt idx="140">
                  <v>28380</v>
                </pt>
                <pt idx="141">
                  <v>28387</v>
                </pt>
                <pt idx="142">
                  <v>28394</v>
                </pt>
                <pt idx="143">
                  <v>28401</v>
                </pt>
                <pt idx="144">
                  <v>28408</v>
                </pt>
                <pt idx="145">
                  <v>28415</v>
                </pt>
                <pt idx="146">
                  <v>28422</v>
                </pt>
                <pt idx="147">
                  <v>28429</v>
                </pt>
                <pt idx="148">
                  <v>28436</v>
                </pt>
                <pt idx="149">
                  <v>28443</v>
                </pt>
                <pt idx="150">
                  <v>28450</v>
                </pt>
                <pt idx="151">
                  <v>28457</v>
                </pt>
                <pt idx="152">
                  <v>28464</v>
                </pt>
                <pt idx="153">
                  <v>28471</v>
                </pt>
                <pt idx="154">
                  <v>28478</v>
                </pt>
                <pt idx="155">
                  <v>28485</v>
                </pt>
                <pt idx="156">
                  <v>28492</v>
                </pt>
                <pt idx="157">
                  <v>28499</v>
                </pt>
                <pt idx="158">
                  <v>28506</v>
                </pt>
                <pt idx="159">
                  <v>28513</v>
                </pt>
                <pt idx="160">
                  <v>28520</v>
                </pt>
                <pt idx="161">
                  <v>28527</v>
                </pt>
                <pt idx="162">
                  <v>28534</v>
                </pt>
                <pt idx="163">
                  <v>28541</v>
                </pt>
                <pt idx="164">
                  <v>28548</v>
                </pt>
                <pt idx="165">
                  <v>28555</v>
                </pt>
                <pt idx="166">
                  <v>28562</v>
                </pt>
                <pt idx="167">
                  <v>28569</v>
                </pt>
                <pt idx="168">
                  <v>28576</v>
                </pt>
                <pt idx="169">
                  <v>28583</v>
                </pt>
                <pt idx="170">
                  <v>28590</v>
                </pt>
                <pt idx="171">
                  <v>28597</v>
                </pt>
                <pt idx="172">
                  <v>28604</v>
                </pt>
                <pt idx="173">
                  <v>28611</v>
                </pt>
                <pt idx="174">
                  <v>28618</v>
                </pt>
                <pt idx="175">
                  <v>28625</v>
                </pt>
                <pt idx="176">
                  <v>28632</v>
                </pt>
                <pt idx="177">
                  <v>28639</v>
                </pt>
                <pt idx="178">
                  <v>28646</v>
                </pt>
                <pt idx="179">
                  <v>28653</v>
                </pt>
                <pt idx="180">
                  <v>28660</v>
                </pt>
                <pt idx="181">
                  <v>28667</v>
                </pt>
                <pt idx="182">
                  <v>28674</v>
                </pt>
                <pt idx="183">
                  <v>28681</v>
                </pt>
                <pt idx="184">
                  <v>28688</v>
                </pt>
                <pt idx="185">
                  <v>28695</v>
                </pt>
                <pt idx="186">
                  <v>28702</v>
                </pt>
                <pt idx="187">
                  <v>28709</v>
                </pt>
                <pt idx="188">
                  <v>28716</v>
                </pt>
                <pt idx="189">
                  <v>28723</v>
                </pt>
                <pt idx="190">
                  <v>28730</v>
                </pt>
                <pt idx="191">
                  <v>28737</v>
                </pt>
                <pt idx="192">
                  <v>28744</v>
                </pt>
                <pt idx="193">
                  <v>28751</v>
                </pt>
                <pt idx="194">
                  <v>28758</v>
                </pt>
                <pt idx="195">
                  <v>28765</v>
                </pt>
                <pt idx="196">
                  <v>28772</v>
                </pt>
                <pt idx="197">
                  <v>28779</v>
                </pt>
                <pt idx="198">
                  <v>28786</v>
                </pt>
                <pt idx="199">
                  <v>28793</v>
                </pt>
                <pt idx="200">
                  <v>28800</v>
                </pt>
                <pt idx="201">
                  <v>28807</v>
                </pt>
                <pt idx="202">
                  <v>28814</v>
                </pt>
                <pt idx="203">
                  <v>28821</v>
                </pt>
                <pt idx="204">
                  <v>28828</v>
                </pt>
                <pt idx="205">
                  <v>28835</v>
                </pt>
                <pt idx="206">
                  <v>28842</v>
                </pt>
                <pt idx="207">
                  <v>28849</v>
                </pt>
                <pt idx="208">
                  <v>28856</v>
                </pt>
                <pt idx="209">
                  <v>28863</v>
                </pt>
                <pt idx="210">
                  <v>28870</v>
                </pt>
                <pt idx="211">
                  <v>28877</v>
                </pt>
                <pt idx="212">
                  <v>28884</v>
                </pt>
                <pt idx="213">
                  <v>28891</v>
                </pt>
                <pt idx="214">
                  <v>28898</v>
                </pt>
                <pt idx="215">
                  <v>28905</v>
                </pt>
                <pt idx="216">
                  <v>28912</v>
                </pt>
                <pt idx="217">
                  <v>28919</v>
                </pt>
                <pt idx="218">
                  <v>28926</v>
                </pt>
                <pt idx="219">
                  <v>28933</v>
                </pt>
                <pt idx="220">
                  <v>28940</v>
                </pt>
                <pt idx="221">
                  <v>28947</v>
                </pt>
                <pt idx="222">
                  <v>28954</v>
                </pt>
                <pt idx="223">
                  <v>28961</v>
                </pt>
                <pt idx="224">
                  <v>28968</v>
                </pt>
                <pt idx="225">
                  <v>28975</v>
                </pt>
                <pt idx="226">
                  <v>28982</v>
                </pt>
                <pt idx="227">
                  <v>28989</v>
                </pt>
                <pt idx="228">
                  <v>28996</v>
                </pt>
                <pt idx="229">
                  <v>29003</v>
                </pt>
                <pt idx="230">
                  <v>29010</v>
                </pt>
                <pt idx="231">
                  <v>29017</v>
                </pt>
                <pt idx="232">
                  <v>29024</v>
                </pt>
                <pt idx="233">
                  <v>29031</v>
                </pt>
                <pt idx="234">
                  <v>29038</v>
                </pt>
                <pt idx="235">
                  <v>29045</v>
                </pt>
                <pt idx="236">
                  <v>29052</v>
                </pt>
                <pt idx="237">
                  <v>29059</v>
                </pt>
                <pt idx="238">
                  <v>29066</v>
                </pt>
                <pt idx="239">
                  <v>29073</v>
                </pt>
                <pt idx="240">
                  <v>29080</v>
                </pt>
                <pt idx="241">
                  <v>29087</v>
                </pt>
                <pt idx="242">
                  <v>29094</v>
                </pt>
                <pt idx="243">
                  <v>29101</v>
                </pt>
                <pt idx="244">
                  <v>29108</v>
                </pt>
                <pt idx="245">
                  <v>29115</v>
                </pt>
                <pt idx="246">
                  <v>29122</v>
                </pt>
                <pt idx="247">
                  <v>29129</v>
                </pt>
                <pt idx="248">
                  <v>29136</v>
                </pt>
                <pt idx="249">
                  <v>29143</v>
                </pt>
                <pt idx="250">
                  <v>29150</v>
                </pt>
                <pt idx="251">
                  <v>29157</v>
                </pt>
                <pt idx="252">
                  <v>29164</v>
                </pt>
                <pt idx="253">
                  <v>29171</v>
                </pt>
                <pt idx="254">
                  <v>29178</v>
                </pt>
                <pt idx="255">
                  <v>29185</v>
                </pt>
                <pt idx="256">
                  <v>29192</v>
                </pt>
                <pt idx="257">
                  <v>29199</v>
                </pt>
                <pt idx="258">
                  <v>29206</v>
                </pt>
                <pt idx="259">
                  <v>29213</v>
                </pt>
                <pt idx="260">
                  <v>29220</v>
                </pt>
                <pt idx="261">
                  <v>29227</v>
                </pt>
                <pt idx="262">
                  <v>29234</v>
                </pt>
                <pt idx="263">
                  <v>29241</v>
                </pt>
                <pt idx="264">
                  <v>29248</v>
                </pt>
                <pt idx="265">
                  <v>29255</v>
                </pt>
                <pt idx="266">
                  <v>29262</v>
                </pt>
                <pt idx="267">
                  <v>29269</v>
                </pt>
                <pt idx="268">
                  <v>29276</v>
                </pt>
                <pt idx="269">
                  <v>29283</v>
                </pt>
                <pt idx="270">
                  <v>29290</v>
                </pt>
                <pt idx="271">
                  <v>29297</v>
                </pt>
                <pt idx="272">
                  <v>29304</v>
                </pt>
                <pt idx="273">
                  <v>29311</v>
                </pt>
                <pt idx="274">
                  <v>29318</v>
                </pt>
                <pt idx="275">
                  <v>29325</v>
                </pt>
                <pt idx="276">
                  <v>29332</v>
                </pt>
                <pt idx="277">
                  <v>29339</v>
                </pt>
                <pt idx="278">
                  <v>29346</v>
                </pt>
                <pt idx="279">
                  <v>29353</v>
                </pt>
                <pt idx="280">
                  <v>29360</v>
                </pt>
                <pt idx="281">
                  <v>29367</v>
                </pt>
                <pt idx="282">
                  <v>29374</v>
                </pt>
                <pt idx="283">
                  <v>29381</v>
                </pt>
                <pt idx="284">
                  <v>29388</v>
                </pt>
                <pt idx="285">
                  <v>29395</v>
                </pt>
                <pt idx="286">
                  <v>29402</v>
                </pt>
                <pt idx="287">
                  <v>29409</v>
                </pt>
                <pt idx="288">
                  <v>29416</v>
                </pt>
                <pt idx="289">
                  <v>29423</v>
                </pt>
                <pt idx="290">
                  <v>29430</v>
                </pt>
                <pt idx="291">
                  <v>29437</v>
                </pt>
                <pt idx="292">
                  <v>29444</v>
                </pt>
                <pt idx="293">
                  <v>29451</v>
                </pt>
                <pt idx="294">
                  <v>29458</v>
                </pt>
                <pt idx="295">
                  <v>29465</v>
                </pt>
                <pt idx="296">
                  <v>29472</v>
                </pt>
                <pt idx="297">
                  <v>29479</v>
                </pt>
                <pt idx="298">
                  <v>29486</v>
                </pt>
                <pt idx="299">
                  <v>29493</v>
                </pt>
                <pt idx="300">
                  <v>29500</v>
                </pt>
                <pt idx="301">
                  <v>29507</v>
                </pt>
                <pt idx="302">
                  <v>29514</v>
                </pt>
                <pt idx="303">
                  <v>29521</v>
                </pt>
                <pt idx="304">
                  <v>29528</v>
                </pt>
                <pt idx="305">
                  <v>29535</v>
                </pt>
                <pt idx="306">
                  <v>29542</v>
                </pt>
                <pt idx="307">
                  <v>29549</v>
                </pt>
                <pt idx="308">
                  <v>29556</v>
                </pt>
                <pt idx="309">
                  <v>29563</v>
                </pt>
                <pt idx="310">
                  <v>29570</v>
                </pt>
                <pt idx="311">
                  <v>29577</v>
                </pt>
                <pt idx="312">
                  <v>29584</v>
                </pt>
                <pt idx="313">
                  <v>29591</v>
                </pt>
                <pt idx="314">
                  <v>29598</v>
                </pt>
                <pt idx="315">
                  <v>29605</v>
                </pt>
                <pt idx="316">
                  <v>29612</v>
                </pt>
                <pt idx="317">
                  <v>29619</v>
                </pt>
                <pt idx="318">
                  <v>29626</v>
                </pt>
                <pt idx="319">
                  <v>29633</v>
                </pt>
                <pt idx="320">
                  <v>29640</v>
                </pt>
                <pt idx="321">
                  <v>29647</v>
                </pt>
                <pt idx="322">
                  <v>29654</v>
                </pt>
                <pt idx="323">
                  <v>29661</v>
                </pt>
                <pt idx="324">
                  <v>29668</v>
                </pt>
                <pt idx="325">
                  <v>29675</v>
                </pt>
                <pt idx="326">
                  <v>29682</v>
                </pt>
                <pt idx="327">
                  <v>29689</v>
                </pt>
                <pt idx="328">
                  <v>29696</v>
                </pt>
                <pt idx="329">
                  <v>29703</v>
                </pt>
                <pt idx="330">
                  <v>29710</v>
                </pt>
                <pt idx="331">
                  <v>29717</v>
                </pt>
                <pt idx="332">
                  <v>29724</v>
                </pt>
                <pt idx="333">
                  <v>29731</v>
                </pt>
                <pt idx="334">
                  <v>29738</v>
                </pt>
                <pt idx="335">
                  <v>29745</v>
                </pt>
                <pt idx="336">
                  <v>29752</v>
                </pt>
                <pt idx="337">
                  <v>29759</v>
                </pt>
                <pt idx="338">
                  <v>29766</v>
                </pt>
                <pt idx="339">
                  <v>29773</v>
                </pt>
                <pt idx="340">
                  <v>29780</v>
                </pt>
                <pt idx="341">
                  <v>29787</v>
                </pt>
                <pt idx="342">
                  <v>29794</v>
                </pt>
                <pt idx="343">
                  <v>29801</v>
                </pt>
                <pt idx="344">
                  <v>29808</v>
                </pt>
                <pt idx="345">
                  <v>29815</v>
                </pt>
                <pt idx="346">
                  <v>29822</v>
                </pt>
                <pt idx="347">
                  <v>29829</v>
                </pt>
                <pt idx="348">
                  <v>29836</v>
                </pt>
                <pt idx="349">
                  <v>29843</v>
                </pt>
                <pt idx="350">
                  <v>29850</v>
                </pt>
                <pt idx="351">
                  <v>29857</v>
                </pt>
                <pt idx="352">
                  <v>29864</v>
                </pt>
                <pt idx="353">
                  <v>29871</v>
                </pt>
                <pt idx="354">
                  <v>29878</v>
                </pt>
                <pt idx="355">
                  <v>29885</v>
                </pt>
                <pt idx="356">
                  <v>29892</v>
                </pt>
                <pt idx="357">
                  <v>29899</v>
                </pt>
                <pt idx="358">
                  <v>29906</v>
                </pt>
                <pt idx="359">
                  <v>29913</v>
                </pt>
                <pt idx="360">
                  <v>29920</v>
                </pt>
                <pt idx="361">
                  <v>29927</v>
                </pt>
                <pt idx="362">
                  <v>29934</v>
                </pt>
                <pt idx="363">
                  <v>29941</v>
                </pt>
                <pt idx="364">
                  <v>29948</v>
                </pt>
                <pt idx="365">
                  <v>29955</v>
                </pt>
                <pt idx="366">
                  <v>29962</v>
                </pt>
                <pt idx="367">
                  <v>29969</v>
                </pt>
                <pt idx="368">
                  <v>29976</v>
                </pt>
                <pt idx="369">
                  <v>29983</v>
                </pt>
                <pt idx="370">
                  <v>29990</v>
                </pt>
                <pt idx="371">
                  <v>29997</v>
                </pt>
                <pt idx="372">
                  <v>30004</v>
                </pt>
                <pt idx="373">
                  <v>30011</v>
                </pt>
                <pt idx="374">
                  <v>30018</v>
                </pt>
                <pt idx="375">
                  <v>30025</v>
                </pt>
                <pt idx="376">
                  <v>30032</v>
                </pt>
                <pt idx="377">
                  <v>30039</v>
                </pt>
                <pt idx="378">
                  <v>30046</v>
                </pt>
                <pt idx="379">
                  <v>30053</v>
                </pt>
                <pt idx="380">
                  <v>30060</v>
                </pt>
                <pt idx="381">
                  <v>30067</v>
                </pt>
                <pt idx="382">
                  <v>30074</v>
                </pt>
                <pt idx="383">
                  <v>30081</v>
                </pt>
                <pt idx="384">
                  <v>30088</v>
                </pt>
                <pt idx="385">
                  <v>30095</v>
                </pt>
                <pt idx="386">
                  <v>30102</v>
                </pt>
                <pt idx="387">
                  <v>30109</v>
                </pt>
                <pt idx="388">
                  <v>30116</v>
                </pt>
                <pt idx="389">
                  <v>30123</v>
                </pt>
                <pt idx="390">
                  <v>30130</v>
                </pt>
                <pt idx="391">
                  <v>30137</v>
                </pt>
                <pt idx="392">
                  <v>30144</v>
                </pt>
                <pt idx="393">
                  <v>30151</v>
                </pt>
                <pt idx="394">
                  <v>30158</v>
                </pt>
                <pt idx="395">
                  <v>30165</v>
                </pt>
                <pt idx="396">
                  <v>30172</v>
                </pt>
                <pt idx="397">
                  <v>30179</v>
                </pt>
                <pt idx="398">
                  <v>30186</v>
                </pt>
                <pt idx="399">
                  <v>30193</v>
                </pt>
                <pt idx="400">
                  <v>30200</v>
                </pt>
                <pt idx="401">
                  <v>30207</v>
                </pt>
                <pt idx="402">
                  <v>30214</v>
                </pt>
                <pt idx="403">
                  <v>30221</v>
                </pt>
                <pt idx="404">
                  <v>30228</v>
                </pt>
                <pt idx="405">
                  <v>30235</v>
                </pt>
                <pt idx="406">
                  <v>30242</v>
                </pt>
                <pt idx="407">
                  <v>30249</v>
                </pt>
                <pt idx="408">
                  <v>30256</v>
                </pt>
                <pt idx="409">
                  <v>30263</v>
                </pt>
                <pt idx="410">
                  <v>30270</v>
                </pt>
                <pt idx="411">
                  <v>30277</v>
                </pt>
                <pt idx="412">
                  <v>30284</v>
                </pt>
                <pt idx="413">
                  <v>30291</v>
                </pt>
                <pt idx="414">
                  <v>30298</v>
                </pt>
                <pt idx="415">
                  <v>30305</v>
                </pt>
                <pt idx="416">
                  <v>30312</v>
                </pt>
                <pt idx="417">
                  <v>30319</v>
                </pt>
                <pt idx="418">
                  <v>30326</v>
                </pt>
                <pt idx="419">
                  <v>30333</v>
                </pt>
                <pt idx="420">
                  <v>30340</v>
                </pt>
                <pt idx="421">
                  <v>30347</v>
                </pt>
                <pt idx="422">
                  <v>30354</v>
                </pt>
                <pt idx="423">
                  <v>30361</v>
                </pt>
                <pt idx="424">
                  <v>30368</v>
                </pt>
                <pt idx="425">
                  <v>30375</v>
                </pt>
                <pt idx="426">
                  <v>30382</v>
                </pt>
                <pt idx="427">
                  <v>30389</v>
                </pt>
                <pt idx="428">
                  <v>30396</v>
                </pt>
                <pt idx="429">
                  <v>30403</v>
                </pt>
                <pt idx="430">
                  <v>30410</v>
                </pt>
                <pt idx="431">
                  <v>30417</v>
                </pt>
                <pt idx="432">
                  <v>30424</v>
                </pt>
                <pt idx="433">
                  <v>30431</v>
                </pt>
                <pt idx="434">
                  <v>30438</v>
                </pt>
                <pt idx="435">
                  <v>30445</v>
                </pt>
                <pt idx="436">
                  <v>30452</v>
                </pt>
                <pt idx="437">
                  <v>30459</v>
                </pt>
                <pt idx="438">
                  <v>30466</v>
                </pt>
                <pt idx="439">
                  <v>30473</v>
                </pt>
                <pt idx="440">
                  <v>30480</v>
                </pt>
                <pt idx="441">
                  <v>30487</v>
                </pt>
                <pt idx="442">
                  <v>30494</v>
                </pt>
                <pt idx="443">
                  <v>30501</v>
                </pt>
                <pt idx="444">
                  <v>30508</v>
                </pt>
                <pt idx="445">
                  <v>30515</v>
                </pt>
                <pt idx="446">
                  <v>30522</v>
                </pt>
                <pt idx="447">
                  <v>30529</v>
                </pt>
                <pt idx="448">
                  <v>30536</v>
                </pt>
                <pt idx="449">
                  <v>30543</v>
                </pt>
                <pt idx="450">
                  <v>30550</v>
                </pt>
                <pt idx="451">
                  <v>30557</v>
                </pt>
                <pt idx="452">
                  <v>30564</v>
                </pt>
                <pt idx="453">
                  <v>30571</v>
                </pt>
                <pt idx="454">
                  <v>30578</v>
                </pt>
                <pt idx="455">
                  <v>30585</v>
                </pt>
                <pt idx="456">
                  <v>30592</v>
                </pt>
                <pt idx="457">
                  <v>30599</v>
                </pt>
                <pt idx="458">
                  <v>30606</v>
                </pt>
                <pt idx="459">
                  <v>30613</v>
                </pt>
                <pt idx="460">
                  <v>30620</v>
                </pt>
                <pt idx="461">
                  <v>30627</v>
                </pt>
                <pt idx="462">
                  <v>30634</v>
                </pt>
                <pt idx="463">
                  <v>30641</v>
                </pt>
                <pt idx="464">
                  <v>30648</v>
                </pt>
                <pt idx="465">
                  <v>30655</v>
                </pt>
                <pt idx="466">
                  <v>30662</v>
                </pt>
                <pt idx="467">
                  <v>30669</v>
                </pt>
                <pt idx="468">
                  <v>30676</v>
                </pt>
                <pt idx="469">
                  <v>30683</v>
                </pt>
                <pt idx="470">
                  <v>30690</v>
                </pt>
                <pt idx="471">
                  <v>30697</v>
                </pt>
                <pt idx="472">
                  <v>30704</v>
                </pt>
                <pt idx="473">
                  <v>30711</v>
                </pt>
                <pt idx="474">
                  <v>30718</v>
                </pt>
                <pt idx="475">
                  <v>30725</v>
                </pt>
                <pt idx="476">
                  <v>30732</v>
                </pt>
                <pt idx="477">
                  <v>30739</v>
                </pt>
                <pt idx="478">
                  <v>30746</v>
                </pt>
                <pt idx="479">
                  <v>30753</v>
                </pt>
                <pt idx="480">
                  <v>30760</v>
                </pt>
                <pt idx="481">
                  <v>30767</v>
                </pt>
                <pt idx="482">
                  <v>30774</v>
                </pt>
                <pt idx="483">
                  <v>30781</v>
                </pt>
                <pt idx="484">
                  <v>30788</v>
                </pt>
                <pt idx="485">
                  <v>30795</v>
                </pt>
                <pt idx="486">
                  <v>30802</v>
                </pt>
                <pt idx="487">
                  <v>30809</v>
                </pt>
                <pt idx="488">
                  <v>30816</v>
                </pt>
                <pt idx="489">
                  <v>30823</v>
                </pt>
                <pt idx="490">
                  <v>30830</v>
                </pt>
                <pt idx="491">
                  <v>30837</v>
                </pt>
                <pt idx="492">
                  <v>30844</v>
                </pt>
                <pt idx="493">
                  <v>30851</v>
                </pt>
                <pt idx="494">
                  <v>30858</v>
                </pt>
                <pt idx="495">
                  <v>30865</v>
                </pt>
                <pt idx="496">
                  <v>30872</v>
                </pt>
                <pt idx="497">
                  <v>30879</v>
                </pt>
                <pt idx="498">
                  <v>30886</v>
                </pt>
                <pt idx="499">
                  <v>30893</v>
                </pt>
                <pt idx="500">
                  <v>30900</v>
                </pt>
                <pt idx="501">
                  <v>30907</v>
                </pt>
                <pt idx="502">
                  <v>30914</v>
                </pt>
                <pt idx="503">
                  <v>30921</v>
                </pt>
                <pt idx="504">
                  <v>30928</v>
                </pt>
                <pt idx="505">
                  <v>30935</v>
                </pt>
                <pt idx="506">
                  <v>30942</v>
                </pt>
                <pt idx="507">
                  <v>30949</v>
                </pt>
                <pt idx="508">
                  <v>30956</v>
                </pt>
                <pt idx="509">
                  <v>30963</v>
                </pt>
                <pt idx="510">
                  <v>30970</v>
                </pt>
                <pt idx="511">
                  <v>30977</v>
                </pt>
                <pt idx="512">
                  <v>30984</v>
                </pt>
                <pt idx="513">
                  <v>30991</v>
                </pt>
                <pt idx="514">
                  <v>30998</v>
                </pt>
                <pt idx="515">
                  <v>31005</v>
                </pt>
                <pt idx="516">
                  <v>31012</v>
                </pt>
                <pt idx="517">
                  <v>31019</v>
                </pt>
                <pt idx="518">
                  <v>31026</v>
                </pt>
                <pt idx="519">
                  <v>31033</v>
                </pt>
                <pt idx="520">
                  <v>31040</v>
                </pt>
                <pt idx="521">
                  <v>31047</v>
                </pt>
                <pt idx="522">
                  <v>31054</v>
                </pt>
                <pt idx="523">
                  <v>31061</v>
                </pt>
                <pt idx="524">
                  <v>31068</v>
                </pt>
                <pt idx="525">
                  <v>31075</v>
                </pt>
                <pt idx="526">
                  <v>31082</v>
                </pt>
                <pt idx="527">
                  <v>31089</v>
                </pt>
                <pt idx="528">
                  <v>31096</v>
                </pt>
                <pt idx="529">
                  <v>31103</v>
                </pt>
                <pt idx="530">
                  <v>31110</v>
                </pt>
                <pt idx="531">
                  <v>31117</v>
                </pt>
                <pt idx="532">
                  <v>31124</v>
                </pt>
                <pt idx="533">
                  <v>31131</v>
                </pt>
                <pt idx="534">
                  <v>31138</v>
                </pt>
                <pt idx="535">
                  <v>31145</v>
                </pt>
                <pt idx="536">
                  <v>31152</v>
                </pt>
                <pt idx="537">
                  <v>31159</v>
                </pt>
                <pt idx="538">
                  <v>31166</v>
                </pt>
                <pt idx="539">
                  <v>31173</v>
                </pt>
                <pt idx="540">
                  <v>31180</v>
                </pt>
                <pt idx="541">
                  <v>31187</v>
                </pt>
                <pt idx="542">
                  <v>31194</v>
                </pt>
                <pt idx="543">
                  <v>31201</v>
                </pt>
                <pt idx="544">
                  <v>31208</v>
                </pt>
                <pt idx="545">
                  <v>31215</v>
                </pt>
                <pt idx="546">
                  <v>31222</v>
                </pt>
                <pt idx="547">
                  <v>31229</v>
                </pt>
                <pt idx="548">
                  <v>31236</v>
                </pt>
                <pt idx="549">
                  <v>31243</v>
                </pt>
                <pt idx="550">
                  <v>31250</v>
                </pt>
                <pt idx="551">
                  <v>31257</v>
                </pt>
                <pt idx="552">
                  <v>31264</v>
                </pt>
                <pt idx="553">
                  <v>31271</v>
                </pt>
                <pt idx="554">
                  <v>31278</v>
                </pt>
                <pt idx="555">
                  <v>31285</v>
                </pt>
                <pt idx="556">
                  <v>31292</v>
                </pt>
                <pt idx="557">
                  <v>31299</v>
                </pt>
                <pt idx="558">
                  <v>31306</v>
                </pt>
                <pt idx="559">
                  <v>31313</v>
                </pt>
                <pt idx="560">
                  <v>31320</v>
                </pt>
                <pt idx="561">
                  <v>31327</v>
                </pt>
                <pt idx="562">
                  <v>31334</v>
                </pt>
                <pt idx="563">
                  <v>31341</v>
                </pt>
                <pt idx="564">
                  <v>31348</v>
                </pt>
                <pt idx="565">
                  <v>31355</v>
                </pt>
                <pt idx="566">
                  <v>31362</v>
                </pt>
                <pt idx="567">
                  <v>31369</v>
                </pt>
                <pt idx="568">
                  <v>31376</v>
                </pt>
                <pt idx="569">
                  <v>31383</v>
                </pt>
                <pt idx="570">
                  <v>31390</v>
                </pt>
                <pt idx="571">
                  <v>31397</v>
                </pt>
                <pt idx="572">
                  <v>31404</v>
                </pt>
                <pt idx="573">
                  <v>31411</v>
                </pt>
                <pt idx="574">
                  <v>31418</v>
                </pt>
                <pt idx="575">
                  <v>31425</v>
                </pt>
                <pt idx="576">
                  <v>31432</v>
                </pt>
                <pt idx="577">
                  <v>31439</v>
                </pt>
                <pt idx="578">
                  <v>31446</v>
                </pt>
                <pt idx="579">
                  <v>31453</v>
                </pt>
                <pt idx="580">
                  <v>31460</v>
                </pt>
                <pt idx="581">
                  <v>31467</v>
                </pt>
                <pt idx="582">
                  <v>31474</v>
                </pt>
                <pt idx="583">
                  <v>31481</v>
                </pt>
                <pt idx="584">
                  <v>31488</v>
                </pt>
                <pt idx="585">
                  <v>31495</v>
                </pt>
                <pt idx="586">
                  <v>31502</v>
                </pt>
                <pt idx="587">
                  <v>31509</v>
                </pt>
                <pt idx="588">
                  <v>31516</v>
                </pt>
                <pt idx="589">
                  <v>31523</v>
                </pt>
                <pt idx="590">
                  <v>31530</v>
                </pt>
                <pt idx="591">
                  <v>31537</v>
                </pt>
                <pt idx="592">
                  <v>31544</v>
                </pt>
                <pt idx="593">
                  <v>31551</v>
                </pt>
                <pt idx="594">
                  <v>31558</v>
                </pt>
                <pt idx="595">
                  <v>31565</v>
                </pt>
                <pt idx="596">
                  <v>31572</v>
                </pt>
                <pt idx="597">
                  <v>31579</v>
                </pt>
                <pt idx="598">
                  <v>31586</v>
                </pt>
                <pt idx="599">
                  <v>31593</v>
                </pt>
                <pt idx="600">
                  <v>31600</v>
                </pt>
                <pt idx="601">
                  <v>31607</v>
                </pt>
                <pt idx="602">
                  <v>31614</v>
                </pt>
                <pt idx="603">
                  <v>31621</v>
                </pt>
                <pt idx="604">
                  <v>31628</v>
                </pt>
                <pt idx="605">
                  <v>31635</v>
                </pt>
                <pt idx="606">
                  <v>31642</v>
                </pt>
                <pt idx="607">
                  <v>31649</v>
                </pt>
                <pt idx="608">
                  <v>31656</v>
                </pt>
                <pt idx="609">
                  <v>31663</v>
                </pt>
                <pt idx="610">
                  <v>31670</v>
                </pt>
                <pt idx="611">
                  <v>31677</v>
                </pt>
                <pt idx="612">
                  <v>31684</v>
                </pt>
                <pt idx="613">
                  <v>31691</v>
                </pt>
                <pt idx="614">
                  <v>31698</v>
                </pt>
                <pt idx="615">
                  <v>31705</v>
                </pt>
                <pt idx="616">
                  <v>31712</v>
                </pt>
                <pt idx="617">
                  <v>31719</v>
                </pt>
                <pt idx="618">
                  <v>31726</v>
                </pt>
                <pt idx="619">
                  <v>31733</v>
                </pt>
                <pt idx="620">
                  <v>31740</v>
                </pt>
                <pt idx="621">
                  <v>31747</v>
                </pt>
                <pt idx="622">
                  <v>31754</v>
                </pt>
                <pt idx="623">
                  <v>31761</v>
                </pt>
                <pt idx="624">
                  <v>31768</v>
                </pt>
                <pt idx="625">
                  <v>31775</v>
                </pt>
                <pt idx="626">
                  <v>31782</v>
                </pt>
                <pt idx="627">
                  <v>31789</v>
                </pt>
                <pt idx="628">
                  <v>31796</v>
                </pt>
                <pt idx="629">
                  <v>31803</v>
                </pt>
                <pt idx="630">
                  <v>31810</v>
                </pt>
                <pt idx="631">
                  <v>31817</v>
                </pt>
                <pt idx="632">
                  <v>31824</v>
                </pt>
                <pt idx="633">
                  <v>31831</v>
                </pt>
                <pt idx="634">
                  <v>31838</v>
                </pt>
                <pt idx="635">
                  <v>31845</v>
                </pt>
                <pt idx="636">
                  <v>31852</v>
                </pt>
                <pt idx="637">
                  <v>31859</v>
                </pt>
                <pt idx="638">
                  <v>31866</v>
                </pt>
                <pt idx="639">
                  <v>31873</v>
                </pt>
                <pt idx="640">
                  <v>31880</v>
                </pt>
                <pt idx="641">
                  <v>31887</v>
                </pt>
                <pt idx="642">
                  <v>31894</v>
                </pt>
                <pt idx="643">
                  <v>31901</v>
                </pt>
                <pt idx="644">
                  <v>31908</v>
                </pt>
                <pt idx="645">
                  <v>31915</v>
                </pt>
                <pt idx="646">
                  <v>31922</v>
                </pt>
                <pt idx="647">
                  <v>31929</v>
                </pt>
                <pt idx="648">
                  <v>31936</v>
                </pt>
                <pt idx="649">
                  <v>31943</v>
                </pt>
                <pt idx="650">
                  <v>31950</v>
                </pt>
                <pt idx="651">
                  <v>31957</v>
                </pt>
                <pt idx="652">
                  <v>31964</v>
                </pt>
                <pt idx="653">
                  <v>31971</v>
                </pt>
                <pt idx="654">
                  <v>31978</v>
                </pt>
                <pt idx="655">
                  <v>31985</v>
                </pt>
                <pt idx="656">
                  <v>31992</v>
                </pt>
                <pt idx="657">
                  <v>31999</v>
                </pt>
                <pt idx="658">
                  <v>32006</v>
                </pt>
                <pt idx="659">
                  <v>32013</v>
                </pt>
                <pt idx="660">
                  <v>32020</v>
                </pt>
                <pt idx="661">
                  <v>32027</v>
                </pt>
                <pt idx="662">
                  <v>32034</v>
                </pt>
                <pt idx="663">
                  <v>32041</v>
                </pt>
                <pt idx="664">
                  <v>32048</v>
                </pt>
                <pt idx="665">
                  <v>32055</v>
                </pt>
                <pt idx="666">
                  <v>32062</v>
                </pt>
                <pt idx="667">
                  <v>32069</v>
                </pt>
                <pt idx="668">
                  <v>32076</v>
                </pt>
                <pt idx="669">
                  <v>32083</v>
                </pt>
                <pt idx="670">
                  <v>32090</v>
                </pt>
                <pt idx="671">
                  <v>32097</v>
                </pt>
                <pt idx="672">
                  <v>32104</v>
                </pt>
                <pt idx="673">
                  <v>32111</v>
                </pt>
                <pt idx="674">
                  <v>32118</v>
                </pt>
                <pt idx="675">
                  <v>32125</v>
                </pt>
                <pt idx="676">
                  <v>32132</v>
                </pt>
                <pt idx="677">
                  <v>32139</v>
                </pt>
                <pt idx="678">
                  <v>32146</v>
                </pt>
                <pt idx="679">
                  <v>32153</v>
                </pt>
                <pt idx="680">
                  <v>32160</v>
                </pt>
                <pt idx="681">
                  <v>32167</v>
                </pt>
                <pt idx="682">
                  <v>32174</v>
                </pt>
                <pt idx="683">
                  <v>32181</v>
                </pt>
                <pt idx="684">
                  <v>32188</v>
                </pt>
                <pt idx="685">
                  <v>32195</v>
                </pt>
                <pt idx="686">
                  <v>32202</v>
                </pt>
                <pt idx="687">
                  <v>32209</v>
                </pt>
                <pt idx="688">
                  <v>32216</v>
                </pt>
                <pt idx="689">
                  <v>32223</v>
                </pt>
                <pt idx="690">
                  <v>32230</v>
                </pt>
                <pt idx="691">
                  <v>32237</v>
                </pt>
                <pt idx="692">
                  <v>32244</v>
                </pt>
                <pt idx="693">
                  <v>32251</v>
                </pt>
                <pt idx="694">
                  <v>32258</v>
                </pt>
                <pt idx="695">
                  <v>32265</v>
                </pt>
                <pt idx="696">
                  <v>32272</v>
                </pt>
                <pt idx="697">
                  <v>32279</v>
                </pt>
                <pt idx="698">
                  <v>32286</v>
                </pt>
                <pt idx="699">
                  <v>32293</v>
                </pt>
                <pt idx="700">
                  <v>32300</v>
                </pt>
                <pt idx="701">
                  <v>32307</v>
                </pt>
                <pt idx="702">
                  <v>32314</v>
                </pt>
                <pt idx="703">
                  <v>32321</v>
                </pt>
                <pt idx="704">
                  <v>32328</v>
                </pt>
                <pt idx="705">
                  <v>32335</v>
                </pt>
                <pt idx="706">
                  <v>32342</v>
                </pt>
                <pt idx="707">
                  <v>32349</v>
                </pt>
                <pt idx="708">
                  <v>32356</v>
                </pt>
                <pt idx="709">
                  <v>32363</v>
                </pt>
                <pt idx="710">
                  <v>32370</v>
                </pt>
                <pt idx="711">
                  <v>32377</v>
                </pt>
                <pt idx="712">
                  <v>32384</v>
                </pt>
                <pt idx="713">
                  <v>32391</v>
                </pt>
                <pt idx="714">
                  <v>32398</v>
                </pt>
                <pt idx="715">
                  <v>32405</v>
                </pt>
                <pt idx="716">
                  <v>32412</v>
                </pt>
                <pt idx="717">
                  <v>32419</v>
                </pt>
                <pt idx="718">
                  <v>32426</v>
                </pt>
                <pt idx="719">
                  <v>32433</v>
                </pt>
                <pt idx="720">
                  <v>32440</v>
                </pt>
                <pt idx="721">
                  <v>32447</v>
                </pt>
                <pt idx="722">
                  <v>32454</v>
                </pt>
                <pt idx="723">
                  <v>32461</v>
                </pt>
                <pt idx="724">
                  <v>32468</v>
                </pt>
                <pt idx="725">
                  <v>32475</v>
                </pt>
                <pt idx="726">
                  <v>32482</v>
                </pt>
                <pt idx="727">
                  <v>32489</v>
                </pt>
                <pt idx="728">
                  <v>32496</v>
                </pt>
                <pt idx="729">
                  <v>32503</v>
                </pt>
                <pt idx="730">
                  <v>32510</v>
                </pt>
                <pt idx="731">
                  <v>32517</v>
                </pt>
                <pt idx="732">
                  <v>32524</v>
                </pt>
                <pt idx="733">
                  <v>32531</v>
                </pt>
                <pt idx="734">
                  <v>32538</v>
                </pt>
                <pt idx="735">
                  <v>32545</v>
                </pt>
                <pt idx="736">
                  <v>32552</v>
                </pt>
                <pt idx="737">
                  <v>32559</v>
                </pt>
                <pt idx="738">
                  <v>32566</v>
                </pt>
                <pt idx="739">
                  <v>32573</v>
                </pt>
                <pt idx="740">
                  <v>32580</v>
                </pt>
                <pt idx="741">
                  <v>32587</v>
                </pt>
                <pt idx="742">
                  <v>32594</v>
                </pt>
                <pt idx="743">
                  <v>32601</v>
                </pt>
                <pt idx="744">
                  <v>32608</v>
                </pt>
                <pt idx="745">
                  <v>32615</v>
                </pt>
                <pt idx="746">
                  <v>32622</v>
                </pt>
                <pt idx="747">
                  <v>32629</v>
                </pt>
                <pt idx="748">
                  <v>32636</v>
                </pt>
                <pt idx="749">
                  <v>32643</v>
                </pt>
                <pt idx="750">
                  <v>32650</v>
                </pt>
                <pt idx="751">
                  <v>32657</v>
                </pt>
                <pt idx="752">
                  <v>32664</v>
                </pt>
                <pt idx="753">
                  <v>32671</v>
                </pt>
                <pt idx="754">
                  <v>32678</v>
                </pt>
                <pt idx="755">
                  <v>32685</v>
                </pt>
                <pt idx="756">
                  <v>32692</v>
                </pt>
                <pt idx="757">
                  <v>32699</v>
                </pt>
                <pt idx="758">
                  <v>32706</v>
                </pt>
                <pt idx="759">
                  <v>32713</v>
                </pt>
                <pt idx="760">
                  <v>32720</v>
                </pt>
                <pt idx="761">
                  <v>32727</v>
                </pt>
                <pt idx="762">
                  <v>32734</v>
                </pt>
                <pt idx="763">
                  <v>32741</v>
                </pt>
                <pt idx="764">
                  <v>32748</v>
                </pt>
                <pt idx="765">
                  <v>32755</v>
                </pt>
                <pt idx="766">
                  <v>32762</v>
                </pt>
                <pt idx="767">
                  <v>32769</v>
                </pt>
                <pt idx="768">
                  <v>32776</v>
                </pt>
                <pt idx="769">
                  <v>32783</v>
                </pt>
                <pt idx="770">
                  <v>32790</v>
                </pt>
                <pt idx="771">
                  <v>32797</v>
                </pt>
                <pt idx="772">
                  <v>32804</v>
                </pt>
                <pt idx="773">
                  <v>32811</v>
                </pt>
                <pt idx="774">
                  <v>32818</v>
                </pt>
                <pt idx="775">
                  <v>32825</v>
                </pt>
                <pt idx="776">
                  <v>32832</v>
                </pt>
                <pt idx="777">
                  <v>32839</v>
                </pt>
                <pt idx="778">
                  <v>32846</v>
                </pt>
                <pt idx="779">
                  <v>32853</v>
                </pt>
                <pt idx="780">
                  <v>32860</v>
                </pt>
                <pt idx="781">
                  <v>32867</v>
                </pt>
                <pt idx="782">
                  <v>32874</v>
                </pt>
                <pt idx="783">
                  <v>32881</v>
                </pt>
                <pt idx="784">
                  <v>32888</v>
                </pt>
                <pt idx="785">
                  <v>32895</v>
                </pt>
                <pt idx="786">
                  <v>32902</v>
                </pt>
                <pt idx="787">
                  <v>32909</v>
                </pt>
                <pt idx="788">
                  <v>32916</v>
                </pt>
                <pt idx="789">
                  <v>32923</v>
                </pt>
                <pt idx="790">
                  <v>32930</v>
                </pt>
                <pt idx="791">
                  <v>32937</v>
                </pt>
                <pt idx="792">
                  <v>32944</v>
                </pt>
                <pt idx="793">
                  <v>32951</v>
                </pt>
                <pt idx="794">
                  <v>32958</v>
                </pt>
                <pt idx="795">
                  <v>32965</v>
                </pt>
                <pt idx="796">
                  <v>32972</v>
                </pt>
                <pt idx="797">
                  <v>32979</v>
                </pt>
                <pt idx="798">
                  <v>32986</v>
                </pt>
                <pt idx="799">
                  <v>32993</v>
                </pt>
                <pt idx="800">
                  <v>33000</v>
                </pt>
                <pt idx="801">
                  <v>33007</v>
                </pt>
                <pt idx="802">
                  <v>33014</v>
                </pt>
                <pt idx="803">
                  <v>33021</v>
                </pt>
                <pt idx="804">
                  <v>33028</v>
                </pt>
                <pt idx="805">
                  <v>33035</v>
                </pt>
                <pt idx="806">
                  <v>33042</v>
                </pt>
                <pt idx="807">
                  <v>33049</v>
                </pt>
                <pt idx="808">
                  <v>33056</v>
                </pt>
                <pt idx="809">
                  <v>33063</v>
                </pt>
                <pt idx="810">
                  <v>33070</v>
                </pt>
                <pt idx="811">
                  <v>33077</v>
                </pt>
                <pt idx="812">
                  <v>33084</v>
                </pt>
                <pt idx="813">
                  <v>33091</v>
                </pt>
                <pt idx="814">
                  <v>33098</v>
                </pt>
                <pt idx="815">
                  <v>33105</v>
                </pt>
                <pt idx="816">
                  <v>33112</v>
                </pt>
                <pt idx="817">
                  <v>33119</v>
                </pt>
                <pt idx="818">
                  <v>33126</v>
                </pt>
                <pt idx="819">
                  <v>33133</v>
                </pt>
                <pt idx="820">
                  <v>33140</v>
                </pt>
                <pt idx="821">
                  <v>33147</v>
                </pt>
                <pt idx="822">
                  <v>33154</v>
                </pt>
                <pt idx="823">
                  <v>33161</v>
                </pt>
                <pt idx="824">
                  <v>33168</v>
                </pt>
                <pt idx="825">
                  <v>33175</v>
                </pt>
                <pt idx="826">
                  <v>33182</v>
                </pt>
                <pt idx="827">
                  <v>33189</v>
                </pt>
                <pt idx="828">
                  <v>33196</v>
                </pt>
                <pt idx="829">
                  <v>33203</v>
                </pt>
                <pt idx="830">
                  <v>33210</v>
                </pt>
                <pt idx="831">
                  <v>33217</v>
                </pt>
                <pt idx="832">
                  <v>33224</v>
                </pt>
                <pt idx="833">
                  <v>33231</v>
                </pt>
                <pt idx="834">
                  <v>33238</v>
                </pt>
                <pt idx="835">
                  <v>33245</v>
                </pt>
                <pt idx="836">
                  <v>33252</v>
                </pt>
                <pt idx="837">
                  <v>33259</v>
                </pt>
                <pt idx="838">
                  <v>33266</v>
                </pt>
                <pt idx="839">
                  <v>33273</v>
                </pt>
                <pt idx="840">
                  <v>33280</v>
                </pt>
                <pt idx="841">
                  <v>33287</v>
                </pt>
                <pt idx="842">
                  <v>33294</v>
                </pt>
                <pt idx="843">
                  <v>33301</v>
                </pt>
                <pt idx="844">
                  <v>33308</v>
                </pt>
                <pt idx="845">
                  <v>33315</v>
                </pt>
                <pt idx="846">
                  <v>33322</v>
                </pt>
                <pt idx="847">
                  <v>33329</v>
                </pt>
                <pt idx="848">
                  <v>33336</v>
                </pt>
                <pt idx="849">
                  <v>33343</v>
                </pt>
                <pt idx="850">
                  <v>33350</v>
                </pt>
                <pt idx="851">
                  <v>33357</v>
                </pt>
                <pt idx="852">
                  <v>33364</v>
                </pt>
                <pt idx="853">
                  <v>33371</v>
                </pt>
                <pt idx="854">
                  <v>33378</v>
                </pt>
                <pt idx="855">
                  <v>33385</v>
                </pt>
                <pt idx="856">
                  <v>33392</v>
                </pt>
                <pt idx="857">
                  <v>33399</v>
                </pt>
                <pt idx="858">
                  <v>33406</v>
                </pt>
                <pt idx="859">
                  <v>33413</v>
                </pt>
                <pt idx="860">
                  <v>33420</v>
                </pt>
                <pt idx="861">
                  <v>33427</v>
                </pt>
                <pt idx="862">
                  <v>33434</v>
                </pt>
                <pt idx="863">
                  <v>33441</v>
                </pt>
                <pt idx="864">
                  <v>33448</v>
                </pt>
                <pt idx="865">
                  <v>33455</v>
                </pt>
                <pt idx="866">
                  <v>33462</v>
                </pt>
                <pt idx="867">
                  <v>33469</v>
                </pt>
                <pt idx="868">
                  <v>33476</v>
                </pt>
                <pt idx="869">
                  <v>33483</v>
                </pt>
                <pt idx="870">
                  <v>33490</v>
                </pt>
                <pt idx="871">
                  <v>33497</v>
                </pt>
                <pt idx="872">
                  <v>33504</v>
                </pt>
                <pt idx="873">
                  <v>33511</v>
                </pt>
                <pt idx="874">
                  <v>33518</v>
                </pt>
                <pt idx="875">
                  <v>33525</v>
                </pt>
                <pt idx="876">
                  <v>33532</v>
                </pt>
                <pt idx="877">
                  <v>33539</v>
                </pt>
                <pt idx="878">
                  <v>33546</v>
                </pt>
                <pt idx="879">
                  <v>33553</v>
                </pt>
                <pt idx="880">
                  <v>33560</v>
                </pt>
                <pt idx="881">
                  <v>33567</v>
                </pt>
                <pt idx="882">
                  <v>33574</v>
                </pt>
                <pt idx="883">
                  <v>33581</v>
                </pt>
                <pt idx="884">
                  <v>33588</v>
                </pt>
                <pt idx="885">
                  <v>33595</v>
                </pt>
                <pt idx="886">
                  <v>33602</v>
                </pt>
                <pt idx="887">
                  <v>33609</v>
                </pt>
                <pt idx="888">
                  <v>33616</v>
                </pt>
                <pt idx="889">
                  <v>33623</v>
                </pt>
                <pt idx="890">
                  <v>33630</v>
                </pt>
                <pt idx="891">
                  <v>33637</v>
                </pt>
                <pt idx="892">
                  <v>33644</v>
                </pt>
                <pt idx="893">
                  <v>33651</v>
                </pt>
                <pt idx="894">
                  <v>33658</v>
                </pt>
                <pt idx="895">
                  <v>33665</v>
                </pt>
                <pt idx="896">
                  <v>33672</v>
                </pt>
                <pt idx="897">
                  <v>33679</v>
                </pt>
                <pt idx="898">
                  <v>33686</v>
                </pt>
                <pt idx="899">
                  <v>33693</v>
                </pt>
                <pt idx="900">
                  <v>33700</v>
                </pt>
                <pt idx="901">
                  <v>33707</v>
                </pt>
                <pt idx="902">
                  <v>33714</v>
                </pt>
                <pt idx="903">
                  <v>33721</v>
                </pt>
                <pt idx="904">
                  <v>33728</v>
                </pt>
                <pt idx="905">
                  <v>33735</v>
                </pt>
                <pt idx="906">
                  <v>33742</v>
                </pt>
                <pt idx="907">
                  <v>33749</v>
                </pt>
                <pt idx="908">
                  <v>33756</v>
                </pt>
                <pt idx="909">
                  <v>33763</v>
                </pt>
                <pt idx="910">
                  <v>33770</v>
                </pt>
                <pt idx="911">
                  <v>33777</v>
                </pt>
                <pt idx="912">
                  <v>33784</v>
                </pt>
                <pt idx="913">
                  <v>33791</v>
                </pt>
                <pt idx="914">
                  <v>33798</v>
                </pt>
                <pt idx="915">
                  <v>33805</v>
                </pt>
                <pt idx="916">
                  <v>33812</v>
                </pt>
                <pt idx="917">
                  <v>33819</v>
                </pt>
                <pt idx="918">
                  <v>33826</v>
                </pt>
                <pt idx="919">
                  <v>33833</v>
                </pt>
                <pt idx="920">
                  <v>33840</v>
                </pt>
                <pt idx="921">
                  <v>33847</v>
                </pt>
                <pt idx="922">
                  <v>33854</v>
                </pt>
                <pt idx="923">
                  <v>33861</v>
                </pt>
                <pt idx="924">
                  <v>33868</v>
                </pt>
                <pt idx="925">
                  <v>33875</v>
                </pt>
                <pt idx="926">
                  <v>33882</v>
                </pt>
                <pt idx="927">
                  <v>33889</v>
                </pt>
                <pt idx="928">
                  <v>33896</v>
                </pt>
                <pt idx="929">
                  <v>33903</v>
                </pt>
                <pt idx="930">
                  <v>33910</v>
                </pt>
                <pt idx="931">
                  <v>33917</v>
                </pt>
                <pt idx="932">
                  <v>33924</v>
                </pt>
                <pt idx="933">
                  <v>33931</v>
                </pt>
                <pt idx="934">
                  <v>33938</v>
                </pt>
                <pt idx="935">
                  <v>33945</v>
                </pt>
                <pt idx="936">
                  <v>33952</v>
                </pt>
                <pt idx="937">
                  <v>33959</v>
                </pt>
                <pt idx="938">
                  <v>33966</v>
                </pt>
                <pt idx="939">
                  <v>33973</v>
                </pt>
                <pt idx="940">
                  <v>33980</v>
                </pt>
                <pt idx="941">
                  <v>33987</v>
                </pt>
                <pt idx="942">
                  <v>33994</v>
                </pt>
                <pt idx="943">
                  <v>34001</v>
                </pt>
                <pt idx="944">
                  <v>34008</v>
                </pt>
                <pt idx="945">
                  <v>34015</v>
                </pt>
                <pt idx="946">
                  <v>34022</v>
                </pt>
                <pt idx="947">
                  <v>34029</v>
                </pt>
                <pt idx="948">
                  <v>34036</v>
                </pt>
                <pt idx="949">
                  <v>34043</v>
                </pt>
                <pt idx="950">
                  <v>34050</v>
                </pt>
                <pt idx="951">
                  <v>34057</v>
                </pt>
                <pt idx="952">
                  <v>34064</v>
                </pt>
                <pt idx="953">
                  <v>34071</v>
                </pt>
                <pt idx="954">
                  <v>34078</v>
                </pt>
                <pt idx="955">
                  <v>34085</v>
                </pt>
                <pt idx="956">
                  <v>34092</v>
                </pt>
                <pt idx="957">
                  <v>34099</v>
                </pt>
                <pt idx="958">
                  <v>34106</v>
                </pt>
                <pt idx="959">
                  <v>34113</v>
                </pt>
                <pt idx="960">
                  <v>34120</v>
                </pt>
                <pt idx="961">
                  <v>34127</v>
                </pt>
                <pt idx="962">
                  <v>34134</v>
                </pt>
                <pt idx="963">
                  <v>34141</v>
                </pt>
                <pt idx="964">
                  <v>34148</v>
                </pt>
                <pt idx="965">
                  <v>34155</v>
                </pt>
                <pt idx="966">
                  <v>34162</v>
                </pt>
                <pt idx="967">
                  <v>34169</v>
                </pt>
                <pt idx="968">
                  <v>34176</v>
                </pt>
                <pt idx="969">
                  <v>34183</v>
                </pt>
                <pt idx="970">
                  <v>34190</v>
                </pt>
                <pt idx="971">
                  <v>34197</v>
                </pt>
                <pt idx="972">
                  <v>34204</v>
                </pt>
                <pt idx="973">
                  <v>34211</v>
                </pt>
                <pt idx="974">
                  <v>34218</v>
                </pt>
                <pt idx="975">
                  <v>34225</v>
                </pt>
                <pt idx="976">
                  <v>34232</v>
                </pt>
                <pt idx="977">
                  <v>34239</v>
                </pt>
                <pt idx="978">
                  <v>34246</v>
                </pt>
                <pt idx="979">
                  <v>34253</v>
                </pt>
                <pt idx="980">
                  <v>34260</v>
                </pt>
                <pt idx="981">
                  <v>34267</v>
                </pt>
                <pt idx="982">
                  <v>34274</v>
                </pt>
                <pt idx="983">
                  <v>34281</v>
                </pt>
                <pt idx="984">
                  <v>34288</v>
                </pt>
                <pt idx="985">
                  <v>34295</v>
                </pt>
                <pt idx="986">
                  <v>34302</v>
                </pt>
                <pt idx="987">
                  <v>34309</v>
                </pt>
                <pt idx="988">
                  <v>34316</v>
                </pt>
                <pt idx="989">
                  <v>34323</v>
                </pt>
                <pt idx="990">
                  <v>34330</v>
                </pt>
                <pt idx="991">
                  <v>34337</v>
                </pt>
                <pt idx="992">
                  <v>34344</v>
                </pt>
                <pt idx="993">
                  <v>34351</v>
                </pt>
                <pt idx="994">
                  <v>34358</v>
                </pt>
                <pt idx="995">
                  <v>34365</v>
                </pt>
                <pt idx="996">
                  <v>34372</v>
                </pt>
                <pt idx="997">
                  <v>34379</v>
                </pt>
                <pt idx="998">
                  <v>34386</v>
                </pt>
                <pt idx="999">
                  <v>34393</v>
                </pt>
                <pt idx="1000">
                  <v>34400</v>
                </pt>
                <pt idx="1001">
                  <v>34407</v>
                </pt>
                <pt idx="1002">
                  <v>34414</v>
                </pt>
                <pt idx="1003">
                  <v>34421</v>
                </pt>
                <pt idx="1004">
                  <v>34428</v>
                </pt>
                <pt idx="1005">
                  <v>34435</v>
                </pt>
                <pt idx="1006">
                  <v>34442</v>
                </pt>
                <pt idx="1007">
                  <v>34449</v>
                </pt>
                <pt idx="1008">
                  <v>34456</v>
                </pt>
                <pt idx="1009">
                  <v>34463</v>
                </pt>
                <pt idx="1010">
                  <v>34470</v>
                </pt>
                <pt idx="1011">
                  <v>34477</v>
                </pt>
                <pt idx="1012">
                  <v>34484</v>
                </pt>
                <pt idx="1013">
                  <v>34491</v>
                </pt>
                <pt idx="1014">
                  <v>34498</v>
                </pt>
                <pt idx="1015">
                  <v>34505</v>
                </pt>
                <pt idx="1016">
                  <v>34512</v>
                </pt>
                <pt idx="1017">
                  <v>34519</v>
                </pt>
                <pt idx="1018">
                  <v>34526</v>
                </pt>
                <pt idx="1019">
                  <v>34533</v>
                </pt>
                <pt idx="1020">
                  <v>34540</v>
                </pt>
                <pt idx="1021">
                  <v>34547</v>
                </pt>
                <pt idx="1022">
                  <v>34554</v>
                </pt>
                <pt idx="1023">
                  <v>34561</v>
                </pt>
                <pt idx="1024">
                  <v>34568</v>
                </pt>
                <pt idx="1025">
                  <v>34575</v>
                </pt>
                <pt idx="1026">
                  <v>34582</v>
                </pt>
                <pt idx="1027">
                  <v>34589</v>
                </pt>
                <pt idx="1028">
                  <v>34596</v>
                </pt>
                <pt idx="1029">
                  <v>34603</v>
                </pt>
                <pt idx="1030">
                  <v>34610</v>
                </pt>
                <pt idx="1031">
                  <v>34617</v>
                </pt>
                <pt idx="1032">
                  <v>34624</v>
                </pt>
                <pt idx="1033">
                  <v>34631</v>
                </pt>
                <pt idx="1034">
                  <v>34638</v>
                </pt>
                <pt idx="1035">
                  <v>34645</v>
                </pt>
                <pt idx="1036">
                  <v>34652</v>
                </pt>
                <pt idx="1037">
                  <v>34659</v>
                </pt>
                <pt idx="1038">
                  <v>34666</v>
                </pt>
                <pt idx="1039">
                  <v>34673</v>
                </pt>
                <pt idx="1040">
                  <v>34680</v>
                </pt>
                <pt idx="1041">
                  <v>34687</v>
                </pt>
                <pt idx="1042">
                  <v>34694</v>
                </pt>
                <pt idx="1043">
                  <v>34701</v>
                </pt>
                <pt idx="1044">
                  <v>34708</v>
                </pt>
                <pt idx="1045">
                  <v>34715</v>
                </pt>
                <pt idx="1046">
                  <v>34722</v>
                </pt>
                <pt idx="1047">
                  <v>34729</v>
                </pt>
                <pt idx="1048">
                  <v>34736</v>
                </pt>
                <pt idx="1049">
                  <v>34743</v>
                </pt>
                <pt idx="1050">
                  <v>34750</v>
                </pt>
                <pt idx="1051">
                  <v>34757</v>
                </pt>
                <pt idx="1052">
                  <v>34764</v>
                </pt>
                <pt idx="1053">
                  <v>34771</v>
                </pt>
                <pt idx="1054">
                  <v>34778</v>
                </pt>
                <pt idx="1055">
                  <v>34785</v>
                </pt>
                <pt idx="1056">
                  <v>34792</v>
                </pt>
                <pt idx="1057">
                  <v>34799</v>
                </pt>
                <pt idx="1058">
                  <v>34806</v>
                </pt>
                <pt idx="1059">
                  <v>34813</v>
                </pt>
                <pt idx="1060">
                  <v>34820</v>
                </pt>
                <pt idx="1061">
                  <v>34827</v>
                </pt>
                <pt idx="1062">
                  <v>34834</v>
                </pt>
                <pt idx="1063">
                  <v>34841</v>
                </pt>
                <pt idx="1064">
                  <v>34848</v>
                </pt>
                <pt idx="1065">
                  <v>34855</v>
                </pt>
                <pt idx="1066">
                  <v>34862</v>
                </pt>
                <pt idx="1067">
                  <v>34869</v>
                </pt>
                <pt idx="1068">
                  <v>34876</v>
                </pt>
                <pt idx="1069">
                  <v>34883</v>
                </pt>
                <pt idx="1070">
                  <v>34890</v>
                </pt>
                <pt idx="1071">
                  <v>34897</v>
                </pt>
                <pt idx="1072">
                  <v>34904</v>
                </pt>
                <pt idx="1073">
                  <v>34911</v>
                </pt>
                <pt idx="1074">
                  <v>34918</v>
                </pt>
                <pt idx="1075">
                  <v>34925</v>
                </pt>
                <pt idx="1076">
                  <v>34932</v>
                </pt>
                <pt idx="1077">
                  <v>34939</v>
                </pt>
                <pt idx="1078">
                  <v>34946</v>
                </pt>
                <pt idx="1079">
                  <v>34953</v>
                </pt>
                <pt idx="1080">
                  <v>34960</v>
                </pt>
                <pt idx="1081">
                  <v>34967</v>
                </pt>
                <pt idx="1082">
                  <v>34974</v>
                </pt>
                <pt idx="1083">
                  <v>34981</v>
                </pt>
                <pt idx="1084">
                  <v>34988</v>
                </pt>
                <pt idx="1085">
                  <v>34995</v>
                </pt>
                <pt idx="1086">
                  <v>35002</v>
                </pt>
                <pt idx="1087">
                  <v>35009</v>
                </pt>
                <pt idx="1088">
                  <v>35016</v>
                </pt>
                <pt idx="1089">
                  <v>35023</v>
                </pt>
                <pt idx="1090">
                  <v>35030</v>
                </pt>
                <pt idx="1091">
                  <v>35037</v>
                </pt>
                <pt idx="1092">
                  <v>35044</v>
                </pt>
                <pt idx="1093">
                  <v>35051</v>
                </pt>
                <pt idx="1094">
                  <v>35058</v>
                </pt>
                <pt idx="1095">
                  <v>35065</v>
                </pt>
                <pt idx="1096">
                  <v>35072</v>
                </pt>
                <pt idx="1097">
                  <v>35079</v>
                </pt>
                <pt idx="1098">
                  <v>35086</v>
                </pt>
                <pt idx="1099">
                  <v>35093</v>
                </pt>
                <pt idx="1100">
                  <v>35100</v>
                </pt>
                <pt idx="1101">
                  <v>35107</v>
                </pt>
                <pt idx="1102">
                  <v>35114</v>
                </pt>
                <pt idx="1103">
                  <v>35121</v>
                </pt>
                <pt idx="1104">
                  <v>35128</v>
                </pt>
                <pt idx="1105">
                  <v>35135</v>
                </pt>
                <pt idx="1106">
                  <v>35142</v>
                </pt>
                <pt idx="1107">
                  <v>35149</v>
                </pt>
                <pt idx="1108">
                  <v>35156</v>
                </pt>
                <pt idx="1109">
                  <v>35163</v>
                </pt>
                <pt idx="1110">
                  <v>35170</v>
                </pt>
                <pt idx="1111">
                  <v>35177</v>
                </pt>
                <pt idx="1112">
                  <v>35184</v>
                </pt>
                <pt idx="1113">
                  <v>35191</v>
                </pt>
                <pt idx="1114">
                  <v>35198</v>
                </pt>
                <pt idx="1115">
                  <v>35205</v>
                </pt>
                <pt idx="1116">
                  <v>35212</v>
                </pt>
                <pt idx="1117">
                  <v>35219</v>
                </pt>
                <pt idx="1118">
                  <v>35226</v>
                </pt>
                <pt idx="1119">
                  <v>35233</v>
                </pt>
                <pt idx="1120">
                  <v>35240</v>
                </pt>
                <pt idx="1121">
                  <v>35247</v>
                </pt>
                <pt idx="1122">
                  <v>35254</v>
                </pt>
                <pt idx="1123">
                  <v>35261</v>
                </pt>
                <pt idx="1124">
                  <v>35268</v>
                </pt>
                <pt idx="1125">
                  <v>35275</v>
                </pt>
                <pt idx="1126">
                  <v>35282</v>
                </pt>
                <pt idx="1127">
                  <v>35289</v>
                </pt>
                <pt idx="1128">
                  <v>35296</v>
                </pt>
                <pt idx="1129">
                  <v>35303</v>
                </pt>
                <pt idx="1130">
                  <v>35310</v>
                </pt>
                <pt idx="1131">
                  <v>35317</v>
                </pt>
                <pt idx="1132">
                  <v>35324</v>
                </pt>
                <pt idx="1133">
                  <v>35331</v>
                </pt>
                <pt idx="1134">
                  <v>35338</v>
                </pt>
                <pt idx="1135">
                  <v>35345</v>
                </pt>
                <pt idx="1136">
                  <v>35352</v>
                </pt>
                <pt idx="1137">
                  <v>35359</v>
                </pt>
                <pt idx="1138">
                  <v>35366</v>
                </pt>
                <pt idx="1139">
                  <v>35373</v>
                </pt>
                <pt idx="1140">
                  <v>35380</v>
                </pt>
                <pt idx="1141">
                  <v>35387</v>
                </pt>
                <pt idx="1142">
                  <v>35394</v>
                </pt>
                <pt idx="1143">
                  <v>35401</v>
                </pt>
                <pt idx="1144">
                  <v>35408</v>
                </pt>
                <pt idx="1145">
                  <v>35415</v>
                </pt>
                <pt idx="1146">
                  <v>35422</v>
                </pt>
                <pt idx="1147">
                  <v>35429</v>
                </pt>
                <pt idx="1148">
                  <v>35436</v>
                </pt>
                <pt idx="1149">
                  <v>35443</v>
                </pt>
                <pt idx="1150">
                  <v>35450</v>
                </pt>
                <pt idx="1151">
                  <v>35457</v>
                </pt>
                <pt idx="1152">
                  <v>35464</v>
                </pt>
                <pt idx="1153">
                  <v>35471</v>
                </pt>
                <pt idx="1154">
                  <v>35478</v>
                </pt>
                <pt idx="1155">
                  <v>35485</v>
                </pt>
                <pt idx="1156">
                  <v>35492</v>
                </pt>
                <pt idx="1157">
                  <v>35499</v>
                </pt>
                <pt idx="1158">
                  <v>35506</v>
                </pt>
                <pt idx="1159">
                  <v>35513</v>
                </pt>
                <pt idx="1160">
                  <v>35520</v>
                </pt>
                <pt idx="1161">
                  <v>35527</v>
                </pt>
                <pt idx="1162">
                  <v>35534</v>
                </pt>
                <pt idx="1163">
                  <v>35541</v>
                </pt>
                <pt idx="1164">
                  <v>35548</v>
                </pt>
                <pt idx="1165">
                  <v>35555</v>
                </pt>
                <pt idx="1166">
                  <v>35562</v>
                </pt>
                <pt idx="1167">
                  <v>35569</v>
                </pt>
                <pt idx="1168">
                  <v>35576</v>
                </pt>
                <pt idx="1169">
                  <v>35583</v>
                </pt>
                <pt idx="1170">
                  <v>35590</v>
                </pt>
                <pt idx="1171">
                  <v>35597</v>
                </pt>
                <pt idx="1172">
                  <v>35604</v>
                </pt>
                <pt idx="1173">
                  <v>35611</v>
                </pt>
                <pt idx="1174">
                  <v>35618</v>
                </pt>
                <pt idx="1175">
                  <v>35625</v>
                </pt>
                <pt idx="1176">
                  <v>35632</v>
                </pt>
                <pt idx="1177">
                  <v>35639</v>
                </pt>
                <pt idx="1178">
                  <v>35646</v>
                </pt>
                <pt idx="1179">
                  <v>35653</v>
                </pt>
                <pt idx="1180">
                  <v>35660</v>
                </pt>
                <pt idx="1181">
                  <v>35667</v>
                </pt>
                <pt idx="1182">
                  <v>35674</v>
                </pt>
                <pt idx="1183">
                  <v>35681</v>
                </pt>
                <pt idx="1184">
                  <v>35688</v>
                </pt>
                <pt idx="1185">
                  <v>35695</v>
                </pt>
                <pt idx="1186">
                  <v>35702</v>
                </pt>
                <pt idx="1187">
                  <v>35709</v>
                </pt>
                <pt idx="1188">
                  <v>35716</v>
                </pt>
                <pt idx="1189">
                  <v>35723</v>
                </pt>
                <pt idx="1190">
                  <v>35730</v>
                </pt>
                <pt idx="1191">
                  <v>35737</v>
                </pt>
                <pt idx="1192">
                  <v>35744</v>
                </pt>
                <pt idx="1193">
                  <v>35751</v>
                </pt>
                <pt idx="1194">
                  <v>35758</v>
                </pt>
                <pt idx="1195">
                  <v>35765</v>
                </pt>
                <pt idx="1196">
                  <v>35772</v>
                </pt>
                <pt idx="1197">
                  <v>35779</v>
                </pt>
                <pt idx="1198">
                  <v>35786</v>
                </pt>
                <pt idx="1199">
                  <v>35793</v>
                </pt>
                <pt idx="1200">
                  <v>35800</v>
                </pt>
                <pt idx="1201">
                  <v>35807</v>
                </pt>
                <pt idx="1202">
                  <v>35814</v>
                </pt>
                <pt idx="1203">
                  <v>35821</v>
                </pt>
                <pt idx="1204">
                  <v>35828</v>
                </pt>
                <pt idx="1205">
                  <v>35835</v>
                </pt>
                <pt idx="1206">
                  <v>35842</v>
                </pt>
                <pt idx="1207">
                  <v>35849</v>
                </pt>
                <pt idx="1208">
                  <v>35856</v>
                </pt>
                <pt idx="1209">
                  <v>35863</v>
                </pt>
                <pt idx="1210">
                  <v>35870</v>
                </pt>
                <pt idx="1211">
                  <v>35877</v>
                </pt>
                <pt idx="1212">
                  <v>35884</v>
                </pt>
                <pt idx="1213">
                  <v>35891</v>
                </pt>
                <pt idx="1214">
                  <v>35898</v>
                </pt>
                <pt idx="1215">
                  <v>35905</v>
                </pt>
                <pt idx="1216">
                  <v>35912</v>
                </pt>
                <pt idx="1217">
                  <v>35919</v>
                </pt>
                <pt idx="1218">
                  <v>35926</v>
                </pt>
                <pt idx="1219">
                  <v>35933</v>
                </pt>
                <pt idx="1220">
                  <v>35940</v>
                </pt>
                <pt idx="1221">
                  <v>35947</v>
                </pt>
                <pt idx="1222">
                  <v>35954</v>
                </pt>
                <pt idx="1223">
                  <v>35961</v>
                </pt>
                <pt idx="1224">
                  <v>35968</v>
                </pt>
                <pt idx="1225">
                  <v>35975</v>
                </pt>
                <pt idx="1226">
                  <v>35982</v>
                </pt>
                <pt idx="1227">
                  <v>35989</v>
                </pt>
                <pt idx="1228">
                  <v>35996</v>
                </pt>
                <pt idx="1229">
                  <v>36003</v>
                </pt>
                <pt idx="1230">
                  <v>36010</v>
                </pt>
                <pt idx="1231">
                  <v>36017</v>
                </pt>
                <pt idx="1232">
                  <v>36024</v>
                </pt>
                <pt idx="1233">
                  <v>36031</v>
                </pt>
                <pt idx="1234">
                  <v>36038</v>
                </pt>
                <pt idx="1235">
                  <v>36045</v>
                </pt>
                <pt idx="1236">
                  <v>36052</v>
                </pt>
                <pt idx="1237">
                  <v>36059</v>
                </pt>
                <pt idx="1238">
                  <v>36066</v>
                </pt>
                <pt idx="1239">
                  <v>36073</v>
                </pt>
                <pt idx="1240">
                  <v>36080</v>
                </pt>
                <pt idx="1241">
                  <v>36087</v>
                </pt>
                <pt idx="1242">
                  <v>36094</v>
                </pt>
                <pt idx="1243">
                  <v>36101</v>
                </pt>
                <pt idx="1244">
                  <v>36108</v>
                </pt>
                <pt idx="1245">
                  <v>36115</v>
                </pt>
                <pt idx="1246">
                  <v>36122</v>
                </pt>
                <pt idx="1247">
                  <v>36129</v>
                </pt>
                <pt idx="1248">
                  <v>36136</v>
                </pt>
                <pt idx="1249">
                  <v>36143</v>
                </pt>
                <pt idx="1250">
                  <v>36150</v>
                </pt>
                <pt idx="1251">
                  <v>36157</v>
                </pt>
                <pt idx="1252">
                  <v>36164</v>
                </pt>
                <pt idx="1253">
                  <v>36171</v>
                </pt>
                <pt idx="1254">
                  <v>36178</v>
                </pt>
                <pt idx="1255">
                  <v>36185</v>
                </pt>
                <pt idx="1256">
                  <v>36192</v>
                </pt>
                <pt idx="1257">
                  <v>36199</v>
                </pt>
                <pt idx="1258">
                  <v>36206</v>
                </pt>
                <pt idx="1259">
                  <v>36213</v>
                </pt>
                <pt idx="1260">
                  <v>36220</v>
                </pt>
                <pt idx="1261">
                  <v>36227</v>
                </pt>
                <pt idx="1262">
                  <v>36234</v>
                </pt>
                <pt idx="1263">
                  <v>36241</v>
                </pt>
                <pt idx="1264">
                  <v>36248</v>
                </pt>
                <pt idx="1265">
                  <v>36255</v>
                </pt>
                <pt idx="1266">
                  <v>36262</v>
                </pt>
                <pt idx="1267">
                  <v>36269</v>
                </pt>
                <pt idx="1268">
                  <v>36276</v>
                </pt>
                <pt idx="1269">
                  <v>36283</v>
                </pt>
                <pt idx="1270">
                  <v>36290</v>
                </pt>
                <pt idx="1271">
                  <v>36297</v>
                </pt>
                <pt idx="1272">
                  <v>36304</v>
                </pt>
                <pt idx="1273">
                  <v>36311</v>
                </pt>
                <pt idx="1274">
                  <v>36318</v>
                </pt>
                <pt idx="1275">
                  <v>36325</v>
                </pt>
                <pt idx="1276">
                  <v>36332</v>
                </pt>
                <pt idx="1277">
                  <v>36339</v>
                </pt>
                <pt idx="1278">
                  <v>36346</v>
                </pt>
                <pt idx="1279">
                  <v>36353</v>
                </pt>
                <pt idx="1280">
                  <v>36360</v>
                </pt>
                <pt idx="1281">
                  <v>36367</v>
                </pt>
                <pt idx="1282">
                  <v>36374</v>
                </pt>
                <pt idx="1283">
                  <v>36381</v>
                </pt>
                <pt idx="1284">
                  <v>36388</v>
                </pt>
                <pt idx="1285">
                  <v>36395</v>
                </pt>
                <pt idx="1286">
                  <v>36402</v>
                </pt>
                <pt idx="1287">
                  <v>36409</v>
                </pt>
                <pt idx="1288">
                  <v>36416</v>
                </pt>
                <pt idx="1289">
                  <v>36423</v>
                </pt>
                <pt idx="1290">
                  <v>36430</v>
                </pt>
                <pt idx="1291">
                  <v>36437</v>
                </pt>
                <pt idx="1292">
                  <v>36444</v>
                </pt>
                <pt idx="1293">
                  <v>36451</v>
                </pt>
                <pt idx="1294">
                  <v>36458</v>
                </pt>
                <pt idx="1295">
                  <v>36465</v>
                </pt>
                <pt idx="1296">
                  <v>36472</v>
                </pt>
                <pt idx="1297">
                  <v>36479</v>
                </pt>
                <pt idx="1298">
                  <v>36486</v>
                </pt>
                <pt idx="1299">
                  <v>36493</v>
                </pt>
                <pt idx="1300">
                  <v>36500</v>
                </pt>
                <pt idx="1301">
                  <v>36507</v>
                </pt>
                <pt idx="1302">
                  <v>36514</v>
                </pt>
                <pt idx="1303">
                  <v>36521</v>
                </pt>
                <pt idx="1304">
                  <v>36528</v>
                </pt>
                <pt idx="1305">
                  <v>36535</v>
                </pt>
                <pt idx="1306">
                  <v>36542</v>
                </pt>
                <pt idx="1307">
                  <v>36549</v>
                </pt>
                <pt idx="1308">
                  <v>36556</v>
                </pt>
                <pt idx="1309">
                  <v>36563</v>
                </pt>
                <pt idx="1310">
                  <v>36570</v>
                </pt>
                <pt idx="1311">
                  <v>36577</v>
                </pt>
                <pt idx="1312">
                  <v>36584</v>
                </pt>
                <pt idx="1313">
                  <v>36591</v>
                </pt>
                <pt idx="1314">
                  <v>36598</v>
                </pt>
                <pt idx="1315">
                  <v>36605</v>
                </pt>
                <pt idx="1316">
                  <v>36612</v>
                </pt>
                <pt idx="1317">
                  <v>36619</v>
                </pt>
                <pt idx="1318">
                  <v>36626</v>
                </pt>
                <pt idx="1319">
                  <v>36633</v>
                </pt>
                <pt idx="1320">
                  <v>36640</v>
                </pt>
                <pt idx="1321">
                  <v>36647</v>
                </pt>
                <pt idx="1322">
                  <v>36654</v>
                </pt>
                <pt idx="1323">
                  <v>36661</v>
                </pt>
                <pt idx="1324">
                  <v>36668</v>
                </pt>
                <pt idx="1325">
                  <v>36675</v>
                </pt>
                <pt idx="1326">
                  <v>36682</v>
                </pt>
                <pt idx="1327">
                  <v>36689</v>
                </pt>
                <pt idx="1328">
                  <v>36696</v>
                </pt>
                <pt idx="1329">
                  <v>36703</v>
                </pt>
                <pt idx="1330">
                  <v>36710</v>
                </pt>
                <pt idx="1331">
                  <v>36717</v>
                </pt>
                <pt idx="1332">
                  <v>36724</v>
                </pt>
                <pt idx="1333">
                  <v>36731</v>
                </pt>
                <pt idx="1334">
                  <v>36738</v>
                </pt>
                <pt idx="1335">
                  <v>36745</v>
                </pt>
                <pt idx="1336">
                  <v>36752</v>
                </pt>
                <pt idx="1337">
                  <v>36759</v>
                </pt>
                <pt idx="1338">
                  <v>36766</v>
                </pt>
                <pt idx="1339">
                  <v>36773</v>
                </pt>
                <pt idx="1340">
                  <v>36780</v>
                </pt>
                <pt idx="1341">
                  <v>36787</v>
                </pt>
                <pt idx="1342">
                  <v>36794</v>
                </pt>
                <pt idx="1343">
                  <v>36801</v>
                </pt>
                <pt idx="1344">
                  <v>36808</v>
                </pt>
                <pt idx="1345">
                  <v>36815</v>
                </pt>
                <pt idx="1346">
                  <v>36822</v>
                </pt>
                <pt idx="1347">
                  <v>36829</v>
                </pt>
                <pt idx="1348">
                  <v>36836</v>
                </pt>
                <pt idx="1349">
                  <v>36843</v>
                </pt>
                <pt idx="1350">
                  <v>36850</v>
                </pt>
                <pt idx="1351">
                  <v>36857</v>
                </pt>
                <pt idx="1352">
                  <v>36864</v>
                </pt>
                <pt idx="1353">
                  <v>36871</v>
                </pt>
                <pt idx="1354">
                  <v>36878</v>
                </pt>
                <pt idx="1355">
                  <v>36885</v>
                </pt>
                <pt idx="1356">
                  <v>36892</v>
                </pt>
                <pt idx="1357">
                  <v>36899</v>
                </pt>
                <pt idx="1358">
                  <v>36906</v>
                </pt>
                <pt idx="1359">
                  <v>36913</v>
                </pt>
                <pt idx="1360">
                  <v>36920</v>
                </pt>
                <pt idx="1361">
                  <v>36927</v>
                </pt>
                <pt idx="1362">
                  <v>36934</v>
                </pt>
                <pt idx="1363">
                  <v>36941</v>
                </pt>
                <pt idx="1364">
                  <v>36948</v>
                </pt>
                <pt idx="1365">
                  <v>36955</v>
                </pt>
                <pt idx="1366">
                  <v>36962</v>
                </pt>
                <pt idx="1367">
                  <v>36969</v>
                </pt>
                <pt idx="1368">
                  <v>36976</v>
                </pt>
                <pt idx="1369">
                  <v>36983</v>
                </pt>
                <pt idx="1370">
                  <v>36990</v>
                </pt>
                <pt idx="1371">
                  <v>36997</v>
                </pt>
                <pt idx="1372">
                  <v>37004</v>
                </pt>
                <pt idx="1373">
                  <v>37011</v>
                </pt>
                <pt idx="1374">
                  <v>37018</v>
                </pt>
                <pt idx="1375">
                  <v>37025</v>
                </pt>
                <pt idx="1376">
                  <v>37032</v>
                </pt>
                <pt idx="1377">
                  <v>37039</v>
                </pt>
                <pt idx="1378">
                  <v>37046</v>
                </pt>
                <pt idx="1379">
                  <v>37053</v>
                </pt>
                <pt idx="1380">
                  <v>37060</v>
                </pt>
                <pt idx="1381">
                  <v>37067</v>
                </pt>
                <pt idx="1382">
                  <v>37074</v>
                </pt>
                <pt idx="1383">
                  <v>37081</v>
                </pt>
                <pt idx="1384">
                  <v>37088</v>
                </pt>
                <pt idx="1385">
                  <v>37095</v>
                </pt>
                <pt idx="1386">
                  <v>37102</v>
                </pt>
                <pt idx="1387">
                  <v>37109</v>
                </pt>
                <pt idx="1388">
                  <v>37116</v>
                </pt>
                <pt idx="1389">
                  <v>37123</v>
                </pt>
                <pt idx="1390">
                  <v>37130</v>
                </pt>
                <pt idx="1391">
                  <v>37137</v>
                </pt>
                <pt idx="1392">
                  <v>37144</v>
                </pt>
                <pt idx="1393">
                  <v>37151</v>
                </pt>
                <pt idx="1394">
                  <v>37158</v>
                </pt>
                <pt idx="1395">
                  <v>37165</v>
                </pt>
                <pt idx="1396">
                  <v>37172</v>
                </pt>
                <pt idx="1397">
                  <v>37179</v>
                </pt>
                <pt idx="1398">
                  <v>37186</v>
                </pt>
                <pt idx="1399">
                  <v>37193</v>
                </pt>
                <pt idx="1400">
                  <v>37200</v>
                </pt>
                <pt idx="1401">
                  <v>37207</v>
                </pt>
                <pt idx="1402">
                  <v>37214</v>
                </pt>
                <pt idx="1403">
                  <v>37221</v>
                </pt>
                <pt idx="1404">
                  <v>37228</v>
                </pt>
                <pt idx="1405">
                  <v>37235</v>
                </pt>
                <pt idx="1406">
                  <v>37242</v>
                </pt>
                <pt idx="1407">
                  <v>37249</v>
                </pt>
                <pt idx="1408">
                  <v>37256</v>
                </pt>
                <pt idx="1409">
                  <v>37263</v>
                </pt>
                <pt idx="1410">
                  <v>37270</v>
                </pt>
                <pt idx="1411">
                  <v>37277</v>
                </pt>
                <pt idx="1412">
                  <v>37284</v>
                </pt>
                <pt idx="1413">
                  <v>37291</v>
                </pt>
                <pt idx="1414">
                  <v>37298</v>
                </pt>
                <pt idx="1415">
                  <v>37305</v>
                </pt>
                <pt idx="1416">
                  <v>37312</v>
                </pt>
                <pt idx="1417">
                  <v>37319</v>
                </pt>
                <pt idx="1418">
                  <v>37326</v>
                </pt>
                <pt idx="1419">
                  <v>37333</v>
                </pt>
                <pt idx="1420">
                  <v>37340</v>
                </pt>
                <pt idx="1421">
                  <v>37347</v>
                </pt>
                <pt idx="1422">
                  <v>37354</v>
                </pt>
                <pt idx="1423">
                  <v>37361</v>
                </pt>
                <pt idx="1424">
                  <v>37368</v>
                </pt>
                <pt idx="1425">
                  <v>37375</v>
                </pt>
                <pt idx="1426">
                  <v>37382</v>
                </pt>
                <pt idx="1427">
                  <v>37389</v>
                </pt>
                <pt idx="1428">
                  <v>37396</v>
                </pt>
                <pt idx="1429">
                  <v>37403</v>
                </pt>
                <pt idx="1430">
                  <v>37410</v>
                </pt>
                <pt idx="1431">
                  <v>37417</v>
                </pt>
                <pt idx="1432">
                  <v>37424</v>
                </pt>
                <pt idx="1433">
                  <v>37431</v>
                </pt>
                <pt idx="1434">
                  <v>37438</v>
                </pt>
                <pt idx="1435">
                  <v>37445</v>
                </pt>
                <pt idx="1436">
                  <v>37452</v>
                </pt>
                <pt idx="1437">
                  <v>37459</v>
                </pt>
                <pt idx="1438">
                  <v>37466</v>
                </pt>
                <pt idx="1439">
                  <v>37473</v>
                </pt>
                <pt idx="1440">
                  <v>37480</v>
                </pt>
                <pt idx="1441">
                  <v>37487</v>
                </pt>
                <pt idx="1442">
                  <v>37494</v>
                </pt>
                <pt idx="1443">
                  <v>37501</v>
                </pt>
                <pt idx="1444">
                  <v>37508</v>
                </pt>
                <pt idx="1445">
                  <v>37515</v>
                </pt>
                <pt idx="1446">
                  <v>37522</v>
                </pt>
                <pt idx="1447">
                  <v>37529</v>
                </pt>
                <pt idx="1448">
                  <v>37536</v>
                </pt>
                <pt idx="1449">
                  <v>37543</v>
                </pt>
                <pt idx="1450">
                  <v>37550</v>
                </pt>
                <pt idx="1451">
                  <v>37557</v>
                </pt>
                <pt idx="1452">
                  <v>37564</v>
                </pt>
                <pt idx="1453">
                  <v>37571</v>
                </pt>
                <pt idx="1454">
                  <v>37578</v>
                </pt>
                <pt idx="1455">
                  <v>37585</v>
                </pt>
                <pt idx="1456">
                  <v>37592</v>
                </pt>
                <pt idx="1457">
                  <v>37599</v>
                </pt>
                <pt idx="1458">
                  <v>37606</v>
                </pt>
                <pt idx="1459">
                  <v>37613</v>
                </pt>
                <pt idx="1460">
                  <v>37620</v>
                </pt>
                <pt idx="1461">
                  <v>37627</v>
                </pt>
                <pt idx="1462">
                  <v>37634</v>
                </pt>
                <pt idx="1463">
                  <v>37641</v>
                </pt>
                <pt idx="1464">
                  <v>37648</v>
                </pt>
                <pt idx="1465">
                  <v>37655</v>
                </pt>
                <pt idx="1466">
                  <v>37662</v>
                </pt>
                <pt idx="1467">
                  <v>37669</v>
                </pt>
                <pt idx="1468">
                  <v>37676</v>
                </pt>
                <pt idx="1469">
                  <v>37683</v>
                </pt>
                <pt idx="1470">
                  <v>37690</v>
                </pt>
                <pt idx="1471">
                  <v>37697</v>
                </pt>
                <pt idx="1472">
                  <v>37704</v>
                </pt>
                <pt idx="1473">
                  <v>37711</v>
                </pt>
                <pt idx="1474">
                  <v>37718</v>
                </pt>
                <pt idx="1475">
                  <v>37725</v>
                </pt>
                <pt idx="1476">
                  <v>37732</v>
                </pt>
                <pt idx="1477">
                  <v>37739</v>
                </pt>
                <pt idx="1478">
                  <v>37746</v>
                </pt>
                <pt idx="1479">
                  <v>37753</v>
                </pt>
                <pt idx="1480">
                  <v>37760</v>
                </pt>
                <pt idx="1481">
                  <v>37767</v>
                </pt>
                <pt idx="1482">
                  <v>37774</v>
                </pt>
                <pt idx="1483">
                  <v>37781</v>
                </pt>
                <pt idx="1484">
                  <v>37788</v>
                </pt>
                <pt idx="1485">
                  <v>37795</v>
                </pt>
                <pt idx="1486">
                  <v>37802</v>
                </pt>
                <pt idx="1487">
                  <v>37809</v>
                </pt>
                <pt idx="1488">
                  <v>37816</v>
                </pt>
                <pt idx="1489">
                  <v>37823</v>
                </pt>
                <pt idx="1490">
                  <v>37830</v>
                </pt>
                <pt idx="1491">
                  <v>37837</v>
                </pt>
                <pt idx="1492">
                  <v>37844</v>
                </pt>
                <pt idx="1493">
                  <v>37851</v>
                </pt>
                <pt idx="1494">
                  <v>37858</v>
                </pt>
                <pt idx="1495">
                  <v>37865</v>
                </pt>
                <pt idx="1496">
                  <v>37872</v>
                </pt>
                <pt idx="1497">
                  <v>37879</v>
                </pt>
                <pt idx="1498">
                  <v>37886</v>
                </pt>
                <pt idx="1499">
                  <v>37893</v>
                </pt>
                <pt idx="1500">
                  <v>37900</v>
                </pt>
                <pt idx="1501">
                  <v>37907</v>
                </pt>
                <pt idx="1502">
                  <v>37914</v>
                </pt>
                <pt idx="1503">
                  <v>37921</v>
                </pt>
                <pt idx="1504">
                  <v>37928</v>
                </pt>
                <pt idx="1505">
                  <v>37935</v>
                </pt>
                <pt idx="1506">
                  <v>37942</v>
                </pt>
                <pt idx="1507">
                  <v>37949</v>
                </pt>
                <pt idx="1508">
                  <v>37956</v>
                </pt>
                <pt idx="1509">
                  <v>37963</v>
                </pt>
                <pt idx="1510">
                  <v>37970</v>
                </pt>
                <pt idx="1511">
                  <v>37977</v>
                </pt>
                <pt idx="1512">
                  <v>37984</v>
                </pt>
                <pt idx="1513">
                  <v>37991</v>
                </pt>
                <pt idx="1514">
                  <v>37998</v>
                </pt>
                <pt idx="1515">
                  <v>38005</v>
                </pt>
                <pt idx="1516">
                  <v>38012</v>
                </pt>
                <pt idx="1517">
                  <v>38019</v>
                </pt>
                <pt idx="1518">
                  <v>38026</v>
                </pt>
                <pt idx="1519">
                  <v>38033</v>
                </pt>
                <pt idx="1520">
                  <v>38040</v>
                </pt>
                <pt idx="1521">
                  <v>38047</v>
                </pt>
                <pt idx="1522">
                  <v>38054</v>
                </pt>
                <pt idx="1523">
                  <v>38061</v>
                </pt>
                <pt idx="1524">
                  <v>38068</v>
                </pt>
                <pt idx="1525">
                  <v>38075</v>
                </pt>
                <pt idx="1526">
                  <v>38082</v>
                </pt>
                <pt idx="1527">
                  <v>38089</v>
                </pt>
                <pt idx="1528">
                  <v>38096</v>
                </pt>
                <pt idx="1529">
                  <v>38103</v>
                </pt>
                <pt idx="1530">
                  <v>38110</v>
                </pt>
                <pt idx="1531">
                  <v>38117</v>
                </pt>
                <pt idx="1532">
                  <v>38124</v>
                </pt>
                <pt idx="1533">
                  <v>38131</v>
                </pt>
                <pt idx="1534">
                  <v>38138</v>
                </pt>
                <pt idx="1535">
                  <v>38145</v>
                </pt>
                <pt idx="1536">
                  <v>38152</v>
                </pt>
                <pt idx="1537">
                  <v>38159</v>
                </pt>
                <pt idx="1538">
                  <v>38166</v>
                </pt>
                <pt idx="1539">
                  <v>38173</v>
                </pt>
                <pt idx="1540">
                  <v>38180</v>
                </pt>
                <pt idx="1541">
                  <v>38187</v>
                </pt>
                <pt idx="1542">
                  <v>38194</v>
                </pt>
                <pt idx="1543">
                  <v>38201</v>
                </pt>
                <pt idx="1544">
                  <v>38208</v>
                </pt>
                <pt idx="1545">
                  <v>38215</v>
                </pt>
                <pt idx="1546">
                  <v>38222</v>
                </pt>
                <pt idx="1547">
                  <v>38229</v>
                </pt>
                <pt idx="1548">
                  <v>38236</v>
                </pt>
                <pt idx="1549">
                  <v>38243</v>
                </pt>
                <pt idx="1550">
                  <v>38250</v>
                </pt>
                <pt idx="1551">
                  <v>38257</v>
                </pt>
                <pt idx="1552">
                  <v>38264</v>
                </pt>
                <pt idx="1553">
                  <v>38271</v>
                </pt>
                <pt idx="1554">
                  <v>38278</v>
                </pt>
                <pt idx="1555">
                  <v>38285</v>
                </pt>
                <pt idx="1556">
                  <v>38292</v>
                </pt>
                <pt idx="1557">
                  <v>38299</v>
                </pt>
                <pt idx="1558">
                  <v>38306</v>
                </pt>
                <pt idx="1559">
                  <v>38313</v>
                </pt>
                <pt idx="1560">
                  <v>38320</v>
                </pt>
                <pt idx="1561">
                  <v>38327</v>
                </pt>
                <pt idx="1562">
                  <v>38334</v>
                </pt>
                <pt idx="1563">
                  <v>38341</v>
                </pt>
                <pt idx="1564">
                  <v>38348</v>
                </pt>
                <pt idx="1565">
                  <v>38355</v>
                </pt>
                <pt idx="1566">
                  <v>38362</v>
                </pt>
                <pt idx="1567">
                  <v>38369</v>
                </pt>
                <pt idx="1568">
                  <v>38376</v>
                </pt>
                <pt idx="1569">
                  <v>38383</v>
                </pt>
                <pt idx="1570">
                  <v>38390</v>
                </pt>
                <pt idx="1571">
                  <v>38397</v>
                </pt>
                <pt idx="1572">
                  <v>38404</v>
                </pt>
                <pt idx="1573">
                  <v>38411</v>
                </pt>
                <pt idx="1574">
                  <v>38418</v>
                </pt>
                <pt idx="1575">
                  <v>38425</v>
                </pt>
                <pt idx="1576">
                  <v>38432</v>
                </pt>
                <pt idx="1577">
                  <v>38439</v>
                </pt>
                <pt idx="1578">
                  <v>38446</v>
                </pt>
                <pt idx="1579">
                  <v>38453</v>
                </pt>
                <pt idx="1580">
                  <v>38460</v>
                </pt>
                <pt idx="1581">
                  <v>38467</v>
                </pt>
                <pt idx="1582">
                  <v>38474</v>
                </pt>
                <pt idx="1583">
                  <v>38481</v>
                </pt>
                <pt idx="1584">
                  <v>38488</v>
                </pt>
                <pt idx="1585">
                  <v>38495</v>
                </pt>
                <pt idx="1586">
                  <v>38502</v>
                </pt>
                <pt idx="1587">
                  <v>38509</v>
                </pt>
                <pt idx="1588">
                  <v>38516</v>
                </pt>
                <pt idx="1589">
                  <v>38523</v>
                </pt>
                <pt idx="1590">
                  <v>38530</v>
                </pt>
                <pt idx="1591">
                  <v>38537</v>
                </pt>
                <pt idx="1592">
                  <v>38544</v>
                </pt>
                <pt idx="1593">
                  <v>38551</v>
                </pt>
                <pt idx="1594">
                  <v>38558</v>
                </pt>
                <pt idx="1595">
                  <v>38565</v>
                </pt>
                <pt idx="1596">
                  <v>38572</v>
                </pt>
                <pt idx="1597">
                  <v>38579</v>
                </pt>
                <pt idx="1598">
                  <v>38586</v>
                </pt>
                <pt idx="1599">
                  <v>38593</v>
                </pt>
                <pt idx="1600">
                  <v>38600</v>
                </pt>
                <pt idx="1601">
                  <v>38607</v>
                </pt>
                <pt idx="1602">
                  <v>38614</v>
                </pt>
                <pt idx="1603">
                  <v>38621</v>
                </pt>
                <pt idx="1604">
                  <v>38628</v>
                </pt>
                <pt idx="1605">
                  <v>38635</v>
                </pt>
                <pt idx="1606">
                  <v>38642</v>
                </pt>
                <pt idx="1607">
                  <v>38649</v>
                </pt>
                <pt idx="1608">
                  <v>38656</v>
                </pt>
                <pt idx="1609">
                  <v>38663</v>
                </pt>
                <pt idx="1610">
                  <v>38670</v>
                </pt>
                <pt idx="1611">
                  <v>38677</v>
                </pt>
                <pt idx="1612">
                  <v>38684</v>
                </pt>
                <pt idx="1613">
                  <v>38691</v>
                </pt>
                <pt idx="1614">
                  <v>38698</v>
                </pt>
                <pt idx="1615">
                  <v>38705</v>
                </pt>
                <pt idx="1616">
                  <v>38712</v>
                </pt>
                <pt idx="1617">
                  <v>38719</v>
                </pt>
                <pt idx="1618">
                  <v>38726</v>
                </pt>
                <pt idx="1619">
                  <v>38733</v>
                </pt>
                <pt idx="1620">
                  <v>38740</v>
                </pt>
                <pt idx="1621">
                  <v>38747</v>
                </pt>
                <pt idx="1622">
                  <v>38754</v>
                </pt>
                <pt idx="1623">
                  <v>38761</v>
                </pt>
                <pt idx="1624">
                  <v>38768</v>
                </pt>
                <pt idx="1625">
                  <v>38775</v>
                </pt>
                <pt idx="1626">
                  <v>38782</v>
                </pt>
                <pt idx="1627">
                  <v>38789</v>
                </pt>
                <pt idx="1628">
                  <v>38796</v>
                </pt>
                <pt idx="1629">
                  <v>38803</v>
                </pt>
                <pt idx="1630">
                  <v>38810</v>
                </pt>
                <pt idx="1631">
                  <v>38817</v>
                </pt>
                <pt idx="1632">
                  <v>38824</v>
                </pt>
                <pt idx="1633">
                  <v>38831</v>
                </pt>
                <pt idx="1634">
                  <v>38838</v>
                </pt>
                <pt idx="1635">
                  <v>38845</v>
                </pt>
                <pt idx="1636">
                  <v>38852</v>
                </pt>
                <pt idx="1637">
                  <v>38859</v>
                </pt>
                <pt idx="1638">
                  <v>38866</v>
                </pt>
                <pt idx="1639">
                  <v>38873</v>
                </pt>
                <pt idx="1640">
                  <v>38880</v>
                </pt>
                <pt idx="1641">
                  <v>38887</v>
                </pt>
                <pt idx="1642">
                  <v>38894</v>
                </pt>
                <pt idx="1643">
                  <v>38901</v>
                </pt>
                <pt idx="1644">
                  <v>38908</v>
                </pt>
                <pt idx="1645">
                  <v>38915</v>
                </pt>
                <pt idx="1646">
                  <v>38922</v>
                </pt>
                <pt idx="1647">
                  <v>38929</v>
                </pt>
                <pt idx="1648">
                  <v>38936</v>
                </pt>
                <pt idx="1649">
                  <v>38943</v>
                </pt>
                <pt idx="1650">
                  <v>38950</v>
                </pt>
                <pt idx="1651">
                  <v>38957</v>
                </pt>
                <pt idx="1652">
                  <v>38964</v>
                </pt>
                <pt idx="1653">
                  <v>38971</v>
                </pt>
                <pt idx="1654">
                  <v>38978</v>
                </pt>
                <pt idx="1655">
                  <v>38985</v>
                </pt>
                <pt idx="1656">
                  <v>38992</v>
                </pt>
                <pt idx="1657">
                  <v>38999</v>
                </pt>
                <pt idx="1658">
                  <v>39006</v>
                </pt>
                <pt idx="1659">
                  <v>39013</v>
                </pt>
                <pt idx="1660">
                  <v>39020</v>
                </pt>
                <pt idx="1661">
                  <v>39027</v>
                </pt>
                <pt idx="1662">
                  <v>39034</v>
                </pt>
                <pt idx="1663">
                  <v>39041</v>
                </pt>
                <pt idx="1664">
                  <v>39048</v>
                </pt>
                <pt idx="1665">
                  <v>39055</v>
                </pt>
                <pt idx="1666">
                  <v>39062</v>
                </pt>
                <pt idx="1667">
                  <v>39069</v>
                </pt>
                <pt idx="1668">
                  <v>39076</v>
                </pt>
                <pt idx="1669">
                  <v>39083</v>
                </pt>
                <pt idx="1670">
                  <v>39090</v>
                </pt>
                <pt idx="1671">
                  <v>39097</v>
                </pt>
                <pt idx="1672">
                  <v>39104</v>
                </pt>
                <pt idx="1673">
                  <v>39111</v>
                </pt>
                <pt idx="1674">
                  <v>39118</v>
                </pt>
                <pt idx="1675">
                  <v>39125</v>
                </pt>
                <pt idx="1676">
                  <v>39132</v>
                </pt>
                <pt idx="1677">
                  <v>39139</v>
                </pt>
                <pt idx="1678">
                  <v>39146</v>
                </pt>
                <pt idx="1679">
                  <v>39153</v>
                </pt>
                <pt idx="1680">
                  <v>39160</v>
                </pt>
                <pt idx="1681">
                  <v>39167</v>
                </pt>
                <pt idx="1682">
                  <v>39174</v>
                </pt>
                <pt idx="1683">
                  <v>39181</v>
                </pt>
                <pt idx="1684">
                  <v>39188</v>
                </pt>
                <pt idx="1685">
                  <v>39195</v>
                </pt>
                <pt idx="1686">
                  <v>39202</v>
                </pt>
                <pt idx="1687">
                  <v>39209</v>
                </pt>
                <pt idx="1688">
                  <v>39216</v>
                </pt>
                <pt idx="1689">
                  <v>39223</v>
                </pt>
                <pt idx="1690">
                  <v>39230</v>
                </pt>
                <pt idx="1691">
                  <v>39237</v>
                </pt>
                <pt idx="1692">
                  <v>39244</v>
                </pt>
                <pt idx="1693">
                  <v>39251</v>
                </pt>
                <pt idx="1694">
                  <v>39258</v>
                </pt>
                <pt idx="1695">
                  <v>39265</v>
                </pt>
                <pt idx="1696">
                  <v>39272</v>
                </pt>
                <pt idx="1697">
                  <v>39279</v>
                </pt>
                <pt idx="1698">
                  <v>39286</v>
                </pt>
                <pt idx="1699">
                  <v>39293</v>
                </pt>
                <pt idx="1700">
                  <v>39300</v>
                </pt>
                <pt idx="1701">
                  <v>39307</v>
                </pt>
                <pt idx="1702">
                  <v>39314</v>
                </pt>
                <pt idx="1703">
                  <v>39321</v>
                </pt>
                <pt idx="1704">
                  <v>39328</v>
                </pt>
                <pt idx="1705">
                  <v>39335</v>
                </pt>
                <pt idx="1706">
                  <v>39342</v>
                </pt>
                <pt idx="1707">
                  <v>39349</v>
                </pt>
                <pt idx="1708">
                  <v>39356</v>
                </pt>
                <pt idx="1709">
                  <v>39363</v>
                </pt>
                <pt idx="1710">
                  <v>39370</v>
                </pt>
                <pt idx="1711">
                  <v>39377</v>
                </pt>
                <pt idx="1712">
                  <v>39384</v>
                </pt>
                <pt idx="1713">
                  <v>39391</v>
                </pt>
                <pt idx="1714">
                  <v>39398</v>
                </pt>
                <pt idx="1715">
                  <v>39405</v>
                </pt>
                <pt idx="1716">
                  <v>39412</v>
                </pt>
                <pt idx="1717">
                  <v>39419</v>
                </pt>
                <pt idx="1718">
                  <v>39426</v>
                </pt>
                <pt idx="1719">
                  <v>39433</v>
                </pt>
                <pt idx="1720">
                  <v>39440</v>
                </pt>
                <pt idx="1721">
                  <v>39447</v>
                </pt>
                <pt idx="1722">
                  <v>39454</v>
                </pt>
                <pt idx="1723">
                  <v>39461</v>
                </pt>
                <pt idx="1724">
                  <v>39468</v>
                </pt>
                <pt idx="1725">
                  <v>39475</v>
                </pt>
                <pt idx="1726">
                  <v>39482</v>
                </pt>
                <pt idx="1727">
                  <v>39489</v>
                </pt>
                <pt idx="1728">
                  <v>39496</v>
                </pt>
                <pt idx="1729">
                  <v>39503</v>
                </pt>
                <pt idx="1730">
                  <v>39510</v>
                </pt>
                <pt idx="1731">
                  <v>39517</v>
                </pt>
                <pt idx="1732">
                  <v>39524</v>
                </pt>
                <pt idx="1733">
                  <v>39531</v>
                </pt>
                <pt idx="1734">
                  <v>39538</v>
                </pt>
                <pt idx="1735">
                  <v>39545</v>
                </pt>
                <pt idx="1736">
                  <v>39552</v>
                </pt>
                <pt idx="1737">
                  <v>39559</v>
                </pt>
                <pt idx="1738">
                  <v>39566</v>
                </pt>
                <pt idx="1739">
                  <v>39573</v>
                </pt>
                <pt idx="1740">
                  <v>39580</v>
                </pt>
                <pt idx="1741">
                  <v>39587</v>
                </pt>
                <pt idx="1742">
                  <v>39594</v>
                </pt>
                <pt idx="1743">
                  <v>39601</v>
                </pt>
                <pt idx="1744">
                  <v>39608</v>
                </pt>
                <pt idx="1745">
                  <v>39615</v>
                </pt>
                <pt idx="1746">
                  <v>39622</v>
                </pt>
                <pt idx="1747">
                  <v>39629</v>
                </pt>
                <pt idx="1748">
                  <v>39636</v>
                </pt>
                <pt idx="1749">
                  <v>39643</v>
                </pt>
                <pt idx="1750">
                  <v>39650</v>
                </pt>
                <pt idx="1751">
                  <v>39657</v>
                </pt>
                <pt idx="1752">
                  <v>39664</v>
                </pt>
                <pt idx="1753">
                  <v>39671</v>
                </pt>
                <pt idx="1754">
                  <v>39678</v>
                </pt>
                <pt idx="1755">
                  <v>39685</v>
                </pt>
                <pt idx="1756">
                  <v>39692</v>
                </pt>
                <pt idx="1757">
                  <v>39699</v>
                </pt>
                <pt idx="1758">
                  <v>39706</v>
                </pt>
                <pt idx="1759">
                  <v>39713</v>
                </pt>
                <pt idx="1760">
                  <v>39720</v>
                </pt>
                <pt idx="1761">
                  <v>39727</v>
                </pt>
                <pt idx="1762">
                  <v>39734</v>
                </pt>
                <pt idx="1763">
                  <v>39741</v>
                </pt>
                <pt idx="1764">
                  <v>39748</v>
                </pt>
                <pt idx="1765">
                  <v>39755</v>
                </pt>
                <pt idx="1766">
                  <v>39762</v>
                </pt>
                <pt idx="1767">
                  <v>39769</v>
                </pt>
                <pt idx="1768">
                  <v>39776</v>
                </pt>
                <pt idx="1769">
                  <v>39783</v>
                </pt>
                <pt idx="1770">
                  <v>39790</v>
                </pt>
                <pt idx="1771">
                  <v>39797</v>
                </pt>
                <pt idx="1772">
                  <v>39804</v>
                </pt>
                <pt idx="1773">
                  <v>39811</v>
                </pt>
                <pt idx="1774">
                  <v>39818</v>
                </pt>
                <pt idx="1775">
                  <v>39825</v>
                </pt>
                <pt idx="1776">
                  <v>39832</v>
                </pt>
                <pt idx="1777">
                  <v>39839</v>
                </pt>
                <pt idx="1778">
                  <v>39846</v>
                </pt>
                <pt idx="1779">
                  <v>39853</v>
                </pt>
                <pt idx="1780">
                  <v>39860</v>
                </pt>
                <pt idx="1781">
                  <v>39867</v>
                </pt>
                <pt idx="1782">
                  <v>39874</v>
                </pt>
                <pt idx="1783">
                  <v>39881</v>
                </pt>
                <pt idx="1784">
                  <v>39888</v>
                </pt>
                <pt idx="1785">
                  <v>39895</v>
                </pt>
                <pt idx="1786">
                  <v>39902</v>
                </pt>
                <pt idx="1787">
                  <v>39909</v>
                </pt>
                <pt idx="1788">
                  <v>39916</v>
                </pt>
                <pt idx="1789">
                  <v>39923</v>
                </pt>
                <pt idx="1790">
                  <v>39930</v>
                </pt>
                <pt idx="1791">
                  <v>39937</v>
                </pt>
                <pt idx="1792">
                  <v>39944</v>
                </pt>
                <pt idx="1793">
                  <v>39951</v>
                </pt>
                <pt idx="1794">
                  <v>39958</v>
                </pt>
                <pt idx="1795">
                  <v>39965</v>
                </pt>
                <pt idx="1796">
                  <v>39972</v>
                </pt>
                <pt idx="1797">
                  <v>39979</v>
                </pt>
                <pt idx="1798">
                  <v>39986</v>
                </pt>
                <pt idx="1799">
                  <v>39993</v>
                </pt>
                <pt idx="1800">
                  <v>40000</v>
                </pt>
                <pt idx="1801">
                  <v>40007</v>
                </pt>
                <pt idx="1802">
                  <v>40014</v>
                </pt>
                <pt idx="1803">
                  <v>40021</v>
                </pt>
                <pt idx="1804">
                  <v>40028</v>
                </pt>
                <pt idx="1805">
                  <v>40035</v>
                </pt>
                <pt idx="1806">
                  <v>40042</v>
                </pt>
                <pt idx="1807">
                  <v>40049</v>
                </pt>
                <pt idx="1808">
                  <v>40056</v>
                </pt>
                <pt idx="1809">
                  <v>40063</v>
                </pt>
                <pt idx="1810">
                  <v>40070</v>
                </pt>
                <pt idx="1811">
                  <v>40077</v>
                </pt>
                <pt idx="1812">
                  <v>40084</v>
                </pt>
                <pt idx="1813">
                  <v>40091</v>
                </pt>
                <pt idx="1814">
                  <v>40098</v>
                </pt>
                <pt idx="1815">
                  <v>40105</v>
                </pt>
                <pt idx="1816">
                  <v>40112</v>
                </pt>
                <pt idx="1817">
                  <v>40119</v>
                </pt>
                <pt idx="1818">
                  <v>40126</v>
                </pt>
                <pt idx="1819">
                  <v>40133</v>
                </pt>
                <pt idx="1820">
                  <v>40140</v>
                </pt>
                <pt idx="1821">
                  <v>40147</v>
                </pt>
                <pt idx="1822">
                  <v>40154</v>
                </pt>
                <pt idx="1823">
                  <v>40161</v>
                </pt>
                <pt idx="1824">
                  <v>40168</v>
                </pt>
                <pt idx="1825">
                  <v>40175</v>
                </pt>
                <pt idx="1826">
                  <v>40182</v>
                </pt>
                <pt idx="1827">
                  <v>40189</v>
                </pt>
                <pt idx="1828">
                  <v>40196</v>
                </pt>
                <pt idx="1829">
                  <v>40203</v>
                </pt>
                <pt idx="1830">
                  <v>40210</v>
                </pt>
                <pt idx="1831">
                  <v>40217</v>
                </pt>
                <pt idx="1832">
                  <v>40224</v>
                </pt>
                <pt idx="1833">
                  <v>40231</v>
                </pt>
                <pt idx="1834">
                  <v>40238</v>
                </pt>
                <pt idx="1835">
                  <v>40245</v>
                </pt>
                <pt idx="1836">
                  <v>40252</v>
                </pt>
                <pt idx="1837">
                  <v>40259</v>
                </pt>
                <pt idx="1838">
                  <v>40266</v>
                </pt>
                <pt idx="1839">
                  <v>40273</v>
                </pt>
                <pt idx="1840">
                  <v>40280</v>
                </pt>
                <pt idx="1841">
                  <v>40287</v>
                </pt>
                <pt idx="1842">
                  <v>40294</v>
                </pt>
                <pt idx="1843">
                  <v>40301</v>
                </pt>
                <pt idx="1844">
                  <v>40308</v>
                </pt>
                <pt idx="1845">
                  <v>40315</v>
                </pt>
                <pt idx="1846">
                  <v>40322</v>
                </pt>
                <pt idx="1847">
                  <v>40329</v>
                </pt>
                <pt idx="1848">
                  <v>40336</v>
                </pt>
                <pt idx="1849">
                  <v>40343</v>
                </pt>
                <pt idx="1850">
                  <v>40350</v>
                </pt>
                <pt idx="1851">
                  <v>40357</v>
                </pt>
                <pt idx="1852">
                  <v>40364</v>
                </pt>
                <pt idx="1853">
                  <v>40371</v>
                </pt>
                <pt idx="1854">
                  <v>40378</v>
                </pt>
                <pt idx="1855">
                  <v>40385</v>
                </pt>
                <pt idx="1856">
                  <v>40392</v>
                </pt>
                <pt idx="1857">
                  <v>40399</v>
                </pt>
                <pt idx="1858">
                  <v>40406</v>
                </pt>
                <pt idx="1859">
                  <v>40413</v>
                </pt>
                <pt idx="1860">
                  <v>40420</v>
                </pt>
                <pt idx="1861">
                  <v>40427</v>
                </pt>
                <pt idx="1862">
                  <v>40434</v>
                </pt>
                <pt idx="1863">
                  <v>40441</v>
                </pt>
                <pt idx="1864">
                  <v>40448</v>
                </pt>
                <pt idx="1865">
                  <v>40455</v>
                </pt>
                <pt idx="1866">
                  <v>40462</v>
                </pt>
                <pt idx="1867">
                  <v>40469</v>
                </pt>
                <pt idx="1868">
                  <v>40476</v>
                </pt>
                <pt idx="1869">
                  <v>40483</v>
                </pt>
                <pt idx="1870">
                  <v>40490</v>
                </pt>
                <pt idx="1871">
                  <v>40497</v>
                </pt>
                <pt idx="1872">
                  <v>40504</v>
                </pt>
                <pt idx="1873">
                  <v>40511</v>
                </pt>
                <pt idx="1874">
                  <v>40518</v>
                </pt>
                <pt idx="1875">
                  <v>40525</v>
                </pt>
                <pt idx="1876">
                  <v>40532</v>
                </pt>
                <pt idx="1877">
                  <v>40539</v>
                </pt>
                <pt idx="1878">
                  <v>40546</v>
                </pt>
                <pt idx="1879">
                  <v>40553</v>
                </pt>
                <pt idx="1880">
                  <v>40560</v>
                </pt>
                <pt idx="1881">
                  <v>40567</v>
                </pt>
                <pt idx="1882">
                  <v>40574</v>
                </pt>
                <pt idx="1883">
                  <v>40581</v>
                </pt>
                <pt idx="1884">
                  <v>40588</v>
                </pt>
                <pt idx="1885">
                  <v>40595</v>
                </pt>
                <pt idx="1886">
                  <v>40602</v>
                </pt>
                <pt idx="1887">
                  <v>40609</v>
                </pt>
                <pt idx="1888">
                  <v>40616</v>
                </pt>
                <pt idx="1889">
                  <v>40623</v>
                </pt>
                <pt idx="1890">
                  <v>40630</v>
                </pt>
                <pt idx="1891">
                  <v>40637</v>
                </pt>
                <pt idx="1892">
                  <v>40644</v>
                </pt>
                <pt idx="1893">
                  <v>40651</v>
                </pt>
                <pt idx="1894">
                  <v>40658</v>
                </pt>
                <pt idx="1895">
                  <v>40665</v>
                </pt>
                <pt idx="1896">
                  <v>40672</v>
                </pt>
                <pt idx="1897">
                  <v>40679</v>
                </pt>
                <pt idx="1898">
                  <v>40686</v>
                </pt>
                <pt idx="1899">
                  <v>40693</v>
                </pt>
                <pt idx="1900">
                  <v>40700</v>
                </pt>
                <pt idx="1901">
                  <v>40707</v>
                </pt>
                <pt idx="1902">
                  <v>40714</v>
                </pt>
                <pt idx="1903">
                  <v>40721</v>
                </pt>
                <pt idx="1904">
                  <v>40728</v>
                </pt>
                <pt idx="1905">
                  <v>40735</v>
                </pt>
                <pt idx="1906">
                  <v>40742</v>
                </pt>
                <pt idx="1907">
                  <v>40749</v>
                </pt>
                <pt idx="1908">
                  <v>40756</v>
                </pt>
                <pt idx="1909">
                  <v>40763</v>
                </pt>
                <pt idx="1910">
                  <v>40770</v>
                </pt>
                <pt idx="1911">
                  <v>40777</v>
                </pt>
                <pt idx="1912">
                  <v>40784</v>
                </pt>
                <pt idx="1913">
                  <v>40791</v>
                </pt>
                <pt idx="1914">
                  <v>40798</v>
                </pt>
                <pt idx="1915">
                  <v>40805</v>
                </pt>
                <pt idx="1916">
                  <v>40812</v>
                </pt>
                <pt idx="1917">
                  <v>40819</v>
                </pt>
                <pt idx="1918">
                  <v>40826</v>
                </pt>
                <pt idx="1919">
                  <v>40833</v>
                </pt>
                <pt idx="1920">
                  <v>40840</v>
                </pt>
                <pt idx="1921">
                  <v>40847</v>
                </pt>
                <pt idx="1922">
                  <v>40854</v>
                </pt>
                <pt idx="1923">
                  <v>40861</v>
                </pt>
                <pt idx="1924">
                  <v>40868</v>
                </pt>
                <pt idx="1925">
                  <v>40875</v>
                </pt>
                <pt idx="1926">
                  <v>40882</v>
                </pt>
                <pt idx="1927">
                  <v>40889</v>
                </pt>
                <pt idx="1928">
                  <v>40896</v>
                </pt>
                <pt idx="1929">
                  <v>40903</v>
                </pt>
                <pt idx="1930">
                  <v>40910</v>
                </pt>
                <pt idx="1931">
                  <v>40917</v>
                </pt>
                <pt idx="1932">
                  <v>40924</v>
                </pt>
                <pt idx="1933">
                  <v>40931</v>
                </pt>
                <pt idx="1934">
                  <v>40938</v>
                </pt>
                <pt idx="1935">
                  <v>40945</v>
                </pt>
                <pt idx="1936">
                  <v>40952</v>
                </pt>
                <pt idx="1937">
                  <v>40959</v>
                </pt>
                <pt idx="1938">
                  <v>40966</v>
                </pt>
                <pt idx="1939">
                  <v>40973</v>
                </pt>
                <pt idx="1940">
                  <v>40980</v>
                </pt>
                <pt idx="1941">
                  <v>40987</v>
                </pt>
                <pt idx="1942">
                  <v>40994</v>
                </pt>
                <pt idx="1943">
                  <v>41001</v>
                </pt>
                <pt idx="1944">
                  <v>41008</v>
                </pt>
                <pt idx="1945">
                  <v>41015</v>
                </pt>
                <pt idx="1946">
                  <v>41022</v>
                </pt>
                <pt idx="1947">
                  <v>41029</v>
                </pt>
                <pt idx="1948">
                  <v>41036</v>
                </pt>
                <pt idx="1949">
                  <v>41043</v>
                </pt>
                <pt idx="1950">
                  <v>41050</v>
                </pt>
                <pt idx="1951">
                  <v>41057</v>
                </pt>
                <pt idx="1952">
                  <v>41064</v>
                </pt>
                <pt idx="1953">
                  <v>41071</v>
                </pt>
                <pt idx="1954">
                  <v>41078</v>
                </pt>
                <pt idx="1955">
                  <v>41085</v>
                </pt>
                <pt idx="1956">
                  <v>41092</v>
                </pt>
                <pt idx="1957">
                  <v>41099</v>
                </pt>
                <pt idx="1958">
                  <v>41106</v>
                </pt>
                <pt idx="1959">
                  <v>41113</v>
                </pt>
                <pt idx="1960">
                  <v>41120</v>
                </pt>
                <pt idx="1961">
                  <v>41127</v>
                </pt>
                <pt idx="1962">
                  <v>41134</v>
                </pt>
                <pt idx="1963">
                  <v>41141</v>
                </pt>
                <pt idx="1964">
                  <v>41148</v>
                </pt>
                <pt idx="1965">
                  <v>41155</v>
                </pt>
                <pt idx="1966">
                  <v>41162</v>
                </pt>
                <pt idx="1967">
                  <v>41169</v>
                </pt>
                <pt idx="1968">
                  <v>41176</v>
                </pt>
                <pt idx="1969">
                  <v>41183</v>
                </pt>
                <pt idx="1970">
                  <v>41190</v>
                </pt>
                <pt idx="1971">
                  <v>41197</v>
                </pt>
                <pt idx="1972">
                  <v>41204</v>
                </pt>
                <pt idx="1973">
                  <v>41211</v>
                </pt>
                <pt idx="1974">
                  <v>41218</v>
                </pt>
                <pt idx="1975">
                  <v>41225</v>
                </pt>
                <pt idx="1976">
                  <v>41232</v>
                </pt>
                <pt idx="1977">
                  <v>41239</v>
                </pt>
                <pt idx="1978">
                  <v>41246</v>
                </pt>
                <pt idx="1979">
                  <v>41253</v>
                </pt>
                <pt idx="1980">
                  <v>41260</v>
                </pt>
                <pt idx="1981">
                  <v>41267</v>
                </pt>
                <pt idx="1982">
                  <v>41274</v>
                </pt>
                <pt idx="1983">
                  <v>41281</v>
                </pt>
                <pt idx="1984">
                  <v>41288</v>
                </pt>
                <pt idx="1985">
                  <v>41295</v>
                </pt>
                <pt idx="1986">
                  <v>41302</v>
                </pt>
                <pt idx="1987">
                  <v>41309</v>
                </pt>
                <pt idx="1988">
                  <v>41316</v>
                </pt>
                <pt idx="1989">
                  <v>41323</v>
                </pt>
                <pt idx="1990">
                  <v>41330</v>
                </pt>
                <pt idx="1991">
                  <v>41337</v>
                </pt>
                <pt idx="1992">
                  <v>41344</v>
                </pt>
                <pt idx="1993">
                  <v>41351</v>
                </pt>
                <pt idx="1994">
                  <v>41358</v>
                </pt>
                <pt idx="1995">
                  <v>41365</v>
                </pt>
                <pt idx="1996">
                  <v>41372</v>
                </pt>
                <pt idx="1997">
                  <v>41379</v>
                </pt>
                <pt idx="1998">
                  <v>41386</v>
                </pt>
                <pt idx="1999">
                  <v>41393</v>
                </pt>
                <pt idx="2000">
                  <v>41400</v>
                </pt>
                <pt idx="2001">
                  <v>41407</v>
                </pt>
                <pt idx="2002">
                  <v>41414</v>
                </pt>
                <pt idx="2003">
                  <v>41421</v>
                </pt>
                <pt idx="2004">
                  <v>41428</v>
                </pt>
                <pt idx="2005">
                  <v>41435</v>
                </pt>
                <pt idx="2006">
                  <v>41442</v>
                </pt>
                <pt idx="2007">
                  <v>41449</v>
                </pt>
                <pt idx="2008">
                  <v>41456</v>
                </pt>
                <pt idx="2009">
                  <v>41463</v>
                </pt>
                <pt idx="2010">
                  <v>41470</v>
                </pt>
                <pt idx="2011">
                  <v>41477</v>
                </pt>
                <pt idx="2012">
                  <v>41484</v>
                </pt>
                <pt idx="2013">
                  <v>41491</v>
                </pt>
                <pt idx="2014">
                  <v>41498</v>
                </pt>
                <pt idx="2015">
                  <v>41505</v>
                </pt>
                <pt idx="2016">
                  <v>41512</v>
                </pt>
                <pt idx="2017">
                  <v>41519</v>
                </pt>
                <pt idx="2018">
                  <formatCode>m/d/yyyy</formatCode>
                  <v>41526</v>
                </pt>
                <pt idx="2019">
                  <formatCode>m/d/yyyy</formatCode>
                  <v>41533</v>
                </pt>
                <pt idx="2020">
                  <formatCode>m/d/yyyy</formatCode>
                  <v>41540</v>
                </pt>
                <pt idx="2021">
                  <formatCode>m/d/yyyy</formatCode>
                  <v>41547</v>
                </pt>
                <pt idx="2022">
                  <formatCode>m/d/yyyy</formatCode>
                  <v>41554</v>
                </pt>
                <pt idx="2023">
                  <formatCode>m/d/yyyy</formatCode>
                  <v>41561</v>
                </pt>
                <pt idx="2024">
                  <formatCode>m/d/yyyy</formatCode>
                  <v>41568</v>
                </pt>
                <pt idx="2025">
                  <formatCode>m/d/yyyy</formatCode>
                  <v>41575</v>
                </pt>
                <pt idx="2026">
                  <formatCode>m/d/yyyy</formatCode>
                  <v>41582</v>
                </pt>
                <pt idx="2027">
                  <formatCode>m/d/yyyy</formatCode>
                  <v>41589</v>
                </pt>
                <pt idx="2028">
                  <formatCode>m/d/yyyy</formatCode>
                  <v>41596</v>
                </pt>
                <pt idx="2029">
                  <formatCode>m/d/yyyy</formatCode>
                  <v>41603</v>
                </pt>
                <pt idx="2030">
                  <formatCode>m/d/yyyy</formatCode>
                  <v>41610</v>
                </pt>
                <pt idx="2031">
                  <formatCode>m/d/yyyy</formatCode>
                  <v>41617</v>
                </pt>
                <pt idx="2032">
                  <formatCode>m/d/yyyy</formatCode>
                  <v>41624</v>
                </pt>
                <pt idx="2033">
                  <formatCode>m/d/yyyy</formatCode>
                  <v>41631</v>
                </pt>
                <pt idx="2034">
                  <formatCode>m/d/yyyy</formatCode>
                  <v>41638</v>
                </pt>
                <pt idx="2035">
                  <formatCode>m/d/yyyy</formatCode>
                  <v>41645</v>
                </pt>
                <pt idx="2036">
                  <formatCode>m/d/yyyy</formatCode>
                  <v>41652</v>
                </pt>
                <pt idx="2037">
                  <formatCode>m/d/yyyy</formatCode>
                  <v>41659</v>
                </pt>
                <pt idx="2038">
                  <formatCode>m/d/yyyy</formatCode>
                  <v>41666</v>
                </pt>
                <pt idx="2039">
                  <formatCode>m/d/yyyy</formatCode>
                  <v>41673</v>
                </pt>
                <pt idx="2040">
                  <formatCode>m/d/yyyy</formatCode>
                  <v>41680</v>
                </pt>
                <pt idx="2041">
                  <formatCode>m/d/yyyy</formatCode>
                  <v>41687</v>
                </pt>
                <pt idx="2042">
                  <formatCode>m/d/yyyy</formatCode>
                  <v>41694</v>
                </pt>
                <pt idx="2043">
                  <formatCode>m/d/yyyy</formatCode>
                  <v>41701</v>
                </pt>
                <pt idx="2044">
                  <formatCode>m/d/yyyy</formatCode>
                  <v>41708</v>
                </pt>
                <pt idx="2045">
                  <formatCode>m/d/yyyy</formatCode>
                  <v>41715</v>
                </pt>
                <pt idx="2046">
                  <formatCode>m/d/yyyy</formatCode>
                  <v>41722</v>
                </pt>
                <pt idx="2047">
                  <formatCode>m/d/yyyy</formatCode>
                  <v>41729</v>
                </pt>
                <pt idx="2048">
                  <formatCode>m/d/yyyy</formatCode>
                  <v>41736</v>
                </pt>
                <pt idx="2049">
                  <formatCode>m/d/yyyy</formatCode>
                  <v>41743</v>
                </pt>
                <pt idx="2050">
                  <formatCode>m/d/yyyy</formatCode>
                  <v>41750</v>
                </pt>
                <pt idx="2051">
                  <formatCode>m/d/yyyy</formatCode>
                  <v>41757</v>
                </pt>
                <pt idx="2052">
                  <formatCode>m/d/yyyy</formatCode>
                  <v>41764</v>
                </pt>
                <pt idx="2053">
                  <formatCode>m/d/yyyy</formatCode>
                  <v>41771</v>
                </pt>
                <pt idx="2054">
                  <formatCode>m/d/yyyy</formatCode>
                  <v>41778</v>
                </pt>
                <pt idx="2055">
                  <formatCode>m/d/yyyy</formatCode>
                  <v>41785</v>
                </pt>
                <pt idx="2056">
                  <formatCode>m/d/yyyy</formatCode>
                  <v>41792</v>
                </pt>
                <pt idx="2057">
                  <formatCode>m/d/yyyy</formatCode>
                  <v>41799</v>
                </pt>
                <pt idx="2058">
                  <formatCode>m/d/yyyy</formatCode>
                  <v>41806</v>
                </pt>
                <pt idx="2059">
                  <formatCode>m/d/yyyy</formatCode>
                  <v>41813</v>
                </pt>
                <pt idx="2060">
                  <formatCode>m/d/yyyy</formatCode>
                  <v>41820</v>
                </pt>
                <pt idx="2061">
                  <formatCode>m/d/yyyy</formatCode>
                  <v>41827</v>
                </pt>
                <pt idx="2062">
                  <formatCode>m/d/yyyy</formatCode>
                  <v>41834</v>
                </pt>
                <pt idx="2063">
                  <formatCode>m/d/yyyy</formatCode>
                  <v>41841</v>
                </pt>
                <pt idx="2064">
                  <formatCode>m/d/yyyy</formatCode>
                  <v>41848</v>
                </pt>
                <pt idx="2065">
                  <formatCode>m/d/yyyy</formatCode>
                  <v>41855</v>
                </pt>
                <pt idx="2066">
                  <formatCode>m/d/yyyy</formatCode>
                  <v>41862</v>
                </pt>
                <pt idx="2067">
                  <formatCode>m/d/yyyy</formatCode>
                  <v>41869</v>
                </pt>
                <pt idx="2068">
                  <formatCode>m/d/yyyy</formatCode>
                  <v>41876</v>
                </pt>
                <pt idx="2069">
                  <formatCode>m/d/yyyy</formatCode>
                  <v>41883</v>
                </pt>
                <pt idx="2070">
                  <formatCode>m/d/yyyy</formatCode>
                  <v>41890</v>
                </pt>
                <pt idx="2071">
                  <formatCode>m/d/yyyy</formatCode>
                  <v>41897</v>
                </pt>
                <pt idx="2072">
                  <formatCode>m/d/yyyy</formatCode>
                  <v>41904</v>
                </pt>
                <pt idx="2073">
                  <formatCode>m/d/yyyy</formatCode>
                  <v>41911</v>
                </pt>
                <pt idx="2074">
                  <formatCode>m/d/yyyy</formatCode>
                  <v>41918</v>
                </pt>
                <pt idx="2075">
                  <formatCode>m/d/yyyy</formatCode>
                  <v>41925</v>
                </pt>
                <pt idx="2076">
                  <formatCode>m/d/yyyy</formatCode>
                  <v>41932</v>
                </pt>
                <pt idx="2077">
                  <formatCode>m/d/yyyy</formatCode>
                  <v>41939</v>
                </pt>
                <pt idx="2078">
                  <formatCode>m/d/yyyy</formatCode>
                  <v>41946</v>
                </pt>
                <pt idx="2079">
                  <formatCode>m/d/yyyy</formatCode>
                  <v>41953</v>
                </pt>
                <pt idx="2080">
                  <formatCode>m/d/yyyy</formatCode>
                  <v>41960</v>
                </pt>
                <pt idx="2081">
                  <formatCode>m/d/yyyy</formatCode>
                  <v>41967</v>
                </pt>
                <pt idx="2082">
                  <formatCode>m/d/yyyy</formatCode>
                  <v>41974</v>
                </pt>
                <pt idx="2083">
                  <formatCode>m/d/yyyy</formatCode>
                  <v>41981</v>
                </pt>
                <pt idx="2084">
                  <formatCode>m/d/yyyy</formatCode>
                  <v>41988</v>
                </pt>
                <pt idx="2085">
                  <formatCode>m/d/yyyy</formatCode>
                  <v>41995</v>
                </pt>
                <pt idx="2086">
                  <formatCode>m/d/yyyy</formatCode>
                  <v>42002</v>
                </pt>
                <pt idx="2087">
                  <formatCode>m/d/yyyy</formatCode>
                  <v>42009</v>
                </pt>
                <pt idx="2088">
                  <formatCode>m/d/yyyy</formatCode>
                  <v>42016</v>
                </pt>
                <pt idx="2089">
                  <formatCode>m/d/yyyy</formatCode>
                  <v>42023</v>
                </pt>
                <pt idx="2090">
                  <formatCode>m/d/yyyy</formatCode>
                  <v>42030</v>
                </pt>
                <pt idx="2091">
                  <formatCode>m/d/yyyy</formatCode>
                  <v>42037</v>
                </pt>
                <pt idx="2092">
                  <formatCode>m/d/yyyy</formatCode>
                  <v>42044</v>
                </pt>
                <pt idx="2093">
                  <formatCode>m/d/yyyy</formatCode>
                  <v>42051</v>
                </pt>
                <pt idx="2094">
                  <formatCode>m/d/yyyy</formatCode>
                  <v>42058</v>
                </pt>
                <pt idx="2095">
                  <formatCode>m/d/yyyy</formatCode>
                  <v>42065</v>
                </pt>
                <pt idx="2096">
                  <formatCode>m/d/yyyy</formatCode>
                  <v>42072</v>
                </pt>
                <pt idx="2097">
                  <formatCode>m/d/yyyy</formatCode>
                  <v>42079</v>
                </pt>
                <pt idx="2098">
                  <formatCode>m/d/yyyy</formatCode>
                  <v>42086</v>
                </pt>
                <pt idx="2099">
                  <formatCode>m/d/yyyy</formatCode>
                  <v>42093</v>
                </pt>
                <pt idx="2100">
                  <formatCode>m/d/yyyy</formatCode>
                  <v>42100</v>
                </pt>
                <pt idx="2101">
                  <formatCode>m/d/yyyy</formatCode>
                  <v>42107</v>
                </pt>
                <pt idx="2102">
                  <formatCode>m/d/yyyy</formatCode>
                  <v>42114</v>
                </pt>
                <pt idx="2103">
                  <formatCode>m/d/yyyy</formatCode>
                  <v>42121</v>
                </pt>
                <pt idx="2104">
                  <formatCode>m/d/yyyy</formatCode>
                  <v>42128</v>
                </pt>
                <pt idx="2105">
                  <formatCode>m/d/yyyy</formatCode>
                  <v>42135</v>
                </pt>
                <pt idx="2106">
                  <formatCode>m/d/yyyy</formatCode>
                  <v>42142</v>
                </pt>
                <pt idx="2107">
                  <formatCode>m/d/yyyy</formatCode>
                  <v>42149</v>
                </pt>
                <pt idx="2108">
                  <formatCode>m/d/yyyy</formatCode>
                  <v>42156</v>
                </pt>
                <pt idx="2109">
                  <formatCode>m/d/yyyy</formatCode>
                  <v>42163</v>
                </pt>
                <pt idx="2110">
                  <formatCode>m/d/yyyy</formatCode>
                  <v>42170</v>
                </pt>
                <pt idx="2111">
                  <formatCode>m/d/yyyy</formatCode>
                  <v>42177</v>
                </pt>
                <pt idx="2112">
                  <formatCode>m/d/yyyy</formatCode>
                  <v>42184</v>
                </pt>
                <pt idx="2113">
                  <formatCode>m/d/yyyy</formatCode>
                  <v>42191</v>
                </pt>
                <pt idx="2114">
                  <formatCode>m/d/yyyy</formatCode>
                  <v>42198</v>
                </pt>
                <pt idx="2115">
                  <formatCode>m/d/yyyy</formatCode>
                  <v>42205</v>
                </pt>
                <pt idx="2116">
                  <formatCode>m/d/yyyy</formatCode>
                  <v>42212</v>
                </pt>
                <pt idx="2117">
                  <formatCode>m/d/yyyy</formatCode>
                  <v>42219</v>
                </pt>
                <pt idx="2118">
                  <formatCode>m/d/yyyy</formatCode>
                  <v>42226</v>
                </pt>
                <pt idx="2119">
                  <formatCode>m/d/yyyy</formatCode>
                  <v>42233</v>
                </pt>
                <pt idx="2120">
                  <formatCode>m/d/yyyy</formatCode>
                  <v>42240</v>
                </pt>
                <pt idx="2121">
                  <formatCode>m/d/yyyy</formatCode>
                  <v>42247</v>
                </pt>
                <pt idx="2122">
                  <formatCode>m/d/yyyy</formatCode>
                  <v>42254</v>
                </pt>
                <pt idx="2123">
                  <formatCode>m/d/yyyy</formatCode>
                  <v>42261</v>
                </pt>
                <pt idx="2124">
                  <formatCode>m/d/yyyy</formatCode>
                  <v>42268</v>
                </pt>
                <pt idx="2125">
                  <formatCode>m/d/yyyy</formatCode>
                  <v>42275</v>
                </pt>
                <pt idx="2126">
                  <formatCode>m/d/yyyy</formatCode>
                  <v>42282</v>
                </pt>
                <pt idx="2127">
                  <formatCode>m/d/yyyy</formatCode>
                  <v>42289</v>
                </pt>
                <pt idx="2128">
                  <formatCode>m/d/yyyy</formatCode>
                  <v>42296</v>
                </pt>
                <pt idx="2129">
                  <formatCode>m/d/yyyy</formatCode>
                  <v>42303</v>
                </pt>
                <pt idx="2130">
                  <formatCode>m/d/yyyy</formatCode>
                  <v>42310</v>
                </pt>
                <pt idx="2131">
                  <formatCode>m/d/yyyy</formatCode>
                  <v>42317</v>
                </pt>
                <pt idx="2132">
                  <formatCode>m/d/yyyy</formatCode>
                  <v>42324</v>
                </pt>
                <pt idx="2133">
                  <formatCode>m/d/yyyy</formatCode>
                  <v>42331</v>
                </pt>
                <pt idx="2134">
                  <formatCode>m/d/yyyy</formatCode>
                  <v>42338</v>
                </pt>
                <pt idx="2135">
                  <formatCode>m/d/yyyy</formatCode>
                  <v>42345</v>
                </pt>
                <pt idx="2136">
                  <formatCode>m/d/yyyy</formatCode>
                  <v>42352</v>
                </pt>
                <pt idx="2137">
                  <formatCode>m/d/yyyy</formatCode>
                  <v>42359</v>
                </pt>
                <pt idx="2138">
                  <formatCode>m/d/yyyy</formatCode>
                  <v>42366</v>
                </pt>
                <pt idx="2139">
                  <formatCode>m/d/yyyy</formatCode>
                  <v>42373</v>
                </pt>
                <pt idx="2140">
                  <formatCode>m/d/yyyy</formatCode>
                  <v>42380</v>
                </pt>
                <pt idx="2141">
                  <formatCode>m/d/yyyy</formatCode>
                  <v>42387</v>
                </pt>
                <pt idx="2142">
                  <formatCode>m/d/yyyy</formatCode>
                  <v>42394</v>
                </pt>
                <pt idx="2143">
                  <formatCode>m/d/yyyy</formatCode>
                  <v>42401</v>
                </pt>
                <pt idx="2144">
                  <formatCode>m/d/yyyy</formatCode>
                  <v>42408</v>
                </pt>
                <pt idx="2145">
                  <formatCode>m/d/yyyy</formatCode>
                  <v>42415</v>
                </pt>
                <pt idx="2146">
                  <formatCode>m/d/yyyy</formatCode>
                  <v>42422</v>
                </pt>
                <pt idx="2147">
                  <formatCode>m/d/yyyy</formatCode>
                  <v>42429</v>
                </pt>
                <pt idx="2148">
                  <formatCode>m/d/yyyy</formatCode>
                  <v>42436</v>
                </pt>
                <pt idx="2149">
                  <formatCode>m/d/yyyy</formatCode>
                  <v>42443</v>
                </pt>
                <pt idx="2150">
                  <formatCode>m/d/yyyy</formatCode>
                  <v>42450</v>
                </pt>
                <pt idx="2151">
                  <formatCode>m/d/yyyy</formatCode>
                  <v>42457</v>
                </pt>
                <pt idx="2152">
                  <formatCode>m/d/yyyy</formatCode>
                  <v>42464</v>
                </pt>
                <pt idx="2153">
                  <formatCode>m/d/yyyy</formatCode>
                  <v>42471</v>
                </pt>
                <pt idx="2154">
                  <formatCode>m/d/yyyy</formatCode>
                  <v>42478</v>
                </pt>
                <pt idx="2155">
                  <formatCode>m/d/yyyy</formatCode>
                  <v>42485</v>
                </pt>
                <pt idx="2156">
                  <formatCode>m/d/yyyy</formatCode>
                  <v>42492</v>
                </pt>
                <pt idx="2157">
                  <formatCode>m/d/yyyy</formatCode>
                  <v>42499</v>
                </pt>
                <pt idx="2158">
                  <formatCode>m/d/yyyy</formatCode>
                  <v>42506</v>
                </pt>
                <pt idx="2159">
                  <formatCode>m/d/yyyy</formatCode>
                  <v>42513</v>
                </pt>
                <pt idx="2160">
                  <formatCode>m/d/yyyy</formatCode>
                  <v>42520</v>
                </pt>
                <pt idx="2161">
                  <formatCode>m/d/yyyy</formatCode>
                  <v>42527</v>
                </pt>
                <pt idx="2162">
                  <formatCode>m/d/yyyy</formatCode>
                  <v>42534</v>
                </pt>
                <pt idx="2163">
                  <formatCode>m/d/yyyy</formatCode>
                  <v>42541</v>
                </pt>
                <pt idx="2164">
                  <formatCode>m/d/yyyy</formatCode>
                  <v>42548</v>
                </pt>
                <pt idx="2165">
                  <formatCode>m/d/yyyy</formatCode>
                  <v>42555</v>
                </pt>
                <pt idx="2166">
                  <formatCode>m/d/yyyy</formatCode>
                  <v>42562</v>
                </pt>
                <pt idx="2167">
                  <formatCode>m/d/yyyy</formatCode>
                  <v>42569</v>
                </pt>
                <pt idx="2168">
                  <formatCode>m/d/yyyy</formatCode>
                  <v>42576</v>
                </pt>
                <pt idx="2169">
                  <formatCode>m/d/yyyy</formatCode>
                  <v>42583</v>
                </pt>
                <pt idx="2170">
                  <formatCode>m/d/yyyy</formatCode>
                  <v>42590</v>
                </pt>
                <pt idx="2171">
                  <formatCode>m/d/yyyy</formatCode>
                  <v>42597</v>
                </pt>
                <pt idx="2172">
                  <formatCode>m/d/yyyy</formatCode>
                  <v>42604</v>
                </pt>
                <pt idx="2173">
                  <formatCode>m/d/yyyy</formatCode>
                  <v>42611</v>
                </pt>
                <pt idx="2174">
                  <formatCode>m/d/yyyy</formatCode>
                  <v>42618</v>
                </pt>
                <pt idx="2175">
                  <formatCode>m/d/yyyy</formatCode>
                  <v>42625</v>
                </pt>
                <pt idx="2176">
                  <formatCode>m/d/yyyy</formatCode>
                  <v>42632</v>
                </pt>
                <pt idx="2177">
                  <formatCode>m/d/yyyy</formatCode>
                  <v>42639</v>
                </pt>
                <pt idx="2178">
                  <formatCode>m/d/yyyy</formatCode>
                  <v>42646</v>
                </pt>
                <pt idx="2179">
                  <formatCode>m/d/yyyy</formatCode>
                  <v>42653</v>
                </pt>
                <pt idx="2180">
                  <formatCode>m/d/yyyy</formatCode>
                  <v>42660</v>
                </pt>
                <pt idx="2181">
                  <formatCode>m/d/yyyy</formatCode>
                  <v>42667</v>
                </pt>
                <pt idx="2182">
                  <formatCode>m/d/yyyy</formatCode>
                  <v>42674</v>
                </pt>
                <pt idx="2183">
                  <formatCode>m/d/yyyy</formatCode>
                  <v>42681</v>
                </pt>
                <pt idx="2184">
                  <formatCode>m/d/yyyy</formatCode>
                  <v>42688</v>
                </pt>
                <pt idx="2185">
                  <formatCode>m/d/yyyy</formatCode>
                  <v>42695</v>
                </pt>
                <pt idx="2186">
                  <formatCode>m/d/yyyy</formatCode>
                  <v>42702</v>
                </pt>
                <pt idx="2187">
                  <formatCode>m/d/yyyy</formatCode>
                  <v>42709</v>
                </pt>
                <pt idx="2188">
                  <formatCode>m/d/yyyy</formatCode>
                  <v>42716</v>
                </pt>
                <pt idx="2189">
                  <formatCode>m/d/yyyy</formatCode>
                  <v>42723</v>
                </pt>
                <pt idx="2190">
                  <formatCode>m/d/yyyy</formatCode>
                  <v>42730</v>
                </pt>
                <pt idx="2191">
                  <formatCode>m/d/yyyy</formatCode>
                  <v>42737</v>
                </pt>
                <pt idx="2192">
                  <formatCode>m/d/yyyy</formatCode>
                  <v>42744</v>
                </pt>
                <pt idx="2193">
                  <formatCode>m/d/yyyy</formatCode>
                  <v>42751</v>
                </pt>
                <pt idx="2194">
                  <formatCode>m/d/yyyy</formatCode>
                  <v>42758</v>
                </pt>
                <pt idx="2195">
                  <formatCode>m/d/yyyy</formatCode>
                  <v>42765</v>
                </pt>
                <pt idx="2196">
                  <formatCode>m/d/yyyy</formatCode>
                  <v>42772</v>
                </pt>
                <pt idx="2197">
                  <formatCode>m/d/yyyy</formatCode>
                  <v>42779</v>
                </pt>
                <pt idx="2198">
                  <formatCode>m/d/yyyy</formatCode>
                  <v>42786</v>
                </pt>
                <pt idx="2199">
                  <formatCode>m/d/yyyy</formatCode>
                  <v>42793</v>
                </pt>
                <pt idx="2200">
                  <formatCode>m/d/yyyy</formatCode>
                  <v>42800</v>
                </pt>
                <pt idx="2201">
                  <formatCode>m/d/yyyy</formatCode>
                  <v>42807</v>
                </pt>
                <pt idx="2202">
                  <formatCode>m/d/yyyy</formatCode>
                  <v>42814</v>
                </pt>
                <pt idx="2203">
                  <formatCode>m/d/yyyy</formatCode>
                  <v>42821</v>
                </pt>
                <pt idx="2204">
                  <formatCode>m/d/yyyy</formatCode>
                  <v>42828</v>
                </pt>
                <pt idx="2205">
                  <formatCode>m/d/yyyy</formatCode>
                  <v>42835</v>
                </pt>
                <pt idx="2206">
                  <formatCode>m/d/yyyy</formatCode>
                  <v>42842</v>
                </pt>
                <pt idx="2207">
                  <formatCode>m/d/yyyy</formatCode>
                  <v>42849</v>
                </pt>
                <pt idx="2208">
                  <formatCode>m/d/yyyy</formatCode>
                  <v>42856</v>
                </pt>
                <pt idx="2209">
                  <formatCode>m/d/yyyy</formatCode>
                  <v>42863</v>
                </pt>
                <pt idx="2210">
                  <formatCode>m/d/yyyy</formatCode>
                  <v>42870</v>
                </pt>
                <pt idx="2211">
                  <formatCode>m/d/yyyy</formatCode>
                  <v>42877</v>
                </pt>
                <pt idx="2212">
                  <formatCode>m/d/yyyy</formatCode>
                  <v>42884</v>
                </pt>
                <pt idx="2213">
                  <formatCode>m/d/yyyy</formatCode>
                  <v>42891</v>
                </pt>
                <pt idx="2214">
                  <formatCode>m/d/yyyy</formatCode>
                  <v>42898</v>
                </pt>
                <pt idx="2215">
                  <formatCode>m/d/yyyy</formatCode>
                  <v>42905</v>
                </pt>
                <pt idx="2216">
                  <formatCode>m/d/yyyy</formatCode>
                  <v>42912</v>
                </pt>
                <pt idx="2217">
                  <formatCode>m/d/yyyy</formatCode>
                  <v>42919</v>
                </pt>
                <pt idx="2218">
                  <formatCode>m/d/yyyy</formatCode>
                  <v>42926</v>
                </pt>
                <pt idx="2219">
                  <formatCode>m/d/yyyy</formatCode>
                  <v>42933</v>
                </pt>
                <pt idx="2220">
                  <formatCode>m/d/yyyy</formatCode>
                  <v>42940</v>
                </pt>
                <pt idx="2221">
                  <formatCode>m/d/yyyy</formatCode>
                  <v>42947</v>
                </pt>
                <pt idx="2222">
                  <formatCode>m/d/yyyy</formatCode>
                  <v>42954</v>
                </pt>
                <pt idx="2223">
                  <formatCode>m/d/yyyy</formatCode>
                  <v>42961</v>
                </pt>
                <pt idx="2224">
                  <formatCode>m/d/yyyy</formatCode>
                  <v>42968</v>
                </pt>
                <pt idx="2225">
                  <formatCode>m/d/yyyy</formatCode>
                  <v>42975</v>
                </pt>
                <pt idx="2226">
                  <formatCode>m/d/yyyy</formatCode>
                  <v>42982</v>
                </pt>
                <pt idx="2227">
                  <formatCode>m/d/yyyy</formatCode>
                  <v>42989</v>
                </pt>
                <pt idx="2228">
                  <formatCode>m/d/yyyy</formatCode>
                  <v>42996</v>
                </pt>
                <pt idx="2229">
                  <formatCode>m/d/yyyy</formatCode>
                  <v>43003</v>
                </pt>
                <pt idx="2230">
                  <formatCode>m/d/yyyy</formatCode>
                  <v>43010</v>
                </pt>
                <pt idx="2231">
                  <formatCode>m/d/yyyy</formatCode>
                  <v>43017</v>
                </pt>
                <pt idx="2232">
                  <formatCode>m/d/yyyy</formatCode>
                  <v>43024</v>
                </pt>
                <pt idx="2233">
                  <formatCode>m/d/yyyy</formatCode>
                  <v>43031</v>
                </pt>
                <pt idx="2234">
                  <formatCode>m/d/yyyy</formatCode>
                  <v>43038</v>
                </pt>
                <pt idx="2235">
                  <formatCode>m/d/yyyy</formatCode>
                  <v>43045</v>
                </pt>
                <pt idx="2236">
                  <formatCode>m/d/yyyy</formatCode>
                  <v>43052</v>
                </pt>
                <pt idx="2237">
                  <formatCode>m/d/yyyy</formatCode>
                  <v>43059</v>
                </pt>
                <pt idx="2238">
                  <formatCode>m/d/yyyy</formatCode>
                  <v>43066</v>
                </pt>
                <pt idx="2239">
                  <formatCode>m/d/yyyy</formatCode>
                  <v>43073</v>
                </pt>
                <pt idx="2240">
                  <formatCode>m/d/yyyy</formatCode>
                  <v>43080</v>
                </pt>
                <pt idx="2241">
                  <formatCode>m/d/yyyy</formatCode>
                  <v>43087</v>
                </pt>
                <pt idx="2242">
                  <formatCode>m/d/yyyy</formatCode>
                  <v>43094</v>
                </pt>
                <pt idx="2243">
                  <formatCode>m/d/yyyy</formatCode>
                  <v>43101</v>
                </pt>
                <pt idx="2244">
                  <formatCode>m/d/yyyy</formatCode>
                  <v>43108</v>
                </pt>
                <pt idx="2245">
                  <formatCode>m/d/yyyy</formatCode>
                  <v>43115</v>
                </pt>
                <pt idx="2246">
                  <formatCode>m/d/yyyy</formatCode>
                  <v>43122</v>
                </pt>
                <pt idx="2247">
                  <formatCode>m/d/yyyy</formatCode>
                  <v>43129</v>
                </pt>
                <pt idx="2248">
                  <formatCode>m/d/yyyy</formatCode>
                  <v>43136</v>
                </pt>
                <pt idx="2249">
                  <formatCode>m/d/yyyy</formatCode>
                  <v>43143</v>
                </pt>
                <pt idx="2250">
                  <formatCode>m/d/yyyy</formatCode>
                  <v>43150</v>
                </pt>
                <pt idx="2251">
                  <formatCode>m/d/yyyy</formatCode>
                  <v>43157</v>
                </pt>
                <pt idx="2252">
                  <formatCode>m/d/yyyy</formatCode>
                  <v>43164</v>
                </pt>
                <pt idx="2253">
                  <formatCode>m/d/yyyy</formatCode>
                  <v>43171</v>
                </pt>
                <pt idx="2254">
                  <formatCode>m/d/yyyy</formatCode>
                  <v>43178</v>
                </pt>
                <pt idx="2255">
                  <formatCode>m/d/yyyy</formatCode>
                  <v>43185</v>
                </pt>
                <pt idx="2256">
                  <formatCode>m/d/yyyy</formatCode>
                  <v>43192</v>
                </pt>
                <pt idx="2257">
                  <formatCode>m/d/yyyy</formatCode>
                  <v>43199</v>
                </pt>
                <pt idx="2258">
                  <formatCode>m/d/yyyy</formatCode>
                  <v>43206</v>
                </pt>
                <pt idx="2259">
                  <formatCode>m/d/yyyy</formatCode>
                  <v>43213</v>
                </pt>
                <pt idx="2260">
                  <formatCode>m/d/yyyy</formatCode>
                  <v>43220</v>
                </pt>
                <pt idx="2261">
                  <formatCode>m/d/yyyy</formatCode>
                  <v>43227</v>
                </pt>
                <pt idx="2262">
                  <formatCode>m/d/yyyy</formatCode>
                  <v>43234</v>
                </pt>
                <pt idx="2263">
                  <formatCode>m/d/yyyy</formatCode>
                  <v>43241</v>
                </pt>
                <pt idx="2264">
                  <formatCode>m/d/yyyy</formatCode>
                  <v>43248</v>
                </pt>
                <pt idx="2265">
                  <formatCode>m/d/yyyy</formatCode>
                  <v>43255</v>
                </pt>
                <pt idx="2266">
                  <formatCode>m/d/yyyy</formatCode>
                  <v>43262</v>
                </pt>
                <pt idx="2267">
                  <formatCode>m/d/yyyy</formatCode>
                  <v>43269</v>
                </pt>
                <pt idx="2268">
                  <formatCode>m/d/yyyy</formatCode>
                  <v>43276</v>
                </pt>
                <pt idx="2269">
                  <formatCode>m/d/yyyy</formatCode>
                  <v>43283</v>
                </pt>
                <pt idx="2270">
                  <formatCode>m/d/yyyy</formatCode>
                  <v>43290</v>
                </pt>
                <pt idx="2271">
                  <formatCode>m/d/yyyy</formatCode>
                  <v>43297</v>
                </pt>
                <pt idx="2272">
                  <formatCode>m/d/yyyy</formatCode>
                  <v>43304</v>
                </pt>
                <pt idx="2273">
                  <formatCode>m/d/yyyy</formatCode>
                  <v>43311</v>
                </pt>
                <pt idx="2274">
                  <formatCode>m/d/yyyy</formatCode>
                  <v>43318</v>
                </pt>
                <pt idx="2275">
                  <formatCode>m/d/yyyy</formatCode>
                  <v>43325</v>
                </pt>
                <pt idx="2276">
                  <formatCode>m/d/yyyy</formatCode>
                  <v>43332</v>
                </pt>
                <pt idx="2277">
                  <formatCode>m/d/yyyy</formatCode>
                  <v>43339</v>
                </pt>
                <pt idx="2278">
                  <formatCode>m/d/yyyy</formatCode>
                  <v>43346</v>
                </pt>
                <pt idx="2279">
                  <formatCode>m/d/yyyy</formatCode>
                  <v>43353</v>
                </pt>
                <pt idx="2280">
                  <formatCode>m/d/yyyy</formatCode>
                  <v>43360</v>
                </pt>
                <pt idx="2281">
                  <formatCode>m/d/yyyy</formatCode>
                  <v>43367</v>
                </pt>
                <pt idx="2282">
                  <formatCode>m/d/yyyy</formatCode>
                  <v>43374</v>
                </pt>
                <pt idx="2283">
                  <formatCode>m/d/yyyy</formatCode>
                  <v>43381</v>
                </pt>
                <pt idx="2284">
                  <formatCode>m/d/yyyy</formatCode>
                  <v>43388</v>
                </pt>
                <pt idx="2285">
                  <formatCode>m/d/yyyy</formatCode>
                  <v>43395</v>
                </pt>
                <pt idx="2286">
                  <formatCode>m/d/yyyy</formatCode>
                  <v>43402</v>
                </pt>
                <pt idx="2287">
                  <formatCode>m/d/yyyy</formatCode>
                  <v>43409</v>
                </pt>
                <pt idx="2288">
                  <formatCode>m/d/yyyy</formatCode>
                  <v>43416</v>
                </pt>
                <pt idx="2289">
                  <formatCode>m/d/yyyy</formatCode>
                  <v>43423</v>
                </pt>
                <pt idx="2290">
                  <formatCode>m/d/yyyy</formatCode>
                  <v>43430</v>
                </pt>
                <pt idx="2291">
                  <formatCode>m/d/yyyy</formatCode>
                  <v>43437</v>
                </pt>
                <pt idx="2292">
                  <formatCode>m/d/yyyy</formatCode>
                  <v>43444</v>
                </pt>
                <pt idx="2293">
                  <formatCode>m/d/yyyy</formatCode>
                  <v>43451</v>
                </pt>
                <pt idx="2294">
                  <formatCode>m/d/yyyy</formatCode>
                  <v>43458</v>
                </pt>
                <pt idx="2295">
                  <formatCode>m/d/yyyy</formatCode>
                  <v>43465</v>
                </pt>
                <pt idx="2296">
                  <formatCode>m/d/yyyy</formatCode>
                  <v>43472</v>
                </pt>
                <pt idx="2297">
                  <formatCode>m/d/yyyy</formatCode>
                  <v>43479</v>
                </pt>
                <pt idx="2298">
                  <formatCode>m/d/yyyy</formatCode>
                  <v>43486</v>
                </pt>
                <pt idx="2299">
                  <formatCode>m/d/yyyy</formatCode>
                  <v>43493</v>
                </pt>
                <pt idx="2300">
                  <formatCode>m/d/yyyy</formatCode>
                  <v>43500</v>
                </pt>
                <pt idx="2301">
                  <formatCode>m/d/yyyy</formatCode>
                  <v>43507</v>
                </pt>
                <pt idx="2302">
                  <formatCode>m/d/yyyy</formatCode>
                  <v>43514</v>
                </pt>
                <pt idx="2303">
                  <formatCode>m/d/yyyy</formatCode>
                  <v>43521</v>
                </pt>
                <pt idx="2304">
                  <formatCode>m/d/yyyy</formatCode>
                  <v>43528</v>
                </pt>
                <pt idx="2305">
                  <formatCode>m/d/yyyy</formatCode>
                  <v>43535</v>
                </pt>
                <pt idx="2306">
                  <formatCode>m/d/yyyy</formatCode>
                  <v>43542</v>
                </pt>
                <pt idx="2307">
                  <formatCode>m/d/yyyy</formatCode>
                  <v>43549</v>
                </pt>
                <pt idx="2308">
                  <formatCode>m/d/yyyy</formatCode>
                  <v>43556</v>
                </pt>
                <pt idx="2309">
                  <formatCode>m/d/yyyy</formatCode>
                  <v>43563</v>
                </pt>
                <pt idx="2310">
                  <formatCode>m/d/yyyy</formatCode>
                  <v>43570</v>
                </pt>
                <pt idx="2311">
                  <formatCode>m/d/yyyy</formatCode>
                  <v>43577</v>
                </pt>
                <pt idx="2312">
                  <formatCode>m/d/yyyy</formatCode>
                  <v>43584</v>
                </pt>
                <pt idx="2313">
                  <formatCode>m/d/yyyy</formatCode>
                  <v>43591</v>
                </pt>
                <pt idx="2314">
                  <formatCode>m/d/yyyy</formatCode>
                  <v>43598</v>
                </pt>
                <pt idx="2315">
                  <formatCode>m/d/yyyy</formatCode>
                  <v>43605</v>
                </pt>
                <pt idx="2316">
                  <formatCode>m/d/yyyy</formatCode>
                  <v>43612</v>
                </pt>
                <pt idx="2317">
                  <formatCode>m/d/yyyy</formatCode>
                  <v>43619</v>
                </pt>
                <pt idx="2318">
                  <formatCode>m/d/yyyy</formatCode>
                  <v>43626</v>
                </pt>
                <pt idx="2319">
                  <formatCode>m/d/yyyy</formatCode>
                  <v>43633</v>
                </pt>
                <pt idx="2320">
                  <formatCode>m/d/yyyy</formatCode>
                  <v>43640</v>
                </pt>
                <pt idx="2321">
                  <formatCode>m/d/yyyy</formatCode>
                  <v>43647</v>
                </pt>
                <pt idx="2322">
                  <formatCode>m/d/yyyy</formatCode>
                  <v>43654</v>
                </pt>
                <pt idx="2323">
                  <formatCode>m/d/yyyy</formatCode>
                  <v>43661</v>
                </pt>
                <pt idx="2324">
                  <formatCode>m/d/yyyy</formatCode>
                  <v>43668</v>
                </pt>
                <pt idx="2325">
                  <formatCode>m/d/yyyy</formatCode>
                  <v>43675</v>
                </pt>
                <pt idx="2326">
                  <formatCode>m/d/yyyy</formatCode>
                  <v>43682</v>
                </pt>
                <pt idx="2327">
                  <formatCode>m/d/yyyy</formatCode>
                  <v>43689</v>
                </pt>
                <pt idx="2328">
                  <formatCode>m/d/yyyy</formatCode>
                  <v>43696</v>
                </pt>
                <pt idx="2329">
                  <formatCode>m/d/yyyy</formatCode>
                  <v>43703</v>
                </pt>
                <pt idx="2330">
                  <formatCode>m/d/yyyy</formatCode>
                  <v>43710</v>
                </pt>
                <pt idx="2331">
                  <formatCode>m/d/yyyy</formatCode>
                  <v>43717</v>
                </pt>
                <pt idx="2332">
                  <formatCode>m/d/yyyy</formatCode>
                  <v>43724</v>
                </pt>
                <pt idx="2333">
                  <formatCode>m/d/yyyy</formatCode>
                  <v>43731</v>
                </pt>
                <pt idx="2334">
                  <formatCode>m/d/yyyy</formatCode>
                  <v>43738</v>
                </pt>
                <pt idx="2335">
                  <formatCode>m/d/yyyy</formatCode>
                  <v>43745</v>
                </pt>
                <pt idx="2336">
                  <formatCode>m/d/yyyy</formatCode>
                  <v>43752</v>
                </pt>
                <pt idx="2337">
                  <formatCode>m/d/yyyy</formatCode>
                  <v>43759</v>
                </pt>
                <pt idx="2338">
                  <formatCode>m/d/yyyy</formatCode>
                  <v>43766</v>
                </pt>
                <pt idx="2339">
                  <formatCode>m/d/yyyy</formatCode>
                  <v>43773</v>
                </pt>
                <pt idx="2340">
                  <formatCode>m/d/yyyy</formatCode>
                  <v>43780</v>
                </pt>
                <pt idx="2341">
                  <formatCode>m/d/yyyy</formatCode>
                  <v>43787</v>
                </pt>
                <pt idx="2342">
                  <formatCode>m/d/yyyy</formatCode>
                  <v>43794</v>
                </pt>
                <pt idx="2343">
                  <formatCode>m/d/yyyy</formatCode>
                  <v>43801</v>
                </pt>
                <pt idx="2344">
                  <formatCode>m/d/yyyy</formatCode>
                  <v>43808</v>
                </pt>
                <pt idx="2345">
                  <formatCode>m/d/yyyy</formatCode>
                  <v>43815</v>
                </pt>
                <pt idx="2346">
                  <formatCode>m/d/yyyy</formatCode>
                  <v>43822</v>
                </pt>
                <pt idx="2347">
                  <formatCode>m/d/yyyy</formatCode>
                  <v>43829</v>
                </pt>
                <pt idx="2348">
                  <formatCode>m/d/yyyy</formatCode>
                  <v>43836</v>
                </pt>
                <pt idx="2349">
                  <formatCode>m/d/yyyy</formatCode>
                  <v>43843</v>
                </pt>
                <pt idx="2350">
                  <formatCode>m/d/yyyy</formatCode>
                  <v>43850</v>
                </pt>
                <pt idx="2351">
                  <formatCode>m/d/yyyy</formatCode>
                  <v>43857</v>
                </pt>
                <pt idx="2352">
                  <formatCode>m/d/yyyy</formatCode>
                  <v>43864</v>
                </pt>
                <pt idx="2353">
                  <formatCode>m/d/yyyy</formatCode>
                  <v>43871</v>
                </pt>
                <pt idx="2354">
                  <formatCode>m/d/yyyy</formatCode>
                  <v>43878</v>
                </pt>
                <pt idx="2355">
                  <formatCode>m/d/yyyy</formatCode>
                  <v>43885</v>
                </pt>
                <pt idx="2356">
                  <formatCode>m/d/yyyy</formatCode>
                  <v>43892</v>
                </pt>
                <pt idx="2357">
                  <formatCode>m/d/yyyy</formatCode>
                  <v>43899</v>
                </pt>
                <pt idx="2358">
                  <formatCode>m/d/yyyy</formatCode>
                  <v>43906</v>
                </pt>
                <pt idx="2359">
                  <formatCode>m/d/yyyy</formatCode>
                  <v>43913</v>
                </pt>
                <pt idx="2360">
                  <formatCode>m/d/yyyy</formatCode>
                  <v>43920</v>
                </pt>
                <pt idx="2361">
                  <formatCode>m/d/yyyy</formatCode>
                  <v>43927</v>
                </pt>
                <pt idx="2362">
                  <formatCode>m/d/yyyy</formatCode>
                  <v>43934</v>
                </pt>
                <pt idx="2363">
                  <formatCode>m/d/yyyy</formatCode>
                  <v>43941</v>
                </pt>
                <pt idx="2364">
                  <formatCode>m/d/yyyy</formatCode>
                  <v>43948</v>
                </pt>
                <pt idx="2365">
                  <formatCode>m/d/yyyy</formatCode>
                  <v>43955</v>
                </pt>
                <pt idx="2366">
                  <formatCode>m/d/yyyy</formatCode>
                  <v>43962</v>
                </pt>
                <pt idx="2367">
                  <formatCode>m/d/yyyy</formatCode>
                  <v>43969</v>
                </pt>
                <pt idx="2368">
                  <formatCode>m/d/yyyy</formatCode>
                  <v>43976</v>
                </pt>
                <pt idx="2369">
                  <formatCode>m/d/yyyy</formatCode>
                  <v>43983</v>
                </pt>
                <pt idx="2370">
                  <formatCode>m/d/yyyy</formatCode>
                  <v>43990</v>
                </pt>
                <pt idx="2371">
                  <formatCode>m/d/yyyy</formatCode>
                  <v>43997</v>
                </pt>
                <pt idx="2372">
                  <formatCode>m/d/yyyy</formatCode>
                  <v>44004</v>
                </pt>
                <pt idx="2373">
                  <formatCode>m/d/yyyy</formatCode>
                  <v>44011</v>
                </pt>
                <pt idx="2374">
                  <formatCode>m/d/yyyy</formatCode>
                  <v>44018</v>
                </pt>
                <pt idx="2375">
                  <formatCode>m/d/yyyy</formatCode>
                  <v>44025</v>
                </pt>
                <pt idx="2376">
                  <formatCode>m/d/yyyy</formatCode>
                  <v>44032</v>
                </pt>
                <pt idx="2377">
                  <formatCode>m/d/yyyy</formatCode>
                  <v>44039</v>
                </pt>
                <pt idx="2378">
                  <formatCode>m/d/yyyy</formatCode>
                  <v>44046</v>
                </pt>
                <pt idx="2379">
                  <formatCode>m/d/yyyy</formatCode>
                  <v>44053</v>
                </pt>
                <pt idx="2380">
                  <formatCode>m/d/yyyy</formatCode>
                  <v>44060</v>
                </pt>
                <pt idx="2381">
                  <formatCode>m/d/yyyy</formatCode>
                  <v>44067</v>
                </pt>
                <pt idx="2382">
                  <formatCode>m/d/yyyy</formatCode>
                  <v>44074</v>
                </pt>
                <pt idx="2383">
                  <formatCode>m/d/yyyy</formatCode>
                  <v>44081</v>
                </pt>
                <pt idx="2384">
                  <formatCode>m/d/yyyy</formatCode>
                  <v>44088</v>
                </pt>
                <pt idx="2385">
                  <formatCode>m/d/yyyy</formatCode>
                  <v>44095</v>
                </pt>
                <pt idx="2386">
                  <formatCode>m/d/yyyy</formatCode>
                  <v>44102</v>
                </pt>
                <pt idx="2387">
                  <formatCode>m/d/yyyy</formatCode>
                  <v>44109</v>
                </pt>
                <pt idx="2388">
                  <formatCode>m/d/yyyy</formatCode>
                  <v>44116</v>
                </pt>
                <pt idx="2389">
                  <formatCode>m/d/yyyy</formatCode>
                  <v>44123</v>
                </pt>
                <pt idx="2390">
                  <formatCode>m/d/yyyy</formatCode>
                  <v>44130</v>
                </pt>
                <pt idx="2391">
                  <formatCode>m/d/yyyy</formatCode>
                  <v>44137</v>
                </pt>
                <pt idx="2392">
                  <formatCode>m/d/yyyy</formatCode>
                  <v>44144</v>
                </pt>
                <pt idx="2393">
                  <formatCode>m/d/yyyy</formatCode>
                  <v>44151</v>
                </pt>
                <pt idx="2394">
                  <formatCode>m/d/yyyy</formatCode>
                  <v>44158</v>
                </pt>
                <pt idx="2395">
                  <formatCode>m/d/yyyy</formatCode>
                  <v>44165</v>
                </pt>
                <pt idx="2396">
                  <formatCode>m/d/yyyy</formatCode>
                  <v>44172</v>
                </pt>
                <pt idx="2397">
                  <formatCode>m/d/yyyy</formatCode>
                  <v>44179</v>
                </pt>
                <pt idx="2398">
                  <formatCode>m/d/yyyy</formatCode>
                  <v>44186</v>
                </pt>
                <pt idx="2399">
                  <formatCode>m/d/yyyy</formatCode>
                  <v>44193</v>
                </pt>
                <pt idx="2400">
                  <formatCode>m/d/yyyy</formatCode>
                  <v>44200</v>
                </pt>
                <pt idx="2401">
                  <formatCode>m/d/yyyy</formatCode>
                  <v>44207</v>
                </pt>
                <pt idx="2402">
                  <formatCode>m/d/yyyy</formatCode>
                  <v>44214</v>
                </pt>
                <pt idx="2403">
                  <formatCode>m/d/yyyy</formatCode>
                  <v>44221</v>
                </pt>
                <pt idx="2404">
                  <formatCode>m/d/yyyy</formatCode>
                  <v>44228</v>
                </pt>
              </numCache>
            </numRef>
          </cat>
          <val>
            <numRef>
              <f>'US M1'!$B$6:$B$2412</f>
              <numCache>
                <formatCode>0.0</formatCode>
                <ptCount val="2407"/>
                <pt idx="0">
                  <v>273.4</v>
                </pt>
                <pt idx="1">
                  <v>273.7</v>
                </pt>
                <pt idx="2">
                  <v>273.8</v>
                </pt>
                <pt idx="3">
                  <v>273.7</v>
                </pt>
                <pt idx="4">
                  <v>275.2</v>
                </pt>
                <pt idx="5">
                  <v>274.5</v>
                </pt>
                <pt idx="6">
                  <v>274.6</v>
                </pt>
                <pt idx="7">
                  <v>274.2</v>
                </pt>
                <pt idx="8">
                  <v>275.4</v>
                </pt>
                <pt idx="9">
                  <v>276.9</v>
                </pt>
                <pt idx="10">
                  <v>276.3</v>
                </pt>
                <pt idx="11">
                  <v>277.6</v>
                </pt>
                <pt idx="12">
                  <v>273.4</v>
                </pt>
                <pt idx="13">
                  <v>275.2</v>
                </pt>
                <pt idx="14">
                  <v>276.1</v>
                </pt>
                <pt idx="15">
                  <v>276.7</v>
                </pt>
                <pt idx="16">
                  <v>276.8</v>
                </pt>
                <pt idx="17">
                  <v>277.4</v>
                </pt>
                <pt idx="18">
                  <v>278.1</v>
                </pt>
                <pt idx="19">
                  <v>279.3</v>
                </pt>
                <pt idx="20">
                  <v>280.4</v>
                </pt>
                <pt idx="21">
                  <v>280.7</v>
                </pt>
                <pt idx="22">
                  <v>281.5</v>
                </pt>
                <pt idx="23">
                  <v>282.2</v>
                </pt>
                <pt idx="24">
                  <v>283.2</v>
                </pt>
                <pt idx="25">
                  <v>283.3</v>
                </pt>
                <pt idx="26">
                  <v>283.3</v>
                </pt>
                <pt idx="27">
                  <v>283.7</v>
                </pt>
                <pt idx="28">
                  <v>283.9</v>
                </pt>
                <pt idx="29">
                  <v>283.7</v>
                </pt>
                <pt idx="30">
                  <v>283.7</v>
                </pt>
                <pt idx="31">
                  <v>283.1</v>
                </pt>
                <pt idx="32">
                  <v>283.5</v>
                </pt>
                <pt idx="33">
                  <v>284.7</v>
                </pt>
                <pt idx="34">
                  <v>285.2</v>
                </pt>
                <pt idx="35">
                  <v>285.6</v>
                </pt>
                <pt idx="36">
                  <v>285.3</v>
                </pt>
                <pt idx="37">
                  <v>285.8</v>
                </pt>
                <pt idx="38">
                  <v>286.1</v>
                </pt>
                <pt idx="39">
                  <v>284.5</v>
                </pt>
                <pt idx="40">
                  <v>285.5</v>
                </pt>
                <pt idx="41">
                  <v>286.2</v>
                </pt>
                <pt idx="42">
                  <v>284.9</v>
                </pt>
                <pt idx="43">
                  <v>285.9</v>
                </pt>
                <pt idx="44">
                  <v>286.8</v>
                </pt>
                <pt idx="45">
                  <v>286.3</v>
                </pt>
                <pt idx="46">
                  <v>287.5</v>
                </pt>
                <pt idx="47">
                  <v>286.9</v>
                </pt>
                <pt idx="48">
                  <v>286.8</v>
                </pt>
                <pt idx="49">
                  <v>287.1</v>
                </pt>
                <pt idx="50">
                  <v>287.4</v>
                </pt>
                <pt idx="51">
                  <v>287.2</v>
                </pt>
                <pt idx="52">
                  <v>287.3</v>
                </pt>
                <pt idx="53">
                  <v>287.9</v>
                </pt>
                <pt idx="54">
                  <v>288.4</v>
                </pt>
                <pt idx="55">
                  <v>289.1</v>
                </pt>
                <pt idx="56">
                  <v>290.2</v>
                </pt>
                <pt idx="57">
                  <v>290.3</v>
                </pt>
                <pt idx="58">
                  <v>291.2</v>
                </pt>
                <pt idx="59">
                  <v>290.7</v>
                </pt>
                <pt idx="60">
                  <v>291.2</v>
                </pt>
                <pt idx="61">
                  <v>291.1</v>
                </pt>
                <pt idx="62">
                  <v>292.8</v>
                </pt>
                <pt idx="63">
                  <v>292.8</v>
                </pt>
                <pt idx="64">
                  <v>294.2</v>
                </pt>
                <pt idx="65">
                  <v>293</v>
                </pt>
                <pt idx="66">
                  <v>294.5</v>
                </pt>
                <pt idx="67">
                  <v>294.9</v>
                </pt>
                <pt idx="68">
                  <v>295.4</v>
                </pt>
                <pt idx="69">
                  <v>294.9</v>
                </pt>
                <pt idx="70">
                  <v>296.3</v>
                </pt>
                <pt idx="71">
                  <v>295.3</v>
                </pt>
                <pt idx="72">
                  <v>295.5</v>
                </pt>
                <pt idx="73">
                  <v>296.4</v>
                </pt>
                <pt idx="74">
                  <v>295.5</v>
                </pt>
                <pt idx="75">
                  <v>296.7</v>
                </pt>
                <pt idx="76">
                  <v>296.1</v>
                </pt>
                <pt idx="77">
                  <v>296.1</v>
                </pt>
                <pt idx="78">
                  <v>296.1</v>
                </pt>
                <pt idx="79">
                  <v>296.6</v>
                </pt>
                <pt idx="80">
                  <v>297.2</v>
                </pt>
                <pt idx="81">
                  <v>297.5</v>
                </pt>
                <pt idx="82">
                  <v>297.7</v>
                </pt>
                <pt idx="83">
                  <v>298.5</v>
                </pt>
                <pt idx="84">
                  <v>299.6</v>
                </pt>
                <pt idx="85">
                  <v>299</v>
                </pt>
                <pt idx="86">
                  <v>299</v>
                </pt>
                <pt idx="87">
                  <v>298.2</v>
                </pt>
                <pt idx="88">
                  <v>299.7</v>
                </pt>
                <pt idx="89">
                  <v>300.1</v>
                </pt>
                <pt idx="90">
                  <v>299.3</v>
                </pt>
                <pt idx="91">
                  <v>300.7</v>
                </pt>
                <pt idx="92">
                  <v>302.1</v>
                </pt>
                <pt idx="93">
                  <v>300.1</v>
                </pt>
                <pt idx="94">
                  <v>302.7</v>
                </pt>
                <pt idx="95">
                  <v>303.7</v>
                </pt>
                <pt idx="96">
                  <v>302.2</v>
                </pt>
                <pt idx="97">
                  <v>304.3</v>
                </pt>
                <pt idx="98">
                  <v>303.8</v>
                </pt>
                <pt idx="99">
                  <v>303.6</v>
                </pt>
                <pt idx="100">
                  <v>305.3</v>
                </pt>
                <pt idx="101">
                  <v>305.8</v>
                </pt>
                <pt idx="102">
                  <v>306.4</v>
                </pt>
                <pt idx="103">
                  <v>306.6</v>
                </pt>
                <pt idx="104">
                  <v>306.9</v>
                </pt>
                <pt idx="105">
                  <v>307.7</v>
                </pt>
                <pt idx="106">
                  <v>308</v>
                </pt>
                <pt idx="107">
                  <v>308.9</v>
                </pt>
                <pt idx="108">
                  <v>309.5</v>
                </pt>
                <pt idx="109">
                  <v>310.3</v>
                </pt>
                <pt idx="110">
                  <v>311.3</v>
                </pt>
                <pt idx="111">
                  <v>311.7</v>
                </pt>
                <pt idx="112">
                  <v>312.3</v>
                </pt>
                <pt idx="113">
                  <v>312.7</v>
                </pt>
                <pt idx="114">
                  <v>313.8</v>
                </pt>
                <pt idx="115">
                  <v>314.5</v>
                </pt>
                <pt idx="116">
                  <v>313.9</v>
                </pt>
                <pt idx="117">
                  <v>315.6</v>
                </pt>
                <pt idx="118">
                  <v>315.8</v>
                </pt>
                <pt idx="119">
                  <v>315.7</v>
                </pt>
                <pt idx="120">
                  <v>316.1</v>
                </pt>
                <pt idx="121">
                  <v>316.6</v>
                </pt>
                <pt idx="122">
                  <v>316.7</v>
                </pt>
                <pt idx="123">
                  <v>317.6</v>
                </pt>
                <pt idx="124">
                  <v>317.4</v>
                </pt>
                <pt idx="125">
                  <v>316.8</v>
                </pt>
                <pt idx="126">
                  <v>317.6</v>
                </pt>
                <pt idx="127">
                  <v>317.8</v>
                </pt>
                <pt idx="128">
                  <v>319.4</v>
                </pt>
                <pt idx="129">
                  <v>319.4</v>
                </pt>
                <pt idx="130">
                  <v>319.5</v>
                </pt>
                <pt idx="131">
                  <v>319.3</v>
                </pt>
                <pt idx="132">
                  <v>320.2</v>
                </pt>
                <pt idx="133">
                  <v>320.1</v>
                </pt>
                <pt idx="134">
                  <v>321</v>
                </pt>
                <pt idx="135">
                  <v>321.4</v>
                </pt>
                <pt idx="136">
                  <v>321.2</v>
                </pt>
                <pt idx="137">
                  <v>322.4</v>
                </pt>
                <pt idx="138">
                  <v>323.4</v>
                </pt>
                <pt idx="139">
                  <v>324.6</v>
                </pt>
                <pt idx="140">
                  <v>323.3</v>
                </pt>
                <pt idx="141">
                  <v>324.2</v>
                </pt>
                <pt idx="142">
                  <v>324.5</v>
                </pt>
                <pt idx="143">
                  <v>325.6</v>
                </pt>
                <pt idx="144">
                  <v>326.1</v>
                </pt>
                <pt idx="145">
                  <v>325.6</v>
                </pt>
                <pt idx="146">
                  <v>327.5</v>
                </pt>
                <pt idx="147">
                  <v>327</v>
                </pt>
                <pt idx="148">
                  <v>328.2</v>
                </pt>
                <pt idx="149">
                  <v>328.6</v>
                </pt>
                <pt idx="150">
                  <v>329</v>
                </pt>
                <pt idx="151">
                  <v>328.7</v>
                </pt>
                <pt idx="152">
                  <v>330</v>
                </pt>
                <pt idx="153">
                  <v>330.2</v>
                </pt>
                <pt idx="154">
                  <v>331</v>
                </pt>
                <pt idx="155">
                  <v>330.7</v>
                </pt>
                <pt idx="156">
                  <v>332.5</v>
                </pt>
                <pt idx="157">
                  <v>334</v>
                </pt>
                <pt idx="158">
                  <v>334.5</v>
                </pt>
                <pt idx="159">
                  <v>335.9</v>
                </pt>
                <pt idx="160">
                  <v>334.4</v>
                </pt>
                <pt idx="161">
                  <v>333.8</v>
                </pt>
                <pt idx="162">
                  <v>335.1</v>
                </pt>
                <pt idx="163">
                  <v>335.5</v>
                </pt>
                <pt idx="164">
                  <v>336.1</v>
                </pt>
                <pt idx="165">
                  <v>336.8</v>
                </pt>
                <pt idx="166">
                  <v>336.2</v>
                </pt>
                <pt idx="167">
                  <v>336.7</v>
                </pt>
                <pt idx="168">
                  <v>336.7</v>
                </pt>
                <pt idx="169">
                  <v>338.6</v>
                </pt>
                <pt idx="170">
                  <v>338.3</v>
                </pt>
                <pt idx="171">
                  <v>337.6</v>
                </pt>
                <pt idx="172">
                  <v>340.6</v>
                </pt>
                <pt idx="173">
                  <v>344.9</v>
                </pt>
                <pt idx="174">
                  <v>342.6</v>
                </pt>
                <pt idx="175">
                  <v>344.1</v>
                </pt>
                <pt idx="176">
                  <v>345.1</v>
                </pt>
                <pt idx="177">
                  <v>346.7</v>
                </pt>
                <pt idx="178">
                  <v>346.6</v>
                </pt>
                <pt idx="179">
                  <v>346.8</v>
                </pt>
                <pt idx="180">
                  <v>345.8</v>
                </pt>
                <pt idx="181">
                  <v>346.5</v>
                </pt>
                <pt idx="182">
                  <v>348.1</v>
                </pt>
                <pt idx="183">
                  <v>347.7</v>
                </pt>
                <pt idx="184">
                  <v>346.2</v>
                </pt>
                <pt idx="185">
                  <v>348.2</v>
                </pt>
                <pt idx="186">
                  <v>348.6</v>
                </pt>
                <pt idx="187">
                  <v>348.4</v>
                </pt>
                <pt idx="188">
                  <v>349.7</v>
                </pt>
                <pt idx="189">
                  <v>349.7</v>
                </pt>
                <pt idx="190">
                  <v>349.3</v>
                </pt>
                <pt idx="191">
                  <v>352.7</v>
                </pt>
                <pt idx="192">
                  <v>351.6</v>
                </pt>
                <pt idx="193">
                  <v>351.5</v>
                </pt>
                <pt idx="194">
                  <v>352.8</v>
                </pt>
                <pt idx="195">
                  <v>352.9</v>
                </pt>
                <pt idx="196">
                  <v>353</v>
                </pt>
                <pt idx="197">
                  <v>354.3</v>
                </pt>
                <pt idx="198">
                  <v>353.1</v>
                </pt>
                <pt idx="199">
                  <v>353.3</v>
                </pt>
                <pt idx="200">
                  <v>355.1</v>
                </pt>
                <pt idx="201">
                  <v>355.2</v>
                </pt>
                <pt idx="202">
                  <v>355.8</v>
                </pt>
                <pt idx="203">
                  <v>355.3</v>
                </pt>
                <pt idx="204">
                  <v>357.1</v>
                </pt>
                <pt idx="205">
                  <v>356.8</v>
                </pt>
                <pt idx="206">
                  <v>356.2</v>
                </pt>
                <pt idx="207">
                  <v>357.7</v>
                </pt>
                <pt idx="208">
                  <v>359.5</v>
                </pt>
                <pt idx="209">
                  <v>357.1</v>
                </pt>
                <pt idx="210">
                  <v>359.5</v>
                </pt>
                <pt idx="211">
                  <v>358.7</v>
                </pt>
                <pt idx="212">
                  <v>358.8</v>
                </pt>
                <pt idx="213">
                  <v>360.6</v>
                </pt>
                <pt idx="214">
                  <v>359.3</v>
                </pt>
                <pt idx="215">
                  <v>359.1</v>
                </pt>
                <pt idx="216">
                  <v>360.1</v>
                </pt>
                <pt idx="217">
                  <v>361.9</v>
                </pt>
                <pt idx="218">
                  <v>361.2</v>
                </pt>
                <pt idx="219">
                  <v>361.8</v>
                </pt>
                <pt idx="220">
                  <v>363.2</v>
                </pt>
                <pt idx="221">
                  <v>364.2</v>
                </pt>
                <pt idx="222">
                  <v>365</v>
                </pt>
                <pt idx="223">
                  <v>368.7</v>
                </pt>
                <pt idx="224">
                  <v>370.2</v>
                </pt>
                <pt idx="225">
                  <v>369.6</v>
                </pt>
                <pt idx="226">
                  <v>368.9</v>
                </pt>
                <pt idx="227">
                  <v>369.1</v>
                </pt>
                <pt idx="228">
                  <v>369.6</v>
                </pt>
                <pt idx="229">
                  <v>369</v>
                </pt>
                <pt idx="230">
                  <v>372.4</v>
                </pt>
                <pt idx="231">
                  <v>372.7</v>
                </pt>
                <pt idx="232">
                  <v>372.2</v>
                </pt>
                <pt idx="233">
                  <v>374.3</v>
                </pt>
                <pt idx="234">
                  <v>374.9</v>
                </pt>
                <pt idx="235">
                  <v>375.7</v>
                </pt>
                <pt idx="236">
                  <v>377.8</v>
                </pt>
                <pt idx="237">
                  <v>378.3</v>
                </pt>
                <pt idx="238">
                  <v>378.5</v>
                </pt>
                <pt idx="239">
                  <v>377.7</v>
                </pt>
                <pt idx="240">
                  <v>378.3</v>
                </pt>
                <pt idx="241">
                  <v>379.9</v>
                </pt>
                <pt idx="242">
                  <v>379.4</v>
                </pt>
                <pt idx="243">
                  <v>379</v>
                </pt>
                <pt idx="244">
                  <v>378.7</v>
                </pt>
                <pt idx="245">
                  <v>378.1</v>
                </pt>
                <pt idx="246">
                  <v>379.6</v>
                </pt>
                <pt idx="247">
                  <v>381.6</v>
                </pt>
                <pt idx="248">
                  <v>380.7</v>
                </pt>
                <pt idx="249">
                  <v>381.7</v>
                </pt>
                <pt idx="250">
                  <v>380.5</v>
                </pt>
                <pt idx="251">
                  <v>380.9</v>
                </pt>
                <pt idx="252">
                  <v>382.3</v>
                </pt>
                <pt idx="253">
                  <v>381.1</v>
                </pt>
                <pt idx="254">
                  <v>381.5</v>
                </pt>
                <pt idx="255">
                  <v>380.6</v>
                </pt>
                <pt idx="256">
                  <v>379.3</v>
                </pt>
                <pt idx="257">
                  <v>381.2</v>
                </pt>
                <pt idx="258">
                  <v>381</v>
                </pt>
                <pt idx="259">
                  <v>382.9</v>
                </pt>
                <pt idx="260">
                  <v>384.2</v>
                </pt>
                <pt idx="261">
                  <v>383.7</v>
                </pt>
                <pt idx="262">
                  <v>385.5</v>
                </pt>
                <pt idx="263">
                  <v>384.8</v>
                </pt>
                <pt idx="264">
                  <v>387.4</v>
                </pt>
                <pt idx="265">
                  <v>390.6</v>
                </pt>
                <pt idx="266">
                  <v>390.3</v>
                </pt>
                <pt idx="267">
                  <v>390.3</v>
                </pt>
                <pt idx="268">
                  <v>389.3</v>
                </pt>
                <pt idx="269">
                  <v>389.4</v>
                </pt>
                <pt idx="270">
                  <v>388.8</v>
                </pt>
                <pt idx="271">
                  <v>389.2</v>
                </pt>
                <pt idx="272">
                  <v>388.4</v>
                </pt>
                <pt idx="273">
                  <v>387.1</v>
                </pt>
                <pt idx="274">
                  <v>386</v>
                </pt>
                <pt idx="275">
                  <v>385</v>
                </pt>
                <pt idx="276">
                  <v>382.8</v>
                </pt>
                <pt idx="277">
                  <v>381.3</v>
                </pt>
                <pt idx="278">
                  <v>383.6</v>
                </pt>
                <pt idx="279">
                  <v>383.5</v>
                </pt>
                <pt idx="280">
                  <v>384.7</v>
                </pt>
                <pt idx="281">
                  <v>385.8</v>
                </pt>
                <pt idx="282">
                  <v>386.8</v>
                </pt>
                <pt idx="283">
                  <v>387.1</v>
                </pt>
                <pt idx="284">
                  <v>389</v>
                </pt>
                <pt idx="285">
                  <v>389.9</v>
                </pt>
                <pt idx="286">
                  <v>391.3</v>
                </pt>
                <pt idx="287">
                  <v>391.4</v>
                </pt>
                <pt idx="288">
                  <v>394.2</v>
                </pt>
                <pt idx="289">
                  <v>393.9</v>
                </pt>
                <pt idx="290">
                  <v>394.6</v>
                </pt>
                <pt idx="291">
                  <v>398.8</v>
                </pt>
                <pt idx="292">
                  <v>398.2</v>
                </pt>
                <pt idx="293">
                  <v>398.3</v>
                </pt>
                <pt idx="294">
                  <v>399.3</v>
                </pt>
                <pt idx="295">
                  <v>402.1</v>
                </pt>
                <pt idx="296">
                  <v>403.9</v>
                </pt>
                <pt idx="297">
                  <v>404.7</v>
                </pt>
                <pt idx="298">
                  <v>405.6</v>
                </pt>
                <pt idx="299">
                  <v>405.3</v>
                </pt>
                <pt idx="300">
                  <v>408.2</v>
                </pt>
                <pt idx="301">
                  <v>408.9</v>
                </pt>
                <pt idx="302">
                  <v>408.6</v>
                </pt>
                <pt idx="303">
                  <v>409.6</v>
                </pt>
                <pt idx="304">
                  <v>409.2</v>
                </pt>
                <pt idx="305">
                  <v>410.4</v>
                </pt>
                <pt idx="306">
                  <v>411.3</v>
                </pt>
                <pt idx="307">
                  <v>410.8</v>
                </pt>
                <pt idx="308">
                  <v>410.5</v>
                </pt>
                <pt idx="309">
                  <v>409.6</v>
                </pt>
                <pt idx="310">
                  <v>410.7</v>
                </pt>
                <pt idx="311">
                  <v>409.9</v>
                </pt>
                <pt idx="312">
                  <v>404.3</v>
                </pt>
                <pt idx="313">
                  <v>407.4</v>
                </pt>
                <pt idx="314">
                  <v>409.4</v>
                </pt>
                <pt idx="315">
                  <v>413.2</v>
                </pt>
                <pt idx="316">
                  <v>413.8</v>
                </pt>
                <pt idx="317">
                  <v>410.8</v>
                </pt>
                <pt idx="318">
                  <v>413.6</v>
                </pt>
                <pt idx="319">
                  <v>415.3</v>
                </pt>
                <pt idx="320">
                  <v>416.6</v>
                </pt>
                <pt idx="321">
                  <v>414.7</v>
                </pt>
                <pt idx="322">
                  <v>417.4</v>
                </pt>
                <pt idx="323">
                  <v>419.1</v>
                </pt>
                <pt idx="324">
                  <v>419.2</v>
                </pt>
                <pt idx="325">
                  <v>421</v>
                </pt>
                <pt idx="326">
                  <v>424</v>
                </pt>
                <pt idx="327">
                  <v>426.1</v>
                </pt>
                <pt idx="328">
                  <v>429.7</v>
                </pt>
                <pt idx="329">
                  <v>429.2</v>
                </pt>
                <pt idx="330">
                  <v>427.6</v>
                </pt>
                <pt idx="331">
                  <v>425.7</v>
                </pt>
                <pt idx="332">
                  <v>423.6</v>
                </pt>
                <pt idx="333">
                  <v>423.1</v>
                </pt>
                <pt idx="334">
                  <v>424.6</v>
                </pt>
                <pt idx="335">
                  <v>423.1</v>
                </pt>
                <pt idx="336">
                  <v>425.4</v>
                </pt>
                <pt idx="337">
                  <v>426.6</v>
                </pt>
                <pt idx="338">
                  <v>425.2</v>
                </pt>
                <pt idx="339">
                  <v>428.8</v>
                </pt>
                <pt idx="340">
                  <v>426.2</v>
                </pt>
                <pt idx="341">
                  <v>427.4</v>
                </pt>
                <pt idx="342">
                  <v>426.2</v>
                </pt>
                <pt idx="343">
                  <v>425.9</v>
                </pt>
                <pt idx="344">
                  <v>429</v>
                </pt>
                <pt idx="345">
                  <v>426.3</v>
                </pt>
                <pt idx="346">
                  <v>425.8</v>
                </pt>
                <pt idx="347">
                  <v>427</v>
                </pt>
                <pt idx="348">
                  <v>425.6</v>
                </pt>
                <pt idx="349">
                  <v>429</v>
                </pt>
                <pt idx="350">
                  <v>428.3</v>
                </pt>
                <pt idx="351">
                  <v>424.9</v>
                </pt>
                <pt idx="352">
                  <v>427</v>
                </pt>
                <pt idx="353">
                  <v>428.3</v>
                </pt>
                <pt idx="354">
                  <v>428.9</v>
                </pt>
                <pt idx="355">
                  <v>428.9</v>
                </pt>
                <pt idx="356">
                  <v>428.3</v>
                </pt>
                <pt idx="357">
                  <v>430.6</v>
                </pt>
                <pt idx="358">
                  <v>431.4</v>
                </pt>
                <pt idx="359">
                  <v>430.4</v>
                </pt>
                <pt idx="360">
                  <v>433.5</v>
                </pt>
                <pt idx="361">
                  <v>436.2</v>
                </pt>
                <pt idx="362">
                  <v>435.1</v>
                </pt>
                <pt idx="363">
                  <v>437.2</v>
                </pt>
                <pt idx="364">
                  <v>436.7</v>
                </pt>
                <pt idx="365">
                  <v>440.2</v>
                </pt>
                <pt idx="366">
                  <v>442.7</v>
                </pt>
                <pt idx="367">
                  <v>442.8</v>
                </pt>
                <pt idx="368">
                  <v>442.7</v>
                </pt>
                <pt idx="369">
                  <v>444.2</v>
                </pt>
                <pt idx="370">
                  <v>441.3</v>
                </pt>
                <pt idx="371">
                  <v>442.3</v>
                </pt>
                <pt idx="372">
                  <v>441.6</v>
                </pt>
                <pt idx="373">
                  <v>442.2</v>
                </pt>
                <pt idx="374">
                  <v>442.1</v>
                </pt>
                <pt idx="375">
                  <v>443.4</v>
                </pt>
                <pt idx="376">
                  <v>442.4</v>
                </pt>
                <pt idx="377">
                  <v>442.4</v>
                </pt>
                <pt idx="378">
                  <v>445.2</v>
                </pt>
                <pt idx="379">
                  <v>447.6</v>
                </pt>
                <pt idx="380">
                  <v>448.5</v>
                </pt>
                <pt idx="381">
                  <v>447.7</v>
                </pt>
                <pt idx="382">
                  <v>445.3</v>
                </pt>
                <pt idx="383">
                  <v>447.2</v>
                </pt>
                <pt idx="384">
                  <v>445.9</v>
                </pt>
                <pt idx="385">
                  <v>447.1</v>
                </pt>
                <pt idx="386">
                  <v>447.4</v>
                </pt>
                <pt idx="387">
                  <v>448</v>
                </pt>
                <pt idx="388">
                  <v>449.1</v>
                </pt>
                <pt idx="389">
                  <v>448.3</v>
                </pt>
                <pt idx="390">
                  <v>445</v>
                </pt>
                <pt idx="391">
                  <v>446.1</v>
                </pt>
                <pt idx="392">
                  <v>449</v>
                </pt>
                <pt idx="393">
                  <v>447.8</v>
                </pt>
                <pt idx="394">
                  <v>448.4</v>
                </pt>
                <pt idx="395">
                  <v>448.5</v>
                </pt>
                <pt idx="396">
                  <v>449.6</v>
                </pt>
                <pt idx="397">
                  <v>451.2</v>
                </pt>
                <pt idx="398">
                  <v>452.3</v>
                </pt>
                <pt idx="399">
                  <v>453.1</v>
                </pt>
                <pt idx="400">
                  <v>454.5</v>
                </pt>
                <pt idx="401">
                  <v>456.6</v>
                </pt>
                <pt idx="402">
                  <v>458.2</v>
                </pt>
                <pt idx="403">
                  <v>456.6</v>
                </pt>
                <pt idx="404">
                  <v>460</v>
                </pt>
                <pt idx="405">
                  <v>463.3</v>
                </pt>
                <pt idx="406">
                  <v>463.9</v>
                </pt>
                <pt idx="407">
                  <v>465.5</v>
                </pt>
                <pt idx="408">
                  <v>468.7</v>
                </pt>
                <pt idx="409">
                  <v>470.4</v>
                </pt>
                <pt idx="410">
                  <v>472.1</v>
                </pt>
                <pt idx="411">
                  <v>471.9</v>
                </pt>
                <pt idx="412">
                  <v>471.5</v>
                </pt>
                <pt idx="413">
                  <v>474.2</v>
                </pt>
                <pt idx="414">
                  <v>477.1</v>
                </pt>
                <pt idx="415">
                  <v>475.2</v>
                </pt>
                <pt idx="416">
                  <v>473.9</v>
                </pt>
                <pt idx="417">
                  <v>472.6</v>
                </pt>
                <pt idx="418">
                  <v>475.3</v>
                </pt>
                <pt idx="419">
                  <v>477.2</v>
                </pt>
                <pt idx="420">
                  <v>478.4</v>
                </pt>
                <pt idx="421">
                  <v>479.7</v>
                </pt>
                <pt idx="422">
                  <v>482.3</v>
                </pt>
                <pt idx="423">
                  <v>483.4</v>
                </pt>
                <pt idx="424">
                  <v>483.9</v>
                </pt>
                <pt idx="425">
                  <v>487.5</v>
                </pt>
                <pt idx="426">
                  <v>489.6</v>
                </pt>
                <pt idx="427">
                  <v>489.6</v>
                </pt>
                <pt idx="428">
                  <v>490.9</v>
                </pt>
                <pt idx="429">
                  <v>491</v>
                </pt>
                <pt idx="430">
                  <v>493.4</v>
                </pt>
                <pt idx="431">
                  <v>493.7</v>
                </pt>
                <pt idx="432">
                  <v>491.2</v>
                </pt>
                <pt idx="433">
                  <v>492.5</v>
                </pt>
                <pt idx="434">
                  <v>496</v>
                </pt>
                <pt idx="435">
                  <v>497.5</v>
                </pt>
                <pt idx="436">
                  <v>501.3</v>
                </pt>
                <pt idx="437">
                  <v>500.9</v>
                </pt>
                <pt idx="438">
                  <v>501</v>
                </pt>
                <pt idx="439">
                  <v>502.6</v>
                </pt>
                <pt idx="440">
                  <v>504.2</v>
                </pt>
                <pt idx="441">
                  <v>504.4</v>
                </pt>
                <pt idx="442">
                  <v>503.9</v>
                </pt>
                <pt idx="443">
                  <v>505.1</v>
                </pt>
                <pt idx="444">
                  <v>508.2</v>
                </pt>
                <pt idx="445">
                  <v>506.8</v>
                </pt>
                <pt idx="446">
                  <v>508.2</v>
                </pt>
                <pt idx="447">
                  <v>510.1</v>
                </pt>
                <pt idx="448">
                  <v>509.1</v>
                </pt>
                <pt idx="449">
                  <v>510.8</v>
                </pt>
                <pt idx="450">
                  <v>510.9</v>
                </pt>
                <pt idx="451">
                  <v>510.6</v>
                </pt>
                <pt idx="452">
                  <v>512.3</v>
                </pt>
                <pt idx="453">
                  <v>511.8</v>
                </pt>
                <pt idx="454">
                  <v>512.3</v>
                </pt>
                <pt idx="455">
                  <v>514</v>
                </pt>
                <pt idx="456">
                  <v>513.8</v>
                </pt>
                <pt idx="457">
                  <v>517.3</v>
                </pt>
                <pt idx="458">
                  <v>517.7</v>
                </pt>
                <pt idx="459">
                  <v>518.5</v>
                </pt>
                <pt idx="460">
                  <v>518.4</v>
                </pt>
                <pt idx="461">
                  <v>518.9</v>
                </pt>
                <pt idx="462">
                  <v>519.1</v>
                </pt>
                <pt idx="463">
                  <v>518.8</v>
                </pt>
                <pt idx="464">
                  <v>518.6</v>
                </pt>
                <pt idx="465">
                  <v>520.4</v>
                </pt>
                <pt idx="466">
                  <v>521.6</v>
                </pt>
                <pt idx="467">
                  <v>522.2</v>
                </pt>
                <pt idx="468">
                  <v>520.6</v>
                </pt>
                <pt idx="469">
                  <v>522.2</v>
                </pt>
                <pt idx="470">
                  <v>525.3</v>
                </pt>
                <pt idx="471">
                  <v>526.3</v>
                </pt>
                <pt idx="472">
                  <v>525</v>
                </pt>
                <pt idx="473">
                  <v>524.2</v>
                </pt>
                <pt idx="474">
                  <v>526.6</v>
                </pt>
                <pt idx="475">
                  <v>527.1</v>
                </pt>
                <pt idx="476">
                  <v>528.5</v>
                </pt>
                <pt idx="477">
                  <v>527.4</v>
                </pt>
                <pt idx="478">
                  <v>529.4</v>
                </pt>
                <pt idx="479">
                  <v>530</v>
                </pt>
                <pt idx="480">
                  <v>531.4</v>
                </pt>
                <pt idx="481">
                  <v>533.3</v>
                </pt>
                <pt idx="482">
                  <v>531.8</v>
                </pt>
                <pt idx="483">
                  <v>533.8</v>
                </pt>
                <pt idx="484">
                  <v>535.5</v>
                </pt>
                <pt idx="485">
                  <v>534.7</v>
                </pt>
                <pt idx="486">
                  <v>534.5</v>
                </pt>
                <pt idx="487">
                  <v>535.4</v>
                </pt>
                <pt idx="488">
                  <v>537.4</v>
                </pt>
                <pt idx="489">
                  <v>537.1</v>
                </pt>
                <pt idx="490">
                  <v>536.2</v>
                </pt>
                <pt idx="491">
                  <v>539.6</v>
                </pt>
                <pt idx="492">
                  <v>540.2</v>
                </pt>
                <pt idx="493">
                  <v>539.3</v>
                </pt>
                <pt idx="494">
                  <v>540.3</v>
                </pt>
                <pt idx="495">
                  <v>541.1</v>
                </pt>
                <pt idx="496">
                  <v>539.9</v>
                </pt>
                <pt idx="497">
                  <v>542.2</v>
                </pt>
                <pt idx="498">
                  <v>541.3</v>
                </pt>
                <pt idx="499">
                  <v>539.7</v>
                </pt>
                <pt idx="500">
                  <v>540.5</v>
                </pt>
                <pt idx="501">
                  <v>541.2</v>
                </pt>
                <pt idx="502">
                  <v>541.3</v>
                </pt>
                <pt idx="503">
                  <v>540.7</v>
                </pt>
                <pt idx="504">
                  <v>541.7</v>
                </pt>
                <pt idx="505">
                  <v>543.4</v>
                </pt>
                <pt idx="506">
                  <v>542.8</v>
                </pt>
                <pt idx="507">
                  <v>542.8</v>
                </pt>
                <pt idx="508">
                  <v>544.9</v>
                </pt>
                <pt idx="509">
                  <v>542.2</v>
                </pt>
                <pt idx="510">
                  <v>545.7</v>
                </pt>
                <pt idx="511">
                  <v>542.1</v>
                </pt>
                <pt idx="512">
                  <v>544.4</v>
                </pt>
                <pt idx="513">
                  <v>546.4</v>
                </pt>
                <pt idx="514">
                  <v>546.7</v>
                </pt>
                <pt idx="515">
                  <v>549.7</v>
                </pt>
                <pt idx="516">
                  <v>549.1</v>
                </pt>
                <pt idx="517">
                  <v>545.1</v>
                </pt>
                <pt idx="518">
                  <v>549.6</v>
                </pt>
                <pt idx="519">
                  <v>550.6</v>
                </pt>
                <pt idx="520">
                  <v>554</v>
                </pt>
                <pt idx="521">
                  <v>555.9</v>
                </pt>
                <pt idx="522">
                  <v>554</v>
                </pt>
                <pt idx="523">
                  <v>555.6</v>
                </pt>
                <pt idx="524">
                  <v>557.5</v>
                </pt>
                <pt idx="525">
                  <v>558.8</v>
                </pt>
                <pt idx="526">
                  <v>561.4</v>
                </pt>
                <pt idx="527">
                  <v>562.4</v>
                </pt>
                <pt idx="528">
                  <v>563.7</v>
                </pt>
                <pt idx="529">
                  <v>564.9</v>
                </pt>
                <pt idx="530">
                  <v>565.7</v>
                </pt>
                <pt idx="531">
                  <v>565.6</v>
                </pt>
                <pt idx="532">
                  <v>565.1</v>
                </pt>
                <pt idx="533">
                  <v>567.6</v>
                </pt>
                <pt idx="534">
                  <v>568.9</v>
                </pt>
                <pt idx="535">
                  <v>567.8</v>
                </pt>
                <pt idx="536">
                  <v>571.2</v>
                </pt>
                <pt idx="537">
                  <v>572.1</v>
                </pt>
                <pt idx="538">
                  <v>570.4</v>
                </pt>
                <pt idx="539">
                  <v>571.9</v>
                </pt>
                <pt idx="540">
                  <v>574</v>
                </pt>
                <pt idx="541">
                  <v>576.4</v>
                </pt>
                <pt idx="542">
                  <v>577.1</v>
                </pt>
                <pt idx="543">
                  <v>575.9</v>
                </pt>
                <pt idx="544">
                  <v>580.5</v>
                </pt>
                <pt idx="545">
                  <v>581.2</v>
                </pt>
                <pt idx="546">
                  <v>583.6</v>
                </pt>
                <pt idx="547">
                  <v>587.3</v>
                </pt>
                <pt idx="548">
                  <v>585.7</v>
                </pt>
                <pt idx="549">
                  <v>588.6</v>
                </pt>
                <pt idx="550">
                  <v>590</v>
                </pt>
                <pt idx="551">
                  <v>591</v>
                </pt>
                <pt idx="552">
                  <v>593.6</v>
                </pt>
                <pt idx="553">
                  <v>594.9</v>
                </pt>
                <pt idx="554">
                  <v>595.7</v>
                </pt>
                <pt idx="555">
                  <v>598.5</v>
                </pt>
                <pt idx="556">
                  <v>598.2</v>
                </pt>
                <pt idx="557">
                  <v>601.3</v>
                </pt>
                <pt idx="558">
                  <v>601.2</v>
                </pt>
                <pt idx="559">
                  <v>602</v>
                </pt>
                <pt idx="560">
                  <v>610.3</v>
                </pt>
                <pt idx="561">
                  <v>606.2</v>
                </pt>
                <pt idx="562">
                  <v>605.8</v>
                </pt>
                <pt idx="563">
                  <v>609.5</v>
                </pt>
                <pt idx="564">
                  <v>608.9</v>
                </pt>
                <pt idx="565">
                  <v>609.9</v>
                </pt>
                <pt idx="566">
                  <v>609.3</v>
                </pt>
                <pt idx="567">
                  <v>611</v>
                </pt>
                <pt idx="568">
                  <v>614.8</v>
                </pt>
                <pt idx="569">
                  <v>616.2</v>
                </pt>
                <pt idx="570">
                  <v>618.2</v>
                </pt>
                <pt idx="571">
                  <v>619.5</v>
                </pt>
                <pt idx="572">
                  <v>622.4</v>
                </pt>
                <pt idx="573">
                  <v>619.9</v>
                </pt>
                <pt idx="574">
                  <v>622</v>
                </pt>
                <pt idx="575">
                  <v>620.1</v>
                </pt>
                <pt idx="576">
                  <v>620.9</v>
                </pt>
                <pt idx="577">
                  <v>623.4</v>
                </pt>
                <pt idx="578">
                  <v>620.3</v>
                </pt>
                <pt idx="579">
                  <v>624.1</v>
                </pt>
                <pt idx="580">
                  <v>624.4</v>
                </pt>
                <pt idx="581">
                  <v>627.7</v>
                </pt>
                <pt idx="582">
                  <v>627.5</v>
                </pt>
                <pt idx="583">
                  <v>631.7</v>
                </pt>
                <pt idx="584">
                  <v>633.5</v>
                </pt>
                <pt idx="585">
                  <v>635.2</v>
                </pt>
                <pt idx="586">
                  <v>636.1</v>
                </pt>
                <pt idx="587">
                  <v>639.7</v>
                </pt>
                <pt idx="588">
                  <v>638.1</v>
                </pt>
                <pt idx="589">
                  <v>640.6</v>
                </pt>
                <pt idx="590">
                  <v>643.3</v>
                </pt>
                <pt idx="591">
                  <v>648.2</v>
                </pt>
                <pt idx="592">
                  <v>650.3</v>
                </pt>
                <pt idx="593">
                  <v>652.2</v>
                </pt>
                <pt idx="594">
                  <v>654.2</v>
                </pt>
                <pt idx="595">
                  <v>654.9</v>
                </pt>
                <pt idx="596">
                  <v>658.1</v>
                </pt>
                <pt idx="597">
                  <v>661</v>
                </pt>
                <pt idx="598">
                  <v>660.8</v>
                </pt>
                <pt idx="599">
                  <v>664.2</v>
                </pt>
                <pt idx="600">
                  <v>665.7</v>
                </pt>
                <pt idx="601">
                  <v>670</v>
                </pt>
                <pt idx="602">
                  <v>671.5</v>
                </pt>
                <pt idx="603">
                  <v>672.4</v>
                </pt>
                <pt idx="604">
                  <v>674.1</v>
                </pt>
                <pt idx="605">
                  <v>676</v>
                </pt>
                <pt idx="606">
                  <v>677.5</v>
                </pt>
                <pt idx="607">
                  <v>679.5</v>
                </pt>
                <pt idx="608">
                  <v>685.4</v>
                </pt>
                <pt idx="609">
                  <v>685.4</v>
                </pt>
                <pt idx="610">
                  <v>685.1</v>
                </pt>
                <pt idx="611">
                  <v>688.3</v>
                </pt>
                <pt idx="612">
                  <v>690.6</v>
                </pt>
                <pt idx="613">
                  <v>691.2</v>
                </pt>
                <pt idx="614">
                  <v>691.2</v>
                </pt>
                <pt idx="615">
                  <v>695.9</v>
                </pt>
                <pt idx="616">
                  <v>698.4</v>
                </pt>
                <pt idx="617">
                  <v>698.9</v>
                </pt>
                <pt idx="618">
                  <v>702.8</v>
                </pt>
                <pt idx="619">
                  <v>704.3</v>
                </pt>
                <pt idx="620">
                  <v>704.3</v>
                </pt>
                <pt idx="621">
                  <v>714.4</v>
                </pt>
                <pt idx="622">
                  <v>714.6</v>
                </pt>
                <pt idx="623">
                  <v>718.6</v>
                </pt>
                <pt idx="624">
                  <v>726.6</v>
                </pt>
                <pt idx="625">
                  <v>735.2</v>
                </pt>
                <pt idx="626">
                  <v>742.1</v>
                </pt>
                <pt idx="627">
                  <v>727.9</v>
                </pt>
                <pt idx="628">
                  <v>725.3</v>
                </pt>
                <pt idx="629">
                  <v>728.5</v>
                </pt>
                <pt idx="630">
                  <v>729.9</v>
                </pt>
                <pt idx="631">
                  <v>730.1</v>
                </pt>
                <pt idx="632">
                  <v>730</v>
                </pt>
                <pt idx="633">
                  <v>731.7</v>
                </pt>
                <pt idx="634">
                  <v>731.4</v>
                </pt>
                <pt idx="635">
                  <v>732.2</v>
                </pt>
                <pt idx="636">
                  <v>733.9</v>
                </pt>
                <pt idx="637">
                  <v>733.8</v>
                </pt>
                <pt idx="638">
                  <v>735.4</v>
                </pt>
                <pt idx="639">
                  <v>737.2</v>
                </pt>
                <pt idx="640">
                  <v>737.8</v>
                </pt>
                <pt idx="641">
                  <v>749.4</v>
                </pt>
                <pt idx="642">
                  <v>749.9</v>
                </pt>
                <pt idx="643">
                  <v>745.1</v>
                </pt>
                <pt idx="644">
                  <v>743.3</v>
                </pt>
                <pt idx="645">
                  <v>744.6</v>
                </pt>
                <pt idx="646">
                  <v>748.2</v>
                </pt>
                <pt idx="647">
                  <v>748.1</v>
                </pt>
                <pt idx="648">
                  <v>742</v>
                </pt>
                <pt idx="649">
                  <v>743.4</v>
                </pt>
                <pt idx="650">
                  <v>744</v>
                </pt>
                <pt idx="651">
                  <v>742.3</v>
                </pt>
                <pt idx="652">
                  <v>745.4</v>
                </pt>
                <pt idx="653">
                  <v>740.6</v>
                </pt>
                <pt idx="654">
                  <v>742.9</v>
                </pt>
                <pt idx="655">
                  <v>744.5</v>
                </pt>
                <pt idx="656">
                  <v>741.4</v>
                </pt>
                <pt idx="657">
                  <v>743.9</v>
                </pt>
                <pt idx="658">
                  <v>744.8</v>
                </pt>
                <pt idx="659">
                  <v>746.3</v>
                </pt>
                <pt idx="660">
                  <v>746.2</v>
                </pt>
                <pt idx="661">
                  <v>743.5</v>
                </pt>
                <pt idx="662">
                  <v>746.5</v>
                </pt>
                <pt idx="663">
                  <v>748.8</v>
                </pt>
                <pt idx="664">
                  <v>749.8</v>
                </pt>
                <pt idx="665">
                  <v>753.7</v>
                </pt>
                <pt idx="666">
                  <v>748.9</v>
                </pt>
                <pt idx="667">
                  <v>755</v>
                </pt>
                <pt idx="668">
                  <v>765.2</v>
                </pt>
                <pt idx="669">
                  <v>758.5</v>
                </pt>
                <pt idx="670">
                  <v>755.4</v>
                </pt>
                <pt idx="671">
                  <v>752.9</v>
                </pt>
                <pt idx="672">
                  <v>752</v>
                </pt>
                <pt idx="673">
                  <v>751</v>
                </pt>
                <pt idx="674">
                  <v>750.5</v>
                </pt>
                <pt idx="675">
                  <v>749.8</v>
                </pt>
                <pt idx="676">
                  <v>749.6</v>
                </pt>
                <pt idx="677">
                  <v>750.6</v>
                </pt>
                <pt idx="678">
                  <v>751.1</v>
                </pt>
                <pt idx="679">
                  <v>753.2</v>
                </pt>
                <pt idx="680">
                  <v>755.8</v>
                </pt>
                <pt idx="681">
                  <v>759</v>
                </pt>
                <pt idx="682">
                  <v>760.3</v>
                </pt>
                <pt idx="683">
                  <v>756.6</v>
                </pt>
                <pt idx="684">
                  <v>757.4</v>
                </pt>
                <pt idx="685">
                  <v>759.8</v>
                </pt>
                <pt idx="686">
                  <v>756.7</v>
                </pt>
                <pt idx="687">
                  <v>758.1</v>
                </pt>
                <pt idx="688">
                  <v>760.6</v>
                </pt>
                <pt idx="689">
                  <v>763.1</v>
                </pt>
                <pt idx="690">
                  <v>763.7</v>
                </pt>
                <pt idx="691">
                  <v>765.5</v>
                </pt>
                <pt idx="692">
                  <v>765.8</v>
                </pt>
                <pt idx="693">
                  <v>766.8</v>
                </pt>
                <pt idx="694">
                  <v>772.2</v>
                </pt>
                <pt idx="695">
                  <v>769.6</v>
                </pt>
                <pt idx="696">
                  <v>769.9</v>
                </pt>
                <pt idx="697">
                  <v>771.9</v>
                </pt>
                <pt idx="698">
                  <v>772.5</v>
                </pt>
                <pt idx="699">
                  <v>772.7</v>
                </pt>
                <pt idx="700">
                  <v>776.4</v>
                </pt>
                <pt idx="701">
                  <v>776.5</v>
                </pt>
                <pt idx="702">
                  <v>780.6</v>
                </pt>
                <pt idx="703">
                  <v>779.8</v>
                </pt>
                <pt idx="704">
                  <v>777.7</v>
                </pt>
                <pt idx="705">
                  <v>781.3</v>
                </pt>
                <pt idx="706">
                  <v>780.3</v>
                </pt>
                <pt idx="707">
                  <v>782.2</v>
                </pt>
                <pt idx="708">
                  <v>784.3</v>
                </pt>
                <pt idx="709">
                  <v>782.2</v>
                </pt>
                <pt idx="710">
                  <v>783.4</v>
                </pt>
                <pt idx="711">
                  <v>783.4</v>
                </pt>
                <pt idx="712">
                  <v>784</v>
                </pt>
                <pt idx="713">
                  <v>783.8</v>
                </pt>
                <pt idx="714">
                  <v>782.8</v>
                </pt>
                <pt idx="715">
                  <v>784.6</v>
                </pt>
                <pt idx="716">
                  <v>785.1</v>
                </pt>
                <pt idx="717">
                  <v>781.1</v>
                </pt>
                <pt idx="718">
                  <v>782.3</v>
                </pt>
                <pt idx="719">
                  <v>784</v>
                </pt>
                <pt idx="720">
                  <v>783.1</v>
                </pt>
                <pt idx="721">
                  <v>784.1</v>
                </pt>
                <pt idx="722">
                  <v>783.2</v>
                </pt>
                <pt idx="723">
                  <v>784.2</v>
                </pt>
                <pt idx="724">
                  <v>784.5</v>
                </pt>
                <pt idx="725">
                  <v>786.9</v>
                </pt>
                <pt idx="726">
                  <v>787.5</v>
                </pt>
                <pt idx="727">
                  <v>788.2</v>
                </pt>
                <pt idx="728">
                  <v>786.5</v>
                </pt>
                <pt idx="729">
                  <v>784.6</v>
                </pt>
                <pt idx="730">
                  <v>787.4</v>
                </pt>
                <pt idx="731">
                  <v>786.7</v>
                </pt>
                <pt idx="732">
                  <v>786.2</v>
                </pt>
                <pt idx="733">
                  <v>786.5</v>
                </pt>
                <pt idx="734">
                  <v>783.2</v>
                </pt>
                <pt idx="735">
                  <v>784.4</v>
                </pt>
                <pt idx="736">
                  <v>783.5</v>
                </pt>
                <pt idx="737">
                  <v>783.5</v>
                </pt>
                <pt idx="738">
                  <v>783.4</v>
                </pt>
                <pt idx="739">
                  <v>787.1</v>
                </pt>
                <pt idx="740">
                  <v>782.6</v>
                </pt>
                <pt idx="741">
                  <v>783.2</v>
                </pt>
                <pt idx="742">
                  <v>783</v>
                </pt>
                <pt idx="743">
                  <v>777.4</v>
                </pt>
                <pt idx="744">
                  <v>776.5</v>
                </pt>
                <pt idx="745">
                  <v>776.9</v>
                </pt>
                <pt idx="746">
                  <v>782.3</v>
                </pt>
                <pt idx="747">
                  <v>782.3</v>
                </pt>
                <pt idx="748">
                  <v>775.1</v>
                </pt>
                <pt idx="749">
                  <v>775.7</v>
                </pt>
                <pt idx="750">
                  <v>773.4</v>
                </pt>
                <pt idx="751">
                  <v>774.6</v>
                </pt>
                <pt idx="752">
                  <v>775.3</v>
                </pt>
                <pt idx="753">
                  <v>772.5</v>
                </pt>
                <pt idx="754">
                  <v>772.7</v>
                </pt>
                <pt idx="755">
                  <v>773.6</v>
                </pt>
                <pt idx="756">
                  <v>774.3</v>
                </pt>
                <pt idx="757">
                  <v>779.1</v>
                </pt>
                <pt idx="758">
                  <v>777.9</v>
                </pt>
                <pt idx="759">
                  <v>778.1</v>
                </pt>
                <pt idx="760">
                  <v>777.3</v>
                </pt>
                <pt idx="761">
                  <v>778.4</v>
                </pt>
                <pt idx="762">
                  <v>779</v>
                </pt>
                <pt idx="763">
                  <v>780.9</v>
                </pt>
                <pt idx="764">
                  <v>779.9</v>
                </pt>
                <pt idx="765">
                  <v>777.8</v>
                </pt>
                <pt idx="766">
                  <v>781.9</v>
                </pt>
                <pt idx="767">
                  <v>780.2</v>
                </pt>
                <pt idx="768">
                  <v>781.2</v>
                </pt>
                <pt idx="769">
                  <v>783.5</v>
                </pt>
                <pt idx="770">
                  <v>785.2</v>
                </pt>
                <pt idx="771">
                  <v>788.7</v>
                </pt>
                <pt idx="772">
                  <v>787.4</v>
                </pt>
                <pt idx="773">
                  <v>785.8</v>
                </pt>
                <pt idx="774">
                  <v>787</v>
                </pt>
                <pt idx="775">
                  <v>785.9</v>
                </pt>
                <pt idx="776">
                  <v>787.6</v>
                </pt>
                <pt idx="777">
                  <v>790.7</v>
                </pt>
                <pt idx="778">
                  <v>789</v>
                </pt>
                <pt idx="779">
                  <v>789.8</v>
                </pt>
                <pt idx="780">
                  <v>790.7</v>
                </pt>
                <pt idx="781">
                  <v>794.9</v>
                </pt>
                <pt idx="782">
                  <v>798.3</v>
                </pt>
                <pt idx="783">
                  <v>793.6</v>
                </pt>
                <pt idx="784">
                  <v>796.5</v>
                </pt>
                <pt idx="785">
                  <v>795.1</v>
                </pt>
                <pt idx="786">
                  <v>793.8</v>
                </pt>
                <pt idx="787">
                  <v>797.1</v>
                </pt>
                <pt idx="788">
                  <v>796.3</v>
                </pt>
                <pt idx="789">
                  <v>796.3</v>
                </pt>
                <pt idx="790">
                  <v>799.8</v>
                </pt>
                <pt idx="791">
                  <v>801.6</v>
                </pt>
                <pt idx="792">
                  <v>799.7</v>
                </pt>
                <pt idx="793">
                  <v>799.6</v>
                </pt>
                <pt idx="794">
                  <v>802.5</v>
                </pt>
                <pt idx="795">
                  <v>802.4</v>
                </pt>
                <pt idx="796">
                  <v>804.3</v>
                </pt>
                <pt idx="797">
                  <v>807</v>
                </pt>
                <pt idx="798">
                  <v>807.2</v>
                </pt>
                <pt idx="799">
                  <v>806.5</v>
                </pt>
                <pt idx="800">
                  <v>803</v>
                </pt>
                <pt idx="801">
                  <v>802.9</v>
                </pt>
                <pt idx="802">
                  <v>806.2</v>
                </pt>
                <pt idx="803">
                  <v>804.9</v>
                </pt>
                <pt idx="804">
                  <v>807.1</v>
                </pt>
                <pt idx="805">
                  <v>807.7</v>
                </pt>
                <pt idx="806">
                  <v>807.3</v>
                </pt>
                <pt idx="807">
                  <v>810.3</v>
                </pt>
                <pt idx="808">
                  <v>813.2</v>
                </pt>
                <pt idx="809">
                  <v>808.1</v>
                </pt>
                <pt idx="810">
                  <v>811.3</v>
                </pt>
                <pt idx="811">
                  <v>809.3</v>
                </pt>
                <pt idx="812">
                  <v>810.8</v>
                </pt>
                <pt idx="813">
                  <v>811.9</v>
                </pt>
                <pt idx="814">
                  <v>816.1</v>
                </pt>
                <pt idx="815">
                  <v>817.2</v>
                </pt>
                <pt idx="816">
                  <v>816.2</v>
                </pt>
                <pt idx="817">
                  <v>819</v>
                </pt>
                <pt idx="818">
                  <v>819.8</v>
                </pt>
                <pt idx="819">
                  <v>819.2</v>
                </pt>
                <pt idx="820">
                  <v>820.5</v>
                </pt>
                <pt idx="821">
                  <v>823.3</v>
                </pt>
                <pt idx="822">
                  <v>820.5</v>
                </pt>
                <pt idx="823">
                  <v>820.7</v>
                </pt>
                <pt idx="824">
                  <v>817.2</v>
                </pt>
                <pt idx="825">
                  <v>820</v>
                </pt>
                <pt idx="826">
                  <v>822</v>
                </pt>
                <pt idx="827">
                  <v>822</v>
                </pt>
                <pt idx="828">
                  <v>823.4</v>
                </pt>
                <pt idx="829">
                  <v>824.5</v>
                </pt>
                <pt idx="830">
                  <v>815.3</v>
                </pt>
                <pt idx="831">
                  <v>821.8</v>
                </pt>
                <pt idx="832">
                  <v>824.2</v>
                </pt>
                <pt idx="833">
                  <v>828.1</v>
                </pt>
                <pt idx="834">
                  <v>828.9</v>
                </pt>
                <pt idx="835">
                  <v>826.6</v>
                </pt>
                <pt idx="836">
                  <v>825.7</v>
                </pt>
                <pt idx="837">
                  <v>826.2</v>
                </pt>
                <pt idx="838">
                  <v>828.4</v>
                </pt>
                <pt idx="839">
                  <v>830.9</v>
                </pt>
                <pt idx="840">
                  <v>833.5</v>
                </pt>
                <pt idx="841">
                  <v>832.4</v>
                </pt>
                <pt idx="842">
                  <v>832</v>
                </pt>
                <pt idx="843">
                  <v>834.6</v>
                </pt>
                <pt idx="844">
                  <v>836.5</v>
                </pt>
                <pt idx="845">
                  <v>836</v>
                </pt>
                <pt idx="846">
                  <v>840.2</v>
                </pt>
                <pt idx="847">
                  <v>845.5</v>
                </pt>
                <pt idx="848">
                  <v>842.7</v>
                </pt>
                <pt idx="849">
                  <v>845</v>
                </pt>
                <pt idx="850">
                  <v>842.6</v>
                </pt>
                <pt idx="851">
                  <v>841.2</v>
                </pt>
                <pt idx="852">
                  <v>846.4</v>
                </pt>
                <pt idx="853">
                  <v>848.3</v>
                </pt>
                <pt idx="854">
                  <v>850.8</v>
                </pt>
                <pt idx="855">
                  <v>849.7</v>
                </pt>
                <pt idx="856">
                  <v>848.1</v>
                </pt>
                <pt idx="857">
                  <v>855.6</v>
                </pt>
                <pt idx="858">
                  <v>856.5</v>
                </pt>
                <pt idx="859">
                  <v>856.1</v>
                </pt>
                <pt idx="860">
                  <v>863.2</v>
                </pt>
                <pt idx="861">
                  <v>859.5</v>
                </pt>
                <pt idx="862">
                  <v>861.4</v>
                </pt>
                <pt idx="863">
                  <v>861.1</v>
                </pt>
                <pt idx="864">
                  <v>862.7</v>
                </pt>
                <pt idx="865">
                  <v>866.3</v>
                </pt>
                <pt idx="866">
                  <v>865.3</v>
                </pt>
                <pt idx="867">
                  <v>865</v>
                </pt>
                <pt idx="868">
                  <v>869.1</v>
                </pt>
                <pt idx="869">
                  <v>868.3</v>
                </pt>
                <pt idx="870">
                  <v>870.5</v>
                </pt>
                <pt idx="871">
                  <v>869.8</v>
                </pt>
                <pt idx="872">
                  <v>869.5</v>
                </pt>
                <pt idx="873">
                  <v>871.8</v>
                </pt>
                <pt idx="874">
                  <v>874.6</v>
                </pt>
                <pt idx="875">
                  <v>875.4</v>
                </pt>
                <pt idx="876">
                  <v>879.5</v>
                </pt>
                <pt idx="877">
                  <v>880.8</v>
                </pt>
                <pt idx="878">
                  <v>882.4</v>
                </pt>
                <pt idx="879">
                  <v>885.8</v>
                </pt>
                <pt idx="880">
                  <v>886.6</v>
                </pt>
                <pt idx="881">
                  <v>887.4</v>
                </pt>
                <pt idx="882">
                  <v>896.1</v>
                </pt>
                <pt idx="883">
                  <v>894.6</v>
                </pt>
                <pt idx="884">
                  <v>897.6</v>
                </pt>
                <pt idx="885">
                  <v>897.6</v>
                </pt>
                <pt idx="886">
                  <v>897.5</v>
                </pt>
                <pt idx="887">
                  <v>901.9</v>
                </pt>
                <pt idx="888">
                  <v>906.8</v>
                </pt>
                <pt idx="889">
                  <v>909.3</v>
                </pt>
                <pt idx="890">
                  <v>918.2</v>
                </pt>
                <pt idx="891">
                  <v>917.7</v>
                </pt>
                <pt idx="892">
                  <v>923.6</v>
                </pt>
                <pt idx="893">
                  <v>925.4</v>
                </pt>
                <pt idx="894">
                  <v>928.6</v>
                </pt>
                <pt idx="895">
                  <v>926.9</v>
                </pt>
                <pt idx="896">
                  <v>933.1</v>
                </pt>
                <pt idx="897">
                  <v>938.2</v>
                </pt>
                <pt idx="898">
                  <v>937.9</v>
                </pt>
                <pt idx="899">
                  <v>939.7</v>
                </pt>
                <pt idx="900">
                  <v>941</v>
                </pt>
                <pt idx="901">
                  <v>941.3</v>
                </pt>
                <pt idx="902">
                  <v>945.7</v>
                </pt>
                <pt idx="903">
                  <v>945.6</v>
                </pt>
                <pt idx="904">
                  <v>946.5</v>
                </pt>
                <pt idx="905">
                  <v>949.4</v>
                </pt>
                <pt idx="906">
                  <v>949.8</v>
                </pt>
                <pt idx="907">
                  <v>952.3</v>
                </pt>
                <pt idx="908">
                  <v>953.5</v>
                </pt>
                <pt idx="909">
                  <v>951.1</v>
                </pt>
                <pt idx="910">
                  <v>955.6</v>
                </pt>
                <pt idx="911">
                  <v>954.8</v>
                </pt>
                <pt idx="912">
                  <v>955.2</v>
                </pt>
                <pt idx="913">
                  <v>959.3</v>
                </pt>
                <pt idx="914">
                  <v>960.4</v>
                </pt>
                <pt idx="915">
                  <v>964.8</v>
                </pt>
                <pt idx="916">
                  <v>966.8</v>
                </pt>
                <pt idx="917">
                  <v>965.8</v>
                </pt>
                <pt idx="918">
                  <v>972.7</v>
                </pt>
                <pt idx="919">
                  <v>972.9</v>
                </pt>
                <pt idx="920">
                  <v>974.2</v>
                </pt>
                <pt idx="921">
                  <v>978.5</v>
                </pt>
                <pt idx="922">
                  <v>979.3</v>
                </pt>
                <pt idx="923">
                  <v>985.6</v>
                </pt>
                <pt idx="924">
                  <v>990.1</v>
                </pt>
                <pt idx="925">
                  <v>994.2</v>
                </pt>
                <pt idx="926">
                  <v>997.6</v>
                </pt>
                <pt idx="927">
                  <v>999.5</v>
                </pt>
                <pt idx="928">
                  <v>1001</v>
                </pt>
                <pt idx="929">
                  <v>1009.2</v>
                </pt>
                <pt idx="930">
                  <v>1011.7</v>
                </pt>
                <pt idx="931">
                  <v>1014.8</v>
                </pt>
                <pt idx="932">
                  <v>1017</v>
                </pt>
                <pt idx="933">
                  <v>1014.4</v>
                </pt>
                <pt idx="934">
                  <v>1017.9</v>
                </pt>
                <pt idx="935">
                  <v>1021.4</v>
                </pt>
                <pt idx="936">
                  <v>1025.9</v>
                </pt>
                <pt idx="937">
                  <v>1022.8</v>
                </pt>
                <pt idx="938">
                  <v>1028.4</v>
                </pt>
                <pt idx="939">
                  <v>1027.8</v>
                </pt>
                <pt idx="940">
                  <v>1031.1</v>
                </pt>
                <pt idx="941">
                  <v>1029.6</v>
                </pt>
                <pt idx="942">
                  <v>1030.9</v>
                </pt>
                <pt idx="943">
                  <v>1031.4</v>
                </pt>
                <pt idx="944">
                  <v>1030</v>
                </pt>
                <pt idx="945">
                  <v>1034.1</v>
                </pt>
                <pt idx="946">
                  <v>1034.7</v>
                </pt>
                <pt idx="947">
                  <v>1035.9</v>
                </pt>
                <pt idx="948">
                  <v>1035.3</v>
                </pt>
                <pt idx="949">
                  <v>1036.8</v>
                </pt>
                <pt idx="950">
                  <v>1038.6</v>
                </pt>
                <pt idx="951">
                  <v>1040.4</v>
                </pt>
                <pt idx="952">
                  <v>1045.4</v>
                </pt>
                <pt idx="953">
                  <v>1045.9</v>
                </pt>
                <pt idx="954">
                  <v>1045.5</v>
                </pt>
                <pt idx="955">
                  <v>1047.2</v>
                </pt>
                <pt idx="956">
                  <v>1056.3</v>
                </pt>
                <pt idx="957">
                  <v>1064.1</v>
                </pt>
                <pt idx="958">
                  <v>1066</v>
                </pt>
                <pt idx="959">
                  <v>1063.6</v>
                </pt>
                <pt idx="960">
                  <v>1073</v>
                </pt>
                <pt idx="961">
                  <v>1071.3</v>
                </pt>
                <pt idx="962">
                  <v>1074.1</v>
                </pt>
                <pt idx="963">
                  <v>1076.4</v>
                </pt>
                <pt idx="964">
                  <v>1077.6</v>
                </pt>
                <pt idx="965">
                  <v>1079.3</v>
                </pt>
                <pt idx="966">
                  <v>1083.3</v>
                </pt>
                <pt idx="967">
                  <v>1085.3</v>
                </pt>
                <pt idx="968">
                  <v>1086.5</v>
                </pt>
                <pt idx="969">
                  <v>1088.3</v>
                </pt>
                <pt idx="970">
                  <v>1092.4</v>
                </pt>
                <pt idx="971">
                  <v>1095.4</v>
                </pt>
                <pt idx="972">
                  <v>1093.1</v>
                </pt>
                <pt idx="973">
                  <v>1096.8</v>
                </pt>
                <pt idx="974">
                  <v>1100.6</v>
                </pt>
                <pt idx="975">
                  <v>1103</v>
                </pt>
                <pt idx="976">
                  <v>1106.9</v>
                </pt>
                <pt idx="977">
                  <v>1103.9</v>
                </pt>
                <pt idx="978">
                  <v>1108.3</v>
                </pt>
                <pt idx="979">
                  <v>1110.1</v>
                </pt>
                <pt idx="980">
                  <v>1112.8</v>
                </pt>
                <pt idx="981">
                  <v>1113</v>
                </pt>
                <pt idx="982">
                  <v>1120.1</v>
                </pt>
                <pt idx="983">
                  <v>1121.7</v>
                </pt>
                <pt idx="984">
                  <v>1126.8</v>
                </pt>
                <pt idx="985">
                  <v>1123.2</v>
                </pt>
                <pt idx="986">
                  <v>1124.7</v>
                </pt>
                <pt idx="987">
                  <v>1128.1</v>
                </pt>
                <pt idx="988">
                  <v>1129.5</v>
                </pt>
                <pt idx="989">
                  <v>1129.5</v>
                </pt>
                <pt idx="990">
                  <v>1131.9</v>
                </pt>
                <pt idx="991">
                  <v>1128.4</v>
                </pt>
                <pt idx="992">
                  <v>1131</v>
                </pt>
                <pt idx="993">
                  <v>1131.3</v>
                </pt>
                <pt idx="994">
                  <v>1132.4</v>
                </pt>
                <pt idx="995">
                  <v>1132.7</v>
                </pt>
                <pt idx="996">
                  <v>1134.5</v>
                </pt>
                <pt idx="997">
                  <v>1136.7</v>
                </pt>
                <pt idx="998">
                  <v>1137.4</v>
                </pt>
                <pt idx="999">
                  <v>1136.5</v>
                </pt>
                <pt idx="1000">
                  <v>1138.3</v>
                </pt>
                <pt idx="1001">
                  <v>1139.6</v>
                </pt>
                <pt idx="1002">
                  <v>1139.2</v>
                </pt>
                <pt idx="1003">
                  <v>1141.5</v>
                </pt>
                <pt idx="1004">
                  <v>1144.7</v>
                </pt>
                <pt idx="1005">
                  <v>1143.8</v>
                </pt>
                <pt idx="1006">
                  <v>1139</v>
                </pt>
                <pt idx="1007">
                  <v>1137.9</v>
                </pt>
                <pt idx="1008">
                  <v>1141.8</v>
                </pt>
                <pt idx="1009">
                  <v>1144.9</v>
                </pt>
                <pt idx="1010">
                  <v>1145.1</v>
                </pt>
                <pt idx="1011">
                  <v>1141.2</v>
                </pt>
                <pt idx="1012">
                  <v>1142.3</v>
                </pt>
                <pt idx="1013">
                  <v>1144.3</v>
                </pt>
                <pt idx="1014">
                  <v>1145.4</v>
                </pt>
                <pt idx="1015">
                  <v>1146.4</v>
                </pt>
                <pt idx="1016">
                  <v>1145.3</v>
                </pt>
                <pt idx="1017">
                  <v>1143.5</v>
                </pt>
                <pt idx="1018">
                  <v>1151.5</v>
                </pt>
                <pt idx="1019">
                  <v>1151.2</v>
                </pt>
                <pt idx="1020">
                  <v>1151.4</v>
                </pt>
                <pt idx="1021">
                  <v>1152.9</v>
                </pt>
                <pt idx="1022">
                  <v>1148</v>
                </pt>
                <pt idx="1023">
                  <v>1151.6</v>
                </pt>
                <pt idx="1024">
                  <v>1150.2</v>
                </pt>
                <pt idx="1025">
                  <v>1151.6</v>
                </pt>
                <pt idx="1026">
                  <v>1153</v>
                </pt>
                <pt idx="1027">
                  <v>1152.7</v>
                </pt>
                <pt idx="1028">
                  <v>1152.2</v>
                </pt>
                <pt idx="1029">
                  <v>1152.3</v>
                </pt>
                <pt idx="1030">
                  <v>1147.7</v>
                </pt>
                <pt idx="1031">
                  <v>1152.6</v>
                </pt>
                <pt idx="1032">
                  <v>1152.7</v>
                </pt>
                <pt idx="1033">
                  <v>1148.2</v>
                </pt>
                <pt idx="1034">
                  <v>1148.1</v>
                </pt>
                <pt idx="1035">
                  <v>1148.2</v>
                </pt>
                <pt idx="1036">
                  <v>1151.8</v>
                </pt>
                <pt idx="1037">
                  <v>1152.4</v>
                </pt>
                <pt idx="1038">
                  <v>1151.2</v>
                </pt>
                <pt idx="1039">
                  <v>1152.2</v>
                </pt>
                <pt idx="1040">
                  <v>1154.5</v>
                </pt>
                <pt idx="1041">
                  <v>1150.4</v>
                </pt>
                <pt idx="1042">
                  <v>1149.3</v>
                </pt>
                <pt idx="1043">
                  <v>1145.9</v>
                </pt>
                <pt idx="1044">
                  <v>1154.4</v>
                </pt>
                <pt idx="1045">
                  <v>1154.4</v>
                </pt>
                <pt idx="1046">
                  <v>1150.4</v>
                </pt>
                <pt idx="1047">
                  <v>1148</v>
                </pt>
                <pt idx="1048">
                  <v>1150.5</v>
                </pt>
                <pt idx="1049">
                  <v>1148</v>
                </pt>
                <pt idx="1050">
                  <v>1145.3</v>
                </pt>
                <pt idx="1051">
                  <v>1146.2</v>
                </pt>
                <pt idx="1052">
                  <v>1147.2</v>
                </pt>
                <pt idx="1053">
                  <v>1148.3</v>
                </pt>
                <pt idx="1054">
                  <v>1147.2</v>
                </pt>
                <pt idx="1055">
                  <v>1147.2</v>
                </pt>
                <pt idx="1056">
                  <v>1141.5</v>
                </pt>
                <pt idx="1057">
                  <v>1151.4</v>
                </pt>
                <pt idx="1058">
                  <v>1149.1</v>
                </pt>
                <pt idx="1059">
                  <v>1149.8</v>
                </pt>
                <pt idx="1060">
                  <v>1150.4</v>
                </pt>
                <pt idx="1061">
                  <v>1144.8</v>
                </pt>
                <pt idx="1062">
                  <v>1146.7</v>
                </pt>
                <pt idx="1063">
                  <v>1146</v>
                </pt>
                <pt idx="1064">
                  <v>1142.8</v>
                </pt>
                <pt idx="1065">
                  <v>1145.5</v>
                </pt>
                <pt idx="1066">
                  <v>1146.3</v>
                </pt>
                <pt idx="1067">
                  <v>1143.4</v>
                </pt>
                <pt idx="1068">
                  <v>1143.8</v>
                </pt>
                <pt idx="1069">
                  <v>1141</v>
                </pt>
                <pt idx="1070">
                  <v>1149</v>
                </pt>
                <pt idx="1071">
                  <v>1145.5</v>
                </pt>
                <pt idx="1072">
                  <v>1143</v>
                </pt>
                <pt idx="1073">
                  <v>1146.2</v>
                </pt>
                <pt idx="1074">
                  <v>1146</v>
                </pt>
                <pt idx="1075">
                  <v>1147.4</v>
                </pt>
                <pt idx="1076">
                  <v>1146.3</v>
                </pt>
                <pt idx="1077">
                  <v>1143.4</v>
                </pt>
                <pt idx="1078">
                  <v>1142.7</v>
                </pt>
                <pt idx="1079">
                  <v>1148.6</v>
                </pt>
                <pt idx="1080">
                  <v>1142.1</v>
                </pt>
                <pt idx="1081">
                  <v>1140</v>
                </pt>
                <pt idx="1082">
                  <v>1133.8</v>
                </pt>
                <pt idx="1083">
                  <v>1137.3</v>
                </pt>
                <pt idx="1084">
                  <v>1141.2</v>
                </pt>
                <pt idx="1085">
                  <v>1136.1</v>
                </pt>
                <pt idx="1086">
                  <v>1135.2</v>
                </pt>
                <pt idx="1087">
                  <v>1137.9</v>
                </pt>
                <pt idx="1088">
                  <v>1134.3</v>
                </pt>
                <pt idx="1089">
                  <v>1134.6</v>
                </pt>
                <pt idx="1090">
                  <v>1133.8</v>
                </pt>
                <pt idx="1091">
                  <v>1125.5</v>
                </pt>
                <pt idx="1092">
                  <v>1131</v>
                </pt>
                <pt idx="1093">
                  <v>1122.7</v>
                </pt>
                <pt idx="1094">
                  <v>1127</v>
                </pt>
                <pt idx="1095">
                  <v>1130.5</v>
                </pt>
                <pt idx="1096">
                  <v>1124.9</v>
                </pt>
                <pt idx="1097">
                  <v>1129.4</v>
                </pt>
                <pt idx="1098">
                  <v>1120.8</v>
                </pt>
                <pt idx="1099">
                  <v>1117.9</v>
                </pt>
                <pt idx="1100">
                  <v>1121.5</v>
                </pt>
                <pt idx="1101">
                  <v>1118.6</v>
                </pt>
                <pt idx="1102">
                  <v>1115.7</v>
                </pt>
                <pt idx="1103">
                  <v>1116.9</v>
                </pt>
                <pt idx="1104">
                  <v>1123</v>
                </pt>
                <pt idx="1105">
                  <v>1118.7</v>
                </pt>
                <pt idx="1106">
                  <v>1120.8</v>
                </pt>
                <pt idx="1107">
                  <v>1123.2</v>
                </pt>
                <pt idx="1108">
                  <v>1128.8</v>
                </pt>
                <pt idx="1109">
                  <v>1124.1</v>
                </pt>
                <pt idx="1110">
                  <v>1130.4</v>
                </pt>
                <pt idx="1111">
                  <v>1125</v>
                </pt>
                <pt idx="1112">
                  <v>1118.6</v>
                </pt>
                <pt idx="1113">
                  <v>1123</v>
                </pt>
                <pt idx="1114">
                  <v>1117.6</v>
                </pt>
                <pt idx="1115">
                  <v>1117.3</v>
                </pt>
                <pt idx="1116">
                  <v>1110.8</v>
                </pt>
                <pt idx="1117">
                  <v>1114.2</v>
                </pt>
                <pt idx="1118">
                  <v>1114.9</v>
                </pt>
                <pt idx="1119">
                  <v>1114.5</v>
                </pt>
                <pt idx="1120">
                  <v>1113</v>
                </pt>
                <pt idx="1121">
                  <v>1119.2</v>
                </pt>
                <pt idx="1122">
                  <v>1109</v>
                </pt>
                <pt idx="1123">
                  <v>1115.1</v>
                </pt>
                <pt idx="1124">
                  <v>1113.1</v>
                </pt>
                <pt idx="1125">
                  <v>1112.1</v>
                </pt>
                <pt idx="1126">
                  <v>1108.5</v>
                </pt>
                <pt idx="1127">
                  <v>1106.1</v>
                </pt>
                <pt idx="1128">
                  <v>1098.1</v>
                </pt>
                <pt idx="1129">
                  <v>1098.6</v>
                </pt>
                <pt idx="1130">
                  <v>1097.9</v>
                </pt>
                <pt idx="1131">
                  <v>1103.8</v>
                </pt>
                <pt idx="1132">
                  <v>1096.7</v>
                </pt>
                <pt idx="1133">
                  <v>1091.7</v>
                </pt>
                <pt idx="1134">
                  <v>1091.8</v>
                </pt>
                <pt idx="1135">
                  <v>1088.5</v>
                </pt>
                <pt idx="1136">
                  <v>1091.6</v>
                </pt>
                <pt idx="1137">
                  <v>1086.7</v>
                </pt>
                <pt idx="1138">
                  <v>1077.8</v>
                </pt>
                <pt idx="1139">
                  <v>1081.2</v>
                </pt>
                <pt idx="1140">
                  <v>1088.1</v>
                </pt>
                <pt idx="1141">
                  <v>1087.7</v>
                </pt>
                <pt idx="1142">
                  <v>1078.1</v>
                </pt>
                <pt idx="1143">
                  <v>1081</v>
                </pt>
                <pt idx="1144">
                  <v>1091.1</v>
                </pt>
                <pt idx="1145">
                  <v>1083.9</v>
                </pt>
                <pt idx="1146">
                  <v>1080.2</v>
                </pt>
                <pt idx="1147">
                  <v>1070.7</v>
                </pt>
                <pt idx="1148">
                  <v>1079.6</v>
                </pt>
                <pt idx="1149">
                  <v>1089.9</v>
                </pt>
                <pt idx="1150">
                  <v>1081.7</v>
                </pt>
                <pt idx="1151">
                  <v>1075.8</v>
                </pt>
                <pt idx="1152">
                  <v>1077.2</v>
                </pt>
                <pt idx="1153">
                  <v>1086.5</v>
                </pt>
                <pt idx="1154">
                  <v>1078.2</v>
                </pt>
                <pt idx="1155">
                  <v>1075.3</v>
                </pt>
                <pt idx="1156">
                  <v>1073.6</v>
                </pt>
                <pt idx="1157">
                  <v>1081.3</v>
                </pt>
                <pt idx="1158">
                  <v>1075.2</v>
                </pt>
                <pt idx="1159">
                  <v>1069.4</v>
                </pt>
                <pt idx="1160">
                  <v>1063.6</v>
                </pt>
                <pt idx="1161">
                  <v>1069.7</v>
                </pt>
                <pt idx="1162">
                  <v>1066.6</v>
                </pt>
                <pt idx="1163">
                  <v>1064.1</v>
                </pt>
                <pt idx="1164">
                  <v>1055.5</v>
                </pt>
                <pt idx="1165">
                  <v>1062.7</v>
                </pt>
                <pt idx="1166">
                  <v>1067.3</v>
                </pt>
                <pt idx="1167">
                  <v>1063.3</v>
                </pt>
                <pt idx="1168">
                  <v>1060.6</v>
                </pt>
                <pt idx="1169">
                  <v>1065.1</v>
                </pt>
                <pt idx="1170">
                  <v>1072.3</v>
                </pt>
                <pt idx="1171">
                  <v>1068.6</v>
                </pt>
                <pt idx="1172">
                  <v>1061.7</v>
                </pt>
                <pt idx="1173">
                  <v>1062.1</v>
                </pt>
                <pt idx="1174">
                  <v>1065.6</v>
                </pt>
                <pt idx="1175">
                  <v>1069.3</v>
                </pt>
                <pt idx="1176">
                  <v>1064</v>
                </pt>
                <pt idx="1177">
                  <v>1060.6</v>
                </pt>
                <pt idx="1178">
                  <v>1071</v>
                </pt>
                <pt idx="1179">
                  <v>1080.2</v>
                </pt>
                <pt idx="1180">
                  <v>1076.4</v>
                </pt>
                <pt idx="1181">
                  <v>1074.5</v>
                </pt>
                <pt idx="1182">
                  <v>1071.9</v>
                </pt>
                <pt idx="1183">
                  <v>1077.6</v>
                </pt>
                <pt idx="1184">
                  <v>1066.5</v>
                </pt>
                <pt idx="1185">
                  <v>1062.2</v>
                </pt>
                <pt idx="1186">
                  <v>1060.1</v>
                </pt>
                <pt idx="1187">
                  <v>1068.8</v>
                </pt>
                <pt idx="1188">
                  <v>1066.3</v>
                </pt>
                <pt idx="1189">
                  <v>1064.5</v>
                </pt>
                <pt idx="1190">
                  <v>1058.7</v>
                </pt>
                <pt idx="1191">
                  <v>1073.1</v>
                </pt>
                <pt idx="1192">
                  <v>1075.4</v>
                </pt>
                <pt idx="1193">
                  <v>1070.4</v>
                </pt>
                <pt idx="1194">
                  <v>1066.4</v>
                </pt>
                <pt idx="1195">
                  <v>1070.4</v>
                </pt>
                <pt idx="1196">
                  <v>1072.2</v>
                </pt>
                <pt idx="1197">
                  <v>1072.9</v>
                </pt>
                <pt idx="1198">
                  <v>1070.6</v>
                </pt>
                <pt idx="1199">
                  <v>1071.4</v>
                </pt>
                <pt idx="1200">
                  <v>1080.9</v>
                </pt>
                <pt idx="1201">
                  <v>1078</v>
                </pt>
                <pt idx="1202">
                  <v>1070.3</v>
                </pt>
                <pt idx="1203">
                  <v>1070.9</v>
                </pt>
                <pt idx="1204">
                  <v>1072.2</v>
                </pt>
                <pt idx="1205">
                  <v>1080.1</v>
                </pt>
                <pt idx="1206">
                  <v>1077.4</v>
                </pt>
                <pt idx="1207">
                  <v>1076.8</v>
                </pt>
                <pt idx="1208">
                  <v>1079.3</v>
                </pt>
                <pt idx="1209">
                  <v>1085.8</v>
                </pt>
                <pt idx="1210">
                  <v>1081.7</v>
                </pt>
                <pt idx="1211">
                  <v>1074.4</v>
                </pt>
                <pt idx="1212">
                  <v>1064.8</v>
                </pt>
                <pt idx="1213">
                  <v>1079.1</v>
                </pt>
                <pt idx="1214">
                  <v>1078.2</v>
                </pt>
                <pt idx="1215">
                  <v>1079.4</v>
                </pt>
                <pt idx="1216">
                  <v>1068.5</v>
                </pt>
                <pt idx="1217">
                  <v>1078.9</v>
                </pt>
                <pt idx="1218">
                  <v>1084.4</v>
                </pt>
                <pt idx="1219">
                  <v>1081.2</v>
                </pt>
                <pt idx="1220">
                  <v>1072.9</v>
                </pt>
                <pt idx="1221">
                  <v>1077.6</v>
                </pt>
                <pt idx="1222">
                  <v>1081</v>
                </pt>
                <pt idx="1223">
                  <v>1083.8</v>
                </pt>
                <pt idx="1224">
                  <v>1071.8</v>
                </pt>
                <pt idx="1225">
                  <v>1066.9</v>
                </pt>
                <pt idx="1226">
                  <v>1083.2</v>
                </pt>
                <pt idx="1227">
                  <v>1075</v>
                </pt>
                <pt idx="1228">
                  <v>1072.7</v>
                </pt>
                <pt idx="1229">
                  <v>1067.7</v>
                </pt>
                <pt idx="1230">
                  <v>1079.8</v>
                </pt>
                <pt idx="1231">
                  <v>1084.1</v>
                </pt>
                <pt idx="1232">
                  <v>1075.4</v>
                </pt>
                <pt idx="1233">
                  <v>1072.4</v>
                </pt>
                <pt idx="1234">
                  <v>1069.8</v>
                </pt>
                <pt idx="1235">
                  <v>1076.2</v>
                </pt>
                <pt idx="1236">
                  <v>1083.9</v>
                </pt>
                <pt idx="1237">
                  <v>1083.4</v>
                </pt>
                <pt idx="1238">
                  <v>1074.5</v>
                </pt>
                <pt idx="1239">
                  <v>1084.2</v>
                </pt>
                <pt idx="1240">
                  <v>1084</v>
                </pt>
                <pt idx="1241">
                  <v>1086.1</v>
                </pt>
                <pt idx="1242">
                  <v>1086.9</v>
                </pt>
                <pt idx="1243">
                  <v>1088.9</v>
                </pt>
                <pt idx="1244">
                  <v>1096.1</v>
                </pt>
                <pt idx="1245">
                  <v>1097.2</v>
                </pt>
                <pt idx="1246">
                  <v>1092.4</v>
                </pt>
                <pt idx="1247">
                  <v>1096.1</v>
                </pt>
                <pt idx="1248">
                  <v>1094.2</v>
                </pt>
                <pt idx="1249">
                  <v>1095.1</v>
                </pt>
                <pt idx="1250">
                  <v>1094.5</v>
                </pt>
                <pt idx="1251">
                  <v>1091.6</v>
                </pt>
                <pt idx="1252">
                  <v>1107.1</v>
                </pt>
                <pt idx="1253">
                  <v>1102.7</v>
                </pt>
                <pt idx="1254">
                  <v>1095.3</v>
                </pt>
                <pt idx="1255">
                  <v>1093.9</v>
                </pt>
                <pt idx="1256">
                  <v>1096.7</v>
                </pt>
                <pt idx="1257">
                  <v>1095.4</v>
                </pt>
                <pt idx="1258">
                  <v>1097.4</v>
                </pt>
                <pt idx="1259">
                  <v>1099.8</v>
                </pt>
                <pt idx="1260">
                  <v>1095.1</v>
                </pt>
                <pt idx="1261">
                  <v>1098.6</v>
                </pt>
                <pt idx="1262">
                  <v>1097.6</v>
                </pt>
                <pt idx="1263">
                  <v>1097.3</v>
                </pt>
                <pt idx="1264">
                  <v>1093.8</v>
                </pt>
                <pt idx="1265">
                  <v>1101.5</v>
                </pt>
                <pt idx="1266">
                  <v>1104.2</v>
                </pt>
                <pt idx="1267">
                  <v>1099.5</v>
                </pt>
                <pt idx="1268">
                  <v>1095.1</v>
                </pt>
                <pt idx="1269">
                  <v>1109.2</v>
                </pt>
                <pt idx="1270">
                  <v>1109.9</v>
                </pt>
                <pt idx="1271">
                  <v>1102.9</v>
                </pt>
                <pt idx="1272">
                  <v>1099.3</v>
                </pt>
                <pt idx="1273">
                  <v>1099.2</v>
                </pt>
                <pt idx="1274">
                  <v>1100.6</v>
                </pt>
                <pt idx="1275">
                  <v>1103.1</v>
                </pt>
                <pt idx="1276">
                  <v>1101.6</v>
                </pt>
                <pt idx="1277">
                  <v>1095.1</v>
                </pt>
                <pt idx="1278">
                  <v>1091.5</v>
                </pt>
                <pt idx="1279">
                  <v>1107.5</v>
                </pt>
                <pt idx="1280">
                  <v>1097.2</v>
                </pt>
                <pt idx="1281">
                  <v>1096.5</v>
                </pt>
                <pt idx="1282">
                  <v>1099.9</v>
                </pt>
                <pt idx="1283">
                  <v>1110.9</v>
                </pt>
                <pt idx="1284">
                  <v>1106.2</v>
                </pt>
                <pt idx="1285">
                  <v>1096.9</v>
                </pt>
                <pt idx="1286">
                  <v>1082.8</v>
                </pt>
                <pt idx="1287">
                  <v>1092.3</v>
                </pt>
                <pt idx="1288">
                  <v>1100.4</v>
                </pt>
                <pt idx="1289">
                  <v>1100.9</v>
                </pt>
                <pt idx="1290">
                  <v>1089.6</v>
                </pt>
                <pt idx="1291">
                  <v>1101</v>
                </pt>
                <pt idx="1292">
                  <v>1106.8</v>
                </pt>
                <pt idx="1293">
                  <v>1103</v>
                </pt>
                <pt idx="1294">
                  <v>1101.6</v>
                </pt>
                <pt idx="1295">
                  <v>1102.7</v>
                </pt>
                <pt idx="1296">
                  <v>1110.4</v>
                </pt>
                <pt idx="1297">
                  <v>1116.5</v>
                </pt>
                <pt idx="1298">
                  <v>1113</v>
                </pt>
                <pt idx="1299">
                  <v>1104.8</v>
                </pt>
                <pt idx="1300">
                  <v>1110.3</v>
                </pt>
                <pt idx="1301">
                  <v>1122</v>
                </pt>
                <pt idx="1302">
                  <v>1120.5</v>
                </pt>
                <pt idx="1303">
                  <v>1126.5</v>
                </pt>
                <pt idx="1304">
                  <v>1138.6</v>
                </pt>
                <pt idx="1305">
                  <v>1133.4</v>
                </pt>
                <pt idx="1306">
                  <v>1125.1</v>
                </pt>
                <pt idx="1307">
                  <v>1122.3</v>
                </pt>
                <pt idx="1308">
                  <v>1108.9</v>
                </pt>
                <pt idx="1309">
                  <v>1114.3</v>
                </pt>
                <pt idx="1310">
                  <v>1112.2</v>
                </pt>
                <pt idx="1311">
                  <v>1106.4</v>
                </pt>
                <pt idx="1312">
                  <v>1101.8</v>
                </pt>
                <pt idx="1313">
                  <v>1107.1</v>
                </pt>
                <pt idx="1314">
                  <v>1105.5</v>
                </pt>
                <pt idx="1315">
                  <v>1106.5</v>
                </pt>
                <pt idx="1316">
                  <v>1104.9</v>
                </pt>
                <pt idx="1317">
                  <v>1117.8</v>
                </pt>
                <pt idx="1318">
                  <v>1121.8</v>
                </pt>
                <pt idx="1319">
                  <v>1118.2</v>
                </pt>
                <pt idx="1320">
                  <v>1114.9</v>
                </pt>
                <pt idx="1321">
                  <v>1105</v>
                </pt>
                <pt idx="1322">
                  <v>1106.5</v>
                </pt>
                <pt idx="1323">
                  <v>1111.2</v>
                </pt>
                <pt idx="1324">
                  <v>1105.1</v>
                </pt>
                <pt idx="1325">
                  <v>1097.8</v>
                </pt>
                <pt idx="1326">
                  <v>1102</v>
                </pt>
                <pt idx="1327">
                  <v>1104.4</v>
                </pt>
                <pt idx="1328">
                  <v>1101.1</v>
                </pt>
                <pt idx="1329">
                  <v>1099</v>
                </pt>
                <pt idx="1330">
                  <v>1109.4</v>
                </pt>
                <pt idx="1331">
                  <v>1114.6</v>
                </pt>
                <pt idx="1332">
                  <v>1100.9</v>
                </pt>
                <pt idx="1333">
                  <v>1099.5</v>
                </pt>
                <pt idx="1334">
                  <v>1096.2</v>
                </pt>
                <pt idx="1335">
                  <v>1097.9</v>
                </pt>
                <pt idx="1336">
                  <v>1100.3</v>
                </pt>
                <pt idx="1337">
                  <v>1102.2</v>
                </pt>
                <pt idx="1338">
                  <v>1101.4</v>
                </pt>
                <pt idx="1339">
                  <v>1097.7</v>
                </pt>
                <pt idx="1340">
                  <v>1106.5</v>
                </pt>
                <pt idx="1341">
                  <v>1098.5</v>
                </pt>
                <pt idx="1342">
                  <v>1096.7</v>
                </pt>
                <pt idx="1343">
                  <v>1097.9</v>
                </pt>
                <pt idx="1344">
                  <v>1099.9</v>
                </pt>
                <pt idx="1345">
                  <v>1100.2</v>
                </pt>
                <pt idx="1346">
                  <v>1099.3</v>
                </pt>
                <pt idx="1347">
                  <v>1096.8</v>
                </pt>
                <pt idx="1348">
                  <v>1091.7</v>
                </pt>
                <pt idx="1349">
                  <v>1089.9</v>
                </pt>
                <pt idx="1350">
                  <v>1093.9</v>
                </pt>
                <pt idx="1351">
                  <v>1096.6</v>
                </pt>
                <pt idx="1352">
                  <v>1086.4</v>
                </pt>
                <pt idx="1353">
                  <v>1092.9</v>
                </pt>
                <pt idx="1354">
                  <v>1084.4</v>
                </pt>
                <pt idx="1355">
                  <v>1090.1</v>
                </pt>
                <pt idx="1356">
                  <v>1088.3</v>
                </pt>
                <pt idx="1357">
                  <v>1094.2</v>
                </pt>
                <pt idx="1358">
                  <v>1096.2</v>
                </pt>
                <pt idx="1359">
                  <v>1101.7</v>
                </pt>
                <pt idx="1360">
                  <v>1094.8</v>
                </pt>
                <pt idx="1361">
                  <v>1099.7</v>
                </pt>
                <pt idx="1362">
                  <v>1099.3</v>
                </pt>
                <pt idx="1363">
                  <v>1098.8</v>
                </pt>
                <pt idx="1364">
                  <v>1104.4</v>
                </pt>
                <pt idx="1365">
                  <v>1109.3</v>
                </pt>
                <pt idx="1366">
                  <v>1108.3</v>
                </pt>
                <pt idx="1367">
                  <v>1107.7</v>
                </pt>
                <pt idx="1368">
                  <v>1106.7</v>
                </pt>
                <pt idx="1369">
                  <v>1113.9</v>
                </pt>
                <pt idx="1370">
                  <v>1114.9</v>
                </pt>
                <pt idx="1371">
                  <v>1118.2</v>
                </pt>
                <pt idx="1372">
                  <v>1117.7</v>
                </pt>
                <pt idx="1373">
                  <v>1116.8</v>
                </pt>
                <pt idx="1374">
                  <v>1113.9</v>
                </pt>
                <pt idx="1375">
                  <v>1117.5</v>
                </pt>
                <pt idx="1376">
                  <v>1122.3</v>
                </pt>
                <pt idx="1377">
                  <v>1117.4</v>
                </pt>
                <pt idx="1378">
                  <v>1125.2</v>
                </pt>
                <pt idx="1379">
                  <v>1126.2</v>
                </pt>
                <pt idx="1380">
                  <v>1126.4</v>
                </pt>
                <pt idx="1381">
                  <v>1124.1</v>
                </pt>
                <pt idx="1382">
                  <v>1129.9</v>
                </pt>
                <pt idx="1383">
                  <v>1133.9</v>
                </pt>
                <pt idx="1384">
                  <v>1142.1</v>
                </pt>
                <pt idx="1385">
                  <v>1142</v>
                </pt>
                <pt idx="1386">
                  <v>1139.4</v>
                </pt>
                <pt idx="1387">
                  <v>1143.3</v>
                </pt>
                <pt idx="1388">
                  <v>1148.6</v>
                </pt>
                <pt idx="1389">
                  <v>1149.9</v>
                </pt>
                <pt idx="1390">
                  <v>1149</v>
                </pt>
                <pt idx="1391">
                  <v>1165.5</v>
                </pt>
                <pt idx="1392">
                  <v>1167</v>
                </pt>
                <pt idx="1393">
                  <v>1292</v>
                </pt>
                <pt idx="1394">
                  <v>1206.1</v>
                </pt>
                <pt idx="1395">
                  <v>1171.3</v>
                </pt>
                <pt idx="1396">
                  <v>1166.9</v>
                </pt>
                <pt idx="1397">
                  <v>1166.7</v>
                </pt>
                <pt idx="1398">
                  <v>1167.2</v>
                </pt>
                <pt idx="1399">
                  <v>1161.2</v>
                </pt>
                <pt idx="1400">
                  <v>1164.8</v>
                </pt>
                <pt idx="1401">
                  <v>1170.2</v>
                </pt>
                <pt idx="1402">
                  <v>1171.9</v>
                </pt>
                <pt idx="1403">
                  <v>1172.1</v>
                </pt>
                <pt idx="1404">
                  <v>1176.5</v>
                </pt>
                <pt idx="1405">
                  <v>1186.3</v>
                </pt>
                <pt idx="1406">
                  <v>1183.6</v>
                </pt>
                <pt idx="1407">
                  <v>1181.7</v>
                </pt>
                <pt idx="1408">
                  <v>1184.2</v>
                </pt>
                <pt idx="1409">
                  <v>1190.3</v>
                </pt>
                <pt idx="1410">
                  <v>1194.6</v>
                </pt>
                <pt idx="1411">
                  <v>1193.6</v>
                </pt>
                <pt idx="1412">
                  <v>1184.6</v>
                </pt>
                <pt idx="1413">
                  <v>1189.5</v>
                </pt>
                <pt idx="1414">
                  <v>1190.4</v>
                </pt>
                <pt idx="1415">
                  <v>1192.4</v>
                </pt>
                <pt idx="1416">
                  <v>1189.4</v>
                </pt>
                <pt idx="1417">
                  <v>1191.1</v>
                </pt>
                <pt idx="1418">
                  <v>1198.6</v>
                </pt>
                <pt idx="1419">
                  <v>1196.1</v>
                </pt>
                <pt idx="1420">
                  <v>1193</v>
                </pt>
                <pt idx="1421">
                  <v>1185.3</v>
                </pt>
                <pt idx="1422">
                  <v>1185.1</v>
                </pt>
                <pt idx="1423">
                  <v>1187.5</v>
                </pt>
                <pt idx="1424">
                  <v>1188</v>
                </pt>
                <pt idx="1425">
                  <v>1187.9</v>
                </pt>
                <pt idx="1426">
                  <v>1181.1</v>
                </pt>
                <pt idx="1427">
                  <v>1186.1</v>
                </pt>
                <pt idx="1428">
                  <v>1188.1</v>
                </pt>
                <pt idx="1429">
                  <v>1192.2</v>
                </pt>
                <pt idx="1430">
                  <v>1204.2</v>
                </pt>
                <pt idx="1431">
                  <v>1192.3</v>
                </pt>
                <pt idx="1432">
                  <v>1188.9</v>
                </pt>
                <pt idx="1433">
                  <v>1193.3</v>
                </pt>
                <pt idx="1434">
                  <v>1194.1</v>
                </pt>
                <pt idx="1435">
                  <v>1193.4</v>
                </pt>
                <pt idx="1436">
                  <v>1202</v>
                </pt>
                <pt idx="1437">
                  <v>1203.1</v>
                </pt>
                <pt idx="1438">
                  <v>1203.7</v>
                </pt>
                <pt idx="1439">
                  <v>1181.6</v>
                </pt>
                <pt idx="1440">
                  <v>1182.1</v>
                </pt>
                <pt idx="1441">
                  <v>1182.6</v>
                </pt>
                <pt idx="1442">
                  <v>1188.8</v>
                </pt>
                <pt idx="1443">
                  <v>1203.3</v>
                </pt>
                <pt idx="1444">
                  <v>1191.5</v>
                </pt>
                <pt idx="1445">
                  <v>1191.8</v>
                </pt>
                <pt idx="1446">
                  <v>1192.8</v>
                </pt>
                <pt idx="1447">
                  <v>1206.3</v>
                </pt>
                <pt idx="1448">
                  <v>1188.1</v>
                </pt>
                <pt idx="1449">
                  <v>1206.7</v>
                </pt>
                <pt idx="1450">
                  <v>1207.4</v>
                </pt>
                <pt idx="1451">
                  <v>1212.1</v>
                </pt>
                <pt idx="1452">
                  <v>1208</v>
                </pt>
                <pt idx="1453">
                  <v>1208.5</v>
                </pt>
                <pt idx="1454">
                  <v>1205.4</v>
                </pt>
                <pt idx="1455">
                  <v>1203.8</v>
                </pt>
                <pt idx="1456">
                  <v>1226.5</v>
                </pt>
                <pt idx="1457">
                  <v>1218.8</v>
                </pt>
                <pt idx="1458">
                  <v>1217.3</v>
                </pt>
                <pt idx="1459">
                  <v>1223.4</v>
                </pt>
                <pt idx="1460">
                  <v>1220.2</v>
                </pt>
                <pt idx="1461">
                  <v>1215.7</v>
                </pt>
                <pt idx="1462">
                  <v>1221.8</v>
                </pt>
                <pt idx="1463">
                  <v>1229.7</v>
                </pt>
                <pt idx="1464">
                  <v>1229.4</v>
                </pt>
                <pt idx="1465">
                  <v>1246.6</v>
                </pt>
                <pt idx="1466">
                  <v>1234.2</v>
                </pt>
                <pt idx="1467">
                  <v>1241.1</v>
                </pt>
                <pt idx="1468">
                  <v>1231.3</v>
                </pt>
                <pt idx="1469">
                  <v>1245.6</v>
                </pt>
                <pt idx="1470">
                  <v>1242.5</v>
                </pt>
                <pt idx="1471">
                  <v>1235.9</v>
                </pt>
                <pt idx="1472">
                  <v>1235.9</v>
                </pt>
                <pt idx="1473">
                  <v>1240.4</v>
                </pt>
                <pt idx="1474">
                  <v>1235.8</v>
                </pt>
                <pt idx="1475">
                  <v>1249.9</v>
                </pt>
                <pt idx="1476">
                  <v>1255.9</v>
                </pt>
                <pt idx="1477">
                  <v>1255.4</v>
                </pt>
                <pt idx="1478">
                  <v>1261.2</v>
                </pt>
                <pt idx="1479">
                  <v>1268.8</v>
                </pt>
                <pt idx="1480">
                  <v>1268.2</v>
                </pt>
                <pt idx="1481">
                  <v>1269.5</v>
                </pt>
                <pt idx="1482">
                  <v>1276.4</v>
                </pt>
                <pt idx="1483">
                  <v>1279.1</v>
                </pt>
                <pt idx="1484">
                  <v>1287.6</v>
                </pt>
                <pt idx="1485">
                  <v>1276.9</v>
                </pt>
                <pt idx="1486">
                  <v>1281.7</v>
                </pt>
                <pt idx="1487">
                  <v>1276.4</v>
                </pt>
                <pt idx="1488">
                  <v>1289.1</v>
                </pt>
                <pt idx="1489">
                  <v>1292.1</v>
                </pt>
                <pt idx="1490">
                  <v>1286.4</v>
                </pt>
                <pt idx="1491">
                  <v>1301.4</v>
                </pt>
                <pt idx="1492">
                  <v>1295.4</v>
                </pt>
                <pt idx="1493">
                  <v>1309.5</v>
                </pt>
                <pt idx="1494">
                  <v>1288.4</v>
                </pt>
                <pt idx="1495">
                  <v>1288.4</v>
                </pt>
                <pt idx="1496">
                  <v>1295.1</v>
                </pt>
                <pt idx="1497">
                  <v>1299.9</v>
                </pt>
                <pt idx="1498">
                  <v>1299.4</v>
                </pt>
                <pt idx="1499">
                  <v>1297.1</v>
                </pt>
                <pt idx="1500">
                  <v>1285.8</v>
                </pt>
                <pt idx="1501">
                  <v>1297</v>
                </pt>
                <pt idx="1502">
                  <v>1297.8</v>
                </pt>
                <pt idx="1503">
                  <v>1298.2</v>
                </pt>
                <pt idx="1504">
                  <v>1316.5</v>
                </pt>
                <pt idx="1505">
                  <v>1306.2</v>
                </pt>
                <pt idx="1506">
                  <v>1297.7</v>
                </pt>
                <pt idx="1507">
                  <v>1293</v>
                </pt>
                <pt idx="1508">
                  <v>1290.7</v>
                </pt>
                <pt idx="1509">
                  <v>1304.9</v>
                </pt>
                <pt idx="1510">
                  <v>1311.8</v>
                </pt>
                <pt idx="1511">
                  <v>1308.4</v>
                </pt>
                <pt idx="1512">
                  <v>1302.8</v>
                </pt>
                <pt idx="1513">
                  <v>1303</v>
                </pt>
                <pt idx="1514">
                  <v>1300.4</v>
                </pt>
                <pt idx="1515">
                  <v>1307.5</v>
                </pt>
                <pt idx="1516">
                  <v>1307.9</v>
                </pt>
                <pt idx="1517">
                  <v>1312.3</v>
                </pt>
                <pt idx="1518">
                  <v>1321</v>
                </pt>
                <pt idx="1519">
                  <v>1328.2</v>
                </pt>
                <pt idx="1520">
                  <v>1320.3</v>
                </pt>
                <pt idx="1521">
                  <v>1318.4</v>
                </pt>
                <pt idx="1522">
                  <v>1318.5</v>
                </pt>
                <pt idx="1523">
                  <v>1329.7</v>
                </pt>
                <pt idx="1524">
                  <v>1335.8</v>
                </pt>
                <pt idx="1525">
                  <v>1334.1</v>
                </pt>
                <pt idx="1526">
                  <v>1321.9</v>
                </pt>
                <pt idx="1527">
                  <v>1330.1</v>
                </pt>
                <pt idx="1528">
                  <v>1327.1</v>
                </pt>
                <pt idx="1529">
                  <v>1334.6</v>
                </pt>
                <pt idx="1530">
                  <v>1357.7</v>
                </pt>
                <pt idx="1531">
                  <v>1328</v>
                </pt>
                <pt idx="1532">
                  <v>1336</v>
                </pt>
                <pt idx="1533">
                  <v>1335.6</v>
                </pt>
                <pt idx="1534">
                  <v>1323.1</v>
                </pt>
                <pt idx="1535">
                  <v>1327.8</v>
                </pt>
                <pt idx="1536">
                  <v>1345.7</v>
                </pt>
                <pt idx="1537">
                  <v>1348</v>
                </pt>
                <pt idx="1538">
                  <v>1353</v>
                </pt>
                <pt idx="1539">
                  <v>1330.1</v>
                </pt>
                <pt idx="1540">
                  <v>1341.1</v>
                </pt>
                <pt idx="1541">
                  <v>1337.2</v>
                </pt>
                <pt idx="1542">
                  <v>1347.6</v>
                </pt>
                <pt idx="1543">
                  <v>1346.8</v>
                </pt>
                <pt idx="1544">
                  <v>1352</v>
                </pt>
                <pt idx="1545">
                  <v>1355.2</v>
                </pt>
                <pt idx="1546">
                  <v>1362.5</v>
                </pt>
                <pt idx="1547">
                  <v>1351.4</v>
                </pt>
                <pt idx="1548">
                  <v>1342.3</v>
                </pt>
                <pt idx="1549">
                  <v>1359.9</v>
                </pt>
                <pt idx="1550">
                  <v>1372.2</v>
                </pt>
                <pt idx="1551">
                  <v>1372</v>
                </pt>
                <pt idx="1552">
                  <v>1364.4</v>
                </pt>
                <pt idx="1553">
                  <v>1365.5</v>
                </pt>
                <pt idx="1554">
                  <v>1359.7</v>
                </pt>
                <pt idx="1555">
                  <v>1368.5</v>
                </pt>
                <pt idx="1556">
                  <v>1352.8</v>
                </pt>
                <pt idx="1557">
                  <v>1363.9</v>
                </pt>
                <pt idx="1558">
                  <v>1371.2</v>
                </pt>
                <pt idx="1559">
                  <v>1379.2</v>
                </pt>
                <pt idx="1560">
                  <v>1387.5</v>
                </pt>
                <pt idx="1561">
                  <v>1359.6</v>
                </pt>
                <pt idx="1562">
                  <v>1369.7</v>
                </pt>
                <pt idx="1563">
                  <v>1380</v>
                </pt>
                <pt idx="1564">
                  <v>1387.5</v>
                </pt>
                <pt idx="1565">
                  <v>1373.7</v>
                </pt>
                <pt idx="1566">
                  <v>1347.5</v>
                </pt>
                <pt idx="1567">
                  <v>1348.5</v>
                </pt>
                <pt idx="1568">
                  <v>1362.7</v>
                </pt>
                <pt idx="1569">
                  <v>1364.9</v>
                </pt>
                <pt idx="1570">
                  <v>1353.7</v>
                </pt>
                <pt idx="1571">
                  <v>1368.7</v>
                </pt>
                <pt idx="1572">
                  <v>1381.5</v>
                </pt>
                <pt idx="1573">
                  <v>1380.5</v>
                </pt>
                <pt idx="1574">
                  <v>1362.8</v>
                </pt>
                <pt idx="1575">
                  <v>1370.1</v>
                </pt>
                <pt idx="1576">
                  <v>1376.3</v>
                </pt>
                <pt idx="1577">
                  <v>1378.4</v>
                </pt>
                <pt idx="1578">
                  <v>1361.1</v>
                </pt>
                <pt idx="1579">
                  <v>1355.3</v>
                </pt>
                <pt idx="1580">
                  <v>1355.1</v>
                </pt>
                <pt idx="1581">
                  <v>1361.7</v>
                </pt>
                <pt idx="1582">
                  <v>1360.4</v>
                </pt>
                <pt idx="1583">
                  <v>1361.8</v>
                </pt>
                <pt idx="1584">
                  <v>1357.6</v>
                </pt>
                <pt idx="1585">
                  <v>1367.4</v>
                </pt>
                <pt idx="1586">
                  <v>1379.4</v>
                </pt>
                <pt idx="1587">
                  <v>1361.7</v>
                </pt>
                <pt idx="1588">
                  <v>1372.6</v>
                </pt>
                <pt idx="1589">
                  <v>1389.9</v>
                </pt>
                <pt idx="1590">
                  <v>1395.5</v>
                </pt>
                <pt idx="1591">
                  <v>1375.6</v>
                </pt>
                <pt idx="1592">
                  <v>1364.8</v>
                </pt>
                <pt idx="1593">
                  <v>1364.4</v>
                </pt>
                <pt idx="1594">
                  <v>1379.6</v>
                </pt>
                <pt idx="1595">
                  <v>1362.4</v>
                </pt>
                <pt idx="1596">
                  <v>1366.5</v>
                </pt>
                <pt idx="1597">
                  <v>1375.6</v>
                </pt>
                <pt idx="1598">
                  <v>1388.5</v>
                </pt>
                <pt idx="1599">
                  <v>1386.5</v>
                </pt>
                <pt idx="1600">
                  <v>1364.4</v>
                </pt>
                <pt idx="1601">
                  <v>1366.9</v>
                </pt>
                <pt idx="1602">
                  <v>1380.1</v>
                </pt>
                <pt idx="1603">
                  <v>1388.5</v>
                </pt>
                <pt idx="1604">
                  <v>1396.7</v>
                </pt>
                <pt idx="1605">
                  <v>1372.5</v>
                </pt>
                <pt idx="1606">
                  <v>1365.5</v>
                </pt>
                <pt idx="1607">
                  <v>1382</v>
                </pt>
                <pt idx="1608">
                  <v>1377.3</v>
                </pt>
                <pt idx="1609">
                  <v>1360.5</v>
                </pt>
                <pt idx="1610">
                  <v>1370.9</v>
                </pt>
                <pt idx="1611">
                  <v>1388</v>
                </pt>
                <pt idx="1612">
                  <v>1386.3</v>
                </pt>
                <pt idx="1613">
                  <v>1371.5</v>
                </pt>
                <pt idx="1614">
                  <v>1368</v>
                </pt>
                <pt idx="1615">
                  <v>1373.1</v>
                </pt>
                <pt idx="1616">
                  <v>1383</v>
                </pt>
                <pt idx="1617">
                  <v>1375.5</v>
                </pt>
                <pt idx="1618">
                  <v>1372</v>
                </pt>
                <pt idx="1619">
                  <v>1375.8</v>
                </pt>
                <pt idx="1620">
                  <v>1383.1</v>
                </pt>
                <pt idx="1621">
                  <v>1389.8</v>
                </pt>
                <pt idx="1622">
                  <v>1369.2</v>
                </pt>
                <pt idx="1623">
                  <v>1368.6</v>
                </pt>
                <pt idx="1624">
                  <v>1383.3</v>
                </pt>
                <pt idx="1625">
                  <v>1393</v>
                </pt>
                <pt idx="1626">
                  <v>1366.2</v>
                </pt>
                <pt idx="1627">
                  <v>1371</v>
                </pt>
                <pt idx="1628">
                  <v>1387.9</v>
                </pt>
                <pt idx="1629">
                  <v>1394.8</v>
                </pt>
                <pt idx="1630">
                  <v>1401.4</v>
                </pt>
                <pt idx="1631">
                  <v>1375.7</v>
                </pt>
                <pt idx="1632">
                  <v>1379.4</v>
                </pt>
                <pt idx="1633">
                  <v>1388.1</v>
                </pt>
                <pt idx="1634">
                  <v>1372.5</v>
                </pt>
                <pt idx="1635">
                  <v>1373.8</v>
                </pt>
                <pt idx="1636">
                  <v>1389.4</v>
                </pt>
                <pt idx="1637">
                  <v>1394.8</v>
                </pt>
                <pt idx="1638">
                  <v>1397.9</v>
                </pt>
                <pt idx="1639">
                  <v>1369.1</v>
                </pt>
                <pt idx="1640">
                  <v>1367.7</v>
                </pt>
                <pt idx="1641">
                  <v>1370.9</v>
                </pt>
                <pt idx="1642">
                  <v>1383.6</v>
                </pt>
                <pt idx="1643">
                  <v>1390.5</v>
                </pt>
                <pt idx="1644">
                  <v>1372.4</v>
                </pt>
                <pt idx="1645">
                  <v>1359.2</v>
                </pt>
                <pt idx="1646">
                  <v>1377.5</v>
                </pt>
                <pt idx="1647">
                  <v>1372.9</v>
                </pt>
                <pt idx="1648">
                  <v>1357.2</v>
                </pt>
                <pt idx="1649">
                  <v>1364.8</v>
                </pt>
                <pt idx="1650">
                  <v>1382.8</v>
                </pt>
                <pt idx="1651">
                  <v>1384</v>
                </pt>
                <pt idx="1652">
                  <v>1373.8</v>
                </pt>
                <pt idx="1653">
                  <v>1365.4</v>
                </pt>
                <pt idx="1654">
                  <v>1357.6</v>
                </pt>
                <pt idx="1655">
                  <v>1364.9</v>
                </pt>
                <pt idx="1656">
                  <v>1364.3</v>
                </pt>
                <pt idx="1657">
                  <v>1368.1</v>
                </pt>
                <pt idx="1658">
                  <v>1360.6</v>
                </pt>
                <pt idx="1659">
                  <v>1380.3</v>
                </pt>
                <pt idx="1660">
                  <v>1376.4</v>
                </pt>
                <pt idx="1661">
                  <v>1351.1</v>
                </pt>
                <pt idx="1662">
                  <v>1361.3</v>
                </pt>
                <pt idx="1663">
                  <v>1380.2</v>
                </pt>
                <pt idx="1664">
                  <v>1386.4</v>
                </pt>
                <pt idx="1665">
                  <v>1374.1</v>
                </pt>
                <pt idx="1666">
                  <v>1360.3</v>
                </pt>
                <pt idx="1667">
                  <v>1359.2</v>
                </pt>
                <pt idx="1668">
                  <v>1380.4</v>
                </pt>
                <pt idx="1669">
                  <v>1361.3</v>
                </pt>
                <pt idx="1670">
                  <v>1355.7</v>
                </pt>
                <pt idx="1671">
                  <v>1382.9</v>
                </pt>
                <pt idx="1672">
                  <v>1373.2</v>
                </pt>
                <pt idx="1673">
                  <v>1377</v>
                </pt>
                <pt idx="1674">
                  <v>1369.9</v>
                </pt>
                <pt idx="1675">
                  <v>1361.7</v>
                </pt>
                <pt idx="1676">
                  <v>1361.7</v>
                </pt>
                <pt idx="1677">
                  <v>1362</v>
                </pt>
                <pt idx="1678">
                  <v>1358.6</v>
                </pt>
                <pt idx="1679">
                  <v>1363.5</v>
                </pt>
                <pt idx="1680">
                  <v>1360.2</v>
                </pt>
                <pt idx="1681">
                  <v>1373.6</v>
                </pt>
                <pt idx="1682">
                  <v>1377.5</v>
                </pt>
                <pt idx="1683">
                  <v>1379.6</v>
                </pt>
                <pt idx="1684">
                  <v>1374.5</v>
                </pt>
                <pt idx="1685">
                  <v>1375.7</v>
                </pt>
                <pt idx="1686">
                  <v>1382.5</v>
                </pt>
                <pt idx="1687">
                  <v>1367.2</v>
                </pt>
                <pt idx="1688">
                  <v>1382.3</v>
                </pt>
                <pt idx="1689">
                  <v>1384.1</v>
                </pt>
                <pt idx="1690">
                  <v>1388.5</v>
                </pt>
                <pt idx="1691">
                  <v>1384.6</v>
                </pt>
                <pt idx="1692">
                  <v>1370.7</v>
                </pt>
                <pt idx="1693">
                  <v>1356.3</v>
                </pt>
                <pt idx="1694">
                  <v>1362.9</v>
                </pt>
                <pt idx="1695">
                  <v>1375.8</v>
                </pt>
                <pt idx="1696">
                  <v>1370.5</v>
                </pt>
                <pt idx="1697">
                  <v>1373.5</v>
                </pt>
                <pt idx="1698">
                  <v>1373.2</v>
                </pt>
                <pt idx="1699">
                  <v>1370.4</v>
                </pt>
                <pt idx="1700">
                  <v>1359.9</v>
                </pt>
                <pt idx="1701">
                  <v>1364.1</v>
                </pt>
                <pt idx="1702">
                  <v>1372.8</v>
                </pt>
                <pt idx="1703">
                  <v>1385.6</v>
                </pt>
                <pt idx="1704">
                  <v>1412.6</v>
                </pt>
                <pt idx="1705">
                  <v>1382.1</v>
                </pt>
                <pt idx="1706">
                  <v>1373.5</v>
                </pt>
                <pt idx="1707">
                  <v>1365.4</v>
                </pt>
                <pt idx="1708">
                  <v>1364.1</v>
                </pt>
                <pt idx="1709">
                  <v>1376.8</v>
                </pt>
                <pt idx="1710">
                  <v>1382.9</v>
                </pt>
                <pt idx="1711">
                  <v>1383.1</v>
                </pt>
                <pt idx="1712">
                  <v>1379.7</v>
                </pt>
                <pt idx="1713">
                  <v>1369.6</v>
                </pt>
                <pt idx="1714">
                  <v>1367.8</v>
                </pt>
                <pt idx="1715">
                  <v>1367.2</v>
                </pt>
                <pt idx="1716">
                  <v>1374.5</v>
                </pt>
                <pt idx="1717">
                  <v>1384.8</v>
                </pt>
                <pt idx="1718">
                  <v>1377.6</v>
                </pt>
                <pt idx="1719">
                  <v>1365.1</v>
                </pt>
                <pt idx="1720">
                  <v>1378.1</v>
                </pt>
                <pt idx="1721">
                  <v>1367.9</v>
                </pt>
                <pt idx="1722">
                  <v>1367.3</v>
                </pt>
                <pt idx="1723">
                  <v>1370.2</v>
                </pt>
                <pt idx="1724">
                  <v>1390</v>
                </pt>
                <pt idx="1725">
                  <v>1379.6</v>
                </pt>
                <pt idx="1726">
                  <v>1386.1</v>
                </pt>
                <pt idx="1727">
                  <v>1374.4</v>
                </pt>
                <pt idx="1728">
                  <v>1375</v>
                </pt>
                <pt idx="1729">
                  <v>1376.9</v>
                </pt>
                <pt idx="1730">
                  <v>1401</v>
                </pt>
                <pt idx="1731">
                  <v>1391.3</v>
                </pt>
                <pt idx="1732">
                  <v>1381.5</v>
                </pt>
                <pt idx="1733">
                  <v>1387.1</v>
                </pt>
                <pt idx="1734">
                  <v>1389.7</v>
                </pt>
                <pt idx="1735">
                  <v>1374.2</v>
                </pt>
                <pt idx="1736">
                  <v>1389.2</v>
                </pt>
                <pt idx="1737">
                  <v>1403.8</v>
                </pt>
                <pt idx="1738">
                  <v>1397.7</v>
                </pt>
                <pt idx="1739">
                  <v>1393.5</v>
                </pt>
                <pt idx="1740">
                  <v>1392</v>
                </pt>
                <pt idx="1741">
                  <v>1385.7</v>
                </pt>
                <pt idx="1742">
                  <v>1394</v>
                </pt>
                <pt idx="1743">
                  <v>1405.2</v>
                </pt>
                <pt idx="1744">
                  <v>1410.9</v>
                </pt>
                <pt idx="1745">
                  <v>1403.7</v>
                </pt>
                <pt idx="1746">
                  <v>1398.9</v>
                </pt>
                <pt idx="1747">
                  <v>1404.6</v>
                </pt>
                <pt idx="1748">
                  <v>1412.6</v>
                </pt>
                <pt idx="1749">
                  <v>1421.5</v>
                </pt>
                <pt idx="1750">
                  <v>1426.9</v>
                </pt>
                <pt idx="1751">
                  <v>1422.3</v>
                </pt>
                <pt idx="1752">
                  <v>1423.5</v>
                </pt>
                <pt idx="1753">
                  <v>1412.7</v>
                </pt>
                <pt idx="1754">
                  <v>1394.4</v>
                </pt>
                <pt idx="1755">
                  <v>1404.9</v>
                </pt>
                <pt idx="1756">
                  <v>1408.4</v>
                </pt>
                <pt idx="1757">
                  <v>1423.9</v>
                </pt>
                <pt idx="1758">
                  <v>1437</v>
                </pt>
                <pt idx="1759">
                  <v>1490.1</v>
                </pt>
                <pt idx="1760">
                  <v>1504.6</v>
                </pt>
                <pt idx="1761">
                  <v>1461</v>
                </pt>
                <pt idx="1762">
                  <v>1464.9</v>
                </pt>
                <pt idx="1763">
                  <v>1457.4</v>
                </pt>
                <pt idx="1764">
                  <v>1483.7</v>
                </pt>
                <pt idx="1765">
                  <v>1520</v>
                </pt>
                <pt idx="1766">
                  <v>1505.5</v>
                </pt>
                <pt idx="1767">
                  <v>1506.8</v>
                </pt>
                <pt idx="1768">
                  <v>1518.3</v>
                </pt>
                <pt idx="1769">
                  <v>1527.2</v>
                </pt>
                <pt idx="1770">
                  <v>1590</v>
                </pt>
                <pt idx="1771">
                  <v>1612</v>
                </pt>
                <pt idx="1772">
                  <v>1610.2</v>
                </pt>
                <pt idx="1773">
                  <v>1597.3</v>
                </pt>
                <pt idx="1774">
                  <v>1629.7</v>
                </pt>
                <pt idx="1775">
                  <v>1609.5</v>
                </pt>
                <pt idx="1776">
                  <v>1561.1</v>
                </pt>
                <pt idx="1777">
                  <v>1555.1</v>
                </pt>
                <pt idx="1778">
                  <v>1567.4</v>
                </pt>
                <pt idx="1779">
                  <v>1575.7</v>
                </pt>
                <pt idx="1780">
                  <v>1565</v>
                </pt>
                <pt idx="1781">
                  <v>1558.9</v>
                </pt>
                <pt idx="1782">
                  <v>1570.1</v>
                </pt>
                <pt idx="1783">
                  <v>1583.8</v>
                </pt>
                <pt idx="1784">
                  <v>1575.7</v>
                </pt>
                <pt idx="1785">
                  <v>1575.1</v>
                </pt>
                <pt idx="1786">
                  <v>1572.3</v>
                </pt>
                <pt idx="1787">
                  <v>1655.6</v>
                </pt>
                <pt idx="1788">
                  <v>1604.1</v>
                </pt>
                <pt idx="1789">
                  <v>1595.4</v>
                </pt>
                <pt idx="1790">
                  <v>1598</v>
                </pt>
                <pt idx="1791">
                  <v>1611.3</v>
                </pt>
                <pt idx="1792">
                  <v>1617.5</v>
                </pt>
                <pt idx="1793">
                  <v>1617.1</v>
                </pt>
                <pt idx="1794">
                  <v>1623.4</v>
                </pt>
                <pt idx="1795">
                  <v>1615.5</v>
                </pt>
                <pt idx="1796">
                  <v>1650.5</v>
                </pt>
                <pt idx="1797">
                  <v>1659.5</v>
                </pt>
                <pt idx="1798">
                  <v>1671.6</v>
                </pt>
                <pt idx="1799">
                  <v>1660.7</v>
                </pt>
                <pt idx="1800">
                  <v>1653.2</v>
                </pt>
                <pt idx="1801">
                  <v>1663.9</v>
                </pt>
                <pt idx="1802">
                  <v>1662.6</v>
                </pt>
                <pt idx="1803">
                  <v>1659.2</v>
                </pt>
                <pt idx="1804">
                  <v>1679.3</v>
                </pt>
                <pt idx="1805">
                  <v>1669.5</v>
                </pt>
                <pt idx="1806">
                  <v>1668.9</v>
                </pt>
                <pt idx="1807">
                  <v>1649.2</v>
                </pt>
                <pt idx="1808">
                  <v>1644.2</v>
                </pt>
                <pt idx="1809">
                  <v>1660.5</v>
                </pt>
                <pt idx="1810">
                  <v>1674.9</v>
                </pt>
                <pt idx="1811">
                  <v>1662.9</v>
                </pt>
                <pt idx="1812">
                  <v>1662.1</v>
                </pt>
                <pt idx="1813">
                  <v>1662.2</v>
                </pt>
                <pt idx="1814">
                  <v>1674.6</v>
                </pt>
                <pt idx="1815">
                  <v>1680.9</v>
                </pt>
                <pt idx="1816">
                  <v>1685.4</v>
                </pt>
                <pt idx="1817">
                  <v>1682.6</v>
                </pt>
                <pt idx="1818">
                  <v>1680.4</v>
                </pt>
                <pt idx="1819">
                  <v>1680.8</v>
                </pt>
                <pt idx="1820">
                  <v>1683</v>
                </pt>
                <pt idx="1821">
                  <v>1688.2</v>
                </pt>
                <pt idx="1822">
                  <v>1684.8</v>
                </pt>
                <pt idx="1823">
                  <v>1691.1</v>
                </pt>
                <pt idx="1824">
                  <v>1698.6</v>
                </pt>
                <pt idx="1825">
                  <v>1690.1</v>
                </pt>
                <pt idx="1826">
                  <v>1708.6</v>
                </pt>
                <pt idx="1827">
                  <v>1665.4</v>
                </pt>
                <pt idx="1828">
                  <v>1669.7</v>
                </pt>
                <pt idx="1829">
                  <v>1672.6</v>
                </pt>
                <pt idx="1830">
                  <v>1670.9</v>
                </pt>
                <pt idx="1831">
                  <v>1688.6</v>
                </pt>
                <pt idx="1832">
                  <v>1717.2</v>
                </pt>
                <pt idx="1833">
                  <v>1702.1</v>
                </pt>
                <pt idx="1834">
                  <v>1694.9</v>
                </pt>
                <pt idx="1835">
                  <v>1704.2</v>
                </pt>
                <pt idx="1836">
                  <v>1722.9</v>
                </pt>
                <pt idx="1837">
                  <v>1722.2</v>
                </pt>
                <pt idx="1838">
                  <v>1708.3</v>
                </pt>
                <pt idx="1839">
                  <v>1686</v>
                </pt>
                <pt idx="1840">
                  <v>1697.7</v>
                </pt>
                <pt idx="1841">
                  <v>1699.4</v>
                </pt>
                <pt idx="1842">
                  <v>1692.3</v>
                </pt>
                <pt idx="1843">
                  <v>1728.3</v>
                </pt>
                <pt idx="1844">
                  <v>1710.7</v>
                </pt>
                <pt idx="1845">
                  <v>1702.8</v>
                </pt>
                <pt idx="1846">
                  <v>1707.5</v>
                </pt>
                <pt idx="1847">
                  <v>1711.5</v>
                </pt>
                <pt idx="1848">
                  <v>1717.9</v>
                </pt>
                <pt idx="1849">
                  <v>1722.3</v>
                </pt>
                <pt idx="1850">
                  <v>1741.3</v>
                </pt>
                <pt idx="1851">
                  <v>1748.3</v>
                </pt>
                <pt idx="1852">
                  <v>1719.3</v>
                </pt>
                <pt idx="1853">
                  <v>1722.3</v>
                </pt>
                <pt idx="1854">
                  <v>1718.8</v>
                </pt>
                <pt idx="1855">
                  <v>1730.6</v>
                </pt>
                <pt idx="1856">
                  <v>1729.2</v>
                </pt>
                <pt idx="1857">
                  <v>1743.4</v>
                </pt>
                <pt idx="1858">
                  <v>1742.1</v>
                </pt>
                <pt idx="1859">
                  <v>1757.4</v>
                </pt>
                <pt idx="1860">
                  <v>1757.3</v>
                </pt>
                <pt idx="1861">
                  <v>1749.5</v>
                </pt>
                <pt idx="1862">
                  <v>1768.6</v>
                </pt>
                <pt idx="1863">
                  <v>1769.6</v>
                </pt>
                <pt idx="1864">
                  <v>1770.2</v>
                </pt>
                <pt idx="1865">
                  <v>1776.2</v>
                </pt>
                <pt idx="1866">
                  <v>1789.5</v>
                </pt>
                <pt idx="1867">
                  <v>1776.5</v>
                </pt>
                <pt idx="1868">
                  <v>1789.5</v>
                </pt>
                <pt idx="1869">
                  <v>1766.4</v>
                </pt>
                <pt idx="1870">
                  <v>1867.7</v>
                </pt>
                <pt idx="1871">
                  <v>1802</v>
                </pt>
                <pt idx="1872">
                  <v>1819</v>
                </pt>
                <pt idx="1873">
                  <v>1836.1</v>
                </pt>
                <pt idx="1874">
                  <v>1812.3</v>
                </pt>
                <pt idx="1875">
                  <v>1829</v>
                </pt>
                <pt idx="1876">
                  <v>1840.8</v>
                </pt>
                <pt idx="1877">
                  <v>1853.6</v>
                </pt>
                <pt idx="1878">
                  <v>1849.9</v>
                </pt>
                <pt idx="1879">
                  <v>1834.5</v>
                </pt>
                <pt idx="1880">
                  <v>1858.3</v>
                </pt>
                <pt idx="1881">
                  <v>1854.1</v>
                </pt>
                <pt idx="1882">
                  <v>1868.8</v>
                </pt>
                <pt idx="1883">
                  <v>1850.4</v>
                </pt>
                <pt idx="1884">
                  <v>1859.1</v>
                </pt>
                <pt idx="1885">
                  <v>1885.8</v>
                </pt>
                <pt idx="1886">
                  <v>1895.2</v>
                </pt>
                <pt idx="1887">
                  <v>1875.6</v>
                </pt>
                <pt idx="1888">
                  <v>1889.6</v>
                </pt>
                <pt idx="1889">
                  <v>1901.2</v>
                </pt>
                <pt idx="1890">
                  <v>1897.1</v>
                </pt>
                <pt idx="1891">
                  <v>1895.4</v>
                </pt>
                <pt idx="1892">
                  <v>1896.4</v>
                </pt>
                <pt idx="1893">
                  <v>1892.8</v>
                </pt>
                <pt idx="1894">
                  <v>1902.2</v>
                </pt>
                <pt idx="1895">
                  <v>1920.6</v>
                </pt>
                <pt idx="1896">
                  <v>1928.1</v>
                </pt>
                <pt idx="1897">
                  <v>1930.7</v>
                </pt>
                <pt idx="1898">
                  <v>1942.2</v>
                </pt>
                <pt idx="1899">
                  <v>1956.5</v>
                </pt>
                <pt idx="1900">
                  <v>1936</v>
                </pt>
                <pt idx="1901">
                  <v>1951.5</v>
                </pt>
                <pt idx="1902">
                  <v>1961.5</v>
                </pt>
                <pt idx="1903">
                  <v>1959.4</v>
                </pt>
                <pt idx="1904">
                  <v>1985.7</v>
                </pt>
                <pt idx="1905">
                  <v>1983.7</v>
                </pt>
                <pt idx="1906">
                  <v>1975.8</v>
                </pt>
                <pt idx="1907">
                  <v>2001.2</v>
                </pt>
                <pt idx="1908">
                  <v>2063.5</v>
                </pt>
                <pt idx="1909">
                  <v>2094.4</v>
                </pt>
                <pt idx="1910">
                  <v>2109.1</v>
                </pt>
                <pt idx="1911">
                  <v>2136</v>
                </pt>
                <pt idx="1912">
                  <v>2122.4</v>
                </pt>
                <pt idx="1913">
                  <v>2110.1</v>
                </pt>
                <pt idx="1914">
                  <v>2118.7</v>
                </pt>
                <pt idx="1915">
                  <v>2120.9</v>
                </pt>
                <pt idx="1916">
                  <v>2128</v>
                </pt>
                <pt idx="1917">
                  <v>2176.7</v>
                </pt>
                <pt idx="1918">
                  <v>2150.8</v>
                </pt>
                <pt idx="1919">
                  <v>2128.2</v>
                </pt>
                <pt idx="1920">
                  <v>2126.6</v>
                </pt>
                <pt idx="1921">
                  <v>2136.2</v>
                </pt>
                <pt idx="1922">
                  <v>2147.3</v>
                </pt>
                <pt idx="1923">
                  <v>2171.9</v>
                </pt>
                <pt idx="1924">
                  <v>2179.4</v>
                </pt>
                <pt idx="1925">
                  <v>2171.2</v>
                </pt>
                <pt idx="1926">
                  <v>2158.5</v>
                </pt>
                <pt idx="1927">
                  <v>2165.7</v>
                </pt>
                <pt idx="1928">
                  <v>2149.8</v>
                </pt>
                <pt idx="1929">
                  <v>2156.3</v>
                </pt>
                <pt idx="1930">
                  <v>2199.2</v>
                </pt>
                <pt idx="1931">
                  <v>2199.3</v>
                </pt>
                <pt idx="1932">
                  <v>2198.1</v>
                </pt>
                <pt idx="1933">
                  <v>2207.4</v>
                </pt>
                <pt idx="1934">
                  <v>2204.3</v>
                </pt>
                <pt idx="1935">
                  <v>2197.3</v>
                </pt>
                <pt idx="1936">
                  <v>2211.8</v>
                </pt>
                <pt idx="1937">
                  <v>2217.4</v>
                </pt>
                <pt idx="1938">
                  <v>2210.4</v>
                </pt>
                <pt idx="1939">
                  <v>2213.7</v>
                </pt>
                <pt idx="1940">
                  <v>2228.9</v>
                </pt>
                <pt idx="1941">
                  <v>2227.9</v>
                </pt>
                <pt idx="1942">
                  <v>2227.2</v>
                </pt>
                <pt idx="1943">
                  <v>2247.1</v>
                </pt>
                <pt idx="1944">
                  <v>2249.9</v>
                </pt>
                <pt idx="1945">
                  <v>2241.8</v>
                </pt>
                <pt idx="1946">
                  <v>2247.4</v>
                </pt>
                <pt idx="1947">
                  <v>2253.5</v>
                </pt>
                <pt idx="1948">
                  <v>2241.3</v>
                </pt>
                <pt idx="1949">
                  <v>2267.3</v>
                </pt>
                <pt idx="1950">
                  <v>2261.9</v>
                </pt>
                <pt idx="1951">
                  <v>2256.6</v>
                </pt>
                <pt idx="1952">
                  <v>2255.2</v>
                </pt>
                <pt idx="1953">
                  <v>2290.5</v>
                </pt>
                <pt idx="1954">
                  <v>2274.6</v>
                </pt>
                <pt idx="1955">
                  <v>2272.9</v>
                </pt>
                <pt idx="1956">
                  <v>2284.4</v>
                </pt>
                <pt idx="1957">
                  <v>2337.5</v>
                </pt>
                <pt idx="1958">
                  <v>2316.2</v>
                </pt>
                <pt idx="1959">
                  <v>2317.7</v>
                </pt>
                <pt idx="1960">
                  <v>2311.7</v>
                </pt>
                <pt idx="1961">
                  <v>2310.6</v>
                </pt>
                <pt idx="1962">
                  <v>2350</v>
                </pt>
                <pt idx="1963">
                  <v>2341.8</v>
                </pt>
                <pt idx="1964">
                  <v>2346.2</v>
                </pt>
                <pt idx="1965">
                  <v>2420.7</v>
                </pt>
                <pt idx="1966">
                  <v>2405.4</v>
                </pt>
                <pt idx="1967">
                  <v>2379.6</v>
                </pt>
                <pt idx="1968">
                  <v>2378.6</v>
                </pt>
                <pt idx="1969">
                  <v>2382.4</v>
                </pt>
                <pt idx="1970">
                  <v>2422.4</v>
                </pt>
                <pt idx="1971">
                  <v>2422.2</v>
                </pt>
                <pt idx="1972">
                  <v>2417.1</v>
                </pt>
                <pt idx="1973">
                  <v>2429.4</v>
                </pt>
                <pt idx="1974">
                  <v>2430.2</v>
                </pt>
                <pt idx="1975">
                  <v>2414.8</v>
                </pt>
                <pt idx="1976">
                  <v>2420.5</v>
                </pt>
                <pt idx="1977">
                  <v>2405.2</v>
                </pt>
                <pt idx="1978">
                  <v>2467.5</v>
                </pt>
                <pt idx="1979">
                  <v>2469.3</v>
                </pt>
                <pt idx="1980">
                  <v>2438.6</v>
                </pt>
                <pt idx="1981">
                  <v>2474.4</v>
                </pt>
                <pt idx="1982">
                  <v>2459.7</v>
                </pt>
                <pt idx="1983">
                  <v>2459.6</v>
                </pt>
                <pt idx="1984">
                  <v>2480.1</v>
                </pt>
                <pt idx="1985">
                  <v>2488.5</v>
                </pt>
                <pt idx="1986">
                  <v>2465.2</v>
                </pt>
                <pt idx="1987">
                  <v>2474</v>
                </pt>
                <pt idx="1988">
                  <v>2484.3</v>
                </pt>
                <pt idx="1989">
                  <v>2469.4</v>
                </pt>
                <pt idx="1990">
                  <v>2465.9</v>
                </pt>
                <pt idx="1991">
                  <v>2461.8</v>
                </pt>
                <pt idx="1992">
                  <v>2468.3</v>
                </pt>
                <pt idx="1993">
                  <v>2466.8</v>
                </pt>
                <pt idx="1994">
                  <v>2488.8</v>
                </pt>
                <pt idx="1995">
                  <v>2511.8</v>
                </pt>
                <pt idx="1996">
                  <v>2486.3</v>
                </pt>
                <pt idx="1997">
                  <v>2514.6</v>
                </pt>
                <pt idx="1998">
                  <v>2527.4</v>
                </pt>
                <pt idx="1999">
                  <v>2534.5</v>
                </pt>
                <pt idx="2000">
                  <v>2501.5</v>
                </pt>
                <pt idx="2001">
                  <v>2523.3</v>
                </pt>
                <pt idx="2002">
                  <v>2524.1</v>
                </pt>
                <pt idx="2003">
                  <v>2535.9</v>
                </pt>
                <pt idx="2004">
                  <v>2585.8</v>
                </pt>
                <pt idx="2005">
                  <v>2538.9</v>
                </pt>
                <pt idx="2006">
                  <v>2513.2</v>
                </pt>
                <pt idx="2007">
                  <v>2522.4</v>
                </pt>
                <pt idx="2008">
                  <v>2526.6</v>
                </pt>
                <pt idx="2009">
                  <v>2526.9</v>
                </pt>
                <pt idx="2010">
                  <v>2544</v>
                </pt>
                <pt idx="2011">
                  <v>2565.6</v>
                </pt>
                <pt idx="2012">
                  <v>2552.2</v>
                </pt>
                <pt idx="2013">
                  <v>2533.6</v>
                </pt>
                <pt idx="2014">
                  <v>2545.5</v>
                </pt>
                <pt idx="2015">
                  <v>2537.8</v>
                </pt>
                <pt idx="2016">
                  <v>2562.8</v>
                </pt>
                <pt idx="2017">
                  <v>2585.5</v>
                </pt>
                <pt idx="2018">
                  <v>2581.2</v>
                </pt>
                <pt idx="2019">
                  <v>2572.1</v>
                </pt>
                <pt idx="2020">
                  <v>2590.7</v>
                </pt>
                <pt idx="2021">
                  <v>2589.9</v>
                </pt>
                <pt idx="2022">
                  <v>2568.8</v>
                </pt>
                <pt idx="2023">
                  <v>2641.1</v>
                </pt>
                <pt idx="2024">
                  <v>2662.6</v>
                </pt>
                <pt idx="2025">
                  <v>2625.4</v>
                </pt>
                <pt idx="2026">
                  <v>2604.8</v>
                </pt>
                <pt idx="2027">
                  <v>2615</v>
                </pt>
                <pt idx="2028">
                  <v>2622.8</v>
                </pt>
                <pt idx="2029">
                  <v>2627.9</v>
                </pt>
                <pt idx="2030">
                  <v>2654.5</v>
                </pt>
                <pt idx="2031">
                  <v>2672.8</v>
                </pt>
                <pt idx="2032">
                  <v>2656.2</v>
                </pt>
                <pt idx="2033">
                  <v>2682.7</v>
                </pt>
                <pt idx="2034">
                  <v>2648.4</v>
                </pt>
                <pt idx="2035">
                  <v>2668.2</v>
                </pt>
                <pt idx="2036">
                  <v>2673.9</v>
                </pt>
                <pt idx="2037">
                  <v>2704.5</v>
                </pt>
                <pt idx="2038">
                  <v>2694.1</v>
                </pt>
                <pt idx="2039">
                  <v>2766.9</v>
                </pt>
                <pt idx="2040">
                  <v>2719.4</v>
                </pt>
                <pt idx="2041">
                  <v>2711.3</v>
                </pt>
                <pt idx="2042">
                  <v>2707.1</v>
                </pt>
                <pt idx="2043">
                  <v>2764.5</v>
                </pt>
                <pt idx="2044">
                  <v>2762.5</v>
                </pt>
                <pt idx="2045">
                  <v>2740.1</v>
                </pt>
                <pt idx="2046">
                  <v>2749.5</v>
                </pt>
                <pt idx="2047">
                  <v>2762.3</v>
                </pt>
                <pt idx="2048">
                  <v>2739.3</v>
                </pt>
                <pt idx="2049">
                  <v>2790</v>
                </pt>
                <pt idx="2050">
                  <v>2789.5</v>
                </pt>
                <pt idx="2051">
                  <v>2793.1</v>
                </pt>
                <pt idx="2052">
                  <v>2783.9</v>
                </pt>
                <pt idx="2053">
                  <v>2798.8</v>
                </pt>
                <pt idx="2054">
                  <v>2782.3</v>
                </pt>
                <pt idx="2055">
                  <v>2792.3</v>
                </pt>
                <pt idx="2056">
                  <v>2820.5</v>
                </pt>
                <pt idx="2057">
                  <v>2831.3</v>
                </pt>
                <pt idx="2058">
                  <v>2825.5</v>
                </pt>
                <pt idx="2059">
                  <v>2829.2</v>
                </pt>
                <pt idx="2060">
                  <v>2834.5</v>
                </pt>
                <pt idx="2061">
                  <v>2812.5</v>
                </pt>
                <pt idx="2062">
                  <v>2853.2</v>
                </pt>
                <pt idx="2063">
                  <v>2860.9</v>
                </pt>
                <pt idx="2064">
                  <v>2841.4</v>
                </pt>
                <pt idx="2065">
                  <v>2841.9</v>
                </pt>
                <pt idx="2066">
                  <v>2807.8</v>
                </pt>
                <pt idx="2067">
                  <v>2781.3</v>
                </pt>
                <pt idx="2068">
                  <v>2794.1</v>
                </pt>
                <pt idx="2069">
                  <v>2809.6</v>
                </pt>
                <pt idx="2070">
                  <v>2841</v>
                </pt>
                <pt idx="2071">
                  <v>2870.6</v>
                </pt>
                <pt idx="2072">
                  <v>2873</v>
                </pt>
                <pt idx="2073">
                  <v>2874</v>
                </pt>
                <pt idx="2074">
                  <v>2851.7</v>
                </pt>
                <pt idx="2075">
                  <v>2857.2</v>
                </pt>
                <pt idx="2076">
                  <v>2862.6</v>
                </pt>
                <pt idx="2077">
                  <v>2869.6</v>
                </pt>
                <pt idx="2078">
                  <v>2919.6</v>
                </pt>
                <pt idx="2079">
                  <v>2891.6</v>
                </pt>
                <pt idx="2080">
                  <v>2871.4</v>
                </pt>
                <pt idx="2081">
                  <v>2880.7</v>
                </pt>
                <pt idx="2082">
                  <v>2885.7</v>
                </pt>
                <pt idx="2083">
                  <v>2929</v>
                </pt>
                <pt idx="2084">
                  <v>2944.2</v>
                </pt>
                <pt idx="2085">
                  <v>2959.7</v>
                </pt>
                <pt idx="2086">
                  <v>2937.8</v>
                </pt>
                <pt idx="2087">
                  <v>2934</v>
                </pt>
                <pt idx="2088">
                  <v>2930.6</v>
                </pt>
                <pt idx="2089">
                  <v>2917.8</v>
                </pt>
                <pt idx="2090">
                  <v>2935.5</v>
                </pt>
                <pt idx="2091">
                  <v>2999.4</v>
                </pt>
                <pt idx="2092">
                  <v>3002.2</v>
                </pt>
                <pt idx="2093">
                  <v>3005.6</v>
                </pt>
                <pt idx="2094">
                  <v>3006.4</v>
                </pt>
                <pt idx="2095">
                  <v>3015.5</v>
                </pt>
                <pt idx="2096">
                  <v>3013.2</v>
                </pt>
                <pt idx="2097">
                  <v>2995.8</v>
                </pt>
                <pt idx="2098">
                  <v>3000.2</v>
                </pt>
                <pt idx="2099">
                  <v>2987.5</v>
                </pt>
                <pt idx="2100">
                  <v>2977.8</v>
                </pt>
                <pt idx="2101">
                  <v>3014.8</v>
                </pt>
                <pt idx="2102">
                  <v>3015.8</v>
                </pt>
                <pt idx="2103">
                  <v>2994.4</v>
                </pt>
                <pt idx="2104">
                  <v>2995.3</v>
                </pt>
                <pt idx="2105">
                  <v>2997.1</v>
                </pt>
                <pt idx="2106">
                  <v>2970.3</v>
                </pt>
                <pt idx="2107">
                  <v>2994.8</v>
                </pt>
                <pt idx="2108">
                  <v>2977.1</v>
                </pt>
                <pt idx="2109">
                  <v>2990.7</v>
                </pt>
                <pt idx="2110">
                  <v>3012.6</v>
                </pt>
                <pt idx="2111">
                  <v>3037.1</v>
                </pt>
                <pt idx="2112">
                  <v>3047.2</v>
                </pt>
                <pt idx="2113">
                  <v>3022.5</v>
                </pt>
                <pt idx="2114">
                  <v>3035.5</v>
                </pt>
                <pt idx="2115">
                  <v>3038.4</v>
                </pt>
                <pt idx="2116">
                  <v>3033.5</v>
                </pt>
                <pt idx="2117">
                  <v>3092</v>
                </pt>
                <pt idx="2118">
                  <v>3033.6</v>
                </pt>
                <pt idx="2119">
                  <v>3013.6</v>
                </pt>
                <pt idx="2120">
                  <v>3025.7</v>
                </pt>
                <pt idx="2121">
                  <v>3018.5</v>
                </pt>
                <pt idx="2122">
                  <v>3012</v>
                </pt>
                <pt idx="2123">
                  <v>3048.2</v>
                </pt>
                <pt idx="2124">
                  <v>3074.9</v>
                </pt>
                <pt idx="2125">
                  <v>3053.2</v>
                </pt>
                <pt idx="2126">
                  <v>3016.1</v>
                </pt>
                <pt idx="2127">
                  <v>2999.1</v>
                </pt>
                <pt idx="2128">
                  <v>2996.2</v>
                </pt>
                <pt idx="2129">
                  <v>3023.1</v>
                </pt>
                <pt idx="2130">
                  <v>3067.6</v>
                </pt>
                <pt idx="2131">
                  <v>3077.4</v>
                </pt>
                <pt idx="2132">
                  <v>3072.7</v>
                </pt>
                <pt idx="2133">
                  <v>3095.2</v>
                </pt>
                <pt idx="2134">
                  <v>3084.4</v>
                </pt>
                <pt idx="2135">
                  <v>3038.9</v>
                </pt>
                <pt idx="2136">
                  <v>3083.8</v>
                </pt>
                <pt idx="2137">
                  <v>3116.8</v>
                </pt>
                <pt idx="2138">
                  <v>3099.9</v>
                </pt>
                <pt idx="2139">
                  <v>3177.3</v>
                </pt>
                <pt idx="2140">
                  <v>3090.4</v>
                </pt>
                <pt idx="2141">
                  <v>3079.7</v>
                </pt>
                <pt idx="2142">
                  <v>3093.3</v>
                </pt>
                <pt idx="2143">
                  <v>3079.9</v>
                </pt>
                <pt idx="2144">
                  <v>3084.2</v>
                </pt>
                <pt idx="2145">
                  <v>3138.4</v>
                </pt>
                <pt idx="2146">
                  <v>3134.3</v>
                </pt>
                <pt idx="2147">
                  <v>3165.8</v>
                </pt>
                <pt idx="2148">
                  <v>3107.5</v>
                </pt>
                <pt idx="2149">
                  <v>3134.2</v>
                </pt>
                <pt idx="2150">
                  <v>3174.5</v>
                </pt>
                <pt idx="2151">
                  <v>3181</v>
                </pt>
                <pt idx="2152">
                  <v>3180.7</v>
                </pt>
                <pt idx="2153">
                  <v>3198.4</v>
                </pt>
                <pt idx="2154">
                  <v>3182.4</v>
                </pt>
                <pt idx="2155">
                  <v>3203.5</v>
                </pt>
                <pt idx="2156">
                  <v>3242.5</v>
                </pt>
                <pt idx="2157">
                  <v>3255.3</v>
                </pt>
                <pt idx="2158">
                  <v>3236.6</v>
                </pt>
                <pt idx="2159">
                  <v>3248.8</v>
                </pt>
                <pt idx="2160">
                  <v>3218.7</v>
                </pt>
                <pt idx="2161">
                  <v>3207</v>
                </pt>
                <pt idx="2162">
                  <v>3256.1</v>
                </pt>
                <pt idx="2163">
                  <v>3270.2</v>
                </pt>
                <pt idx="2164">
                  <v>3247.8</v>
                </pt>
                <pt idx="2165">
                  <v>3251.2</v>
                </pt>
                <pt idx="2166">
                  <v>3260.8</v>
                </pt>
                <pt idx="2167">
                  <v>3243.4</v>
                </pt>
                <pt idx="2168">
                  <v>3253.9</v>
                </pt>
                <pt idx="2169">
                  <v>3232.7</v>
                </pt>
                <pt idx="2170">
                  <v>3299.2</v>
                </pt>
                <pt idx="2171">
                  <v>3323.6</v>
                </pt>
                <pt idx="2172">
                  <v>3344.1</v>
                </pt>
                <pt idx="2173">
                  <v>3323.7</v>
                </pt>
                <pt idx="2174">
                  <v>3288.9</v>
                </pt>
                <pt idx="2175">
                  <v>3333.2</v>
                </pt>
                <pt idx="2176">
                  <v>3324.8</v>
                </pt>
                <pt idx="2177">
                  <v>3322.3</v>
                </pt>
                <pt idx="2178">
                  <v>3374.5</v>
                </pt>
                <pt idx="2179">
                  <v>3362.5</v>
                </pt>
                <pt idx="2180">
                  <v>3309.1</v>
                </pt>
                <pt idx="2181">
                  <v>3318.6</v>
                </pt>
                <pt idx="2182">
                  <v>3328.7</v>
                </pt>
                <pt idx="2183">
                  <v>3305.2</v>
                </pt>
                <pt idx="2184">
                  <v>3368</v>
                </pt>
                <pt idx="2185">
                  <v>3385.6</v>
                </pt>
                <pt idx="2186">
                  <v>3360.5</v>
                </pt>
                <pt idx="2187">
                  <v>3324.3</v>
                </pt>
                <pt idx="2188">
                  <v>3347.2</v>
                </pt>
                <pt idx="2189">
                  <v>3328.7</v>
                </pt>
                <pt idx="2190">
                  <v>3345.9</v>
                </pt>
                <pt idx="2191">
                  <v>3351.8</v>
                </pt>
                <pt idx="2192">
                  <v>3383.8</v>
                </pt>
                <pt idx="2193">
                  <v>3388.8</v>
                </pt>
                <pt idx="2194">
                  <v>3394.6</v>
                </pt>
                <pt idx="2195">
                  <v>3399.7</v>
                </pt>
                <pt idx="2196">
                  <v>3364.4</v>
                </pt>
                <pt idx="2197">
                  <v>3394.4</v>
                </pt>
                <pt idx="2198">
                  <v>3426.8</v>
                </pt>
                <pt idx="2199">
                  <v>3420.9</v>
                </pt>
                <pt idx="2200">
                  <v>3394.1</v>
                </pt>
                <pt idx="2201">
                  <v>3446.1</v>
                </pt>
                <pt idx="2202">
                  <v>3458.6</v>
                </pt>
                <pt idx="2203">
                  <v>3445.8</v>
                </pt>
                <pt idx="2204">
                  <v>3518.4</v>
                </pt>
                <pt idx="2205">
                  <v>3457</v>
                </pt>
                <pt idx="2206">
                  <v>3441.1</v>
                </pt>
                <pt idx="2207">
                  <v>3446.2</v>
                </pt>
                <pt idx="2208">
                  <v>3450.2</v>
                </pt>
                <pt idx="2209">
                  <v>3502.8</v>
                </pt>
                <pt idx="2210">
                  <v>3526.1</v>
                </pt>
                <pt idx="2211">
                  <v>3538.9</v>
                </pt>
                <pt idx="2212">
                  <v>3525.2</v>
                </pt>
                <pt idx="2213">
                  <v>3489.2</v>
                </pt>
                <pt idx="2214">
                  <v>3514.5</v>
                </pt>
                <pt idx="2215">
                  <v>3512.4</v>
                </pt>
                <pt idx="2216">
                  <v>3553</v>
                </pt>
                <pt idx="2217">
                  <v>3580.7</v>
                </pt>
                <pt idx="2218">
                  <v>3552.4</v>
                </pt>
                <pt idx="2219">
                  <v>3519.5</v>
                </pt>
                <pt idx="2220">
                  <v>3553.4</v>
                </pt>
                <pt idx="2221">
                  <v>3567.4</v>
                </pt>
                <pt idx="2222">
                  <v>3540.5</v>
                </pt>
                <pt idx="2223">
                  <v>3582.6</v>
                </pt>
                <pt idx="2224">
                  <v>3635.1</v>
                </pt>
                <pt idx="2225">
                  <v>3597.7</v>
                </pt>
                <pt idx="2226">
                  <v>3550.7</v>
                </pt>
                <pt idx="2227">
                  <v>3588.1</v>
                </pt>
                <pt idx="2228">
                  <v>3574.8</v>
                </pt>
                <pt idx="2229">
                  <v>3568.4</v>
                </pt>
                <pt idx="2230">
                  <v>3581.7</v>
                </pt>
                <pt idx="2231">
                  <v>3618.2</v>
                </pt>
                <pt idx="2232">
                  <v>3593.9</v>
                </pt>
                <pt idx="2233">
                  <v>3612.7</v>
                </pt>
                <pt idx="2234">
                  <v>3598.9</v>
                </pt>
                <pt idx="2235">
                  <v>3591.9</v>
                </pt>
                <pt idx="2236">
                  <v>3631.3</v>
                </pt>
                <pt idx="2237">
                  <v>3644.9</v>
                </pt>
                <pt idx="2238">
                  <v>3641.9</v>
                </pt>
                <pt idx="2239">
                  <v>3619.2</v>
                </pt>
                <pt idx="2240">
                  <v>3632.1</v>
                </pt>
                <pt idx="2241">
                  <v>3608.5</v>
                </pt>
                <pt idx="2242">
                  <v>3595.6</v>
                </pt>
                <pt idx="2243">
                  <v>3581</v>
                </pt>
                <pt idx="2244">
                  <v>3642.1</v>
                </pt>
                <pt idx="2245">
                  <v>3670.6</v>
                </pt>
                <pt idx="2246">
                  <v>3663</v>
                </pt>
                <pt idx="2247">
                  <v>3636.4</v>
                </pt>
                <pt idx="2248">
                  <v>3622.6</v>
                </pt>
                <pt idx="2249">
                  <v>3607.4</v>
                </pt>
                <pt idx="2250">
                  <v>3611.8</v>
                </pt>
                <pt idx="2251">
                  <v>3624.3</v>
                </pt>
                <pt idx="2252">
                  <v>3655.3</v>
                </pt>
                <pt idx="2253">
                  <v>3670.8</v>
                </pt>
                <pt idx="2254">
                  <v>3660.6</v>
                </pt>
                <pt idx="2255">
                  <v>3657.7</v>
                </pt>
                <pt idx="2256">
                  <v>3659.2</v>
                </pt>
                <pt idx="2257">
                  <v>3660.9</v>
                </pt>
                <pt idx="2258">
                  <v>3647</v>
                </pt>
                <pt idx="2259">
                  <v>3669.8</v>
                </pt>
                <pt idx="2260">
                  <v>3669.5</v>
                </pt>
                <pt idx="2261">
                  <v>3637.2</v>
                </pt>
                <pt idx="2262">
                  <v>3655.2</v>
                </pt>
                <pt idx="2263">
                  <v>3666.8</v>
                </pt>
                <pt idx="2264">
                  <v>3664.2</v>
                </pt>
                <pt idx="2265">
                  <v>3672.2</v>
                </pt>
                <pt idx="2266">
                  <v>3654.6</v>
                </pt>
                <pt idx="2267">
                  <v>3651.1</v>
                </pt>
                <pt idx="2268">
                  <v>3655.1</v>
                </pt>
                <pt idx="2269">
                  <v>3673.2</v>
                </pt>
                <pt idx="2270">
                  <v>3682.1</v>
                </pt>
                <pt idx="2271">
                  <v>3681.5</v>
                </pt>
                <pt idx="2272">
                  <v>3677.6</v>
                </pt>
                <pt idx="2273">
                  <v>3681.9</v>
                </pt>
                <pt idx="2274">
                  <v>3661.4</v>
                </pt>
                <pt idx="2275">
                  <v>3677</v>
                </pt>
                <pt idx="2276">
                  <v>3676</v>
                </pt>
                <pt idx="2277">
                  <v>3695.2</v>
                </pt>
                <pt idx="2278">
                  <v>3779.6</v>
                </pt>
                <pt idx="2279">
                  <v>3710.1</v>
                </pt>
                <pt idx="2280">
                  <v>3691.7</v>
                </pt>
                <pt idx="2281">
                  <v>3704.6</v>
                </pt>
                <pt idx="2282">
                  <v>3693.1</v>
                </pt>
                <pt idx="2283">
                  <v>3708.5</v>
                </pt>
                <pt idx="2284">
                  <v>3723.5</v>
                </pt>
                <pt idx="2285">
                  <v>3744.5</v>
                </pt>
                <pt idx="2286">
                  <v>3729.1</v>
                </pt>
                <pt idx="2287">
                  <v>3689.6</v>
                </pt>
                <pt idx="2288">
                  <v>3687.3</v>
                </pt>
                <pt idx="2289">
                  <v>3688.2</v>
                </pt>
                <pt idx="2290">
                  <v>3692.6</v>
                </pt>
                <pt idx="2291">
                  <v>3780.5</v>
                </pt>
                <pt idx="2292">
                  <v>3769.8</v>
                </pt>
                <pt idx="2293">
                  <v>3712.9</v>
                </pt>
                <pt idx="2294">
                  <v>3760.7</v>
                </pt>
                <pt idx="2295">
                  <v>3744.6</v>
                </pt>
                <pt idx="2296">
                  <v>3722.2</v>
                </pt>
                <pt idx="2297">
                  <v>3720.3</v>
                </pt>
                <pt idx="2298">
                  <v>3757.1</v>
                </pt>
                <pt idx="2299">
                  <v>3753.4</v>
                </pt>
                <pt idx="2300">
                  <v>3792.3</v>
                </pt>
                <pt idx="2301">
                  <v>3768.8</v>
                </pt>
                <pt idx="2302">
                  <v>3757.9</v>
                </pt>
                <pt idx="2303">
                  <v>3743</v>
                </pt>
                <pt idx="2304">
                  <v>3766.8</v>
                </pt>
                <pt idx="2305">
                  <v>3736.9</v>
                </pt>
                <pt idx="2306">
                  <v>3716.7</v>
                </pt>
                <pt idx="2307">
                  <v>3728.3</v>
                </pt>
                <pt idx="2308">
                  <v>3731.6</v>
                </pt>
                <pt idx="2309">
                  <v>3747.3</v>
                </pt>
                <pt idx="2310">
                  <v>3797.5</v>
                </pt>
                <pt idx="2311">
                  <v>3790.6</v>
                </pt>
                <pt idx="2312">
                  <v>3814</v>
                </pt>
                <pt idx="2313">
                  <v>3766.3</v>
                </pt>
                <pt idx="2314">
                  <v>3773.5</v>
                </pt>
                <pt idx="2315">
                  <v>3782.7</v>
                </pt>
                <pt idx="2316">
                  <v>3810.8</v>
                </pt>
                <pt idx="2317">
                  <v>3877</v>
                </pt>
                <pt idx="2318">
                  <v>3840.5</v>
                </pt>
                <pt idx="2319">
                  <v>3833.5</v>
                </pt>
                <pt idx="2320">
                  <v>3830.7</v>
                </pt>
                <pt idx="2321">
                  <v>3819.5</v>
                </pt>
                <pt idx="2322">
                  <v>3838.3</v>
                </pt>
                <pt idx="2323">
                  <v>3857.4</v>
                </pt>
                <pt idx="2324">
                  <v>3876.3</v>
                </pt>
                <pt idx="2325">
                  <v>3873.6</v>
                </pt>
                <pt idx="2326">
                  <v>3876</v>
                </pt>
                <pt idx="2327">
                  <v>3862</v>
                </pt>
                <pt idx="2328">
                  <v>3833.2</v>
                </pt>
                <pt idx="2329">
                  <v>3845.8</v>
                </pt>
                <pt idx="2330">
                  <v>3878.9</v>
                </pt>
                <pt idx="2331">
                  <v>3896.9</v>
                </pt>
                <pt idx="2332">
                  <v>3896.8</v>
                </pt>
                <pt idx="2333">
                  <v>3912</v>
                </pt>
                <pt idx="2334">
                  <v>3929.1</v>
                </pt>
                <pt idx="2335">
                  <v>3894.7</v>
                </pt>
                <pt idx="2336">
                  <v>3931.6</v>
                </pt>
                <pt idx="2337">
                  <v>3929.9</v>
                </pt>
                <pt idx="2338">
                  <v>3935.3</v>
                </pt>
                <pt idx="2339">
                  <v>3956.2</v>
                </pt>
                <pt idx="2340">
                  <v>3956.4</v>
                </pt>
                <pt idx="2341">
                  <v>3928.9</v>
                </pt>
                <pt idx="2342">
                  <v>3963.3</v>
                </pt>
                <pt idx="2343">
                  <v>3954.6</v>
                </pt>
                <pt idx="2344">
                  <v>3979.3</v>
                </pt>
                <pt idx="2345">
                  <v>3992.9</v>
                </pt>
                <pt idx="2346">
                  <v>3999.9</v>
                </pt>
                <pt idx="2347">
                  <v>3964.4</v>
                </pt>
                <pt idx="2348">
                  <v>3948.9</v>
                </pt>
                <pt idx="2349">
                  <v>3950.6</v>
                </pt>
                <pt idx="2350">
                  <v>3978.9</v>
                </pt>
                <pt idx="2351">
                  <v>3963.1</v>
                </pt>
                <pt idx="2352">
                  <v>4082.2</v>
                </pt>
                <pt idx="2353">
                  <v>4013.7</v>
                </pt>
                <pt idx="2354">
                  <v>3984.5</v>
                </pt>
                <pt idx="2355">
                  <v>3972.3</v>
                </pt>
                <pt idx="2356">
                  <v>4029.1</v>
                </pt>
                <pt idx="2357">
                  <v>4064.6</v>
                </pt>
                <pt idx="2358">
                  <v>4127.7</v>
                </pt>
                <pt idx="2359">
                  <v>4314.5</v>
                </pt>
                <pt idx="2360">
                  <v>4514</v>
                </pt>
                <pt idx="2361">
                  <v>4592.2</v>
                </pt>
                <pt idx="2362">
                  <v>4717.8</v>
                </pt>
                <pt idx="2363">
                  <v>4851.2</v>
                </pt>
                <pt idx="2364">
                  <v>4899.4</v>
                </pt>
                <pt idx="2365">
                  <v>15982.2</v>
                </pt>
                <pt idx="2366">
                  <v>16201.5</v>
                </pt>
                <pt idx="2367">
                  <v>16292.5</v>
                </pt>
                <pt idx="2368">
                  <v>16319.8</v>
                </pt>
                <pt idx="2369">
                  <v>16364</v>
                </pt>
                <pt idx="2370">
                  <v>16467.2</v>
                </pt>
                <pt idx="2371">
                  <v>16554.6</v>
                </pt>
                <pt idx="2372">
                  <v>16654.9</v>
                </pt>
                <pt idx="2373">
                  <v>16656.6</v>
                </pt>
                <pt idx="2374">
                  <v>16763.2</v>
                </pt>
                <pt idx="2375">
                  <v>16836.7</v>
                </pt>
                <pt idx="2376">
                  <v>16781.8</v>
                </pt>
                <pt idx="2377">
                  <v>16753.2</v>
                </pt>
                <pt idx="2378">
                  <v>16734.6</v>
                </pt>
                <pt idx="2379">
                  <v>16888.9</v>
                </pt>
                <pt idx="2380">
                  <v>16938.6</v>
                </pt>
                <pt idx="2381">
                  <v>16880.5</v>
                </pt>
                <pt idx="2382">
                  <v>16962.7</v>
                </pt>
                <pt idx="2383">
                  <v>17087.6</v>
                </pt>
                <pt idx="2384">
                  <v>17214.6</v>
                </pt>
                <pt idx="2385">
                  <v>17237.7</v>
                </pt>
                <pt idx="2386">
                  <v>17174.9</v>
                </pt>
                <pt idx="2387">
                  <v>17224.2</v>
                </pt>
                <pt idx="2388">
                  <v>17331.8</v>
                </pt>
                <pt idx="2389">
                  <v>17350.6</v>
                </pt>
                <pt idx="2390">
                  <v>17376.1</v>
                </pt>
                <pt idx="2391">
                  <v>17431.2</v>
                </pt>
                <pt idx="2392">
                  <v>17593.4</v>
                </pt>
                <pt idx="2393">
                  <v>17638.4</v>
                </pt>
                <pt idx="2394">
                  <v>17657.9</v>
                </pt>
                <pt idx="2395">
                  <v>17547.6</v>
                </pt>
                <pt idx="2396">
                  <v>17777.4</v>
                </pt>
                <pt idx="2397">
                  <v>17853.5</v>
                </pt>
                <pt idx="2398">
                  <v>17762.7</v>
                </pt>
                <pt idx="2399">
                  <v>17659.7</v>
                </pt>
                <pt idx="2400">
                  <v>17770</v>
                </pt>
                <pt idx="2401">
                  <v>18142.1</v>
                </pt>
                <pt idx="2402">
                  <v>18151.2</v>
                </pt>
                <pt idx="2403">
                  <v>18107.7</v>
                </pt>
                <pt idx="2404">
                  <v>18104.9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050918448"/>
        <axId val="1050946328"/>
      </lineChart>
      <dateAx>
        <axId val="1050918448"/>
        <scaling>
          <orientation val="minMax"/>
        </scaling>
        <delete val="0"/>
        <axPos val="b"/>
        <numFmt formatCode="yyyy\-mm\-dd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46328"/>
        <crosses val="autoZero"/>
        <lblOffset val="100"/>
        <baseTimeUnit val="days"/>
      </dateAx>
      <valAx>
        <axId val="105094632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050918448"/>
        <crosses val="autoZero"/>
        <crossBetween val="between"/>
      </valAx>
    </plotArea>
    <plotVisOnly val="1"/>
    <dispBlanksAs val="gap"/>
  </chart>
</chartSpace>
</file>

<file path=xl/charts/chart7.xml><?xml version="1.0" encoding="utf-8"?>
<chartSpace xmlns="http://schemas.openxmlformats.org/drawingml/2006/chart">
  <chart>
    <title>
      <tx>
        <strRef>
          <f>Table26[[#Headers],[M2 Monthly Change Annualized %]]</f>
          <strCache>
            <ptCount val="1"/>
            <pt idx="0">
              <v>M2 Monthly Change Annualized %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'US M2 '!$D$5</f>
              <strCache>
                <ptCount val="1"/>
                <pt idx="0">
                  <v>M2 Monthly Change Annualized %</v>
                </pt>
              </strCache>
            </strRef>
          </tx>
          <spPr>
            <a:solidFill xmlns:a="http://schemas.openxmlformats.org/drawingml/2006/main">
              <a:schemeClr val="tx1">
                <a:lumMod val="50000"/>
                <a:lumOff val="5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M2 '!$A$7:$A$783</f>
              <numCache>
                <formatCode>m/d/yyyy</formatCode>
                <ptCount val="777"/>
                <pt idx="0">
                  <v>21582</v>
                </pt>
                <pt idx="1">
                  <v>21610</v>
                </pt>
                <pt idx="2">
                  <v>21641</v>
                </pt>
                <pt idx="3">
                  <v>21671</v>
                </pt>
                <pt idx="4">
                  <v>21702</v>
                </pt>
                <pt idx="5">
                  <v>21732</v>
                </pt>
                <pt idx="6">
                  <v>21763</v>
                </pt>
                <pt idx="7">
                  <v>21794</v>
                </pt>
                <pt idx="8">
                  <v>21824</v>
                </pt>
                <pt idx="9">
                  <v>21855</v>
                </pt>
                <pt idx="10">
                  <v>21885</v>
                </pt>
                <pt idx="11">
                  <v>21916</v>
                </pt>
                <pt idx="12">
                  <v>21947</v>
                </pt>
                <pt idx="13">
                  <v>21976</v>
                </pt>
                <pt idx="14">
                  <v>22007</v>
                </pt>
                <pt idx="15">
                  <v>22037</v>
                </pt>
                <pt idx="16">
                  <v>22068</v>
                </pt>
                <pt idx="17">
                  <v>22098</v>
                </pt>
                <pt idx="18">
                  <v>22129</v>
                </pt>
                <pt idx="19">
                  <v>22160</v>
                </pt>
                <pt idx="20">
                  <v>22190</v>
                </pt>
                <pt idx="21">
                  <v>22221</v>
                </pt>
                <pt idx="22">
                  <v>22251</v>
                </pt>
                <pt idx="23">
                  <v>22282</v>
                </pt>
                <pt idx="24">
                  <v>22313</v>
                </pt>
                <pt idx="25">
                  <v>22341</v>
                </pt>
                <pt idx="26">
                  <v>22372</v>
                </pt>
                <pt idx="27">
                  <v>22402</v>
                </pt>
                <pt idx="28">
                  <v>22433</v>
                </pt>
                <pt idx="29">
                  <v>22463</v>
                </pt>
                <pt idx="30">
                  <v>22494</v>
                </pt>
                <pt idx="31">
                  <v>22525</v>
                </pt>
                <pt idx="32">
                  <v>22555</v>
                </pt>
                <pt idx="33">
                  <v>22586</v>
                </pt>
                <pt idx="34">
                  <v>22616</v>
                </pt>
                <pt idx="35">
                  <v>22647</v>
                </pt>
                <pt idx="36">
                  <v>22678</v>
                </pt>
                <pt idx="37">
                  <v>22706</v>
                </pt>
                <pt idx="38">
                  <v>22737</v>
                </pt>
                <pt idx="39">
                  <v>22767</v>
                </pt>
                <pt idx="40">
                  <v>22798</v>
                </pt>
                <pt idx="41">
                  <v>22828</v>
                </pt>
                <pt idx="42">
                  <v>22859</v>
                </pt>
                <pt idx="43">
                  <v>22890</v>
                </pt>
                <pt idx="44">
                  <v>22920</v>
                </pt>
                <pt idx="45">
                  <v>22951</v>
                </pt>
                <pt idx="46">
                  <v>22981</v>
                </pt>
                <pt idx="47">
                  <v>23012</v>
                </pt>
                <pt idx="48">
                  <v>23043</v>
                </pt>
                <pt idx="49">
                  <v>23071</v>
                </pt>
                <pt idx="50">
                  <v>23102</v>
                </pt>
                <pt idx="51">
                  <v>23132</v>
                </pt>
                <pt idx="52">
                  <v>23163</v>
                </pt>
                <pt idx="53">
                  <v>23193</v>
                </pt>
                <pt idx="54">
                  <v>23224</v>
                </pt>
                <pt idx="55">
                  <v>23255</v>
                </pt>
                <pt idx="56">
                  <v>23285</v>
                </pt>
                <pt idx="57">
                  <v>23316</v>
                </pt>
                <pt idx="58">
                  <v>23346</v>
                </pt>
                <pt idx="59">
                  <v>23377</v>
                </pt>
                <pt idx="60">
                  <v>23408</v>
                </pt>
                <pt idx="61">
                  <v>23437</v>
                </pt>
                <pt idx="62">
                  <v>23468</v>
                </pt>
                <pt idx="63">
                  <v>23498</v>
                </pt>
                <pt idx="64">
                  <v>23529</v>
                </pt>
                <pt idx="65">
                  <v>23559</v>
                </pt>
                <pt idx="66">
                  <v>23590</v>
                </pt>
                <pt idx="67">
                  <v>23621</v>
                </pt>
                <pt idx="68">
                  <v>23651</v>
                </pt>
                <pt idx="69">
                  <v>23682</v>
                </pt>
                <pt idx="70">
                  <v>23712</v>
                </pt>
                <pt idx="71">
                  <v>23743</v>
                </pt>
                <pt idx="72">
                  <v>23774</v>
                </pt>
                <pt idx="73">
                  <v>23802</v>
                </pt>
                <pt idx="74">
                  <v>23833</v>
                </pt>
                <pt idx="75">
                  <v>23863</v>
                </pt>
                <pt idx="76">
                  <v>23894</v>
                </pt>
                <pt idx="77">
                  <v>23924</v>
                </pt>
                <pt idx="78">
                  <v>23955</v>
                </pt>
                <pt idx="79">
                  <v>23986</v>
                </pt>
                <pt idx="80">
                  <v>24016</v>
                </pt>
                <pt idx="81">
                  <v>24047</v>
                </pt>
                <pt idx="82">
                  <v>24077</v>
                </pt>
                <pt idx="83">
                  <v>24108</v>
                </pt>
                <pt idx="84">
                  <v>24139</v>
                </pt>
                <pt idx="85">
                  <v>24167</v>
                </pt>
                <pt idx="86">
                  <v>24198</v>
                </pt>
                <pt idx="87">
                  <v>24228</v>
                </pt>
                <pt idx="88">
                  <v>24259</v>
                </pt>
                <pt idx="89">
                  <v>24289</v>
                </pt>
                <pt idx="90">
                  <v>24320</v>
                </pt>
                <pt idx="91">
                  <v>24351</v>
                </pt>
                <pt idx="92">
                  <v>24381</v>
                </pt>
                <pt idx="93">
                  <v>24412</v>
                </pt>
                <pt idx="94">
                  <v>24442</v>
                </pt>
                <pt idx="95">
                  <v>24473</v>
                </pt>
                <pt idx="96">
                  <v>24504</v>
                </pt>
                <pt idx="97">
                  <v>24532</v>
                </pt>
                <pt idx="98">
                  <v>24563</v>
                </pt>
                <pt idx="99">
                  <v>24593</v>
                </pt>
                <pt idx="100">
                  <v>24624</v>
                </pt>
                <pt idx="101">
                  <v>24654</v>
                </pt>
                <pt idx="102">
                  <v>24685</v>
                </pt>
                <pt idx="103">
                  <v>24716</v>
                </pt>
                <pt idx="104">
                  <v>24746</v>
                </pt>
                <pt idx="105">
                  <v>24777</v>
                </pt>
                <pt idx="106">
                  <v>24807</v>
                </pt>
                <pt idx="107">
                  <v>24838</v>
                </pt>
                <pt idx="108">
                  <v>24869</v>
                </pt>
                <pt idx="109">
                  <v>24898</v>
                </pt>
                <pt idx="110">
                  <v>24929</v>
                </pt>
                <pt idx="111">
                  <v>24959</v>
                </pt>
                <pt idx="112">
                  <v>24990</v>
                </pt>
                <pt idx="113">
                  <v>25020</v>
                </pt>
                <pt idx="114">
                  <v>25051</v>
                </pt>
                <pt idx="115">
                  <v>25082</v>
                </pt>
                <pt idx="116">
                  <v>25112</v>
                </pt>
                <pt idx="117">
                  <v>25143</v>
                </pt>
                <pt idx="118">
                  <v>25173</v>
                </pt>
                <pt idx="119">
                  <v>25204</v>
                </pt>
                <pt idx="120">
                  <v>25235</v>
                </pt>
                <pt idx="121">
                  <v>25263</v>
                </pt>
                <pt idx="122">
                  <v>25294</v>
                </pt>
                <pt idx="123">
                  <v>25324</v>
                </pt>
                <pt idx="124">
                  <v>25355</v>
                </pt>
                <pt idx="125">
                  <v>25385</v>
                </pt>
                <pt idx="126">
                  <v>25416</v>
                </pt>
                <pt idx="127">
                  <v>25447</v>
                </pt>
                <pt idx="128">
                  <v>25477</v>
                </pt>
                <pt idx="129">
                  <v>25508</v>
                </pt>
                <pt idx="130">
                  <v>25538</v>
                </pt>
                <pt idx="131">
                  <v>25569</v>
                </pt>
                <pt idx="132">
                  <v>25600</v>
                </pt>
                <pt idx="133">
                  <v>25628</v>
                </pt>
                <pt idx="134">
                  <v>25659</v>
                </pt>
                <pt idx="135">
                  <v>25689</v>
                </pt>
                <pt idx="136">
                  <v>25720</v>
                </pt>
                <pt idx="137">
                  <v>25750</v>
                </pt>
                <pt idx="138">
                  <v>25781</v>
                </pt>
                <pt idx="139">
                  <v>25812</v>
                </pt>
                <pt idx="140">
                  <v>25842</v>
                </pt>
                <pt idx="141">
                  <v>25873</v>
                </pt>
                <pt idx="142">
                  <v>25903</v>
                </pt>
                <pt idx="143">
                  <v>25934</v>
                </pt>
                <pt idx="144">
                  <v>25965</v>
                </pt>
                <pt idx="145">
                  <v>25993</v>
                </pt>
                <pt idx="146">
                  <v>26024</v>
                </pt>
                <pt idx="147">
                  <v>26054</v>
                </pt>
                <pt idx="148">
                  <v>26085</v>
                </pt>
                <pt idx="149">
                  <v>26115</v>
                </pt>
                <pt idx="150">
                  <v>26146</v>
                </pt>
                <pt idx="151">
                  <v>26177</v>
                </pt>
                <pt idx="152">
                  <v>26207</v>
                </pt>
                <pt idx="153">
                  <v>26238</v>
                </pt>
                <pt idx="154">
                  <v>26268</v>
                </pt>
                <pt idx="155">
                  <v>26299</v>
                </pt>
                <pt idx="156">
                  <v>26330</v>
                </pt>
                <pt idx="157">
                  <v>26359</v>
                </pt>
                <pt idx="158">
                  <v>26390</v>
                </pt>
                <pt idx="159">
                  <v>26420</v>
                </pt>
                <pt idx="160">
                  <v>26451</v>
                </pt>
                <pt idx="161">
                  <v>26481</v>
                </pt>
                <pt idx="162">
                  <v>26512</v>
                </pt>
                <pt idx="163">
                  <v>26543</v>
                </pt>
                <pt idx="164">
                  <v>26573</v>
                </pt>
                <pt idx="165">
                  <v>26604</v>
                </pt>
                <pt idx="166">
                  <v>26634</v>
                </pt>
                <pt idx="167">
                  <v>26665</v>
                </pt>
                <pt idx="168">
                  <v>26696</v>
                </pt>
                <pt idx="169">
                  <v>26724</v>
                </pt>
                <pt idx="170">
                  <v>26755</v>
                </pt>
                <pt idx="171">
                  <v>26785</v>
                </pt>
                <pt idx="172">
                  <v>26816</v>
                </pt>
                <pt idx="173">
                  <v>26846</v>
                </pt>
                <pt idx="174">
                  <v>26877</v>
                </pt>
                <pt idx="175">
                  <v>26908</v>
                </pt>
                <pt idx="176">
                  <v>26938</v>
                </pt>
                <pt idx="177">
                  <v>26969</v>
                </pt>
                <pt idx="178">
                  <v>26999</v>
                </pt>
                <pt idx="179">
                  <v>27030</v>
                </pt>
                <pt idx="180">
                  <v>27061</v>
                </pt>
                <pt idx="181">
                  <v>27089</v>
                </pt>
                <pt idx="182">
                  <v>27120</v>
                </pt>
                <pt idx="183">
                  <v>27150</v>
                </pt>
                <pt idx="184">
                  <v>27181</v>
                </pt>
                <pt idx="185">
                  <v>27211</v>
                </pt>
                <pt idx="186">
                  <v>27242</v>
                </pt>
                <pt idx="187">
                  <v>27273</v>
                </pt>
                <pt idx="188">
                  <v>27303</v>
                </pt>
                <pt idx="189">
                  <v>27334</v>
                </pt>
                <pt idx="190">
                  <v>27364</v>
                </pt>
                <pt idx="191">
                  <v>27395</v>
                </pt>
                <pt idx="192">
                  <v>27426</v>
                </pt>
                <pt idx="193">
                  <v>27454</v>
                </pt>
                <pt idx="194">
                  <v>27485</v>
                </pt>
                <pt idx="195">
                  <v>27515</v>
                </pt>
                <pt idx="196">
                  <v>27546</v>
                </pt>
                <pt idx="197">
                  <v>27576</v>
                </pt>
                <pt idx="198">
                  <v>27607</v>
                </pt>
                <pt idx="199">
                  <v>27638</v>
                </pt>
                <pt idx="200">
                  <v>27668</v>
                </pt>
                <pt idx="201">
                  <v>27699</v>
                </pt>
                <pt idx="202">
                  <v>27729</v>
                </pt>
                <pt idx="203">
                  <v>27760</v>
                </pt>
                <pt idx="204">
                  <v>27791</v>
                </pt>
                <pt idx="205">
                  <v>27820</v>
                </pt>
                <pt idx="206">
                  <v>27851</v>
                </pt>
                <pt idx="207">
                  <v>27881</v>
                </pt>
                <pt idx="208">
                  <v>27912</v>
                </pt>
                <pt idx="209">
                  <v>27942</v>
                </pt>
                <pt idx="210">
                  <v>27973</v>
                </pt>
                <pt idx="211">
                  <v>28004</v>
                </pt>
                <pt idx="212">
                  <v>28034</v>
                </pt>
                <pt idx="213">
                  <v>28065</v>
                </pt>
                <pt idx="214">
                  <v>28095</v>
                </pt>
                <pt idx="215">
                  <v>28126</v>
                </pt>
                <pt idx="216">
                  <v>28157</v>
                </pt>
                <pt idx="217">
                  <v>28185</v>
                </pt>
                <pt idx="218">
                  <v>28216</v>
                </pt>
                <pt idx="219">
                  <v>28246</v>
                </pt>
                <pt idx="220">
                  <v>28277</v>
                </pt>
                <pt idx="221">
                  <v>28307</v>
                </pt>
                <pt idx="222">
                  <v>28338</v>
                </pt>
                <pt idx="223">
                  <v>28369</v>
                </pt>
                <pt idx="224">
                  <v>28399</v>
                </pt>
                <pt idx="225">
                  <v>28430</v>
                </pt>
                <pt idx="226">
                  <v>28460</v>
                </pt>
                <pt idx="227">
                  <v>28491</v>
                </pt>
                <pt idx="228">
                  <v>28522</v>
                </pt>
                <pt idx="229">
                  <v>28550</v>
                </pt>
                <pt idx="230">
                  <v>28581</v>
                </pt>
                <pt idx="231">
                  <v>28611</v>
                </pt>
                <pt idx="232">
                  <v>28642</v>
                </pt>
                <pt idx="233">
                  <v>28672</v>
                </pt>
                <pt idx="234">
                  <v>28703</v>
                </pt>
                <pt idx="235">
                  <v>28734</v>
                </pt>
                <pt idx="236">
                  <v>28764</v>
                </pt>
                <pt idx="237">
                  <v>28795</v>
                </pt>
                <pt idx="238">
                  <v>28825</v>
                </pt>
                <pt idx="239">
                  <v>28856</v>
                </pt>
                <pt idx="240">
                  <v>28887</v>
                </pt>
                <pt idx="241">
                  <v>28915</v>
                </pt>
                <pt idx="242">
                  <v>28946</v>
                </pt>
                <pt idx="243">
                  <v>28976</v>
                </pt>
                <pt idx="244">
                  <v>29007</v>
                </pt>
                <pt idx="245">
                  <v>29037</v>
                </pt>
                <pt idx="246">
                  <v>29068</v>
                </pt>
                <pt idx="247">
                  <v>29099</v>
                </pt>
                <pt idx="248">
                  <v>29129</v>
                </pt>
                <pt idx="249">
                  <v>29160</v>
                </pt>
                <pt idx="250">
                  <v>29190</v>
                </pt>
                <pt idx="251">
                  <v>29221</v>
                </pt>
                <pt idx="252">
                  <v>29252</v>
                </pt>
                <pt idx="253">
                  <v>29281</v>
                </pt>
                <pt idx="254">
                  <v>29312</v>
                </pt>
                <pt idx="255">
                  <v>29342</v>
                </pt>
                <pt idx="256">
                  <v>29373</v>
                </pt>
                <pt idx="257">
                  <v>29403</v>
                </pt>
                <pt idx="258">
                  <v>29434</v>
                </pt>
                <pt idx="259">
                  <v>29465</v>
                </pt>
                <pt idx="260">
                  <v>29495</v>
                </pt>
                <pt idx="261">
                  <v>29526</v>
                </pt>
                <pt idx="262">
                  <v>29556</v>
                </pt>
                <pt idx="263">
                  <v>29587</v>
                </pt>
                <pt idx="264">
                  <v>29618</v>
                </pt>
                <pt idx="265">
                  <v>29646</v>
                </pt>
                <pt idx="266">
                  <v>29677</v>
                </pt>
                <pt idx="267">
                  <v>29707</v>
                </pt>
                <pt idx="268">
                  <v>29738</v>
                </pt>
                <pt idx="269">
                  <v>29768</v>
                </pt>
                <pt idx="270">
                  <v>29799</v>
                </pt>
                <pt idx="271">
                  <v>29830</v>
                </pt>
                <pt idx="272">
                  <v>29860</v>
                </pt>
                <pt idx="273">
                  <v>29891</v>
                </pt>
                <pt idx="274">
                  <v>29921</v>
                </pt>
                <pt idx="275">
                  <v>29952</v>
                </pt>
                <pt idx="276">
                  <v>29983</v>
                </pt>
                <pt idx="277">
                  <v>30011</v>
                </pt>
                <pt idx="278">
                  <v>30042</v>
                </pt>
                <pt idx="279">
                  <v>30072</v>
                </pt>
                <pt idx="280">
                  <v>30103</v>
                </pt>
                <pt idx="281">
                  <v>30133</v>
                </pt>
                <pt idx="282">
                  <v>30164</v>
                </pt>
                <pt idx="283">
                  <v>30195</v>
                </pt>
                <pt idx="284">
                  <v>30225</v>
                </pt>
                <pt idx="285">
                  <v>30256</v>
                </pt>
                <pt idx="286">
                  <v>30286</v>
                </pt>
                <pt idx="287">
                  <v>30317</v>
                </pt>
                <pt idx="288">
                  <v>30348</v>
                </pt>
                <pt idx="289">
                  <v>30376</v>
                </pt>
                <pt idx="290">
                  <v>30407</v>
                </pt>
                <pt idx="291">
                  <v>30437</v>
                </pt>
                <pt idx="292">
                  <v>30468</v>
                </pt>
                <pt idx="293">
                  <v>30498</v>
                </pt>
                <pt idx="294">
                  <v>30529</v>
                </pt>
                <pt idx="295">
                  <v>30560</v>
                </pt>
                <pt idx="296">
                  <v>30590</v>
                </pt>
                <pt idx="297">
                  <v>30621</v>
                </pt>
                <pt idx="298">
                  <v>30651</v>
                </pt>
                <pt idx="299">
                  <v>30682</v>
                </pt>
                <pt idx="300">
                  <v>30713</v>
                </pt>
                <pt idx="301">
                  <v>30742</v>
                </pt>
                <pt idx="302">
                  <v>30773</v>
                </pt>
                <pt idx="303">
                  <v>30803</v>
                </pt>
                <pt idx="304">
                  <v>30834</v>
                </pt>
                <pt idx="305">
                  <v>30864</v>
                </pt>
                <pt idx="306">
                  <v>30895</v>
                </pt>
                <pt idx="307">
                  <v>30926</v>
                </pt>
                <pt idx="308">
                  <v>30956</v>
                </pt>
                <pt idx="309">
                  <v>30987</v>
                </pt>
                <pt idx="310">
                  <v>31017</v>
                </pt>
                <pt idx="311">
                  <v>31048</v>
                </pt>
                <pt idx="312">
                  <v>31079</v>
                </pt>
                <pt idx="313">
                  <v>31107</v>
                </pt>
                <pt idx="314">
                  <v>31138</v>
                </pt>
                <pt idx="315">
                  <v>31168</v>
                </pt>
                <pt idx="316">
                  <v>31199</v>
                </pt>
                <pt idx="317">
                  <v>31229</v>
                </pt>
                <pt idx="318">
                  <v>31260</v>
                </pt>
                <pt idx="319">
                  <v>31291</v>
                </pt>
                <pt idx="320">
                  <v>31321</v>
                </pt>
                <pt idx="321">
                  <v>31352</v>
                </pt>
                <pt idx="322">
                  <v>31382</v>
                </pt>
                <pt idx="323">
                  <v>31413</v>
                </pt>
                <pt idx="324">
                  <v>31444</v>
                </pt>
                <pt idx="325">
                  <v>31472</v>
                </pt>
                <pt idx="326">
                  <v>31503</v>
                </pt>
                <pt idx="327">
                  <v>31533</v>
                </pt>
                <pt idx="328">
                  <v>31564</v>
                </pt>
                <pt idx="329">
                  <v>31594</v>
                </pt>
                <pt idx="330">
                  <v>31625</v>
                </pt>
                <pt idx="331">
                  <v>31656</v>
                </pt>
                <pt idx="332">
                  <v>31686</v>
                </pt>
                <pt idx="333">
                  <v>31717</v>
                </pt>
                <pt idx="334">
                  <v>31747</v>
                </pt>
                <pt idx="335">
                  <v>31778</v>
                </pt>
                <pt idx="336">
                  <v>31809</v>
                </pt>
                <pt idx="337">
                  <v>31837</v>
                </pt>
                <pt idx="338">
                  <v>31868</v>
                </pt>
                <pt idx="339">
                  <v>31898</v>
                </pt>
                <pt idx="340">
                  <v>31929</v>
                </pt>
                <pt idx="341">
                  <v>31959</v>
                </pt>
                <pt idx="342">
                  <v>31990</v>
                </pt>
                <pt idx="343">
                  <v>32021</v>
                </pt>
                <pt idx="344">
                  <v>32051</v>
                </pt>
                <pt idx="345">
                  <v>32082</v>
                </pt>
                <pt idx="346">
                  <v>32112</v>
                </pt>
                <pt idx="347">
                  <v>32143</v>
                </pt>
                <pt idx="348">
                  <v>32174</v>
                </pt>
                <pt idx="349">
                  <v>32203</v>
                </pt>
                <pt idx="350">
                  <v>32234</v>
                </pt>
                <pt idx="351">
                  <v>32264</v>
                </pt>
                <pt idx="352">
                  <v>32295</v>
                </pt>
                <pt idx="353">
                  <v>32325</v>
                </pt>
                <pt idx="354">
                  <v>32356</v>
                </pt>
                <pt idx="355">
                  <v>32387</v>
                </pt>
                <pt idx="356">
                  <v>32417</v>
                </pt>
                <pt idx="357">
                  <v>32448</v>
                </pt>
                <pt idx="358">
                  <v>32478</v>
                </pt>
                <pt idx="359">
                  <v>32509</v>
                </pt>
                <pt idx="360">
                  <v>32540</v>
                </pt>
                <pt idx="361">
                  <v>32568</v>
                </pt>
                <pt idx="362">
                  <v>32599</v>
                </pt>
                <pt idx="363">
                  <v>32629</v>
                </pt>
                <pt idx="364">
                  <v>32660</v>
                </pt>
                <pt idx="365">
                  <v>32690</v>
                </pt>
                <pt idx="366">
                  <v>32721</v>
                </pt>
                <pt idx="367">
                  <v>32752</v>
                </pt>
                <pt idx="368">
                  <v>32782</v>
                </pt>
                <pt idx="369">
                  <v>32813</v>
                </pt>
                <pt idx="370">
                  <v>32843</v>
                </pt>
                <pt idx="371">
                  <v>32874</v>
                </pt>
                <pt idx="372">
                  <v>32905</v>
                </pt>
                <pt idx="373">
                  <v>32933</v>
                </pt>
                <pt idx="374">
                  <v>32964</v>
                </pt>
                <pt idx="375">
                  <v>32994</v>
                </pt>
                <pt idx="376">
                  <v>33025</v>
                </pt>
                <pt idx="377">
                  <v>33055</v>
                </pt>
                <pt idx="378">
                  <v>33086</v>
                </pt>
                <pt idx="379">
                  <v>33117</v>
                </pt>
                <pt idx="380">
                  <v>33147</v>
                </pt>
                <pt idx="381">
                  <v>33178</v>
                </pt>
                <pt idx="382">
                  <v>33208</v>
                </pt>
                <pt idx="383">
                  <v>33239</v>
                </pt>
                <pt idx="384">
                  <v>33270</v>
                </pt>
                <pt idx="385">
                  <v>33298</v>
                </pt>
                <pt idx="386">
                  <v>33329</v>
                </pt>
                <pt idx="387">
                  <v>33359</v>
                </pt>
                <pt idx="388">
                  <v>33390</v>
                </pt>
                <pt idx="389">
                  <v>33420</v>
                </pt>
                <pt idx="390">
                  <v>33451</v>
                </pt>
                <pt idx="391">
                  <v>33482</v>
                </pt>
                <pt idx="392">
                  <v>33512</v>
                </pt>
                <pt idx="393">
                  <v>33543</v>
                </pt>
                <pt idx="394">
                  <v>33573</v>
                </pt>
                <pt idx="395">
                  <v>33604</v>
                </pt>
                <pt idx="396">
                  <v>33635</v>
                </pt>
                <pt idx="397">
                  <v>33664</v>
                </pt>
                <pt idx="398">
                  <v>33695</v>
                </pt>
                <pt idx="399">
                  <v>33725</v>
                </pt>
                <pt idx="400">
                  <v>33756</v>
                </pt>
                <pt idx="401">
                  <v>33786</v>
                </pt>
                <pt idx="402">
                  <v>33817</v>
                </pt>
                <pt idx="403">
                  <v>33848</v>
                </pt>
                <pt idx="404">
                  <v>33878</v>
                </pt>
                <pt idx="405">
                  <v>33909</v>
                </pt>
                <pt idx="406">
                  <v>33939</v>
                </pt>
                <pt idx="407">
                  <v>33970</v>
                </pt>
                <pt idx="408">
                  <v>34001</v>
                </pt>
                <pt idx="409">
                  <v>34029</v>
                </pt>
                <pt idx="410">
                  <v>34060</v>
                </pt>
                <pt idx="411">
                  <v>34090</v>
                </pt>
                <pt idx="412">
                  <v>34121</v>
                </pt>
                <pt idx="413">
                  <v>34151</v>
                </pt>
                <pt idx="414">
                  <v>34182</v>
                </pt>
                <pt idx="415">
                  <v>34213</v>
                </pt>
                <pt idx="416">
                  <v>34243</v>
                </pt>
                <pt idx="417">
                  <v>34274</v>
                </pt>
                <pt idx="418">
                  <v>34304</v>
                </pt>
                <pt idx="419">
                  <v>34335</v>
                </pt>
                <pt idx="420">
                  <v>34366</v>
                </pt>
                <pt idx="421">
                  <v>34394</v>
                </pt>
                <pt idx="422">
                  <v>34425</v>
                </pt>
                <pt idx="423">
                  <v>34455</v>
                </pt>
                <pt idx="424">
                  <v>34486</v>
                </pt>
                <pt idx="425">
                  <v>34516</v>
                </pt>
                <pt idx="426">
                  <v>34547</v>
                </pt>
                <pt idx="427">
                  <v>34578</v>
                </pt>
                <pt idx="428">
                  <v>34608</v>
                </pt>
                <pt idx="429">
                  <v>34639</v>
                </pt>
                <pt idx="430">
                  <v>34669</v>
                </pt>
                <pt idx="431">
                  <v>34700</v>
                </pt>
                <pt idx="432">
                  <v>34731</v>
                </pt>
                <pt idx="433">
                  <v>34759</v>
                </pt>
                <pt idx="434">
                  <v>34790</v>
                </pt>
                <pt idx="435">
                  <v>34820</v>
                </pt>
                <pt idx="436">
                  <v>34851</v>
                </pt>
                <pt idx="437">
                  <v>34881</v>
                </pt>
                <pt idx="438">
                  <v>34912</v>
                </pt>
                <pt idx="439">
                  <v>34943</v>
                </pt>
                <pt idx="440">
                  <v>34973</v>
                </pt>
                <pt idx="441">
                  <v>35004</v>
                </pt>
                <pt idx="442">
                  <v>35034</v>
                </pt>
                <pt idx="443">
                  <v>35065</v>
                </pt>
                <pt idx="444">
                  <v>35096</v>
                </pt>
                <pt idx="445">
                  <v>35125</v>
                </pt>
                <pt idx="446">
                  <v>35156</v>
                </pt>
                <pt idx="447">
                  <v>35186</v>
                </pt>
                <pt idx="448">
                  <v>35217</v>
                </pt>
                <pt idx="449">
                  <v>35247</v>
                </pt>
                <pt idx="450">
                  <v>35278</v>
                </pt>
                <pt idx="451">
                  <v>35309</v>
                </pt>
                <pt idx="452">
                  <v>35339</v>
                </pt>
                <pt idx="453">
                  <v>35370</v>
                </pt>
                <pt idx="454">
                  <v>35400</v>
                </pt>
                <pt idx="455">
                  <v>35431</v>
                </pt>
                <pt idx="456">
                  <v>35462</v>
                </pt>
                <pt idx="457">
                  <v>35490</v>
                </pt>
                <pt idx="458">
                  <v>35521</v>
                </pt>
                <pt idx="459">
                  <v>35551</v>
                </pt>
                <pt idx="460">
                  <v>35582</v>
                </pt>
                <pt idx="461">
                  <v>35612</v>
                </pt>
                <pt idx="462">
                  <v>35643</v>
                </pt>
                <pt idx="463">
                  <v>35674</v>
                </pt>
                <pt idx="464">
                  <v>35704</v>
                </pt>
                <pt idx="465">
                  <v>35735</v>
                </pt>
                <pt idx="466">
                  <v>35765</v>
                </pt>
                <pt idx="467">
                  <v>35796</v>
                </pt>
                <pt idx="468">
                  <v>35827</v>
                </pt>
                <pt idx="469">
                  <v>35855</v>
                </pt>
                <pt idx="470">
                  <v>35886</v>
                </pt>
                <pt idx="471">
                  <v>35916</v>
                </pt>
                <pt idx="472">
                  <v>35947</v>
                </pt>
                <pt idx="473">
                  <v>35977</v>
                </pt>
                <pt idx="474">
                  <v>36008</v>
                </pt>
                <pt idx="475">
                  <v>36039</v>
                </pt>
                <pt idx="476">
                  <v>36069</v>
                </pt>
                <pt idx="477">
                  <v>36100</v>
                </pt>
                <pt idx="478">
                  <v>36130</v>
                </pt>
                <pt idx="479">
                  <v>36161</v>
                </pt>
                <pt idx="480">
                  <v>36192</v>
                </pt>
                <pt idx="481">
                  <v>36220</v>
                </pt>
                <pt idx="482">
                  <v>36251</v>
                </pt>
                <pt idx="483">
                  <v>36281</v>
                </pt>
                <pt idx="484">
                  <v>36312</v>
                </pt>
                <pt idx="485">
                  <v>36342</v>
                </pt>
                <pt idx="486">
                  <v>36373</v>
                </pt>
                <pt idx="487">
                  <v>36404</v>
                </pt>
                <pt idx="488">
                  <v>36434</v>
                </pt>
                <pt idx="489">
                  <v>36465</v>
                </pt>
                <pt idx="490">
                  <v>36495</v>
                </pt>
                <pt idx="491">
                  <v>36526</v>
                </pt>
                <pt idx="492">
                  <v>36557</v>
                </pt>
                <pt idx="493">
                  <v>36586</v>
                </pt>
                <pt idx="494">
                  <v>36617</v>
                </pt>
                <pt idx="495">
                  <v>36647</v>
                </pt>
                <pt idx="496">
                  <v>36678</v>
                </pt>
                <pt idx="497">
                  <v>36708</v>
                </pt>
                <pt idx="498">
                  <v>36739</v>
                </pt>
                <pt idx="499">
                  <v>36770</v>
                </pt>
                <pt idx="500">
                  <v>36800</v>
                </pt>
                <pt idx="501">
                  <v>36831</v>
                </pt>
                <pt idx="502">
                  <v>36861</v>
                </pt>
                <pt idx="503">
                  <v>36892</v>
                </pt>
                <pt idx="504">
                  <v>36923</v>
                </pt>
                <pt idx="505">
                  <v>36951</v>
                </pt>
                <pt idx="506">
                  <v>36982</v>
                </pt>
                <pt idx="507">
                  <v>37012</v>
                </pt>
                <pt idx="508">
                  <v>37043</v>
                </pt>
                <pt idx="509">
                  <v>37073</v>
                </pt>
                <pt idx="510">
                  <v>37104</v>
                </pt>
                <pt idx="511">
                  <v>37135</v>
                </pt>
                <pt idx="512">
                  <v>37165</v>
                </pt>
                <pt idx="513">
                  <v>37196</v>
                </pt>
                <pt idx="514">
                  <v>37226</v>
                </pt>
                <pt idx="515">
                  <v>37257</v>
                </pt>
                <pt idx="516">
                  <v>37288</v>
                </pt>
                <pt idx="517">
                  <v>37316</v>
                </pt>
                <pt idx="518">
                  <v>37347</v>
                </pt>
                <pt idx="519">
                  <v>37377</v>
                </pt>
                <pt idx="520">
                  <v>37408</v>
                </pt>
                <pt idx="521">
                  <v>37438</v>
                </pt>
                <pt idx="522">
                  <v>37469</v>
                </pt>
                <pt idx="523">
                  <v>37500</v>
                </pt>
                <pt idx="524">
                  <v>37530</v>
                </pt>
                <pt idx="525">
                  <v>37561</v>
                </pt>
                <pt idx="526">
                  <v>37591</v>
                </pt>
                <pt idx="527">
                  <v>37622</v>
                </pt>
                <pt idx="528">
                  <v>37653</v>
                </pt>
                <pt idx="529">
                  <v>37681</v>
                </pt>
                <pt idx="530">
                  <v>37712</v>
                </pt>
                <pt idx="531">
                  <v>37742</v>
                </pt>
                <pt idx="532">
                  <v>37773</v>
                </pt>
                <pt idx="533">
                  <v>37803</v>
                </pt>
                <pt idx="534">
                  <v>37834</v>
                </pt>
                <pt idx="535">
                  <v>37865</v>
                </pt>
                <pt idx="536">
                  <v>37895</v>
                </pt>
                <pt idx="537">
                  <v>37926</v>
                </pt>
                <pt idx="538">
                  <v>37956</v>
                </pt>
                <pt idx="539">
                  <v>37987</v>
                </pt>
                <pt idx="540">
                  <v>38018</v>
                </pt>
                <pt idx="541">
                  <v>38047</v>
                </pt>
                <pt idx="542">
                  <v>38078</v>
                </pt>
                <pt idx="543">
                  <v>38108</v>
                </pt>
                <pt idx="544">
                  <v>38139</v>
                </pt>
                <pt idx="545">
                  <v>38169</v>
                </pt>
                <pt idx="546">
                  <v>38200</v>
                </pt>
                <pt idx="547">
                  <v>38231</v>
                </pt>
                <pt idx="548">
                  <v>38261</v>
                </pt>
                <pt idx="549">
                  <v>38292</v>
                </pt>
                <pt idx="550">
                  <v>38322</v>
                </pt>
                <pt idx="551">
                  <v>38353</v>
                </pt>
                <pt idx="552">
                  <v>38384</v>
                </pt>
                <pt idx="553">
                  <v>38412</v>
                </pt>
                <pt idx="554">
                  <v>38443</v>
                </pt>
                <pt idx="555">
                  <v>38473</v>
                </pt>
                <pt idx="556">
                  <v>38504</v>
                </pt>
                <pt idx="557">
                  <v>38534</v>
                </pt>
                <pt idx="558">
                  <v>38565</v>
                </pt>
                <pt idx="559">
                  <v>38596</v>
                </pt>
                <pt idx="560">
                  <v>38626</v>
                </pt>
                <pt idx="561">
                  <v>38657</v>
                </pt>
                <pt idx="562">
                  <v>38687</v>
                </pt>
                <pt idx="563">
                  <v>38718</v>
                </pt>
                <pt idx="564">
                  <v>38749</v>
                </pt>
                <pt idx="565">
                  <v>38777</v>
                </pt>
                <pt idx="566">
                  <v>38808</v>
                </pt>
                <pt idx="567">
                  <v>38838</v>
                </pt>
                <pt idx="568">
                  <v>38869</v>
                </pt>
                <pt idx="569">
                  <v>38899</v>
                </pt>
                <pt idx="570">
                  <v>38930</v>
                </pt>
                <pt idx="571">
                  <v>38961</v>
                </pt>
                <pt idx="572">
                  <v>38991</v>
                </pt>
                <pt idx="573">
                  <v>39022</v>
                </pt>
                <pt idx="574">
                  <v>39052</v>
                </pt>
                <pt idx="575">
                  <v>39083</v>
                </pt>
                <pt idx="576">
                  <v>39114</v>
                </pt>
                <pt idx="577">
                  <v>39142</v>
                </pt>
                <pt idx="578">
                  <v>39173</v>
                </pt>
                <pt idx="579">
                  <v>39203</v>
                </pt>
                <pt idx="580">
                  <v>39234</v>
                </pt>
                <pt idx="581">
                  <v>39264</v>
                </pt>
                <pt idx="582">
                  <v>39295</v>
                </pt>
                <pt idx="583">
                  <v>39326</v>
                </pt>
                <pt idx="584">
                  <v>39356</v>
                </pt>
                <pt idx="585">
                  <v>39387</v>
                </pt>
                <pt idx="586">
                  <v>39417</v>
                </pt>
                <pt idx="587">
                  <v>39448</v>
                </pt>
                <pt idx="588">
                  <v>39479</v>
                </pt>
                <pt idx="589">
                  <v>39508</v>
                </pt>
                <pt idx="590">
                  <v>39539</v>
                </pt>
                <pt idx="591">
                  <v>39569</v>
                </pt>
                <pt idx="592">
                  <v>39600</v>
                </pt>
                <pt idx="593">
                  <v>39630</v>
                </pt>
                <pt idx="594">
                  <v>39661</v>
                </pt>
                <pt idx="595">
                  <v>39692</v>
                </pt>
                <pt idx="596">
                  <v>39722</v>
                </pt>
                <pt idx="597">
                  <v>39753</v>
                </pt>
                <pt idx="598">
                  <v>39783</v>
                </pt>
                <pt idx="599">
                  <v>39814</v>
                </pt>
                <pt idx="600">
                  <v>39845</v>
                </pt>
                <pt idx="601">
                  <v>39873</v>
                </pt>
                <pt idx="602">
                  <v>39904</v>
                </pt>
                <pt idx="603">
                  <v>39934</v>
                </pt>
                <pt idx="604">
                  <v>39965</v>
                </pt>
                <pt idx="605">
                  <v>39995</v>
                </pt>
                <pt idx="606">
                  <v>40026</v>
                </pt>
                <pt idx="607">
                  <v>40057</v>
                </pt>
                <pt idx="608">
                  <v>40087</v>
                </pt>
                <pt idx="609">
                  <v>40118</v>
                </pt>
                <pt idx="610">
                  <v>40148</v>
                </pt>
                <pt idx="611">
                  <v>40179</v>
                </pt>
                <pt idx="612">
                  <v>40210</v>
                </pt>
                <pt idx="613">
                  <v>40238</v>
                </pt>
                <pt idx="614">
                  <v>40269</v>
                </pt>
                <pt idx="615">
                  <v>40299</v>
                </pt>
                <pt idx="616">
                  <v>40330</v>
                </pt>
                <pt idx="617">
                  <v>40360</v>
                </pt>
                <pt idx="618">
                  <v>40391</v>
                </pt>
                <pt idx="619">
                  <v>40422</v>
                </pt>
                <pt idx="620">
                  <v>40452</v>
                </pt>
                <pt idx="621">
                  <v>40483</v>
                </pt>
                <pt idx="622">
                  <v>40513</v>
                </pt>
                <pt idx="623">
                  <v>40544</v>
                </pt>
                <pt idx="624">
                  <v>40575</v>
                </pt>
                <pt idx="625">
                  <v>40603</v>
                </pt>
                <pt idx="626">
                  <v>40634</v>
                </pt>
                <pt idx="627">
                  <v>40664</v>
                </pt>
                <pt idx="628">
                  <v>40695</v>
                </pt>
                <pt idx="629">
                  <v>40725</v>
                </pt>
                <pt idx="630">
                  <v>40756</v>
                </pt>
                <pt idx="631">
                  <v>40787</v>
                </pt>
                <pt idx="632">
                  <v>40817</v>
                </pt>
                <pt idx="633">
                  <v>40848</v>
                </pt>
                <pt idx="634">
                  <v>40878</v>
                </pt>
                <pt idx="635">
                  <v>40909</v>
                </pt>
                <pt idx="636">
                  <v>40940</v>
                </pt>
                <pt idx="637">
                  <v>40969</v>
                </pt>
                <pt idx="638">
                  <v>41000</v>
                </pt>
                <pt idx="639">
                  <v>41030</v>
                </pt>
                <pt idx="640">
                  <v>41061</v>
                </pt>
                <pt idx="641">
                  <v>41091</v>
                </pt>
                <pt idx="642">
                  <v>41122</v>
                </pt>
                <pt idx="643">
                  <v>41153</v>
                </pt>
                <pt idx="644">
                  <v>41183</v>
                </pt>
                <pt idx="645">
                  <v>41214</v>
                </pt>
                <pt idx="646">
                  <v>41244</v>
                </pt>
                <pt idx="647">
                  <v>41275</v>
                </pt>
                <pt idx="648">
                  <v>41306</v>
                </pt>
                <pt idx="649">
                  <v>41334</v>
                </pt>
                <pt idx="650">
                  <v>41365</v>
                </pt>
                <pt idx="651">
                  <v>41395</v>
                </pt>
                <pt idx="652">
                  <v>41426</v>
                </pt>
                <pt idx="653">
                  <v>41456</v>
                </pt>
                <pt idx="654">
                  <v>41487</v>
                </pt>
                <pt idx="655">
                  <v>41518</v>
                </pt>
                <pt idx="656">
                  <v>41548</v>
                </pt>
                <pt idx="657">
                  <v>41579</v>
                </pt>
                <pt idx="658">
                  <v>41609</v>
                </pt>
                <pt idx="659">
                  <v>41640</v>
                </pt>
                <pt idx="660">
                  <v>41671</v>
                </pt>
                <pt idx="661">
                  <v>41699</v>
                </pt>
                <pt idx="662">
                  <v>41730</v>
                </pt>
                <pt idx="663">
                  <v>41760</v>
                </pt>
                <pt idx="664">
                  <v>41791</v>
                </pt>
                <pt idx="665">
                  <v>41821</v>
                </pt>
                <pt idx="666">
                  <v>41852</v>
                </pt>
                <pt idx="667">
                  <v>41883</v>
                </pt>
                <pt idx="668">
                  <v>41913</v>
                </pt>
                <pt idx="669">
                  <v>41944</v>
                </pt>
                <pt idx="670">
                  <v>41974</v>
                </pt>
                <pt idx="671">
                  <v>42005</v>
                </pt>
                <pt idx="672">
                  <v>42036</v>
                </pt>
                <pt idx="673">
                  <v>42064</v>
                </pt>
                <pt idx="674">
                  <v>42095</v>
                </pt>
                <pt idx="675">
                  <v>42125</v>
                </pt>
                <pt idx="676">
                  <v>42156</v>
                </pt>
                <pt idx="677">
                  <v>42186</v>
                </pt>
                <pt idx="678">
                  <v>42217</v>
                </pt>
                <pt idx="679">
                  <v>42248</v>
                </pt>
                <pt idx="680">
                  <v>42278</v>
                </pt>
                <pt idx="681">
                  <v>42309</v>
                </pt>
                <pt idx="682">
                  <v>42339</v>
                </pt>
                <pt idx="683">
                  <v>42370</v>
                </pt>
                <pt idx="684">
                  <v>42401</v>
                </pt>
                <pt idx="685">
                  <v>42430</v>
                </pt>
                <pt idx="686">
                  <v>42461</v>
                </pt>
                <pt idx="687">
                  <v>42491</v>
                </pt>
                <pt idx="688">
                  <v>42522</v>
                </pt>
                <pt idx="689">
                  <v>42552</v>
                </pt>
                <pt idx="690">
                  <v>42583</v>
                </pt>
                <pt idx="691">
                  <v>42614</v>
                </pt>
                <pt idx="692">
                  <v>42644</v>
                </pt>
                <pt idx="693">
                  <v>42675</v>
                </pt>
                <pt idx="694">
                  <v>42705</v>
                </pt>
                <pt idx="695">
                  <v>42736</v>
                </pt>
                <pt idx="696">
                  <v>42767</v>
                </pt>
                <pt idx="697">
                  <v>42795</v>
                </pt>
                <pt idx="698">
                  <v>42826</v>
                </pt>
                <pt idx="699">
                  <v>42856</v>
                </pt>
                <pt idx="700">
                  <v>42887</v>
                </pt>
                <pt idx="701">
                  <v>42917</v>
                </pt>
                <pt idx="702">
                  <v>42948</v>
                </pt>
                <pt idx="703">
                  <v>42979</v>
                </pt>
                <pt idx="704">
                  <v>43009</v>
                </pt>
                <pt idx="705">
                  <v>43040</v>
                </pt>
                <pt idx="706">
                  <v>43070</v>
                </pt>
                <pt idx="707">
                  <v>43101</v>
                </pt>
                <pt idx="708">
                  <v>43132</v>
                </pt>
                <pt idx="709">
                  <v>43160</v>
                </pt>
                <pt idx="710">
                  <v>43191</v>
                </pt>
                <pt idx="711">
                  <v>43221</v>
                </pt>
                <pt idx="712">
                  <v>43252</v>
                </pt>
                <pt idx="713">
                  <v>43282</v>
                </pt>
                <pt idx="714">
                  <v>43313</v>
                </pt>
                <pt idx="715">
                  <v>43344</v>
                </pt>
                <pt idx="716">
                  <v>43374</v>
                </pt>
                <pt idx="717">
                  <v>43405</v>
                </pt>
                <pt idx="718">
                  <v>43435</v>
                </pt>
                <pt idx="719">
                  <v>43466</v>
                </pt>
                <pt idx="720">
                  <v>43497</v>
                </pt>
                <pt idx="721">
                  <v>43525</v>
                </pt>
                <pt idx="722">
                  <v>43556</v>
                </pt>
                <pt idx="723">
                  <v>43586</v>
                </pt>
                <pt idx="724">
                  <v>43617</v>
                </pt>
                <pt idx="725">
                  <v>43647</v>
                </pt>
                <pt idx="726">
                  <v>43678</v>
                </pt>
                <pt idx="727">
                  <v>43709</v>
                </pt>
                <pt idx="728">
                  <v>43739</v>
                </pt>
                <pt idx="729">
                  <v>43770</v>
                </pt>
                <pt idx="730">
                  <v>43800</v>
                </pt>
                <pt idx="731">
                  <v>43831</v>
                </pt>
                <pt idx="732">
                  <v>43862</v>
                </pt>
                <pt idx="733">
                  <v>43891</v>
                </pt>
                <pt idx="734">
                  <v>43922</v>
                </pt>
                <pt idx="735">
                  <v>43952</v>
                </pt>
                <pt idx="736">
                  <v>43983</v>
                </pt>
                <pt idx="737">
                  <v>44013</v>
                </pt>
                <pt idx="738">
                  <v>44044</v>
                </pt>
                <pt idx="739">
                  <v>44075</v>
                </pt>
                <pt idx="740">
                  <v>44105</v>
                </pt>
                <pt idx="741">
                  <v>44136</v>
                </pt>
                <pt idx="742">
                  <v>44166</v>
                </pt>
                <pt idx="743">
                  <v>44197</v>
                </pt>
                <pt idx="744">
                  <v>44228</v>
                </pt>
                <pt idx="745">
                  <v>44256</v>
                </pt>
                <pt idx="746">
                  <v>44287</v>
                </pt>
                <pt idx="747">
                  <v>44317</v>
                </pt>
                <pt idx="748">
                  <v>44348</v>
                </pt>
                <pt idx="749">
                  <v>44378</v>
                </pt>
                <pt idx="750">
                  <v>44409</v>
                </pt>
                <pt idx="751">
                  <v>44440</v>
                </pt>
                <pt idx="752">
                  <v>44470</v>
                </pt>
                <pt idx="753">
                  <v>44501</v>
                </pt>
                <pt idx="754">
                  <v>44531</v>
                </pt>
                <pt idx="755">
                  <v>44562</v>
                </pt>
                <pt idx="756">
                  <v>44593</v>
                </pt>
                <pt idx="757">
                  <v>44621</v>
                </pt>
                <pt idx="758">
                  <v>44652</v>
                </pt>
                <pt idx="759">
                  <v>44682</v>
                </pt>
                <pt idx="760">
                  <v>44713</v>
                </pt>
                <pt idx="761">
                  <v>44743</v>
                </pt>
                <pt idx="762">
                  <v>44774</v>
                </pt>
                <pt idx="763">
                  <v>44805</v>
                </pt>
                <pt idx="764">
                  <v>44835</v>
                </pt>
                <pt idx="765">
                  <v>44866</v>
                </pt>
                <pt idx="766">
                  <v>44896</v>
                </pt>
                <pt idx="767">
                  <v>44927</v>
                </pt>
                <pt idx="768">
                  <v>44958</v>
                </pt>
              </numCache>
            </numRef>
          </cat>
          <val>
            <numRef>
              <f>'US M2 '!$D$7:$D$783</f>
              <numCache>
                <formatCode>0.00%</formatCode>
                <ptCount val="777"/>
                <pt idx="0">
                  <v>0.04704201702925448</v>
                </pt>
                <pt idx="1">
                  <v>0.06439082129676055</v>
                </pt>
                <pt idx="2">
                  <v>0.03799026917893356</v>
                </pt>
                <pt idx="3">
                  <v>0.0904099192729293</v>
                </pt>
                <pt idx="4">
                  <v>0.08088068176596286</v>
                </pt>
                <pt idx="5">
                  <v>0.04581759387619866</v>
                </pt>
                <pt idx="6">
                  <v>0.04988602257340458</v>
                </pt>
                <pt idx="7">
                  <v>0.01221359059727423</v>
                </pt>
                <pt idx="8">
                  <v>-0.008059056575828727</v>
                </pt>
                <pt idx="9">
                  <v>0.02455540612270113</v>
                </pt>
                <pt idx="10">
                  <v>0.02864258391084018</v>
                </pt>
                <pt idx="11">
                  <v>0.01623780821219678</v>
                </pt>
                <pt idx="12">
                  <v>0.008078044738308865</v>
                </pt>
                <pt idx="13">
                  <v>0.03679949376458391</v>
                </pt>
                <pt idx="14">
                  <v>0.03255059910773461</v>
                </pt>
                <pt idx="15">
                  <v>0.03246255027601852</v>
                </pt>
                <pt idx="16">
                  <v>0.05728364267694142</v>
                </pt>
                <pt idx="17">
                  <v>0.07383925430174831</v>
                </pt>
                <pt idx="18">
                  <v>0.1162606603499017</v>
                </pt>
                <pt idx="19">
                  <v>0.06025363813668738</v>
                </pt>
                <pt idx="20">
                  <v>0.04365127431406135</v>
                </pt>
                <pt idx="21">
                  <v>0.05565212009435561</v>
                </pt>
                <pt idx="22">
                  <v>0.05945773959547918</v>
                </pt>
                <pt idx="23">
                  <v>0.06729121403436777</v>
                </pt>
                <pt idx="24">
                  <v>0.0956436737530042</v>
                </pt>
                <pt idx="25">
                  <v>0.07042215970794263</v>
                </pt>
                <pt idx="26">
                  <v>0.06201638592550518</v>
                </pt>
                <pt idx="27">
                  <v>0.08977176613461868</v>
                </pt>
                <pt idx="28">
                  <v>0.08107780473476867</v>
                </pt>
                <pt idx="29">
                  <v>0.04917847144557275</v>
                </pt>
                <pt idx="30">
                  <v>0.07625197755366298</v>
                </pt>
                <pt idx="31">
                  <v>0.07186060716450671</v>
                </pt>
                <pt idx="32">
                  <v>0.05985180031685111</v>
                </pt>
                <pt idx="33">
                  <v>0.08661820507783724</v>
                </pt>
                <pt idx="34">
                  <v>0.07825913992697253</v>
                </pt>
                <pt idx="35">
                  <v>0.07392766931278083</v>
                </pt>
                <pt idx="36">
                  <v>0.09646369716468617</v>
                </pt>
                <pt idx="37">
                  <v>0.1111406432338189</v>
                </pt>
                <pt idx="38">
                  <v>0.08724646386020152</v>
                </pt>
                <pt idx="39">
                  <v>0.07171938597300054</v>
                </pt>
                <pt idx="40">
                  <v>0.06396004837555447</v>
                </pt>
                <pt idx="41">
                  <v>0.05276633476732351</v>
                </pt>
                <pt idx="42">
                  <v>0.07060163227885274</v>
                </pt>
                <pt idx="43">
                  <v>0.07381403168480016</v>
                </pt>
                <pt idx="44">
                  <v>0.08060111277099846</v>
                </pt>
                <pt idx="45">
                  <v>0.09092904728737028</v>
                </pt>
                <pt idx="46">
                  <v>0.1011253444553684</v>
                </pt>
                <pt idx="47">
                  <v>0.08592181914574959</v>
                </pt>
                <pt idx="48">
                  <v>0.09241644081097644</v>
                </pt>
                <pt idx="49">
                  <v>0.09525079826188798</v>
                </pt>
                <pt idx="50">
                  <v>0.08748893494554322</v>
                </pt>
                <pt idx="51">
                  <v>0.09381562257093345</v>
                </pt>
                <pt idx="52">
                  <v>0.07590402365776616</v>
                </pt>
                <pt idx="53">
                  <v>0.08906512901996666</v>
                </pt>
                <pt idx="54">
                  <v>0.08162270869760824</v>
                </pt>
                <pt idx="55">
                  <v>0.07771635621096928</v>
                </pt>
                <pt idx="56">
                  <v>0.07389304694039445</v>
                </pt>
                <pt idx="57">
                  <v>0.1035004387562986</v>
                </pt>
                <pt idx="58">
                  <v>0.05336992168658727</v>
                </pt>
                <pt idx="59">
                  <v>0.06277448917901896</v>
                </pt>
                <pt idx="60">
                  <v>0.07535851349321532</v>
                </pt>
                <pt idx="61">
                  <v>0.06845680315931912</v>
                </pt>
                <pt idx="62">
                  <v>0.05854299713740141</v>
                </pt>
                <pt idx="63">
                  <v>0.07729273076329601</v>
                </pt>
                <pt idx="64">
                  <v>0.08957597465008238</v>
                </pt>
                <pt idx="65">
                  <v>0.09210401287139747</v>
                </pt>
                <pt idx="66">
                  <v>0.100952130061982</v>
                </pt>
                <pt idx="67">
                  <v>0.1064634541921123</v>
                </pt>
                <pt idx="68">
                  <v>0.06519516994000951</v>
                </pt>
                <pt idx="69">
                  <v>0.08626923946362641</v>
                </pt>
                <pt idx="70">
                  <v>0.07953746839592446</v>
                </pt>
                <pt idx="71">
                  <v>0.0820474275520815</v>
                </pt>
                <pt idx="72">
                  <v>0.08451040513802432</v>
                </pt>
                <pt idx="73">
                  <v>0.0809216700043387</v>
                </pt>
                <pt idx="74">
                  <v>0.06267318277106182</v>
                </pt>
                <pt idx="75">
                  <v>0.04787283388741082</v>
                </pt>
                <pt idx="76">
                  <v>0.08554228434533373</v>
                </pt>
                <pt idx="77">
                  <v>0.07907527266120029</v>
                </pt>
                <pt idx="78">
                  <v>0.08146534265536021</v>
                </pt>
                <pt idx="79">
                  <v>0.1042707866245631</v>
                </pt>
                <pt idx="80">
                  <v>0.08597103670258965</v>
                </pt>
                <pt idx="81">
                  <v>0.08535983898672805</v>
                </pt>
                <pt idx="82">
                  <v>0.09616065501475179</v>
                </pt>
                <pt idx="83">
                  <v>0.07567519513963927</v>
                </pt>
                <pt idx="84">
                  <v>0.06966247100925815</v>
                </pt>
                <pt idx="85">
                  <v>0.06926054928068814</v>
                </pt>
                <pt idx="86">
                  <v>0.05529198897515331</v>
                </pt>
                <pt idx="87">
                  <v>0.02064888087738193</v>
                </pt>
                <pt idx="88">
                  <v>0.02844333283271316</v>
                </pt>
                <pt idx="89">
                  <v>-0.007613371398280222</v>
                </pt>
                <pt idx="90">
                  <v>0.04419190544024398</v>
                </pt>
                <pt idx="91">
                  <v>0.073459147385176</v>
                </pt>
                <pt idx="92">
                  <v>0.007598908416516226</v>
                </pt>
                <pt idx="93">
                  <v>0.04111665813389398</v>
                </pt>
                <pt idx="94">
                  <v>0.07539659304160584</v>
                </pt>
                <pt idx="95">
                  <v>0.03555190121922869</v>
                </pt>
                <pt idx="96">
                  <v>0.09078097998376156</v>
                </pt>
                <pt idx="97">
                  <v>0.1199172979731458</v>
                </pt>
                <pt idx="98">
                  <v>0.06042298392196366</v>
                </pt>
                <pt idx="99">
                  <v>0.131704542863101</v>
                </pt>
                <pt idx="100">
                  <v>0.1222023300569648</v>
                </pt>
                <pt idx="101">
                  <v>0.107772354966349</v>
                </pt>
                <pt idx="102">
                  <v>0.112027518294874</v>
                </pt>
                <pt idx="103">
                  <v>0.09556804356385729</v>
                </pt>
                <pt idx="104">
                  <v>0.08472308978559928</v>
                </pt>
                <pt idx="105">
                  <v>0.07172652783479228</v>
                </pt>
                <pt idx="106">
                  <v>0.08610804829845176</v>
                </pt>
                <pt idx="107">
                  <v>0.06109822751274452</v>
                </pt>
                <pt idx="108">
                  <v>0.07043593290114192</v>
                </pt>
                <pt idx="109">
                  <v>0.06522047146294874</v>
                </pt>
                <pt idx="110">
                  <v>0.05773790403183909</v>
                </pt>
                <pt idx="111">
                  <v>0.07408449333944023</v>
                </pt>
                <pt idx="112">
                  <v>0.08557359189189362</v>
                </pt>
                <pt idx="113">
                  <v>0.06840242890266213</v>
                </pt>
                <pt idx="114">
                  <v>0.08685478372245448</v>
                </pt>
                <pt idx="115">
                  <v>0.0956935784259707</v>
                </pt>
                <pt idx="116">
                  <v>0.09023520973994614</v>
                </pt>
                <pt idx="117">
                  <v>0.1083337624379479</v>
                </pt>
                <pt idx="118">
                  <v>0.09803037631952316</v>
                </pt>
                <pt idx="119">
                  <v>0.05423178697817854</v>
                </pt>
                <pt idx="120">
                  <v>0.05620192046920436</v>
                </pt>
                <pt idx="121">
                  <v>0.053736481969479</v>
                </pt>
                <pt idx="122">
                  <v>0.02749940403449713</v>
                </pt>
                <pt idx="123">
                  <v>0.01680339147605592</v>
                </pt>
                <pt idx="124">
                  <v>0.04243412484318609</v>
                </pt>
                <pt idx="125">
                  <v>0.02094165618340815</v>
                </pt>
                <pt idx="126">
                  <v>0.01249550077183614</v>
                </pt>
                <pt idx="127">
                  <v>0.04216577281211009</v>
                </pt>
                <pt idx="128">
                  <v>0.0271311633867799</v>
                </pt>
                <pt idx="129">
                  <v>0.04192274748210867</v>
                </pt>
                <pt idx="130">
                  <v>0.05246801209639962</v>
                </pt>
                <pt idx="131">
                  <v>0.03525700054926251</v>
                </pt>
                <pt idx="132">
                  <v>-0.06513471740408616</v>
                </pt>
                <pt idx="133">
                  <v>0.02066043463003098</v>
                </pt>
                <pt idx="134">
                  <v>0.02270871912316075</v>
                </pt>
                <pt idx="135">
                  <v>0.0650868405864522</v>
                </pt>
                <pt idx="136">
                  <v>0.07770049637218146</v>
                </pt>
                <pt idx="137">
                  <v>0.08152550254760982</v>
                </pt>
                <pt idx="138">
                  <v>0.1225641770022301</v>
                </pt>
                <pt idx="139">
                  <v>0.1323928869850235</v>
                </pt>
                <pt idx="140">
                  <v>0.1070096679130261</v>
                </pt>
                <pt idx="141">
                  <v>0.0954354477877335</v>
                </pt>
                <pt idx="142">
                  <v>0.1094674187459272</v>
                </pt>
                <pt idx="143">
                  <v>0.1297133063524976</v>
                </pt>
                <pt idx="144">
                  <v>0.1648639530176803</v>
                </pt>
                <pt idx="145">
                  <v>0.1799458832290508</v>
                </pt>
                <pt idx="146">
                  <v>0.1687440767081063</v>
                </pt>
                <pt idx="147">
                  <v>0.1622179938717212</v>
                </pt>
                <pt idx="148">
                  <v>0.119477345122551</v>
                </pt>
                <pt idx="149">
                  <v>0.1242416526635111</v>
                </pt>
                <pt idx="150">
                  <v>0.1093001383215404</v>
                </pt>
                <pt idx="151">
                  <v>0.1296601877675332</v>
                </pt>
                <pt idx="152">
                  <v>0.1071677717432631</v>
                </pt>
                <pt idx="153">
                  <v>0.1118876277950527</v>
                </pt>
                <pt idx="154">
                  <v>0.1015142247518868</v>
                </pt>
                <pt idx="155">
                  <v>0.1324357696061955</v>
                </pt>
                <pt idx="156">
                  <v>0.1422735542551739</v>
                </pt>
                <pt idx="157">
                  <v>0.136883441665973</v>
                </pt>
                <pt idx="158">
                  <v>0.08317552438832676</v>
                </pt>
                <pt idx="159">
                  <v>0.08260327717646643</v>
                </pt>
                <pt idx="160">
                  <v>0.108359215317509</v>
                </pt>
                <pt idx="161">
                  <v>0.1686466224414771</v>
                </pt>
                <pt idx="162">
                  <v>0.1554448852341392</v>
                </pt>
                <pt idx="163">
                  <v>0.1605979324494644</v>
                </pt>
                <pt idx="164">
                  <v>0.1409593674625449</v>
                </pt>
                <pt idx="165">
                  <v>0.1121287797842869</v>
                </pt>
                <pt idx="166">
                  <v>0.1346237842248381</v>
                </pt>
                <pt idx="167">
                  <v>0.1264412878934564</v>
                </pt>
                <pt idx="168">
                  <v>0.05774989289329002</v>
                </pt>
                <pt idx="169">
                  <v>0.01783235219769441</v>
                </pt>
                <pt idx="170">
                  <v>0.06671871139643448</v>
                </pt>
                <pt idx="171">
                  <v>0.1090379167097484</v>
                </pt>
                <pt idx="172">
                  <v>0.09852758381757987</v>
                </pt>
                <pt idx="173">
                  <v>0.04706769762381802</v>
                </pt>
                <pt idx="174">
                  <v>0.03349818421541984</v>
                </pt>
                <pt idx="175">
                  <v>0.007176573791727536</v>
                </pt>
                <pt idx="176">
                  <v>0.04821598945666183</v>
                </pt>
                <pt idx="177">
                  <v>0.09350543389207888</v>
                </pt>
                <pt idx="178">
                  <v>0.09739193350005371</v>
                </pt>
                <pt idx="179">
                  <v>0.060529990468142</v>
                </pt>
                <pt idx="180">
                  <v>0.0646528544996956</v>
                </pt>
                <pt idx="181">
                  <v>0.08507280800135142</v>
                </pt>
                <pt idx="182">
                  <v>0.03930710927247283</v>
                </pt>
                <pt idx="183">
                  <v>0.02362233677891079</v>
                </pt>
                <pt idx="184">
                  <v>0.04480018781716422</v>
                </pt>
                <pt idx="185">
                  <v>0.05033934938471685</v>
                </pt>
                <pt idx="186">
                  <v>0.03738540296276205</v>
                </pt>
                <pt idx="187">
                  <v>0.05281480871457167</v>
                </pt>
                <pt idx="188">
                  <v>0.07547256467672714</v>
                </pt>
                <pt idx="189">
                  <v>0.0735665298649808</v>
                </pt>
                <pt idx="190">
                  <v>0.04775374727971338</v>
                </pt>
                <pt idx="191">
                  <v>0.0573227237583831</v>
                </pt>
                <pt idx="192">
                  <v>0.1083087128116496</v>
                </pt>
                <pt idx="193">
                  <v>0.1528592422179991</v>
                </pt>
                <pt idx="194">
                  <v>0.1391892841338578</v>
                </pt>
                <pt idx="195">
                  <v>0.1772090583933841</v>
                </pt>
                <pt idx="196">
                  <v>0.2088298239941251</v>
                </pt>
                <pt idx="197">
                  <v>0.1616476863163661</v>
                </pt>
                <pt idx="198">
                  <v>0.1030176857654461</v>
                </pt>
                <pt idx="199">
                  <v>0.1074911623032226</v>
                </pt>
                <pt idx="200">
                  <v>0.07897000780887642</v>
                </pt>
                <pt idx="201">
                  <v>0.1151007169497693</v>
                </pt>
                <pt idx="202">
                  <v>0.1166426113439081</v>
                </pt>
                <pt idx="203">
                  <v>0.129964585083278</v>
                </pt>
                <pt idx="204">
                  <v>0.1724330780363492</v>
                </pt>
                <pt idx="205">
                  <v>0.1178110719120922</v>
                </pt>
                <pt idx="206">
                  <v>0.1306561357980849</v>
                </pt>
                <pt idx="207">
                  <v>0.1355896337800304</v>
                </pt>
                <pt idx="208">
                  <v>0.06332846612634757</v>
                </pt>
                <pt idx="209">
                  <v>0.1013018324918746</v>
                </pt>
                <pt idx="210">
                  <v>0.1459143017867439</v>
                </pt>
                <pt idx="211">
                  <v>0.1404623663647471</v>
                </pt>
                <pt idx="212">
                  <v>0.164661760433364</v>
                </pt>
                <pt idx="213">
                  <v>0.1502512288272198</v>
                </pt>
                <pt idx="214">
                  <v>0.1555979793563695</v>
                </pt>
                <pt idx="215">
                  <v>0.1465050247048969</v>
                </pt>
                <pt idx="216">
                  <v>0.1354495759588348</v>
                </pt>
                <pt idx="217">
                  <v>0.1169061154273374</v>
                </pt>
                <pt idx="218">
                  <v>0.1180140266975052</v>
                </pt>
                <pt idx="219">
                  <v>0.09819161968603751</v>
                </pt>
                <pt idx="220">
                  <v>0.09092784349922289</v>
                </pt>
                <pt idx="221">
                  <v>0.09131153753982835</v>
                </pt>
                <pt idx="222">
                  <v>0.1055439499487396</v>
                </pt>
                <pt idx="223">
                  <v>0.09299095373243826</v>
                </pt>
                <pt idx="224">
                  <v>0.07774861870025473</v>
                </pt>
                <pt idx="225">
                  <v>0.0834113785151247</v>
                </pt>
                <pt idx="226">
                  <v>0.07773440357072015</v>
                </pt>
                <pt idx="227">
                  <v>0.09250255752584646</v>
                </pt>
                <pt idx="228">
                  <v>0.0557642023789986</v>
                </pt>
                <pt idx="229">
                  <v>0.06436814606720964</v>
                </pt>
                <pt idx="230">
                  <v>0.07886396975764165</v>
                </pt>
                <pt idx="231">
                  <v>0.0972883631841357</v>
                </pt>
                <pt idx="232">
                  <v>0.07576474177236592</v>
                </pt>
                <pt idx="233">
                  <v>0.05217460894621517</v>
                </pt>
                <pt idx="234">
                  <v>0.08859619894019954</v>
                </pt>
                <pt idx="235">
                  <v>0.1085394975476854</v>
                </pt>
                <pt idx="236">
                  <v>0.06710993760722017</v>
                </pt>
                <pt idx="237">
                  <v>0.06203877535173552</v>
                </pt>
                <pt idx="238">
                  <v>0.06265292623464358</v>
                </pt>
                <pt idx="239">
                  <v>0.05031924991701398</v>
                </pt>
                <pt idx="240">
                  <v>0.05561231385370102</v>
                </pt>
                <pt idx="241">
                  <v>0.09065760719488747</v>
                </pt>
                <pt idx="242">
                  <v>0.1309027856866392</v>
                </pt>
                <pt idx="243">
                  <v>0.07157026137581712</v>
                </pt>
                <pt idx="244">
                  <v>0.1145261863936307</v>
                </pt>
                <pt idx="245">
                  <v>0.1041742503026848</v>
                </pt>
                <pt idx="246">
                  <v>0.1032783935159209</v>
                </pt>
                <pt idx="247">
                  <v>0.06401993351560997</v>
                </pt>
                <pt idx="248">
                  <v>0.05324789062412072</v>
                </pt>
                <pt idx="249">
                  <v>0.04614105688991388</v>
                </pt>
                <pt idx="250">
                  <v>0.06575373696897802</v>
                </pt>
                <pt idx="251">
                  <v>0.07579729630300269</v>
                </pt>
                <pt idx="252">
                  <v>0.100677995707215</v>
                </pt>
                <pt idx="253">
                  <v>0.04255855445163537</v>
                </pt>
                <pt idx="254">
                  <v>0.01937247014102428</v>
                </pt>
                <pt idx="255">
                  <v>0.0837330903208322</v>
                </pt>
                <pt idx="256">
                  <v>0.1426574256379896</v>
                </pt>
                <pt idx="257">
                  <v>0.1356817336429237</v>
                </pt>
                <pt idx="258">
                  <v>0.1315552137043694</v>
                </pt>
                <pt idx="259">
                  <v>0.1004058068066447</v>
                </pt>
                <pt idx="260">
                  <v>0.08551746208798394</v>
                </pt>
                <pt idx="261">
                  <v>0.0865456526074766</v>
                </pt>
                <pt idx="262">
                  <v>0.03049711577686409</v>
                </pt>
                <pt idx="263">
                  <v>0.05457603921349863</v>
                </pt>
                <pt idx="264">
                  <v>0.09176757439378647</v>
                </pt>
                <pt idx="265">
                  <v>0.1410749238977196</v>
                </pt>
                <pt idx="266">
                  <v>0.1788927760386829</v>
                </pt>
                <pt idx="267">
                  <v>0.03676742557964441</v>
                </pt>
                <pt idx="268">
                  <v>0.0448827543780892</v>
                </pt>
                <pt idx="269">
                  <v>0.08659642912808407</v>
                </pt>
                <pt idx="270">
                  <v>0.09214847387585823</v>
                </pt>
                <pt idx="271">
                  <v>0.08608694118888871</v>
                </pt>
                <pt idx="272">
                  <v>0.1169767152380168</v>
                </pt>
                <pt idx="273">
                  <v>0.104344069315446</v>
                </pt>
                <pt idx="274">
                  <v>0.142649833321947</v>
                </pt>
                <pt idx="275">
                  <v>0.1067430550660684</v>
                </pt>
                <pt idx="276">
                  <v>0.02814704860830397</v>
                </pt>
                <pt idx="277">
                  <v>0.08423694656472169</v>
                </pt>
                <pt idx="278">
                  <v>0.1233452579235406</v>
                </pt>
                <pt idx="279">
                  <v>0.07924108661173235</v>
                </pt>
                <pt idx="280">
                  <v>0.07236172605030311</v>
                </pt>
                <pt idx="281">
                  <v>0.03674941177217628</v>
                </pt>
                <pt idx="282">
                  <v>0.09354906911719962</v>
                </pt>
                <pt idx="283">
                  <v>0.08930377896705721</v>
                </pt>
                <pt idx="284">
                  <v>0.07545631714737211</v>
                </pt>
                <pt idx="285">
                  <v>0.09364838737590708</v>
                </pt>
                <pt idx="286">
                  <v>0.1509606273682624</v>
                </pt>
                <pt idx="287">
                  <v>0.394042209984641</v>
                </pt>
                <pt idx="288">
                  <v>0.2546932785791629</v>
                </pt>
                <pt idx="289">
                  <v>0.1163568404524506</v>
                </pt>
                <pt idx="290">
                  <v>0.08277744343622651</v>
                </pt>
                <pt idx="291">
                  <v>0.0892270841976619</v>
                </pt>
                <pt idx="292">
                  <v>0.06282313837145259</v>
                </pt>
                <pt idx="293">
                  <v>0.06806925089033422</v>
                </pt>
                <pt idx="294">
                  <v>0.05479758358657993</v>
                </pt>
                <pt idx="295">
                  <v>0.05454854793610142</v>
                </pt>
                <pt idx="296">
                  <v>0.09616065501475179</v>
                </pt>
                <pt idx="297">
                  <v>0.07751016553353152</v>
                </pt>
                <pt idx="298">
                  <v>0.06551604885768181</v>
                </pt>
                <pt idx="299">
                  <v>0.08630735151158464</v>
                </pt>
                <pt idx="300">
                  <v>0.1182022348282503</v>
                </pt>
                <pt idx="301">
                  <v>0.09872770729875446</v>
                </pt>
                <pt idx="302">
                  <v>0.09492143171195599</v>
                </pt>
                <pt idx="303">
                  <v>0.07004549566183171</v>
                </pt>
                <pt idx="304">
                  <v>0.06155991333555089</v>
                </pt>
                <pt idx="305">
                  <v>0.04646705487863056</v>
                </pt>
                <pt idx="306">
                  <v>0.03788078490862934</v>
                </pt>
                <pt idx="307">
                  <v>0.07797836178247342</v>
                </pt>
                <pt idx="308">
                  <v>0.08034121476716694</v>
                </pt>
                <pt idx="309">
                  <v>0.1262976592078533</v>
                </pt>
                <pt idx="310">
                  <v>0.1397203585120765</v>
                </pt>
                <pt idx="311">
                  <v>0.1439863445288434</v>
                </pt>
                <pt idx="312">
                  <v>0.1175385029377121</v>
                </pt>
                <pt idx="313">
                  <v>0.06345351815139755</v>
                </pt>
                <pt idx="314">
                  <v>0.04766787054071697</v>
                </pt>
                <pt idx="315">
                  <v>0.07360219970300519</v>
                </pt>
                <pt idx="316">
                  <v>0.1223788222523363</v>
                </pt>
                <pt idx="317">
                  <v>0.08737403629315699</v>
                </pt>
                <pt idx="318">
                  <v>0.07401804470446893</v>
                </pt>
                <pt idx="319">
                  <v>0.06261182779246099</v>
                </pt>
                <pt idx="320">
                  <v>0.05816355553442132</v>
                </pt>
                <pt idx="321">
                  <v>0.04870446958790509</v>
                </pt>
                <pt idx="322">
                  <v>0.07149611051185145</v>
                </pt>
                <pt idx="323">
                  <v>0.04922921000515013</v>
                </pt>
                <pt idx="324">
                  <v>0.05304400780417606</v>
                </pt>
                <pt idx="325">
                  <v>0.1008433997938509</v>
                </pt>
                <pt idx="326">
                  <v>0.123494569163477</v>
                </pt>
                <pt idx="327">
                  <v>0.1342906279416451</v>
                </pt>
                <pt idx="328">
                  <v>0.0979167012364599</v>
                </pt>
                <pt idx="329">
                  <v>0.1041664512646125</v>
                </pt>
                <pt idx="330">
                  <v>0.09480179501300645</v>
                </pt>
                <pt idx="331">
                  <v>0.1009724171755861</v>
                </pt>
                <pt idx="332">
                  <v>0.09181368956211466</v>
                </pt>
                <pt idx="333">
                  <v>0.06386389221989908</v>
                </pt>
                <pt idx="334">
                  <v>0.1252747368482166</v>
                </pt>
                <pt idx="335">
                  <v>0.07222755634947697</v>
                </pt>
                <pt idx="336">
                  <v>0.01585812122049468</v>
                </pt>
                <pt idx="337">
                  <v>0.02741779095508678</v>
                </pt>
                <pt idx="338">
                  <v>0.0627440203019991</v>
                </pt>
                <pt idx="339">
                  <v>0.02278023816026664</v>
                </pt>
                <pt idx="340">
                  <v>0.00738177646403515</v>
                </pt>
                <pt idx="341">
                  <v>0.01919662779360554</v>
                </pt>
                <pt idx="342">
                  <v>0.04045790229057755</v>
                </pt>
                <pt idx="343">
                  <v>0.04973236545808302</v>
                </pt>
                <pt idx="344">
                  <v>0.0675908582797542</v>
                </pt>
                <pt idx="345">
                  <v>0.01761975001689886</v>
                </pt>
                <pt idx="346">
                  <v>0.03239872057250071</v>
                </pt>
                <pt idx="347">
                  <v>0.09289458788082916</v>
                </pt>
                <pt idx="348">
                  <v>0.1013548990028703</v>
                </pt>
                <pt idx="349">
                  <v>0.08824633466890264</v>
                </pt>
                <pt idx="350">
                  <v>0.08625823323671988</v>
                </pt>
                <pt idx="351">
                  <v>0.06493355353270824</v>
                </pt>
                <pt idx="352">
                  <v>0.05205664203498461</v>
                </pt>
                <pt idx="353">
                  <v>0.0365358280425736</v>
                </pt>
                <pt idx="354">
                  <v>0.01971999602814978</v>
                </pt>
                <pt idx="355">
                  <v>0.02010155495062338</v>
                </pt>
                <pt idx="356">
                  <v>0.03462746669135086</v>
                </pt>
                <pt idx="357">
                  <v>0.06199206928338152</v>
                </pt>
                <pt idx="358">
                  <v>0.03269247496173211</v>
                </pt>
                <pt idx="359">
                  <v>0.01414618277140312</v>
                </pt>
                <pt idx="360">
                  <v>0.002007393232134058</v>
                </pt>
                <pt idx="361">
                  <v>0.03049634079271368</v>
                </pt>
                <pt idx="362">
                  <v>0.02549568616720888</v>
                </pt>
                <pt idx="363">
                  <v>0.02258577398717887</v>
                </pt>
                <pt idx="364">
                  <v>0.06691758695463612</v>
                </pt>
                <pt idx="365">
                  <v>0.1015367805476524</v>
                </pt>
                <pt idx="366">
                  <v>0.0900015584622067</v>
                </pt>
                <pt idx="367">
                  <v>0.07298102581898758</v>
                </pt>
                <pt idx="368">
                  <v>0.08711166200081144</v>
                </pt>
                <pt idx="369">
                  <v>0.07654723571335298</v>
                </pt>
                <pt idx="370">
                  <v>0.07606225647419973</v>
                </pt>
                <pt idx="371">
                  <v>0.05581175332717159</v>
                </pt>
                <pt idx="372">
                  <v>0.04801273967487663</v>
                </pt>
                <pt idx="373">
                  <v>0.04192718143404006</v>
                </pt>
                <pt idx="374">
                  <v>0.04412691373718824</v>
                </pt>
                <pt idx="375">
                  <v>-0.003741693764111265</v>
                </pt>
                <pt idx="376">
                  <v>0.05023668093562073</v>
                </pt>
                <pt idx="377">
                  <v>0.04108114707897115</v>
                </pt>
                <pt idx="378">
                  <v>0.06710597311098287</v>
                </pt>
                <pt idx="379">
                  <v>0.04764782352796049</v>
                </pt>
                <pt idx="380">
                  <v>0.0174676231379618</v>
                </pt>
                <pt idx="381">
                  <v>0.01221773561394857</v>
                </pt>
                <pt idx="382">
                  <v>0.03436780523435168</v>
                </pt>
                <pt idx="383">
                  <v>0.05990075854690735</v>
                </pt>
                <pt idx="384">
                  <v>0.06307252662363361</v>
                </pt>
                <pt idx="385">
                  <v>0.06504898087951494</v>
                </pt>
                <pt idx="386">
                  <v>0.03859649817376098</v>
                </pt>
                <pt idx="387">
                  <v>0.03884561161960032</v>
                </pt>
                <pt idx="388">
                  <v>0.03241931922728369</v>
                </pt>
                <pt idx="389">
                  <v>0.0151403061444324</v>
                </pt>
                <pt idx="390">
                  <v>-0.003926054200234286</v>
                </pt>
                <pt idx="391">
                  <v>-0.0003576164823346772</v>
                </pt>
                <pt idx="392">
                  <v>0.01875904147658325</v>
                </pt>
                <pt idx="393">
                  <v>0.01945651858675301</v>
                </pt>
                <pt idx="394">
                  <v>0.02415278410724175</v>
                </pt>
                <pt idx="395">
                  <v>0.0325008907150659</v>
                </pt>
                <pt idx="396">
                  <v>0.06880058013787016</v>
                </pt>
                <pt idx="397">
                  <v>0.01385187787306319</v>
                </pt>
                <pt idx="398">
                  <v>-0.01470647541140302</v>
                </pt>
                <pt idx="399">
                  <v>-0.003875793454868215</v>
                </pt>
                <pt idx="400">
                  <v>-0.01820677884985289</v>
                </pt>
                <pt idx="401">
                  <v>0.001769571747763932</v>
                </pt>
                <pt idx="402">
                  <v>0.01746343985869925</v>
                </pt>
                <pt idx="403">
                  <v>0.0413667466190446</v>
                </pt>
                <pt idx="404">
                  <v>0.04855117366765471</v>
                </pt>
                <pt idx="405">
                  <v>0.009504322134691767</v>
                </pt>
                <pt idx="406">
                  <v>-0.006285627154763329</v>
                </pt>
                <pt idx="407">
                  <v>-0.0194466433916497</v>
                </pt>
                <pt idx="408">
                  <v>-0.01602566987732168</v>
                </pt>
                <pt idx="409">
                  <v>-0.00979612579125233</v>
                </pt>
                <pt idx="410">
                  <v>-0.00140601634909665</v>
                </pt>
                <pt idx="411">
                  <v>0.09386513981811473</v>
                </pt>
                <pt idx="412">
                  <v>0.01937327570227421</v>
                </pt>
                <pt idx="413">
                  <v>-0.001393485231416136</v>
                </pt>
                <pt idx="414">
                  <v>0.01297601604861121</v>
                </pt>
                <pt idx="415">
                  <v>0.02287325649352789</v>
                </pt>
                <pt idx="416">
                  <v>0.01575483214690809</v>
                </pt>
                <pt idx="417">
                  <v>0.04752309793689058</v>
                </pt>
                <pt idx="418">
                  <v>0.01532226180725238</v>
                </pt>
                <pt idx="419">
                  <v>0.001382368816476687</v>
                </pt>
                <pt idx="420">
                  <v>0.002766170272163526</v>
                </pt>
                <pt idx="421">
                  <v>0.01529740265097601</v>
                </pt>
                <pt idx="422">
                  <v>0.004145668507755884</v>
                </pt>
                <pt idx="423">
                  <v>0.03324236875948827</v>
                </pt>
                <pt idx="424">
                  <v>-0.03816077883571245</v>
                </pt>
                <pt idx="425">
                  <v>0.03042038793104007</v>
                </pt>
                <pt idx="426">
                  <v>-0.008566603470264722</v>
                </pt>
                <pt idx="427">
                  <v>0.001377924284865495</v>
                </pt>
                <pt idx="428">
                  <v>-0.006178470123929247</v>
                </pt>
                <pt idx="429">
                  <v>0.01003350628571664</v>
                </pt>
                <pt idx="430">
                  <v>-0.002749454114481353</v>
                </pt>
                <pt idx="431">
                  <v>0.02084827614871254</v>
                </pt>
                <pt idx="432">
                  <v>-0.008556341702934622</v>
                </pt>
                <pt idx="433">
                  <v>0.004134005017196074</v>
                </pt>
                <pt idx="434">
                  <v>0.02820028485779358</v>
                </pt>
                <pt idx="435">
                  <v>0.0891843033557016</v>
                </pt>
                <pt idx="436">
                  <v>0.08742317082044315</v>
                </pt>
                <pt idx="437">
                  <v>0.06437962096902017</v>
                </pt>
                <pt idx="438">
                  <v>0.07512708831552062</v>
                </pt>
                <pt idx="439">
                  <v>0.04469059338048798</v>
                </pt>
                <pt idx="440">
                  <v>0.03830106248594234</v>
                </pt>
                <pt idx="441">
                  <v>0.02180117257126168</v>
                </pt>
                <pt idx="442">
                  <v>0.03229239885514068</v>
                </pt>
                <pt idx="443">
                  <v>0.06256005413164401</v>
                </pt>
                <pt idx="444">
                  <v>0.04669548350949104</v>
                </pt>
                <pt idx="445">
                  <v>0.08542758964119113</v>
                </pt>
                <pt idx="446">
                  <v>0.03572337760558164</v>
                </pt>
                <pt idx="447">
                  <v>0.03930954354945837</v>
                </pt>
                <pt idx="448">
                  <v>0.04253701261806953</v>
                </pt>
                <pt idx="449">
                  <v>0.04809380242476058</v>
                </pt>
                <pt idx="450">
                  <v>0.02238260279206816</v>
                </pt>
                <pt idx="451">
                  <v>0.03054773980960279</v>
                </pt>
                <pt idx="452">
                  <v>0.06381768316722947</v>
                </pt>
                <pt idx="453">
                  <v>0.07328061713089573</v>
                </pt>
                <pt idx="454">
                  <v>0.0768899683735742</v>
                </pt>
                <pt idx="455">
                  <v>0.05145525657606953</v>
                </pt>
                <pt idx="456">
                  <v>0.03723471507095133</v>
                </pt>
                <pt idx="457">
                  <v>0.04748957968753187</v>
                </pt>
                <pt idx="458">
                  <v>0.05022424954079763</v>
                </pt>
                <pt idx="459">
                  <v>0.03842159915977361</v>
                </pt>
                <pt idx="460">
                  <v>0.05308528051246353</v>
                </pt>
                <pt idx="461">
                  <v>0.05639978370046017</v>
                </pt>
                <pt idx="462">
                  <v>0.1073992427209229</v>
                </pt>
                <pt idx="463">
                  <v>0.0486596545368374</v>
                </pt>
                <pt idx="464">
                  <v>0.05955638325656043</v>
                </pt>
                <pt idx="465">
                  <v>0.06976641871445666</v>
                </pt>
                <pt idx="466">
                  <v>0.05546164167149437</v>
                </pt>
                <pt idx="467">
                  <v>0.07157577826913109</v>
                </pt>
                <pt idx="468">
                  <v>0.1011476188954556</v>
                </pt>
                <pt idx="469">
                  <v>0.07714357662442084</v>
                </pt>
                <pt idx="470">
                  <v>0.07821255303877517</v>
                </pt>
                <pt idx="471">
                  <v>0.07244098131840859</v>
                </pt>
                <pt idx="472">
                  <v>0.05826739011859683</v>
                </pt>
                <pt idx="473">
                  <v>0.05798590719672347</v>
                </pt>
                <pt idx="474">
                  <v>0.07344045519996101</v>
                </pt>
                <pt idx="475">
                  <v>0.1161484707397422</v>
                </pt>
                <pt idx="476">
                  <v>0.1187702911839925</v>
                </pt>
                <pt idx="477">
                  <v>0.1132966483863884</v>
                </pt>
                <pt idx="478">
                  <v>0.08247685709937924</v>
                </pt>
                <pt idx="479">
                  <v>0.07779416140373852</v>
                </pt>
                <pt idx="480">
                  <v>0.0636576347609632</v>
                </pt>
                <pt idx="481">
                  <v>0.01859606788148405</v>
                </pt>
                <pt idx="482">
                  <v>0.08024331157926023</v>
                </pt>
                <pt idx="483">
                  <v>0.06822259616940052</v>
                </pt>
                <pt idx="484">
                  <v>0.06019072672329973</v>
                </pt>
                <pt idx="485">
                  <v>0.0751546042934057</v>
                </pt>
                <pt idx="486">
                  <v>0.04647941020689705</v>
                </pt>
                <pt idx="487">
                  <v>0.04300719736252234</v>
                </pt>
                <pt idx="488">
                  <v>0.06434934155529914</v>
                </pt>
                <pt idx="489">
                  <v>0.05080287528504779</v>
                </pt>
                <pt idx="490">
                  <v>0.07397115054438208</v>
                </pt>
                <pt idx="491">
                  <v>0.07545256680259604</v>
                </pt>
                <pt idx="492">
                  <v>0.03447942340293597</v>
                </pt>
                <pt idx="493">
                  <v>0.08190749322418989</v>
                </pt>
                <pt idx="494">
                  <v>0.1520879274605218</v>
                </pt>
                <pt idx="495">
                  <v>-0.03028815570752919</v>
                </pt>
                <pt idx="496">
                  <v>0.04613152737125459</v>
                </pt>
                <pt idx="497">
                  <v>0.0451690105174678</v>
                </pt>
                <pt idx="498">
                  <v>0.07272243002163625</v>
                </pt>
                <pt idx="499">
                  <v>0.09264123734963148</v>
                </pt>
                <pt idx="500">
                  <v>0.04028681240643395</v>
                </pt>
                <pt idx="501">
                  <v>0.02770122741956893</v>
                </pt>
                <pt idx="502">
                  <v>0.1156207482256602</v>
                </pt>
                <pt idx="503">
                  <v>0.1307730063599544</v>
                </pt>
                <pt idx="504">
                  <v>0.09664394117210295</v>
                </pt>
                <pt idx="505">
                  <v>0.1477176076797777</v>
                </pt>
                <pt idx="506">
                  <v>0.1621114242565058</v>
                </pt>
                <pt idx="507">
                  <v>-0.006754829459863165</v>
                </pt>
                <pt idx="508">
                  <v>0.09890024433569966</v>
                </pt>
                <pt idx="509">
                  <v>0.07160100031850036</v>
                </pt>
                <pt idx="510">
                  <v>0.08079508006924296</v>
                </pt>
                <pt idx="511">
                  <v>0.2867573307542974</v>
                </pt>
                <pt idx="512">
                  <v>-0.02506082794508324</v>
                </pt>
                <pt idx="513">
                  <v>0.10280345435536</v>
                </pt>
                <pt idx="514">
                  <v>0.124816280699845</v>
                </pt>
                <pt idx="515">
                  <v>0.04576321983117548</v>
                </pt>
                <pt idx="516">
                  <v>0.06640451657678881</v>
                </pt>
                <pt idx="517">
                  <v>0.02613123581673094</v>
                </pt>
                <pt idx="518">
                  <v>0.0004368322313212936</v>
                </pt>
                <pt idx="519">
                  <v>0.05850571020953899</v>
                </pt>
                <pt idx="520">
                  <v>0.05570672935394683</v>
                </pt>
                <pt idx="521">
                  <v>0.09616101653503284</v>
                </pt>
                <pt idx="522">
                  <v>0.09516370489767811</v>
                </pt>
                <pt idx="523">
                  <v>0.05324936592204388</v>
                </pt>
                <pt idx="524">
                  <v>0.0983763354467766</v>
                </pt>
                <pt idx="525">
                  <v>0.1109485417130347</v>
                </pt>
                <pt idx="526">
                  <v>0.04558164079882121</v>
                </pt>
                <pt idx="527">
                  <v>0.0699209732645063</v>
                </pt>
                <pt idx="528">
                  <v>0.07723691646089392</v>
                </pt>
                <pt idx="529">
                  <v>0.04336802153377795</v>
                </pt>
                <pt idx="530">
                  <v>0.07931382271474785</v>
                </pt>
                <pt idx="531">
                  <v>0.1302614859443187</v>
                </pt>
                <pt idx="532">
                  <v>0.07645654352056463</v>
                </pt>
                <pt idx="533">
                  <v>0.09757172870620989</v>
                </pt>
                <pt idx="534">
                  <v>0.1216801983750868</v>
                </pt>
                <pt idx="535">
                  <v>-0.05370556549656591</v>
                </pt>
                <pt idx="536">
                  <v>-0.01802871009106577</v>
                </pt>
                <pt idx="537">
                  <v>0.01093908856117842</v>
                </pt>
                <pt idx="538">
                  <v>-0.00355321227044858</v>
                </pt>
                <pt idx="539">
                  <v>0.01633918561909709</v>
                </pt>
                <pt idx="540">
                  <v>0.07938560536753347</v>
                </pt>
                <pt idx="541">
                  <v>0.07256891101045437</v>
                </pt>
                <pt idx="542">
                  <v>0.08320803989495973</v>
                </pt>
                <pt idx="543">
                  <v>0.159666186373453</v>
                </pt>
                <pt idx="544">
                  <v>0.004604382098595705</v>
                </pt>
                <pt idx="545">
                  <v>0.02673140092247772</v>
                </pt>
                <pt idx="546">
                  <v>0.05139262591343474</v>
                </pt>
                <pt idx="547">
                  <v>0.0680167950533439</v>
                </pt>
                <pt idx="548">
                  <v>0.05425682700436596</v>
                </pt>
                <pt idx="549">
                  <v>0.05105267832492166</v>
                </pt>
                <pt idx="550">
                  <v>0.03524544447192679</v>
                </pt>
                <pt idx="551">
                  <v>0.01165364002981084</v>
                </pt>
                <pt idx="552">
                  <v>0.01561378714435557</v>
                </pt>
                <pt idx="553">
                  <v>0.01710820216920328</v>
                </pt>
                <pt idx="554">
                  <v>0.02639325692134653</v>
                </pt>
                <pt idx="555">
                  <v>0.03282627590038967</v>
                </pt>
                <pt idx="556">
                  <v>0.06193927620889417</v>
                </pt>
                <pt idx="557">
                  <v>0.05986904092528555</v>
                </pt>
                <pt idx="558">
                  <v>0.06189695223563207</v>
                </pt>
                <pt idx="559">
                  <v>0.06409018033149239</v>
                </pt>
                <pt idx="560">
                  <v>0.06413445469535373</v>
                </pt>
                <pt idx="561">
                  <v>0.030050929930721</v>
                </pt>
                <pt idx="562">
                  <v>0.04959787723689546</v>
                </pt>
                <pt idx="563">
                  <v>0.07886054288308952</v>
                </pt>
                <pt idx="564">
                  <v>0.04423748680171968</v>
                </pt>
                <pt idx="565">
                  <v>0.02572593806524637</v>
                </pt>
                <pt idx="566">
                  <v>0.06804119268362063</v>
                </pt>
                <pt idx="567">
                  <v>0.01206604207693029</v>
                </pt>
                <pt idx="568">
                  <v>0.06908650477254419</v>
                </pt>
                <pt idx="569">
                  <v>0.07504333708342981</v>
                </pt>
                <pt idx="570">
                  <v>0.05501196942548114</v>
                </pt>
                <pt idx="571">
                  <v>0.04804032756215881</v>
                </pt>
                <pt idx="572">
                  <v>0.08822641487875194</v>
                </pt>
                <pt idx="573">
                  <v>0.06191983250371802</v>
                </pt>
                <pt idx="574">
                  <v>0.07630313385592702</v>
                </pt>
                <pt idx="575">
                  <v>0.06642363128743178</v>
                </pt>
                <pt idx="576">
                  <v>0.02682361159626256</v>
                </pt>
                <pt idx="577">
                  <v>0.05843280749805513</v>
                </pt>
                <pt idx="578">
                  <v>0.1279644306465004</v>
                </pt>
                <pt idx="579">
                  <v>0.02365084871756307</v>
                </pt>
                <pt idx="580">
                  <v>0.05639378201569034</v>
                </pt>
                <pt idx="581">
                  <v>0.05128702714938127</v>
                </pt>
                <pt idx="582">
                  <v>0.1323508798206874</v>
                </pt>
                <pt idx="583">
                  <v>0.02981027661124247</v>
                </pt>
                <pt idx="584">
                  <v>0.02293041037408794</v>
                </pt>
                <pt idx="585">
                  <v>0.0405334674942277</v>
                </pt>
                <pt idx="586">
                  <v>0.04912547358442243</v>
                </pt>
                <pt idx="587">
                  <v>0.05582560596656272</v>
                </pt>
                <pt idx="588">
                  <v>0.144874077048357</v>
                </pt>
                <pt idx="589">
                  <v>0.1087814830672929</v>
                </pt>
                <pt idx="590">
                  <v>0.06951770402977808</v>
                </pt>
                <pt idx="591">
                  <v>0.01886440795379585</v>
                </pt>
                <pt idx="592">
                  <v>0.02789475894821236</v>
                </pt>
                <pt idx="593">
                  <v>0.07463411678660625</v>
                </pt>
                <pt idx="594">
                  <v>0.0230819156173554</v>
                </pt>
                <pt idx="595">
                  <v>0.112130441332466</v>
                </pt>
                <pt idx="596">
                  <v>0.1740500998681997</v>
                </pt>
                <pt idx="597">
                  <v>0.07878977913073526</v>
                </pt>
                <pt idx="598">
                  <v>0.2983161762505329</v>
                </pt>
                <pt idx="599">
                  <v>0.1263005446418921</v>
                </pt>
                <pt idx="600">
                  <v>0.04348446275828333</v>
                </pt>
                <pt idx="601">
                  <v>0.09998409351148774</v>
                </pt>
                <pt idx="602">
                  <v>0.005173951080287509</v>
                </pt>
                <pt idx="603">
                  <v>0.08605738853833622</v>
                </pt>
                <pt idx="604">
                  <v>0.01403854638586144</v>
                </pt>
                <pt idx="605">
                  <v>0.006559535612932432</v>
                </pt>
                <pt idx="606">
                  <v>-0.0001420849784208311</v>
                </pt>
                <pt idx="607">
                  <v>-0.001136175228284353</v>
                </pt>
                <pt idx="608">
                  <v>0.03890436472978331</v>
                </pt>
                <pt idx="609">
                  <v>0.04289330678545</v>
                </pt>
                <pt idx="610">
                  <v>-0.006754829459861833</v>
                </pt>
                <pt idx="611">
                  <v>-0.05223701965225047</v>
                </pt>
                <pt idx="612">
                  <v>0.07223122097207013</v>
                </pt>
                <pt idx="613">
                  <v>-0.004082896031998962</v>
                </pt>
                <pt idx="614">
                  <v>0.04418872550240005</v>
                </pt>
                <pt idx="615">
                  <v>0.07967456505740711</v>
                </pt>
                <pt idx="616">
                  <v>0.02701124298489299</v>
                </pt>
                <pt idx="617">
                  <v>0.01374597300573988</v>
                </pt>
                <pt idx="618">
                  <v>0.07232520973777579</v>
                </pt>
                <pt idx="619">
                  <v>0.04376512496064167</v>
                </pt>
                <pt idx="620">
                  <v>0.07015904852592958</v>
                </pt>
                <pt idx="621">
                  <v>0.02862211840107731</v>
                </pt>
                <pt idx="622">
                  <v>0.04439030572962577</v>
                </pt>
                <pt idx="623">
                  <v>0.02942915895771803</v>
                </pt>
                <pt idx="624">
                  <v>0.09030775601096908</v>
                </pt>
                <pt idx="625">
                  <v>0.07916193068254995</v>
                </pt>
                <pt idx="626">
                  <v>0.08556690766264063</v>
                </pt>
                <pt idx="627">
                  <v>0.0982469394607679</v>
                </pt>
                <pt idx="628">
                  <v>0.1045259678713293</v>
                </pt>
                <pt idx="629">
                  <v>0.2401286299518706</v>
                </pt>
                <pt idx="630">
                  <v>0.2757378052849218</v>
                </pt>
                <pt idx="631">
                  <v>0.02644160370598336</v>
                </pt>
                <pt idx="632">
                  <v>0.04340834149627959</v>
                </pt>
                <pt idx="633">
                  <v>0.06524885255213109</v>
                </pt>
                <pt idx="634">
                  <v>0.06093558571465274</v>
                </pt>
                <pt idx="635">
                  <v>0.0948177922601916</v>
                </pt>
                <pt idx="636">
                  <v>0.06655058108327183</v>
                </pt>
                <pt idx="637">
                  <v>0.05647088840347303</v>
                </pt>
                <pt idx="638">
                  <v>0.06794500545521664</v>
                </pt>
                <pt idx="639">
                  <v>0.05448886431485844</v>
                </pt>
                <pt idx="640">
                  <v>0.08914070399531826</v>
                </pt>
                <pt idx="641">
                  <v>0.06485601071858782</v>
                </pt>
                <pt idx="642">
                  <v>0.08619926933916178</v>
                </pt>
                <pt idx="643">
                  <v>0.09843716860399621</v>
                </pt>
                <pt idx="644">
                  <v>0.0810959224040193</v>
                </pt>
                <pt idx="645">
                  <v>0.08532963641584601</v>
                </pt>
                <pt idx="646">
                  <v>0.1513147204858651</v>
                </pt>
                <pt idx="647">
                  <v>0.02694355419978156</v>
                </pt>
                <pt idx="648">
                  <v>0.02126740535220129</v>
                </pt>
                <pt idx="649">
                  <v>0.06711490612470672</v>
                </pt>
                <pt idx="650">
                  <v>0.03229159718685315</v>
                </pt>
                <pt idx="651">
                  <v>0.04005077270362323</v>
                </pt>
                <pt idx="652">
                  <v>0.06717520183568415</v>
                </pt>
                <pt idx="653">
                  <v>0.04553576722375441</v>
                </pt>
                <pt idx="654">
                  <v>0.06714057643925941</v>
                </pt>
                <pt idx="655">
                  <v>0.06960617353701237</v>
                </pt>
                <pt idx="656">
                  <v>0.1467858937810358</v>
                </pt>
                <pt idx="657">
                  <v>0.008903446002698656</v>
                </pt>
                <pt idx="658">
                  <v>0.07381889718850343</v>
                </pt>
                <pt idx="659">
                  <v>0.05095796309594602</v>
                </pt>
                <pt idx="660">
                  <v>0.1114472098007671</v>
                </pt>
                <pt idx="661">
                  <v>0.03190978441636338</v>
                </pt>
                <pt idx="662">
                  <v>0.05441624689933167</v>
                </pt>
                <pt idx="663">
                  <v>0.0696000884675616</v>
                </pt>
                <pt idx="664">
                  <v>0.05865283126103416</v>
                </pt>
                <pt idx="665">
                  <v>0.05959065951245868</v>
                </pt>
                <pt idx="666">
                  <v>0.03087494348621966</v>
                </pt>
                <pt idx="667">
                  <v>0.04368224412620569</v>
                </pt>
                <pt idx="668">
                  <v>0.07130913349539325</v>
                </pt>
                <pt idx="669">
                  <v>0.04100703828619179</v>
                </pt>
                <pt idx="670">
                  <v>0.086045646245972</v>
                </pt>
                <pt idx="671">
                  <v>0.06414909587647943</v>
                </pt>
                <pt idx="672">
                  <v>0.1451334669058075</v>
                </pt>
                <pt idx="673">
                  <v>0.007907969475794419</v>
                </pt>
                <pt idx="674">
                  <v>0.04333867840340622</v>
                </pt>
                <pt idx="675">
                  <v>0.02956609435590152</v>
                </pt>
                <pt idx="676">
                  <v>0.0448505942597468</v>
                </pt>
                <pt idx="677">
                  <v>0.05073590246217274</v>
                </pt>
                <pt idx="678">
                  <v>0.05156457401575354</v>
                </pt>
                <pt idx="679">
                  <v>0.05999308587608887</v>
                </pt>
                <pt idx="680">
                  <v>0.03519104064823386</v>
                </pt>
                <pt idx="681">
                  <v>0.09085237792143364</v>
                </pt>
                <pt idx="682">
                  <v>0.06247989291876377</v>
                </pt>
                <pt idx="683">
                  <v>0.1264260610185599</v>
                </pt>
                <pt idx="684">
                  <v>0.08680235666591285</v>
                </pt>
                <pt idx="685">
                  <v>0.05887110640945914</v>
                </pt>
                <pt idx="686">
                  <v>0.08257868853635175</v>
                </pt>
                <pt idx="687">
                  <v>0.06397380529049346</v>
                </pt>
                <pt idx="688">
                  <v>0.06105140260590436</v>
                </pt>
                <pt idx="689">
                  <v>0.05591477016016366</v>
                </pt>
                <pt idx="690">
                  <v>0.08218038006860318</v>
                </pt>
                <pt idx="691">
                  <v>0.05771335702216263</v>
                </pt>
                <pt idx="692">
                  <v>0.0633636166682745</v>
                </pt>
                <pt idx="693">
                  <v>0.0688581938086672</v>
                </pt>
                <pt idx="694">
                  <v>0.03705177444884411</v>
                </pt>
                <pt idx="695">
                  <v>0.06545722921767805</v>
                </pt>
                <pt idx="696">
                  <v>0.07028235845490172</v>
                </pt>
                <pt idx="697">
                  <v>0.06291779570389711</v>
                </pt>
                <pt idx="698">
                  <v>0.05308568531772839</v>
                </pt>
                <pt idx="699">
                  <v>0.04838271058161148</v>
                </pt>
                <pt idx="700">
                  <v>0.01886393011872323</v>
                </pt>
                <pt idx="701">
                  <v>0.0539476435997146</v>
                </pt>
                <pt idx="702">
                  <v>0.04955385943959878</v>
                </pt>
                <pt idx="703">
                  <v>0.03948690896937701</v>
                </pt>
                <pt idx="704">
                  <v>0.04663086603468813</v>
                </pt>
                <pt idx="705">
                  <v>0.02628065331048068</v>
                </pt>
                <pt idx="706">
                  <v>0.05161750147566102</v>
                </pt>
                <pt idx="707">
                  <v>0.01026598791607136</v>
                </pt>
                <pt idx="708">
                  <v>0.03748636941138805</v>
                </pt>
                <pt idx="709">
                  <v>0.05110057664970169</v>
                </pt>
                <pt idx="710">
                  <v>0.01609438008861819</v>
                </pt>
                <pt idx="711">
                  <v>0.05126367297957057</v>
                </pt>
                <pt idx="712">
                  <v>0.04925874254343654</v>
                </pt>
                <pt idx="713">
                  <v>0.03071421446374512</v>
                </pt>
                <pt idx="714">
                  <v>0.03632143637500596</v>
                </pt>
                <pt idx="715">
                  <v>0.02706959211053905</v>
                </pt>
                <pt idx="716">
                  <v>0.00813549138623304</v>
                </pt>
                <pt idx="717">
                  <v>0.012132334713155</v>
                </pt>
                <pt idx="718">
                  <v>0.1114360069913924</v>
                </pt>
                <pt idx="719">
                  <v>0.05770096812887093</v>
                </pt>
                <pt idx="720">
                  <v>0.0336901646105161</v>
                </pt>
                <pt idx="721">
                  <v>0.03368133677392748</v>
                </pt>
                <pt idx="722">
                  <v>0.02602575163506726</v>
                </pt>
                <pt idx="723">
                  <v>0.08767873034789075</v>
                </pt>
                <pt idx="724">
                  <v>0.09797436856150621</v>
                </pt>
                <pt idx="725">
                  <v>0.06953101922537042</v>
                </pt>
                <pt idx="726">
                  <v>0.06150442348277863</v>
                </pt>
                <pt idx="727">
                  <v>0.07787711947963905</v>
                </pt>
                <pt idx="728">
                  <v>0.1114176660014048</v>
                </pt>
                <pt idx="729">
                  <v>0.08339293196629027</v>
                </pt>
                <pt idx="730">
                  <v>0.06358311034004505</v>
                </pt>
                <pt idx="731">
                  <v>0.06059976374269715</v>
                </pt>
                <pt idx="732">
                  <v>0.0431533807710176</v>
                </pt>
                <pt idx="733">
                  <v>0.4971120861763345</v>
                </pt>
                <pt idx="734">
                  <v>1.099684021298809</v>
                </pt>
                <pt idx="735">
                  <v>0.8002322426792037</v>
                </pt>
                <pt idx="736">
                  <v>0.2058200556298913</v>
                </pt>
                <pt idx="737">
                  <v>0.1072553503605929</v>
                </pt>
                <pt idx="738">
                  <v>0.03988804449414385</v>
                </pt>
                <pt idx="739">
                  <v>0.1622363747044258</v>
                </pt>
                <pt idx="740">
                  <v>0.1025842087029569</v>
                </pt>
                <pt idx="741">
                  <v>0.1505755895632985</v>
                </pt>
                <pt idx="742">
                  <v>0.1094325980930759</v>
                </pt>
                <pt idx="743">
                  <v>0.1633302003602295</v>
                </pt>
                <pt idx="744">
                  <v>0.1622790449845695</v>
                </pt>
                <pt idx="745">
                  <v>0.1570348125206111</v>
                </pt>
                <pt idx="746">
                  <v>0.180950206204247</v>
                </pt>
                <pt idx="747">
                  <v>0.2050974901303999</v>
                </pt>
                <pt idx="748">
                  <v>0.04464223061288242</v>
                </pt>
                <pt idx="749">
                  <v>0.09545870040859472</v>
                </pt>
                <pt idx="750">
                  <v>0.1128883615892236</v>
                </pt>
                <pt idx="751">
                  <v>0.06884964415742423</v>
                </pt>
                <pt idx="752">
                  <v>0.09037390609405094</v>
                </pt>
                <pt idx="753">
                  <v>0.1198327068721707</v>
                </pt>
                <pt idx="754">
                  <v>0.140173752796571</v>
                </pt>
                <pt idx="755">
                  <v>0.006422421328764027</v>
                </pt>
                <pt idx="756">
                  <v>0.00468494249961604</v>
                </pt>
                <pt idx="757">
                  <v>0.07322351198262078</v>
                </pt>
                <pt idx="758">
                  <v>-0.01078616510735031</v>
                </pt>
                <pt idx="759">
                  <v>-0.006897523429200358</v>
                </pt>
                <pt idx="760">
                  <v>0.000664850615144319</v>
                </pt>
                <pt idx="761">
                  <v>0.02034719914003635</v>
                </pt>
                <pt idx="762">
                  <v>-0.02432908403742207</v>
                </pt>
                <pt idx="763">
                  <v>-0.07249196782072564</v>
                </pt>
                <pt idx="764">
                  <v>-0.05376783080162451</v>
                </pt>
                <pt idx="765">
                  <v>-0.0264471073835294</v>
                </pt>
                <pt idx="766">
                  <v>-0.02847543602966651</v>
                </pt>
                <pt idx="767">
                  <v>-0.07688618561044569</v>
                </pt>
                <pt idx="768">
                  <v>-0.06643101902008153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61774799"/>
        <axId val="361778959"/>
      </barChart>
      <dateAx>
        <axId val="361774799"/>
        <scaling>
          <orientation val="minMax"/>
          <min val="21702"/>
        </scaling>
        <delete val="0"/>
        <axPos val="b"/>
        <numFmt formatCode="m/d/yy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8959"/>
        <crosses val="autoZero"/>
        <lblOffset val="100"/>
        <baseTimeUnit val="months"/>
      </dateAx>
      <valAx>
        <axId val="36177895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4799"/>
        <crosses val="autoZero"/>
        <crossBetween val="between"/>
      </valAx>
    </plotArea>
    <plotVisOnly val="1"/>
    <dispBlanksAs val="gap"/>
  </chart>
</chartSpace>
</file>

<file path=xl/charts/chart8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M2 Money Stock, Billions of Dollars, Monthly, Seasonally Adjusted</a:t>
            </a:r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0"/>
          <order val="0"/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M2 '!$A$7:$A$776</f>
              <numCache>
                <formatCode>m/d/yyyy</formatCode>
                <ptCount val="770"/>
                <pt idx="0">
                  <v>21582</v>
                </pt>
                <pt idx="1">
                  <v>21610</v>
                </pt>
                <pt idx="2">
                  <v>21641</v>
                </pt>
                <pt idx="3">
                  <v>21671</v>
                </pt>
                <pt idx="4">
                  <v>21702</v>
                </pt>
                <pt idx="5">
                  <v>21732</v>
                </pt>
                <pt idx="6">
                  <v>21763</v>
                </pt>
                <pt idx="7">
                  <v>21794</v>
                </pt>
                <pt idx="8">
                  <v>21824</v>
                </pt>
                <pt idx="9">
                  <v>21855</v>
                </pt>
                <pt idx="10">
                  <v>21885</v>
                </pt>
                <pt idx="11">
                  <v>21916</v>
                </pt>
                <pt idx="12">
                  <v>21947</v>
                </pt>
                <pt idx="13">
                  <v>21976</v>
                </pt>
                <pt idx="14">
                  <v>22007</v>
                </pt>
                <pt idx="15">
                  <v>22037</v>
                </pt>
                <pt idx="16">
                  <v>22068</v>
                </pt>
                <pt idx="17">
                  <v>22098</v>
                </pt>
                <pt idx="18">
                  <v>22129</v>
                </pt>
                <pt idx="19">
                  <v>22160</v>
                </pt>
                <pt idx="20">
                  <v>22190</v>
                </pt>
                <pt idx="21">
                  <v>22221</v>
                </pt>
                <pt idx="22">
                  <v>22251</v>
                </pt>
                <pt idx="23">
                  <v>22282</v>
                </pt>
                <pt idx="24">
                  <v>22313</v>
                </pt>
                <pt idx="25">
                  <v>22341</v>
                </pt>
                <pt idx="26">
                  <v>22372</v>
                </pt>
                <pt idx="27">
                  <v>22402</v>
                </pt>
                <pt idx="28">
                  <v>22433</v>
                </pt>
                <pt idx="29">
                  <v>22463</v>
                </pt>
                <pt idx="30">
                  <v>22494</v>
                </pt>
                <pt idx="31">
                  <v>22525</v>
                </pt>
                <pt idx="32">
                  <v>22555</v>
                </pt>
                <pt idx="33">
                  <v>22586</v>
                </pt>
                <pt idx="34">
                  <v>22616</v>
                </pt>
                <pt idx="35">
                  <v>22647</v>
                </pt>
                <pt idx="36">
                  <v>22678</v>
                </pt>
                <pt idx="37">
                  <v>22706</v>
                </pt>
                <pt idx="38">
                  <v>22737</v>
                </pt>
                <pt idx="39">
                  <v>22767</v>
                </pt>
                <pt idx="40">
                  <v>22798</v>
                </pt>
                <pt idx="41">
                  <v>22828</v>
                </pt>
                <pt idx="42">
                  <v>22859</v>
                </pt>
                <pt idx="43">
                  <v>22890</v>
                </pt>
                <pt idx="44">
                  <v>22920</v>
                </pt>
                <pt idx="45">
                  <v>22951</v>
                </pt>
                <pt idx="46">
                  <v>22981</v>
                </pt>
                <pt idx="47">
                  <v>23012</v>
                </pt>
                <pt idx="48">
                  <v>23043</v>
                </pt>
                <pt idx="49">
                  <v>23071</v>
                </pt>
                <pt idx="50">
                  <v>23102</v>
                </pt>
                <pt idx="51">
                  <v>23132</v>
                </pt>
                <pt idx="52">
                  <v>23163</v>
                </pt>
                <pt idx="53">
                  <v>23193</v>
                </pt>
                <pt idx="54">
                  <v>23224</v>
                </pt>
                <pt idx="55">
                  <v>23255</v>
                </pt>
                <pt idx="56">
                  <v>23285</v>
                </pt>
                <pt idx="57">
                  <v>23316</v>
                </pt>
                <pt idx="58">
                  <v>23346</v>
                </pt>
                <pt idx="59">
                  <v>23377</v>
                </pt>
                <pt idx="60">
                  <v>23408</v>
                </pt>
                <pt idx="61">
                  <v>23437</v>
                </pt>
                <pt idx="62">
                  <v>23468</v>
                </pt>
                <pt idx="63">
                  <v>23498</v>
                </pt>
                <pt idx="64">
                  <v>23529</v>
                </pt>
                <pt idx="65">
                  <v>23559</v>
                </pt>
                <pt idx="66">
                  <v>23590</v>
                </pt>
                <pt idx="67">
                  <v>23621</v>
                </pt>
                <pt idx="68">
                  <v>23651</v>
                </pt>
                <pt idx="69">
                  <v>23682</v>
                </pt>
                <pt idx="70">
                  <v>23712</v>
                </pt>
                <pt idx="71">
                  <v>23743</v>
                </pt>
                <pt idx="72">
                  <v>23774</v>
                </pt>
                <pt idx="73">
                  <v>23802</v>
                </pt>
                <pt idx="74">
                  <v>23833</v>
                </pt>
                <pt idx="75">
                  <v>23863</v>
                </pt>
                <pt idx="76">
                  <v>23894</v>
                </pt>
                <pt idx="77">
                  <v>23924</v>
                </pt>
                <pt idx="78">
                  <v>23955</v>
                </pt>
                <pt idx="79">
                  <v>23986</v>
                </pt>
                <pt idx="80">
                  <v>24016</v>
                </pt>
                <pt idx="81">
                  <v>24047</v>
                </pt>
                <pt idx="82">
                  <v>24077</v>
                </pt>
                <pt idx="83">
                  <v>24108</v>
                </pt>
                <pt idx="84">
                  <v>24139</v>
                </pt>
                <pt idx="85">
                  <v>24167</v>
                </pt>
                <pt idx="86">
                  <v>24198</v>
                </pt>
                <pt idx="87">
                  <v>24228</v>
                </pt>
                <pt idx="88">
                  <v>24259</v>
                </pt>
                <pt idx="89">
                  <v>24289</v>
                </pt>
                <pt idx="90">
                  <v>24320</v>
                </pt>
                <pt idx="91">
                  <v>24351</v>
                </pt>
                <pt idx="92">
                  <v>24381</v>
                </pt>
                <pt idx="93">
                  <v>24412</v>
                </pt>
                <pt idx="94">
                  <v>24442</v>
                </pt>
                <pt idx="95">
                  <v>24473</v>
                </pt>
                <pt idx="96">
                  <v>24504</v>
                </pt>
                <pt idx="97">
                  <v>24532</v>
                </pt>
                <pt idx="98">
                  <v>24563</v>
                </pt>
                <pt idx="99">
                  <v>24593</v>
                </pt>
                <pt idx="100">
                  <v>24624</v>
                </pt>
                <pt idx="101">
                  <v>24654</v>
                </pt>
                <pt idx="102">
                  <v>24685</v>
                </pt>
                <pt idx="103">
                  <v>24716</v>
                </pt>
                <pt idx="104">
                  <v>24746</v>
                </pt>
                <pt idx="105">
                  <v>24777</v>
                </pt>
                <pt idx="106">
                  <v>24807</v>
                </pt>
                <pt idx="107">
                  <v>24838</v>
                </pt>
                <pt idx="108">
                  <v>24869</v>
                </pt>
                <pt idx="109">
                  <v>24898</v>
                </pt>
                <pt idx="110">
                  <v>24929</v>
                </pt>
                <pt idx="111">
                  <v>24959</v>
                </pt>
                <pt idx="112">
                  <v>24990</v>
                </pt>
                <pt idx="113">
                  <v>25020</v>
                </pt>
                <pt idx="114">
                  <v>25051</v>
                </pt>
                <pt idx="115">
                  <v>25082</v>
                </pt>
                <pt idx="116">
                  <v>25112</v>
                </pt>
                <pt idx="117">
                  <v>25143</v>
                </pt>
                <pt idx="118">
                  <v>25173</v>
                </pt>
                <pt idx="119">
                  <v>25204</v>
                </pt>
                <pt idx="120">
                  <v>25235</v>
                </pt>
                <pt idx="121">
                  <v>25263</v>
                </pt>
                <pt idx="122">
                  <v>25294</v>
                </pt>
                <pt idx="123">
                  <v>25324</v>
                </pt>
                <pt idx="124">
                  <v>25355</v>
                </pt>
                <pt idx="125">
                  <v>25385</v>
                </pt>
                <pt idx="126">
                  <v>25416</v>
                </pt>
                <pt idx="127">
                  <v>25447</v>
                </pt>
                <pt idx="128">
                  <v>25477</v>
                </pt>
                <pt idx="129">
                  <v>25508</v>
                </pt>
                <pt idx="130">
                  <v>25538</v>
                </pt>
                <pt idx="131">
                  <v>25569</v>
                </pt>
                <pt idx="132">
                  <v>25600</v>
                </pt>
                <pt idx="133">
                  <v>25628</v>
                </pt>
                <pt idx="134">
                  <v>25659</v>
                </pt>
                <pt idx="135">
                  <v>25689</v>
                </pt>
                <pt idx="136">
                  <v>25720</v>
                </pt>
                <pt idx="137">
                  <v>25750</v>
                </pt>
                <pt idx="138">
                  <v>25781</v>
                </pt>
                <pt idx="139">
                  <v>25812</v>
                </pt>
                <pt idx="140">
                  <v>25842</v>
                </pt>
                <pt idx="141">
                  <v>25873</v>
                </pt>
                <pt idx="142">
                  <v>25903</v>
                </pt>
                <pt idx="143">
                  <v>25934</v>
                </pt>
                <pt idx="144">
                  <v>25965</v>
                </pt>
                <pt idx="145">
                  <v>25993</v>
                </pt>
                <pt idx="146">
                  <v>26024</v>
                </pt>
                <pt idx="147">
                  <v>26054</v>
                </pt>
                <pt idx="148">
                  <v>26085</v>
                </pt>
                <pt idx="149">
                  <v>26115</v>
                </pt>
                <pt idx="150">
                  <v>26146</v>
                </pt>
                <pt idx="151">
                  <v>26177</v>
                </pt>
                <pt idx="152">
                  <v>26207</v>
                </pt>
                <pt idx="153">
                  <v>26238</v>
                </pt>
                <pt idx="154">
                  <v>26268</v>
                </pt>
                <pt idx="155">
                  <v>26299</v>
                </pt>
                <pt idx="156">
                  <v>26330</v>
                </pt>
                <pt idx="157">
                  <v>26359</v>
                </pt>
                <pt idx="158">
                  <v>26390</v>
                </pt>
                <pt idx="159">
                  <v>26420</v>
                </pt>
                <pt idx="160">
                  <v>26451</v>
                </pt>
                <pt idx="161">
                  <v>26481</v>
                </pt>
                <pt idx="162">
                  <v>26512</v>
                </pt>
                <pt idx="163">
                  <v>26543</v>
                </pt>
                <pt idx="164">
                  <v>26573</v>
                </pt>
                <pt idx="165">
                  <v>26604</v>
                </pt>
                <pt idx="166">
                  <v>26634</v>
                </pt>
                <pt idx="167">
                  <v>26665</v>
                </pt>
                <pt idx="168">
                  <v>26696</v>
                </pt>
                <pt idx="169">
                  <v>26724</v>
                </pt>
                <pt idx="170">
                  <v>26755</v>
                </pt>
                <pt idx="171">
                  <v>26785</v>
                </pt>
                <pt idx="172">
                  <v>26816</v>
                </pt>
                <pt idx="173">
                  <v>26846</v>
                </pt>
                <pt idx="174">
                  <v>26877</v>
                </pt>
                <pt idx="175">
                  <v>26908</v>
                </pt>
                <pt idx="176">
                  <v>26938</v>
                </pt>
                <pt idx="177">
                  <v>26969</v>
                </pt>
                <pt idx="178">
                  <v>26999</v>
                </pt>
                <pt idx="179">
                  <v>27030</v>
                </pt>
                <pt idx="180">
                  <v>27061</v>
                </pt>
                <pt idx="181">
                  <v>27089</v>
                </pt>
                <pt idx="182">
                  <v>27120</v>
                </pt>
                <pt idx="183">
                  <v>27150</v>
                </pt>
                <pt idx="184">
                  <v>27181</v>
                </pt>
                <pt idx="185">
                  <v>27211</v>
                </pt>
                <pt idx="186">
                  <v>27242</v>
                </pt>
                <pt idx="187">
                  <v>27273</v>
                </pt>
                <pt idx="188">
                  <v>27303</v>
                </pt>
                <pt idx="189">
                  <v>27334</v>
                </pt>
                <pt idx="190">
                  <v>27364</v>
                </pt>
                <pt idx="191">
                  <v>27395</v>
                </pt>
                <pt idx="192">
                  <v>27426</v>
                </pt>
                <pt idx="193">
                  <v>27454</v>
                </pt>
                <pt idx="194">
                  <v>27485</v>
                </pt>
                <pt idx="195">
                  <v>27515</v>
                </pt>
                <pt idx="196">
                  <v>27546</v>
                </pt>
                <pt idx="197">
                  <v>27576</v>
                </pt>
                <pt idx="198">
                  <v>27607</v>
                </pt>
                <pt idx="199">
                  <v>27638</v>
                </pt>
                <pt idx="200">
                  <v>27668</v>
                </pt>
                <pt idx="201">
                  <v>27699</v>
                </pt>
                <pt idx="202">
                  <v>27729</v>
                </pt>
                <pt idx="203">
                  <v>27760</v>
                </pt>
                <pt idx="204">
                  <v>27791</v>
                </pt>
                <pt idx="205">
                  <v>27820</v>
                </pt>
                <pt idx="206">
                  <v>27851</v>
                </pt>
                <pt idx="207">
                  <v>27881</v>
                </pt>
                <pt idx="208">
                  <v>27912</v>
                </pt>
                <pt idx="209">
                  <v>27942</v>
                </pt>
                <pt idx="210">
                  <v>27973</v>
                </pt>
                <pt idx="211">
                  <v>28004</v>
                </pt>
                <pt idx="212">
                  <v>28034</v>
                </pt>
                <pt idx="213">
                  <v>28065</v>
                </pt>
                <pt idx="214">
                  <v>28095</v>
                </pt>
                <pt idx="215">
                  <v>28126</v>
                </pt>
                <pt idx="216">
                  <v>28157</v>
                </pt>
                <pt idx="217">
                  <v>28185</v>
                </pt>
                <pt idx="218">
                  <v>28216</v>
                </pt>
                <pt idx="219">
                  <v>28246</v>
                </pt>
                <pt idx="220">
                  <v>28277</v>
                </pt>
                <pt idx="221">
                  <v>28307</v>
                </pt>
                <pt idx="222">
                  <v>28338</v>
                </pt>
                <pt idx="223">
                  <v>28369</v>
                </pt>
                <pt idx="224">
                  <v>28399</v>
                </pt>
                <pt idx="225">
                  <v>28430</v>
                </pt>
                <pt idx="226">
                  <v>28460</v>
                </pt>
                <pt idx="227">
                  <v>28491</v>
                </pt>
                <pt idx="228">
                  <v>28522</v>
                </pt>
                <pt idx="229">
                  <v>28550</v>
                </pt>
                <pt idx="230">
                  <v>28581</v>
                </pt>
                <pt idx="231">
                  <v>28611</v>
                </pt>
                <pt idx="232">
                  <v>28642</v>
                </pt>
                <pt idx="233">
                  <v>28672</v>
                </pt>
                <pt idx="234">
                  <v>28703</v>
                </pt>
                <pt idx="235">
                  <v>28734</v>
                </pt>
                <pt idx="236">
                  <v>28764</v>
                </pt>
                <pt idx="237">
                  <v>28795</v>
                </pt>
                <pt idx="238">
                  <v>28825</v>
                </pt>
                <pt idx="239">
                  <v>28856</v>
                </pt>
                <pt idx="240">
                  <v>28887</v>
                </pt>
                <pt idx="241">
                  <v>28915</v>
                </pt>
                <pt idx="242">
                  <v>28946</v>
                </pt>
                <pt idx="243">
                  <v>28976</v>
                </pt>
                <pt idx="244">
                  <v>29007</v>
                </pt>
                <pt idx="245">
                  <v>29037</v>
                </pt>
                <pt idx="246">
                  <v>29068</v>
                </pt>
                <pt idx="247">
                  <v>29099</v>
                </pt>
                <pt idx="248">
                  <v>29129</v>
                </pt>
                <pt idx="249">
                  <v>29160</v>
                </pt>
                <pt idx="250">
                  <v>29190</v>
                </pt>
                <pt idx="251">
                  <v>29221</v>
                </pt>
                <pt idx="252">
                  <v>29252</v>
                </pt>
                <pt idx="253">
                  <v>29281</v>
                </pt>
                <pt idx="254">
                  <v>29312</v>
                </pt>
                <pt idx="255">
                  <v>29342</v>
                </pt>
                <pt idx="256">
                  <v>29373</v>
                </pt>
                <pt idx="257">
                  <v>29403</v>
                </pt>
                <pt idx="258">
                  <v>29434</v>
                </pt>
                <pt idx="259">
                  <v>29465</v>
                </pt>
                <pt idx="260">
                  <v>29495</v>
                </pt>
                <pt idx="261">
                  <v>29526</v>
                </pt>
                <pt idx="262">
                  <v>29556</v>
                </pt>
                <pt idx="263">
                  <v>29587</v>
                </pt>
                <pt idx="264">
                  <v>29618</v>
                </pt>
                <pt idx="265">
                  <v>29646</v>
                </pt>
                <pt idx="266">
                  <v>29677</v>
                </pt>
                <pt idx="267">
                  <v>29707</v>
                </pt>
                <pt idx="268">
                  <v>29738</v>
                </pt>
                <pt idx="269">
                  <v>29768</v>
                </pt>
                <pt idx="270">
                  <v>29799</v>
                </pt>
                <pt idx="271">
                  <v>29830</v>
                </pt>
                <pt idx="272">
                  <v>29860</v>
                </pt>
                <pt idx="273">
                  <v>29891</v>
                </pt>
                <pt idx="274">
                  <v>29921</v>
                </pt>
                <pt idx="275">
                  <v>29952</v>
                </pt>
                <pt idx="276">
                  <v>29983</v>
                </pt>
                <pt idx="277">
                  <v>30011</v>
                </pt>
                <pt idx="278">
                  <v>30042</v>
                </pt>
                <pt idx="279">
                  <v>30072</v>
                </pt>
                <pt idx="280">
                  <v>30103</v>
                </pt>
                <pt idx="281">
                  <v>30133</v>
                </pt>
                <pt idx="282">
                  <v>30164</v>
                </pt>
                <pt idx="283">
                  <v>30195</v>
                </pt>
                <pt idx="284">
                  <v>30225</v>
                </pt>
                <pt idx="285">
                  <v>30256</v>
                </pt>
                <pt idx="286">
                  <v>30286</v>
                </pt>
                <pt idx="287">
                  <v>30317</v>
                </pt>
                <pt idx="288">
                  <v>30348</v>
                </pt>
                <pt idx="289">
                  <v>30376</v>
                </pt>
                <pt idx="290">
                  <v>30407</v>
                </pt>
                <pt idx="291">
                  <v>30437</v>
                </pt>
                <pt idx="292">
                  <v>30468</v>
                </pt>
                <pt idx="293">
                  <v>30498</v>
                </pt>
                <pt idx="294">
                  <v>30529</v>
                </pt>
                <pt idx="295">
                  <v>30560</v>
                </pt>
                <pt idx="296">
                  <v>30590</v>
                </pt>
                <pt idx="297">
                  <v>30621</v>
                </pt>
                <pt idx="298">
                  <v>30651</v>
                </pt>
                <pt idx="299">
                  <v>30682</v>
                </pt>
                <pt idx="300">
                  <v>30713</v>
                </pt>
                <pt idx="301">
                  <v>30742</v>
                </pt>
                <pt idx="302">
                  <v>30773</v>
                </pt>
                <pt idx="303">
                  <v>30803</v>
                </pt>
                <pt idx="304">
                  <v>30834</v>
                </pt>
                <pt idx="305">
                  <v>30864</v>
                </pt>
                <pt idx="306">
                  <v>30895</v>
                </pt>
                <pt idx="307">
                  <v>30926</v>
                </pt>
                <pt idx="308">
                  <v>30956</v>
                </pt>
                <pt idx="309">
                  <v>30987</v>
                </pt>
                <pt idx="310">
                  <v>31017</v>
                </pt>
                <pt idx="311">
                  <v>31048</v>
                </pt>
                <pt idx="312">
                  <v>31079</v>
                </pt>
                <pt idx="313">
                  <v>31107</v>
                </pt>
                <pt idx="314">
                  <v>31138</v>
                </pt>
                <pt idx="315">
                  <v>31168</v>
                </pt>
                <pt idx="316">
                  <v>31199</v>
                </pt>
                <pt idx="317">
                  <v>31229</v>
                </pt>
                <pt idx="318">
                  <v>31260</v>
                </pt>
                <pt idx="319">
                  <v>31291</v>
                </pt>
                <pt idx="320">
                  <v>31321</v>
                </pt>
                <pt idx="321">
                  <v>31352</v>
                </pt>
                <pt idx="322">
                  <v>31382</v>
                </pt>
                <pt idx="323">
                  <v>31413</v>
                </pt>
                <pt idx="324">
                  <v>31444</v>
                </pt>
                <pt idx="325">
                  <v>31472</v>
                </pt>
                <pt idx="326">
                  <v>31503</v>
                </pt>
                <pt idx="327">
                  <v>31533</v>
                </pt>
                <pt idx="328">
                  <v>31564</v>
                </pt>
                <pt idx="329">
                  <v>31594</v>
                </pt>
                <pt idx="330">
                  <v>31625</v>
                </pt>
                <pt idx="331">
                  <v>31656</v>
                </pt>
                <pt idx="332">
                  <v>31686</v>
                </pt>
                <pt idx="333">
                  <v>31717</v>
                </pt>
                <pt idx="334">
                  <v>31747</v>
                </pt>
                <pt idx="335">
                  <v>31778</v>
                </pt>
                <pt idx="336">
                  <v>31809</v>
                </pt>
                <pt idx="337">
                  <v>31837</v>
                </pt>
                <pt idx="338">
                  <v>31868</v>
                </pt>
                <pt idx="339">
                  <v>31898</v>
                </pt>
                <pt idx="340">
                  <v>31929</v>
                </pt>
                <pt idx="341">
                  <v>31959</v>
                </pt>
                <pt idx="342">
                  <v>31990</v>
                </pt>
                <pt idx="343">
                  <v>32021</v>
                </pt>
                <pt idx="344">
                  <v>32051</v>
                </pt>
                <pt idx="345">
                  <v>32082</v>
                </pt>
                <pt idx="346">
                  <v>32112</v>
                </pt>
                <pt idx="347">
                  <v>32143</v>
                </pt>
                <pt idx="348">
                  <v>32174</v>
                </pt>
                <pt idx="349">
                  <v>32203</v>
                </pt>
                <pt idx="350">
                  <v>32234</v>
                </pt>
                <pt idx="351">
                  <v>32264</v>
                </pt>
                <pt idx="352">
                  <v>32295</v>
                </pt>
                <pt idx="353">
                  <v>32325</v>
                </pt>
                <pt idx="354">
                  <v>32356</v>
                </pt>
                <pt idx="355">
                  <v>32387</v>
                </pt>
                <pt idx="356">
                  <v>32417</v>
                </pt>
                <pt idx="357">
                  <v>32448</v>
                </pt>
                <pt idx="358">
                  <v>32478</v>
                </pt>
                <pt idx="359">
                  <v>32509</v>
                </pt>
                <pt idx="360">
                  <v>32540</v>
                </pt>
                <pt idx="361">
                  <v>32568</v>
                </pt>
                <pt idx="362">
                  <v>32599</v>
                </pt>
                <pt idx="363">
                  <v>32629</v>
                </pt>
                <pt idx="364">
                  <v>32660</v>
                </pt>
                <pt idx="365">
                  <v>32690</v>
                </pt>
                <pt idx="366">
                  <v>32721</v>
                </pt>
                <pt idx="367">
                  <v>32752</v>
                </pt>
                <pt idx="368">
                  <v>32782</v>
                </pt>
                <pt idx="369">
                  <v>32813</v>
                </pt>
                <pt idx="370">
                  <v>32843</v>
                </pt>
                <pt idx="371">
                  <v>32874</v>
                </pt>
                <pt idx="372">
                  <v>32905</v>
                </pt>
                <pt idx="373">
                  <v>32933</v>
                </pt>
                <pt idx="374">
                  <v>32964</v>
                </pt>
                <pt idx="375">
                  <v>32994</v>
                </pt>
                <pt idx="376">
                  <v>33025</v>
                </pt>
                <pt idx="377">
                  <v>33055</v>
                </pt>
                <pt idx="378">
                  <v>33086</v>
                </pt>
                <pt idx="379">
                  <v>33117</v>
                </pt>
                <pt idx="380">
                  <v>33147</v>
                </pt>
                <pt idx="381">
                  <v>33178</v>
                </pt>
                <pt idx="382">
                  <v>33208</v>
                </pt>
                <pt idx="383">
                  <v>33239</v>
                </pt>
                <pt idx="384">
                  <v>33270</v>
                </pt>
                <pt idx="385">
                  <v>33298</v>
                </pt>
                <pt idx="386">
                  <v>33329</v>
                </pt>
                <pt idx="387">
                  <v>33359</v>
                </pt>
                <pt idx="388">
                  <v>33390</v>
                </pt>
                <pt idx="389">
                  <v>33420</v>
                </pt>
                <pt idx="390">
                  <v>33451</v>
                </pt>
                <pt idx="391">
                  <v>33482</v>
                </pt>
                <pt idx="392">
                  <v>33512</v>
                </pt>
                <pt idx="393">
                  <v>33543</v>
                </pt>
                <pt idx="394">
                  <v>33573</v>
                </pt>
                <pt idx="395">
                  <v>33604</v>
                </pt>
                <pt idx="396">
                  <v>33635</v>
                </pt>
                <pt idx="397">
                  <v>33664</v>
                </pt>
                <pt idx="398">
                  <v>33695</v>
                </pt>
                <pt idx="399">
                  <v>33725</v>
                </pt>
                <pt idx="400">
                  <v>33756</v>
                </pt>
                <pt idx="401">
                  <v>33786</v>
                </pt>
                <pt idx="402">
                  <v>33817</v>
                </pt>
                <pt idx="403">
                  <v>33848</v>
                </pt>
                <pt idx="404">
                  <v>33878</v>
                </pt>
                <pt idx="405">
                  <v>33909</v>
                </pt>
                <pt idx="406">
                  <v>33939</v>
                </pt>
                <pt idx="407">
                  <v>33970</v>
                </pt>
                <pt idx="408">
                  <v>34001</v>
                </pt>
                <pt idx="409">
                  <v>34029</v>
                </pt>
                <pt idx="410">
                  <v>34060</v>
                </pt>
                <pt idx="411">
                  <v>34090</v>
                </pt>
                <pt idx="412">
                  <v>34121</v>
                </pt>
                <pt idx="413">
                  <v>34151</v>
                </pt>
                <pt idx="414">
                  <v>34182</v>
                </pt>
                <pt idx="415">
                  <v>34213</v>
                </pt>
                <pt idx="416">
                  <v>34243</v>
                </pt>
                <pt idx="417">
                  <v>34274</v>
                </pt>
                <pt idx="418">
                  <v>34304</v>
                </pt>
                <pt idx="419">
                  <v>34335</v>
                </pt>
                <pt idx="420">
                  <v>34366</v>
                </pt>
                <pt idx="421">
                  <v>34394</v>
                </pt>
                <pt idx="422">
                  <v>34425</v>
                </pt>
                <pt idx="423">
                  <v>34455</v>
                </pt>
                <pt idx="424">
                  <v>34486</v>
                </pt>
                <pt idx="425">
                  <v>34516</v>
                </pt>
                <pt idx="426">
                  <v>34547</v>
                </pt>
                <pt idx="427">
                  <v>34578</v>
                </pt>
                <pt idx="428">
                  <v>34608</v>
                </pt>
                <pt idx="429">
                  <v>34639</v>
                </pt>
                <pt idx="430">
                  <v>34669</v>
                </pt>
                <pt idx="431">
                  <v>34700</v>
                </pt>
                <pt idx="432">
                  <v>34731</v>
                </pt>
                <pt idx="433">
                  <v>34759</v>
                </pt>
                <pt idx="434">
                  <v>34790</v>
                </pt>
                <pt idx="435">
                  <v>34820</v>
                </pt>
                <pt idx="436">
                  <v>34851</v>
                </pt>
                <pt idx="437">
                  <v>34881</v>
                </pt>
                <pt idx="438">
                  <v>34912</v>
                </pt>
                <pt idx="439">
                  <v>34943</v>
                </pt>
                <pt idx="440">
                  <v>34973</v>
                </pt>
                <pt idx="441">
                  <v>35004</v>
                </pt>
                <pt idx="442">
                  <v>35034</v>
                </pt>
                <pt idx="443">
                  <v>35065</v>
                </pt>
                <pt idx="444">
                  <v>35096</v>
                </pt>
                <pt idx="445">
                  <v>35125</v>
                </pt>
                <pt idx="446">
                  <v>35156</v>
                </pt>
                <pt idx="447">
                  <v>35186</v>
                </pt>
                <pt idx="448">
                  <v>35217</v>
                </pt>
                <pt idx="449">
                  <v>35247</v>
                </pt>
                <pt idx="450">
                  <v>35278</v>
                </pt>
                <pt idx="451">
                  <v>35309</v>
                </pt>
                <pt idx="452">
                  <v>35339</v>
                </pt>
                <pt idx="453">
                  <v>35370</v>
                </pt>
                <pt idx="454">
                  <v>35400</v>
                </pt>
                <pt idx="455">
                  <v>35431</v>
                </pt>
                <pt idx="456">
                  <v>35462</v>
                </pt>
                <pt idx="457">
                  <v>35490</v>
                </pt>
                <pt idx="458">
                  <v>35521</v>
                </pt>
                <pt idx="459">
                  <v>35551</v>
                </pt>
                <pt idx="460">
                  <v>35582</v>
                </pt>
                <pt idx="461">
                  <v>35612</v>
                </pt>
                <pt idx="462">
                  <v>35643</v>
                </pt>
                <pt idx="463">
                  <v>35674</v>
                </pt>
                <pt idx="464">
                  <v>35704</v>
                </pt>
                <pt idx="465">
                  <v>35735</v>
                </pt>
                <pt idx="466">
                  <v>35765</v>
                </pt>
                <pt idx="467">
                  <v>35796</v>
                </pt>
                <pt idx="468">
                  <v>35827</v>
                </pt>
                <pt idx="469">
                  <v>35855</v>
                </pt>
                <pt idx="470">
                  <v>35886</v>
                </pt>
                <pt idx="471">
                  <v>35916</v>
                </pt>
                <pt idx="472">
                  <v>35947</v>
                </pt>
                <pt idx="473">
                  <v>35977</v>
                </pt>
                <pt idx="474">
                  <v>36008</v>
                </pt>
                <pt idx="475">
                  <v>36039</v>
                </pt>
                <pt idx="476">
                  <v>36069</v>
                </pt>
                <pt idx="477">
                  <v>36100</v>
                </pt>
                <pt idx="478">
                  <v>36130</v>
                </pt>
                <pt idx="479">
                  <v>36161</v>
                </pt>
                <pt idx="480">
                  <v>36192</v>
                </pt>
                <pt idx="481">
                  <v>36220</v>
                </pt>
                <pt idx="482">
                  <v>36251</v>
                </pt>
                <pt idx="483">
                  <v>36281</v>
                </pt>
                <pt idx="484">
                  <v>36312</v>
                </pt>
                <pt idx="485">
                  <v>36342</v>
                </pt>
                <pt idx="486">
                  <v>36373</v>
                </pt>
                <pt idx="487">
                  <v>36404</v>
                </pt>
                <pt idx="488">
                  <v>36434</v>
                </pt>
                <pt idx="489">
                  <v>36465</v>
                </pt>
                <pt idx="490">
                  <v>36495</v>
                </pt>
                <pt idx="491">
                  <v>36526</v>
                </pt>
                <pt idx="492">
                  <v>36557</v>
                </pt>
                <pt idx="493">
                  <v>36586</v>
                </pt>
                <pt idx="494">
                  <v>36617</v>
                </pt>
                <pt idx="495">
                  <v>36647</v>
                </pt>
                <pt idx="496">
                  <v>36678</v>
                </pt>
                <pt idx="497">
                  <v>36708</v>
                </pt>
                <pt idx="498">
                  <v>36739</v>
                </pt>
                <pt idx="499">
                  <v>36770</v>
                </pt>
                <pt idx="500">
                  <v>36800</v>
                </pt>
                <pt idx="501">
                  <v>36831</v>
                </pt>
                <pt idx="502">
                  <v>36861</v>
                </pt>
                <pt idx="503">
                  <v>36892</v>
                </pt>
                <pt idx="504">
                  <v>36923</v>
                </pt>
                <pt idx="505">
                  <v>36951</v>
                </pt>
                <pt idx="506">
                  <v>36982</v>
                </pt>
                <pt idx="507">
                  <v>37012</v>
                </pt>
                <pt idx="508">
                  <v>37043</v>
                </pt>
                <pt idx="509">
                  <v>37073</v>
                </pt>
                <pt idx="510">
                  <v>37104</v>
                </pt>
                <pt idx="511">
                  <v>37135</v>
                </pt>
                <pt idx="512">
                  <v>37165</v>
                </pt>
                <pt idx="513">
                  <v>37196</v>
                </pt>
                <pt idx="514">
                  <v>37226</v>
                </pt>
                <pt idx="515">
                  <v>37257</v>
                </pt>
                <pt idx="516">
                  <v>37288</v>
                </pt>
                <pt idx="517">
                  <v>37316</v>
                </pt>
                <pt idx="518">
                  <v>37347</v>
                </pt>
                <pt idx="519">
                  <v>37377</v>
                </pt>
                <pt idx="520">
                  <v>37408</v>
                </pt>
                <pt idx="521">
                  <v>37438</v>
                </pt>
                <pt idx="522">
                  <v>37469</v>
                </pt>
                <pt idx="523">
                  <v>37500</v>
                </pt>
                <pt idx="524">
                  <v>37530</v>
                </pt>
                <pt idx="525">
                  <v>37561</v>
                </pt>
                <pt idx="526">
                  <v>37591</v>
                </pt>
                <pt idx="527">
                  <v>37622</v>
                </pt>
                <pt idx="528">
                  <v>37653</v>
                </pt>
                <pt idx="529">
                  <v>37681</v>
                </pt>
                <pt idx="530">
                  <v>37712</v>
                </pt>
                <pt idx="531">
                  <v>37742</v>
                </pt>
                <pt idx="532">
                  <v>37773</v>
                </pt>
                <pt idx="533">
                  <v>37803</v>
                </pt>
                <pt idx="534">
                  <v>37834</v>
                </pt>
                <pt idx="535">
                  <v>37865</v>
                </pt>
                <pt idx="536">
                  <v>37895</v>
                </pt>
                <pt idx="537">
                  <v>37926</v>
                </pt>
                <pt idx="538">
                  <v>37956</v>
                </pt>
                <pt idx="539">
                  <v>37987</v>
                </pt>
                <pt idx="540">
                  <v>38018</v>
                </pt>
                <pt idx="541">
                  <v>38047</v>
                </pt>
                <pt idx="542">
                  <v>38078</v>
                </pt>
                <pt idx="543">
                  <v>38108</v>
                </pt>
                <pt idx="544">
                  <v>38139</v>
                </pt>
                <pt idx="545">
                  <v>38169</v>
                </pt>
                <pt idx="546">
                  <v>38200</v>
                </pt>
                <pt idx="547">
                  <v>38231</v>
                </pt>
                <pt idx="548">
                  <v>38261</v>
                </pt>
                <pt idx="549">
                  <v>38292</v>
                </pt>
                <pt idx="550">
                  <v>38322</v>
                </pt>
                <pt idx="551">
                  <v>38353</v>
                </pt>
                <pt idx="552">
                  <v>38384</v>
                </pt>
                <pt idx="553">
                  <v>38412</v>
                </pt>
                <pt idx="554">
                  <v>38443</v>
                </pt>
                <pt idx="555">
                  <v>38473</v>
                </pt>
                <pt idx="556">
                  <v>38504</v>
                </pt>
                <pt idx="557">
                  <v>38534</v>
                </pt>
                <pt idx="558">
                  <v>38565</v>
                </pt>
                <pt idx="559">
                  <v>38596</v>
                </pt>
                <pt idx="560">
                  <v>38626</v>
                </pt>
                <pt idx="561">
                  <v>38657</v>
                </pt>
                <pt idx="562">
                  <v>38687</v>
                </pt>
                <pt idx="563">
                  <v>38718</v>
                </pt>
                <pt idx="564">
                  <v>38749</v>
                </pt>
                <pt idx="565">
                  <v>38777</v>
                </pt>
                <pt idx="566">
                  <v>38808</v>
                </pt>
                <pt idx="567">
                  <v>38838</v>
                </pt>
                <pt idx="568">
                  <v>38869</v>
                </pt>
                <pt idx="569">
                  <v>38899</v>
                </pt>
                <pt idx="570">
                  <v>38930</v>
                </pt>
                <pt idx="571">
                  <v>38961</v>
                </pt>
                <pt idx="572">
                  <v>38991</v>
                </pt>
                <pt idx="573">
                  <v>39022</v>
                </pt>
                <pt idx="574">
                  <v>39052</v>
                </pt>
                <pt idx="575">
                  <v>39083</v>
                </pt>
                <pt idx="576">
                  <v>39114</v>
                </pt>
                <pt idx="577">
                  <v>39142</v>
                </pt>
                <pt idx="578">
                  <v>39173</v>
                </pt>
                <pt idx="579">
                  <v>39203</v>
                </pt>
                <pt idx="580">
                  <v>39234</v>
                </pt>
                <pt idx="581">
                  <v>39264</v>
                </pt>
                <pt idx="582">
                  <v>39295</v>
                </pt>
                <pt idx="583">
                  <v>39326</v>
                </pt>
                <pt idx="584">
                  <v>39356</v>
                </pt>
                <pt idx="585">
                  <v>39387</v>
                </pt>
                <pt idx="586">
                  <v>39417</v>
                </pt>
                <pt idx="587">
                  <v>39448</v>
                </pt>
                <pt idx="588">
                  <v>39479</v>
                </pt>
                <pt idx="589">
                  <v>39508</v>
                </pt>
                <pt idx="590">
                  <v>39539</v>
                </pt>
                <pt idx="591">
                  <v>39569</v>
                </pt>
                <pt idx="592">
                  <v>39600</v>
                </pt>
                <pt idx="593">
                  <v>39630</v>
                </pt>
                <pt idx="594">
                  <v>39661</v>
                </pt>
                <pt idx="595">
                  <v>39692</v>
                </pt>
                <pt idx="596">
                  <v>39722</v>
                </pt>
                <pt idx="597">
                  <v>39753</v>
                </pt>
                <pt idx="598">
                  <v>39783</v>
                </pt>
                <pt idx="599">
                  <v>39814</v>
                </pt>
                <pt idx="600">
                  <v>39845</v>
                </pt>
                <pt idx="601">
                  <v>39873</v>
                </pt>
                <pt idx="602">
                  <v>39904</v>
                </pt>
                <pt idx="603">
                  <v>39934</v>
                </pt>
                <pt idx="604">
                  <v>39965</v>
                </pt>
                <pt idx="605">
                  <v>39995</v>
                </pt>
                <pt idx="606">
                  <v>40026</v>
                </pt>
                <pt idx="607">
                  <v>40057</v>
                </pt>
                <pt idx="608">
                  <v>40087</v>
                </pt>
                <pt idx="609">
                  <v>40118</v>
                </pt>
                <pt idx="610">
                  <v>40148</v>
                </pt>
                <pt idx="611">
                  <v>40179</v>
                </pt>
                <pt idx="612">
                  <v>40210</v>
                </pt>
                <pt idx="613">
                  <v>40238</v>
                </pt>
                <pt idx="614">
                  <v>40269</v>
                </pt>
                <pt idx="615">
                  <v>40299</v>
                </pt>
                <pt idx="616">
                  <v>40330</v>
                </pt>
                <pt idx="617">
                  <v>40360</v>
                </pt>
                <pt idx="618">
                  <v>40391</v>
                </pt>
                <pt idx="619">
                  <v>40422</v>
                </pt>
                <pt idx="620">
                  <v>40452</v>
                </pt>
                <pt idx="621">
                  <v>40483</v>
                </pt>
                <pt idx="622">
                  <v>40513</v>
                </pt>
                <pt idx="623">
                  <v>40544</v>
                </pt>
                <pt idx="624">
                  <v>40575</v>
                </pt>
                <pt idx="625">
                  <v>40603</v>
                </pt>
                <pt idx="626">
                  <v>40634</v>
                </pt>
                <pt idx="627">
                  <v>40664</v>
                </pt>
                <pt idx="628">
                  <v>40695</v>
                </pt>
                <pt idx="629">
                  <v>40725</v>
                </pt>
                <pt idx="630">
                  <v>40756</v>
                </pt>
                <pt idx="631">
                  <v>40787</v>
                </pt>
                <pt idx="632">
                  <v>40817</v>
                </pt>
                <pt idx="633">
                  <v>40848</v>
                </pt>
                <pt idx="634">
                  <v>40878</v>
                </pt>
                <pt idx="635">
                  <v>40909</v>
                </pt>
                <pt idx="636">
                  <v>40940</v>
                </pt>
                <pt idx="637">
                  <v>40969</v>
                </pt>
                <pt idx="638">
                  <v>41000</v>
                </pt>
                <pt idx="639">
                  <v>41030</v>
                </pt>
                <pt idx="640">
                  <v>41061</v>
                </pt>
                <pt idx="641">
                  <v>41091</v>
                </pt>
                <pt idx="642">
                  <v>41122</v>
                </pt>
                <pt idx="643">
                  <v>41153</v>
                </pt>
                <pt idx="644">
                  <v>41183</v>
                </pt>
                <pt idx="645">
                  <v>41214</v>
                </pt>
                <pt idx="646">
                  <v>41244</v>
                </pt>
                <pt idx="647">
                  <v>41275</v>
                </pt>
                <pt idx="648">
                  <v>41306</v>
                </pt>
                <pt idx="649">
                  <v>41334</v>
                </pt>
                <pt idx="650">
                  <v>41365</v>
                </pt>
                <pt idx="651">
                  <v>41395</v>
                </pt>
                <pt idx="652">
                  <v>41426</v>
                </pt>
                <pt idx="653">
                  <v>41456</v>
                </pt>
                <pt idx="654">
                  <v>41487</v>
                </pt>
                <pt idx="655">
                  <v>41518</v>
                </pt>
                <pt idx="656">
                  <v>41548</v>
                </pt>
                <pt idx="657">
                  <v>41579</v>
                </pt>
                <pt idx="658">
                  <v>41609</v>
                </pt>
                <pt idx="659">
                  <v>41640</v>
                </pt>
                <pt idx="660">
                  <v>41671</v>
                </pt>
                <pt idx="661">
                  <v>41699</v>
                </pt>
                <pt idx="662">
                  <v>41730</v>
                </pt>
                <pt idx="663">
                  <v>41760</v>
                </pt>
                <pt idx="664">
                  <v>41791</v>
                </pt>
                <pt idx="665">
                  <v>41821</v>
                </pt>
                <pt idx="666">
                  <v>41852</v>
                </pt>
                <pt idx="667">
                  <v>41883</v>
                </pt>
                <pt idx="668">
                  <v>41913</v>
                </pt>
                <pt idx="669">
                  <v>41944</v>
                </pt>
                <pt idx="670">
                  <v>41974</v>
                </pt>
                <pt idx="671">
                  <v>42005</v>
                </pt>
                <pt idx="672">
                  <v>42036</v>
                </pt>
                <pt idx="673">
                  <v>42064</v>
                </pt>
                <pt idx="674">
                  <v>42095</v>
                </pt>
                <pt idx="675">
                  <v>42125</v>
                </pt>
                <pt idx="676">
                  <v>42156</v>
                </pt>
                <pt idx="677">
                  <v>42186</v>
                </pt>
                <pt idx="678">
                  <v>42217</v>
                </pt>
                <pt idx="679">
                  <v>42248</v>
                </pt>
                <pt idx="680">
                  <v>42278</v>
                </pt>
                <pt idx="681">
                  <v>42309</v>
                </pt>
                <pt idx="682">
                  <v>42339</v>
                </pt>
                <pt idx="683">
                  <v>42370</v>
                </pt>
                <pt idx="684">
                  <v>42401</v>
                </pt>
                <pt idx="685">
                  <v>42430</v>
                </pt>
                <pt idx="686">
                  <v>42461</v>
                </pt>
                <pt idx="687">
                  <v>42491</v>
                </pt>
                <pt idx="688">
                  <v>42522</v>
                </pt>
                <pt idx="689">
                  <v>42552</v>
                </pt>
                <pt idx="690">
                  <v>42583</v>
                </pt>
                <pt idx="691">
                  <v>42614</v>
                </pt>
                <pt idx="692">
                  <v>42644</v>
                </pt>
                <pt idx="693">
                  <v>42675</v>
                </pt>
                <pt idx="694">
                  <v>42705</v>
                </pt>
                <pt idx="695">
                  <v>42736</v>
                </pt>
                <pt idx="696">
                  <v>42767</v>
                </pt>
                <pt idx="697">
                  <v>42795</v>
                </pt>
                <pt idx="698">
                  <v>42826</v>
                </pt>
                <pt idx="699">
                  <v>42856</v>
                </pt>
                <pt idx="700">
                  <v>42887</v>
                </pt>
                <pt idx="701">
                  <v>42917</v>
                </pt>
                <pt idx="702">
                  <v>42948</v>
                </pt>
                <pt idx="703">
                  <v>42979</v>
                </pt>
                <pt idx="704">
                  <v>43009</v>
                </pt>
                <pt idx="705">
                  <v>43040</v>
                </pt>
                <pt idx="706">
                  <v>43070</v>
                </pt>
                <pt idx="707">
                  <v>43101</v>
                </pt>
                <pt idx="708">
                  <v>43132</v>
                </pt>
                <pt idx="709">
                  <v>43160</v>
                </pt>
                <pt idx="710">
                  <v>43191</v>
                </pt>
                <pt idx="711">
                  <v>43221</v>
                </pt>
                <pt idx="712">
                  <v>43252</v>
                </pt>
                <pt idx="713">
                  <v>43282</v>
                </pt>
                <pt idx="714">
                  <v>43313</v>
                </pt>
                <pt idx="715">
                  <v>43344</v>
                </pt>
                <pt idx="716">
                  <v>43374</v>
                </pt>
                <pt idx="717">
                  <v>43405</v>
                </pt>
                <pt idx="718">
                  <v>43435</v>
                </pt>
                <pt idx="719">
                  <v>43466</v>
                </pt>
                <pt idx="720">
                  <v>43497</v>
                </pt>
                <pt idx="721">
                  <v>43525</v>
                </pt>
                <pt idx="722">
                  <v>43556</v>
                </pt>
                <pt idx="723">
                  <v>43586</v>
                </pt>
                <pt idx="724">
                  <v>43617</v>
                </pt>
                <pt idx="725">
                  <v>43647</v>
                </pt>
                <pt idx="726">
                  <v>43678</v>
                </pt>
                <pt idx="727">
                  <v>43709</v>
                </pt>
                <pt idx="728">
                  <v>43739</v>
                </pt>
                <pt idx="729">
                  <v>43770</v>
                </pt>
                <pt idx="730">
                  <v>43800</v>
                </pt>
                <pt idx="731">
                  <v>43831</v>
                </pt>
                <pt idx="732">
                  <v>43862</v>
                </pt>
                <pt idx="733">
                  <v>43891</v>
                </pt>
                <pt idx="734">
                  <v>43922</v>
                </pt>
                <pt idx="735">
                  <v>43952</v>
                </pt>
                <pt idx="736">
                  <v>43983</v>
                </pt>
                <pt idx="737">
                  <v>44013</v>
                </pt>
                <pt idx="738">
                  <v>44044</v>
                </pt>
                <pt idx="739">
                  <v>44075</v>
                </pt>
                <pt idx="740">
                  <v>44105</v>
                </pt>
                <pt idx="741">
                  <v>44136</v>
                </pt>
                <pt idx="742">
                  <v>44166</v>
                </pt>
                <pt idx="743">
                  <v>44197</v>
                </pt>
                <pt idx="744">
                  <v>44228</v>
                </pt>
                <pt idx="745">
                  <v>44256</v>
                </pt>
                <pt idx="746">
                  <v>44287</v>
                </pt>
                <pt idx="747">
                  <v>44317</v>
                </pt>
                <pt idx="748">
                  <v>44348</v>
                </pt>
                <pt idx="749">
                  <v>44378</v>
                </pt>
                <pt idx="750">
                  <v>44409</v>
                </pt>
                <pt idx="751">
                  <v>44440</v>
                </pt>
                <pt idx="752">
                  <v>44470</v>
                </pt>
                <pt idx="753">
                  <v>44501</v>
                </pt>
                <pt idx="754">
                  <v>44531</v>
                </pt>
                <pt idx="755">
                  <v>44562</v>
                </pt>
                <pt idx="756">
                  <v>44593</v>
                </pt>
                <pt idx="757">
                  <v>44621</v>
                </pt>
                <pt idx="758">
                  <v>44652</v>
                </pt>
                <pt idx="759">
                  <v>44682</v>
                </pt>
                <pt idx="760">
                  <v>44713</v>
                </pt>
                <pt idx="761">
                  <v>44743</v>
                </pt>
                <pt idx="762">
                  <v>44774</v>
                </pt>
                <pt idx="763">
                  <v>44805</v>
                </pt>
                <pt idx="764">
                  <v>44835</v>
                </pt>
                <pt idx="765">
                  <v>44866</v>
                </pt>
                <pt idx="766">
                  <v>44896</v>
                </pt>
                <pt idx="767">
                  <v>44927</v>
                </pt>
                <pt idx="768">
                  <v>44958</v>
                </pt>
              </numCache>
            </numRef>
          </cat>
          <val>
            <numRef>
              <f>'US M2 '!$B$7:$B$776</f>
              <numCache>
                <formatCode>0.0</formatCode>
                <ptCount val="770"/>
                <pt idx="0">
                  <v>287.7</v>
                </pt>
                <pt idx="1">
                  <v>289.2</v>
                </pt>
                <pt idx="2">
                  <v>290.1</v>
                </pt>
                <pt idx="3">
                  <v>292.2</v>
                </pt>
                <pt idx="4">
                  <v>294.1</v>
                </pt>
                <pt idx="5">
                  <v>295.2</v>
                </pt>
                <pt idx="6">
                  <v>296.4</v>
                </pt>
                <pt idx="7">
                  <v>296.7</v>
                </pt>
                <pt idx="8">
                  <v>296.5</v>
                </pt>
                <pt idx="9">
                  <v>297.1</v>
                </pt>
                <pt idx="10">
                  <v>297.8</v>
                </pt>
                <pt idx="11">
                  <v>298.2</v>
                </pt>
                <pt idx="12">
                  <v>298.4</v>
                </pt>
                <pt idx="13">
                  <v>299.3</v>
                </pt>
                <pt idx="14">
                  <v>300.1</v>
                </pt>
                <pt idx="15">
                  <v>300.9</v>
                </pt>
                <pt idx="16">
                  <v>302.3</v>
                </pt>
                <pt idx="17">
                  <v>304.1</v>
                </pt>
                <pt idx="18">
                  <v>306.9</v>
                </pt>
                <pt idx="19">
                  <v>308.4</v>
                </pt>
                <pt idx="20">
                  <v>309.5</v>
                </pt>
                <pt idx="21">
                  <v>310.9</v>
                </pt>
                <pt idx="22">
                  <v>312.4</v>
                </pt>
                <pt idx="23">
                  <v>314.1</v>
                </pt>
                <pt idx="24">
                  <v>316.5</v>
                </pt>
                <pt idx="25">
                  <v>318.3</v>
                </pt>
                <pt idx="26">
                  <v>319.9</v>
                </pt>
                <pt idx="27">
                  <v>322.2</v>
                </pt>
                <pt idx="28">
                  <v>324.3</v>
                </pt>
                <pt idx="29">
                  <v>325.6</v>
                </pt>
                <pt idx="30">
                  <v>327.6</v>
                </pt>
                <pt idx="31">
                  <v>329.5</v>
                </pt>
                <pt idx="32">
                  <v>331.1</v>
                </pt>
                <pt idx="33">
                  <v>333.4</v>
                </pt>
                <pt idx="34">
                  <v>335.5</v>
                </pt>
                <pt idx="35">
                  <v>337.5</v>
                </pt>
                <pt idx="36">
                  <v>340.1</v>
                </pt>
                <pt idx="37">
                  <v>343.1</v>
                </pt>
                <pt idx="38">
                  <v>345.5</v>
                </pt>
                <pt idx="39">
                  <v>347.5</v>
                </pt>
                <pt idx="40">
                  <v>349.3</v>
                </pt>
                <pt idx="41">
                  <v>350.8</v>
                </pt>
                <pt idx="42">
                  <v>352.8</v>
                </pt>
                <pt idx="43">
                  <v>354.9</v>
                </pt>
                <pt idx="44">
                  <v>357.2</v>
                </pt>
                <pt idx="45">
                  <v>359.8</v>
                </pt>
                <pt idx="46">
                  <v>362.7</v>
                </pt>
                <pt idx="47">
                  <v>365.2</v>
                </pt>
                <pt idx="48">
                  <v>367.9</v>
                </pt>
                <pt idx="49">
                  <v>370.7</v>
                </pt>
                <pt idx="50">
                  <v>373.3</v>
                </pt>
                <pt idx="51">
                  <v>376.1</v>
                </pt>
                <pt idx="52">
                  <v>378.4</v>
                </pt>
                <pt idx="53">
                  <v>381.1</v>
                </pt>
                <pt idx="54">
                  <v>383.6</v>
                </pt>
                <pt idx="55">
                  <v>386</v>
                </pt>
                <pt idx="56">
                  <v>388.3</v>
                </pt>
                <pt idx="57">
                  <v>391.5</v>
                </pt>
                <pt idx="58">
                  <v>393.2</v>
                </pt>
                <pt idx="59">
                  <v>395.2</v>
                </pt>
                <pt idx="60">
                  <v>397.6</v>
                </pt>
                <pt idx="61">
                  <v>399.8</v>
                </pt>
                <pt idx="62">
                  <v>401.7</v>
                </pt>
                <pt idx="63">
                  <v>404.2</v>
                </pt>
                <pt idx="64">
                  <v>407.1</v>
                </pt>
                <pt idx="65">
                  <v>410.1</v>
                </pt>
                <pt idx="66">
                  <v>413.4</v>
                </pt>
                <pt idx="67">
                  <v>416.9</v>
                </pt>
                <pt idx="68">
                  <v>419.1</v>
                </pt>
                <pt idx="69">
                  <v>422</v>
                </pt>
                <pt idx="70">
                  <v>424.7</v>
                </pt>
                <pt idx="71">
                  <v>427.5</v>
                </pt>
                <pt idx="72">
                  <v>430.4</v>
                </pt>
                <pt idx="73">
                  <v>433.2</v>
                </pt>
                <pt idx="74">
                  <v>435.4</v>
                </pt>
                <pt idx="75">
                  <v>437.1</v>
                </pt>
                <pt idx="76">
                  <v>440.1</v>
                </pt>
                <pt idx="77">
                  <v>442.9</v>
                </pt>
                <pt idx="78">
                  <v>445.8</v>
                </pt>
                <pt idx="79">
                  <v>449.5</v>
                </pt>
                <pt idx="80">
                  <v>452.6</v>
                </pt>
                <pt idx="81">
                  <v>455.7</v>
                </pt>
                <pt idx="82">
                  <v>459.2</v>
                </pt>
                <pt idx="83">
                  <v>462</v>
                </pt>
                <pt idx="84">
                  <v>464.6</v>
                </pt>
                <pt idx="85">
                  <v>467.2</v>
                </pt>
                <pt idx="86">
                  <v>469.3</v>
                </pt>
                <pt idx="87">
                  <v>470.1</v>
                </pt>
                <pt idx="88">
                  <v>471.2</v>
                </pt>
                <pt idx="89">
                  <v>470.9</v>
                </pt>
                <pt idx="90">
                  <v>472.6</v>
                </pt>
                <pt idx="91">
                  <v>475.4</v>
                </pt>
                <pt idx="92">
                  <v>475.7</v>
                </pt>
                <pt idx="93">
                  <v>477.3</v>
                </pt>
                <pt idx="94">
                  <v>480.2</v>
                </pt>
                <pt idx="95">
                  <v>481.6</v>
                </pt>
                <pt idx="96">
                  <v>485.1</v>
                </pt>
                <pt idx="97">
                  <v>489.7</v>
                </pt>
                <pt idx="98">
                  <v>492.1</v>
                </pt>
                <pt idx="99">
                  <v>497.2</v>
                </pt>
                <pt idx="100">
                  <v>502</v>
                </pt>
                <pt idx="101">
                  <v>506.3</v>
                </pt>
                <pt idx="102">
                  <v>510.8</v>
                </pt>
                <pt idx="103">
                  <v>514.7</v>
                </pt>
                <pt idx="104">
                  <v>518.2</v>
                </pt>
                <pt idx="105">
                  <v>521.2</v>
                </pt>
                <pt idx="106">
                  <v>524.8</v>
                </pt>
                <pt idx="107">
                  <v>527.4</v>
                </pt>
                <pt idx="108">
                  <v>530.4</v>
                </pt>
                <pt idx="109">
                  <v>533.2</v>
                </pt>
                <pt idx="110">
                  <v>535.7</v>
                </pt>
                <pt idx="111">
                  <v>538.9</v>
                </pt>
                <pt idx="112">
                  <v>542.6</v>
                </pt>
                <pt idx="113">
                  <v>545.6</v>
                </pt>
                <pt idx="114">
                  <v>549.4</v>
                </pt>
                <pt idx="115">
                  <v>553.6</v>
                </pt>
                <pt idx="116">
                  <v>557.6</v>
                </pt>
                <pt idx="117">
                  <v>562.4</v>
                </pt>
                <pt idx="118">
                  <v>566.8</v>
                </pt>
                <pt idx="119">
                  <v>569.3</v>
                </pt>
                <pt idx="120">
                  <v>571.9</v>
                </pt>
                <pt idx="121">
                  <v>574.4</v>
                </pt>
                <pt idx="122">
                  <v>575.7</v>
                </pt>
                <pt idx="123">
                  <v>576.5</v>
                </pt>
                <pt idx="124">
                  <v>578.5</v>
                </pt>
                <pt idx="125">
                  <v>579.5</v>
                </pt>
                <pt idx="126">
                  <v>580.1</v>
                </pt>
                <pt idx="127">
                  <v>582.1</v>
                </pt>
                <pt idx="128">
                  <v>583.4</v>
                </pt>
                <pt idx="129">
                  <v>585.4</v>
                </pt>
                <pt idx="130">
                  <v>587.9</v>
                </pt>
                <pt idx="131">
                  <v>589.6</v>
                </pt>
                <pt idx="132">
                  <v>586.3</v>
                </pt>
                <pt idx="133">
                  <v>587.3</v>
                </pt>
                <pt idx="134">
                  <v>588.4</v>
                </pt>
                <pt idx="135">
                  <v>591.5</v>
                </pt>
                <pt idx="136">
                  <v>595.2</v>
                </pt>
                <pt idx="137">
                  <v>599.1</v>
                </pt>
                <pt idx="138">
                  <v>604.9</v>
                </pt>
                <pt idx="139">
                  <v>611.2</v>
                </pt>
                <pt idx="140">
                  <v>616.4</v>
                </pt>
                <pt idx="141">
                  <v>621.1</v>
                </pt>
                <pt idx="142">
                  <v>626.5</v>
                </pt>
                <pt idx="143">
                  <v>632.9</v>
                </pt>
                <pt idx="144">
                  <v>641</v>
                </pt>
                <pt idx="145">
                  <v>649.9</v>
                </pt>
                <pt idx="146">
                  <v>658.4</v>
                </pt>
                <pt idx="147">
                  <v>666.7</v>
                </pt>
                <pt idx="148">
                  <v>673</v>
                </pt>
                <pt idx="149">
                  <v>679.6</v>
                </pt>
                <pt idx="150">
                  <v>685.5</v>
                </pt>
                <pt idx="151">
                  <v>692.5</v>
                </pt>
                <pt idx="152">
                  <v>698.4</v>
                </pt>
                <pt idx="153">
                  <v>704.6</v>
                </pt>
                <pt idx="154">
                  <v>710.3</v>
                </pt>
                <pt idx="155">
                  <v>717.7</v>
                </pt>
                <pt idx="156">
                  <v>725.7</v>
                </pt>
                <pt idx="157">
                  <v>733.5</v>
                </pt>
                <pt idx="158">
                  <v>738.4</v>
                </pt>
                <pt idx="159">
                  <v>743.3</v>
                </pt>
                <pt idx="160">
                  <v>749.7</v>
                </pt>
                <pt idx="161">
                  <v>759.5</v>
                </pt>
                <pt idx="162">
                  <v>768.7</v>
                </pt>
                <pt idx="163">
                  <v>778.3</v>
                </pt>
                <pt idx="164">
                  <v>786.9</v>
                </pt>
                <pt idx="165">
                  <v>793.9</v>
                </pt>
                <pt idx="166">
                  <v>802.3</v>
                </pt>
                <pt idx="167">
                  <v>810.3</v>
                </pt>
                <pt idx="168">
                  <v>814.1</v>
                </pt>
                <pt idx="169">
                  <v>815.3</v>
                </pt>
                <pt idx="170">
                  <v>819.7</v>
                </pt>
                <pt idx="171">
                  <v>826.8</v>
                </pt>
                <pt idx="172">
                  <v>833.3</v>
                </pt>
                <pt idx="173">
                  <v>836.5</v>
                </pt>
                <pt idx="174">
                  <v>838.8</v>
                </pt>
                <pt idx="175">
                  <v>839.3</v>
                </pt>
                <pt idx="176">
                  <v>842.6</v>
                </pt>
                <pt idx="177">
                  <v>848.9</v>
                </pt>
                <pt idx="178">
                  <v>855.5</v>
                </pt>
                <pt idx="179">
                  <v>859.7</v>
                </pt>
                <pt idx="180">
                  <v>864.2</v>
                </pt>
                <pt idx="181">
                  <v>870.1</v>
                </pt>
                <pt idx="182">
                  <v>872.9</v>
                </pt>
                <pt idx="183">
                  <v>874.6</v>
                </pt>
                <pt idx="184">
                  <v>877.8</v>
                </pt>
                <pt idx="185">
                  <v>881.4</v>
                </pt>
                <pt idx="186">
                  <v>884.1</v>
                </pt>
                <pt idx="187">
                  <v>887.9</v>
                </pt>
                <pt idx="188">
                  <v>893.3</v>
                </pt>
                <pt idx="189">
                  <v>898.6</v>
                </pt>
                <pt idx="190">
                  <v>902.1</v>
                </pt>
                <pt idx="191">
                  <v>906.3</v>
                </pt>
                <pt idx="192">
                  <v>914.1</v>
                </pt>
                <pt idx="193">
                  <v>925</v>
                </pt>
                <pt idx="194">
                  <v>935.1</v>
                </pt>
                <pt idx="195">
                  <v>947.9</v>
                </pt>
                <pt idx="196">
                  <v>963</v>
                </pt>
                <pt idx="197">
                  <v>975.1</v>
                </pt>
                <pt idx="198">
                  <v>983.1</v>
                </pt>
                <pt idx="199">
                  <v>991.5</v>
                </pt>
                <pt idx="200">
                  <v>997.8</v>
                </pt>
                <pt idx="201">
                  <v>1006.9</v>
                </pt>
                <pt idx="202">
                  <v>1016.2</v>
                </pt>
                <pt idx="203">
                  <v>1026.6</v>
                </pt>
                <pt idx="204">
                  <v>1040.3</v>
                </pt>
                <pt idx="205">
                  <v>1050</v>
                </pt>
                <pt idx="206">
                  <v>1060.8</v>
                </pt>
                <pt idx="207">
                  <v>1072.1</v>
                </pt>
                <pt idx="208">
                  <v>1077.6</v>
                </pt>
                <pt idx="209">
                  <v>1086.3</v>
                </pt>
                <pt idx="210">
                  <v>1098.7</v>
                </pt>
                <pt idx="211">
                  <v>1110.8</v>
                </pt>
                <pt idx="212">
                  <v>1125</v>
                </pt>
                <pt idx="213">
                  <v>1138.2</v>
                </pt>
                <pt idx="214">
                  <v>1152</v>
                </pt>
                <pt idx="215">
                  <v>1165.2</v>
                </pt>
                <pt idx="216">
                  <v>1177.6</v>
                </pt>
                <pt idx="217">
                  <v>1188.5</v>
                </pt>
                <pt idx="218">
                  <v>1199.6</v>
                </pt>
                <pt idx="219">
                  <v>1209</v>
                </pt>
                <pt idx="220">
                  <v>1217.8</v>
                </pt>
                <pt idx="221">
                  <v>1226.7</v>
                </pt>
                <pt idx="222">
                  <v>1237</v>
                </pt>
                <pt idx="223">
                  <v>1246.2</v>
                </pt>
                <pt idx="224">
                  <v>1254</v>
                </pt>
                <pt idx="225">
                  <v>1262.4</v>
                </pt>
                <pt idx="226">
                  <v>1270.3</v>
                </pt>
                <pt idx="227">
                  <v>1279.7</v>
                </pt>
                <pt idx="228">
                  <v>1285.5</v>
                </pt>
                <pt idx="229">
                  <v>1292.2</v>
                </pt>
                <pt idx="230">
                  <v>1300.4</v>
                </pt>
                <pt idx="231">
                  <v>1310.5</v>
                </pt>
                <pt idx="232">
                  <v>1318.5</v>
                </pt>
                <pt idx="233">
                  <v>1324.1</v>
                </pt>
                <pt idx="234">
                  <v>1333.5</v>
                </pt>
                <pt idx="235">
                  <v>1345</v>
                </pt>
                <pt idx="236">
                  <v>1352.3</v>
                </pt>
                <pt idx="237">
                  <v>1359.1</v>
                </pt>
                <pt idx="238">
                  <v>1366</v>
                </pt>
                <pt idx="239">
                  <v>1371.6</v>
                </pt>
                <pt idx="240">
                  <v>1377.8</v>
                </pt>
                <pt idx="241">
                  <v>1387.8</v>
                </pt>
                <pt idx="242">
                  <v>1402.1</v>
                </pt>
                <pt idx="243">
                  <v>1410.2</v>
                </pt>
                <pt idx="244">
                  <v>1423</v>
                </pt>
                <pt idx="245">
                  <v>1434.8</v>
                </pt>
                <pt idx="246">
                  <v>1446.6</v>
                </pt>
                <pt idx="247">
                  <v>1454.1</v>
                </pt>
                <pt idx="248">
                  <v>1460.4</v>
                </pt>
                <pt idx="249">
                  <v>1465.9</v>
                </pt>
                <pt idx="250">
                  <v>1473.7</v>
                </pt>
                <pt idx="251">
                  <v>1482.7</v>
                </pt>
                <pt idx="252">
                  <v>1494.6</v>
                </pt>
                <pt idx="253">
                  <v>1499.8</v>
                </pt>
                <pt idx="254">
                  <v>1502.2</v>
                </pt>
                <pt idx="255">
                  <v>1512.3</v>
                </pt>
                <pt idx="256">
                  <v>1529.2</v>
                </pt>
                <pt idx="257">
                  <v>1545.5</v>
                </pt>
                <pt idx="258">
                  <v>1561.5</v>
                </pt>
                <pt idx="259">
                  <v>1574</v>
                </pt>
                <pt idx="260">
                  <v>1584.8</v>
                </pt>
                <pt idx="261">
                  <v>1595.8</v>
                </pt>
                <pt idx="262">
                  <v>1599.8</v>
                </pt>
                <pt idx="263">
                  <v>1606.9</v>
                </pt>
                <pt idx="264">
                  <v>1618.7</v>
                </pt>
                <pt idx="265">
                  <v>1636.6</v>
                </pt>
                <pt idx="266">
                  <v>1659.2</v>
                </pt>
                <pt idx="267">
                  <v>1664.2</v>
                </pt>
                <pt idx="268">
                  <v>1670.3</v>
                </pt>
                <pt idx="269">
                  <v>1681.9</v>
                </pt>
                <pt idx="270">
                  <v>1694.3</v>
                </pt>
                <pt idx="271">
                  <v>1706</v>
                </pt>
                <pt idx="272">
                  <v>1721.8</v>
                </pt>
                <pt idx="273">
                  <v>1736.1</v>
                </pt>
                <pt idx="274">
                  <v>1755.5</v>
                </pt>
                <pt idx="275">
                  <v>1770.4</v>
                </pt>
                <pt idx="276">
                  <v>1774.5</v>
                </pt>
                <pt idx="277">
                  <v>1786.5</v>
                </pt>
                <pt idx="278">
                  <v>1803.9</v>
                </pt>
                <pt idx="279">
                  <v>1815.4</v>
                </pt>
                <pt idx="280">
                  <v>1826</v>
                </pt>
                <pt idx="281">
                  <v>1831.5</v>
                </pt>
                <pt idx="282">
                  <v>1845.2</v>
                </pt>
                <pt idx="283">
                  <v>1858.4</v>
                </pt>
                <pt idx="284">
                  <v>1869.7</v>
                </pt>
                <pt idx="285">
                  <v>1883.7</v>
                </pt>
                <pt idx="286">
                  <v>1905.9</v>
                </pt>
                <pt idx="287">
                  <v>1959.4</v>
                </pt>
                <pt idx="288">
                  <v>1996.8</v>
                </pt>
                <pt idx="289">
                  <v>2015.2</v>
                </pt>
                <pt idx="290">
                  <v>2028.6</v>
                </pt>
                <pt idx="291">
                  <v>2043.1</v>
                </pt>
                <pt idx="292">
                  <v>2053.5</v>
                </pt>
                <pt idx="293">
                  <v>2064.8</v>
                </pt>
                <pt idx="294">
                  <v>2074</v>
                </pt>
                <pt idx="295">
                  <v>2083.2</v>
                </pt>
                <pt idx="296">
                  <v>2099.2</v>
                </pt>
                <pt idx="297">
                  <v>2112.3</v>
                </pt>
                <pt idx="298">
                  <v>2123.5</v>
                </pt>
                <pt idx="299">
                  <v>2138.2</v>
                </pt>
                <pt idx="300">
                  <v>2158.2</v>
                </pt>
                <pt idx="301">
                  <v>2175.2</v>
                </pt>
                <pt idx="302">
                  <v>2191.7</v>
                </pt>
                <pt idx="303">
                  <v>2204.1</v>
                </pt>
                <pt idx="304">
                  <v>2215.1</v>
                </pt>
                <pt idx="305">
                  <v>2223.5</v>
                </pt>
                <pt idx="306">
                  <v>2230.4</v>
                </pt>
                <pt idx="307">
                  <v>2244.4</v>
                </pt>
                <pt idx="308">
                  <v>2258.9</v>
                </pt>
                <pt idx="309">
                  <v>2281.4</v>
                </pt>
                <pt idx="310">
                  <v>2306.4</v>
                </pt>
                <pt idx="311">
                  <v>2332.4</v>
                </pt>
                <pt idx="312">
                  <v>2354.1</v>
                </pt>
                <pt idx="313">
                  <v>2366.2</v>
                </pt>
                <pt idx="314">
                  <v>2375.4</v>
                </pt>
                <pt idx="315">
                  <v>2389.5</v>
                </pt>
                <pt idx="316">
                  <v>2412.6</v>
                </pt>
                <pt idx="317">
                  <v>2429.5</v>
                </pt>
                <pt idx="318">
                  <v>2444</v>
                </pt>
                <pt idx="319">
                  <v>2456.4</v>
                </pt>
                <pt idx="320">
                  <v>2468</v>
                </pt>
                <pt idx="321">
                  <v>2477.8</v>
                </pt>
                <pt idx="322">
                  <v>2492.1</v>
                </pt>
                <pt idx="323">
                  <v>2502.1</v>
                </pt>
                <pt idx="324">
                  <v>2512.9</v>
                </pt>
                <pt idx="325">
                  <v>2533.1</v>
                </pt>
                <pt idx="326">
                  <v>2557.8</v>
                </pt>
                <pt idx="327">
                  <v>2584.8</v>
                </pt>
                <pt idx="328">
                  <v>2605</v>
                </pt>
                <pt idx="329">
                  <v>2626.6</v>
                </pt>
                <pt idx="330">
                  <v>2646.5</v>
                </pt>
                <pt idx="331">
                  <v>2667.8</v>
                </pt>
                <pt idx="332">
                  <v>2687.4</v>
                </pt>
                <pt idx="333">
                  <v>2701.3</v>
                </pt>
                <pt idx="334">
                  <v>2728</v>
                </pt>
                <pt idx="335">
                  <v>2743.9</v>
                </pt>
                <pt idx="336">
                  <v>2747.5</v>
                </pt>
                <pt idx="337">
                  <v>2753.7</v>
                </pt>
                <pt idx="338">
                  <v>2767.7</v>
                </pt>
                <pt idx="339">
                  <v>2772.9</v>
                </pt>
                <pt idx="340">
                  <v>2774.6</v>
                </pt>
                <pt idx="341">
                  <v>2779</v>
                </pt>
                <pt idx="342">
                  <v>2788.2</v>
                </pt>
                <pt idx="343">
                  <v>2799.5</v>
                </pt>
                <pt idx="344">
                  <v>2814.8</v>
                </pt>
                <pt idx="345">
                  <v>2818.9</v>
                </pt>
                <pt idx="346">
                  <v>2826.4</v>
                </pt>
                <pt idx="347">
                  <v>2847.4</v>
                </pt>
                <pt idx="348">
                  <v>2870.4</v>
                </pt>
                <pt idx="349">
                  <v>2890.7</v>
                </pt>
                <pt idx="350">
                  <v>2910.7</v>
                </pt>
                <pt idx="351">
                  <v>2926</v>
                </pt>
                <pt idx="352">
                  <v>2938.4</v>
                </pt>
                <pt idx="353">
                  <v>2947.2</v>
                </pt>
                <pt idx="354">
                  <v>2952</v>
                </pt>
                <pt idx="355">
                  <v>2956.9</v>
                </pt>
                <pt idx="356">
                  <v>2965.3</v>
                </pt>
                <pt idx="357">
                  <v>2980.2</v>
                </pt>
                <pt idx="358">
                  <v>2988.2</v>
                </pt>
                <pt idx="359">
                  <v>2991.7</v>
                </pt>
                <pt idx="360">
                  <v>2992.2</v>
                </pt>
                <pt idx="361">
                  <v>2999.7</v>
                </pt>
                <pt idx="362">
                  <v>3006</v>
                </pt>
                <pt idx="363">
                  <v>3011.6</v>
                </pt>
                <pt idx="364">
                  <v>3027.9</v>
                </pt>
                <pt idx="365">
                  <v>3052.4</v>
                </pt>
                <pt idx="366">
                  <v>3074.4</v>
                </pt>
                <pt idx="367">
                  <v>3092.5</v>
                </pt>
                <pt idx="368">
                  <v>3114.1</v>
                </pt>
                <pt idx="369">
                  <v>3133.3</v>
                </pt>
                <pt idx="370">
                  <v>3152.5</v>
                </pt>
                <pt idx="371">
                  <v>3166.8</v>
                </pt>
                <pt idx="372">
                  <v>3179.2</v>
                </pt>
                <pt idx="373">
                  <v>3190.1</v>
                </pt>
                <pt idx="374">
                  <v>3201.6</v>
                </pt>
                <pt idx="375">
                  <v>3200.6</v>
                </pt>
                <pt idx="376">
                  <v>3213.7</v>
                </pt>
                <pt idx="377">
                  <v>3224.5</v>
                </pt>
                <pt idx="378">
                  <v>3242</v>
                </pt>
                <pt idx="379">
                  <v>3254.6</v>
                </pt>
                <pt idx="380">
                  <v>3259.3</v>
                </pt>
                <pt idx="381">
                  <v>3262.6</v>
                </pt>
                <pt idx="382">
                  <v>3271.8</v>
                </pt>
                <pt idx="383">
                  <v>3287.7</v>
                </pt>
                <pt idx="384">
                  <v>3304.5</v>
                </pt>
                <pt idx="385">
                  <v>3321.9</v>
                </pt>
                <pt idx="386">
                  <v>3332.4</v>
                </pt>
                <pt idx="387">
                  <v>3343</v>
                </pt>
                <pt idx="388">
                  <v>3351.9</v>
                </pt>
                <pt idx="389">
                  <v>3356.1</v>
                </pt>
                <pt idx="390">
                  <v>3355</v>
                </pt>
                <pt idx="391">
                  <v>3354.9</v>
                </pt>
                <pt idx="392">
                  <v>3360.1</v>
                </pt>
                <pt idx="393">
                  <v>3365.5</v>
                </pt>
                <pt idx="394">
                  <v>3372.2</v>
                </pt>
                <pt idx="395">
                  <v>3381.2</v>
                </pt>
                <pt idx="396">
                  <v>3400</v>
                </pt>
                <pt idx="397">
                  <v>3403.9</v>
                </pt>
                <pt idx="398">
                  <v>3399.7</v>
                </pt>
                <pt idx="399">
                  <v>3398.6</v>
                </pt>
                <pt idx="400">
                  <v>3393.4</v>
                </pt>
                <pt idx="401">
                  <v>3393.9</v>
                </pt>
                <pt idx="402">
                  <v>3398.8</v>
                </pt>
                <pt idx="403">
                  <v>3410.3</v>
                </pt>
                <pt idx="404">
                  <v>3423.8</v>
                </pt>
                <pt idx="405">
                  <v>3426.5</v>
                </pt>
                <pt idx="406">
                  <v>3424.7</v>
                </pt>
                <pt idx="407">
                  <v>3419.1</v>
                </pt>
                <pt idx="408">
                  <v>3414.5</v>
                </pt>
                <pt idx="409">
                  <v>3411.7</v>
                </pt>
                <pt idx="410">
                  <v>3411.3</v>
                </pt>
                <pt idx="411">
                  <v>3436.9</v>
                </pt>
                <pt idx="412">
                  <v>3442.4</v>
                </pt>
                <pt idx="413">
                  <v>3442</v>
                </pt>
                <pt idx="414">
                  <v>3445.7</v>
                </pt>
                <pt idx="415">
                  <v>3452.2</v>
                </pt>
                <pt idx="416">
                  <v>3456.7</v>
                </pt>
                <pt idx="417">
                  <v>3470.1</v>
                </pt>
                <pt idx="418">
                  <v>3474.5</v>
                </pt>
                <pt idx="419">
                  <v>3474.9</v>
                </pt>
                <pt idx="420">
                  <v>3475.7</v>
                </pt>
                <pt idx="421">
                  <v>3480.1</v>
                </pt>
                <pt idx="422">
                  <v>3481.3</v>
                </pt>
                <pt idx="423">
                  <v>3490.8</v>
                </pt>
                <pt idx="424">
                  <v>3479.5</v>
                </pt>
                <pt idx="425">
                  <v>3488.2</v>
                </pt>
                <pt idx="426">
                  <v>3485.7</v>
                </pt>
                <pt idx="427">
                  <v>3486.1</v>
                </pt>
                <pt idx="428">
                  <v>3484.3</v>
                </pt>
                <pt idx="429">
                  <v>3487.2</v>
                </pt>
                <pt idx="430">
                  <v>3486.4</v>
                </pt>
                <pt idx="431">
                  <v>3492.4</v>
                </pt>
                <pt idx="432">
                  <v>3489.9</v>
                </pt>
                <pt idx="433">
                  <v>3491.1</v>
                </pt>
                <pt idx="434">
                  <v>3499.2</v>
                </pt>
                <pt idx="435">
                  <v>3524.2</v>
                </pt>
                <pt idx="436">
                  <v>3548.9</v>
                </pt>
                <pt idx="437">
                  <v>3567.4</v>
                </pt>
                <pt idx="438">
                  <v>3589</v>
                </pt>
                <pt idx="439">
                  <v>3602.1</v>
                </pt>
                <pt idx="440">
                  <v>3613.4</v>
                </pt>
                <pt idx="441">
                  <v>3619.9</v>
                </pt>
                <pt idx="442">
                  <v>3629.5</v>
                </pt>
                <pt idx="443">
                  <v>3647.9</v>
                </pt>
                <pt idx="444">
                  <v>3661.8</v>
                </pt>
                <pt idx="445">
                  <v>3686.9</v>
                </pt>
                <pt idx="446">
                  <v>3697.7</v>
                </pt>
                <pt idx="447">
                  <v>3709.6</v>
                </pt>
                <pt idx="448">
                  <v>3722.5</v>
                </pt>
                <pt idx="449">
                  <v>3737.1</v>
                </pt>
                <pt idx="450">
                  <v>3744</v>
                </pt>
                <pt idx="451">
                  <v>3753.4</v>
                </pt>
                <pt idx="452">
                  <v>3772.8</v>
                </pt>
                <pt idx="453">
                  <v>3795.1</v>
                </pt>
                <pt idx="454">
                  <v>3818.6</v>
                </pt>
                <pt idx="455">
                  <v>3834.6</v>
                </pt>
                <pt idx="456">
                  <v>3846.3</v>
                </pt>
                <pt idx="457">
                  <v>3861.2</v>
                </pt>
                <pt idx="458">
                  <v>3877</v>
                </pt>
                <pt idx="459">
                  <v>3889.2</v>
                </pt>
                <pt idx="460">
                  <v>3906</v>
                </pt>
                <pt idx="461">
                  <v>3923.9</v>
                </pt>
                <pt idx="462">
                  <v>3957.4</v>
                </pt>
                <pt idx="463">
                  <v>3973.1</v>
                </pt>
                <pt idx="464">
                  <v>3992.3</v>
                </pt>
                <pt idx="465">
                  <v>4014.8</v>
                </pt>
                <pt idx="466">
                  <v>4032.9</v>
                </pt>
                <pt idx="467">
                  <v>4056.2</v>
                </pt>
                <pt idx="468">
                  <v>4088.9</v>
                </pt>
                <pt idx="469">
                  <v>4114.3</v>
                </pt>
                <pt idx="470">
                  <v>4140.2</v>
                </pt>
                <pt idx="471">
                  <v>4164.4</v>
                </pt>
                <pt idx="472">
                  <v>4184.1</v>
                </pt>
                <pt idx="473">
                  <v>4203.8</v>
                </pt>
                <pt idx="474">
                  <v>4228.7</v>
                </pt>
                <pt idx="475">
                  <v>4267.6</v>
                </pt>
                <pt idx="476">
                  <v>4307.7</v>
                </pt>
                <pt idx="477">
                  <v>4346.4</v>
                </pt>
                <pt idx="478">
                  <v>4375.2</v>
                </pt>
                <pt idx="479">
                  <v>4402.6</v>
                </pt>
                <pt idx="480">
                  <v>4425.3</v>
                </pt>
                <pt idx="481">
                  <v>4432.1</v>
                </pt>
                <pt idx="482">
                  <v>4460.7</v>
                </pt>
                <pt idx="483">
                  <v>4485.3</v>
                </pt>
                <pt idx="484">
                  <v>4507.2</v>
                </pt>
                <pt idx="485">
                  <v>4534.5</v>
                </pt>
                <pt idx="486">
                  <v>4551.7</v>
                </pt>
                <pt idx="487">
                  <v>4567.7</v>
                </pt>
                <pt idx="488">
                  <v>4591.5</v>
                </pt>
                <pt idx="489">
                  <v>4610.5</v>
                </pt>
                <pt idx="490">
                  <v>4638</v>
                </pt>
                <pt idx="491">
                  <v>4666.2</v>
                </pt>
                <pt idx="492">
                  <v>4679.4</v>
                </pt>
                <pt idx="493">
                  <v>4710.2</v>
                </pt>
                <pt idx="494">
                  <v>4766.1</v>
                </pt>
                <pt idx="495">
                  <v>4753.9</v>
                </pt>
                <pt idx="496">
                  <v>4771.8</v>
                </pt>
                <pt idx="497">
                  <v>4789.4</v>
                </pt>
                <pt idx="498">
                  <v>4817.5</v>
                </pt>
                <pt idx="499">
                  <v>4853.2</v>
                </pt>
                <pt idx="500">
                  <v>4869.2</v>
                </pt>
                <pt idx="501">
                  <v>4880.3</v>
                </pt>
                <pt idx="502">
                  <v>4925</v>
                </pt>
                <pt idx="503">
                  <v>4975.7</v>
                </pt>
                <pt idx="504">
                  <v>5014.1</v>
                </pt>
                <pt idx="505">
                  <v>5072</v>
                </pt>
                <pt idx="506">
                  <v>5135.9</v>
                </pt>
                <pt idx="507">
                  <v>5133</v>
                </pt>
                <pt idx="508">
                  <v>5173.5</v>
                </pt>
                <pt idx="509">
                  <v>5203.4</v>
                </pt>
                <pt idx="510">
                  <v>5237.2</v>
                </pt>
                <pt idx="511">
                  <v>5348.4</v>
                </pt>
                <pt idx="512">
                  <v>5337.1</v>
                </pt>
                <pt idx="513">
                  <v>5380.8</v>
                </pt>
                <pt idx="514">
                  <v>5433.8</v>
                </pt>
                <pt idx="515">
                  <v>5454.1</v>
                </pt>
                <pt idx="516">
                  <v>5483.4</v>
                </pt>
                <pt idx="517">
                  <v>5495.2</v>
                </pt>
                <pt idx="518">
                  <v>5495.4</v>
                </pt>
                <pt idx="519">
                  <v>5521.5</v>
                </pt>
                <pt idx="520">
                  <v>5546.5</v>
                </pt>
                <pt idx="521">
                  <v>5589.1</v>
                </pt>
                <pt idx="522">
                  <v>5631.6</v>
                </pt>
                <pt idx="523">
                  <v>5656</v>
                </pt>
                <pt idx="524">
                  <v>5700.4</v>
                </pt>
                <pt idx="525">
                  <v>5750.6</v>
                </pt>
                <pt idx="526">
                  <v>5772</v>
                </pt>
                <pt idx="527">
                  <v>5804.6</v>
                </pt>
                <pt idx="528">
                  <v>5840.7</v>
                </pt>
                <pt idx="529">
                  <v>5861.4</v>
                </pt>
                <pt idx="530">
                  <v>5898.8</v>
                </pt>
                <pt idx="531">
                  <v>5959.3</v>
                </pt>
                <pt idx="532">
                  <v>5996</v>
                </pt>
                <pt idx="533">
                  <v>6042.7</v>
                </pt>
                <pt idx="534">
                  <v>6100.8</v>
                </pt>
                <pt idx="535">
                  <v>6072.8</v>
                </pt>
                <pt idx="536">
                  <v>6063.6</v>
                </pt>
                <pt idx="537">
                  <v>6069.1</v>
                </pt>
                <pt idx="538">
                  <v>6067.3</v>
                </pt>
                <pt idx="539">
                  <v>6075.5</v>
                </pt>
                <pt idx="540">
                  <v>6114.3</v>
                </pt>
                <pt idx="541">
                  <v>6150.1</v>
                </pt>
                <pt idx="542">
                  <v>6191.2</v>
                </pt>
                <pt idx="543">
                  <v>6268.1</v>
                </pt>
                <pt idx="544">
                  <v>6270.5</v>
                </pt>
                <pt idx="545">
                  <v>6284.3</v>
                </pt>
                <pt idx="546">
                  <v>6310.6</v>
                </pt>
                <pt idx="547">
                  <v>6345.3</v>
                </pt>
                <pt idx="548">
                  <v>6373.3</v>
                </pt>
                <pt idx="549">
                  <v>6399.8</v>
                </pt>
                <pt idx="550">
                  <v>6418.3</v>
                </pt>
                <pt idx="551">
                  <v>6424.5</v>
                </pt>
                <pt idx="552">
                  <v>6432.8</v>
                </pt>
                <pt idx="553">
                  <v>6441.9</v>
                </pt>
                <pt idx="554">
                  <v>6455.9</v>
                </pt>
                <pt idx="555">
                  <v>6473.3</v>
                </pt>
                <pt idx="556">
                  <v>6505.8</v>
                </pt>
                <pt idx="557">
                  <v>6537.4</v>
                </pt>
                <pt idx="558">
                  <v>6570.2</v>
                </pt>
                <pt idx="559">
                  <v>6604.3</v>
                </pt>
                <pt idx="560">
                  <v>6638.6</v>
                </pt>
                <pt idx="561">
                  <v>6655</v>
                </pt>
                <pt idx="562">
                  <v>6681.9</v>
                </pt>
                <pt idx="563">
                  <v>6724.3</v>
                </pt>
                <pt idx="564">
                  <v>6748.6</v>
                </pt>
                <pt idx="565">
                  <v>6762.9</v>
                </pt>
                <pt idx="566">
                  <v>6800.1</v>
                </pt>
                <pt idx="567">
                  <v>6806.9</v>
                </pt>
                <pt idx="568">
                  <v>6844.9</v>
                </pt>
                <pt idx="569">
                  <v>6886.3</v>
                </pt>
                <pt idx="570">
                  <v>6917.1</v>
                </pt>
                <pt idx="571">
                  <v>6944.2</v>
                </pt>
                <pt idx="572">
                  <v>6993.3</v>
                </pt>
                <pt idx="573">
                  <v>7028.4</v>
                </pt>
                <pt idx="574">
                  <v>7071.6</v>
                </pt>
                <pt idx="575">
                  <v>7109.6</v>
                </pt>
                <pt idx="576">
                  <v>7125.3</v>
                </pt>
                <pt idx="577">
                  <v>7159.1</v>
                </pt>
                <pt idx="578">
                  <v>7231.3</v>
                </pt>
                <pt idx="579">
                  <v>7245.4</v>
                </pt>
                <pt idx="580">
                  <v>7278.6</v>
                </pt>
                <pt idx="581">
                  <v>7309</v>
                </pt>
                <pt idx="582">
                  <v>7385.1</v>
                </pt>
                <pt idx="583">
                  <v>7403.2</v>
                </pt>
                <pt idx="584">
                  <v>7417.2</v>
                </pt>
                <pt idx="585">
                  <v>7441.8</v>
                </pt>
                <pt idx="586">
                  <v>7471.6</v>
                </pt>
                <pt idx="587">
                  <v>7505.5</v>
                </pt>
                <pt idx="588">
                  <v>7590.6</v>
                </pt>
                <pt idx="589">
                  <v>7656.2</v>
                </pt>
                <pt idx="590">
                  <v>7699.2</v>
                </pt>
                <pt idx="591">
                  <v>7711.2</v>
                </pt>
                <pt idx="592">
                  <v>7728.9</v>
                </pt>
                <pt idx="593">
                  <v>7775.4</v>
                </pt>
                <pt idx="594">
                  <v>7790.2</v>
                </pt>
                <pt idx="595">
                  <v>7859.5</v>
                </pt>
                <pt idx="596">
                  <v>7965.3</v>
                </pt>
                <pt idx="597">
                  <v>8015.8</v>
                </pt>
                <pt idx="598">
                  <v>8192.1</v>
                </pt>
                <pt idx="599">
                  <v>8273.700000000001</v>
                </pt>
                <pt idx="600">
                  <v>8303.1</v>
                </pt>
                <pt idx="601">
                  <v>8369.299999999999</v>
                </pt>
                <pt idx="602">
                  <v>8372.9</v>
                </pt>
                <pt idx="603">
                  <v>8430.700000000001</v>
                </pt>
                <pt idx="604">
                  <v>8440.5</v>
                </pt>
                <pt idx="605">
                  <v>8445.1</v>
                </pt>
                <pt idx="606">
                  <v>8445</v>
                </pt>
                <pt idx="607">
                  <v>8444.200000000001</v>
                </pt>
                <pt idx="608">
                  <v>8471.1</v>
                </pt>
                <pt idx="609">
                  <v>8500.799999999999</v>
                </pt>
                <pt idx="610">
                  <v>8496</v>
                </pt>
                <pt idx="611">
                  <v>8458.1</v>
                </pt>
                <pt idx="612">
                  <v>8507.4</v>
                </pt>
                <pt idx="613">
                  <v>8504.5</v>
                </pt>
                <pt idx="614">
                  <v>8535.200000000001</v>
                </pt>
                <pt idx="615">
                  <v>8589.9</v>
                </pt>
                <pt idx="616">
                  <v>8609</v>
                </pt>
                <pt idx="617">
                  <v>8618.799999999999</v>
                </pt>
                <pt idx="618">
                  <v>8669.1</v>
                </pt>
                <pt idx="619">
                  <v>8700.1</v>
                </pt>
                <pt idx="620">
                  <v>8749.4</v>
                </pt>
                <pt idx="621">
                  <v>8770</v>
                </pt>
                <pt idx="622">
                  <v>8801.799999999999</v>
                </pt>
                <pt idx="623">
                  <v>8823.1</v>
                </pt>
                <pt idx="624">
                  <v>8886.9</v>
                </pt>
                <pt idx="625">
                  <v>8943.5</v>
                </pt>
                <pt idx="626">
                  <v>9004.9</v>
                </pt>
                <pt idx="627">
                  <v>9075.5</v>
                </pt>
                <pt idx="628">
                  <v>9151</v>
                </pt>
                <pt idx="629">
                  <v>9316.6</v>
                </pt>
                <pt idx="630">
                  <v>9507.6</v>
                </pt>
                <pt idx="631">
                  <v>9528.299999999999</v>
                </pt>
                <pt idx="632">
                  <v>9562.1</v>
                </pt>
                <pt idx="633">
                  <v>9612.6</v>
                </pt>
                <pt idx="634">
                  <v>9660.1</v>
                </pt>
                <pt idx="635">
                  <v>9733.299999999999</v>
                </pt>
                <pt idx="636">
                  <v>9785.700000000001</v>
                </pt>
                <pt idx="637">
                  <v>9830.6</v>
                </pt>
                <pt idx="638">
                  <v>9884.6</v>
                </pt>
                <pt idx="639">
                  <v>9928.4</v>
                </pt>
                <pt idx="640">
                  <v>9999.299999999999</v>
                </pt>
                <pt idx="641">
                  <v>10051.8</v>
                </pt>
                <pt idx="642">
                  <v>10121.3</v>
                </pt>
                <pt idx="643">
                  <v>10200.8</v>
                </pt>
                <pt idx="644">
                  <v>10267.3</v>
                </pt>
                <pt idx="645">
                  <v>10337.6</v>
                </pt>
                <pt idx="646">
                  <v>10459.7</v>
                </pt>
                <pt idx="647">
                  <v>10482.9</v>
                </pt>
                <pt idx="648">
                  <v>10501.3</v>
                </pt>
                <pt idx="649">
                  <v>10558.3</v>
                </pt>
                <pt idx="650">
                  <v>10586.3</v>
                </pt>
                <pt idx="651">
                  <v>10621</v>
                </pt>
                <pt idx="652">
                  <v>10678.7</v>
                </pt>
                <pt idx="653">
                  <v>10718.4</v>
                </pt>
                <pt idx="654">
                  <v>10776.6</v>
                </pt>
                <pt idx="655">
                  <v>10837.2</v>
                </pt>
                <pt idx="656">
                  <v>10961.6</v>
                </pt>
                <pt idx="657">
                  <v>10969.7</v>
                </pt>
                <pt idx="658">
                  <v>11035</v>
                </pt>
                <pt idx="659">
                  <v>11080.8</v>
                </pt>
                <pt idx="660">
                  <v>11178.8</v>
                </pt>
                <pt idx="661">
                  <v>11208.1</v>
                </pt>
                <pt idx="662">
                  <v>11257.7</v>
                </pt>
                <pt idx="663">
                  <v>11321</v>
                </pt>
                <pt idx="664">
                  <v>11374.9</v>
                </pt>
                <pt idx="665">
                  <v>11429.9</v>
                </pt>
                <pt idx="666">
                  <v>11458.9</v>
                </pt>
                <pt idx="667">
                  <v>11499.8</v>
                </pt>
                <pt idx="668">
                  <v>11566</v>
                </pt>
                <pt idx="669">
                  <v>11604.8</v>
                </pt>
                <pt idx="670">
                  <v>11684.9</v>
                </pt>
                <pt idx="671">
                  <v>11745.6</v>
                </pt>
                <pt idx="672">
                  <v>11879</v>
                </pt>
                <pt idx="673">
                  <v>11886.8</v>
                </pt>
                <pt idx="674">
                  <v>11928.9</v>
                </pt>
                <pt idx="675">
                  <v>11957.9</v>
                </pt>
                <pt idx="676">
                  <v>12001.7</v>
                </pt>
                <pt idx="677">
                  <v>12051.3</v>
                </pt>
                <pt idx="678">
                  <v>12101.9</v>
                </pt>
                <pt idx="679">
                  <v>12160.8</v>
                </pt>
                <pt idx="680">
                  <v>12195.9</v>
                </pt>
                <pt idx="681">
                  <v>12284.6</v>
                </pt>
                <pt idx="682">
                  <v>12346.8</v>
                </pt>
                <pt idx="683">
                  <v>12469.9</v>
                </pt>
                <pt idx="684">
                  <v>12556.7</v>
                </pt>
                <pt idx="685">
                  <v>12616.7</v>
                </pt>
                <pt idx="686">
                  <v>12700.4</v>
                </pt>
                <pt idx="687">
                  <v>12766.2</v>
                </pt>
                <pt idx="688">
                  <v>12829.4</v>
                </pt>
                <pt idx="689">
                  <v>12887.7</v>
                </pt>
                <pt idx="690">
                  <v>12972.8</v>
                </pt>
                <pt idx="691">
                  <v>13033.6</v>
                </pt>
                <pt idx="692">
                  <v>13100.5</v>
                </pt>
                <pt idx="693">
                  <v>13173.4</v>
                </pt>
                <pt idx="694">
                  <v>13213.4</v>
                </pt>
                <pt idx="695">
                  <v>13283.4</v>
                </pt>
                <pt idx="696">
                  <v>13358.8</v>
                </pt>
                <pt idx="697">
                  <v>13426.9</v>
                </pt>
                <pt idx="698">
                  <v>13484.9</v>
                </pt>
                <pt idx="699">
                  <v>13538.1</v>
                </pt>
                <pt idx="700">
                  <v>13559.2</v>
                </pt>
                <pt idx="701">
                  <v>13618.7</v>
                </pt>
                <pt idx="702">
                  <v>13673.7</v>
                </pt>
                <pt idx="703">
                  <v>13717.9</v>
                </pt>
                <pt idx="704">
                  <v>13770.1</v>
                </pt>
                <pt idx="705">
                  <v>13799.9</v>
                </pt>
                <pt idx="706">
                  <v>13857.9</v>
                </pt>
                <pt idx="707">
                  <v>13869.7</v>
                </pt>
                <pt idx="708">
                  <v>13912.3</v>
                </pt>
                <pt idx="709">
                  <v>13970.2</v>
                </pt>
                <pt idx="710">
                  <v>13988.8</v>
                </pt>
                <pt idx="711">
                  <v>14047.2</v>
                </pt>
                <pt idx="712">
                  <v>14103.6</v>
                </pt>
                <pt idx="713">
                  <v>14139.2</v>
                </pt>
                <pt idx="714">
                  <v>14181.3</v>
                </pt>
                <pt idx="715">
                  <v>14212.9</v>
                </pt>
                <pt idx="716">
                  <v>14222.5</v>
                </pt>
                <pt idx="717">
                  <v>14236.8</v>
                </pt>
                <pt idx="718">
                  <v>14362.7</v>
                </pt>
                <pt idx="719">
                  <v>14430</v>
                </pt>
                <pt idx="720">
                  <v>14469.9</v>
                </pt>
                <pt idx="721">
                  <v>14509.9</v>
                </pt>
                <pt idx="722">
                  <v>14541</v>
                </pt>
                <pt idx="723">
                  <v>14643.2</v>
                </pt>
                <pt idx="724">
                  <v>14757.7</v>
                </pt>
                <pt idx="725">
                  <v>14840.6</v>
                </pt>
                <pt idx="726">
                  <v>14914.6</v>
                </pt>
                <pt idx="727">
                  <v>15008.1</v>
                </pt>
                <pt idx="728">
                  <v>15140.8</v>
                </pt>
                <pt idx="729">
                  <v>15242.2</v>
                </pt>
                <pt idx="730">
                  <v>15320.7</v>
                </pt>
                <pt idx="731">
                  <v>15396</v>
                </pt>
                <pt idx="732">
                  <v>15450.3</v>
                </pt>
                <pt idx="733">
                  <v>15978.7</v>
                </pt>
                <pt idx="734">
                  <v>16997.6</v>
                </pt>
                <pt idx="735">
                  <v>17851.1</v>
                </pt>
                <pt idx="736">
                  <v>18131.7</v>
                </pt>
                <pt idx="737">
                  <v>18286.3</v>
                </pt>
                <pt idx="738">
                  <v>18346</v>
                </pt>
                <pt idx="739">
                  <v>18577.3</v>
                </pt>
                <pt idx="740">
                  <v>18729.1</v>
                </pt>
                <pt idx="741">
                  <v>18949.3</v>
                </pt>
                <pt idx="742">
                  <v>19114</v>
                </pt>
                <pt idx="743">
                  <v>19356.5</v>
                </pt>
                <pt idx="744">
                  <v>19600.6</v>
                </pt>
                <pt idx="745">
                  <v>19840.3</v>
                </pt>
                <pt idx="746">
                  <v>20117.2</v>
                </pt>
                <pt idx="747">
                  <v>20432.4</v>
                </pt>
                <pt idx="748">
                  <v>20506.9</v>
                </pt>
                <pt idx="749">
                  <v>20663.3</v>
                </pt>
                <pt idx="750">
                  <v>20848.3</v>
                </pt>
                <pt idx="751">
                  <v>20964.3</v>
                </pt>
                <pt idx="752">
                  <v>21116</v>
                </pt>
                <pt idx="753">
                  <v>21316.1</v>
                </pt>
                <pt idx="754">
                  <v>21550.4</v>
                </pt>
                <pt idx="755">
                  <v>21561.9</v>
                </pt>
                <pt idx="756">
                  <v>21570.3</v>
                </pt>
                <pt idx="757">
                  <v>21697.7</v>
                </pt>
                <pt idx="758">
                  <v>21678.1</v>
                </pt>
                <pt idx="759">
                  <v>21665.6</v>
                </pt>
                <pt idx="760">
                  <v>21666.8</v>
                </pt>
                <pt idx="761">
                  <v>21703.2</v>
                </pt>
                <pt idx="762">
                  <v>21658.7</v>
                </pt>
                <pt idx="763">
                  <v>21523.3</v>
                </pt>
                <pt idx="764">
                  <v>21424.4</v>
                </pt>
                <pt idx="765">
                  <v>21376.6</v>
                </pt>
                <pt idx="766">
                  <v>21325.2</v>
                </pt>
                <pt idx="767">
                  <v>21183.5</v>
                </pt>
                <pt idx="768">
                  <v>21062.5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61774799"/>
        <axId val="361778959"/>
      </barChart>
      <dateAx>
        <axId val="361774799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8959"/>
        <crosses val="autoZero"/>
        <lblOffset val="100"/>
        <baseTimeUnit val="months"/>
      </dateAx>
      <valAx>
        <axId val="361778959"/>
        <scaling>
          <orientation val="minMax"/>
          <max val="22000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#,##0" sourceLinked="0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4799"/>
        <crosses val="autoZero"/>
        <crossBetween val="between"/>
      </valAx>
    </plotArea>
    <plotVisOnly val="1"/>
    <dispBlanksAs val="gap"/>
  </chart>
</chartSpace>
</file>

<file path=xl/charts/chart9.xml><?xml version="1.0" encoding="utf-8"?>
<chartSpace xmlns="http://schemas.openxmlformats.org/drawingml/2006/chart">
  <chart>
    <title>
      <tx>
        <strRef>
          <f>Table26[[#Headers],[M2 Monthly Change Annualized %]]</f>
          <strCache>
            <ptCount val="1"/>
            <pt idx="0">
              <v>M2 Monthly Change Annualized %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'US M2 '!$D$5</f>
              <strCache>
                <ptCount val="1"/>
                <pt idx="0">
                  <v>M2 Monthly Change Annualized %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'US M2 '!$A$7:$A$782</f>
              <numCache>
                <formatCode>m/d/yyyy</formatCode>
                <ptCount val="776"/>
                <pt idx="0">
                  <v>21582</v>
                </pt>
                <pt idx="1">
                  <v>21610</v>
                </pt>
                <pt idx="2">
                  <v>21641</v>
                </pt>
                <pt idx="3">
                  <v>21671</v>
                </pt>
                <pt idx="4">
                  <v>21702</v>
                </pt>
                <pt idx="5">
                  <v>21732</v>
                </pt>
                <pt idx="6">
                  <v>21763</v>
                </pt>
                <pt idx="7">
                  <v>21794</v>
                </pt>
                <pt idx="8">
                  <v>21824</v>
                </pt>
                <pt idx="9">
                  <v>21855</v>
                </pt>
                <pt idx="10">
                  <v>21885</v>
                </pt>
                <pt idx="11">
                  <v>21916</v>
                </pt>
                <pt idx="12">
                  <v>21947</v>
                </pt>
                <pt idx="13">
                  <v>21976</v>
                </pt>
                <pt idx="14">
                  <v>22007</v>
                </pt>
                <pt idx="15">
                  <v>22037</v>
                </pt>
                <pt idx="16">
                  <v>22068</v>
                </pt>
                <pt idx="17">
                  <v>22098</v>
                </pt>
                <pt idx="18">
                  <v>22129</v>
                </pt>
                <pt idx="19">
                  <v>22160</v>
                </pt>
                <pt idx="20">
                  <v>22190</v>
                </pt>
                <pt idx="21">
                  <v>22221</v>
                </pt>
                <pt idx="22">
                  <v>22251</v>
                </pt>
                <pt idx="23">
                  <v>22282</v>
                </pt>
                <pt idx="24">
                  <v>22313</v>
                </pt>
                <pt idx="25">
                  <v>22341</v>
                </pt>
                <pt idx="26">
                  <v>22372</v>
                </pt>
                <pt idx="27">
                  <v>22402</v>
                </pt>
                <pt idx="28">
                  <v>22433</v>
                </pt>
                <pt idx="29">
                  <v>22463</v>
                </pt>
                <pt idx="30">
                  <v>22494</v>
                </pt>
                <pt idx="31">
                  <v>22525</v>
                </pt>
                <pt idx="32">
                  <v>22555</v>
                </pt>
                <pt idx="33">
                  <v>22586</v>
                </pt>
                <pt idx="34">
                  <v>22616</v>
                </pt>
                <pt idx="35">
                  <v>22647</v>
                </pt>
                <pt idx="36">
                  <v>22678</v>
                </pt>
                <pt idx="37">
                  <v>22706</v>
                </pt>
                <pt idx="38">
                  <v>22737</v>
                </pt>
                <pt idx="39">
                  <v>22767</v>
                </pt>
                <pt idx="40">
                  <v>22798</v>
                </pt>
                <pt idx="41">
                  <v>22828</v>
                </pt>
                <pt idx="42">
                  <v>22859</v>
                </pt>
                <pt idx="43">
                  <v>22890</v>
                </pt>
                <pt idx="44">
                  <v>22920</v>
                </pt>
                <pt idx="45">
                  <v>22951</v>
                </pt>
                <pt idx="46">
                  <v>22981</v>
                </pt>
                <pt idx="47">
                  <v>23012</v>
                </pt>
                <pt idx="48">
                  <v>23043</v>
                </pt>
                <pt idx="49">
                  <v>23071</v>
                </pt>
                <pt idx="50">
                  <v>23102</v>
                </pt>
                <pt idx="51">
                  <v>23132</v>
                </pt>
                <pt idx="52">
                  <v>23163</v>
                </pt>
                <pt idx="53">
                  <v>23193</v>
                </pt>
                <pt idx="54">
                  <v>23224</v>
                </pt>
                <pt idx="55">
                  <v>23255</v>
                </pt>
                <pt idx="56">
                  <v>23285</v>
                </pt>
                <pt idx="57">
                  <v>23316</v>
                </pt>
                <pt idx="58">
                  <v>23346</v>
                </pt>
                <pt idx="59">
                  <v>23377</v>
                </pt>
                <pt idx="60">
                  <v>23408</v>
                </pt>
                <pt idx="61">
                  <v>23437</v>
                </pt>
                <pt idx="62">
                  <v>23468</v>
                </pt>
                <pt idx="63">
                  <v>23498</v>
                </pt>
                <pt idx="64">
                  <v>23529</v>
                </pt>
                <pt idx="65">
                  <v>23559</v>
                </pt>
                <pt idx="66">
                  <v>23590</v>
                </pt>
                <pt idx="67">
                  <v>23621</v>
                </pt>
                <pt idx="68">
                  <v>23651</v>
                </pt>
                <pt idx="69">
                  <v>23682</v>
                </pt>
                <pt idx="70">
                  <v>23712</v>
                </pt>
                <pt idx="71">
                  <v>23743</v>
                </pt>
                <pt idx="72">
                  <v>23774</v>
                </pt>
                <pt idx="73">
                  <v>23802</v>
                </pt>
                <pt idx="74">
                  <v>23833</v>
                </pt>
                <pt idx="75">
                  <v>23863</v>
                </pt>
                <pt idx="76">
                  <v>23894</v>
                </pt>
                <pt idx="77">
                  <v>23924</v>
                </pt>
                <pt idx="78">
                  <v>23955</v>
                </pt>
                <pt idx="79">
                  <v>23986</v>
                </pt>
                <pt idx="80">
                  <v>24016</v>
                </pt>
                <pt idx="81">
                  <v>24047</v>
                </pt>
                <pt idx="82">
                  <v>24077</v>
                </pt>
                <pt idx="83">
                  <v>24108</v>
                </pt>
                <pt idx="84">
                  <v>24139</v>
                </pt>
                <pt idx="85">
                  <v>24167</v>
                </pt>
                <pt idx="86">
                  <v>24198</v>
                </pt>
                <pt idx="87">
                  <v>24228</v>
                </pt>
                <pt idx="88">
                  <v>24259</v>
                </pt>
                <pt idx="89">
                  <v>24289</v>
                </pt>
                <pt idx="90">
                  <v>24320</v>
                </pt>
                <pt idx="91">
                  <v>24351</v>
                </pt>
                <pt idx="92">
                  <v>24381</v>
                </pt>
                <pt idx="93">
                  <v>24412</v>
                </pt>
                <pt idx="94">
                  <v>24442</v>
                </pt>
                <pt idx="95">
                  <v>24473</v>
                </pt>
                <pt idx="96">
                  <v>24504</v>
                </pt>
                <pt idx="97">
                  <v>24532</v>
                </pt>
                <pt idx="98">
                  <v>24563</v>
                </pt>
                <pt idx="99">
                  <v>24593</v>
                </pt>
                <pt idx="100">
                  <v>24624</v>
                </pt>
                <pt idx="101">
                  <v>24654</v>
                </pt>
                <pt idx="102">
                  <v>24685</v>
                </pt>
                <pt idx="103">
                  <v>24716</v>
                </pt>
                <pt idx="104">
                  <v>24746</v>
                </pt>
                <pt idx="105">
                  <v>24777</v>
                </pt>
                <pt idx="106">
                  <v>24807</v>
                </pt>
                <pt idx="107">
                  <v>24838</v>
                </pt>
                <pt idx="108">
                  <v>24869</v>
                </pt>
                <pt idx="109">
                  <v>24898</v>
                </pt>
                <pt idx="110">
                  <v>24929</v>
                </pt>
                <pt idx="111">
                  <v>24959</v>
                </pt>
                <pt idx="112">
                  <v>24990</v>
                </pt>
                <pt idx="113">
                  <v>25020</v>
                </pt>
                <pt idx="114">
                  <v>25051</v>
                </pt>
                <pt idx="115">
                  <v>25082</v>
                </pt>
                <pt idx="116">
                  <v>25112</v>
                </pt>
                <pt idx="117">
                  <v>25143</v>
                </pt>
                <pt idx="118">
                  <v>25173</v>
                </pt>
                <pt idx="119">
                  <v>25204</v>
                </pt>
                <pt idx="120">
                  <v>25235</v>
                </pt>
                <pt idx="121">
                  <v>25263</v>
                </pt>
                <pt idx="122">
                  <v>25294</v>
                </pt>
                <pt idx="123">
                  <v>25324</v>
                </pt>
                <pt idx="124">
                  <v>25355</v>
                </pt>
                <pt idx="125">
                  <v>25385</v>
                </pt>
                <pt idx="126">
                  <v>25416</v>
                </pt>
                <pt idx="127">
                  <v>25447</v>
                </pt>
                <pt idx="128">
                  <v>25477</v>
                </pt>
                <pt idx="129">
                  <v>25508</v>
                </pt>
                <pt idx="130">
                  <v>25538</v>
                </pt>
                <pt idx="131">
                  <v>25569</v>
                </pt>
                <pt idx="132">
                  <v>25600</v>
                </pt>
                <pt idx="133">
                  <v>25628</v>
                </pt>
                <pt idx="134">
                  <v>25659</v>
                </pt>
                <pt idx="135">
                  <v>25689</v>
                </pt>
                <pt idx="136">
                  <v>25720</v>
                </pt>
                <pt idx="137">
                  <v>25750</v>
                </pt>
                <pt idx="138">
                  <v>25781</v>
                </pt>
                <pt idx="139">
                  <v>25812</v>
                </pt>
                <pt idx="140">
                  <v>25842</v>
                </pt>
                <pt idx="141">
                  <v>25873</v>
                </pt>
                <pt idx="142">
                  <v>25903</v>
                </pt>
                <pt idx="143">
                  <v>25934</v>
                </pt>
                <pt idx="144">
                  <v>25965</v>
                </pt>
                <pt idx="145">
                  <v>25993</v>
                </pt>
                <pt idx="146">
                  <v>26024</v>
                </pt>
                <pt idx="147">
                  <v>26054</v>
                </pt>
                <pt idx="148">
                  <v>26085</v>
                </pt>
                <pt idx="149">
                  <v>26115</v>
                </pt>
                <pt idx="150">
                  <v>26146</v>
                </pt>
                <pt idx="151">
                  <v>26177</v>
                </pt>
                <pt idx="152">
                  <v>26207</v>
                </pt>
                <pt idx="153">
                  <v>26238</v>
                </pt>
                <pt idx="154">
                  <v>26268</v>
                </pt>
                <pt idx="155">
                  <v>26299</v>
                </pt>
                <pt idx="156">
                  <v>26330</v>
                </pt>
                <pt idx="157">
                  <v>26359</v>
                </pt>
                <pt idx="158">
                  <v>26390</v>
                </pt>
                <pt idx="159">
                  <v>26420</v>
                </pt>
                <pt idx="160">
                  <v>26451</v>
                </pt>
                <pt idx="161">
                  <v>26481</v>
                </pt>
                <pt idx="162">
                  <v>26512</v>
                </pt>
                <pt idx="163">
                  <v>26543</v>
                </pt>
                <pt idx="164">
                  <v>26573</v>
                </pt>
                <pt idx="165">
                  <v>26604</v>
                </pt>
                <pt idx="166">
                  <v>26634</v>
                </pt>
                <pt idx="167">
                  <v>26665</v>
                </pt>
                <pt idx="168">
                  <v>26696</v>
                </pt>
                <pt idx="169">
                  <v>26724</v>
                </pt>
                <pt idx="170">
                  <v>26755</v>
                </pt>
                <pt idx="171">
                  <v>26785</v>
                </pt>
                <pt idx="172">
                  <v>26816</v>
                </pt>
                <pt idx="173">
                  <v>26846</v>
                </pt>
                <pt idx="174">
                  <v>26877</v>
                </pt>
                <pt idx="175">
                  <v>26908</v>
                </pt>
                <pt idx="176">
                  <v>26938</v>
                </pt>
                <pt idx="177">
                  <v>26969</v>
                </pt>
                <pt idx="178">
                  <v>26999</v>
                </pt>
                <pt idx="179">
                  <v>27030</v>
                </pt>
                <pt idx="180">
                  <v>27061</v>
                </pt>
                <pt idx="181">
                  <v>27089</v>
                </pt>
                <pt idx="182">
                  <v>27120</v>
                </pt>
                <pt idx="183">
                  <v>27150</v>
                </pt>
                <pt idx="184">
                  <v>27181</v>
                </pt>
                <pt idx="185">
                  <v>27211</v>
                </pt>
                <pt idx="186">
                  <v>27242</v>
                </pt>
                <pt idx="187">
                  <v>27273</v>
                </pt>
                <pt idx="188">
                  <v>27303</v>
                </pt>
                <pt idx="189">
                  <v>27334</v>
                </pt>
                <pt idx="190">
                  <v>27364</v>
                </pt>
                <pt idx="191">
                  <v>27395</v>
                </pt>
                <pt idx="192">
                  <v>27426</v>
                </pt>
                <pt idx="193">
                  <v>27454</v>
                </pt>
                <pt idx="194">
                  <v>27485</v>
                </pt>
                <pt idx="195">
                  <v>27515</v>
                </pt>
                <pt idx="196">
                  <v>27546</v>
                </pt>
                <pt idx="197">
                  <v>27576</v>
                </pt>
                <pt idx="198">
                  <v>27607</v>
                </pt>
                <pt idx="199">
                  <v>27638</v>
                </pt>
                <pt idx="200">
                  <v>27668</v>
                </pt>
                <pt idx="201">
                  <v>27699</v>
                </pt>
                <pt idx="202">
                  <v>27729</v>
                </pt>
                <pt idx="203">
                  <v>27760</v>
                </pt>
                <pt idx="204">
                  <v>27791</v>
                </pt>
                <pt idx="205">
                  <v>27820</v>
                </pt>
                <pt idx="206">
                  <v>27851</v>
                </pt>
                <pt idx="207">
                  <v>27881</v>
                </pt>
                <pt idx="208">
                  <v>27912</v>
                </pt>
                <pt idx="209">
                  <v>27942</v>
                </pt>
                <pt idx="210">
                  <v>27973</v>
                </pt>
                <pt idx="211">
                  <v>28004</v>
                </pt>
                <pt idx="212">
                  <v>28034</v>
                </pt>
                <pt idx="213">
                  <v>28065</v>
                </pt>
                <pt idx="214">
                  <v>28095</v>
                </pt>
                <pt idx="215">
                  <v>28126</v>
                </pt>
                <pt idx="216">
                  <v>28157</v>
                </pt>
                <pt idx="217">
                  <v>28185</v>
                </pt>
                <pt idx="218">
                  <v>28216</v>
                </pt>
                <pt idx="219">
                  <v>28246</v>
                </pt>
                <pt idx="220">
                  <v>28277</v>
                </pt>
                <pt idx="221">
                  <v>28307</v>
                </pt>
                <pt idx="222">
                  <v>28338</v>
                </pt>
                <pt idx="223">
                  <v>28369</v>
                </pt>
                <pt idx="224">
                  <v>28399</v>
                </pt>
                <pt idx="225">
                  <v>28430</v>
                </pt>
                <pt idx="226">
                  <v>28460</v>
                </pt>
                <pt idx="227">
                  <v>28491</v>
                </pt>
                <pt idx="228">
                  <v>28522</v>
                </pt>
                <pt idx="229">
                  <v>28550</v>
                </pt>
                <pt idx="230">
                  <v>28581</v>
                </pt>
                <pt idx="231">
                  <v>28611</v>
                </pt>
                <pt idx="232">
                  <v>28642</v>
                </pt>
                <pt idx="233">
                  <v>28672</v>
                </pt>
                <pt idx="234">
                  <v>28703</v>
                </pt>
                <pt idx="235">
                  <v>28734</v>
                </pt>
                <pt idx="236">
                  <v>28764</v>
                </pt>
                <pt idx="237">
                  <v>28795</v>
                </pt>
                <pt idx="238">
                  <v>28825</v>
                </pt>
                <pt idx="239">
                  <v>28856</v>
                </pt>
                <pt idx="240">
                  <v>28887</v>
                </pt>
                <pt idx="241">
                  <v>28915</v>
                </pt>
                <pt idx="242">
                  <v>28946</v>
                </pt>
                <pt idx="243">
                  <v>28976</v>
                </pt>
                <pt idx="244">
                  <v>29007</v>
                </pt>
                <pt idx="245">
                  <v>29037</v>
                </pt>
                <pt idx="246">
                  <v>29068</v>
                </pt>
                <pt idx="247">
                  <v>29099</v>
                </pt>
                <pt idx="248">
                  <v>29129</v>
                </pt>
                <pt idx="249">
                  <v>29160</v>
                </pt>
                <pt idx="250">
                  <v>29190</v>
                </pt>
                <pt idx="251">
                  <v>29221</v>
                </pt>
                <pt idx="252">
                  <v>29252</v>
                </pt>
                <pt idx="253">
                  <v>29281</v>
                </pt>
                <pt idx="254">
                  <v>29312</v>
                </pt>
                <pt idx="255">
                  <v>29342</v>
                </pt>
                <pt idx="256">
                  <v>29373</v>
                </pt>
                <pt idx="257">
                  <v>29403</v>
                </pt>
                <pt idx="258">
                  <v>29434</v>
                </pt>
                <pt idx="259">
                  <v>29465</v>
                </pt>
                <pt idx="260">
                  <v>29495</v>
                </pt>
                <pt idx="261">
                  <v>29526</v>
                </pt>
                <pt idx="262">
                  <v>29556</v>
                </pt>
                <pt idx="263">
                  <v>29587</v>
                </pt>
                <pt idx="264">
                  <v>29618</v>
                </pt>
                <pt idx="265">
                  <v>29646</v>
                </pt>
                <pt idx="266">
                  <v>29677</v>
                </pt>
                <pt idx="267">
                  <v>29707</v>
                </pt>
                <pt idx="268">
                  <v>29738</v>
                </pt>
                <pt idx="269">
                  <v>29768</v>
                </pt>
                <pt idx="270">
                  <v>29799</v>
                </pt>
                <pt idx="271">
                  <v>29830</v>
                </pt>
                <pt idx="272">
                  <v>29860</v>
                </pt>
                <pt idx="273">
                  <v>29891</v>
                </pt>
                <pt idx="274">
                  <v>29921</v>
                </pt>
                <pt idx="275">
                  <v>29952</v>
                </pt>
                <pt idx="276">
                  <v>29983</v>
                </pt>
                <pt idx="277">
                  <v>30011</v>
                </pt>
                <pt idx="278">
                  <v>30042</v>
                </pt>
                <pt idx="279">
                  <v>30072</v>
                </pt>
                <pt idx="280">
                  <v>30103</v>
                </pt>
                <pt idx="281">
                  <v>30133</v>
                </pt>
                <pt idx="282">
                  <v>30164</v>
                </pt>
                <pt idx="283">
                  <v>30195</v>
                </pt>
                <pt idx="284">
                  <v>30225</v>
                </pt>
                <pt idx="285">
                  <v>30256</v>
                </pt>
                <pt idx="286">
                  <v>30286</v>
                </pt>
                <pt idx="287">
                  <v>30317</v>
                </pt>
                <pt idx="288">
                  <v>30348</v>
                </pt>
                <pt idx="289">
                  <v>30376</v>
                </pt>
                <pt idx="290">
                  <v>30407</v>
                </pt>
                <pt idx="291">
                  <v>30437</v>
                </pt>
                <pt idx="292">
                  <v>30468</v>
                </pt>
                <pt idx="293">
                  <v>30498</v>
                </pt>
                <pt idx="294">
                  <v>30529</v>
                </pt>
                <pt idx="295">
                  <v>30560</v>
                </pt>
                <pt idx="296">
                  <v>30590</v>
                </pt>
                <pt idx="297">
                  <v>30621</v>
                </pt>
                <pt idx="298">
                  <v>30651</v>
                </pt>
                <pt idx="299">
                  <v>30682</v>
                </pt>
                <pt idx="300">
                  <v>30713</v>
                </pt>
                <pt idx="301">
                  <v>30742</v>
                </pt>
                <pt idx="302">
                  <v>30773</v>
                </pt>
                <pt idx="303">
                  <v>30803</v>
                </pt>
                <pt idx="304">
                  <v>30834</v>
                </pt>
                <pt idx="305">
                  <v>30864</v>
                </pt>
                <pt idx="306">
                  <v>30895</v>
                </pt>
                <pt idx="307">
                  <v>30926</v>
                </pt>
                <pt idx="308">
                  <v>30956</v>
                </pt>
                <pt idx="309">
                  <v>30987</v>
                </pt>
                <pt idx="310">
                  <v>31017</v>
                </pt>
                <pt idx="311">
                  <v>31048</v>
                </pt>
                <pt idx="312">
                  <v>31079</v>
                </pt>
                <pt idx="313">
                  <v>31107</v>
                </pt>
                <pt idx="314">
                  <v>31138</v>
                </pt>
                <pt idx="315">
                  <v>31168</v>
                </pt>
                <pt idx="316">
                  <v>31199</v>
                </pt>
                <pt idx="317">
                  <v>31229</v>
                </pt>
                <pt idx="318">
                  <v>31260</v>
                </pt>
                <pt idx="319">
                  <v>31291</v>
                </pt>
                <pt idx="320">
                  <v>31321</v>
                </pt>
                <pt idx="321">
                  <v>31352</v>
                </pt>
                <pt idx="322">
                  <v>31382</v>
                </pt>
                <pt idx="323">
                  <v>31413</v>
                </pt>
                <pt idx="324">
                  <v>31444</v>
                </pt>
                <pt idx="325">
                  <v>31472</v>
                </pt>
                <pt idx="326">
                  <v>31503</v>
                </pt>
                <pt idx="327">
                  <v>31533</v>
                </pt>
                <pt idx="328">
                  <v>31564</v>
                </pt>
                <pt idx="329">
                  <v>31594</v>
                </pt>
                <pt idx="330">
                  <v>31625</v>
                </pt>
                <pt idx="331">
                  <v>31656</v>
                </pt>
                <pt idx="332">
                  <v>31686</v>
                </pt>
                <pt idx="333">
                  <v>31717</v>
                </pt>
                <pt idx="334">
                  <v>31747</v>
                </pt>
                <pt idx="335">
                  <v>31778</v>
                </pt>
                <pt idx="336">
                  <v>31809</v>
                </pt>
                <pt idx="337">
                  <v>31837</v>
                </pt>
                <pt idx="338">
                  <v>31868</v>
                </pt>
                <pt idx="339">
                  <v>31898</v>
                </pt>
                <pt idx="340">
                  <v>31929</v>
                </pt>
                <pt idx="341">
                  <v>31959</v>
                </pt>
                <pt idx="342">
                  <v>31990</v>
                </pt>
                <pt idx="343">
                  <v>32021</v>
                </pt>
                <pt idx="344">
                  <v>32051</v>
                </pt>
                <pt idx="345">
                  <v>32082</v>
                </pt>
                <pt idx="346">
                  <v>32112</v>
                </pt>
                <pt idx="347">
                  <v>32143</v>
                </pt>
                <pt idx="348">
                  <v>32174</v>
                </pt>
                <pt idx="349">
                  <v>32203</v>
                </pt>
                <pt idx="350">
                  <v>32234</v>
                </pt>
                <pt idx="351">
                  <v>32264</v>
                </pt>
                <pt idx="352">
                  <v>32295</v>
                </pt>
                <pt idx="353">
                  <v>32325</v>
                </pt>
                <pt idx="354">
                  <v>32356</v>
                </pt>
                <pt idx="355">
                  <v>32387</v>
                </pt>
                <pt idx="356">
                  <v>32417</v>
                </pt>
                <pt idx="357">
                  <v>32448</v>
                </pt>
                <pt idx="358">
                  <v>32478</v>
                </pt>
                <pt idx="359">
                  <v>32509</v>
                </pt>
                <pt idx="360">
                  <v>32540</v>
                </pt>
                <pt idx="361">
                  <v>32568</v>
                </pt>
                <pt idx="362">
                  <v>32599</v>
                </pt>
                <pt idx="363">
                  <v>32629</v>
                </pt>
                <pt idx="364">
                  <v>32660</v>
                </pt>
                <pt idx="365">
                  <v>32690</v>
                </pt>
                <pt idx="366">
                  <v>32721</v>
                </pt>
                <pt idx="367">
                  <v>32752</v>
                </pt>
                <pt idx="368">
                  <v>32782</v>
                </pt>
                <pt idx="369">
                  <v>32813</v>
                </pt>
                <pt idx="370">
                  <v>32843</v>
                </pt>
                <pt idx="371">
                  <v>32874</v>
                </pt>
                <pt idx="372">
                  <v>32905</v>
                </pt>
                <pt idx="373">
                  <v>32933</v>
                </pt>
                <pt idx="374">
                  <v>32964</v>
                </pt>
                <pt idx="375">
                  <v>32994</v>
                </pt>
                <pt idx="376">
                  <v>33025</v>
                </pt>
                <pt idx="377">
                  <v>33055</v>
                </pt>
                <pt idx="378">
                  <v>33086</v>
                </pt>
                <pt idx="379">
                  <v>33117</v>
                </pt>
                <pt idx="380">
                  <v>33147</v>
                </pt>
                <pt idx="381">
                  <v>33178</v>
                </pt>
                <pt idx="382">
                  <v>33208</v>
                </pt>
                <pt idx="383">
                  <v>33239</v>
                </pt>
                <pt idx="384">
                  <v>33270</v>
                </pt>
                <pt idx="385">
                  <v>33298</v>
                </pt>
                <pt idx="386">
                  <v>33329</v>
                </pt>
                <pt idx="387">
                  <v>33359</v>
                </pt>
                <pt idx="388">
                  <v>33390</v>
                </pt>
                <pt idx="389">
                  <v>33420</v>
                </pt>
                <pt idx="390">
                  <v>33451</v>
                </pt>
                <pt idx="391">
                  <v>33482</v>
                </pt>
                <pt idx="392">
                  <v>33512</v>
                </pt>
                <pt idx="393">
                  <v>33543</v>
                </pt>
                <pt idx="394">
                  <v>33573</v>
                </pt>
                <pt idx="395">
                  <v>33604</v>
                </pt>
                <pt idx="396">
                  <v>33635</v>
                </pt>
                <pt idx="397">
                  <v>33664</v>
                </pt>
                <pt idx="398">
                  <v>33695</v>
                </pt>
                <pt idx="399">
                  <v>33725</v>
                </pt>
                <pt idx="400">
                  <v>33756</v>
                </pt>
                <pt idx="401">
                  <v>33786</v>
                </pt>
                <pt idx="402">
                  <v>33817</v>
                </pt>
                <pt idx="403">
                  <v>33848</v>
                </pt>
                <pt idx="404">
                  <v>33878</v>
                </pt>
                <pt idx="405">
                  <v>33909</v>
                </pt>
                <pt idx="406">
                  <v>33939</v>
                </pt>
                <pt idx="407">
                  <v>33970</v>
                </pt>
                <pt idx="408">
                  <v>34001</v>
                </pt>
                <pt idx="409">
                  <v>34029</v>
                </pt>
                <pt idx="410">
                  <v>34060</v>
                </pt>
                <pt idx="411">
                  <v>34090</v>
                </pt>
                <pt idx="412">
                  <v>34121</v>
                </pt>
                <pt idx="413">
                  <v>34151</v>
                </pt>
                <pt idx="414">
                  <v>34182</v>
                </pt>
                <pt idx="415">
                  <v>34213</v>
                </pt>
                <pt idx="416">
                  <v>34243</v>
                </pt>
                <pt idx="417">
                  <v>34274</v>
                </pt>
                <pt idx="418">
                  <v>34304</v>
                </pt>
                <pt idx="419">
                  <v>34335</v>
                </pt>
                <pt idx="420">
                  <v>34366</v>
                </pt>
                <pt idx="421">
                  <v>34394</v>
                </pt>
                <pt idx="422">
                  <v>34425</v>
                </pt>
                <pt idx="423">
                  <v>34455</v>
                </pt>
                <pt idx="424">
                  <v>34486</v>
                </pt>
                <pt idx="425">
                  <v>34516</v>
                </pt>
                <pt idx="426">
                  <v>34547</v>
                </pt>
                <pt idx="427">
                  <v>34578</v>
                </pt>
                <pt idx="428">
                  <v>34608</v>
                </pt>
                <pt idx="429">
                  <v>34639</v>
                </pt>
                <pt idx="430">
                  <v>34669</v>
                </pt>
                <pt idx="431">
                  <v>34700</v>
                </pt>
                <pt idx="432">
                  <v>34731</v>
                </pt>
                <pt idx="433">
                  <v>34759</v>
                </pt>
                <pt idx="434">
                  <v>34790</v>
                </pt>
                <pt idx="435">
                  <v>34820</v>
                </pt>
                <pt idx="436">
                  <v>34851</v>
                </pt>
                <pt idx="437">
                  <v>34881</v>
                </pt>
                <pt idx="438">
                  <v>34912</v>
                </pt>
                <pt idx="439">
                  <v>34943</v>
                </pt>
                <pt idx="440">
                  <v>34973</v>
                </pt>
                <pt idx="441">
                  <v>35004</v>
                </pt>
                <pt idx="442">
                  <v>35034</v>
                </pt>
                <pt idx="443">
                  <v>35065</v>
                </pt>
                <pt idx="444">
                  <v>35096</v>
                </pt>
                <pt idx="445">
                  <v>35125</v>
                </pt>
                <pt idx="446">
                  <v>35156</v>
                </pt>
                <pt idx="447">
                  <v>35186</v>
                </pt>
                <pt idx="448">
                  <v>35217</v>
                </pt>
                <pt idx="449">
                  <v>35247</v>
                </pt>
                <pt idx="450">
                  <v>35278</v>
                </pt>
                <pt idx="451">
                  <v>35309</v>
                </pt>
                <pt idx="452">
                  <v>35339</v>
                </pt>
                <pt idx="453">
                  <v>35370</v>
                </pt>
                <pt idx="454">
                  <v>35400</v>
                </pt>
                <pt idx="455">
                  <v>35431</v>
                </pt>
                <pt idx="456">
                  <v>35462</v>
                </pt>
                <pt idx="457">
                  <v>35490</v>
                </pt>
                <pt idx="458">
                  <v>35521</v>
                </pt>
                <pt idx="459">
                  <v>35551</v>
                </pt>
                <pt idx="460">
                  <v>35582</v>
                </pt>
                <pt idx="461">
                  <v>35612</v>
                </pt>
                <pt idx="462">
                  <v>35643</v>
                </pt>
                <pt idx="463">
                  <v>35674</v>
                </pt>
                <pt idx="464">
                  <v>35704</v>
                </pt>
                <pt idx="465">
                  <v>35735</v>
                </pt>
                <pt idx="466">
                  <v>35765</v>
                </pt>
                <pt idx="467">
                  <v>35796</v>
                </pt>
                <pt idx="468">
                  <v>35827</v>
                </pt>
                <pt idx="469">
                  <v>35855</v>
                </pt>
                <pt idx="470">
                  <v>35886</v>
                </pt>
                <pt idx="471">
                  <v>35916</v>
                </pt>
                <pt idx="472">
                  <v>35947</v>
                </pt>
                <pt idx="473">
                  <v>35977</v>
                </pt>
                <pt idx="474">
                  <v>36008</v>
                </pt>
                <pt idx="475">
                  <v>36039</v>
                </pt>
                <pt idx="476">
                  <v>36069</v>
                </pt>
                <pt idx="477">
                  <v>36100</v>
                </pt>
                <pt idx="478">
                  <v>36130</v>
                </pt>
                <pt idx="479">
                  <v>36161</v>
                </pt>
                <pt idx="480">
                  <v>36192</v>
                </pt>
                <pt idx="481">
                  <v>36220</v>
                </pt>
                <pt idx="482">
                  <v>36251</v>
                </pt>
                <pt idx="483">
                  <v>36281</v>
                </pt>
                <pt idx="484">
                  <v>36312</v>
                </pt>
                <pt idx="485">
                  <v>36342</v>
                </pt>
                <pt idx="486">
                  <v>36373</v>
                </pt>
                <pt idx="487">
                  <v>36404</v>
                </pt>
                <pt idx="488">
                  <v>36434</v>
                </pt>
                <pt idx="489">
                  <v>36465</v>
                </pt>
                <pt idx="490">
                  <v>36495</v>
                </pt>
                <pt idx="491">
                  <v>36526</v>
                </pt>
                <pt idx="492">
                  <v>36557</v>
                </pt>
                <pt idx="493">
                  <v>36586</v>
                </pt>
                <pt idx="494">
                  <v>36617</v>
                </pt>
                <pt idx="495">
                  <v>36647</v>
                </pt>
                <pt idx="496">
                  <v>36678</v>
                </pt>
                <pt idx="497">
                  <v>36708</v>
                </pt>
                <pt idx="498">
                  <v>36739</v>
                </pt>
                <pt idx="499">
                  <v>36770</v>
                </pt>
                <pt idx="500">
                  <v>36800</v>
                </pt>
                <pt idx="501">
                  <v>36831</v>
                </pt>
                <pt idx="502">
                  <v>36861</v>
                </pt>
                <pt idx="503">
                  <v>36892</v>
                </pt>
                <pt idx="504">
                  <v>36923</v>
                </pt>
                <pt idx="505">
                  <v>36951</v>
                </pt>
                <pt idx="506">
                  <v>36982</v>
                </pt>
                <pt idx="507">
                  <v>37012</v>
                </pt>
                <pt idx="508">
                  <v>37043</v>
                </pt>
                <pt idx="509">
                  <v>37073</v>
                </pt>
                <pt idx="510">
                  <v>37104</v>
                </pt>
                <pt idx="511">
                  <v>37135</v>
                </pt>
                <pt idx="512">
                  <v>37165</v>
                </pt>
                <pt idx="513">
                  <v>37196</v>
                </pt>
                <pt idx="514">
                  <v>37226</v>
                </pt>
                <pt idx="515">
                  <v>37257</v>
                </pt>
                <pt idx="516">
                  <v>37288</v>
                </pt>
                <pt idx="517">
                  <v>37316</v>
                </pt>
                <pt idx="518">
                  <v>37347</v>
                </pt>
                <pt idx="519">
                  <v>37377</v>
                </pt>
                <pt idx="520">
                  <v>37408</v>
                </pt>
                <pt idx="521">
                  <v>37438</v>
                </pt>
                <pt idx="522">
                  <v>37469</v>
                </pt>
                <pt idx="523">
                  <v>37500</v>
                </pt>
                <pt idx="524">
                  <v>37530</v>
                </pt>
                <pt idx="525">
                  <v>37561</v>
                </pt>
                <pt idx="526">
                  <v>37591</v>
                </pt>
                <pt idx="527">
                  <v>37622</v>
                </pt>
                <pt idx="528">
                  <v>37653</v>
                </pt>
                <pt idx="529">
                  <v>37681</v>
                </pt>
                <pt idx="530">
                  <v>37712</v>
                </pt>
                <pt idx="531">
                  <v>37742</v>
                </pt>
                <pt idx="532">
                  <v>37773</v>
                </pt>
                <pt idx="533">
                  <v>37803</v>
                </pt>
                <pt idx="534">
                  <v>37834</v>
                </pt>
                <pt idx="535">
                  <v>37865</v>
                </pt>
                <pt idx="536">
                  <v>37895</v>
                </pt>
                <pt idx="537">
                  <v>37926</v>
                </pt>
                <pt idx="538">
                  <v>37956</v>
                </pt>
                <pt idx="539">
                  <v>37987</v>
                </pt>
                <pt idx="540">
                  <v>38018</v>
                </pt>
                <pt idx="541">
                  <v>38047</v>
                </pt>
                <pt idx="542">
                  <v>38078</v>
                </pt>
                <pt idx="543">
                  <v>38108</v>
                </pt>
                <pt idx="544">
                  <v>38139</v>
                </pt>
                <pt idx="545">
                  <v>38169</v>
                </pt>
                <pt idx="546">
                  <v>38200</v>
                </pt>
                <pt idx="547">
                  <v>38231</v>
                </pt>
                <pt idx="548">
                  <v>38261</v>
                </pt>
                <pt idx="549">
                  <v>38292</v>
                </pt>
                <pt idx="550">
                  <v>38322</v>
                </pt>
                <pt idx="551">
                  <v>38353</v>
                </pt>
                <pt idx="552">
                  <v>38384</v>
                </pt>
                <pt idx="553">
                  <v>38412</v>
                </pt>
                <pt idx="554">
                  <v>38443</v>
                </pt>
                <pt idx="555">
                  <v>38473</v>
                </pt>
                <pt idx="556">
                  <v>38504</v>
                </pt>
                <pt idx="557">
                  <v>38534</v>
                </pt>
                <pt idx="558">
                  <v>38565</v>
                </pt>
                <pt idx="559">
                  <v>38596</v>
                </pt>
                <pt idx="560">
                  <v>38626</v>
                </pt>
                <pt idx="561">
                  <v>38657</v>
                </pt>
                <pt idx="562">
                  <v>38687</v>
                </pt>
                <pt idx="563">
                  <v>38718</v>
                </pt>
                <pt idx="564">
                  <v>38749</v>
                </pt>
                <pt idx="565">
                  <v>38777</v>
                </pt>
                <pt idx="566">
                  <v>38808</v>
                </pt>
                <pt idx="567">
                  <v>38838</v>
                </pt>
                <pt idx="568">
                  <v>38869</v>
                </pt>
                <pt idx="569">
                  <v>38899</v>
                </pt>
                <pt idx="570">
                  <v>38930</v>
                </pt>
                <pt idx="571">
                  <v>38961</v>
                </pt>
                <pt idx="572">
                  <v>38991</v>
                </pt>
                <pt idx="573">
                  <v>39022</v>
                </pt>
                <pt idx="574">
                  <v>39052</v>
                </pt>
                <pt idx="575">
                  <v>39083</v>
                </pt>
                <pt idx="576">
                  <v>39114</v>
                </pt>
                <pt idx="577">
                  <v>39142</v>
                </pt>
                <pt idx="578">
                  <v>39173</v>
                </pt>
                <pt idx="579">
                  <v>39203</v>
                </pt>
                <pt idx="580">
                  <v>39234</v>
                </pt>
                <pt idx="581">
                  <v>39264</v>
                </pt>
                <pt idx="582">
                  <v>39295</v>
                </pt>
                <pt idx="583">
                  <v>39326</v>
                </pt>
                <pt idx="584">
                  <v>39356</v>
                </pt>
                <pt idx="585">
                  <v>39387</v>
                </pt>
                <pt idx="586">
                  <v>39417</v>
                </pt>
                <pt idx="587">
                  <v>39448</v>
                </pt>
                <pt idx="588">
                  <v>39479</v>
                </pt>
                <pt idx="589">
                  <v>39508</v>
                </pt>
                <pt idx="590">
                  <v>39539</v>
                </pt>
                <pt idx="591">
                  <v>39569</v>
                </pt>
                <pt idx="592">
                  <v>39600</v>
                </pt>
                <pt idx="593">
                  <v>39630</v>
                </pt>
                <pt idx="594">
                  <v>39661</v>
                </pt>
                <pt idx="595">
                  <v>39692</v>
                </pt>
                <pt idx="596">
                  <v>39722</v>
                </pt>
                <pt idx="597">
                  <v>39753</v>
                </pt>
                <pt idx="598">
                  <v>39783</v>
                </pt>
                <pt idx="599">
                  <v>39814</v>
                </pt>
                <pt idx="600">
                  <v>39845</v>
                </pt>
                <pt idx="601">
                  <v>39873</v>
                </pt>
                <pt idx="602">
                  <v>39904</v>
                </pt>
                <pt idx="603">
                  <v>39934</v>
                </pt>
                <pt idx="604">
                  <v>39965</v>
                </pt>
                <pt idx="605">
                  <v>39995</v>
                </pt>
                <pt idx="606">
                  <v>40026</v>
                </pt>
                <pt idx="607">
                  <v>40057</v>
                </pt>
                <pt idx="608">
                  <v>40087</v>
                </pt>
                <pt idx="609">
                  <v>40118</v>
                </pt>
                <pt idx="610">
                  <v>40148</v>
                </pt>
                <pt idx="611">
                  <v>40179</v>
                </pt>
                <pt idx="612">
                  <v>40210</v>
                </pt>
                <pt idx="613">
                  <v>40238</v>
                </pt>
                <pt idx="614">
                  <v>40269</v>
                </pt>
                <pt idx="615">
                  <v>40299</v>
                </pt>
                <pt idx="616">
                  <v>40330</v>
                </pt>
                <pt idx="617">
                  <v>40360</v>
                </pt>
                <pt idx="618">
                  <v>40391</v>
                </pt>
                <pt idx="619">
                  <v>40422</v>
                </pt>
                <pt idx="620">
                  <v>40452</v>
                </pt>
                <pt idx="621">
                  <v>40483</v>
                </pt>
                <pt idx="622">
                  <v>40513</v>
                </pt>
                <pt idx="623">
                  <v>40544</v>
                </pt>
                <pt idx="624">
                  <v>40575</v>
                </pt>
                <pt idx="625">
                  <v>40603</v>
                </pt>
                <pt idx="626">
                  <v>40634</v>
                </pt>
                <pt idx="627">
                  <v>40664</v>
                </pt>
                <pt idx="628">
                  <v>40695</v>
                </pt>
                <pt idx="629">
                  <v>40725</v>
                </pt>
                <pt idx="630">
                  <v>40756</v>
                </pt>
                <pt idx="631">
                  <v>40787</v>
                </pt>
                <pt idx="632">
                  <v>40817</v>
                </pt>
                <pt idx="633">
                  <v>40848</v>
                </pt>
                <pt idx="634">
                  <v>40878</v>
                </pt>
                <pt idx="635">
                  <v>40909</v>
                </pt>
                <pt idx="636">
                  <v>40940</v>
                </pt>
                <pt idx="637">
                  <v>40969</v>
                </pt>
                <pt idx="638">
                  <v>41000</v>
                </pt>
                <pt idx="639">
                  <v>41030</v>
                </pt>
                <pt idx="640">
                  <v>41061</v>
                </pt>
                <pt idx="641">
                  <v>41091</v>
                </pt>
                <pt idx="642">
                  <v>41122</v>
                </pt>
                <pt idx="643">
                  <v>41153</v>
                </pt>
                <pt idx="644">
                  <v>41183</v>
                </pt>
                <pt idx="645">
                  <v>41214</v>
                </pt>
                <pt idx="646">
                  <v>41244</v>
                </pt>
                <pt idx="647">
                  <v>41275</v>
                </pt>
                <pt idx="648">
                  <v>41306</v>
                </pt>
                <pt idx="649">
                  <v>41334</v>
                </pt>
                <pt idx="650">
                  <v>41365</v>
                </pt>
                <pt idx="651">
                  <v>41395</v>
                </pt>
                <pt idx="652">
                  <v>41426</v>
                </pt>
                <pt idx="653">
                  <v>41456</v>
                </pt>
                <pt idx="654">
                  <v>41487</v>
                </pt>
                <pt idx="655">
                  <v>41518</v>
                </pt>
                <pt idx="656">
                  <v>41548</v>
                </pt>
                <pt idx="657">
                  <v>41579</v>
                </pt>
                <pt idx="658">
                  <v>41609</v>
                </pt>
                <pt idx="659">
                  <v>41640</v>
                </pt>
                <pt idx="660">
                  <v>41671</v>
                </pt>
                <pt idx="661">
                  <v>41699</v>
                </pt>
                <pt idx="662">
                  <v>41730</v>
                </pt>
                <pt idx="663">
                  <v>41760</v>
                </pt>
                <pt idx="664">
                  <v>41791</v>
                </pt>
                <pt idx="665">
                  <v>41821</v>
                </pt>
                <pt idx="666">
                  <v>41852</v>
                </pt>
                <pt idx="667">
                  <v>41883</v>
                </pt>
                <pt idx="668">
                  <v>41913</v>
                </pt>
                <pt idx="669">
                  <v>41944</v>
                </pt>
                <pt idx="670">
                  <v>41974</v>
                </pt>
                <pt idx="671">
                  <v>42005</v>
                </pt>
                <pt idx="672">
                  <v>42036</v>
                </pt>
                <pt idx="673">
                  <v>42064</v>
                </pt>
                <pt idx="674">
                  <v>42095</v>
                </pt>
                <pt idx="675">
                  <v>42125</v>
                </pt>
                <pt idx="676">
                  <v>42156</v>
                </pt>
                <pt idx="677">
                  <v>42186</v>
                </pt>
                <pt idx="678">
                  <v>42217</v>
                </pt>
                <pt idx="679">
                  <v>42248</v>
                </pt>
                <pt idx="680">
                  <v>42278</v>
                </pt>
                <pt idx="681">
                  <v>42309</v>
                </pt>
                <pt idx="682">
                  <v>42339</v>
                </pt>
                <pt idx="683">
                  <v>42370</v>
                </pt>
                <pt idx="684">
                  <v>42401</v>
                </pt>
                <pt idx="685">
                  <v>42430</v>
                </pt>
                <pt idx="686">
                  <v>42461</v>
                </pt>
                <pt idx="687">
                  <v>42491</v>
                </pt>
                <pt idx="688">
                  <v>42522</v>
                </pt>
                <pt idx="689">
                  <v>42552</v>
                </pt>
                <pt idx="690">
                  <v>42583</v>
                </pt>
                <pt idx="691">
                  <v>42614</v>
                </pt>
                <pt idx="692">
                  <v>42644</v>
                </pt>
                <pt idx="693">
                  <v>42675</v>
                </pt>
                <pt idx="694">
                  <v>42705</v>
                </pt>
                <pt idx="695">
                  <v>42736</v>
                </pt>
                <pt idx="696">
                  <v>42767</v>
                </pt>
                <pt idx="697">
                  <v>42795</v>
                </pt>
                <pt idx="698">
                  <v>42826</v>
                </pt>
                <pt idx="699">
                  <v>42856</v>
                </pt>
                <pt idx="700">
                  <v>42887</v>
                </pt>
                <pt idx="701">
                  <v>42917</v>
                </pt>
                <pt idx="702">
                  <v>42948</v>
                </pt>
                <pt idx="703">
                  <v>42979</v>
                </pt>
                <pt idx="704">
                  <v>43009</v>
                </pt>
                <pt idx="705">
                  <v>43040</v>
                </pt>
                <pt idx="706">
                  <v>43070</v>
                </pt>
                <pt idx="707">
                  <v>43101</v>
                </pt>
                <pt idx="708">
                  <v>43132</v>
                </pt>
                <pt idx="709">
                  <v>43160</v>
                </pt>
                <pt idx="710">
                  <v>43191</v>
                </pt>
                <pt idx="711">
                  <v>43221</v>
                </pt>
                <pt idx="712">
                  <v>43252</v>
                </pt>
                <pt idx="713">
                  <v>43282</v>
                </pt>
                <pt idx="714">
                  <v>43313</v>
                </pt>
                <pt idx="715">
                  <v>43344</v>
                </pt>
                <pt idx="716">
                  <v>43374</v>
                </pt>
                <pt idx="717">
                  <v>43405</v>
                </pt>
                <pt idx="718">
                  <v>43435</v>
                </pt>
                <pt idx="719">
                  <v>43466</v>
                </pt>
                <pt idx="720">
                  <v>43497</v>
                </pt>
                <pt idx="721">
                  <v>43525</v>
                </pt>
                <pt idx="722">
                  <v>43556</v>
                </pt>
                <pt idx="723">
                  <v>43586</v>
                </pt>
                <pt idx="724">
                  <v>43617</v>
                </pt>
                <pt idx="725">
                  <v>43647</v>
                </pt>
                <pt idx="726">
                  <v>43678</v>
                </pt>
                <pt idx="727">
                  <v>43709</v>
                </pt>
                <pt idx="728">
                  <v>43739</v>
                </pt>
                <pt idx="729">
                  <v>43770</v>
                </pt>
                <pt idx="730">
                  <v>43800</v>
                </pt>
                <pt idx="731">
                  <v>43831</v>
                </pt>
                <pt idx="732">
                  <v>43862</v>
                </pt>
                <pt idx="733">
                  <v>43891</v>
                </pt>
                <pt idx="734">
                  <v>43922</v>
                </pt>
                <pt idx="735">
                  <v>43952</v>
                </pt>
                <pt idx="736">
                  <v>43983</v>
                </pt>
                <pt idx="737">
                  <v>44013</v>
                </pt>
                <pt idx="738">
                  <v>44044</v>
                </pt>
                <pt idx="739">
                  <v>44075</v>
                </pt>
                <pt idx="740">
                  <v>44105</v>
                </pt>
                <pt idx="741">
                  <v>44136</v>
                </pt>
                <pt idx="742">
                  <v>44166</v>
                </pt>
                <pt idx="743">
                  <v>44197</v>
                </pt>
                <pt idx="744">
                  <v>44228</v>
                </pt>
                <pt idx="745">
                  <v>44256</v>
                </pt>
                <pt idx="746">
                  <v>44287</v>
                </pt>
                <pt idx="747">
                  <v>44317</v>
                </pt>
                <pt idx="748">
                  <v>44348</v>
                </pt>
                <pt idx="749">
                  <v>44378</v>
                </pt>
                <pt idx="750">
                  <v>44409</v>
                </pt>
                <pt idx="751">
                  <v>44440</v>
                </pt>
                <pt idx="752">
                  <v>44470</v>
                </pt>
                <pt idx="753">
                  <v>44501</v>
                </pt>
                <pt idx="754">
                  <v>44531</v>
                </pt>
                <pt idx="755">
                  <v>44562</v>
                </pt>
                <pt idx="756">
                  <v>44593</v>
                </pt>
                <pt idx="757">
                  <v>44621</v>
                </pt>
                <pt idx="758">
                  <v>44652</v>
                </pt>
                <pt idx="759">
                  <v>44682</v>
                </pt>
                <pt idx="760">
                  <v>44713</v>
                </pt>
                <pt idx="761">
                  <v>44743</v>
                </pt>
                <pt idx="762">
                  <v>44774</v>
                </pt>
                <pt idx="763">
                  <v>44805</v>
                </pt>
                <pt idx="764">
                  <v>44835</v>
                </pt>
                <pt idx="765">
                  <v>44866</v>
                </pt>
                <pt idx="766">
                  <v>44896</v>
                </pt>
                <pt idx="767">
                  <v>44927</v>
                </pt>
                <pt idx="768">
                  <v>44958</v>
                </pt>
              </numCache>
            </numRef>
          </cat>
          <val>
            <numRef>
              <f>'US M2 '!$D$7:$D$782</f>
              <numCache>
                <formatCode>0.00%</formatCode>
                <ptCount val="776"/>
                <pt idx="0">
                  <v>0.04704201702925448</v>
                </pt>
                <pt idx="1">
                  <v>0.06439082129676055</v>
                </pt>
                <pt idx="2">
                  <v>0.03799026917893356</v>
                </pt>
                <pt idx="3">
                  <v>0.0904099192729293</v>
                </pt>
                <pt idx="4">
                  <v>0.08088068176596286</v>
                </pt>
                <pt idx="5">
                  <v>0.04581759387619866</v>
                </pt>
                <pt idx="6">
                  <v>0.04988602257340458</v>
                </pt>
                <pt idx="7">
                  <v>0.01221359059727423</v>
                </pt>
                <pt idx="8">
                  <v>-0.008059056575828727</v>
                </pt>
                <pt idx="9">
                  <v>0.02455540612270113</v>
                </pt>
                <pt idx="10">
                  <v>0.02864258391084018</v>
                </pt>
                <pt idx="11">
                  <v>0.01623780821219678</v>
                </pt>
                <pt idx="12">
                  <v>0.008078044738308865</v>
                </pt>
                <pt idx="13">
                  <v>0.03679949376458391</v>
                </pt>
                <pt idx="14">
                  <v>0.03255059910773461</v>
                </pt>
                <pt idx="15">
                  <v>0.03246255027601852</v>
                </pt>
                <pt idx="16">
                  <v>0.05728364267694142</v>
                </pt>
                <pt idx="17">
                  <v>0.07383925430174831</v>
                </pt>
                <pt idx="18">
                  <v>0.1162606603499017</v>
                </pt>
                <pt idx="19">
                  <v>0.06025363813668738</v>
                </pt>
                <pt idx="20">
                  <v>0.04365127431406135</v>
                </pt>
                <pt idx="21">
                  <v>0.05565212009435561</v>
                </pt>
                <pt idx="22">
                  <v>0.05945773959547918</v>
                </pt>
                <pt idx="23">
                  <v>0.06729121403436777</v>
                </pt>
                <pt idx="24">
                  <v>0.0956436737530042</v>
                </pt>
                <pt idx="25">
                  <v>0.07042215970794263</v>
                </pt>
                <pt idx="26">
                  <v>0.06201638592550518</v>
                </pt>
                <pt idx="27">
                  <v>0.08977176613461868</v>
                </pt>
                <pt idx="28">
                  <v>0.08107780473476867</v>
                </pt>
                <pt idx="29">
                  <v>0.04917847144557275</v>
                </pt>
                <pt idx="30">
                  <v>0.07625197755366298</v>
                </pt>
                <pt idx="31">
                  <v>0.07186060716450671</v>
                </pt>
                <pt idx="32">
                  <v>0.05985180031685111</v>
                </pt>
                <pt idx="33">
                  <v>0.08661820507783724</v>
                </pt>
                <pt idx="34">
                  <v>0.07825913992697253</v>
                </pt>
                <pt idx="35">
                  <v>0.07392766931278083</v>
                </pt>
                <pt idx="36">
                  <v>0.09646369716468617</v>
                </pt>
                <pt idx="37">
                  <v>0.1111406432338189</v>
                </pt>
                <pt idx="38">
                  <v>0.08724646386020152</v>
                </pt>
                <pt idx="39">
                  <v>0.07171938597300054</v>
                </pt>
                <pt idx="40">
                  <v>0.06396004837555447</v>
                </pt>
                <pt idx="41">
                  <v>0.05276633476732351</v>
                </pt>
                <pt idx="42">
                  <v>0.07060163227885274</v>
                </pt>
                <pt idx="43">
                  <v>0.07381403168480016</v>
                </pt>
                <pt idx="44">
                  <v>0.08060111277099846</v>
                </pt>
                <pt idx="45">
                  <v>0.09092904728737028</v>
                </pt>
                <pt idx="46">
                  <v>0.1011253444553684</v>
                </pt>
                <pt idx="47">
                  <v>0.08592181914574959</v>
                </pt>
                <pt idx="48">
                  <v>0.09241644081097644</v>
                </pt>
                <pt idx="49">
                  <v>0.09525079826188798</v>
                </pt>
                <pt idx="50">
                  <v>0.08748893494554322</v>
                </pt>
                <pt idx="51">
                  <v>0.09381562257093345</v>
                </pt>
                <pt idx="52">
                  <v>0.07590402365776616</v>
                </pt>
                <pt idx="53">
                  <v>0.08906512901996666</v>
                </pt>
                <pt idx="54">
                  <v>0.08162270869760824</v>
                </pt>
                <pt idx="55">
                  <v>0.07771635621096928</v>
                </pt>
                <pt idx="56">
                  <v>0.07389304694039445</v>
                </pt>
                <pt idx="57">
                  <v>0.1035004387562986</v>
                </pt>
                <pt idx="58">
                  <v>0.05336992168658727</v>
                </pt>
                <pt idx="59">
                  <v>0.06277448917901896</v>
                </pt>
                <pt idx="60">
                  <v>0.07535851349321532</v>
                </pt>
                <pt idx="61">
                  <v>0.06845680315931912</v>
                </pt>
                <pt idx="62">
                  <v>0.05854299713740141</v>
                </pt>
                <pt idx="63">
                  <v>0.07729273076329601</v>
                </pt>
                <pt idx="64">
                  <v>0.08957597465008238</v>
                </pt>
                <pt idx="65">
                  <v>0.09210401287139747</v>
                </pt>
                <pt idx="66">
                  <v>0.100952130061982</v>
                </pt>
                <pt idx="67">
                  <v>0.1064634541921123</v>
                </pt>
                <pt idx="68">
                  <v>0.06519516994000951</v>
                </pt>
                <pt idx="69">
                  <v>0.08626923946362641</v>
                </pt>
                <pt idx="70">
                  <v>0.07953746839592446</v>
                </pt>
                <pt idx="71">
                  <v>0.0820474275520815</v>
                </pt>
                <pt idx="72">
                  <v>0.08451040513802432</v>
                </pt>
                <pt idx="73">
                  <v>0.0809216700043387</v>
                </pt>
                <pt idx="74">
                  <v>0.06267318277106182</v>
                </pt>
                <pt idx="75">
                  <v>0.04787283388741082</v>
                </pt>
                <pt idx="76">
                  <v>0.08554228434533373</v>
                </pt>
                <pt idx="77">
                  <v>0.07907527266120029</v>
                </pt>
                <pt idx="78">
                  <v>0.08146534265536021</v>
                </pt>
                <pt idx="79">
                  <v>0.1042707866245631</v>
                </pt>
                <pt idx="80">
                  <v>0.08597103670258965</v>
                </pt>
                <pt idx="81">
                  <v>0.08535983898672805</v>
                </pt>
                <pt idx="82">
                  <v>0.09616065501475179</v>
                </pt>
                <pt idx="83">
                  <v>0.07567519513963927</v>
                </pt>
                <pt idx="84">
                  <v>0.06966247100925815</v>
                </pt>
                <pt idx="85">
                  <v>0.06926054928068814</v>
                </pt>
                <pt idx="86">
                  <v>0.05529198897515331</v>
                </pt>
                <pt idx="87">
                  <v>0.02064888087738193</v>
                </pt>
                <pt idx="88">
                  <v>0.02844333283271316</v>
                </pt>
                <pt idx="89">
                  <v>-0.007613371398280222</v>
                </pt>
                <pt idx="90">
                  <v>0.04419190544024398</v>
                </pt>
                <pt idx="91">
                  <v>0.073459147385176</v>
                </pt>
                <pt idx="92">
                  <v>0.007598908416516226</v>
                </pt>
                <pt idx="93">
                  <v>0.04111665813389398</v>
                </pt>
                <pt idx="94">
                  <v>0.07539659304160584</v>
                </pt>
                <pt idx="95">
                  <v>0.03555190121922869</v>
                </pt>
                <pt idx="96">
                  <v>0.09078097998376156</v>
                </pt>
                <pt idx="97">
                  <v>0.1199172979731458</v>
                </pt>
                <pt idx="98">
                  <v>0.06042298392196366</v>
                </pt>
                <pt idx="99">
                  <v>0.131704542863101</v>
                </pt>
                <pt idx="100">
                  <v>0.1222023300569648</v>
                </pt>
                <pt idx="101">
                  <v>0.107772354966349</v>
                </pt>
                <pt idx="102">
                  <v>0.112027518294874</v>
                </pt>
                <pt idx="103">
                  <v>0.09556804356385729</v>
                </pt>
                <pt idx="104">
                  <v>0.08472308978559928</v>
                </pt>
                <pt idx="105">
                  <v>0.07172652783479228</v>
                </pt>
                <pt idx="106">
                  <v>0.08610804829845176</v>
                </pt>
                <pt idx="107">
                  <v>0.06109822751274452</v>
                </pt>
                <pt idx="108">
                  <v>0.07043593290114192</v>
                </pt>
                <pt idx="109">
                  <v>0.06522047146294874</v>
                </pt>
                <pt idx="110">
                  <v>0.05773790403183909</v>
                </pt>
                <pt idx="111">
                  <v>0.07408449333944023</v>
                </pt>
                <pt idx="112">
                  <v>0.08557359189189362</v>
                </pt>
                <pt idx="113">
                  <v>0.06840242890266213</v>
                </pt>
                <pt idx="114">
                  <v>0.08685478372245448</v>
                </pt>
                <pt idx="115">
                  <v>0.0956935784259707</v>
                </pt>
                <pt idx="116">
                  <v>0.09023520973994614</v>
                </pt>
                <pt idx="117">
                  <v>0.1083337624379479</v>
                </pt>
                <pt idx="118">
                  <v>0.09803037631952316</v>
                </pt>
                <pt idx="119">
                  <v>0.05423178697817854</v>
                </pt>
                <pt idx="120">
                  <v>0.05620192046920436</v>
                </pt>
                <pt idx="121">
                  <v>0.053736481969479</v>
                </pt>
                <pt idx="122">
                  <v>0.02749940403449713</v>
                </pt>
                <pt idx="123">
                  <v>0.01680339147605592</v>
                </pt>
                <pt idx="124">
                  <v>0.04243412484318609</v>
                </pt>
                <pt idx="125">
                  <v>0.02094165618340815</v>
                </pt>
                <pt idx="126">
                  <v>0.01249550077183614</v>
                </pt>
                <pt idx="127">
                  <v>0.04216577281211009</v>
                </pt>
                <pt idx="128">
                  <v>0.0271311633867799</v>
                </pt>
                <pt idx="129">
                  <v>0.04192274748210867</v>
                </pt>
                <pt idx="130">
                  <v>0.05246801209639962</v>
                </pt>
                <pt idx="131">
                  <v>0.03525700054926251</v>
                </pt>
                <pt idx="132">
                  <v>-0.06513471740408616</v>
                </pt>
                <pt idx="133">
                  <v>0.02066043463003098</v>
                </pt>
                <pt idx="134">
                  <v>0.02270871912316075</v>
                </pt>
                <pt idx="135">
                  <v>0.0650868405864522</v>
                </pt>
                <pt idx="136">
                  <v>0.07770049637218146</v>
                </pt>
                <pt idx="137">
                  <v>0.08152550254760982</v>
                </pt>
                <pt idx="138">
                  <v>0.1225641770022301</v>
                </pt>
                <pt idx="139">
                  <v>0.1323928869850235</v>
                </pt>
                <pt idx="140">
                  <v>0.1070096679130261</v>
                </pt>
                <pt idx="141">
                  <v>0.0954354477877335</v>
                </pt>
                <pt idx="142">
                  <v>0.1094674187459272</v>
                </pt>
                <pt idx="143">
                  <v>0.1297133063524976</v>
                </pt>
                <pt idx="144">
                  <v>0.1648639530176803</v>
                </pt>
                <pt idx="145">
                  <v>0.1799458832290508</v>
                </pt>
                <pt idx="146">
                  <v>0.1687440767081063</v>
                </pt>
                <pt idx="147">
                  <v>0.1622179938717212</v>
                </pt>
                <pt idx="148">
                  <v>0.119477345122551</v>
                </pt>
                <pt idx="149">
                  <v>0.1242416526635111</v>
                </pt>
                <pt idx="150">
                  <v>0.1093001383215404</v>
                </pt>
                <pt idx="151">
                  <v>0.1296601877675332</v>
                </pt>
                <pt idx="152">
                  <v>0.1071677717432631</v>
                </pt>
                <pt idx="153">
                  <v>0.1118876277950527</v>
                </pt>
                <pt idx="154">
                  <v>0.1015142247518868</v>
                </pt>
                <pt idx="155">
                  <v>0.1324357696061955</v>
                </pt>
                <pt idx="156">
                  <v>0.1422735542551739</v>
                </pt>
                <pt idx="157">
                  <v>0.136883441665973</v>
                </pt>
                <pt idx="158">
                  <v>0.08317552438832676</v>
                </pt>
                <pt idx="159">
                  <v>0.08260327717646643</v>
                </pt>
                <pt idx="160">
                  <v>0.108359215317509</v>
                </pt>
                <pt idx="161">
                  <v>0.1686466224414771</v>
                </pt>
                <pt idx="162">
                  <v>0.1554448852341392</v>
                </pt>
                <pt idx="163">
                  <v>0.1605979324494644</v>
                </pt>
                <pt idx="164">
                  <v>0.1409593674625449</v>
                </pt>
                <pt idx="165">
                  <v>0.1121287797842869</v>
                </pt>
                <pt idx="166">
                  <v>0.1346237842248381</v>
                </pt>
                <pt idx="167">
                  <v>0.1264412878934564</v>
                </pt>
                <pt idx="168">
                  <v>0.05774989289329002</v>
                </pt>
                <pt idx="169">
                  <v>0.01783235219769441</v>
                </pt>
                <pt idx="170">
                  <v>0.06671871139643448</v>
                </pt>
                <pt idx="171">
                  <v>0.1090379167097484</v>
                </pt>
                <pt idx="172">
                  <v>0.09852758381757987</v>
                </pt>
                <pt idx="173">
                  <v>0.04706769762381802</v>
                </pt>
                <pt idx="174">
                  <v>0.03349818421541984</v>
                </pt>
                <pt idx="175">
                  <v>0.007176573791727536</v>
                </pt>
                <pt idx="176">
                  <v>0.04821598945666183</v>
                </pt>
                <pt idx="177">
                  <v>0.09350543389207888</v>
                </pt>
                <pt idx="178">
                  <v>0.09739193350005371</v>
                </pt>
                <pt idx="179">
                  <v>0.060529990468142</v>
                </pt>
                <pt idx="180">
                  <v>0.0646528544996956</v>
                </pt>
                <pt idx="181">
                  <v>0.08507280800135142</v>
                </pt>
                <pt idx="182">
                  <v>0.03930710927247283</v>
                </pt>
                <pt idx="183">
                  <v>0.02362233677891079</v>
                </pt>
                <pt idx="184">
                  <v>0.04480018781716422</v>
                </pt>
                <pt idx="185">
                  <v>0.05033934938471685</v>
                </pt>
                <pt idx="186">
                  <v>0.03738540296276205</v>
                </pt>
                <pt idx="187">
                  <v>0.05281480871457167</v>
                </pt>
                <pt idx="188">
                  <v>0.07547256467672714</v>
                </pt>
                <pt idx="189">
                  <v>0.0735665298649808</v>
                </pt>
                <pt idx="190">
                  <v>0.04775374727971338</v>
                </pt>
                <pt idx="191">
                  <v>0.0573227237583831</v>
                </pt>
                <pt idx="192">
                  <v>0.1083087128116496</v>
                </pt>
                <pt idx="193">
                  <v>0.1528592422179991</v>
                </pt>
                <pt idx="194">
                  <v>0.1391892841338578</v>
                </pt>
                <pt idx="195">
                  <v>0.1772090583933841</v>
                </pt>
                <pt idx="196">
                  <v>0.2088298239941251</v>
                </pt>
                <pt idx="197">
                  <v>0.1616476863163661</v>
                </pt>
                <pt idx="198">
                  <v>0.1030176857654461</v>
                </pt>
                <pt idx="199">
                  <v>0.1074911623032226</v>
                </pt>
                <pt idx="200">
                  <v>0.07897000780887642</v>
                </pt>
                <pt idx="201">
                  <v>0.1151007169497693</v>
                </pt>
                <pt idx="202">
                  <v>0.1166426113439081</v>
                </pt>
                <pt idx="203">
                  <v>0.129964585083278</v>
                </pt>
                <pt idx="204">
                  <v>0.1724330780363492</v>
                </pt>
                <pt idx="205">
                  <v>0.1178110719120922</v>
                </pt>
                <pt idx="206">
                  <v>0.1306561357980849</v>
                </pt>
                <pt idx="207">
                  <v>0.1355896337800304</v>
                </pt>
                <pt idx="208">
                  <v>0.06332846612634757</v>
                </pt>
                <pt idx="209">
                  <v>0.1013018324918746</v>
                </pt>
                <pt idx="210">
                  <v>0.1459143017867439</v>
                </pt>
                <pt idx="211">
                  <v>0.1404623663647471</v>
                </pt>
                <pt idx="212">
                  <v>0.164661760433364</v>
                </pt>
                <pt idx="213">
                  <v>0.1502512288272198</v>
                </pt>
                <pt idx="214">
                  <v>0.1555979793563695</v>
                </pt>
                <pt idx="215">
                  <v>0.1465050247048969</v>
                </pt>
                <pt idx="216">
                  <v>0.1354495759588348</v>
                </pt>
                <pt idx="217">
                  <v>0.1169061154273374</v>
                </pt>
                <pt idx="218">
                  <v>0.1180140266975052</v>
                </pt>
                <pt idx="219">
                  <v>0.09819161968603751</v>
                </pt>
                <pt idx="220">
                  <v>0.09092784349922289</v>
                </pt>
                <pt idx="221">
                  <v>0.09131153753982835</v>
                </pt>
                <pt idx="222">
                  <v>0.1055439499487396</v>
                </pt>
                <pt idx="223">
                  <v>0.09299095373243826</v>
                </pt>
                <pt idx="224">
                  <v>0.07774861870025473</v>
                </pt>
                <pt idx="225">
                  <v>0.0834113785151247</v>
                </pt>
                <pt idx="226">
                  <v>0.07773440357072015</v>
                </pt>
                <pt idx="227">
                  <v>0.09250255752584646</v>
                </pt>
                <pt idx="228">
                  <v>0.0557642023789986</v>
                </pt>
                <pt idx="229">
                  <v>0.06436814606720964</v>
                </pt>
                <pt idx="230">
                  <v>0.07886396975764165</v>
                </pt>
                <pt idx="231">
                  <v>0.0972883631841357</v>
                </pt>
                <pt idx="232">
                  <v>0.07576474177236592</v>
                </pt>
                <pt idx="233">
                  <v>0.05217460894621517</v>
                </pt>
                <pt idx="234">
                  <v>0.08859619894019954</v>
                </pt>
                <pt idx="235">
                  <v>0.1085394975476854</v>
                </pt>
                <pt idx="236">
                  <v>0.06710993760722017</v>
                </pt>
                <pt idx="237">
                  <v>0.06203877535173552</v>
                </pt>
                <pt idx="238">
                  <v>0.06265292623464358</v>
                </pt>
                <pt idx="239">
                  <v>0.05031924991701398</v>
                </pt>
                <pt idx="240">
                  <v>0.05561231385370102</v>
                </pt>
                <pt idx="241">
                  <v>0.09065760719488747</v>
                </pt>
                <pt idx="242">
                  <v>0.1309027856866392</v>
                </pt>
                <pt idx="243">
                  <v>0.07157026137581712</v>
                </pt>
                <pt idx="244">
                  <v>0.1145261863936307</v>
                </pt>
                <pt idx="245">
                  <v>0.1041742503026848</v>
                </pt>
                <pt idx="246">
                  <v>0.1032783935159209</v>
                </pt>
                <pt idx="247">
                  <v>0.06401993351560997</v>
                </pt>
                <pt idx="248">
                  <v>0.05324789062412072</v>
                </pt>
                <pt idx="249">
                  <v>0.04614105688991388</v>
                </pt>
                <pt idx="250">
                  <v>0.06575373696897802</v>
                </pt>
                <pt idx="251">
                  <v>0.07579729630300269</v>
                </pt>
                <pt idx="252">
                  <v>0.100677995707215</v>
                </pt>
                <pt idx="253">
                  <v>0.04255855445163537</v>
                </pt>
                <pt idx="254">
                  <v>0.01937247014102428</v>
                </pt>
                <pt idx="255">
                  <v>0.0837330903208322</v>
                </pt>
                <pt idx="256">
                  <v>0.1426574256379896</v>
                </pt>
                <pt idx="257">
                  <v>0.1356817336429237</v>
                </pt>
                <pt idx="258">
                  <v>0.1315552137043694</v>
                </pt>
                <pt idx="259">
                  <v>0.1004058068066447</v>
                </pt>
                <pt idx="260">
                  <v>0.08551746208798394</v>
                </pt>
                <pt idx="261">
                  <v>0.0865456526074766</v>
                </pt>
                <pt idx="262">
                  <v>0.03049711577686409</v>
                </pt>
                <pt idx="263">
                  <v>0.05457603921349863</v>
                </pt>
                <pt idx="264">
                  <v>0.09176757439378647</v>
                </pt>
                <pt idx="265">
                  <v>0.1410749238977196</v>
                </pt>
                <pt idx="266">
                  <v>0.1788927760386829</v>
                </pt>
                <pt idx="267">
                  <v>0.03676742557964441</v>
                </pt>
                <pt idx="268">
                  <v>0.0448827543780892</v>
                </pt>
                <pt idx="269">
                  <v>0.08659642912808407</v>
                </pt>
                <pt idx="270">
                  <v>0.09214847387585823</v>
                </pt>
                <pt idx="271">
                  <v>0.08608694118888871</v>
                </pt>
                <pt idx="272">
                  <v>0.1169767152380168</v>
                </pt>
                <pt idx="273">
                  <v>0.104344069315446</v>
                </pt>
                <pt idx="274">
                  <v>0.142649833321947</v>
                </pt>
                <pt idx="275">
                  <v>0.1067430550660684</v>
                </pt>
                <pt idx="276">
                  <v>0.02814704860830397</v>
                </pt>
                <pt idx="277">
                  <v>0.08423694656472169</v>
                </pt>
                <pt idx="278">
                  <v>0.1233452579235406</v>
                </pt>
                <pt idx="279">
                  <v>0.07924108661173235</v>
                </pt>
                <pt idx="280">
                  <v>0.07236172605030311</v>
                </pt>
                <pt idx="281">
                  <v>0.03674941177217628</v>
                </pt>
                <pt idx="282">
                  <v>0.09354906911719962</v>
                </pt>
                <pt idx="283">
                  <v>0.08930377896705721</v>
                </pt>
                <pt idx="284">
                  <v>0.07545631714737211</v>
                </pt>
                <pt idx="285">
                  <v>0.09364838737590708</v>
                </pt>
                <pt idx="286">
                  <v>0.1509606273682624</v>
                </pt>
                <pt idx="287">
                  <v>0.394042209984641</v>
                </pt>
                <pt idx="288">
                  <v>0.2546932785791629</v>
                </pt>
                <pt idx="289">
                  <v>0.1163568404524506</v>
                </pt>
                <pt idx="290">
                  <v>0.08277744343622651</v>
                </pt>
                <pt idx="291">
                  <v>0.0892270841976619</v>
                </pt>
                <pt idx="292">
                  <v>0.06282313837145259</v>
                </pt>
                <pt idx="293">
                  <v>0.06806925089033422</v>
                </pt>
                <pt idx="294">
                  <v>0.05479758358657993</v>
                </pt>
                <pt idx="295">
                  <v>0.05454854793610142</v>
                </pt>
                <pt idx="296">
                  <v>0.09616065501475179</v>
                </pt>
                <pt idx="297">
                  <v>0.07751016553353152</v>
                </pt>
                <pt idx="298">
                  <v>0.06551604885768181</v>
                </pt>
                <pt idx="299">
                  <v>0.08630735151158464</v>
                </pt>
                <pt idx="300">
                  <v>0.1182022348282503</v>
                </pt>
                <pt idx="301">
                  <v>0.09872770729875446</v>
                </pt>
                <pt idx="302">
                  <v>0.09492143171195599</v>
                </pt>
                <pt idx="303">
                  <v>0.07004549566183171</v>
                </pt>
                <pt idx="304">
                  <v>0.06155991333555089</v>
                </pt>
                <pt idx="305">
                  <v>0.04646705487863056</v>
                </pt>
                <pt idx="306">
                  <v>0.03788078490862934</v>
                </pt>
                <pt idx="307">
                  <v>0.07797836178247342</v>
                </pt>
                <pt idx="308">
                  <v>0.08034121476716694</v>
                </pt>
                <pt idx="309">
                  <v>0.1262976592078533</v>
                </pt>
                <pt idx="310">
                  <v>0.1397203585120765</v>
                </pt>
                <pt idx="311">
                  <v>0.1439863445288434</v>
                </pt>
                <pt idx="312">
                  <v>0.1175385029377121</v>
                </pt>
                <pt idx="313">
                  <v>0.06345351815139755</v>
                </pt>
                <pt idx="314">
                  <v>0.04766787054071697</v>
                </pt>
                <pt idx="315">
                  <v>0.07360219970300519</v>
                </pt>
                <pt idx="316">
                  <v>0.1223788222523363</v>
                </pt>
                <pt idx="317">
                  <v>0.08737403629315699</v>
                </pt>
                <pt idx="318">
                  <v>0.07401804470446893</v>
                </pt>
                <pt idx="319">
                  <v>0.06261182779246099</v>
                </pt>
                <pt idx="320">
                  <v>0.05816355553442132</v>
                </pt>
                <pt idx="321">
                  <v>0.04870446958790509</v>
                </pt>
                <pt idx="322">
                  <v>0.07149611051185145</v>
                </pt>
                <pt idx="323">
                  <v>0.04922921000515013</v>
                </pt>
                <pt idx="324">
                  <v>0.05304400780417606</v>
                </pt>
                <pt idx="325">
                  <v>0.1008433997938509</v>
                </pt>
                <pt idx="326">
                  <v>0.123494569163477</v>
                </pt>
                <pt idx="327">
                  <v>0.1342906279416451</v>
                </pt>
                <pt idx="328">
                  <v>0.0979167012364599</v>
                </pt>
                <pt idx="329">
                  <v>0.1041664512646125</v>
                </pt>
                <pt idx="330">
                  <v>0.09480179501300645</v>
                </pt>
                <pt idx="331">
                  <v>0.1009724171755861</v>
                </pt>
                <pt idx="332">
                  <v>0.09181368956211466</v>
                </pt>
                <pt idx="333">
                  <v>0.06386389221989908</v>
                </pt>
                <pt idx="334">
                  <v>0.1252747368482166</v>
                </pt>
                <pt idx="335">
                  <v>0.07222755634947697</v>
                </pt>
                <pt idx="336">
                  <v>0.01585812122049468</v>
                </pt>
                <pt idx="337">
                  <v>0.02741779095508678</v>
                </pt>
                <pt idx="338">
                  <v>0.0627440203019991</v>
                </pt>
                <pt idx="339">
                  <v>0.02278023816026664</v>
                </pt>
                <pt idx="340">
                  <v>0.00738177646403515</v>
                </pt>
                <pt idx="341">
                  <v>0.01919662779360554</v>
                </pt>
                <pt idx="342">
                  <v>0.04045790229057755</v>
                </pt>
                <pt idx="343">
                  <v>0.04973236545808302</v>
                </pt>
                <pt idx="344">
                  <v>0.0675908582797542</v>
                </pt>
                <pt idx="345">
                  <v>0.01761975001689886</v>
                </pt>
                <pt idx="346">
                  <v>0.03239872057250071</v>
                </pt>
                <pt idx="347">
                  <v>0.09289458788082916</v>
                </pt>
                <pt idx="348">
                  <v>0.1013548990028703</v>
                </pt>
                <pt idx="349">
                  <v>0.08824633466890264</v>
                </pt>
                <pt idx="350">
                  <v>0.08625823323671988</v>
                </pt>
                <pt idx="351">
                  <v>0.06493355353270824</v>
                </pt>
                <pt idx="352">
                  <v>0.05205664203498461</v>
                </pt>
                <pt idx="353">
                  <v>0.0365358280425736</v>
                </pt>
                <pt idx="354">
                  <v>0.01971999602814978</v>
                </pt>
                <pt idx="355">
                  <v>0.02010155495062338</v>
                </pt>
                <pt idx="356">
                  <v>0.03462746669135086</v>
                </pt>
                <pt idx="357">
                  <v>0.06199206928338152</v>
                </pt>
                <pt idx="358">
                  <v>0.03269247496173211</v>
                </pt>
                <pt idx="359">
                  <v>0.01414618277140312</v>
                </pt>
                <pt idx="360">
                  <v>0.002007393232134058</v>
                </pt>
                <pt idx="361">
                  <v>0.03049634079271368</v>
                </pt>
                <pt idx="362">
                  <v>0.02549568616720888</v>
                </pt>
                <pt idx="363">
                  <v>0.02258577398717887</v>
                </pt>
                <pt idx="364">
                  <v>0.06691758695463612</v>
                </pt>
                <pt idx="365">
                  <v>0.1015367805476524</v>
                </pt>
                <pt idx="366">
                  <v>0.0900015584622067</v>
                </pt>
                <pt idx="367">
                  <v>0.07298102581898758</v>
                </pt>
                <pt idx="368">
                  <v>0.08711166200081144</v>
                </pt>
                <pt idx="369">
                  <v>0.07654723571335298</v>
                </pt>
                <pt idx="370">
                  <v>0.07606225647419973</v>
                </pt>
                <pt idx="371">
                  <v>0.05581175332717159</v>
                </pt>
                <pt idx="372">
                  <v>0.04801273967487663</v>
                </pt>
                <pt idx="373">
                  <v>0.04192718143404006</v>
                </pt>
                <pt idx="374">
                  <v>0.04412691373718824</v>
                </pt>
                <pt idx="375">
                  <v>-0.003741693764111265</v>
                </pt>
                <pt idx="376">
                  <v>0.05023668093562073</v>
                </pt>
                <pt idx="377">
                  <v>0.04108114707897115</v>
                </pt>
                <pt idx="378">
                  <v>0.06710597311098287</v>
                </pt>
                <pt idx="379">
                  <v>0.04764782352796049</v>
                </pt>
                <pt idx="380">
                  <v>0.0174676231379618</v>
                </pt>
                <pt idx="381">
                  <v>0.01221773561394857</v>
                </pt>
                <pt idx="382">
                  <v>0.03436780523435168</v>
                </pt>
                <pt idx="383">
                  <v>0.05990075854690735</v>
                </pt>
                <pt idx="384">
                  <v>0.06307252662363361</v>
                </pt>
                <pt idx="385">
                  <v>0.06504898087951494</v>
                </pt>
                <pt idx="386">
                  <v>0.03859649817376098</v>
                </pt>
                <pt idx="387">
                  <v>0.03884561161960032</v>
                </pt>
                <pt idx="388">
                  <v>0.03241931922728369</v>
                </pt>
                <pt idx="389">
                  <v>0.0151403061444324</v>
                </pt>
                <pt idx="390">
                  <v>-0.003926054200234286</v>
                </pt>
                <pt idx="391">
                  <v>-0.0003576164823346772</v>
                </pt>
                <pt idx="392">
                  <v>0.01875904147658325</v>
                </pt>
                <pt idx="393">
                  <v>0.01945651858675301</v>
                </pt>
                <pt idx="394">
                  <v>0.02415278410724175</v>
                </pt>
                <pt idx="395">
                  <v>0.0325008907150659</v>
                </pt>
                <pt idx="396">
                  <v>0.06880058013787016</v>
                </pt>
                <pt idx="397">
                  <v>0.01385187787306319</v>
                </pt>
                <pt idx="398">
                  <v>-0.01470647541140302</v>
                </pt>
                <pt idx="399">
                  <v>-0.003875793454868215</v>
                </pt>
                <pt idx="400">
                  <v>-0.01820677884985289</v>
                </pt>
                <pt idx="401">
                  <v>0.001769571747763932</v>
                </pt>
                <pt idx="402">
                  <v>0.01746343985869925</v>
                </pt>
                <pt idx="403">
                  <v>0.0413667466190446</v>
                </pt>
                <pt idx="404">
                  <v>0.04855117366765471</v>
                </pt>
                <pt idx="405">
                  <v>0.009504322134691767</v>
                </pt>
                <pt idx="406">
                  <v>-0.006285627154763329</v>
                </pt>
                <pt idx="407">
                  <v>-0.0194466433916497</v>
                </pt>
                <pt idx="408">
                  <v>-0.01602566987732168</v>
                </pt>
                <pt idx="409">
                  <v>-0.00979612579125233</v>
                </pt>
                <pt idx="410">
                  <v>-0.00140601634909665</v>
                </pt>
                <pt idx="411">
                  <v>0.09386513981811473</v>
                </pt>
                <pt idx="412">
                  <v>0.01937327570227421</v>
                </pt>
                <pt idx="413">
                  <v>-0.001393485231416136</v>
                </pt>
                <pt idx="414">
                  <v>0.01297601604861121</v>
                </pt>
                <pt idx="415">
                  <v>0.02287325649352789</v>
                </pt>
                <pt idx="416">
                  <v>0.01575483214690809</v>
                </pt>
                <pt idx="417">
                  <v>0.04752309793689058</v>
                </pt>
                <pt idx="418">
                  <v>0.01532226180725238</v>
                </pt>
                <pt idx="419">
                  <v>0.001382368816476687</v>
                </pt>
                <pt idx="420">
                  <v>0.002766170272163526</v>
                </pt>
                <pt idx="421">
                  <v>0.01529740265097601</v>
                </pt>
                <pt idx="422">
                  <v>0.004145668507755884</v>
                </pt>
                <pt idx="423">
                  <v>0.03324236875948827</v>
                </pt>
                <pt idx="424">
                  <v>-0.03816077883571245</v>
                </pt>
                <pt idx="425">
                  <v>0.03042038793104007</v>
                </pt>
                <pt idx="426">
                  <v>-0.008566603470264722</v>
                </pt>
                <pt idx="427">
                  <v>0.001377924284865495</v>
                </pt>
                <pt idx="428">
                  <v>-0.006178470123929247</v>
                </pt>
                <pt idx="429">
                  <v>0.01003350628571664</v>
                </pt>
                <pt idx="430">
                  <v>-0.002749454114481353</v>
                </pt>
                <pt idx="431">
                  <v>0.02084827614871254</v>
                </pt>
                <pt idx="432">
                  <v>-0.008556341702934622</v>
                </pt>
                <pt idx="433">
                  <v>0.004134005017196074</v>
                </pt>
                <pt idx="434">
                  <v>0.02820028485779358</v>
                </pt>
                <pt idx="435">
                  <v>0.0891843033557016</v>
                </pt>
                <pt idx="436">
                  <v>0.08742317082044315</v>
                </pt>
                <pt idx="437">
                  <v>0.06437962096902017</v>
                </pt>
                <pt idx="438">
                  <v>0.07512708831552062</v>
                </pt>
                <pt idx="439">
                  <v>0.04469059338048798</v>
                </pt>
                <pt idx="440">
                  <v>0.03830106248594234</v>
                </pt>
                <pt idx="441">
                  <v>0.02180117257126168</v>
                </pt>
                <pt idx="442">
                  <v>0.03229239885514068</v>
                </pt>
                <pt idx="443">
                  <v>0.06256005413164401</v>
                </pt>
                <pt idx="444">
                  <v>0.04669548350949104</v>
                </pt>
                <pt idx="445">
                  <v>0.08542758964119113</v>
                </pt>
                <pt idx="446">
                  <v>0.03572337760558164</v>
                </pt>
                <pt idx="447">
                  <v>0.03930954354945837</v>
                </pt>
                <pt idx="448">
                  <v>0.04253701261806953</v>
                </pt>
                <pt idx="449">
                  <v>0.04809380242476058</v>
                </pt>
                <pt idx="450">
                  <v>0.02238260279206816</v>
                </pt>
                <pt idx="451">
                  <v>0.03054773980960279</v>
                </pt>
                <pt idx="452">
                  <v>0.06381768316722947</v>
                </pt>
                <pt idx="453">
                  <v>0.07328061713089573</v>
                </pt>
                <pt idx="454">
                  <v>0.0768899683735742</v>
                </pt>
                <pt idx="455">
                  <v>0.05145525657606953</v>
                </pt>
                <pt idx="456">
                  <v>0.03723471507095133</v>
                </pt>
                <pt idx="457">
                  <v>0.04748957968753187</v>
                </pt>
                <pt idx="458">
                  <v>0.05022424954079763</v>
                </pt>
                <pt idx="459">
                  <v>0.03842159915977361</v>
                </pt>
                <pt idx="460">
                  <v>0.05308528051246353</v>
                </pt>
                <pt idx="461">
                  <v>0.05639978370046017</v>
                </pt>
                <pt idx="462">
                  <v>0.1073992427209229</v>
                </pt>
                <pt idx="463">
                  <v>0.0486596545368374</v>
                </pt>
                <pt idx="464">
                  <v>0.05955638325656043</v>
                </pt>
                <pt idx="465">
                  <v>0.06976641871445666</v>
                </pt>
                <pt idx="466">
                  <v>0.05546164167149437</v>
                </pt>
                <pt idx="467">
                  <v>0.07157577826913109</v>
                </pt>
                <pt idx="468">
                  <v>0.1011476188954556</v>
                </pt>
                <pt idx="469">
                  <v>0.07714357662442084</v>
                </pt>
                <pt idx="470">
                  <v>0.07821255303877517</v>
                </pt>
                <pt idx="471">
                  <v>0.07244098131840859</v>
                </pt>
                <pt idx="472">
                  <v>0.05826739011859683</v>
                </pt>
                <pt idx="473">
                  <v>0.05798590719672347</v>
                </pt>
                <pt idx="474">
                  <v>0.07344045519996101</v>
                </pt>
                <pt idx="475">
                  <v>0.1161484707397422</v>
                </pt>
                <pt idx="476">
                  <v>0.1187702911839925</v>
                </pt>
                <pt idx="477">
                  <v>0.1132966483863884</v>
                </pt>
                <pt idx="478">
                  <v>0.08247685709937924</v>
                </pt>
                <pt idx="479">
                  <v>0.07779416140373852</v>
                </pt>
                <pt idx="480">
                  <v>0.0636576347609632</v>
                </pt>
                <pt idx="481">
                  <v>0.01859606788148405</v>
                </pt>
                <pt idx="482">
                  <v>0.08024331157926023</v>
                </pt>
                <pt idx="483">
                  <v>0.06822259616940052</v>
                </pt>
                <pt idx="484">
                  <v>0.06019072672329973</v>
                </pt>
                <pt idx="485">
                  <v>0.0751546042934057</v>
                </pt>
                <pt idx="486">
                  <v>0.04647941020689705</v>
                </pt>
                <pt idx="487">
                  <v>0.04300719736252234</v>
                </pt>
                <pt idx="488">
                  <v>0.06434934155529914</v>
                </pt>
                <pt idx="489">
                  <v>0.05080287528504779</v>
                </pt>
                <pt idx="490">
                  <v>0.07397115054438208</v>
                </pt>
                <pt idx="491">
                  <v>0.07545256680259604</v>
                </pt>
                <pt idx="492">
                  <v>0.03447942340293597</v>
                </pt>
                <pt idx="493">
                  <v>0.08190749322418989</v>
                </pt>
                <pt idx="494">
                  <v>0.1520879274605218</v>
                </pt>
                <pt idx="495">
                  <v>-0.03028815570752919</v>
                </pt>
                <pt idx="496">
                  <v>0.04613152737125459</v>
                </pt>
                <pt idx="497">
                  <v>0.0451690105174678</v>
                </pt>
                <pt idx="498">
                  <v>0.07272243002163625</v>
                </pt>
                <pt idx="499">
                  <v>0.09264123734963148</v>
                </pt>
                <pt idx="500">
                  <v>0.04028681240643395</v>
                </pt>
                <pt idx="501">
                  <v>0.02770122741956893</v>
                </pt>
                <pt idx="502">
                  <v>0.1156207482256602</v>
                </pt>
                <pt idx="503">
                  <v>0.1307730063599544</v>
                </pt>
                <pt idx="504">
                  <v>0.09664394117210295</v>
                </pt>
                <pt idx="505">
                  <v>0.1477176076797777</v>
                </pt>
                <pt idx="506">
                  <v>0.1621114242565058</v>
                </pt>
                <pt idx="507">
                  <v>-0.006754829459863165</v>
                </pt>
                <pt idx="508">
                  <v>0.09890024433569966</v>
                </pt>
                <pt idx="509">
                  <v>0.07160100031850036</v>
                </pt>
                <pt idx="510">
                  <v>0.08079508006924296</v>
                </pt>
                <pt idx="511">
                  <v>0.2867573307542974</v>
                </pt>
                <pt idx="512">
                  <v>-0.02506082794508324</v>
                </pt>
                <pt idx="513">
                  <v>0.10280345435536</v>
                </pt>
                <pt idx="514">
                  <v>0.124816280699845</v>
                </pt>
                <pt idx="515">
                  <v>0.04576321983117548</v>
                </pt>
                <pt idx="516">
                  <v>0.06640451657678881</v>
                </pt>
                <pt idx="517">
                  <v>0.02613123581673094</v>
                </pt>
                <pt idx="518">
                  <v>0.0004368322313212936</v>
                </pt>
                <pt idx="519">
                  <v>0.05850571020953899</v>
                </pt>
                <pt idx="520">
                  <v>0.05570672935394683</v>
                </pt>
                <pt idx="521">
                  <v>0.09616101653503284</v>
                </pt>
                <pt idx="522">
                  <v>0.09516370489767811</v>
                </pt>
                <pt idx="523">
                  <v>0.05324936592204388</v>
                </pt>
                <pt idx="524">
                  <v>0.0983763354467766</v>
                </pt>
                <pt idx="525">
                  <v>0.1109485417130347</v>
                </pt>
                <pt idx="526">
                  <v>0.04558164079882121</v>
                </pt>
                <pt idx="527">
                  <v>0.0699209732645063</v>
                </pt>
                <pt idx="528">
                  <v>0.07723691646089392</v>
                </pt>
                <pt idx="529">
                  <v>0.04336802153377795</v>
                </pt>
                <pt idx="530">
                  <v>0.07931382271474785</v>
                </pt>
                <pt idx="531">
                  <v>0.1302614859443187</v>
                </pt>
                <pt idx="532">
                  <v>0.07645654352056463</v>
                </pt>
                <pt idx="533">
                  <v>0.09757172870620989</v>
                </pt>
                <pt idx="534">
                  <v>0.1216801983750868</v>
                </pt>
                <pt idx="535">
                  <v>-0.05370556549656591</v>
                </pt>
                <pt idx="536">
                  <v>-0.01802871009106577</v>
                </pt>
                <pt idx="537">
                  <v>0.01093908856117842</v>
                </pt>
                <pt idx="538">
                  <v>-0.00355321227044858</v>
                </pt>
                <pt idx="539">
                  <v>0.01633918561909709</v>
                </pt>
                <pt idx="540">
                  <v>0.07938560536753347</v>
                </pt>
                <pt idx="541">
                  <v>0.07256891101045437</v>
                </pt>
                <pt idx="542">
                  <v>0.08320803989495973</v>
                </pt>
                <pt idx="543">
                  <v>0.159666186373453</v>
                </pt>
                <pt idx="544">
                  <v>0.004604382098595705</v>
                </pt>
                <pt idx="545">
                  <v>0.02673140092247772</v>
                </pt>
                <pt idx="546">
                  <v>0.05139262591343474</v>
                </pt>
                <pt idx="547">
                  <v>0.0680167950533439</v>
                </pt>
                <pt idx="548">
                  <v>0.05425682700436596</v>
                </pt>
                <pt idx="549">
                  <v>0.05105267832492166</v>
                </pt>
                <pt idx="550">
                  <v>0.03524544447192679</v>
                </pt>
                <pt idx="551">
                  <v>0.01165364002981084</v>
                </pt>
                <pt idx="552">
                  <v>0.01561378714435557</v>
                </pt>
                <pt idx="553">
                  <v>0.01710820216920328</v>
                </pt>
                <pt idx="554">
                  <v>0.02639325692134653</v>
                </pt>
                <pt idx="555">
                  <v>0.03282627590038967</v>
                </pt>
                <pt idx="556">
                  <v>0.06193927620889417</v>
                </pt>
                <pt idx="557">
                  <v>0.05986904092528555</v>
                </pt>
                <pt idx="558">
                  <v>0.06189695223563207</v>
                </pt>
                <pt idx="559">
                  <v>0.06409018033149239</v>
                </pt>
                <pt idx="560">
                  <v>0.06413445469535373</v>
                </pt>
                <pt idx="561">
                  <v>0.030050929930721</v>
                </pt>
                <pt idx="562">
                  <v>0.04959787723689546</v>
                </pt>
                <pt idx="563">
                  <v>0.07886054288308952</v>
                </pt>
                <pt idx="564">
                  <v>0.04423748680171968</v>
                </pt>
                <pt idx="565">
                  <v>0.02572593806524637</v>
                </pt>
                <pt idx="566">
                  <v>0.06804119268362063</v>
                </pt>
                <pt idx="567">
                  <v>0.01206604207693029</v>
                </pt>
                <pt idx="568">
                  <v>0.06908650477254419</v>
                </pt>
                <pt idx="569">
                  <v>0.07504333708342981</v>
                </pt>
                <pt idx="570">
                  <v>0.05501196942548114</v>
                </pt>
                <pt idx="571">
                  <v>0.04804032756215881</v>
                </pt>
                <pt idx="572">
                  <v>0.08822641487875194</v>
                </pt>
                <pt idx="573">
                  <v>0.06191983250371802</v>
                </pt>
                <pt idx="574">
                  <v>0.07630313385592702</v>
                </pt>
                <pt idx="575">
                  <v>0.06642363128743178</v>
                </pt>
                <pt idx="576">
                  <v>0.02682361159626256</v>
                </pt>
                <pt idx="577">
                  <v>0.05843280749805513</v>
                </pt>
                <pt idx="578">
                  <v>0.1279644306465004</v>
                </pt>
                <pt idx="579">
                  <v>0.02365084871756307</v>
                </pt>
                <pt idx="580">
                  <v>0.05639378201569034</v>
                </pt>
                <pt idx="581">
                  <v>0.05128702714938127</v>
                </pt>
                <pt idx="582">
                  <v>0.1323508798206874</v>
                </pt>
                <pt idx="583">
                  <v>0.02981027661124247</v>
                </pt>
                <pt idx="584">
                  <v>0.02293041037408794</v>
                </pt>
                <pt idx="585">
                  <v>0.0405334674942277</v>
                </pt>
                <pt idx="586">
                  <v>0.04912547358442243</v>
                </pt>
                <pt idx="587">
                  <v>0.05582560596656272</v>
                </pt>
                <pt idx="588">
                  <v>0.144874077048357</v>
                </pt>
                <pt idx="589">
                  <v>0.1087814830672929</v>
                </pt>
                <pt idx="590">
                  <v>0.06951770402977808</v>
                </pt>
                <pt idx="591">
                  <v>0.01886440795379585</v>
                </pt>
                <pt idx="592">
                  <v>0.02789475894821236</v>
                </pt>
                <pt idx="593">
                  <v>0.07463411678660625</v>
                </pt>
                <pt idx="594">
                  <v>0.0230819156173554</v>
                </pt>
                <pt idx="595">
                  <v>0.112130441332466</v>
                </pt>
                <pt idx="596">
                  <v>0.1740500998681997</v>
                </pt>
                <pt idx="597">
                  <v>0.07878977913073526</v>
                </pt>
                <pt idx="598">
                  <v>0.2983161762505329</v>
                </pt>
                <pt idx="599">
                  <v>0.1263005446418921</v>
                </pt>
                <pt idx="600">
                  <v>0.04348446275828333</v>
                </pt>
                <pt idx="601">
                  <v>0.09998409351148774</v>
                </pt>
                <pt idx="602">
                  <v>0.005173951080287509</v>
                </pt>
                <pt idx="603">
                  <v>0.08605738853833622</v>
                </pt>
                <pt idx="604">
                  <v>0.01403854638586144</v>
                </pt>
                <pt idx="605">
                  <v>0.006559535612932432</v>
                </pt>
                <pt idx="606">
                  <v>-0.0001420849784208311</v>
                </pt>
                <pt idx="607">
                  <v>-0.001136175228284353</v>
                </pt>
                <pt idx="608">
                  <v>0.03890436472978331</v>
                </pt>
                <pt idx="609">
                  <v>0.04289330678545</v>
                </pt>
                <pt idx="610">
                  <v>-0.006754829459861833</v>
                </pt>
                <pt idx="611">
                  <v>-0.05223701965225047</v>
                </pt>
                <pt idx="612">
                  <v>0.07223122097207013</v>
                </pt>
                <pt idx="613">
                  <v>-0.004082896031998962</v>
                </pt>
                <pt idx="614">
                  <v>0.04418872550240005</v>
                </pt>
                <pt idx="615">
                  <v>0.07967456505740711</v>
                </pt>
                <pt idx="616">
                  <v>0.02701124298489299</v>
                </pt>
                <pt idx="617">
                  <v>0.01374597300573988</v>
                </pt>
                <pt idx="618">
                  <v>0.07232520973777579</v>
                </pt>
                <pt idx="619">
                  <v>0.04376512496064167</v>
                </pt>
                <pt idx="620">
                  <v>0.07015904852592958</v>
                </pt>
                <pt idx="621">
                  <v>0.02862211840107731</v>
                </pt>
                <pt idx="622">
                  <v>0.04439030572962577</v>
                </pt>
                <pt idx="623">
                  <v>0.02942915895771803</v>
                </pt>
                <pt idx="624">
                  <v>0.09030775601096908</v>
                </pt>
                <pt idx="625">
                  <v>0.07916193068254995</v>
                </pt>
                <pt idx="626">
                  <v>0.08556690766264063</v>
                </pt>
                <pt idx="627">
                  <v>0.0982469394607679</v>
                </pt>
                <pt idx="628">
                  <v>0.1045259678713293</v>
                </pt>
                <pt idx="629">
                  <v>0.2401286299518706</v>
                </pt>
                <pt idx="630">
                  <v>0.2757378052849218</v>
                </pt>
                <pt idx="631">
                  <v>0.02644160370598336</v>
                </pt>
                <pt idx="632">
                  <v>0.04340834149627959</v>
                </pt>
                <pt idx="633">
                  <v>0.06524885255213109</v>
                </pt>
                <pt idx="634">
                  <v>0.06093558571465274</v>
                </pt>
                <pt idx="635">
                  <v>0.0948177922601916</v>
                </pt>
                <pt idx="636">
                  <v>0.06655058108327183</v>
                </pt>
                <pt idx="637">
                  <v>0.05647088840347303</v>
                </pt>
                <pt idx="638">
                  <v>0.06794500545521664</v>
                </pt>
                <pt idx="639">
                  <v>0.05448886431485844</v>
                </pt>
                <pt idx="640">
                  <v>0.08914070399531826</v>
                </pt>
                <pt idx="641">
                  <v>0.06485601071858782</v>
                </pt>
                <pt idx="642">
                  <v>0.08619926933916178</v>
                </pt>
                <pt idx="643">
                  <v>0.09843716860399621</v>
                </pt>
                <pt idx="644">
                  <v>0.0810959224040193</v>
                </pt>
                <pt idx="645">
                  <v>0.08532963641584601</v>
                </pt>
                <pt idx="646">
                  <v>0.1513147204858651</v>
                </pt>
                <pt idx="647">
                  <v>0.02694355419978156</v>
                </pt>
                <pt idx="648">
                  <v>0.02126740535220129</v>
                </pt>
                <pt idx="649">
                  <v>0.06711490612470672</v>
                </pt>
                <pt idx="650">
                  <v>0.03229159718685315</v>
                </pt>
                <pt idx="651">
                  <v>0.04005077270362323</v>
                </pt>
                <pt idx="652">
                  <v>0.06717520183568415</v>
                </pt>
                <pt idx="653">
                  <v>0.04553576722375441</v>
                </pt>
                <pt idx="654">
                  <v>0.06714057643925941</v>
                </pt>
                <pt idx="655">
                  <v>0.06960617353701237</v>
                </pt>
                <pt idx="656">
                  <v>0.1467858937810358</v>
                </pt>
                <pt idx="657">
                  <v>0.008903446002698656</v>
                </pt>
                <pt idx="658">
                  <v>0.07381889718850343</v>
                </pt>
                <pt idx="659">
                  <v>0.05095796309594602</v>
                </pt>
                <pt idx="660">
                  <v>0.1114472098007671</v>
                </pt>
                <pt idx="661">
                  <v>0.03190978441636338</v>
                </pt>
                <pt idx="662">
                  <v>0.05441624689933167</v>
                </pt>
                <pt idx="663">
                  <v>0.0696000884675616</v>
                </pt>
                <pt idx="664">
                  <v>0.05865283126103416</v>
                </pt>
                <pt idx="665">
                  <v>0.05959065951245868</v>
                </pt>
                <pt idx="666">
                  <v>0.03087494348621966</v>
                </pt>
                <pt idx="667">
                  <v>0.04368224412620569</v>
                </pt>
                <pt idx="668">
                  <v>0.07130913349539325</v>
                </pt>
                <pt idx="669">
                  <v>0.04100703828619179</v>
                </pt>
                <pt idx="670">
                  <v>0.086045646245972</v>
                </pt>
                <pt idx="671">
                  <v>0.06414909587647943</v>
                </pt>
                <pt idx="672">
                  <v>0.1451334669058075</v>
                </pt>
                <pt idx="673">
                  <v>0.007907969475794419</v>
                </pt>
                <pt idx="674">
                  <v>0.04333867840340622</v>
                </pt>
                <pt idx="675">
                  <v>0.02956609435590152</v>
                </pt>
                <pt idx="676">
                  <v>0.0448505942597468</v>
                </pt>
                <pt idx="677">
                  <v>0.05073590246217274</v>
                </pt>
                <pt idx="678">
                  <v>0.05156457401575354</v>
                </pt>
                <pt idx="679">
                  <v>0.05999308587608887</v>
                </pt>
                <pt idx="680">
                  <v>0.03519104064823386</v>
                </pt>
                <pt idx="681">
                  <v>0.09085237792143364</v>
                </pt>
                <pt idx="682">
                  <v>0.06247989291876377</v>
                </pt>
                <pt idx="683">
                  <v>0.1264260610185599</v>
                </pt>
                <pt idx="684">
                  <v>0.08680235666591285</v>
                </pt>
                <pt idx="685">
                  <v>0.05887110640945914</v>
                </pt>
                <pt idx="686">
                  <v>0.08257868853635175</v>
                </pt>
                <pt idx="687">
                  <v>0.06397380529049346</v>
                </pt>
                <pt idx="688">
                  <v>0.06105140260590436</v>
                </pt>
                <pt idx="689">
                  <v>0.05591477016016366</v>
                </pt>
                <pt idx="690">
                  <v>0.08218038006860318</v>
                </pt>
                <pt idx="691">
                  <v>0.05771335702216263</v>
                </pt>
                <pt idx="692">
                  <v>0.0633636166682745</v>
                </pt>
                <pt idx="693">
                  <v>0.0688581938086672</v>
                </pt>
                <pt idx="694">
                  <v>0.03705177444884411</v>
                </pt>
                <pt idx="695">
                  <v>0.06545722921767805</v>
                </pt>
                <pt idx="696">
                  <v>0.07028235845490172</v>
                </pt>
                <pt idx="697">
                  <v>0.06291779570389711</v>
                </pt>
                <pt idx="698">
                  <v>0.05308568531772839</v>
                </pt>
                <pt idx="699">
                  <v>0.04838271058161148</v>
                </pt>
                <pt idx="700">
                  <v>0.01886393011872323</v>
                </pt>
                <pt idx="701">
                  <v>0.0539476435997146</v>
                </pt>
                <pt idx="702">
                  <v>0.04955385943959878</v>
                </pt>
                <pt idx="703">
                  <v>0.03948690896937701</v>
                </pt>
                <pt idx="704">
                  <v>0.04663086603468813</v>
                </pt>
                <pt idx="705">
                  <v>0.02628065331048068</v>
                </pt>
                <pt idx="706">
                  <v>0.05161750147566102</v>
                </pt>
                <pt idx="707">
                  <v>0.01026598791607136</v>
                </pt>
                <pt idx="708">
                  <v>0.03748636941138805</v>
                </pt>
                <pt idx="709">
                  <v>0.05110057664970169</v>
                </pt>
                <pt idx="710">
                  <v>0.01609438008861819</v>
                </pt>
                <pt idx="711">
                  <v>0.05126367297957057</v>
                </pt>
                <pt idx="712">
                  <v>0.04925874254343654</v>
                </pt>
                <pt idx="713">
                  <v>0.03071421446374512</v>
                </pt>
                <pt idx="714">
                  <v>0.03632143637500596</v>
                </pt>
                <pt idx="715">
                  <v>0.02706959211053905</v>
                </pt>
                <pt idx="716">
                  <v>0.00813549138623304</v>
                </pt>
                <pt idx="717">
                  <v>0.012132334713155</v>
                </pt>
                <pt idx="718">
                  <v>0.1114360069913924</v>
                </pt>
                <pt idx="719">
                  <v>0.05770096812887093</v>
                </pt>
                <pt idx="720">
                  <v>0.0336901646105161</v>
                </pt>
                <pt idx="721">
                  <v>0.03368133677392748</v>
                </pt>
                <pt idx="722">
                  <v>0.02602575163506726</v>
                </pt>
                <pt idx="723">
                  <v>0.08767873034789075</v>
                </pt>
                <pt idx="724">
                  <v>0.09797436856150621</v>
                </pt>
                <pt idx="725">
                  <v>0.06953101922537042</v>
                </pt>
                <pt idx="726">
                  <v>0.06150442348277863</v>
                </pt>
                <pt idx="727">
                  <v>0.07787711947963905</v>
                </pt>
                <pt idx="728">
                  <v>0.1114176660014048</v>
                </pt>
                <pt idx="729">
                  <v>0.08339293196629027</v>
                </pt>
                <pt idx="730">
                  <v>0.06358311034004505</v>
                </pt>
                <pt idx="731">
                  <v>0.06059976374269715</v>
                </pt>
                <pt idx="732">
                  <v>0.0431533807710176</v>
                </pt>
                <pt idx="733">
                  <v>0.4971120861763345</v>
                </pt>
                <pt idx="734">
                  <v>1.099684021298809</v>
                </pt>
                <pt idx="735">
                  <v>0.8002322426792037</v>
                </pt>
                <pt idx="736">
                  <v>0.2058200556298913</v>
                </pt>
                <pt idx="737">
                  <v>0.1072553503605929</v>
                </pt>
                <pt idx="738">
                  <v>0.03988804449414385</v>
                </pt>
                <pt idx="739">
                  <v>0.1622363747044258</v>
                </pt>
                <pt idx="740">
                  <v>0.1025842087029569</v>
                </pt>
                <pt idx="741">
                  <v>0.1505755895632985</v>
                </pt>
                <pt idx="742">
                  <v>0.1094325980930759</v>
                </pt>
                <pt idx="743">
                  <v>0.1633302003602295</v>
                </pt>
                <pt idx="744">
                  <v>0.1622790449845695</v>
                </pt>
                <pt idx="745">
                  <v>0.1570348125206111</v>
                </pt>
                <pt idx="746">
                  <v>0.180950206204247</v>
                </pt>
                <pt idx="747">
                  <v>0.2050974901303999</v>
                </pt>
                <pt idx="748">
                  <v>0.04464223061288242</v>
                </pt>
                <pt idx="749">
                  <v>0.09545870040859472</v>
                </pt>
                <pt idx="750">
                  <v>0.1128883615892236</v>
                </pt>
                <pt idx="751">
                  <v>0.06884964415742423</v>
                </pt>
                <pt idx="752">
                  <v>0.09037390609405094</v>
                </pt>
                <pt idx="753">
                  <v>0.1198327068721707</v>
                </pt>
                <pt idx="754">
                  <v>0.140173752796571</v>
                </pt>
                <pt idx="755">
                  <v>0.006422421328764027</v>
                </pt>
                <pt idx="756">
                  <v>0.00468494249961604</v>
                </pt>
                <pt idx="757">
                  <v>0.07322351198262078</v>
                </pt>
                <pt idx="758">
                  <v>-0.01078616510735031</v>
                </pt>
                <pt idx="759">
                  <v>-0.006897523429200358</v>
                </pt>
                <pt idx="760">
                  <v>0.000664850615144319</v>
                </pt>
                <pt idx="761">
                  <v>0.02034719914003635</v>
                </pt>
                <pt idx="762">
                  <v>-0.02432908403742207</v>
                </pt>
                <pt idx="763">
                  <v>-0.07249196782072564</v>
                </pt>
                <pt idx="764">
                  <v>-0.05376783080162451</v>
                </pt>
                <pt idx="765">
                  <v>-0.0264471073835294</v>
                </pt>
                <pt idx="766">
                  <v>-0.02847543602966651</v>
                </pt>
                <pt idx="767">
                  <v>-0.07688618561044569</v>
                </pt>
                <pt idx="768">
                  <v>-0.06643101902008153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361774799"/>
        <axId val="361778959"/>
      </barChart>
      <dateAx>
        <axId val="361774799"/>
        <scaling>
          <orientation val="minMax"/>
          <min val="43617"/>
        </scaling>
        <delete val="0"/>
        <axPos val="b"/>
        <numFmt formatCode="m/d/yy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8959"/>
        <crosses val="autoZero"/>
        <lblOffset val="100"/>
        <baseTimeUnit val="months"/>
      </dateAx>
      <valAx>
        <axId val="361778959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361774799"/>
        <crosses val="autoZero"/>
        <crossBetween val="between"/>
      </valAx>
    </plotArea>
    <plotVisOnly val="1"/>
    <dispBlanksAs val="gap"/>
  </chart>
</chartSpace>
</file>

<file path=xl/charts/chart10.xml><?xml version="1.0" encoding="utf-8"?>
<chartSpace xmlns="http://schemas.openxmlformats.org/drawingml/2006/chart">
  <chart>
    <title>
      <tx>
        <strRef>
          <f>Country!$F$1</f>
          <strCache>
            <ptCount val="1"/>
            <pt idx="0">
              <v>Money Supply M3 USA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lineChart>
        <grouping val="standard"/>
        <varyColors val="0"/>
        <ser>
          <idx val="0"/>
          <order val="0"/>
          <tx>
            <strRef>
              <f>Country!$F$1</f>
              <strCache>
                <ptCount val="1"/>
                <pt idx="0">
                  <v>Money Supply M3 USA</v>
                </pt>
              </strCache>
            </strRef>
          </tx>
          <spPr>
            <a:ln xmlns:a="http://schemas.openxmlformats.org/drawingml/2006/main" w="28575" cap="rnd">
              <a:solidFill>
                <a:schemeClr val="accent1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cat>
            <numRef>
              <f>Country!$A$474:$A$756</f>
              <numCache>
                <formatCode>m/d/yyyy</formatCode>
                <ptCount val="283"/>
                <pt idx="0">
                  <v>36526</v>
                </pt>
                <pt idx="1">
                  <v>36557</v>
                </pt>
                <pt idx="2">
                  <v>36586</v>
                </pt>
                <pt idx="3">
                  <v>36617</v>
                </pt>
                <pt idx="4">
                  <v>36647</v>
                </pt>
                <pt idx="5">
                  <v>36678</v>
                </pt>
                <pt idx="6">
                  <v>36708</v>
                </pt>
                <pt idx="7">
                  <v>36739</v>
                </pt>
                <pt idx="8">
                  <v>36770</v>
                </pt>
                <pt idx="9">
                  <v>36800</v>
                </pt>
                <pt idx="10">
                  <v>36831</v>
                </pt>
                <pt idx="11">
                  <v>36861</v>
                </pt>
                <pt idx="12">
                  <v>36892</v>
                </pt>
                <pt idx="13">
                  <v>36923</v>
                </pt>
                <pt idx="14">
                  <v>36951</v>
                </pt>
                <pt idx="15">
                  <v>36982</v>
                </pt>
                <pt idx="16">
                  <v>37012</v>
                </pt>
                <pt idx="17">
                  <v>37043</v>
                </pt>
                <pt idx="18">
                  <v>37073</v>
                </pt>
                <pt idx="19">
                  <v>37104</v>
                </pt>
                <pt idx="20">
                  <v>37135</v>
                </pt>
                <pt idx="21">
                  <v>37165</v>
                </pt>
                <pt idx="22">
                  <v>37196</v>
                </pt>
                <pt idx="23">
                  <v>37226</v>
                </pt>
                <pt idx="24">
                  <v>37257</v>
                </pt>
                <pt idx="25">
                  <v>37288</v>
                </pt>
                <pt idx="26">
                  <v>37316</v>
                </pt>
                <pt idx="27">
                  <v>37347</v>
                </pt>
                <pt idx="28">
                  <v>37377</v>
                </pt>
                <pt idx="29">
                  <v>37408</v>
                </pt>
                <pt idx="30">
                  <v>37438</v>
                </pt>
                <pt idx="31">
                  <v>37469</v>
                </pt>
                <pt idx="32">
                  <v>37500</v>
                </pt>
                <pt idx="33">
                  <v>37530</v>
                </pt>
                <pt idx="34">
                  <v>37561</v>
                </pt>
                <pt idx="35">
                  <v>37591</v>
                </pt>
                <pt idx="36">
                  <v>37622</v>
                </pt>
                <pt idx="37">
                  <v>37653</v>
                </pt>
                <pt idx="38">
                  <v>37681</v>
                </pt>
                <pt idx="39">
                  <v>37712</v>
                </pt>
                <pt idx="40">
                  <v>37742</v>
                </pt>
                <pt idx="41">
                  <v>37773</v>
                </pt>
                <pt idx="42">
                  <v>37803</v>
                </pt>
                <pt idx="43">
                  <v>37834</v>
                </pt>
                <pt idx="44">
                  <v>37865</v>
                </pt>
                <pt idx="45">
                  <v>37895</v>
                </pt>
                <pt idx="46">
                  <v>37926</v>
                </pt>
                <pt idx="47">
                  <v>37956</v>
                </pt>
                <pt idx="48">
                  <v>37987</v>
                </pt>
                <pt idx="49">
                  <v>38018</v>
                </pt>
                <pt idx="50">
                  <v>38047</v>
                </pt>
                <pt idx="51">
                  <v>38078</v>
                </pt>
                <pt idx="52">
                  <v>38108</v>
                </pt>
                <pt idx="53">
                  <v>38139</v>
                </pt>
                <pt idx="54">
                  <v>38169</v>
                </pt>
                <pt idx="55">
                  <v>38200</v>
                </pt>
                <pt idx="56">
                  <v>38231</v>
                </pt>
                <pt idx="57">
                  <v>38261</v>
                </pt>
                <pt idx="58">
                  <v>38292</v>
                </pt>
                <pt idx="59">
                  <v>38322</v>
                </pt>
                <pt idx="60">
                  <v>38353</v>
                </pt>
                <pt idx="61">
                  <v>38384</v>
                </pt>
                <pt idx="62">
                  <v>38412</v>
                </pt>
                <pt idx="63">
                  <v>38443</v>
                </pt>
                <pt idx="64">
                  <v>38473</v>
                </pt>
                <pt idx="65">
                  <v>38504</v>
                </pt>
                <pt idx="66">
                  <v>38534</v>
                </pt>
                <pt idx="67">
                  <v>38565</v>
                </pt>
                <pt idx="68">
                  <v>38596</v>
                </pt>
                <pt idx="69">
                  <v>38626</v>
                </pt>
                <pt idx="70">
                  <v>38657</v>
                </pt>
                <pt idx="71">
                  <v>38687</v>
                </pt>
                <pt idx="72">
                  <v>38718</v>
                </pt>
                <pt idx="73">
                  <v>38749</v>
                </pt>
                <pt idx="74">
                  <v>38777</v>
                </pt>
                <pt idx="75">
                  <v>38808</v>
                </pt>
                <pt idx="76">
                  <v>38838</v>
                </pt>
                <pt idx="77">
                  <v>38869</v>
                </pt>
                <pt idx="78">
                  <v>38899</v>
                </pt>
                <pt idx="79">
                  <v>38930</v>
                </pt>
                <pt idx="80">
                  <v>38961</v>
                </pt>
                <pt idx="81">
                  <v>38991</v>
                </pt>
                <pt idx="82">
                  <v>39022</v>
                </pt>
                <pt idx="83">
                  <v>39052</v>
                </pt>
                <pt idx="84">
                  <v>39083</v>
                </pt>
                <pt idx="85">
                  <v>39114</v>
                </pt>
                <pt idx="86">
                  <v>39142</v>
                </pt>
                <pt idx="87">
                  <v>39173</v>
                </pt>
                <pt idx="88">
                  <v>39203</v>
                </pt>
                <pt idx="89">
                  <v>39234</v>
                </pt>
                <pt idx="90">
                  <v>39264</v>
                </pt>
                <pt idx="91">
                  <v>39295</v>
                </pt>
                <pt idx="92">
                  <v>39326</v>
                </pt>
                <pt idx="93">
                  <v>39356</v>
                </pt>
                <pt idx="94">
                  <v>39387</v>
                </pt>
                <pt idx="95">
                  <v>39417</v>
                </pt>
                <pt idx="96">
                  <v>39448</v>
                </pt>
                <pt idx="97">
                  <v>39479</v>
                </pt>
                <pt idx="98">
                  <v>39508</v>
                </pt>
                <pt idx="99">
                  <v>39539</v>
                </pt>
                <pt idx="100">
                  <v>39569</v>
                </pt>
                <pt idx="101">
                  <v>39600</v>
                </pt>
                <pt idx="102">
                  <v>39630</v>
                </pt>
                <pt idx="103">
                  <v>39661</v>
                </pt>
                <pt idx="104">
                  <v>39692</v>
                </pt>
                <pt idx="105">
                  <v>39722</v>
                </pt>
                <pt idx="106">
                  <v>39753</v>
                </pt>
                <pt idx="107">
                  <v>39783</v>
                </pt>
                <pt idx="108">
                  <v>39814</v>
                </pt>
                <pt idx="109">
                  <v>39845</v>
                </pt>
                <pt idx="110">
                  <v>39873</v>
                </pt>
                <pt idx="111">
                  <v>39904</v>
                </pt>
                <pt idx="112">
                  <v>39934</v>
                </pt>
                <pt idx="113">
                  <v>39965</v>
                </pt>
                <pt idx="114">
                  <v>39995</v>
                </pt>
                <pt idx="115">
                  <v>40026</v>
                </pt>
                <pt idx="116">
                  <v>40057</v>
                </pt>
                <pt idx="117">
                  <v>40087</v>
                </pt>
                <pt idx="118">
                  <v>40118</v>
                </pt>
                <pt idx="119">
                  <v>40148</v>
                </pt>
                <pt idx="120">
                  <v>40179</v>
                </pt>
                <pt idx="121">
                  <v>40210</v>
                </pt>
                <pt idx="122">
                  <v>40238</v>
                </pt>
                <pt idx="123">
                  <v>40269</v>
                </pt>
                <pt idx="124">
                  <v>40299</v>
                </pt>
                <pt idx="125">
                  <v>40330</v>
                </pt>
                <pt idx="126">
                  <v>40360</v>
                </pt>
                <pt idx="127">
                  <v>40391</v>
                </pt>
                <pt idx="128">
                  <v>40422</v>
                </pt>
                <pt idx="129">
                  <v>40452</v>
                </pt>
                <pt idx="130">
                  <v>40483</v>
                </pt>
                <pt idx="131">
                  <v>40513</v>
                </pt>
                <pt idx="132">
                  <v>40544</v>
                </pt>
                <pt idx="133">
                  <v>40575</v>
                </pt>
                <pt idx="134">
                  <v>40603</v>
                </pt>
                <pt idx="135">
                  <v>40634</v>
                </pt>
                <pt idx="136">
                  <v>40664</v>
                </pt>
                <pt idx="137">
                  <v>40695</v>
                </pt>
                <pt idx="138">
                  <v>40725</v>
                </pt>
                <pt idx="139">
                  <v>40756</v>
                </pt>
                <pt idx="140">
                  <v>40787</v>
                </pt>
                <pt idx="141">
                  <v>40817</v>
                </pt>
                <pt idx="142">
                  <v>40848</v>
                </pt>
                <pt idx="143">
                  <v>40878</v>
                </pt>
                <pt idx="144">
                  <v>40909</v>
                </pt>
                <pt idx="145">
                  <v>40940</v>
                </pt>
                <pt idx="146">
                  <v>40969</v>
                </pt>
                <pt idx="147">
                  <v>41000</v>
                </pt>
                <pt idx="148">
                  <v>41030</v>
                </pt>
                <pt idx="149">
                  <v>41061</v>
                </pt>
                <pt idx="150">
                  <v>41091</v>
                </pt>
                <pt idx="151">
                  <v>41122</v>
                </pt>
                <pt idx="152">
                  <v>41153</v>
                </pt>
                <pt idx="153">
                  <v>41183</v>
                </pt>
                <pt idx="154">
                  <v>41214</v>
                </pt>
                <pt idx="155">
                  <v>41244</v>
                </pt>
                <pt idx="156">
                  <v>41275</v>
                </pt>
                <pt idx="157">
                  <v>41306</v>
                </pt>
                <pt idx="158">
                  <v>41334</v>
                </pt>
                <pt idx="159">
                  <v>41365</v>
                </pt>
                <pt idx="160">
                  <v>41395</v>
                </pt>
                <pt idx="161">
                  <v>41426</v>
                </pt>
                <pt idx="162">
                  <v>41456</v>
                </pt>
                <pt idx="163">
                  <v>41487</v>
                </pt>
                <pt idx="164">
                  <v>41518</v>
                </pt>
                <pt idx="165">
                  <v>41548</v>
                </pt>
                <pt idx="166">
                  <v>41579</v>
                </pt>
                <pt idx="167">
                  <v>41609</v>
                </pt>
                <pt idx="168">
                  <v>41640</v>
                </pt>
                <pt idx="169">
                  <v>41671</v>
                </pt>
                <pt idx="170">
                  <v>41699</v>
                </pt>
                <pt idx="171">
                  <v>41730</v>
                </pt>
                <pt idx="172">
                  <v>41760</v>
                </pt>
                <pt idx="173">
                  <v>41791</v>
                </pt>
                <pt idx="174">
                  <v>41821</v>
                </pt>
                <pt idx="175">
                  <v>41852</v>
                </pt>
                <pt idx="176">
                  <v>41883</v>
                </pt>
                <pt idx="177">
                  <v>41913</v>
                </pt>
                <pt idx="178">
                  <v>41944</v>
                </pt>
                <pt idx="179">
                  <v>41974</v>
                </pt>
                <pt idx="180">
                  <v>42005</v>
                </pt>
                <pt idx="181">
                  <v>42036</v>
                </pt>
                <pt idx="182">
                  <v>42064</v>
                </pt>
                <pt idx="183">
                  <v>42095</v>
                </pt>
                <pt idx="184">
                  <v>42125</v>
                </pt>
                <pt idx="185">
                  <v>42156</v>
                </pt>
                <pt idx="186">
                  <v>42186</v>
                </pt>
                <pt idx="187">
                  <v>42217</v>
                </pt>
                <pt idx="188">
                  <v>42248</v>
                </pt>
                <pt idx="189">
                  <v>42278</v>
                </pt>
                <pt idx="190">
                  <v>42309</v>
                </pt>
                <pt idx="191">
                  <v>42339</v>
                </pt>
                <pt idx="192">
                  <v>42370</v>
                </pt>
                <pt idx="193">
                  <v>42401</v>
                </pt>
                <pt idx="194">
                  <v>42430</v>
                </pt>
                <pt idx="195">
                  <v>42461</v>
                </pt>
                <pt idx="196">
                  <v>42491</v>
                </pt>
                <pt idx="197">
                  <v>42522</v>
                </pt>
                <pt idx="198">
                  <v>42552</v>
                </pt>
                <pt idx="199">
                  <v>42583</v>
                </pt>
                <pt idx="200">
                  <v>42614</v>
                </pt>
                <pt idx="201">
                  <v>42644</v>
                </pt>
                <pt idx="202">
                  <v>42675</v>
                </pt>
                <pt idx="203">
                  <v>42705</v>
                </pt>
                <pt idx="204">
                  <v>42736</v>
                </pt>
                <pt idx="205">
                  <v>42767</v>
                </pt>
                <pt idx="206">
                  <v>42795</v>
                </pt>
                <pt idx="207">
                  <v>42826</v>
                </pt>
                <pt idx="208">
                  <v>42856</v>
                </pt>
                <pt idx="209">
                  <v>42887</v>
                </pt>
                <pt idx="210">
                  <v>42917</v>
                </pt>
                <pt idx="211">
                  <v>42948</v>
                </pt>
                <pt idx="212">
                  <v>42979</v>
                </pt>
                <pt idx="213">
                  <v>43009</v>
                </pt>
                <pt idx="214">
                  <v>43040</v>
                </pt>
                <pt idx="215">
                  <v>43070</v>
                </pt>
                <pt idx="216">
                  <v>43101</v>
                </pt>
                <pt idx="217">
                  <v>43132</v>
                </pt>
                <pt idx="218">
                  <v>43160</v>
                </pt>
                <pt idx="219">
                  <v>43191</v>
                </pt>
                <pt idx="220">
                  <v>43221</v>
                </pt>
                <pt idx="221">
                  <v>43252</v>
                </pt>
                <pt idx="222">
                  <v>43282</v>
                </pt>
                <pt idx="223">
                  <v>43313</v>
                </pt>
                <pt idx="224">
                  <v>43344</v>
                </pt>
                <pt idx="225">
                  <v>43374</v>
                </pt>
                <pt idx="226">
                  <v>43405</v>
                </pt>
                <pt idx="227">
                  <v>43435</v>
                </pt>
                <pt idx="228">
                  <v>43466</v>
                </pt>
                <pt idx="229">
                  <v>43497</v>
                </pt>
                <pt idx="230">
                  <v>43525</v>
                </pt>
                <pt idx="231">
                  <v>43556</v>
                </pt>
                <pt idx="232">
                  <v>43586</v>
                </pt>
                <pt idx="233">
                  <v>43617</v>
                </pt>
                <pt idx="234">
                  <v>43647</v>
                </pt>
                <pt idx="235">
                  <v>43678</v>
                </pt>
                <pt idx="236">
                  <v>43709</v>
                </pt>
                <pt idx="237">
                  <v>43739</v>
                </pt>
                <pt idx="238">
                  <v>43770</v>
                </pt>
                <pt idx="239">
                  <v>43800</v>
                </pt>
                <pt idx="240">
                  <v>43831</v>
                </pt>
                <pt idx="241">
                  <v>43862</v>
                </pt>
                <pt idx="242">
                  <v>43891</v>
                </pt>
                <pt idx="243">
                  <v>43922</v>
                </pt>
                <pt idx="244">
                  <v>43952</v>
                </pt>
                <pt idx="245">
                  <v>43983</v>
                </pt>
                <pt idx="246">
                  <v>44013</v>
                </pt>
                <pt idx="247">
                  <v>44044</v>
                </pt>
                <pt idx="248">
                  <v>44075</v>
                </pt>
                <pt idx="249">
                  <v>44105</v>
                </pt>
                <pt idx="250">
                  <v>44136</v>
                </pt>
                <pt idx="251">
                  <v>44166</v>
                </pt>
                <pt idx="252">
                  <v>44197</v>
                </pt>
                <pt idx="253">
                  <v>44228</v>
                </pt>
                <pt idx="254">
                  <v>44256</v>
                </pt>
                <pt idx="255">
                  <v>44287</v>
                </pt>
                <pt idx="256">
                  <v>44317</v>
                </pt>
                <pt idx="257">
                  <v>44348</v>
                </pt>
                <pt idx="258">
                  <v>44378</v>
                </pt>
                <pt idx="259">
                  <v>44409</v>
                </pt>
                <pt idx="260">
                  <v>44440</v>
                </pt>
                <pt idx="261">
                  <v>44470</v>
                </pt>
                <pt idx="262">
                  <v>44501</v>
                </pt>
                <pt idx="263">
                  <v>44531</v>
                </pt>
                <pt idx="264">
                  <v>44562</v>
                </pt>
                <pt idx="265">
                  <v>44593</v>
                </pt>
                <pt idx="266">
                  <v>44621</v>
                </pt>
                <pt idx="267">
                  <v>44652</v>
                </pt>
                <pt idx="268">
                  <v>44682</v>
                </pt>
                <pt idx="269">
                  <v>44713</v>
                </pt>
                <pt idx="270">
                  <v>44743</v>
                </pt>
                <pt idx="271">
                  <v>44774</v>
                </pt>
                <pt idx="272">
                  <v>44805</v>
                </pt>
                <pt idx="273">
                  <v>44835</v>
                </pt>
                <pt idx="274">
                  <v>44866</v>
                </pt>
                <pt idx="275">
                  <v>44896</v>
                </pt>
                <pt idx="276">
                  <v>44927</v>
                </pt>
                <pt idx="277">
                  <v>44958</v>
                </pt>
              </numCache>
            </numRef>
          </cat>
          <val>
            <numRef>
              <f>Country!$B$474:$B$756</f>
              <numCache>
                <formatCode>0.00</formatCode>
                <ptCount val="283"/>
                <pt idx="0">
                  <v>38.7394</v>
                </pt>
                <pt idx="1">
                  <v>38.84899</v>
                </pt>
                <pt idx="2">
                  <v>39.1047</v>
                </pt>
                <pt idx="3">
                  <v>39.56879</v>
                </pt>
                <pt idx="4">
                  <v>39.4675</v>
                </pt>
                <pt idx="5">
                  <v>39.61611</v>
                </pt>
                <pt idx="6">
                  <v>39.76223</v>
                </pt>
                <pt idx="7">
                  <v>39.99552</v>
                </pt>
                <pt idx="8">
                  <v>40.2919</v>
                </pt>
                <pt idx="9">
                  <v>40.42474</v>
                </pt>
                <pt idx="10">
                  <v>40.51689</v>
                </pt>
                <pt idx="11">
                  <v>40.888</v>
                </pt>
                <pt idx="12">
                  <v>41.30891</v>
                </pt>
                <pt idx="13">
                  <v>41.62772</v>
                </pt>
                <pt idx="14">
                  <v>42.10841</v>
                </pt>
                <pt idx="15">
                  <v>42.63892</v>
                </pt>
                <pt idx="16">
                  <v>42.61484</v>
                </pt>
                <pt idx="17">
                  <v>42.95108</v>
                </pt>
                <pt idx="18">
                  <v>43.19931</v>
                </pt>
                <pt idx="19">
                  <v>43.47992</v>
                </pt>
                <pt idx="20">
                  <v>44.40312</v>
                </pt>
                <pt idx="21">
                  <v>44.3093</v>
                </pt>
                <pt idx="22">
                  <v>44.67211</v>
                </pt>
                <pt idx="23">
                  <v>45.11212</v>
                </pt>
                <pt idx="24">
                  <v>45.28065</v>
                </pt>
                <pt idx="25">
                  <v>45.52391</v>
                </pt>
                <pt idx="26">
                  <v>45.62187</v>
                </pt>
                <pt idx="27">
                  <v>45.62353</v>
                </pt>
                <pt idx="28">
                  <v>45.84022</v>
                </pt>
                <pt idx="29">
                  <v>46.04777</v>
                </pt>
                <pt idx="30">
                  <v>46.40144</v>
                </pt>
                <pt idx="31">
                  <v>46.75428</v>
                </pt>
                <pt idx="32">
                  <v>46.95685</v>
                </pt>
                <pt idx="33">
                  <v>47.32547</v>
                </pt>
                <pt idx="34">
                  <v>47.74224</v>
                </pt>
                <pt idx="35">
                  <v>47.9199</v>
                </pt>
                <pt idx="36">
                  <v>48.19055</v>
                </pt>
                <pt idx="37">
                  <v>48.49026</v>
                </pt>
                <pt idx="38">
                  <v>48.66211</v>
                </pt>
                <pt idx="39">
                  <v>48.97261</v>
                </pt>
                <pt idx="40">
                  <v>49.47489</v>
                </pt>
                <pt idx="41">
                  <v>49.77958</v>
                </pt>
                <pt idx="42">
                  <v>50.16729</v>
                </pt>
                <pt idx="43">
                  <v>50.64964</v>
                </pt>
                <pt idx="44">
                  <v>50.41718</v>
                </pt>
                <pt idx="45">
                  <v>50.3408</v>
                </pt>
                <pt idx="46">
                  <v>50.38646</v>
                </pt>
                <pt idx="47">
                  <v>50.37152</v>
                </pt>
                <pt idx="48">
                  <v>50.4396</v>
                </pt>
                <pt idx="49">
                  <v>50.76172</v>
                </pt>
                <pt idx="50">
                  <v>51.05894</v>
                </pt>
                <pt idx="51">
                  <v>51.40015</v>
                </pt>
                <pt idx="52">
                  <v>52.03859</v>
                </pt>
                <pt idx="53">
                  <v>52.05851</v>
                </pt>
                <pt idx="54">
                  <v>52.17308</v>
                </pt>
                <pt idx="55">
                  <v>52.39143</v>
                </pt>
                <pt idx="56">
                  <v>52.67951</v>
                </pt>
                <pt idx="57">
                  <v>52.91197</v>
                </pt>
                <pt idx="58">
                  <v>53.13198</v>
                </pt>
                <pt idx="59">
                  <v>53.28557</v>
                </pt>
                <pt idx="60">
                  <v>53.33704</v>
                </pt>
                <pt idx="61">
                  <v>53.40595</v>
                </pt>
                <pt idx="62">
                  <v>53.4815</v>
                </pt>
                <pt idx="63">
                  <v>53.59773</v>
                </pt>
                <pt idx="64">
                  <v>53.74219</v>
                </pt>
                <pt idx="65">
                  <v>54.012</v>
                </pt>
                <pt idx="66">
                  <v>54.27435</v>
                </pt>
                <pt idx="67">
                  <v>54.54666</v>
                </pt>
                <pt idx="68">
                  <v>54.82977</v>
                </pt>
                <pt idx="69">
                  <v>55.11453</v>
                </pt>
                <pt idx="70">
                  <v>55.25068</v>
                </pt>
                <pt idx="71">
                  <v>55.47401</v>
                </pt>
                <pt idx="72">
                  <v>55.82602</v>
                </pt>
                <pt idx="73">
                  <v>56.02776</v>
                </pt>
                <pt idx="74">
                  <v>56.14648</v>
                </pt>
                <pt idx="75">
                  <v>56.45532</v>
                </pt>
                <pt idx="76">
                  <v>56.51178</v>
                </pt>
                <pt idx="77">
                  <v>56.82726</v>
                </pt>
                <pt idx="78">
                  <v>57.17097</v>
                </pt>
                <pt idx="79">
                  <v>57.42667</v>
                </pt>
                <pt idx="80">
                  <v>57.65166</v>
                </pt>
                <pt idx="81">
                  <v>58.0593</v>
                </pt>
                <pt idx="82">
                  <v>58.3507</v>
                </pt>
                <pt idx="83">
                  <v>58.70935</v>
                </pt>
                <pt idx="84">
                  <v>59.02483</v>
                </pt>
                <pt idx="85">
                  <v>59.15517</v>
                </pt>
                <pt idx="86">
                  <v>59.43579</v>
                </pt>
                <pt idx="87">
                  <v>60.0352</v>
                </pt>
                <pt idx="88">
                  <v>60.15226</v>
                </pt>
                <pt idx="89">
                  <v>60.42789</v>
                </pt>
                <pt idx="90">
                  <v>60.68027</v>
                </pt>
                <pt idx="91">
                  <v>61.31207</v>
                </pt>
                <pt idx="92">
                  <v>61.46234</v>
                </pt>
                <pt idx="93">
                  <v>61.57857</v>
                </pt>
                <pt idx="94">
                  <v>61.7828</v>
                </pt>
                <pt idx="95">
                  <v>62.0302</v>
                </pt>
                <pt idx="96">
                  <v>62.31165</v>
                </pt>
                <pt idx="97">
                  <v>63.01816</v>
                </pt>
                <pt idx="98">
                  <v>63.56277</v>
                </pt>
                <pt idx="99">
                  <v>63.91977</v>
                </pt>
                <pt idx="100">
                  <v>64.01939</v>
                </pt>
                <pt idx="101">
                  <v>64.16634000000001</v>
                </pt>
                <pt idx="102">
                  <v>64.55239</v>
                </pt>
                <pt idx="103">
                  <v>64.67525999999999</v>
                </pt>
                <pt idx="104">
                  <v>65.25060000000001</v>
                </pt>
                <pt idx="105">
                  <v>66.12897</v>
                </pt>
                <pt idx="106">
                  <v>66.54823</v>
                </pt>
                <pt idx="107">
                  <v>68.01188999999999</v>
                </pt>
                <pt idx="108">
                  <v>68.68935</v>
                </pt>
                <pt idx="109">
                  <v>68.93343</v>
                </pt>
                <pt idx="110">
                  <v>69.48302</v>
                </pt>
                <pt idx="111">
                  <v>69.51291999999999</v>
                </pt>
                <pt idx="112">
                  <v>69.99276999999999</v>
                </pt>
                <pt idx="113">
                  <v>70.07413</v>
                </pt>
                <pt idx="114">
                  <v>70.11233</v>
                </pt>
                <pt idx="115">
                  <v>70.11150000000001</v>
                </pt>
                <pt idx="116">
                  <v>70.10486</v>
                </pt>
                <pt idx="117">
                  <v>70.32819000000001</v>
                </pt>
                <pt idx="118">
                  <v>70.57474999999999</v>
                </pt>
                <pt idx="119">
                  <v>70.53489999999999</v>
                </pt>
                <pt idx="120">
                  <v>70.22024999999999</v>
                </pt>
                <pt idx="121">
                  <v>70.62954999999999</v>
                </pt>
                <pt idx="122">
                  <v>70.60548</v>
                </pt>
                <pt idx="123">
                  <v>70.86035</v>
                </pt>
                <pt idx="124">
                  <v>71.31448</v>
                </pt>
                <pt idx="125">
                  <v>71.47305</v>
                </pt>
                <pt idx="126">
                  <v>71.55441</v>
                </pt>
                <pt idx="127">
                  <v>71.97201</v>
                </pt>
                <pt idx="128">
                  <v>72.22937</v>
                </pt>
                <pt idx="129">
                  <v>72.63866</v>
                </pt>
                <pt idx="130">
                  <v>72.80969</v>
                </pt>
                <pt idx="131">
                  <v>73.0737</v>
                </pt>
                <pt idx="132">
                  <v>73.25053</v>
                </pt>
                <pt idx="133">
                  <v>73.78021</v>
                </pt>
                <pt idx="134">
                  <v>74.25011000000001</v>
                </pt>
                <pt idx="135">
                  <v>74.75986</v>
                </pt>
                <pt idx="136">
                  <v>75.34599</v>
                </pt>
                <pt idx="137">
                  <v>75.97280000000001</v>
                </pt>
                <pt idx="138">
                  <v>77.34763</v>
                </pt>
                <pt idx="139">
                  <v>78.93334</v>
                </pt>
                <pt idx="140">
                  <v>79.10518999999999</v>
                </pt>
                <pt idx="141">
                  <v>79.38581000000001</v>
                </pt>
                <pt idx="142">
                  <v>79.80507</v>
                </pt>
                <pt idx="143">
                  <v>80.19942</v>
                </pt>
                <pt idx="144">
                  <v>80.80714</v>
                </pt>
                <pt idx="145">
                  <v>81.24216</v>
                </pt>
                <pt idx="146">
                  <v>81.61493</v>
                </pt>
                <pt idx="147">
                  <v>82.06325</v>
                </pt>
                <pt idx="148">
                  <v>82.42688</v>
                </pt>
                <pt idx="149">
                  <v>83.0155</v>
                </pt>
                <pt idx="150">
                  <v>83.45135999999999</v>
                </pt>
                <pt idx="151">
                  <v>84.02836000000001</v>
                </pt>
                <pt idx="152">
                  <v>84.68838</v>
                </pt>
                <pt idx="153">
                  <v>85.24047</v>
                </pt>
                <pt idx="154">
                  <v>85.82411</v>
                </pt>
                <pt idx="155">
                  <v>86.8378</v>
                </pt>
                <pt idx="156">
                  <v>87.03041</v>
                </pt>
                <pt idx="157">
                  <v>87.18317</v>
                </pt>
                <pt idx="158">
                  <v>87.65639</v>
                </pt>
                <pt idx="159">
                  <v>87.88885000000001</v>
                </pt>
                <pt idx="160">
                  <v>88.17693</v>
                </pt>
                <pt idx="161">
                  <v>88.65597</v>
                </pt>
                <pt idx="162">
                  <v>88.98557</v>
                </pt>
                <pt idx="163">
                  <v>89.46875</v>
                </pt>
                <pt idx="164">
                  <v>89.97186000000001</v>
                </pt>
                <pt idx="165">
                  <v>91.00463999999999</v>
                </pt>
                <pt idx="166">
                  <v>91.07189</v>
                </pt>
                <pt idx="167">
                  <v>91.61400999999999</v>
                </pt>
                <pt idx="168">
                  <v>91.99426</v>
                </pt>
                <pt idx="169">
                  <v>92.80786000000001</v>
                </pt>
                <pt idx="170">
                  <v>93.05112</v>
                </pt>
                <pt idx="171">
                  <v>93.4629</v>
                </pt>
                <pt idx="172">
                  <v>93.98842999999999</v>
                </pt>
                <pt idx="173">
                  <v>94.43591000000001</v>
                </pt>
                <pt idx="174">
                  <v>94.89252999999999</v>
                </pt>
                <pt idx="175">
                  <v>95.13329</v>
                </pt>
                <pt idx="176">
                  <v>95.47284999999999</v>
                </pt>
                <pt idx="177">
                  <v>96.02245000000001</v>
                </pt>
                <pt idx="178">
                  <v>96.34457</v>
                </pt>
                <pt idx="179">
                  <v>97.00957</v>
                </pt>
                <pt idx="180">
                  <v>97.51351</v>
                </pt>
                <pt idx="181">
                  <v>98.62102</v>
                </pt>
                <pt idx="182">
                  <v>98.68577999999999</v>
                </pt>
                <pt idx="183">
                  <v>99.03529</v>
                </pt>
                <pt idx="184">
                  <v>99.27605</v>
                </pt>
                <pt idx="185">
                  <v>99.63969</v>
                </pt>
                <pt idx="186">
                  <v>100.0515</v>
                </pt>
                <pt idx="187">
                  <v>100.4716</v>
                </pt>
                <pt idx="188">
                  <v>100.9606</v>
                </pt>
                <pt idx="189">
                  <v>101.252</v>
                </pt>
                <pt idx="190">
                  <v>101.9884</v>
                </pt>
                <pt idx="191">
                  <v>102.5048</v>
                </pt>
                <pt idx="192">
                  <v>103.5267</v>
                </pt>
                <pt idx="193">
                  <v>104.2474</v>
                </pt>
                <pt idx="194">
                  <v>104.7455</v>
                </pt>
                <pt idx="195">
                  <v>105.4404</v>
                </pt>
                <pt idx="196">
                  <v>105.9867</v>
                </pt>
                <pt idx="197">
                  <v>106.5114</v>
                </pt>
                <pt idx="198">
                  <v>106.9954</v>
                </pt>
                <pt idx="199">
                  <v>107.7019</v>
                </pt>
                <pt idx="200">
                  <v>108.2067</v>
                </pt>
                <pt idx="201">
                  <v>108.7621</v>
                </pt>
                <pt idx="202">
                  <v>109.3673</v>
                </pt>
                <pt idx="203">
                  <v>109.6994</v>
                </pt>
                <pt idx="204">
                  <v>110.2805</v>
                </pt>
                <pt idx="205">
                  <v>110.9065</v>
                </pt>
                <pt idx="206">
                  <v>111.4719</v>
                </pt>
                <pt idx="207">
                  <v>111.9534</v>
                </pt>
                <pt idx="208">
                  <v>112.3951</v>
                </pt>
                <pt idx="209">
                  <v>112.5703</v>
                </pt>
                <pt idx="210">
                  <v>113.0642</v>
                </pt>
                <pt idx="211">
                  <v>113.5209</v>
                </pt>
                <pt idx="212">
                  <v>113.8878</v>
                </pt>
                <pt idx="213">
                  <v>114.3212</v>
                </pt>
                <pt idx="214">
                  <v>114.5686</v>
                </pt>
                <pt idx="215">
                  <v>115.0501</v>
                </pt>
                <pt idx="216">
                  <v>115.1481</v>
                </pt>
                <pt idx="217">
                  <v>115.5017</v>
                </pt>
                <pt idx="218">
                  <v>115.9824</v>
                </pt>
                <pt idx="219">
                  <v>116.1369</v>
                </pt>
                <pt idx="220">
                  <v>116.6217</v>
                </pt>
                <pt idx="221">
                  <v>117.0899</v>
                </pt>
                <pt idx="222">
                  <v>117.3855</v>
                </pt>
                <pt idx="223">
                  <v>117.735</v>
                </pt>
                <pt idx="224">
                  <v>117.9974</v>
                </pt>
                <pt idx="225">
                  <v>118.0771</v>
                </pt>
                <pt idx="226">
                  <v>118.1958</v>
                </pt>
                <pt idx="227">
                  <v>119.241</v>
                </pt>
                <pt idx="228">
                  <v>119.7998</v>
                </pt>
                <pt idx="229">
                  <v>120.131</v>
                </pt>
                <pt idx="230">
                  <v>120.4631</v>
                </pt>
                <pt idx="231">
                  <v>120.7213</v>
                </pt>
                <pt idx="232">
                  <v>121.5698</v>
                </pt>
                <pt idx="233">
                  <v>122.5204</v>
                </pt>
                <pt idx="234">
                  <v>123.2086</v>
                </pt>
                <pt idx="235">
                  <v>123.823</v>
                </pt>
                <pt idx="236">
                  <v>124.5992</v>
                </pt>
                <pt idx="237">
                  <v>125.7009</v>
                </pt>
                <pt idx="238">
                  <v>126.5427</v>
                </pt>
                <pt idx="239">
                  <v>127.1945</v>
                </pt>
                <pt idx="240">
                  <v>127.8196</v>
                </pt>
                <pt idx="241">
                  <v>128.2704</v>
                </pt>
                <pt idx="242">
                  <v>132.6573</v>
                </pt>
                <pt idx="243">
                  <v>141.1163</v>
                </pt>
                <pt idx="244">
                  <v>148.2022</v>
                </pt>
                <pt idx="245">
                  <v>150.5318</v>
                </pt>
                <pt idx="246">
                  <v>151.8153</v>
                </pt>
                <pt idx="247">
                  <v>152.3109</v>
                </pt>
                <pt idx="248">
                  <v>154.2312</v>
                </pt>
                <pt idx="249">
                  <v>155.4914</v>
                </pt>
                <pt idx="250">
                  <v>157.3196</v>
                </pt>
                <pt idx="251">
                  <v>158.6869</v>
                </pt>
                <pt idx="252">
                  <v>160.7002</v>
                </pt>
                <pt idx="253">
                  <v>162.7267</v>
                </pt>
                <pt idx="254">
                  <v>164.7168</v>
                </pt>
                <pt idx="255">
                  <v>167.0156</v>
                </pt>
                <pt idx="256">
                  <v>169.6325</v>
                </pt>
                <pt idx="257">
                  <v>170.251</v>
                </pt>
                <pt idx="258">
                  <v>171.5494</v>
                </pt>
                <pt idx="259">
                  <v>173.0853</v>
                </pt>
                <pt idx="260">
                  <v>174.0484</v>
                </pt>
                <pt idx="261">
                  <v>175.3078</v>
                </pt>
                <pt idx="262">
                  <v>176.9691</v>
                </pt>
                <pt idx="263">
                  <v>178.9142</v>
                </pt>
                <pt idx="264">
                  <v>179.0097</v>
                </pt>
                <pt idx="265">
                  <v>179.0795</v>
                </pt>
                <pt idx="266">
                  <v>180.1371</v>
                </pt>
                <pt idx="267">
                  <v>179.9744</v>
                </pt>
                <pt idx="268">
                  <v>179.8707</v>
                </pt>
                <pt idx="269">
                  <v>179.8806</v>
                </pt>
                <pt idx="270">
                  <v>180.1828</v>
                </pt>
                <pt idx="271">
                  <v>179.8134</v>
                </pt>
                <pt idx="272">
                  <v>178.6893</v>
                </pt>
                <pt idx="273">
                  <v>177.8682</v>
                </pt>
                <pt idx="274">
                  <v>177.4713</v>
                </pt>
                <pt idx="275">
                  <v>177.0446</v>
                </pt>
                <pt idx="276">
                  <v>175.8682</v>
                </pt>
                <pt idx="277">
                  <v>174.8636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smooth val="0"/>
        <axId val="1282605200"/>
        <axId val="1282607168"/>
      </lineChart>
      <dateAx>
        <axId val="1282605200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82607168"/>
        <crosses val="autoZero"/>
        <lblOffset val="100"/>
        <baseTimeUnit val="months"/>
      </dateAx>
      <valAx>
        <axId val="128260716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0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82605200"/>
        <crosses val="autoZero"/>
        <crossBetween val="between"/>
      </valAx>
    </plotArea>
    <plotVisOnly val="1"/>
    <dispBlanksAs val="gap"/>
  </chart>
</chartSpace>
</file>

<file path=xl/charts/chart11.xml><?xml version="1.0" encoding="utf-8"?>
<chartSpace xmlns="http://schemas.openxmlformats.org/drawingml/2006/chart">
  <chart>
    <title>
      <tx>
        <strRef>
          <f>Country!$G$1</f>
          <strCache>
            <ptCount val="1"/>
            <pt idx="0">
              <v>Money Supply M3 USA mom annualized</v>
            </pt>
          </strCache>
        </strRef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2"/>
          <order val="0"/>
          <tx>
            <strRef>
              <f>Country!$G$1</f>
              <strCache>
                <ptCount val="1"/>
                <pt idx="0">
                  <v>Money Supply M3 USA mom annualized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Country!$A$474:$A$755</f>
              <numCache>
                <formatCode>m/d/yyyy</formatCode>
                <ptCount val="282"/>
                <pt idx="0">
                  <v>36526</v>
                </pt>
                <pt idx="1">
                  <v>36557</v>
                </pt>
                <pt idx="2">
                  <v>36586</v>
                </pt>
                <pt idx="3">
                  <v>36617</v>
                </pt>
                <pt idx="4">
                  <v>36647</v>
                </pt>
                <pt idx="5">
                  <v>36678</v>
                </pt>
                <pt idx="6">
                  <v>36708</v>
                </pt>
                <pt idx="7">
                  <v>36739</v>
                </pt>
                <pt idx="8">
                  <v>36770</v>
                </pt>
                <pt idx="9">
                  <v>36800</v>
                </pt>
                <pt idx="10">
                  <v>36831</v>
                </pt>
                <pt idx="11">
                  <v>36861</v>
                </pt>
                <pt idx="12">
                  <v>36892</v>
                </pt>
                <pt idx="13">
                  <v>36923</v>
                </pt>
                <pt idx="14">
                  <v>36951</v>
                </pt>
                <pt idx="15">
                  <v>36982</v>
                </pt>
                <pt idx="16">
                  <v>37012</v>
                </pt>
                <pt idx="17">
                  <v>37043</v>
                </pt>
                <pt idx="18">
                  <v>37073</v>
                </pt>
                <pt idx="19">
                  <v>37104</v>
                </pt>
                <pt idx="20">
                  <v>37135</v>
                </pt>
                <pt idx="21">
                  <v>37165</v>
                </pt>
                <pt idx="22">
                  <v>37196</v>
                </pt>
                <pt idx="23">
                  <v>37226</v>
                </pt>
                <pt idx="24">
                  <v>37257</v>
                </pt>
                <pt idx="25">
                  <v>37288</v>
                </pt>
                <pt idx="26">
                  <v>37316</v>
                </pt>
                <pt idx="27">
                  <v>37347</v>
                </pt>
                <pt idx="28">
                  <v>37377</v>
                </pt>
                <pt idx="29">
                  <v>37408</v>
                </pt>
                <pt idx="30">
                  <v>37438</v>
                </pt>
                <pt idx="31">
                  <v>37469</v>
                </pt>
                <pt idx="32">
                  <v>37500</v>
                </pt>
                <pt idx="33">
                  <v>37530</v>
                </pt>
                <pt idx="34">
                  <v>37561</v>
                </pt>
                <pt idx="35">
                  <v>37591</v>
                </pt>
                <pt idx="36">
                  <v>37622</v>
                </pt>
                <pt idx="37">
                  <v>37653</v>
                </pt>
                <pt idx="38">
                  <v>37681</v>
                </pt>
                <pt idx="39">
                  <v>37712</v>
                </pt>
                <pt idx="40">
                  <v>37742</v>
                </pt>
                <pt idx="41">
                  <v>37773</v>
                </pt>
                <pt idx="42">
                  <v>37803</v>
                </pt>
                <pt idx="43">
                  <v>37834</v>
                </pt>
                <pt idx="44">
                  <v>37865</v>
                </pt>
                <pt idx="45">
                  <v>37895</v>
                </pt>
                <pt idx="46">
                  <v>37926</v>
                </pt>
                <pt idx="47">
                  <v>37956</v>
                </pt>
                <pt idx="48">
                  <v>37987</v>
                </pt>
                <pt idx="49">
                  <v>38018</v>
                </pt>
                <pt idx="50">
                  <v>38047</v>
                </pt>
                <pt idx="51">
                  <v>38078</v>
                </pt>
                <pt idx="52">
                  <v>38108</v>
                </pt>
                <pt idx="53">
                  <v>38139</v>
                </pt>
                <pt idx="54">
                  <v>38169</v>
                </pt>
                <pt idx="55">
                  <v>38200</v>
                </pt>
                <pt idx="56">
                  <v>38231</v>
                </pt>
                <pt idx="57">
                  <v>38261</v>
                </pt>
                <pt idx="58">
                  <v>38292</v>
                </pt>
                <pt idx="59">
                  <v>38322</v>
                </pt>
                <pt idx="60">
                  <v>38353</v>
                </pt>
                <pt idx="61">
                  <v>38384</v>
                </pt>
                <pt idx="62">
                  <v>38412</v>
                </pt>
                <pt idx="63">
                  <v>38443</v>
                </pt>
                <pt idx="64">
                  <v>38473</v>
                </pt>
                <pt idx="65">
                  <v>38504</v>
                </pt>
                <pt idx="66">
                  <v>38534</v>
                </pt>
                <pt idx="67">
                  <v>38565</v>
                </pt>
                <pt idx="68">
                  <v>38596</v>
                </pt>
                <pt idx="69">
                  <v>38626</v>
                </pt>
                <pt idx="70">
                  <v>38657</v>
                </pt>
                <pt idx="71">
                  <v>38687</v>
                </pt>
                <pt idx="72">
                  <v>38718</v>
                </pt>
                <pt idx="73">
                  <v>38749</v>
                </pt>
                <pt idx="74">
                  <v>38777</v>
                </pt>
                <pt idx="75">
                  <v>38808</v>
                </pt>
                <pt idx="76">
                  <v>38838</v>
                </pt>
                <pt idx="77">
                  <v>38869</v>
                </pt>
                <pt idx="78">
                  <v>38899</v>
                </pt>
                <pt idx="79">
                  <v>38930</v>
                </pt>
                <pt idx="80">
                  <v>38961</v>
                </pt>
                <pt idx="81">
                  <v>38991</v>
                </pt>
                <pt idx="82">
                  <v>39022</v>
                </pt>
                <pt idx="83">
                  <v>39052</v>
                </pt>
                <pt idx="84">
                  <v>39083</v>
                </pt>
                <pt idx="85">
                  <v>39114</v>
                </pt>
                <pt idx="86">
                  <v>39142</v>
                </pt>
                <pt idx="87">
                  <v>39173</v>
                </pt>
                <pt idx="88">
                  <v>39203</v>
                </pt>
                <pt idx="89">
                  <v>39234</v>
                </pt>
                <pt idx="90">
                  <v>39264</v>
                </pt>
                <pt idx="91">
                  <v>39295</v>
                </pt>
                <pt idx="92">
                  <v>39326</v>
                </pt>
                <pt idx="93">
                  <v>39356</v>
                </pt>
                <pt idx="94">
                  <v>39387</v>
                </pt>
                <pt idx="95">
                  <v>39417</v>
                </pt>
                <pt idx="96">
                  <v>39448</v>
                </pt>
                <pt idx="97">
                  <v>39479</v>
                </pt>
                <pt idx="98">
                  <v>39508</v>
                </pt>
                <pt idx="99">
                  <v>39539</v>
                </pt>
                <pt idx="100">
                  <v>39569</v>
                </pt>
                <pt idx="101">
                  <v>39600</v>
                </pt>
                <pt idx="102">
                  <v>39630</v>
                </pt>
                <pt idx="103">
                  <v>39661</v>
                </pt>
                <pt idx="104">
                  <v>39692</v>
                </pt>
                <pt idx="105">
                  <v>39722</v>
                </pt>
                <pt idx="106">
                  <v>39753</v>
                </pt>
                <pt idx="107">
                  <v>39783</v>
                </pt>
                <pt idx="108">
                  <v>39814</v>
                </pt>
                <pt idx="109">
                  <v>39845</v>
                </pt>
                <pt idx="110">
                  <v>39873</v>
                </pt>
                <pt idx="111">
                  <v>39904</v>
                </pt>
                <pt idx="112">
                  <v>39934</v>
                </pt>
                <pt idx="113">
                  <v>39965</v>
                </pt>
                <pt idx="114">
                  <v>39995</v>
                </pt>
                <pt idx="115">
                  <v>40026</v>
                </pt>
                <pt idx="116">
                  <v>40057</v>
                </pt>
                <pt idx="117">
                  <v>40087</v>
                </pt>
                <pt idx="118">
                  <v>40118</v>
                </pt>
                <pt idx="119">
                  <v>40148</v>
                </pt>
                <pt idx="120">
                  <v>40179</v>
                </pt>
                <pt idx="121">
                  <v>40210</v>
                </pt>
                <pt idx="122">
                  <v>40238</v>
                </pt>
                <pt idx="123">
                  <v>40269</v>
                </pt>
                <pt idx="124">
                  <v>40299</v>
                </pt>
                <pt idx="125">
                  <v>40330</v>
                </pt>
                <pt idx="126">
                  <v>40360</v>
                </pt>
                <pt idx="127">
                  <v>40391</v>
                </pt>
                <pt idx="128">
                  <v>40422</v>
                </pt>
                <pt idx="129">
                  <v>40452</v>
                </pt>
                <pt idx="130">
                  <v>40483</v>
                </pt>
                <pt idx="131">
                  <v>40513</v>
                </pt>
                <pt idx="132">
                  <v>40544</v>
                </pt>
                <pt idx="133">
                  <v>40575</v>
                </pt>
                <pt idx="134">
                  <v>40603</v>
                </pt>
                <pt idx="135">
                  <v>40634</v>
                </pt>
                <pt idx="136">
                  <v>40664</v>
                </pt>
                <pt idx="137">
                  <v>40695</v>
                </pt>
                <pt idx="138">
                  <v>40725</v>
                </pt>
                <pt idx="139">
                  <v>40756</v>
                </pt>
                <pt idx="140">
                  <v>40787</v>
                </pt>
                <pt idx="141">
                  <v>40817</v>
                </pt>
                <pt idx="142">
                  <v>40848</v>
                </pt>
                <pt idx="143">
                  <v>40878</v>
                </pt>
                <pt idx="144">
                  <v>40909</v>
                </pt>
                <pt idx="145">
                  <v>40940</v>
                </pt>
                <pt idx="146">
                  <v>40969</v>
                </pt>
                <pt idx="147">
                  <v>41000</v>
                </pt>
                <pt idx="148">
                  <v>41030</v>
                </pt>
                <pt idx="149">
                  <v>41061</v>
                </pt>
                <pt idx="150">
                  <v>41091</v>
                </pt>
                <pt idx="151">
                  <v>41122</v>
                </pt>
                <pt idx="152">
                  <v>41153</v>
                </pt>
                <pt idx="153">
                  <v>41183</v>
                </pt>
                <pt idx="154">
                  <v>41214</v>
                </pt>
                <pt idx="155">
                  <v>41244</v>
                </pt>
                <pt idx="156">
                  <v>41275</v>
                </pt>
                <pt idx="157">
                  <v>41306</v>
                </pt>
                <pt idx="158">
                  <v>41334</v>
                </pt>
                <pt idx="159">
                  <v>41365</v>
                </pt>
                <pt idx="160">
                  <v>41395</v>
                </pt>
                <pt idx="161">
                  <v>41426</v>
                </pt>
                <pt idx="162">
                  <v>41456</v>
                </pt>
                <pt idx="163">
                  <v>41487</v>
                </pt>
                <pt idx="164">
                  <v>41518</v>
                </pt>
                <pt idx="165">
                  <v>41548</v>
                </pt>
                <pt idx="166">
                  <v>41579</v>
                </pt>
                <pt idx="167">
                  <v>41609</v>
                </pt>
                <pt idx="168">
                  <v>41640</v>
                </pt>
                <pt idx="169">
                  <v>41671</v>
                </pt>
                <pt idx="170">
                  <v>41699</v>
                </pt>
                <pt idx="171">
                  <v>41730</v>
                </pt>
                <pt idx="172">
                  <v>41760</v>
                </pt>
                <pt idx="173">
                  <v>41791</v>
                </pt>
                <pt idx="174">
                  <v>41821</v>
                </pt>
                <pt idx="175">
                  <v>41852</v>
                </pt>
                <pt idx="176">
                  <v>41883</v>
                </pt>
                <pt idx="177">
                  <v>41913</v>
                </pt>
                <pt idx="178">
                  <v>41944</v>
                </pt>
                <pt idx="179">
                  <v>41974</v>
                </pt>
                <pt idx="180">
                  <v>42005</v>
                </pt>
                <pt idx="181">
                  <v>42036</v>
                </pt>
                <pt idx="182">
                  <v>42064</v>
                </pt>
                <pt idx="183">
                  <v>42095</v>
                </pt>
                <pt idx="184">
                  <v>42125</v>
                </pt>
                <pt idx="185">
                  <v>42156</v>
                </pt>
                <pt idx="186">
                  <v>42186</v>
                </pt>
                <pt idx="187">
                  <v>42217</v>
                </pt>
                <pt idx="188">
                  <v>42248</v>
                </pt>
                <pt idx="189">
                  <v>42278</v>
                </pt>
                <pt idx="190">
                  <v>42309</v>
                </pt>
                <pt idx="191">
                  <v>42339</v>
                </pt>
                <pt idx="192">
                  <v>42370</v>
                </pt>
                <pt idx="193">
                  <v>42401</v>
                </pt>
                <pt idx="194">
                  <v>42430</v>
                </pt>
                <pt idx="195">
                  <v>42461</v>
                </pt>
                <pt idx="196">
                  <v>42491</v>
                </pt>
                <pt idx="197">
                  <v>42522</v>
                </pt>
                <pt idx="198">
                  <v>42552</v>
                </pt>
                <pt idx="199">
                  <v>42583</v>
                </pt>
                <pt idx="200">
                  <v>42614</v>
                </pt>
                <pt idx="201">
                  <v>42644</v>
                </pt>
                <pt idx="202">
                  <v>42675</v>
                </pt>
                <pt idx="203">
                  <v>42705</v>
                </pt>
                <pt idx="204">
                  <v>42736</v>
                </pt>
                <pt idx="205">
                  <v>42767</v>
                </pt>
                <pt idx="206">
                  <v>42795</v>
                </pt>
                <pt idx="207">
                  <v>42826</v>
                </pt>
                <pt idx="208">
                  <v>42856</v>
                </pt>
                <pt idx="209">
                  <v>42887</v>
                </pt>
                <pt idx="210">
                  <v>42917</v>
                </pt>
                <pt idx="211">
                  <v>42948</v>
                </pt>
                <pt idx="212">
                  <v>42979</v>
                </pt>
                <pt idx="213">
                  <v>43009</v>
                </pt>
                <pt idx="214">
                  <v>43040</v>
                </pt>
                <pt idx="215">
                  <v>43070</v>
                </pt>
                <pt idx="216">
                  <v>43101</v>
                </pt>
                <pt idx="217">
                  <v>43132</v>
                </pt>
                <pt idx="218">
                  <v>43160</v>
                </pt>
                <pt idx="219">
                  <v>43191</v>
                </pt>
                <pt idx="220">
                  <v>43221</v>
                </pt>
                <pt idx="221">
                  <v>43252</v>
                </pt>
                <pt idx="222">
                  <v>43282</v>
                </pt>
                <pt idx="223">
                  <v>43313</v>
                </pt>
                <pt idx="224">
                  <v>43344</v>
                </pt>
                <pt idx="225">
                  <v>43374</v>
                </pt>
                <pt idx="226">
                  <v>43405</v>
                </pt>
                <pt idx="227">
                  <v>43435</v>
                </pt>
                <pt idx="228">
                  <v>43466</v>
                </pt>
                <pt idx="229">
                  <v>43497</v>
                </pt>
                <pt idx="230">
                  <v>43525</v>
                </pt>
                <pt idx="231">
                  <v>43556</v>
                </pt>
                <pt idx="232">
                  <v>43586</v>
                </pt>
                <pt idx="233">
                  <v>43617</v>
                </pt>
                <pt idx="234">
                  <v>43647</v>
                </pt>
                <pt idx="235">
                  <v>43678</v>
                </pt>
                <pt idx="236">
                  <v>43709</v>
                </pt>
                <pt idx="237">
                  <v>43739</v>
                </pt>
                <pt idx="238">
                  <v>43770</v>
                </pt>
                <pt idx="239">
                  <v>43800</v>
                </pt>
                <pt idx="240">
                  <v>43831</v>
                </pt>
                <pt idx="241">
                  <v>43862</v>
                </pt>
                <pt idx="242">
                  <v>43891</v>
                </pt>
                <pt idx="243">
                  <v>43922</v>
                </pt>
                <pt idx="244">
                  <v>43952</v>
                </pt>
                <pt idx="245">
                  <v>43983</v>
                </pt>
                <pt idx="246">
                  <v>44013</v>
                </pt>
                <pt idx="247">
                  <v>44044</v>
                </pt>
                <pt idx="248">
                  <v>44075</v>
                </pt>
                <pt idx="249">
                  <v>44105</v>
                </pt>
                <pt idx="250">
                  <v>44136</v>
                </pt>
                <pt idx="251">
                  <v>44166</v>
                </pt>
                <pt idx="252">
                  <v>44197</v>
                </pt>
                <pt idx="253">
                  <v>44228</v>
                </pt>
                <pt idx="254">
                  <v>44256</v>
                </pt>
                <pt idx="255">
                  <v>44287</v>
                </pt>
                <pt idx="256">
                  <v>44317</v>
                </pt>
                <pt idx="257">
                  <v>44348</v>
                </pt>
                <pt idx="258">
                  <v>44378</v>
                </pt>
                <pt idx="259">
                  <v>44409</v>
                </pt>
                <pt idx="260">
                  <v>44440</v>
                </pt>
                <pt idx="261">
                  <v>44470</v>
                </pt>
                <pt idx="262">
                  <v>44501</v>
                </pt>
                <pt idx="263">
                  <v>44531</v>
                </pt>
                <pt idx="264">
                  <v>44562</v>
                </pt>
                <pt idx="265">
                  <v>44593</v>
                </pt>
                <pt idx="266">
                  <v>44621</v>
                </pt>
                <pt idx="267">
                  <v>44652</v>
                </pt>
                <pt idx="268">
                  <v>44682</v>
                </pt>
                <pt idx="269">
                  <v>44713</v>
                </pt>
                <pt idx="270">
                  <v>44743</v>
                </pt>
                <pt idx="271">
                  <v>44774</v>
                </pt>
                <pt idx="272">
                  <v>44805</v>
                </pt>
                <pt idx="273">
                  <v>44835</v>
                </pt>
                <pt idx="274">
                  <v>44866</v>
                </pt>
                <pt idx="275">
                  <v>44896</v>
                </pt>
                <pt idx="276">
                  <v>44927</v>
                </pt>
                <pt idx="277">
                  <v>44958</v>
                </pt>
              </numCache>
            </numRef>
          </cat>
          <val>
            <numRef>
              <f>Country!$D$474:$D$755</f>
              <numCache>
                <formatCode>0.0%</formatCode>
                <ptCount val="282"/>
                <pt idx="0">
                  <v>0.07545254266866364</v>
                </pt>
                <pt idx="1">
                  <v>0.034480024515402</v>
                </pt>
                <pt idx="2">
                  <v>0.08190894642263169</v>
                </pt>
                <pt idx="3">
                  <v>0.1520882232821739</v>
                </pt>
                <pt idx="4">
                  <v>-0.03028933299494407</v>
                </pt>
                <pt idx="5">
                  <v>0.04613211588595312</v>
                </pt>
                <pt idx="6">
                  <v>0.04516979580991864</v>
                </pt>
                <pt idx="7">
                  <v>0.07272246113572667</v>
                </pt>
                <pt idx="8">
                  <v>0.09263925046329713</v>
                </pt>
                <pt idx="9">
                  <v>0.04028863781296366</v>
                </pt>
                <pt idx="10">
                  <v>0.02770011260428529</v>
                </pt>
                <pt idx="11">
                  <v>0.1156223013519249</v>
                </pt>
                <pt idx="12">
                  <v>0.1307703484853924</v>
                </pt>
                <pt idx="13">
                  <v>0.09664653167033421</v>
                </pt>
                <pt idx="14">
                  <v>0.1477164818574606</v>
                </pt>
                <pt idx="15">
                  <v>0.1621126701285143</v>
                </pt>
                <pt idx="16">
                  <v>-0.006755897050429449</v>
                </pt>
                <pt idx="17">
                  <v>0.09890137479832584</v>
                </pt>
                <pt idx="18">
                  <v>0.07159988483421098</v>
                </pt>
                <pt idx="19">
                  <v>0.08079447218870017</v>
                </pt>
                <pt idx="20">
                  <v>0.2867583888982745</v>
                </pt>
                <pt idx="21">
                  <v>-0.02506238953239903</v>
                </pt>
                <pt idx="22">
                  <v>0.1028054992427856</v>
                </pt>
                <pt idx="23">
                  <v>0.1248153897786408</v>
                </pt>
                <pt idx="24">
                  <v>0.04576231595105429</v>
                </pt>
                <pt idx="25">
                  <v>0.06640664624457915</v>
                </pt>
                <pt idx="26">
                  <v>0.02612984410887753</v>
                </pt>
                <pt idx="27">
                  <v>0.0004367200849082487</v>
                </pt>
                <pt idx="28">
                  <v>0.05850692505098332</v>
                </pt>
                <pt idx="29">
                  <v>0.05570582376091071</v>
                </pt>
                <pt idx="30">
                  <v>0.0961607943602778</v>
                </pt>
                <pt idx="31">
                  <v>0.09516354617682321</v>
                </pt>
                <pt idx="32">
                  <v>0.05324882966324296</v>
                </pt>
                <pt idx="33">
                  <v>0.09837784124188187</v>
                </pt>
                <pt idx="34">
                  <v>0.1109493800502979</v>
                </pt>
                <pt idx="35">
                  <v>0.04558016831742506</v>
                </pt>
                <pt idx="36">
                  <v>0.0699211145072689</v>
                </pt>
                <pt idx="37">
                  <v>0.07723773446247995</v>
                </pt>
                <pt idx="38">
                  <v>0.04336696046043187</v>
                </pt>
                <pt idx="39">
                  <v>0.07931390330004939</v>
                </pt>
                <pt idx="40">
                  <v>0.1302617814736229</v>
                </pt>
                <pt idx="41">
                  <v>0.07645700744159956</v>
                </pt>
                <pt idx="42">
                  <v>0.0975718501676377</v>
                </pt>
                <pt idx="43">
                  <v>0.1216791778926234</v>
                </pt>
                <pt idx="44">
                  <v>-0.05370564110532638</v>
                </pt>
                <pt idx="45">
                  <v>-0.01802880290804121</v>
                </pt>
                <pt idx="46">
                  <v>0.01093867466048914</v>
                </pt>
                <pt idx="47">
                  <v>-0.003552301943809621</v>
                </pt>
                <pt idx="48">
                  <v>0.01633979615571923</v>
                </pt>
                <pt idx="49">
                  <v>0.07938491574329398</v>
                </pt>
                <pt idx="50">
                  <v>0.0725698456402839</v>
                </pt>
                <pt idx="51">
                  <v>0.08320611497527963</v>
                </pt>
                <pt idx="52">
                  <v>0.1596678360469337</v>
                </pt>
                <pt idx="53">
                  <v>0.004603197513985968</v>
                </pt>
                <pt idx="54">
                  <v>0.02673154203747474</v>
                </pt>
                <pt idx="55">
                  <v>0.05139358012793727</v>
                </pt>
                <pt idx="56">
                  <v>0.06801583229464003</v>
                </pt>
                <pt idx="57">
                  <v>0.05425690831980789</v>
                </pt>
                <pt idx="58">
                  <v>0.05105351741424058</v>
                </pt>
                <pt idx="59">
                  <v>0.03524557751104451</v>
                </pt>
                <pt idx="60">
                  <v>0.01165290834105925</v>
                </pt>
                <pt idx="61">
                  <v>0.01561431508786315</v>
                </pt>
                <pt idx="62">
                  <v>0.01710834035145914</v>
                </pt>
                <pt idx="63">
                  <v>0.02639329391382583</v>
                </pt>
                <pt idx="64">
                  <v>0.03282694790382412</v>
                </pt>
                <pt idx="65">
                  <v>0.06193708565786205</v>
                </pt>
                <pt idx="66">
                  <v>0.05986966874599875</v>
                </pt>
                <pt idx="67">
                  <v>0.0618969777502254</v>
                </pt>
                <pt idx="68">
                  <v>0.06409188938722021</v>
                </pt>
                <pt idx="69">
                  <v>0.06413373049705107</v>
                </pt>
                <pt idx="70">
                  <v>0.03004982114439647</v>
                </pt>
                <pt idx="71">
                  <v>0.04959848649248744</v>
                </pt>
                <pt idx="72">
                  <v>0.07886045941413267</v>
                </pt>
                <pt idx="73">
                  <v>0.04423708754146194</v>
                </pt>
                <pt idx="74">
                  <v>0.0257258348944378</v>
                </pt>
                <pt idx="75">
                  <v>0.06804135985456261</v>
                </pt>
                <pt idx="76">
                  <v>0.01206722626254808</v>
                </pt>
                <pt idx="77">
                  <v>0.06908627831777436</v>
                </pt>
                <pt idx="78">
                  <v>0.07504373316843926</v>
                </pt>
                <pt idx="79">
                  <v>0.0550107219712852</v>
                </pt>
                <pt idx="80">
                  <v>0.04804081865983001</v>
                </pt>
                <pt idx="81">
                  <v>0.08822761919210009</v>
                </pt>
                <pt idx="82">
                  <v>0.06191877668420487</v>
                </pt>
                <pt idx="83">
                  <v>0.07630267749386355</v>
                </pt>
                <pt idx="84">
                  <v>0.06642341875897806</v>
                </pt>
                <pt idx="85">
                  <v>0.02682289183050868</v>
                </pt>
                <pt idx="86">
                  <v>0.05843451519651599</v>
                </pt>
                <pt idx="87">
                  <v>0.127963551775309</v>
                </pt>
                <pt idx="88">
                  <v>0.02365083905948251</v>
                </pt>
                <pt idx="89">
                  <v>0.05639362479594801</v>
                </pt>
                <pt idx="90">
                  <v>0.05128603349252914</v>
                </pt>
                <pt idx="91">
                  <v>0.1323526279783604</v>
                </pt>
                <pt idx="92">
                  <v>0.02981056274940252</v>
                </pt>
                <pt idx="93">
                  <v>0.02293044203953376</v>
                </pt>
                <pt idx="94">
                  <v>0.04053297523754917</v>
                </pt>
                <pt idx="95">
                  <v>0.04912476122279741</v>
                </pt>
                <pt idx="96">
                  <v>0.05582718546182375</v>
                </pt>
                <pt idx="97">
                  <v>0.144873768865172</v>
                </pt>
                <pt idx="98">
                  <v>0.1087794249918306</v>
                </pt>
                <pt idx="99">
                  <v>0.06951939005686203</v>
                </pt>
                <pt idx="100">
                  <v>0.0188633429237961</v>
                </pt>
                <pt idx="101">
                  <v>0.0278951986168412</v>
                </pt>
                <pt idx="102">
                  <v>0.07463429862098492</v>
                </pt>
                <pt idx="103">
                  <v>0.0230816232896871</v>
                </pt>
                <pt idx="104">
                  <v>0.1121309178518712</v>
                </pt>
                <pt idx="105">
                  <v>0.1740510631153009</v>
                </pt>
                <pt idx="106">
                  <v>0.07879023564939347</v>
                </pt>
                <pt idx="107">
                  <v>0.2983148296330362</v>
                </pt>
                <pt idx="108">
                  <v>0.126301741786464</v>
                </pt>
                <pt idx="109">
                  <v>0.04348397548449956</v>
                </pt>
                <pt idx="110">
                  <v>0.09998198087875432</v>
                </pt>
                <pt idx="111">
                  <v>0.005176090714750892</v>
                </pt>
                <pt idx="112">
                  <v>0.08605492649793334</v>
                </pt>
                <pt idx="113">
                  <v>0.01403839408801311</v>
                </pt>
                <pt idx="114">
                  <v>0.006561293017656844</v>
                </pt>
                <pt idx="115">
                  <v>-0.000142048503193215</v>
                </pt>
                <pt idx="116">
                  <v>-0.001135883685492445</v>
                </pt>
                <pt idx="117">
                  <v>0.03890483605861461</v>
                </pt>
                <pt idx="118">
                  <v>0.04289094497805723</v>
                </pt>
                <pt idx="119">
                  <v>-0.006754791293999696</v>
                </pt>
                <pt idx="120">
                  <v>-0.05223689936114995</v>
                </pt>
                <pt idx="121">
                  <v>0.07223212568673332</v>
                </pt>
                <pt idx="122">
                  <v>-0.004081849951217409</v>
                </pt>
                <pt idx="123">
                  <v>0.04418776237025757</v>
                </pt>
                <pt idx="124">
                  <v>0.07967518725239064</v>
                </pt>
                <pt idx="125">
                  <v>0.02701112003388495</v>
                </pt>
                <pt idx="126">
                  <v>0.01374582193419549</v>
                </pt>
                <pt idx="127">
                  <v>0.07232570878184741</v>
                </pt>
                <pt idx="128">
                  <v>0.04376407012045846</v>
                </pt>
                <pt idx="129">
                  <v>0.07015815417407301</v>
                </pt>
                <pt idx="130">
                  <v>0.02862315475956501</v>
                </pt>
                <pt idx="131">
                  <v>0.0443906882089069</v>
                </pt>
                <pt idx="132">
                  <v>0.02942824855171766</v>
                </pt>
                <pt idx="133">
                  <v>0.0903084754262351</v>
                </pt>
                <pt idx="134">
                  <v>0.0791618212508356</v>
                </pt>
                <pt idx="135">
                  <v>0.08556675902478217</v>
                </pt>
                <pt idx="136">
                  <v>0.09824686022963092</v>
                </pt>
                <pt idx="137">
                  <v>0.1045258123546506</v>
                </pt>
                <pt idx="138">
                  <v>0.2401280759478308</v>
                </pt>
                <pt idx="139">
                  <v>0.2757383976626258</v>
                </pt>
                <pt idx="140">
                  <v>0.0264409637180385</v>
                </pt>
                <pt idx="141">
                  <v>0.0434096015792218</v>
                </pt>
                <pt idx="142">
                  <v>0.06524923181842102</v>
                </pt>
                <pt idx="143">
                  <v>0.06093538729627412</v>
                </pt>
                <pt idx="144">
                  <v>0.09481843901498577</v>
                </pt>
                <pt idx="145">
                  <v>0.06654873644475057</v>
                </pt>
                <pt idx="146">
                  <v>0.05647156152656341</v>
                </pt>
                <pt idx="147">
                  <v>0.06794577386981748</v>
                </pt>
                <pt idx="148">
                  <v>0.05448834788310508</v>
                </pt>
                <pt idx="149">
                  <v>0.08914052981973963</v>
                </pt>
                <pt idx="150">
                  <v>0.06485572203208356</v>
                </pt>
                <pt idx="151">
                  <v>0.08619956378096028</v>
                </pt>
                <pt idx="152">
                  <v>0.09843725788794488</v>
                </pt>
                <pt idx="153">
                  <v>0.08109565984396117</v>
                </pt>
                <pt idx="154">
                  <v>0.08532966495621697</v>
                </pt>
                <pt idx="155">
                  <v>0.1513146883663321</v>
                </pt>
                <pt idx="156">
                  <v>0.02694363348875717</v>
                </pt>
                <pt idx="157">
                  <v>0.02126751611315747</v>
                </pt>
                <pt idx="158">
                  <v>0.06711469044489293</v>
                </pt>
                <pt idx="159">
                  <v>0.03229164388242389</v>
                </pt>
                <pt idx="160">
                  <v>0.04005021395141339</v>
                </pt>
                <pt idx="161">
                  <v>0.06717622156156855</v>
                </pt>
                <pt idx="162">
                  <v>0.04553652655847618</v>
                </pt>
                <pt idx="163">
                  <v>0.06713999339027232</v>
                </pt>
                <pt idx="164">
                  <v>0.06960629235975047</v>
                </pt>
                <pt idx="165">
                  <v>0.1467851128321822</v>
                </pt>
                <pt idx="166">
                  <v>0.008903810022875103</v>
                </pt>
                <pt idx="167">
                  <v>0.07381760661695713</v>
                </pt>
                <pt idx="168">
                  <v>0.05095966621895887</v>
                </pt>
                <pt idx="169">
                  <v>0.1114459310354314</v>
                </pt>
                <pt idx="170">
                  <v>0.03191079140701447</v>
                </pt>
                <pt idx="171">
                  <v>0.05441547224091958</v>
                </pt>
                <pt idx="172">
                  <v>0.06960078610484643</v>
                </pt>
                <pt idx="173">
                  <v>0.05865217418704805</v>
                </pt>
                <pt idx="174">
                  <v>0.05959103397039223</v>
                </pt>
                <pt idx="175">
                  <v>0.03087470860507779</v>
                </pt>
                <pt idx="176">
                  <v>0.04368261644709914</v>
                </pt>
                <pt idx="177">
                  <v>0.07130898692080523</v>
                </pt>
                <pt idx="178">
                  <v>0.04100668919168804</v>
                </pt>
                <pt idx="179">
                  <v>0.08604555297415795</v>
                </pt>
                <pt idx="180">
                  <v>0.06414918112902646</v>
                </pt>
                <pt idx="181">
                  <v>0.1451342643572555</v>
                </pt>
                <pt idx="182">
                  <v>0.007908383036069777</v>
                </pt>
                <pt idx="183">
                  <v>0.04333744608666046</v>
                </pt>
                <pt idx="184">
                  <v>0.02956587061939886</v>
                </pt>
                <pt idx="185">
                  <v>0.04485143365432287</v>
                </pt>
                <pt idx="186">
                  <v>0.05073896285843404</v>
                </pt>
                <pt idx="187">
                  <v>0.05156608756533387</v>
                </pt>
                <pt idx="188">
                  <v>0.05999362577372813</v>
                </pt>
                <pt idx="189">
                  <v>0.03519043593065141</v>
                </pt>
                <pt idx="190">
                  <v>0.09085246590243079</v>
                </pt>
                <pt idx="191">
                  <v>0.06248079364273007</v>
                </pt>
                <pt idx="192">
                  <v>0.1264139426521476</v>
                </pt>
                <pt idx="193">
                  <v>0.0868117808191855</v>
                </pt>
                <pt idx="194">
                  <v>0.05886770841936584</v>
                </pt>
                <pt idx="195">
                  <v>0.08258011896612105</v>
                </pt>
                <pt idx="196">
                  <v>0.06397617847357018</v>
                </pt>
                <pt idx="197">
                  <v>0.06105201781881409</v>
                </pt>
                <pt idx="198">
                  <v>0.05591306228172899</v>
                </pt>
                <pt idx="199">
                  <v>0.08217899082301905</v>
                </pt>
                <pt idx="200">
                  <v>0.05771691882752261</v>
                </pt>
                <pt idx="201">
                  <v>0.06336211528785873</v>
                </pt>
                <pt idx="202">
                  <v>0.06885519941804397</v>
                </pt>
                <pt idx="203">
                  <v>0.03705344628979157</v>
                </pt>
                <pt idx="204">
                  <v>0.0654515149957835</v>
                </pt>
                <pt idx="205">
                  <v>0.07028461378588746</v>
                </pt>
                <pt idx="206">
                  <v>0.06292064687551946</v>
                </pt>
                <pt idx="207">
                  <v>0.05308301321265096</v>
                </pt>
                <pt idx="208">
                  <v>0.04838569421284777</v>
                </pt>
                <pt idx="209">
                  <v>0.01886664585768072</v>
                </pt>
                <pt idx="210">
                  <v>0.0539390311400918</v>
                </pt>
                <pt idx="211">
                  <v>0.04956305931703997</v>
                </pt>
                <pt idx="212">
                  <v>0.03948095549361597</v>
                </pt>
                <pt idx="213">
                  <v>0.04663402706175312</v>
                </pt>
                <pt idx="214">
                  <v>0.0262802706462173</v>
                </pt>
                <pt idx="215">
                  <v>0.05161490277131753</v>
                </pt>
                <pt idx="216">
                  <v>0.01026965760073506</v>
                </pt>
                <pt idx="217">
                  <v>0.0374787289104126</v>
                </pt>
                <pt idx="218">
                  <v>0.05110131284551733</v>
                </pt>
                <pt idx="219">
                  <v>0.01610282168708221</v>
                </pt>
                <pt idx="220">
                  <v>0.05125884219797294</v>
                </pt>
                <pt idx="221">
                  <v>0.04925441860883528</v>
                </pt>
                <pt idx="222">
                  <v>0.03071887424799025</v>
                </pt>
                <pt idx="223">
                  <v>0.03631935100817896</v>
                </pt>
                <pt idx="224">
                  <v>0.0270750949172438</v>
                </pt>
                <pt idx="225">
                  <v>0.00813544157471191</v>
                </pt>
                <pt idx="226">
                  <v>0.01213022659189522</v>
                </pt>
                <pt idx="227">
                  <v>0.1114317027522034</v>
                </pt>
                <pt idx="228">
                  <v>0.05770803088443555</v>
                </pt>
                <pt idx="229">
                  <v>0.03368446857235985</v>
                </pt>
                <pt idx="230">
                  <v>0.03368285814827776</v>
                </pt>
                <pt idx="231">
                  <v>0.02602612958241934</v>
                </pt>
                <pt idx="232">
                  <v>0.08768110517759298</v>
                </pt>
                <pt idx="233">
                  <v>0.09797498413064165</v>
                </pt>
                <pt idx="234">
                  <v>0.06952613458604118</v>
                </pt>
                <pt idx="235">
                  <v>0.06150877836909241</v>
                </pt>
                <pt idx="236">
                  <v>0.07787198298184594</v>
                </pt>
                <pt idx="237">
                  <v>0.1114184431621112</v>
                </pt>
                <pt idx="238">
                  <v>0.08338922831605844</v>
                </pt>
                <pt idx="239">
                  <v>0.063591431599054</v>
                </pt>
                <pt idx="240">
                  <v>0.06059471859380694</v>
                </pt>
                <pt idx="241">
                  <v>0.04315282626825567</v>
                </pt>
                <pt idx="242">
                  <v>0.4971194640487067</v>
                </pt>
                <pt idx="243">
                  <v>1.099676203059818</v>
                </pt>
                <pt idx="244">
                  <v>0.8002368031354015</v>
                </pt>
                <pt idx="245">
                  <v>0.2058221300766354</v>
                </pt>
                <pt idx="246">
                  <v>0.107254484739699</v>
                </pt>
                <pt idx="247">
                  <v>0.03988498384411954</v>
                </pt>
                <pt idx="248">
                  <v>0.1622379156703877</v>
                </pt>
                <pt idx="249">
                  <v>0.1025787914703111</v>
                </pt>
                <pt idx="250">
                  <v>0.1505818422179683</v>
                </pt>
                <pt idx="251">
                  <v>0.1094274613135875</v>
                </pt>
                <pt idx="252">
                  <v>0.1633331224532764</v>
                </pt>
                <pt idx="253">
                  <v>0.1622747428971583</v>
                </pt>
                <pt idx="254">
                  <v>0.157041538847406</v>
                </pt>
                <pt idx="255">
                  <v>0.1809450729933595</v>
                </pt>
                <pt idx="256">
                  <v>0.2051033532124751</v>
                </pt>
                <pt idx="257">
                  <v>0.04464157529362822</v>
                </pt>
                <pt idx="258">
                  <v>0.09545459961469649</v>
                </pt>
                <pt idx="259">
                  <v>0.1128888226248927</v>
                </pt>
                <pt idx="260">
                  <v>0.06885354273327193</v>
                </pt>
                <pt idx="261">
                  <v>0.09037140377098685</v>
                </pt>
                <pt idx="262">
                  <v>0.1198360153121618</v>
                </pt>
                <pt idx="263">
                  <v>0.1401668861486458</v>
                </pt>
                <pt idx="264">
                  <v>0.006424142855500081</v>
                </pt>
                <pt idx="265">
                  <v>0.004689123740615697</v>
                </pt>
                <pt idx="266">
                  <v>0.07321695263242556</v>
                </pt>
                <pt idx="267">
                  <v>-0.01078473222915788</v>
                </pt>
                <pt idx="268">
                  <v>-0.006892446836164745</v>
                </pt>
                <pt idx="269">
                  <v>0.000660674414631357</v>
                </pt>
                <pt idx="270">
                  <v>0.0203473657416553</v>
                </pt>
                <pt idx="271">
                  <v>-0.02432616635495977</v>
                </pt>
                <pt idx="272">
                  <v>-0.07249142229835048</v>
                </pt>
                <pt idx="273">
                  <v>-0.05376904644732861</v>
                </pt>
                <pt idx="274">
                  <v>-0.02645093090098394</v>
                </pt>
                <pt idx="275">
                  <v>-0.02847349657825105</v>
                </pt>
                <pt idx="276">
                  <v>-0.07688543379317825</v>
                </pt>
                <pt idx="277">
                  <v>-0.06643371642416918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282608808"/>
        <axId val="1282606840"/>
      </barChart>
      <dateAx>
        <axId val="1282608808"/>
        <scaling>
          <orientation val="minMax"/>
        </scaling>
        <delete val="0"/>
        <axPos val="b"/>
        <numFmt formatCode="m/d/yyyy" sourceLinked="1"/>
        <majorTickMark val="out"/>
        <minorTickMark val="none"/>
        <tickLblPos val="low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82606840"/>
        <crosses val="autoZero"/>
        <lblOffset val="100"/>
        <baseTimeUnit val="months"/>
      </dateAx>
      <valAx>
        <axId val="1282606840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0.0%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en-US"/>
          </a:p>
        </txPr>
        <crossAx val="1282608808"/>
        <crosses val="autoZero"/>
        <crossBetween val="between"/>
      </valAx>
    </plotArea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/><Relationship Type="http://schemas.openxmlformats.org/officeDocument/2006/relationships/chart" Target="/xl/charts/chart3.xml" Id="rId2"/></Relationships>
</file>

<file path=xl/drawings/_rels/drawing3.xml.rels><Relationships xmlns="http://schemas.openxmlformats.org/package/2006/relationships"><Relationship Type="http://schemas.openxmlformats.org/officeDocument/2006/relationships/chart" Target="/xl/charts/chart4.xml" Id="rId1"/><Relationship Type="http://schemas.openxmlformats.org/officeDocument/2006/relationships/chart" Target="/xl/charts/chart5.xml" Id="rId2"/></Relationships>
</file>

<file path=xl/drawings/_rels/drawing4.xml.rels><Relationships xmlns="http://schemas.openxmlformats.org/package/2006/relationships"><Relationship Type="http://schemas.openxmlformats.org/officeDocument/2006/relationships/chart" Target="/xl/charts/chart6.xml" Id="rId1"/></Relationships>
</file>

<file path=xl/drawings/_rels/drawing5.xml.rels><Relationships xmlns="http://schemas.openxmlformats.org/package/2006/relationships"><Relationship Type="http://schemas.openxmlformats.org/officeDocument/2006/relationships/chart" Target="/xl/charts/chart7.xml" Id="rId1"/><Relationship Type="http://schemas.openxmlformats.org/officeDocument/2006/relationships/chart" Target="/xl/charts/chart8.xml" Id="rId2"/><Relationship Type="http://schemas.openxmlformats.org/officeDocument/2006/relationships/chart" Target="/xl/charts/chart9.xml" Id="rId3"/></Relationships>
</file>

<file path=xl/drawings/_rels/drawing6.xml.rels><Relationships xmlns="http://schemas.openxmlformats.org/package/2006/relationships"><Relationship Type="http://schemas.openxmlformats.org/officeDocument/2006/relationships/chart" Target="/xl/charts/chart10.xml" Id="rId1"/><Relationship Type="http://schemas.openxmlformats.org/officeDocument/2006/relationships/chart" Target="/xl/charts/chart11.xml" Id="rId2"/></Relationships>
</file>

<file path=xl/drawings/drawing1.xml><?xml version="1.0" encoding="utf-8"?>
<wsDr xmlns="http://schemas.openxmlformats.org/drawingml/2006/spreadsheetDrawing">
  <twoCellAnchor>
    <from>
      <col>2</col>
      <colOff>319338</colOff>
      <row>241</row>
      <rowOff>110289</rowOff>
    </from>
    <to>
      <col>12</col>
      <colOff>451555</colOff>
      <row>265</row>
      <rowOff>141111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2.xml><?xml version="1.0" encoding="utf-8"?>
<wsDr xmlns="http://schemas.openxmlformats.org/drawingml/2006/spreadsheetDrawing">
  <twoCellAnchor>
    <from>
      <col>12</col>
      <colOff>297489</colOff>
      <row>764</row>
      <rowOff>99785</rowOff>
    </from>
    <to>
      <col>21</col>
      <colOff>45358</colOff>
      <row>784</row>
      <rowOff>80818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229805</colOff>
      <row>764</row>
      <rowOff>99289</rowOff>
    </from>
    <to>
      <col>12</col>
      <colOff>202046</colOff>
      <row>784</row>
      <rowOff>80817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3.xml><?xml version="1.0" encoding="utf-8"?>
<wsDr xmlns="http://schemas.openxmlformats.org/drawingml/2006/spreadsheetDrawing">
  <twoCellAnchor>
    <from>
      <col>13</col>
      <colOff>468328</colOff>
      <row>753</row>
      <rowOff>149532</rowOff>
    </from>
    <to>
      <col>23</col>
      <colOff>409864</colOff>
      <row>777</row>
      <rowOff>173182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3</col>
      <colOff>241029</colOff>
      <row>754</row>
      <rowOff>18474</rowOff>
    </from>
    <to>
      <col>13</col>
      <colOff>346365</colOff>
      <row>777</row>
      <rowOff>144318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drawings/drawing4.xml><?xml version="1.0" encoding="utf-8"?>
<wsDr xmlns="http://schemas.openxmlformats.org/drawingml/2006/spreadsheetDrawing">
  <twoCellAnchor>
    <from>
      <col>6</col>
      <colOff>324304</colOff>
      <row>2395</row>
      <rowOff>173182</rowOff>
    </from>
    <to>
      <col>15</col>
      <colOff>635001</colOff>
      <row>2414</row>
      <rowOff>118533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drawings/drawing5.xml><?xml version="1.0" encoding="utf-8"?>
<wsDr xmlns="http://schemas.openxmlformats.org/drawingml/2006/spreadsheetDrawing">
  <twoCellAnchor>
    <from>
      <col>4</col>
      <colOff>147185</colOff>
      <row>766</row>
      <rowOff>905</rowOff>
    </from>
    <to>
      <col>10</col>
      <colOff>376465</colOff>
      <row>779</row>
      <rowOff>181429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4</col>
      <colOff>295503</colOff>
      <row>749</row>
      <rowOff>167822</rowOff>
    </from>
    <to>
      <col>13</col>
      <colOff>0</colOff>
      <row>764</row>
      <rowOff>182106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  <twoCellAnchor>
    <from>
      <col>10</col>
      <colOff>500063</colOff>
      <row>765</row>
      <rowOff>163285</rowOff>
    </from>
    <to>
      <col>16</col>
      <colOff>571500</colOff>
      <row>779</row>
      <rowOff>176892</rowOff>
    </to>
    <graphicFrame>
      <nvGraphicFramePr>
        <cNvPr id="3" name="Chart 3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graphicFrame>
    <clientData/>
  </twoCellAnchor>
</wsDr>
</file>

<file path=xl/drawings/drawing6.xml><?xml version="1.0" encoding="utf-8"?>
<wsDr xmlns="http://schemas.openxmlformats.org/drawingml/2006/spreadsheetDrawing">
  <twoCellAnchor>
    <from>
      <col>10</col>
      <colOff>386233</colOff>
      <row>742</row>
      <rowOff>136769</rowOff>
    </from>
    <to>
      <col>17</col>
      <colOff>542193</colOff>
      <row>758</row>
      <rowOff>39077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  <twoCellAnchor>
    <from>
      <col>4</col>
      <colOff>296740</colOff>
      <row>742</row>
      <rowOff>126421</rowOff>
    </from>
    <to>
      <col>10</col>
      <colOff>263770</colOff>
      <row>758</row>
      <rowOff>34192</rowOff>
    </to>
    <graphicFrame>
      <nvGraphicFramePr>
        <cNvPr id="2" name="Chart 2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graphicFrame>
    <clientData/>
  </twoCellAnchor>
</wsDr>
</file>

<file path=xl/tables/table1.xml><?xml version="1.0" encoding="utf-8"?>
<table xmlns="http://schemas.openxmlformats.org/spreadsheetml/2006/main" id="1" name="Table1" displayName="Table1" ref="A11:B267" headerRowCount="1" totalsRowShown="0" headerRowCellStyle="Normal 3" dataCellStyle="Normal 3">
  <autoFilter ref="A11:B267"/>
  <tableColumns count="2">
    <tableColumn id="1" name="Date" dataDxfId="35" dataCellStyle="Normal 3"/>
    <tableColumn id="2" name="Velocity of M2 Money Stock, Ratio, Quarterly, Seasonally Adjusted" dataDxfId="34" dataCellStyle="Normal 3">
      <calculatedColumnFormula>VLOOKUP(Table1[[#This Row],[Date]],'DB Money Supply'!$A:$F,6)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3032" displayName="Table3032" ref="A5:C775" headerRowCount="1" totalsRowShown="0" headerRowDxfId="33" dataDxfId="31" headerRowBorderDxfId="32">
  <autoFilter ref="A5:C775"/>
  <tableColumns count="3">
    <tableColumn id="1" name="Month" dataDxfId="30" dataCellStyle="Normal 2"/>
    <tableColumn id="2" name="Real M1 Money Stock" dataDxfId="29" dataCellStyle="Normal 2">
      <calculatedColumnFormula>VLOOKUP(Table3032[[#This Row],[Month]],'DB Money Supply'!$A:$D,2)</calculatedColumnFormula>
    </tableColumn>
    <tableColumn id="3" name="yoy %" dataDxfId="2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30" displayName="Table30" ref="A5:C775" headerRowCount="1" totalsRowShown="0" headerRowDxfId="27" dataDxfId="26" tableBorderDxfId="25">
  <autoFilter ref="A5:C775"/>
  <tableColumns count="3">
    <tableColumn id="1" name="Month" dataDxfId="24" dataCellStyle="Normal 2"/>
    <tableColumn id="2" name="Real M2 Money Stock" dataDxfId="23" dataCellStyle="Normal 2">
      <calculatedColumnFormula>VLOOKUP(Table30[[#This Row],[Month]],'DB Money Supply'!$A:$D,3)</calculatedColumnFormula>
    </tableColumn>
    <tableColumn id="3" name="M2 Money Stock % yoy" dataDxfId="2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2634" displayName="Table2634" ref="A5:F2410" headerRowCount="1" totalsRowShown="0" headerRowDxfId="21" dataDxfId="19" headerRowBorderDxfId="20" dataCellStyle="Normal 2">
  <autoFilter ref="A5:F2410"/>
  <tableColumns count="6">
    <tableColumn id="1" name="Date" dataDxfId="18" dataCellStyle="Normal 2"/>
    <tableColumn id="2" name="M1 Money Stock, Billions of Dollars, Weekly, Seasonally Adjusted" dataDxfId="17" dataCellStyle="Normal 2">
      <calculatedColumnFormula>VLOOKUP(Table2634[[#This Row],[Date]],'DB Money Supply'!$A:$D,4)</calculatedColumnFormula>
    </tableColumn>
    <tableColumn id="3" name="Weekly change" dataDxfId="16" dataCellStyle="Normal 2">
      <calculatedColumnFormula>(Table2634[[#This Row],[M1 Money Stock, Billions of Dollars, Weekly, Seasonally Adjusted]]-B5)/B5</calculatedColumnFormula>
    </tableColumn>
    <tableColumn id="4" name="Annualized Change" dataDxfId="15" dataCellStyle="Normal 2">
      <calculatedColumnFormula>(Table2634[[#This Row],[M1 Money Stock, Billions of Dollars, Weekly, Seasonally Adjusted]]-B3)/B3</calculatedColumnFormula>
    </tableColumn>
    <tableColumn id="5" name="4 weeks average" dataDxfId="14" dataCellStyle="Normal 2">
      <calculatedColumnFormula>AVERAGE(B3:B6)</calculatedColumnFormula>
    </tableColumn>
    <tableColumn id="6" name="% YoY change" dataDxfId="1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e26" displayName="Table26" ref="A5:D775" headerRowCount="1" totalsRowShown="0" headerRowDxfId="12" dataDxfId="10" headerRowBorderDxfId="11" dataCellStyle="Normal 2">
  <autoFilter ref="A5:D775"/>
  <tableColumns count="4">
    <tableColumn id="1" name="Date" dataDxfId="9" dataCellStyle="Normal 2"/>
    <tableColumn id="2" name="M2 Money Stock, Billions of Dollars, Monthly, Seasonally Adjusted" dataDxfId="8" dataCellStyle="Normal 2">
      <calculatedColumnFormula>VLOOKUP(Table26[[#This Row],[Date]],'DB Money Supply'!$A:$E,5)</calculatedColumnFormula>
    </tableColumn>
    <tableColumn id="3" name="Monthly change" dataDxfId="7" dataCellStyle="Normal 2">
      <calculatedColumnFormula>(Table26[[#This Row],[M2 Money Stock, Billions of Dollars, Monthly, Seasonally Adjusted]]-B5)/B5</calculatedColumnFormula>
    </tableColumn>
    <tableColumn id="4" name="M2 Monthly Change Annualized %" dataDxfId="6" dataCellStyle="Normal 2">
      <calculatedColumnFormula>(Table26[[#This Row],[M2 Money Stock, Billions of Dollars, Monthly, Seasonally Adjusted]]-B3)/B3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Table2" displayName="Table2" ref="A5:D751" headerRowCount="1" totalsRowShown="0" headerRowDxfId="5" headerRowBorderDxfId="4">
  <autoFilter ref="A5:D751"/>
  <tableColumns count="4">
    <tableColumn id="1" name="Date" dataDxfId="3"/>
    <tableColumn id="2" name="Country" dataDxfId="2">
      <calculatedColumnFormula>VLOOKUP(A6,Data!$A:$AH,MATCH(Country!$A$1,Data!$A$1:$AH$1,),)</calculatedColumnFormula>
    </tableColumn>
    <tableColumn id="3" name="yoy" dataDxfId="1"/>
    <tableColumn id="5" name="mom annualized" dataDxfId="0">
      <calculatedColumnFormula>((1+#REF!)^12)-1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https://fred.stlouisfed.org/series/M2REAL" TargetMode="External" Id="rId1"/><Relationship Type="http://schemas.openxmlformats.org/officeDocument/2006/relationships/hyperlink" Target="https://fred.stlouisfed.org/series/M2" TargetMode="External" Id="rId2"/><Relationship Type="http://schemas.openxmlformats.org/officeDocument/2006/relationships/hyperlink" Target="https://fred.stlouisfed.org/series/M2SL" TargetMode="External" Id="rId3"/><Relationship Type="http://schemas.openxmlformats.org/officeDocument/2006/relationships/hyperlink" Target="https://data.oecd.org/money/broad-money-m3.htm" TargetMode="External" Id="rId4"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table" Target="/xl/tables/table1.xml" Id="rId2"/></Relationships>
</file>

<file path=xl/worksheets/_rels/sheet6.xml.rels><Relationships xmlns="http://schemas.openxmlformats.org/package/2006/relationships"><Relationship Type="http://schemas.openxmlformats.org/officeDocument/2006/relationships/hyperlink" Target="https://fred.stlouisfed.org/series/M1REAL" TargetMode="External" Id="rId1"/><Relationship Type="http://schemas.openxmlformats.org/officeDocument/2006/relationships/drawing" Target="/xl/drawings/drawing2.xml" Id="rId2"/><Relationship Type="http://schemas.openxmlformats.org/officeDocument/2006/relationships/table" Target="/xl/tables/table2.xml" Id="rId3"/></Relationships>
</file>

<file path=xl/worksheets/_rels/sheet7.xml.rels><Relationships xmlns="http://schemas.openxmlformats.org/package/2006/relationships"><Relationship Type="http://schemas.openxmlformats.org/officeDocument/2006/relationships/hyperlink" Target="https://fred.stlouisfed.org/series/M2REAL" TargetMode="External" Id="rId1"/><Relationship Type="http://schemas.openxmlformats.org/officeDocument/2006/relationships/drawing" Target="/xl/drawings/drawing3.xml" Id="rId2"/><Relationship Type="http://schemas.openxmlformats.org/officeDocument/2006/relationships/table" Target="/xl/tables/table3.xml" Id="rId3"/></Relationships>
</file>

<file path=xl/worksheets/_rels/sheet8.xml.rels><Relationships xmlns="http://schemas.openxmlformats.org/package/2006/relationships"><Relationship Type="http://schemas.openxmlformats.org/officeDocument/2006/relationships/hyperlink" Target="https://fred.stlouisfed.org/series/M1" TargetMode="External" Id="rId1"/><Relationship Type="http://schemas.openxmlformats.org/officeDocument/2006/relationships/drawing" Target="/xl/drawings/drawing4.xml" Id="rId2"/><Relationship Type="http://schemas.openxmlformats.org/officeDocument/2006/relationships/table" Target="/xl/tables/table4.xml" Id="rId3"/></Relationships>
</file>

<file path=xl/worksheets/_rels/sheet9.xml.rels><Relationships xmlns="http://schemas.openxmlformats.org/package/2006/relationships"><Relationship Type="http://schemas.openxmlformats.org/officeDocument/2006/relationships/drawing" Target="/xl/drawings/drawing5.xml" Id="rId1"/><Relationship Type="http://schemas.openxmlformats.org/officeDocument/2006/relationships/table" Target="/xl/tables/table5.xml" Id="rId2"/></Relationships>
</file>

<file path=xl/worksheets/_rels/sheet10.xml.rels><Relationships xmlns="http://schemas.openxmlformats.org/package/2006/relationships"><Relationship Type="http://schemas.openxmlformats.org/officeDocument/2006/relationships/hyperlink" Target="https://tradingeconomics.com/country-list/money-supply-m2?continent=g20" TargetMode="External" Id="rId1"/></Relationships>
</file>

<file path=xl/worksheets/_rels/sheet13.xml.rels><Relationships xmlns="http://schemas.openxmlformats.org/package/2006/relationships"><Relationship Type="http://schemas.openxmlformats.org/officeDocument/2006/relationships/drawing" Target="/xl/drawings/drawing6.xml" Id="rId1"/><Relationship Type="http://schemas.openxmlformats.org/officeDocument/2006/relationships/table" Target="/xl/tables/table6.xml" Id="rId2"/></Relationships>
</file>

<file path=xl/worksheets/sheet1.xml><?xml version="1.0" encoding="utf-8"?>
<worksheet xmlns="http://schemas.openxmlformats.org/spreadsheetml/2006/main">
  <sheetPr>
    <tabColor rgb="FFFFFF00"/>
    <outlinePr summaryBelow="1" summaryRight="1"/>
    <pageSetUpPr/>
  </sheetPr>
  <dimension ref="B1:Z41"/>
  <sheetViews>
    <sheetView showGridLines="0" topLeftCell="A2" zoomScale="90" zoomScaleNormal="90" workbookViewId="0">
      <selection activeCell="F826" sqref="F826"/>
    </sheetView>
  </sheetViews>
  <sheetFormatPr baseColWidth="8" defaultColWidth="9.1796875" defaultRowHeight="14.5"/>
  <cols>
    <col width="9.1796875" customWidth="1" style="77" min="1" max="1"/>
    <col width="12.81640625" customWidth="1" style="77" min="2" max="10"/>
    <col width="3.36328125" customWidth="1" style="77" min="11" max="13"/>
    <col width="21.36328125" customWidth="1" style="77" min="14" max="14"/>
    <col width="15.6328125" customWidth="1" style="77" min="15" max="15"/>
    <col width="16.81640625" customWidth="1" style="77" min="16" max="16"/>
    <col width="23" customWidth="1" style="77" min="17" max="17"/>
    <col width="9.1796875" customWidth="1" style="77" min="18" max="56"/>
    <col width="9.1796875" customWidth="1" style="77" min="57" max="16384"/>
  </cols>
  <sheetData>
    <row r="1">
      <c r="B1" s="76" t="n"/>
    </row>
    <row r="2" ht="16" customHeight="1" thickBot="1">
      <c r="B2" s="78" t="n"/>
      <c r="C2" s="78" t="n"/>
      <c r="D2" s="78" t="n"/>
      <c r="E2" s="78" t="n"/>
      <c r="F2" s="78" t="n"/>
      <c r="G2" s="78" t="n"/>
      <c r="H2" s="78" t="n"/>
      <c r="I2" s="78" t="n"/>
      <c r="J2" s="78" t="n"/>
    </row>
    <row r="3" ht="16" customHeight="1" thickBot="1">
      <c r="B3" s="79" t="inlineStr">
        <is>
          <t>Money Supply</t>
        </is>
      </c>
      <c r="C3" s="80" t="n"/>
      <c r="D3" s="80" t="n"/>
      <c r="E3" s="80" t="n"/>
      <c r="F3" s="80" t="n"/>
      <c r="G3" s="80" t="n"/>
      <c r="H3" s="80" t="n"/>
      <c r="I3" s="80" t="n"/>
      <c r="J3" s="81" t="n"/>
    </row>
    <row r="5">
      <c r="B5" s="73" t="inlineStr">
        <is>
          <t>Definition</t>
        </is>
      </c>
      <c r="C5" s="74" t="n"/>
      <c r="D5" s="74" t="n"/>
      <c r="E5" s="74" t="n"/>
      <c r="F5" s="74" t="n"/>
      <c r="G5" s="74" t="n"/>
      <c r="H5" s="74" t="n"/>
      <c r="I5" s="74" t="n"/>
      <c r="J5" s="75" t="n"/>
    </row>
    <row r="7" ht="100.5" customHeight="1">
      <c r="B7" s="82" t="inlineStr">
        <is>
          <t>The money supply is the total stock of money circulating in an economy .
The money supply (or money stock) is the total value of monetary assets available in an economy at a specific time.
Overall, an increase in the supply in an economy leads to lower interest rates and higher consumer spending because the disposable income of consumers is higher.</t>
        </is>
      </c>
      <c r="P7" s="20" t="n"/>
    </row>
    <row r="8" ht="33.75" customHeight="1">
      <c r="B8" s="83" t="n"/>
    </row>
    <row r="9">
      <c r="B9" s="42" t="n"/>
      <c r="C9" s="42" t="n"/>
      <c r="D9" s="42" t="n"/>
      <c r="E9" s="42" t="n"/>
    </row>
    <row r="10">
      <c r="B10" s="73" t="inlineStr">
        <is>
          <t>Process / TO DO LIST</t>
        </is>
      </c>
      <c r="C10" s="74" t="n"/>
      <c r="D10" s="74" t="n"/>
      <c r="E10" s="74" t="n"/>
      <c r="F10" s="74" t="n"/>
      <c r="G10" s="74" t="n"/>
      <c r="H10" s="74" t="n"/>
      <c r="I10" s="74" t="n"/>
      <c r="J10" s="75" t="n"/>
    </row>
    <row r="11" ht="16" customHeight="1"/>
    <row r="12" ht="16" customHeight="1">
      <c r="B12" s="73" t="inlineStr">
        <is>
          <t>TO DO LIST</t>
        </is>
      </c>
      <c r="C12" s="74" t="n"/>
      <c r="D12" s="74" t="n"/>
      <c r="E12" s="74" t="n"/>
      <c r="F12" s="75" t="n"/>
      <c r="G12" s="73" t="inlineStr">
        <is>
          <t>Comments</t>
        </is>
      </c>
      <c r="H12" s="74" t="n"/>
      <c r="I12" s="74" t="n"/>
      <c r="J12" s="75" t="n"/>
    </row>
    <row r="14" ht="19.5" customHeight="1">
      <c r="B14" s="1" t="inlineStr">
        <is>
          <t>https://fred.stlouisfed.org/series/M2REAL</t>
        </is>
      </c>
      <c r="G14" s="77" t="inlineStr">
        <is>
          <t>U.S.</t>
        </is>
      </c>
    </row>
    <row r="15" ht="16" customHeight="1">
      <c r="B15" s="83" t="inlineStr">
        <is>
          <t>https://fred.stlouisfed.org/series/M1REAL</t>
        </is>
      </c>
      <c r="G15" s="84" t="inlineStr">
        <is>
          <t>U.S.</t>
        </is>
      </c>
    </row>
    <row r="16" ht="18" customHeight="1">
      <c r="B16" s="83" t="inlineStr">
        <is>
          <t>https://fred.stlouisfed.org/series/M1</t>
        </is>
      </c>
      <c r="G16" s="84" t="inlineStr">
        <is>
          <t xml:space="preserve">U.S. </t>
        </is>
      </c>
      <c r="Z16" s="71" t="n"/>
    </row>
    <row r="17" ht="18" customHeight="1">
      <c r="B17" s="83" t="inlineStr">
        <is>
          <t>https://fred.stlouisfed.org/series/M2</t>
        </is>
      </c>
      <c r="G17" s="85" t="inlineStr">
        <is>
          <t>U.S. discontinued</t>
        </is>
      </c>
      <c r="Z17" s="71" t="n"/>
    </row>
    <row r="18" ht="33.75" customHeight="1">
      <c r="B18" s="83" t="inlineStr">
        <is>
          <t>https://fred.stlouisfed.org/series/M2SL</t>
        </is>
      </c>
      <c r="G18" s="85" t="inlineStr">
        <is>
          <t>U.S.</t>
        </is>
      </c>
      <c r="Z18" s="72" t="n"/>
    </row>
    <row r="19" ht="18" customHeight="1">
      <c r="B19" s="83" t="inlineStr">
        <is>
          <t>https://tradingeconomics.com/country-list/money-supply-m2?continent=g20</t>
        </is>
      </c>
      <c r="G19" s="85" t="inlineStr">
        <is>
          <t>Quick Country View</t>
        </is>
      </c>
      <c r="Z19" s="71" t="n"/>
    </row>
    <row r="20" ht="18" customHeight="1">
      <c r="B20" s="83" t="inlineStr">
        <is>
          <t>https://data.oecd.org/money/broad-money-m3.htm</t>
        </is>
      </c>
      <c r="G20" s="77" t="inlineStr">
        <is>
          <t>Table</t>
        </is>
      </c>
      <c r="Z20" s="72" t="n"/>
    </row>
    <row r="21" ht="18" customHeight="1">
      <c r="B21" s="83" t="n"/>
      <c r="G21" s="77" t="inlineStr">
        <is>
          <t>Monthly</t>
        </is>
      </c>
      <c r="Z21" s="72" t="n"/>
    </row>
    <row r="22" ht="18" customHeight="1">
      <c r="B22" s="83" t="n"/>
      <c r="G22" s="77" t="inlineStr">
        <is>
          <t>from beginning</t>
        </is>
      </c>
      <c r="Z22" s="72" t="n"/>
    </row>
    <row r="23" ht="18" customHeight="1">
      <c r="B23" s="83" t="n"/>
      <c r="G23" s="77" t="inlineStr">
        <is>
          <t>download Select data only</t>
        </is>
      </c>
      <c r="Z23" s="72" t="n"/>
    </row>
    <row r="24" ht="18" customHeight="1">
      <c r="B24" s="83" t="n"/>
      <c r="G24" s="85" t="inlineStr">
        <is>
          <t>Data</t>
        </is>
      </c>
      <c r="Z24" s="72" t="n"/>
    </row>
    <row r="25" ht="16" customHeight="1">
      <c r="Z25" s="72" t="n"/>
    </row>
    <row r="35" ht="16" customHeight="1"/>
    <row r="39">
      <c r="B39" s="40" t="n"/>
    </row>
    <row r="40">
      <c r="B40" s="84" t="n"/>
    </row>
    <row r="41">
      <c r="B41" s="41" t="n"/>
    </row>
  </sheetData>
  <mergeCells count="26">
    <mergeCell ref="B40:Q40"/>
    <mergeCell ref="B24:F24"/>
    <mergeCell ref="G24:J24"/>
    <mergeCell ref="B22:F22"/>
    <mergeCell ref="B23:F23"/>
    <mergeCell ref="B20:F20"/>
    <mergeCell ref="B21:F21"/>
    <mergeCell ref="B18:F18"/>
    <mergeCell ref="G18:J18"/>
    <mergeCell ref="B19:F19"/>
    <mergeCell ref="G19:J19"/>
    <mergeCell ref="B16:F16"/>
    <mergeCell ref="G16:J16"/>
    <mergeCell ref="B17:F17"/>
    <mergeCell ref="G17:J17"/>
    <mergeCell ref="B12:F12"/>
    <mergeCell ref="G12:J12"/>
    <mergeCell ref="G14:J14"/>
    <mergeCell ref="B15:F15"/>
    <mergeCell ref="G15:J15"/>
    <mergeCell ref="B10:J10"/>
    <mergeCell ref="B1:J2"/>
    <mergeCell ref="B3:J3"/>
    <mergeCell ref="B5:J5"/>
    <mergeCell ref="B7:J7"/>
    <mergeCell ref="B8:J8"/>
  </mergeCells>
  <hyperlinks>
    <hyperlink xmlns:r="http://schemas.openxmlformats.org/officeDocument/2006/relationships" ref="B14" r:id="rId1"/>
    <hyperlink xmlns:r="http://schemas.openxmlformats.org/officeDocument/2006/relationships" ref="B17" r:id="rId2"/>
    <hyperlink xmlns:r="http://schemas.openxmlformats.org/officeDocument/2006/relationships" ref="B18" r:id="rId3"/>
    <hyperlink xmlns:r="http://schemas.openxmlformats.org/officeDocument/2006/relationships" ref="B20" r:id="rId4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6"/>
    <outlinePr summaryBelow="1" summaryRight="1"/>
    <pageSetUpPr/>
  </sheetPr>
  <dimension ref="A1:F3100"/>
  <sheetViews>
    <sheetView zoomScale="110" zoomScaleNormal="110" workbookViewId="0">
      <pane ySplit="1" topLeftCell="A3076" activePane="bottomLeft" state="frozen"/>
      <selection pane="bottomLeft" activeCell="H3090" sqref="H3090"/>
    </sheetView>
  </sheetViews>
  <sheetFormatPr baseColWidth="8" defaultColWidth="10.90625" defaultRowHeight="14.5"/>
  <sheetData>
    <row r="1">
      <c r="A1" t="inlineStr">
        <is>
          <t>DATE</t>
        </is>
      </c>
      <c r="B1" t="inlineStr">
        <is>
          <t>M1REAL</t>
        </is>
      </c>
      <c r="C1" t="inlineStr">
        <is>
          <t>M2REAL</t>
        </is>
      </c>
      <c r="D1" t="inlineStr">
        <is>
          <t>M1</t>
        </is>
      </c>
      <c r="E1" t="inlineStr">
        <is>
          <t>M2SL</t>
        </is>
      </c>
      <c r="F1" t="inlineStr">
        <is>
          <t>M2V</t>
        </is>
      </c>
    </row>
    <row r="2">
      <c r="A2" s="87" t="n">
        <v>21551</v>
      </c>
      <c r="B2" t="n">
        <v>478.8</v>
      </c>
      <c r="C2" t="n">
        <v>987.9</v>
      </c>
      <c r="E2" t="n">
        <v>286.6</v>
      </c>
      <c r="F2" t="n">
        <v>1.773</v>
      </c>
    </row>
    <row r="3">
      <c r="A3" s="87" t="n">
        <v>21582</v>
      </c>
      <c r="B3" t="n">
        <v>480.7</v>
      </c>
      <c r="C3" t="n">
        <v>992.1</v>
      </c>
      <c r="E3" t="n">
        <v>287.7</v>
      </c>
    </row>
    <row r="4">
      <c r="A4" s="87" t="n">
        <v>21610</v>
      </c>
      <c r="B4" t="n">
        <v>482.2</v>
      </c>
      <c r="C4" t="n">
        <v>998.3</v>
      </c>
      <c r="E4" t="n">
        <v>289.2</v>
      </c>
    </row>
    <row r="5">
      <c r="A5" s="87" t="n">
        <v>21641</v>
      </c>
      <c r="B5" t="n">
        <v>482.1</v>
      </c>
      <c r="C5" t="n">
        <v>1001</v>
      </c>
      <c r="E5" t="n">
        <v>290.1</v>
      </c>
      <c r="F5" t="n">
        <v>1.789</v>
      </c>
    </row>
    <row r="6">
      <c r="A6" s="87" t="n">
        <v>21671</v>
      </c>
      <c r="B6" t="n">
        <v>484.5</v>
      </c>
      <c r="C6" t="n">
        <v>1006.2</v>
      </c>
      <c r="E6" t="n">
        <v>292.2</v>
      </c>
    </row>
    <row r="7">
      <c r="A7" s="87" t="n">
        <v>21702</v>
      </c>
      <c r="B7" t="n">
        <v>485.1</v>
      </c>
      <c r="C7" t="n">
        <v>1010.3</v>
      </c>
      <c r="E7" t="n">
        <v>294.1</v>
      </c>
    </row>
    <row r="8">
      <c r="A8" s="87" t="n">
        <v>21732</v>
      </c>
      <c r="B8" t="n">
        <v>486.1</v>
      </c>
      <c r="C8" t="n">
        <v>1012.7</v>
      </c>
      <c r="E8" t="n">
        <v>295.2</v>
      </c>
      <c r="F8" t="n">
        <v>1.773</v>
      </c>
    </row>
    <row r="9">
      <c r="A9" s="87" t="n">
        <v>21763</v>
      </c>
      <c r="B9" t="n">
        <v>486.3</v>
      </c>
      <c r="C9" t="n">
        <v>1015.8</v>
      </c>
      <c r="E9" t="n">
        <v>296.4</v>
      </c>
    </row>
    <row r="10">
      <c r="A10" s="87" t="n">
        <v>21794</v>
      </c>
      <c r="B10" t="n">
        <v>482.1</v>
      </c>
      <c r="C10" t="n">
        <v>1014.4</v>
      </c>
      <c r="E10" t="n">
        <v>296.7</v>
      </c>
    </row>
    <row r="11">
      <c r="A11" s="87" t="n">
        <v>21824</v>
      </c>
      <c r="B11" t="n">
        <v>478.7</v>
      </c>
      <c r="C11" t="n">
        <v>1010.2</v>
      </c>
      <c r="E11" t="n">
        <v>296.5</v>
      </c>
      <c r="F11" t="n">
        <v>1.779</v>
      </c>
    </row>
    <row r="12">
      <c r="A12" s="87" t="n">
        <v>21855</v>
      </c>
      <c r="B12" t="n">
        <v>478.4</v>
      </c>
      <c r="C12" t="n">
        <v>1012.3</v>
      </c>
      <c r="E12" t="n">
        <v>297.1</v>
      </c>
    </row>
    <row r="13">
      <c r="A13" s="87" t="n">
        <v>21885</v>
      </c>
      <c r="B13" t="n">
        <v>475.7</v>
      </c>
      <c r="C13" t="n">
        <v>1012.6</v>
      </c>
      <c r="E13" t="n">
        <v>297.8</v>
      </c>
    </row>
    <row r="14">
      <c r="A14" s="87" t="n">
        <v>21916</v>
      </c>
      <c r="B14" t="n">
        <v>476.7</v>
      </c>
      <c r="C14" t="n">
        <v>1015.3</v>
      </c>
      <c r="E14" t="n">
        <v>298.2</v>
      </c>
      <c r="F14" t="n">
        <v>1.817</v>
      </c>
    </row>
    <row r="15">
      <c r="A15" s="87" t="n">
        <v>21947</v>
      </c>
      <c r="B15" t="n">
        <v>475.7</v>
      </c>
      <c r="C15" t="n">
        <v>1014.6</v>
      </c>
      <c r="E15" t="n">
        <v>298.4</v>
      </c>
    </row>
    <row r="16">
      <c r="A16" s="87" t="n">
        <v>21976</v>
      </c>
      <c r="B16" t="n">
        <v>475.3</v>
      </c>
      <c r="C16" t="n">
        <v>1017.7</v>
      </c>
      <c r="E16" t="n">
        <v>299.3</v>
      </c>
    </row>
    <row r="17">
      <c r="A17" s="87" t="n">
        <v>22007</v>
      </c>
      <c r="B17" t="n">
        <v>472.6</v>
      </c>
      <c r="C17" t="n">
        <v>1015.9</v>
      </c>
      <c r="E17" t="n">
        <v>300.1</v>
      </c>
      <c r="F17" t="n">
        <v>1.797</v>
      </c>
    </row>
    <row r="18">
      <c r="A18" s="87" t="n">
        <v>22037</v>
      </c>
      <c r="B18" t="n">
        <v>472.1</v>
      </c>
      <c r="C18" t="n">
        <v>1017.6</v>
      </c>
      <c r="E18" t="n">
        <v>300.9</v>
      </c>
    </row>
    <row r="19">
      <c r="A19" s="87" t="n">
        <v>22068</v>
      </c>
      <c r="B19" t="n">
        <v>471.5</v>
      </c>
      <c r="C19" t="n">
        <v>1020.9</v>
      </c>
      <c r="E19" t="n">
        <v>302.3</v>
      </c>
    </row>
    <row r="20">
      <c r="A20" s="87" t="n">
        <v>22098</v>
      </c>
      <c r="B20" t="n">
        <v>474.5</v>
      </c>
      <c r="C20" t="n">
        <v>1029.1</v>
      </c>
      <c r="E20" t="n">
        <v>304.1</v>
      </c>
      <c r="F20" t="n">
        <v>1.78</v>
      </c>
    </row>
    <row r="21">
      <c r="A21" s="87" t="n">
        <v>22129</v>
      </c>
      <c r="B21" t="n">
        <v>477.2</v>
      </c>
      <c r="C21" t="n">
        <v>1036.5</v>
      </c>
      <c r="E21" t="n">
        <v>306.9</v>
      </c>
    </row>
    <row r="22">
      <c r="A22" s="87" t="n">
        <v>22160</v>
      </c>
      <c r="B22" t="n">
        <v>476.9</v>
      </c>
      <c r="C22" t="n">
        <v>1041.5</v>
      </c>
      <c r="E22" t="n">
        <v>308.4</v>
      </c>
    </row>
    <row r="23">
      <c r="A23" s="87" t="n">
        <v>22190</v>
      </c>
      <c r="B23" t="n">
        <v>473.6</v>
      </c>
      <c r="C23" t="n">
        <v>1040.3</v>
      </c>
      <c r="E23" t="n">
        <v>309.5</v>
      </c>
      <c r="F23" t="n">
        <v>1.737</v>
      </c>
    </row>
    <row r="24">
      <c r="A24" s="87" t="n">
        <v>22221</v>
      </c>
      <c r="B24" t="n">
        <v>473.1</v>
      </c>
      <c r="C24" t="n">
        <v>1044</v>
      </c>
      <c r="E24" t="n">
        <v>310.9</v>
      </c>
    </row>
    <row r="25">
      <c r="A25" s="87" t="n">
        <v>22251</v>
      </c>
      <c r="B25" t="n">
        <v>472</v>
      </c>
      <c r="C25" t="n">
        <v>1048</v>
      </c>
      <c r="E25" t="n">
        <v>312.4</v>
      </c>
    </row>
    <row r="26">
      <c r="A26" s="87" t="n">
        <v>22282</v>
      </c>
      <c r="B26" t="n">
        <v>472.9</v>
      </c>
      <c r="C26" t="n">
        <v>1052.6</v>
      </c>
      <c r="E26" t="n">
        <v>314.1</v>
      </c>
      <c r="F26" t="n">
        <v>1.723</v>
      </c>
    </row>
    <row r="27">
      <c r="A27" s="87" t="n">
        <v>22313</v>
      </c>
      <c r="B27" t="n">
        <v>474.5</v>
      </c>
      <c r="C27" t="n">
        <v>1060.7</v>
      </c>
      <c r="E27" t="n">
        <v>316.5</v>
      </c>
    </row>
    <row r="28">
      <c r="A28" s="87" t="n">
        <v>22341</v>
      </c>
      <c r="B28" t="n">
        <v>475.5</v>
      </c>
      <c r="C28" t="n">
        <v>1066.7</v>
      </c>
      <c r="E28" t="n">
        <v>318.3</v>
      </c>
    </row>
    <row r="29">
      <c r="A29" s="87" t="n">
        <v>22372</v>
      </c>
      <c r="B29" t="n">
        <v>476.7</v>
      </c>
      <c r="C29" t="n">
        <v>1073.1</v>
      </c>
      <c r="E29" t="n">
        <v>319.9</v>
      </c>
      <c r="F29" t="n">
        <v>1.725</v>
      </c>
    </row>
    <row r="30">
      <c r="A30" s="87" t="n">
        <v>22402</v>
      </c>
      <c r="B30" t="n">
        <v>478.2</v>
      </c>
      <c r="C30" t="n">
        <v>1079.8</v>
      </c>
      <c r="E30" t="n">
        <v>322.2</v>
      </c>
    </row>
    <row r="31">
      <c r="A31" s="87" t="n">
        <v>22433</v>
      </c>
      <c r="B31" t="n">
        <v>478.9</v>
      </c>
      <c r="C31" t="n">
        <v>1086.8</v>
      </c>
      <c r="E31" t="n">
        <v>324.3</v>
      </c>
    </row>
    <row r="32">
      <c r="A32" s="87" t="n">
        <v>22463</v>
      </c>
      <c r="B32" t="n">
        <v>477.6</v>
      </c>
      <c r="C32" t="n">
        <v>1088.2</v>
      </c>
      <c r="E32" t="n">
        <v>325.6</v>
      </c>
      <c r="F32" t="n">
        <v>1.733</v>
      </c>
    </row>
    <row r="33">
      <c r="A33" s="87" t="n">
        <v>22494</v>
      </c>
      <c r="B33" t="n">
        <v>479.3</v>
      </c>
      <c r="C33" t="n">
        <v>1094.2</v>
      </c>
      <c r="E33" t="n">
        <v>327.6</v>
      </c>
    </row>
    <row r="34">
      <c r="A34" s="87" t="n">
        <v>22525</v>
      </c>
      <c r="B34" t="n">
        <v>479.7</v>
      </c>
      <c r="C34" t="n">
        <v>1099.1</v>
      </c>
      <c r="E34" t="n">
        <v>329.5</v>
      </c>
    </row>
    <row r="35">
      <c r="A35" s="87" t="n">
        <v>22555</v>
      </c>
      <c r="B35" t="n">
        <v>480.7</v>
      </c>
      <c r="C35" t="n">
        <v>1104.4</v>
      </c>
      <c r="E35" t="n">
        <v>331.1</v>
      </c>
      <c r="F35" t="n">
        <v>1.742</v>
      </c>
    </row>
    <row r="36">
      <c r="A36" s="87" t="n">
        <v>22586</v>
      </c>
      <c r="B36" t="n">
        <v>483</v>
      </c>
      <c r="C36" t="n">
        <v>1112.1</v>
      </c>
      <c r="E36" t="n">
        <v>333.4</v>
      </c>
    </row>
    <row r="37">
      <c r="A37" s="87" t="n">
        <v>22616</v>
      </c>
      <c r="B37" t="n">
        <v>483.8</v>
      </c>
      <c r="C37" t="n">
        <v>1118</v>
      </c>
      <c r="E37" t="n">
        <v>335.5</v>
      </c>
    </row>
    <row r="38">
      <c r="A38" s="87" t="n">
        <v>22647</v>
      </c>
      <c r="B38" t="n">
        <v>483.4</v>
      </c>
      <c r="C38" t="n">
        <v>1123.5</v>
      </c>
      <c r="E38" t="n">
        <v>337.5</v>
      </c>
      <c r="F38" t="n">
        <v>1.746</v>
      </c>
    </row>
    <row r="39">
      <c r="A39" s="87" t="n">
        <v>22678</v>
      </c>
      <c r="B39" t="n">
        <v>483.9</v>
      </c>
      <c r="C39" t="n">
        <v>1129.5</v>
      </c>
      <c r="E39" t="n">
        <v>340.1</v>
      </c>
    </row>
    <row r="40">
      <c r="A40" s="87" t="n">
        <v>22706</v>
      </c>
      <c r="B40" t="n">
        <v>483.9</v>
      </c>
      <c r="C40" t="n">
        <v>1137.2</v>
      </c>
      <c r="E40" t="n">
        <v>343.1</v>
      </c>
    </row>
    <row r="41">
      <c r="A41" s="87" t="n">
        <v>22737</v>
      </c>
      <c r="B41" t="n">
        <v>484.6</v>
      </c>
      <c r="C41" t="n">
        <v>1143.7</v>
      </c>
      <c r="E41" t="n">
        <v>345.5</v>
      </c>
      <c r="F41" t="n">
        <v>1.728</v>
      </c>
    </row>
    <row r="42">
      <c r="A42" s="87" t="n">
        <v>22767</v>
      </c>
      <c r="B42" t="n">
        <v>485.4</v>
      </c>
      <c r="C42" t="n">
        <v>1149.1</v>
      </c>
      <c r="E42" t="n">
        <v>347.5</v>
      </c>
    </row>
    <row r="43">
      <c r="A43" s="87" t="n">
        <v>22798</v>
      </c>
      <c r="B43" t="n">
        <v>485.3</v>
      </c>
      <c r="C43" t="n">
        <v>1156.2</v>
      </c>
      <c r="E43" t="n">
        <v>349.3</v>
      </c>
    </row>
    <row r="44">
      <c r="A44" s="87" t="n">
        <v>22828</v>
      </c>
      <c r="B44" t="n">
        <v>484.8</v>
      </c>
      <c r="C44" t="n">
        <v>1160.8</v>
      </c>
      <c r="E44" t="n">
        <v>350.8</v>
      </c>
      <c r="F44" t="n">
        <v>1.726</v>
      </c>
    </row>
    <row r="45">
      <c r="A45" s="87" t="n">
        <v>22859</v>
      </c>
      <c r="B45" t="n">
        <v>484.1</v>
      </c>
      <c r="C45" t="n">
        <v>1165.1</v>
      </c>
      <c r="E45" t="n">
        <v>352.8</v>
      </c>
    </row>
    <row r="46">
      <c r="A46" s="87" t="n">
        <v>22890</v>
      </c>
      <c r="B46" t="n">
        <v>480.9</v>
      </c>
      <c r="C46" t="n">
        <v>1166.7</v>
      </c>
      <c r="E46" t="n">
        <v>354.9</v>
      </c>
    </row>
    <row r="47">
      <c r="A47" s="87" t="n">
        <v>22920</v>
      </c>
      <c r="B47" t="n">
        <v>482.9</v>
      </c>
      <c r="C47" t="n">
        <v>1175.8</v>
      </c>
      <c r="E47" t="n">
        <v>357.2</v>
      </c>
      <c r="F47" t="n">
        <v>1.701</v>
      </c>
    </row>
    <row r="48">
      <c r="A48" s="87" t="n">
        <v>22951</v>
      </c>
      <c r="B48" t="n">
        <v>484.9</v>
      </c>
      <c r="C48" t="n">
        <v>1184.3</v>
      </c>
      <c r="E48" t="n">
        <v>359.8</v>
      </c>
    </row>
    <row r="49">
      <c r="A49" s="87" t="n">
        <v>22981</v>
      </c>
      <c r="B49" t="n">
        <v>486.5</v>
      </c>
      <c r="C49" t="n">
        <v>1193.9</v>
      </c>
      <c r="E49" t="n">
        <v>362.7</v>
      </c>
    </row>
    <row r="50">
      <c r="A50" s="87" t="n">
        <v>23012</v>
      </c>
      <c r="B50" t="n">
        <v>487.2</v>
      </c>
      <c r="C50" t="n">
        <v>1199.7</v>
      </c>
      <c r="E50" t="n">
        <v>365.2</v>
      </c>
      <c r="F50" t="n">
        <v>1.69</v>
      </c>
    </row>
    <row r="51">
      <c r="A51" s="87" t="n">
        <v>23043</v>
      </c>
      <c r="B51" t="n">
        <v>488.5</v>
      </c>
      <c r="C51" t="n">
        <v>1207</v>
      </c>
      <c r="E51" t="n">
        <v>367.9</v>
      </c>
    </row>
    <row r="52">
      <c r="A52" s="87" t="n">
        <v>23071</v>
      </c>
      <c r="B52" t="n">
        <v>489</v>
      </c>
      <c r="C52" t="n">
        <v>1215</v>
      </c>
      <c r="E52" t="n">
        <v>370.7</v>
      </c>
    </row>
    <row r="53">
      <c r="A53" s="87" t="n">
        <v>23102</v>
      </c>
      <c r="B53" t="n">
        <v>491.1</v>
      </c>
      <c r="C53" t="n">
        <v>1224.7</v>
      </c>
      <c r="E53" t="n">
        <v>373.3</v>
      </c>
      <c r="F53" t="n">
        <v>1.675</v>
      </c>
    </row>
    <row r="54">
      <c r="A54" s="87" t="n">
        <v>23132</v>
      </c>
      <c r="B54" t="n">
        <v>493</v>
      </c>
      <c r="C54" t="n">
        <v>1232.7</v>
      </c>
      <c r="E54" t="n">
        <v>376.1</v>
      </c>
    </row>
    <row r="55">
      <c r="A55" s="87" t="n">
        <v>23163</v>
      </c>
      <c r="B55" t="n">
        <v>491.3</v>
      </c>
      <c r="C55" t="n">
        <v>1236.2</v>
      </c>
      <c r="E55" t="n">
        <v>378.4</v>
      </c>
    </row>
    <row r="56">
      <c r="A56" s="87" t="n">
        <v>23193</v>
      </c>
      <c r="B56" t="n">
        <v>493</v>
      </c>
      <c r="C56" t="n">
        <v>1241.8</v>
      </c>
      <c r="E56" t="n">
        <v>381.1</v>
      </c>
      <c r="F56" t="n">
        <v>1.68</v>
      </c>
    </row>
    <row r="57">
      <c r="A57" s="87" t="n">
        <v>23224</v>
      </c>
      <c r="B57" t="n">
        <v>493.7</v>
      </c>
      <c r="C57" t="n">
        <v>1247.5</v>
      </c>
      <c r="E57" t="n">
        <v>383.6</v>
      </c>
    </row>
    <row r="58">
      <c r="A58" s="87" t="n">
        <v>23255</v>
      </c>
      <c r="B58" t="n">
        <v>494.8</v>
      </c>
      <c r="C58" t="n">
        <v>1256.5</v>
      </c>
      <c r="E58" t="n">
        <v>386</v>
      </c>
    </row>
    <row r="59">
      <c r="A59" s="87" t="n">
        <v>23285</v>
      </c>
      <c r="B59" t="n">
        <v>496.3</v>
      </c>
      <c r="C59" t="n">
        <v>1262.8</v>
      </c>
      <c r="E59" t="n">
        <v>388.3</v>
      </c>
      <c r="F59" t="n">
        <v>1.672</v>
      </c>
    </row>
    <row r="60">
      <c r="A60" s="87" t="n">
        <v>23316</v>
      </c>
      <c r="B60" t="n">
        <v>499</v>
      </c>
      <c r="C60" t="n">
        <v>1271.9</v>
      </c>
      <c r="E60" t="n">
        <v>391.5</v>
      </c>
    </row>
    <row r="61">
      <c r="A61" s="87" t="n">
        <v>23346</v>
      </c>
      <c r="B61" t="n">
        <v>496.4</v>
      </c>
      <c r="C61" t="n">
        <v>1273.3</v>
      </c>
      <c r="E61" t="n">
        <v>393.2</v>
      </c>
    </row>
    <row r="62">
      <c r="A62" s="87" t="n">
        <v>23377</v>
      </c>
      <c r="B62" t="n">
        <v>496.8</v>
      </c>
      <c r="C62" t="n">
        <v>1277.3</v>
      </c>
      <c r="E62" t="n">
        <v>395.2</v>
      </c>
      <c r="F62" t="n">
        <v>1.685</v>
      </c>
    </row>
    <row r="63">
      <c r="A63" s="87" t="n">
        <v>23408</v>
      </c>
      <c r="B63" t="n">
        <v>499.2</v>
      </c>
      <c r="C63" t="n">
        <v>1286.3</v>
      </c>
      <c r="E63" t="n">
        <v>397.6</v>
      </c>
    </row>
    <row r="64">
      <c r="A64" s="87" t="n">
        <v>23437</v>
      </c>
      <c r="B64" t="n">
        <v>499.4</v>
      </c>
      <c r="C64" t="n">
        <v>1292.2</v>
      </c>
      <c r="E64" t="n">
        <v>399.8</v>
      </c>
    </row>
    <row r="65">
      <c r="A65" s="87" t="n">
        <v>23468</v>
      </c>
      <c r="B65" t="n">
        <v>500.2</v>
      </c>
      <c r="C65" t="n">
        <v>1297.9</v>
      </c>
      <c r="E65" t="n">
        <v>401.7</v>
      </c>
      <c r="F65" t="n">
        <v>1.679</v>
      </c>
    </row>
    <row r="66">
      <c r="A66" s="87" t="n">
        <v>23498</v>
      </c>
      <c r="B66" t="n">
        <v>501.3</v>
      </c>
      <c r="C66" t="n">
        <v>1304.7</v>
      </c>
      <c r="E66" t="n">
        <v>404.2</v>
      </c>
    </row>
    <row r="67">
      <c r="A67" s="87" t="n">
        <v>23529</v>
      </c>
      <c r="B67" t="n">
        <v>501.8</v>
      </c>
      <c r="C67" t="n">
        <v>1312.8</v>
      </c>
      <c r="E67" t="n">
        <v>407.1</v>
      </c>
    </row>
    <row r="68">
      <c r="A68" s="87" t="n">
        <v>23559</v>
      </c>
      <c r="B68" t="n">
        <v>505.5</v>
      </c>
      <c r="C68" t="n">
        <v>1322.1</v>
      </c>
      <c r="E68" t="n">
        <v>410.1</v>
      </c>
      <c r="F68" t="n">
        <v>1.674</v>
      </c>
    </row>
    <row r="69">
      <c r="A69" s="87" t="n">
        <v>23590</v>
      </c>
      <c r="B69" t="n">
        <v>508.2</v>
      </c>
      <c r="C69" t="n">
        <v>1331.4</v>
      </c>
      <c r="E69" t="n">
        <v>413.4</v>
      </c>
    </row>
    <row r="70">
      <c r="A70" s="87" t="n">
        <v>23621</v>
      </c>
      <c r="B70" t="n">
        <v>510.6</v>
      </c>
      <c r="C70" t="n">
        <v>1341.4</v>
      </c>
      <c r="E70" t="n">
        <v>416.9</v>
      </c>
    </row>
    <row r="71">
      <c r="A71" s="87" t="n">
        <v>23651</v>
      </c>
      <c r="B71" t="n">
        <v>511.6</v>
      </c>
      <c r="C71" t="n">
        <v>1346.7</v>
      </c>
      <c r="E71" t="n">
        <v>419.1</v>
      </c>
      <c r="F71" t="n">
        <v>1.653</v>
      </c>
    </row>
    <row r="72">
      <c r="A72" s="87" t="n">
        <v>23682</v>
      </c>
      <c r="B72" t="n">
        <v>512.7</v>
      </c>
      <c r="C72" t="n">
        <v>1352.1</v>
      </c>
      <c r="E72" t="n">
        <v>422</v>
      </c>
    </row>
    <row r="73">
      <c r="A73" s="87" t="n">
        <v>23712</v>
      </c>
      <c r="B73" t="n">
        <v>513</v>
      </c>
      <c r="C73" t="n">
        <v>1359</v>
      </c>
      <c r="E73" t="n">
        <v>424.7</v>
      </c>
    </row>
    <row r="74">
      <c r="A74" s="87" t="n">
        <v>23743</v>
      </c>
      <c r="B74" t="n">
        <v>513.7</v>
      </c>
      <c r="C74" t="n">
        <v>1366.7</v>
      </c>
      <c r="E74" t="n">
        <v>427.5</v>
      </c>
      <c r="F74" t="n">
        <v>1.668</v>
      </c>
    </row>
    <row r="75">
      <c r="A75" s="87" t="n">
        <v>23774</v>
      </c>
      <c r="B75" t="n">
        <v>514.4</v>
      </c>
      <c r="C75" t="n">
        <v>1376</v>
      </c>
      <c r="E75" t="n">
        <v>430.4</v>
      </c>
    </row>
    <row r="76">
      <c r="A76" s="87" t="n">
        <v>23802</v>
      </c>
      <c r="B76" t="n">
        <v>515.8</v>
      </c>
      <c r="C76" t="n">
        <v>1383.6</v>
      </c>
      <c r="E76" t="n">
        <v>433.2</v>
      </c>
    </row>
    <row r="77">
      <c r="A77" s="87" t="n">
        <v>23833</v>
      </c>
      <c r="B77" t="n">
        <v>516.3</v>
      </c>
      <c r="C77" t="n">
        <v>1387.5</v>
      </c>
      <c r="E77" t="n">
        <v>435.4</v>
      </c>
      <c r="F77" t="n">
        <v>1.669</v>
      </c>
    </row>
    <row r="78">
      <c r="A78" s="87" t="n">
        <v>23863</v>
      </c>
      <c r="B78" t="n">
        <v>513.7</v>
      </c>
      <c r="C78" t="n">
        <v>1388.5</v>
      </c>
      <c r="E78" t="n">
        <v>437.1</v>
      </c>
    </row>
    <row r="79">
      <c r="A79" s="87" t="n">
        <v>23894</v>
      </c>
      <c r="B79" t="n">
        <v>513.1</v>
      </c>
      <c r="C79" t="n">
        <v>1392.3</v>
      </c>
      <c r="E79" t="n">
        <v>440.1</v>
      </c>
    </row>
    <row r="80">
      <c r="A80" s="87" t="n">
        <v>23924</v>
      </c>
      <c r="B80" t="n">
        <v>516.1</v>
      </c>
      <c r="C80" t="n">
        <v>1402.5</v>
      </c>
      <c r="E80" t="n">
        <v>442.9</v>
      </c>
      <c r="F80" t="n">
        <v>1.68</v>
      </c>
    </row>
    <row r="81">
      <c r="A81" s="87" t="n">
        <v>23955</v>
      </c>
      <c r="B81" t="n">
        <v>518.9</v>
      </c>
      <c r="C81" t="n">
        <v>1413</v>
      </c>
      <c r="E81" t="n">
        <v>445.8</v>
      </c>
    </row>
    <row r="82">
      <c r="A82" s="87" t="n">
        <v>23986</v>
      </c>
      <c r="B82" t="n">
        <v>521.2</v>
      </c>
      <c r="C82" t="n">
        <v>1421.6</v>
      </c>
      <c r="E82" t="n">
        <v>449.5</v>
      </c>
    </row>
    <row r="83">
      <c r="A83" s="87" t="n">
        <v>24016</v>
      </c>
      <c r="B83" t="n">
        <v>524.5</v>
      </c>
      <c r="C83" t="n">
        <v>1430</v>
      </c>
      <c r="E83" t="n">
        <v>452.6</v>
      </c>
      <c r="F83" t="n">
        <v>1.693</v>
      </c>
    </row>
    <row r="84">
      <c r="A84" s="87" t="n">
        <v>24047</v>
      </c>
      <c r="B84" t="n">
        <v>525</v>
      </c>
      <c r="C84" t="n">
        <v>1435.3</v>
      </c>
      <c r="E84" t="n">
        <v>455.7</v>
      </c>
    </row>
    <row r="85">
      <c r="A85" s="87" t="n">
        <v>24077</v>
      </c>
      <c r="B85" t="n">
        <v>526.8</v>
      </c>
      <c r="C85" t="n">
        <v>1441.8</v>
      </c>
      <c r="E85" t="n">
        <v>459.2</v>
      </c>
    </row>
    <row r="86">
      <c r="A86" s="87" t="n">
        <v>24108</v>
      </c>
      <c r="B86" t="n">
        <v>530.4</v>
      </c>
      <c r="C86" t="n">
        <v>1449.2</v>
      </c>
      <c r="E86" t="n">
        <v>462</v>
      </c>
      <c r="F86" t="n">
        <v>1.713</v>
      </c>
    </row>
    <row r="87">
      <c r="A87" s="87" t="n">
        <v>24139</v>
      </c>
      <c r="B87" t="n">
        <v>528.7</v>
      </c>
      <c r="C87" t="n">
        <v>1448.3</v>
      </c>
      <c r="E87" t="n">
        <v>464.6</v>
      </c>
    </row>
    <row r="88">
      <c r="A88" s="87" t="n">
        <v>24167</v>
      </c>
      <c r="B88" t="n">
        <v>529.8</v>
      </c>
      <c r="C88" t="n">
        <v>1451.8</v>
      </c>
      <c r="E88" t="n">
        <v>467.2</v>
      </c>
    </row>
    <row r="89">
      <c r="A89" s="87" t="n">
        <v>24198</v>
      </c>
      <c r="B89" t="n">
        <v>532.2</v>
      </c>
      <c r="C89" t="n">
        <v>1453.8</v>
      </c>
      <c r="E89" t="n">
        <v>469.3</v>
      </c>
      <c r="F89" t="n">
        <v>1.712</v>
      </c>
    </row>
    <row r="90">
      <c r="A90" s="87" t="n">
        <v>24228</v>
      </c>
      <c r="B90" t="n">
        <v>529.5</v>
      </c>
      <c r="C90" t="n">
        <v>1453.2</v>
      </c>
      <c r="E90" t="n">
        <v>470.1</v>
      </c>
    </row>
    <row r="91">
      <c r="A91" s="87" t="n">
        <v>24259</v>
      </c>
      <c r="B91" t="n">
        <v>530</v>
      </c>
      <c r="C91" t="n">
        <v>1455.2</v>
      </c>
      <c r="E91" t="n">
        <v>471.2</v>
      </c>
    </row>
    <row r="92">
      <c r="A92" s="87" t="n">
        <v>24289</v>
      </c>
      <c r="B92" t="n">
        <v>524.8</v>
      </c>
      <c r="C92" t="n">
        <v>1451.2</v>
      </c>
      <c r="E92" t="n">
        <v>470.9</v>
      </c>
      <c r="F92" t="n">
        <v>1.733</v>
      </c>
    </row>
    <row r="93">
      <c r="A93" s="87" t="n">
        <v>24320</v>
      </c>
      <c r="B93" t="n">
        <v>523.1</v>
      </c>
      <c r="C93" t="n">
        <v>1447.5</v>
      </c>
      <c r="E93" t="n">
        <v>472.6</v>
      </c>
    </row>
    <row r="94">
      <c r="A94" s="87" t="n">
        <v>24351</v>
      </c>
      <c r="B94" t="n">
        <v>525.2</v>
      </c>
      <c r="C94" t="n">
        <v>1451.6</v>
      </c>
      <c r="E94" t="n">
        <v>475.4</v>
      </c>
    </row>
    <row r="95">
      <c r="A95" s="87" t="n">
        <v>24381</v>
      </c>
      <c r="B95" t="n">
        <v>521.2</v>
      </c>
      <c r="C95" t="n">
        <v>1448.1</v>
      </c>
      <c r="E95" t="n">
        <v>475.7</v>
      </c>
      <c r="F95" t="n">
        <v>1.744</v>
      </c>
    </row>
    <row r="96">
      <c r="A96" s="87" t="n">
        <v>24412</v>
      </c>
      <c r="B96" t="n">
        <v>521.3</v>
      </c>
      <c r="C96" t="n">
        <v>1451.6</v>
      </c>
      <c r="E96" t="n">
        <v>477.3</v>
      </c>
    </row>
    <row r="97">
      <c r="A97" s="87" t="n">
        <v>24442</v>
      </c>
      <c r="B97" t="n">
        <v>522.5</v>
      </c>
      <c r="C97" t="n">
        <v>1458.7</v>
      </c>
      <c r="E97" t="n">
        <v>480.2</v>
      </c>
    </row>
    <row r="98">
      <c r="A98" s="87" t="n">
        <v>24473</v>
      </c>
      <c r="B98" t="n">
        <v>522.5</v>
      </c>
      <c r="C98" t="n">
        <v>1463.8</v>
      </c>
      <c r="E98" t="n">
        <v>481.6</v>
      </c>
      <c r="F98" t="n">
        <v>1.739</v>
      </c>
    </row>
    <row r="99">
      <c r="A99" s="87" t="n">
        <v>24504</v>
      </c>
      <c r="B99" t="n">
        <v>524.2</v>
      </c>
      <c r="C99" t="n">
        <v>1470</v>
      </c>
      <c r="E99" t="n">
        <v>485.1</v>
      </c>
    </row>
    <row r="100">
      <c r="A100" s="87" t="n">
        <v>24532</v>
      </c>
      <c r="B100" t="n">
        <v>529.7</v>
      </c>
      <c r="C100" t="n">
        <v>1483.9</v>
      </c>
      <c r="E100" t="n">
        <v>489.7</v>
      </c>
    </row>
    <row r="101">
      <c r="A101" s="87" t="n">
        <v>24563</v>
      </c>
      <c r="B101" t="n">
        <v>526.3</v>
      </c>
      <c r="C101" t="n">
        <v>1486.7</v>
      </c>
      <c r="E101" t="n">
        <v>492.1</v>
      </c>
      <c r="F101" t="n">
        <v>1.708</v>
      </c>
    </row>
    <row r="102">
      <c r="A102" s="87" t="n">
        <v>24593</v>
      </c>
      <c r="B102" t="n">
        <v>530.8</v>
      </c>
      <c r="C102" t="n">
        <v>1502.1</v>
      </c>
      <c r="E102" t="n">
        <v>497.2</v>
      </c>
    </row>
    <row r="103">
      <c r="A103" s="87" t="n">
        <v>24624</v>
      </c>
      <c r="B103" t="n">
        <v>531.5</v>
      </c>
      <c r="C103" t="n">
        <v>1507.5</v>
      </c>
      <c r="E103" t="n">
        <v>502</v>
      </c>
    </row>
    <row r="104">
      <c r="A104" s="87" t="n">
        <v>24654</v>
      </c>
      <c r="B104" t="n">
        <v>533.2</v>
      </c>
      <c r="C104" t="n">
        <v>1515.9</v>
      </c>
      <c r="E104" t="n">
        <v>506.3</v>
      </c>
      <c r="F104" t="n">
        <v>1.695</v>
      </c>
    </row>
    <row r="105">
      <c r="A105" s="87" t="n">
        <v>24685</v>
      </c>
      <c r="B105" t="n">
        <v>536.4</v>
      </c>
      <c r="C105" t="n">
        <v>1524.8</v>
      </c>
      <c r="E105" t="n">
        <v>510.8</v>
      </c>
    </row>
    <row r="106">
      <c r="A106" s="87" t="n">
        <v>24716</v>
      </c>
      <c r="B106" t="n">
        <v>537.8</v>
      </c>
      <c r="C106" t="n">
        <v>1531.8</v>
      </c>
      <c r="E106" t="n">
        <v>514.7</v>
      </c>
    </row>
    <row r="107">
      <c r="A107" s="87" t="n">
        <v>24746</v>
      </c>
      <c r="B107" t="n">
        <v>538.9</v>
      </c>
      <c r="C107" t="n">
        <v>1537.7</v>
      </c>
      <c r="E107" t="n">
        <v>518.2</v>
      </c>
      <c r="F107" t="n">
        <v>1.691</v>
      </c>
    </row>
    <row r="108">
      <c r="A108" s="87" t="n">
        <v>24777</v>
      </c>
      <c r="B108" t="n">
        <v>538.1</v>
      </c>
      <c r="C108" t="n">
        <v>1537.5</v>
      </c>
      <c r="E108" t="n">
        <v>521.2</v>
      </c>
    </row>
    <row r="109">
      <c r="A109" s="87" t="n">
        <v>24807</v>
      </c>
      <c r="B109" t="n">
        <v>539.1</v>
      </c>
      <c r="C109" t="n">
        <v>1543.5</v>
      </c>
      <c r="E109" t="n">
        <v>524.8</v>
      </c>
    </row>
    <row r="110">
      <c r="A110" s="87" t="n">
        <v>24838</v>
      </c>
      <c r="B110" t="n">
        <v>540.5</v>
      </c>
      <c r="C110" t="n">
        <v>1546.6</v>
      </c>
      <c r="E110" t="n">
        <v>527.4</v>
      </c>
      <c r="F110" t="n">
        <v>1.715</v>
      </c>
    </row>
    <row r="111">
      <c r="A111" s="87" t="n">
        <v>24869</v>
      </c>
      <c r="B111" t="n">
        <v>540.1</v>
      </c>
      <c r="C111" t="n">
        <v>1550.9</v>
      </c>
      <c r="E111" t="n">
        <v>530.4</v>
      </c>
    </row>
    <row r="112">
      <c r="A112" s="87" t="n">
        <v>24898</v>
      </c>
      <c r="B112" t="n">
        <v>540.8</v>
      </c>
      <c r="C112" t="n">
        <v>1554.5</v>
      </c>
      <c r="E112" t="n">
        <v>533.2</v>
      </c>
    </row>
    <row r="113">
      <c r="A113" s="87" t="n">
        <v>24929</v>
      </c>
      <c r="B113" t="n">
        <v>542.4</v>
      </c>
      <c r="C113" t="n">
        <v>1557.3</v>
      </c>
      <c r="E113" t="n">
        <v>535.7</v>
      </c>
      <c r="F113" t="n">
        <v>1.733</v>
      </c>
    </row>
    <row r="114">
      <c r="A114" s="87" t="n">
        <v>24959</v>
      </c>
      <c r="B114" t="n">
        <v>544.9</v>
      </c>
      <c r="C114" t="n">
        <v>1562</v>
      </c>
      <c r="E114" t="n">
        <v>538.9</v>
      </c>
    </row>
    <row r="115">
      <c r="A115" s="87" t="n">
        <v>24990</v>
      </c>
      <c r="B115" t="n">
        <v>545.8</v>
      </c>
      <c r="C115" t="n">
        <v>1563.7</v>
      </c>
      <c r="E115" t="n">
        <v>542.6</v>
      </c>
    </row>
    <row r="116">
      <c r="A116" s="87" t="n">
        <v>25020</v>
      </c>
      <c r="B116" t="n">
        <v>545.8</v>
      </c>
      <c r="C116" t="n">
        <v>1563.3</v>
      </c>
      <c r="E116" t="n">
        <v>545.6</v>
      </c>
      <c r="F116" t="n">
        <v>1.73</v>
      </c>
    </row>
    <row r="117">
      <c r="A117" s="87" t="n">
        <v>25051</v>
      </c>
      <c r="B117" t="n">
        <v>548</v>
      </c>
      <c r="C117" t="n">
        <v>1569.7</v>
      </c>
      <c r="E117" t="n">
        <v>549.4</v>
      </c>
    </row>
    <row r="118">
      <c r="A118" s="87" t="n">
        <v>25082</v>
      </c>
      <c r="B118" t="n">
        <v>549</v>
      </c>
      <c r="C118" t="n">
        <v>1577.2</v>
      </c>
      <c r="E118" t="n">
        <v>553.6</v>
      </c>
    </row>
    <row r="119">
      <c r="A119" s="87" t="n">
        <v>25112</v>
      </c>
      <c r="B119" t="n">
        <v>549.6</v>
      </c>
      <c r="C119" t="n">
        <v>1579.6</v>
      </c>
      <c r="E119" t="n">
        <v>557.6</v>
      </c>
      <c r="F119" t="n">
        <v>1.722</v>
      </c>
    </row>
    <row r="120">
      <c r="A120" s="87" t="n">
        <v>25143</v>
      </c>
      <c r="B120" t="n">
        <v>553.7</v>
      </c>
      <c r="C120" t="n">
        <v>1588.7</v>
      </c>
      <c r="E120" t="n">
        <v>562.4</v>
      </c>
    </row>
    <row r="121">
      <c r="A121" s="87" t="n">
        <v>25173</v>
      </c>
      <c r="B121" t="n">
        <v>554.5</v>
      </c>
      <c r="C121" t="n">
        <v>1592.1</v>
      </c>
      <c r="E121" t="n">
        <v>566.8</v>
      </c>
    </row>
    <row r="122">
      <c r="A122" s="87" t="n">
        <v>25204</v>
      </c>
      <c r="B122" t="n">
        <v>556.6</v>
      </c>
      <c r="C122" t="n">
        <v>1594.7</v>
      </c>
      <c r="E122" t="n">
        <v>569.3</v>
      </c>
      <c r="F122" t="n">
        <v>1.737</v>
      </c>
    </row>
    <row r="123">
      <c r="A123" s="87" t="n">
        <v>25235</v>
      </c>
      <c r="B123" t="n">
        <v>556.7</v>
      </c>
      <c r="C123" t="n">
        <v>1597.5</v>
      </c>
      <c r="E123" t="n">
        <v>571.9</v>
      </c>
    </row>
    <row r="124">
      <c r="A124" s="87" t="n">
        <v>25263</v>
      </c>
      <c r="B124" t="n">
        <v>554</v>
      </c>
      <c r="C124" t="n">
        <v>1591.1</v>
      </c>
      <c r="E124" t="n">
        <v>574.4</v>
      </c>
    </row>
    <row r="125">
      <c r="A125" s="87" t="n">
        <v>25294</v>
      </c>
      <c r="B125" t="n">
        <v>552.9</v>
      </c>
      <c r="C125" t="n">
        <v>1586</v>
      </c>
      <c r="E125" t="n">
        <v>575.7</v>
      </c>
      <c r="F125" t="n">
        <v>1.749</v>
      </c>
    </row>
    <row r="126">
      <c r="A126" s="87" t="n">
        <v>25324</v>
      </c>
      <c r="B126" t="n">
        <v>551.6</v>
      </c>
      <c r="C126" t="n">
        <v>1583.8</v>
      </c>
      <c r="E126" t="n">
        <v>576.5</v>
      </c>
    </row>
    <row r="127">
      <c r="A127" s="87" t="n">
        <v>25355</v>
      </c>
      <c r="B127" t="n">
        <v>550</v>
      </c>
      <c r="C127" t="n">
        <v>1580.6</v>
      </c>
      <c r="E127" t="n">
        <v>578.5</v>
      </c>
    </row>
    <row r="128">
      <c r="A128" s="87" t="n">
        <v>25385</v>
      </c>
      <c r="B128" t="n">
        <v>548.1</v>
      </c>
      <c r="C128" t="n">
        <v>1574.7</v>
      </c>
      <c r="E128" t="n">
        <v>579.5</v>
      </c>
      <c r="F128" t="n">
        <v>1.774</v>
      </c>
    </row>
    <row r="129">
      <c r="A129" s="87" t="n">
        <v>25416</v>
      </c>
      <c r="B129" t="n">
        <v>546.6</v>
      </c>
      <c r="C129" t="n">
        <v>1572.1</v>
      </c>
      <c r="E129" t="n">
        <v>580.1</v>
      </c>
    </row>
    <row r="130">
      <c r="A130" s="87" t="n">
        <v>25447</v>
      </c>
      <c r="B130" t="n">
        <v>544.7</v>
      </c>
      <c r="C130" t="n">
        <v>1569</v>
      </c>
      <c r="E130" t="n">
        <v>582.1</v>
      </c>
    </row>
    <row r="131">
      <c r="A131" s="87" t="n">
        <v>25477</v>
      </c>
      <c r="B131" t="n">
        <v>544</v>
      </c>
      <c r="C131" t="n">
        <v>1564.1</v>
      </c>
      <c r="E131" t="n">
        <v>583.4</v>
      </c>
      <c r="F131" t="n">
        <v>1.773</v>
      </c>
    </row>
    <row r="132">
      <c r="A132" s="87" t="n">
        <v>25508</v>
      </c>
      <c r="B132" t="n">
        <v>542.9</v>
      </c>
      <c r="C132" t="n">
        <v>1561.1</v>
      </c>
      <c r="E132" t="n">
        <v>585.4</v>
      </c>
    </row>
    <row r="133">
      <c r="A133" s="87" t="n">
        <v>25538</v>
      </c>
      <c r="B133" t="n">
        <v>540.8</v>
      </c>
      <c r="C133" t="n">
        <v>1559.4</v>
      </c>
      <c r="E133" t="n">
        <v>587.9</v>
      </c>
    </row>
    <row r="134">
      <c r="A134" s="87" t="n">
        <v>25569</v>
      </c>
      <c r="B134" t="n">
        <v>544.1</v>
      </c>
      <c r="C134" t="n">
        <v>1555.7</v>
      </c>
      <c r="E134" t="n">
        <v>589.6</v>
      </c>
      <c r="F134" t="n">
        <v>1.789</v>
      </c>
    </row>
    <row r="135">
      <c r="A135" s="87" t="n">
        <v>25600</v>
      </c>
      <c r="B135" t="n">
        <v>538.1</v>
      </c>
      <c r="C135" t="n">
        <v>1538.8</v>
      </c>
      <c r="E135" t="n">
        <v>586.3</v>
      </c>
    </row>
    <row r="136">
      <c r="A136" s="87" t="n">
        <v>25628</v>
      </c>
      <c r="B136" t="n">
        <v>537.1</v>
      </c>
      <c r="C136" t="n">
        <v>1533.4</v>
      </c>
      <c r="E136" t="n">
        <v>587.3</v>
      </c>
    </row>
    <row r="137">
      <c r="A137" s="87" t="n">
        <v>25659</v>
      </c>
      <c r="B137" t="n">
        <v>536.9</v>
      </c>
      <c r="C137" t="n">
        <v>1528.3</v>
      </c>
      <c r="E137" t="n">
        <v>588.4</v>
      </c>
      <c r="F137" t="n">
        <v>1.804</v>
      </c>
    </row>
    <row r="138">
      <c r="A138" s="87" t="n">
        <v>25689</v>
      </c>
      <c r="B138" t="n">
        <v>536.8</v>
      </c>
      <c r="C138" t="n">
        <v>1532.4</v>
      </c>
      <c r="E138" t="n">
        <v>591.5</v>
      </c>
    </row>
    <row r="139">
      <c r="A139" s="87" t="n">
        <v>25720</v>
      </c>
      <c r="B139" t="n">
        <v>535.1</v>
      </c>
      <c r="C139" t="n">
        <v>1534</v>
      </c>
      <c r="E139" t="n">
        <v>595.2</v>
      </c>
    </row>
    <row r="140">
      <c r="A140" s="87" t="n">
        <v>25750</v>
      </c>
      <c r="B140" t="n">
        <v>534.7</v>
      </c>
      <c r="C140" t="n">
        <v>1540.1</v>
      </c>
      <c r="E140" t="n">
        <v>599.1</v>
      </c>
      <c r="F140" t="n">
        <v>1.795</v>
      </c>
    </row>
    <row r="141">
      <c r="A141" s="87" t="n">
        <v>25781</v>
      </c>
      <c r="B141" t="n">
        <v>538.2</v>
      </c>
      <c r="C141" t="n">
        <v>1551</v>
      </c>
      <c r="E141" t="n">
        <v>604.9</v>
      </c>
    </row>
    <row r="142">
      <c r="A142" s="87" t="n">
        <v>25812</v>
      </c>
      <c r="B142" t="n">
        <v>540.3</v>
      </c>
      <c r="C142" t="n">
        <v>1559.2</v>
      </c>
      <c r="E142" t="n">
        <v>611.2</v>
      </c>
    </row>
    <row r="143">
      <c r="A143" s="87" t="n">
        <v>25842</v>
      </c>
      <c r="B143" t="n">
        <v>540.4</v>
      </c>
      <c r="C143" t="n">
        <v>1564.5</v>
      </c>
      <c r="E143" t="n">
        <v>616.4</v>
      </c>
      <c r="F143" t="n">
        <v>1.752</v>
      </c>
    </row>
    <row r="144">
      <c r="A144" s="87" t="n">
        <v>25873</v>
      </c>
      <c r="B144" t="n">
        <v>539.6</v>
      </c>
      <c r="C144" t="n">
        <v>1568.4</v>
      </c>
      <c r="E144" t="n">
        <v>621.1</v>
      </c>
    </row>
    <row r="145">
      <c r="A145" s="87" t="n">
        <v>25903</v>
      </c>
      <c r="B145" t="n">
        <v>538.7</v>
      </c>
      <c r="C145" t="n">
        <v>1574.1</v>
      </c>
      <c r="E145" t="n">
        <v>626.5</v>
      </c>
    </row>
    <row r="146">
      <c r="A146" s="87" t="n">
        <v>25934</v>
      </c>
      <c r="B146" t="n">
        <v>540.1</v>
      </c>
      <c r="C146" t="n">
        <v>1586.2</v>
      </c>
      <c r="E146" t="n">
        <v>632.9</v>
      </c>
      <c r="F146" t="n">
        <v>1.77</v>
      </c>
    </row>
    <row r="147">
      <c r="A147" s="87" t="n">
        <v>25965</v>
      </c>
      <c r="B147" t="n">
        <v>544.9</v>
      </c>
      <c r="C147" t="n">
        <v>1606.5</v>
      </c>
      <c r="E147" t="n">
        <v>641</v>
      </c>
    </row>
    <row r="148">
      <c r="A148" s="87" t="n">
        <v>25993</v>
      </c>
      <c r="B148" t="n">
        <v>547</v>
      </c>
      <c r="C148" t="n">
        <v>1624.7</v>
      </c>
      <c r="E148" t="n">
        <v>649.9</v>
      </c>
    </row>
    <row r="149">
      <c r="A149" s="87" t="n">
        <v>26024</v>
      </c>
      <c r="B149" t="n">
        <v>548.6</v>
      </c>
      <c r="C149" t="n">
        <v>1641.9</v>
      </c>
      <c r="E149" t="n">
        <v>658.4</v>
      </c>
      <c r="F149" t="n">
        <v>1.736</v>
      </c>
    </row>
    <row r="150">
      <c r="A150" s="87" t="n">
        <v>26054</v>
      </c>
      <c r="B150" t="n">
        <v>550.9</v>
      </c>
      <c r="C150" t="n">
        <v>1654.3</v>
      </c>
      <c r="E150" t="n">
        <v>666.7</v>
      </c>
    </row>
    <row r="151">
      <c r="A151" s="87" t="n">
        <v>26085</v>
      </c>
      <c r="B151" t="n">
        <v>551.9</v>
      </c>
      <c r="C151" t="n">
        <v>1661.7</v>
      </c>
      <c r="E151" t="n">
        <v>673</v>
      </c>
    </row>
    <row r="152">
      <c r="A152" s="87" t="n">
        <v>26115</v>
      </c>
      <c r="B152" t="n">
        <v>553.9</v>
      </c>
      <c r="C152" t="n">
        <v>1673.9</v>
      </c>
      <c r="E152" t="n">
        <v>679.6</v>
      </c>
      <c r="F152" t="n">
        <v>1.717</v>
      </c>
    </row>
    <row r="153">
      <c r="A153" s="87" t="n">
        <v>26146</v>
      </c>
      <c r="B153" t="n">
        <v>554.3</v>
      </c>
      <c r="C153" t="n">
        <v>1684.3</v>
      </c>
      <c r="E153" t="n">
        <v>685.5</v>
      </c>
    </row>
    <row r="154">
      <c r="A154" s="87" t="n">
        <v>26177</v>
      </c>
      <c r="B154" t="n">
        <v>555.1</v>
      </c>
      <c r="C154" t="n">
        <v>1697.3</v>
      </c>
      <c r="E154" t="n">
        <v>692.5</v>
      </c>
    </row>
    <row r="155">
      <c r="A155" s="87" t="n">
        <v>26207</v>
      </c>
      <c r="B155" t="n">
        <v>555.5</v>
      </c>
      <c r="C155" t="n">
        <v>1707.6</v>
      </c>
      <c r="E155" t="n">
        <v>698.4</v>
      </c>
      <c r="F155" t="n">
        <v>1.69</v>
      </c>
    </row>
    <row r="156">
      <c r="A156" s="87" t="n">
        <v>26238</v>
      </c>
      <c r="B156" t="n">
        <v>555.6</v>
      </c>
      <c r="C156" t="n">
        <v>1718.5</v>
      </c>
      <c r="E156" t="n">
        <v>704.6</v>
      </c>
    </row>
    <row r="157">
      <c r="A157" s="87" t="n">
        <v>26268</v>
      </c>
      <c r="B157" t="n">
        <v>555.5</v>
      </c>
      <c r="C157" t="n">
        <v>1728.2</v>
      </c>
      <c r="E157" t="n">
        <v>710.3</v>
      </c>
    </row>
    <row r="158">
      <c r="A158" s="87" t="n">
        <v>26299</v>
      </c>
      <c r="B158" t="n">
        <v>558.5</v>
      </c>
      <c r="C158" t="n">
        <v>1742</v>
      </c>
      <c r="E158" t="n">
        <v>717.7</v>
      </c>
      <c r="F158" t="n">
        <v>1.696</v>
      </c>
    </row>
    <row r="159">
      <c r="A159" s="87" t="n">
        <v>26330</v>
      </c>
      <c r="B159" t="n">
        <v>561.1</v>
      </c>
      <c r="C159" t="n">
        <v>1752.9</v>
      </c>
      <c r="E159" t="n">
        <v>725.7</v>
      </c>
    </row>
    <row r="160">
      <c r="A160" s="87" t="n">
        <v>26359</v>
      </c>
      <c r="B160" t="n">
        <v>565.9</v>
      </c>
      <c r="C160" t="n">
        <v>1771.7</v>
      </c>
      <c r="E160" t="n">
        <v>733.5</v>
      </c>
    </row>
    <row r="161">
      <c r="A161" s="87" t="n">
        <v>26390</v>
      </c>
      <c r="B161" t="n">
        <v>567.7</v>
      </c>
      <c r="C161" t="n">
        <v>1779.3</v>
      </c>
      <c r="E161" t="n">
        <v>738.4</v>
      </c>
      <c r="F161" t="n">
        <v>1.703</v>
      </c>
    </row>
    <row r="162">
      <c r="A162" s="87" t="n">
        <v>26420</v>
      </c>
      <c r="B162" t="n">
        <v>567.1</v>
      </c>
      <c r="C162" t="n">
        <v>1786.8</v>
      </c>
      <c r="E162" t="n">
        <v>743.3</v>
      </c>
    </row>
    <row r="163">
      <c r="A163" s="87" t="n">
        <v>26451</v>
      </c>
      <c r="B163" t="n">
        <v>567.4</v>
      </c>
      <c r="C163" t="n">
        <v>1797.8</v>
      </c>
      <c r="E163" t="n">
        <v>749.7</v>
      </c>
    </row>
    <row r="164">
      <c r="A164" s="87" t="n">
        <v>26481</v>
      </c>
      <c r="B164" t="n">
        <v>571.3</v>
      </c>
      <c r="C164" t="n">
        <v>1817</v>
      </c>
      <c r="E164" t="n">
        <v>759.5</v>
      </c>
      <c r="F164" t="n">
        <v>1.679</v>
      </c>
    </row>
    <row r="165">
      <c r="A165" s="87" t="n">
        <v>26512</v>
      </c>
      <c r="B165" t="n">
        <v>574.9</v>
      </c>
      <c r="C165" t="n">
        <v>1834.6</v>
      </c>
      <c r="E165" t="n">
        <v>768.7</v>
      </c>
    </row>
    <row r="166">
      <c r="A166" s="87" t="n">
        <v>26543</v>
      </c>
      <c r="B166" t="n">
        <v>577.7</v>
      </c>
      <c r="C166" t="n">
        <v>1848.7</v>
      </c>
      <c r="E166" t="n">
        <v>778.3</v>
      </c>
    </row>
    <row r="167">
      <c r="A167" s="87" t="n">
        <v>26573</v>
      </c>
      <c r="B167" t="n">
        <v>580.6</v>
      </c>
      <c r="C167" t="n">
        <v>1864.7</v>
      </c>
      <c r="E167" t="n">
        <v>786.9</v>
      </c>
      <c r="F167" t="n">
        <v>1.673</v>
      </c>
    </row>
    <row r="168">
      <c r="A168" s="87" t="n">
        <v>26604</v>
      </c>
      <c r="B168" t="n">
        <v>581.1</v>
      </c>
      <c r="C168" t="n">
        <v>1872.4</v>
      </c>
      <c r="E168" t="n">
        <v>793.9</v>
      </c>
    </row>
    <row r="169">
      <c r="A169" s="87" t="n">
        <v>26634</v>
      </c>
      <c r="B169" t="n">
        <v>586.4</v>
      </c>
      <c r="C169" t="n">
        <v>1887.8</v>
      </c>
      <c r="E169" t="n">
        <v>802.3</v>
      </c>
    </row>
    <row r="170">
      <c r="A170" s="87" t="n">
        <v>26665</v>
      </c>
      <c r="B170" t="n">
        <v>589</v>
      </c>
      <c r="C170" t="n">
        <v>1897.7</v>
      </c>
      <c r="E170" t="n">
        <v>810.3</v>
      </c>
      <c r="F170" t="n">
        <v>1.694</v>
      </c>
    </row>
    <row r="171">
      <c r="A171" s="87" t="n">
        <v>26696</v>
      </c>
      <c r="B171" t="n">
        <v>586.5</v>
      </c>
      <c r="C171" t="n">
        <v>1893.3</v>
      </c>
      <c r="E171" t="n">
        <v>814.1</v>
      </c>
    </row>
    <row r="172">
      <c r="A172" s="87" t="n">
        <v>26724</v>
      </c>
      <c r="B172" t="n">
        <v>580</v>
      </c>
      <c r="C172" t="n">
        <v>1878.6</v>
      </c>
      <c r="E172" t="n">
        <v>815.3</v>
      </c>
    </row>
    <row r="173">
      <c r="A173" s="87" t="n">
        <v>26755</v>
      </c>
      <c r="B173" t="n">
        <v>578.3</v>
      </c>
      <c r="C173" t="n">
        <v>1875.7</v>
      </c>
      <c r="E173" t="n">
        <v>819.7</v>
      </c>
      <c r="F173" t="n">
        <v>1.71</v>
      </c>
    </row>
    <row r="174">
      <c r="A174" s="87" t="n">
        <v>26785</v>
      </c>
      <c r="B174" t="n">
        <v>580.6</v>
      </c>
      <c r="C174" t="n">
        <v>1883.4</v>
      </c>
      <c r="E174" t="n">
        <v>826.8</v>
      </c>
    </row>
    <row r="175">
      <c r="A175" s="87" t="n">
        <v>26816</v>
      </c>
      <c r="B175" t="n">
        <v>580.8</v>
      </c>
      <c r="C175" t="n">
        <v>1885.3</v>
      </c>
      <c r="E175" t="n">
        <v>833.3</v>
      </c>
    </row>
    <row r="176">
      <c r="A176" s="87" t="n">
        <v>26846</v>
      </c>
      <c r="B176" t="n">
        <v>582.6</v>
      </c>
      <c r="C176" t="n">
        <v>1892.5</v>
      </c>
      <c r="E176" t="n">
        <v>836.5</v>
      </c>
      <c r="F176" t="n">
        <v>1.711</v>
      </c>
    </row>
    <row r="177">
      <c r="A177" s="87" t="n">
        <v>26877</v>
      </c>
      <c r="B177" t="n">
        <v>572.7</v>
      </c>
      <c r="C177" t="n">
        <v>1864</v>
      </c>
      <c r="E177" t="n">
        <v>838.8</v>
      </c>
    </row>
    <row r="178">
      <c r="A178" s="87" t="n">
        <v>26908</v>
      </c>
      <c r="B178" t="n">
        <v>570.6</v>
      </c>
      <c r="C178" t="n">
        <v>1856.9</v>
      </c>
      <c r="E178" t="n">
        <v>839.3</v>
      </c>
    </row>
    <row r="179">
      <c r="A179" s="87" t="n">
        <v>26938</v>
      </c>
      <c r="B179" t="n">
        <v>568</v>
      </c>
      <c r="C179" t="n">
        <v>1847.8</v>
      </c>
      <c r="E179" t="n">
        <v>842.6</v>
      </c>
      <c r="F179" t="n">
        <v>1.739</v>
      </c>
    </row>
    <row r="180">
      <c r="A180" s="87" t="n">
        <v>26969</v>
      </c>
      <c r="B180" t="n">
        <v>568.6</v>
      </c>
      <c r="C180" t="n">
        <v>1849.5</v>
      </c>
      <c r="E180" t="n">
        <v>848.9</v>
      </c>
    </row>
    <row r="181">
      <c r="A181" s="87" t="n">
        <v>26999</v>
      </c>
      <c r="B181" t="n">
        <v>567.8</v>
      </c>
      <c r="C181" t="n">
        <v>1847.7</v>
      </c>
      <c r="E181" t="n">
        <v>855.5</v>
      </c>
    </row>
    <row r="182">
      <c r="A182" s="87" t="n">
        <v>27030</v>
      </c>
      <c r="B182" t="n">
        <v>563.7</v>
      </c>
      <c r="C182" t="n">
        <v>1837</v>
      </c>
      <c r="E182" t="n">
        <v>859.7</v>
      </c>
      <c r="F182" t="n">
        <v>1.725</v>
      </c>
    </row>
    <row r="183">
      <c r="A183" s="87" t="n">
        <v>27061</v>
      </c>
      <c r="B183" t="n">
        <v>560.9</v>
      </c>
      <c r="C183" t="n">
        <v>1827.1</v>
      </c>
      <c r="E183" t="n">
        <v>864.2</v>
      </c>
    </row>
    <row r="184">
      <c r="A184" s="87" t="n">
        <v>27089</v>
      </c>
      <c r="B184" t="n">
        <v>557.9</v>
      </c>
      <c r="C184" t="n">
        <v>1820.3</v>
      </c>
      <c r="E184" t="n">
        <v>870.1</v>
      </c>
    </row>
    <row r="185">
      <c r="A185" s="87" t="n">
        <v>27120</v>
      </c>
      <c r="B185" t="n">
        <v>555.5</v>
      </c>
      <c r="C185" t="n">
        <v>1814.8</v>
      </c>
      <c r="E185" t="n">
        <v>872.9</v>
      </c>
      <c r="F185" t="n">
        <v>1.748</v>
      </c>
    </row>
    <row r="186">
      <c r="A186" s="87" t="n">
        <v>27150</v>
      </c>
      <c r="B186" t="n">
        <v>550.6</v>
      </c>
      <c r="C186" t="n">
        <v>1799.6</v>
      </c>
      <c r="E186" t="n">
        <v>874.6</v>
      </c>
    </row>
    <row r="187">
      <c r="A187" s="87" t="n">
        <v>27181</v>
      </c>
      <c r="B187" t="n">
        <v>548</v>
      </c>
      <c r="C187" t="n">
        <v>1791.4</v>
      </c>
      <c r="E187" t="n">
        <v>877.8</v>
      </c>
    </row>
    <row r="188">
      <c r="A188" s="87" t="n">
        <v>27211</v>
      </c>
      <c r="B188" t="n">
        <v>546.2</v>
      </c>
      <c r="C188" t="n">
        <v>1787.8</v>
      </c>
      <c r="E188" t="n">
        <v>881.4</v>
      </c>
      <c r="F188" t="n">
        <v>1.764</v>
      </c>
    </row>
    <row r="189">
      <c r="A189" s="87" t="n">
        <v>27242</v>
      </c>
      <c r="B189" t="n">
        <v>541.3</v>
      </c>
      <c r="C189" t="n">
        <v>1771.7</v>
      </c>
      <c r="E189" t="n">
        <v>884.1</v>
      </c>
    </row>
    <row r="190">
      <c r="A190" s="87" t="n">
        <v>27273</v>
      </c>
      <c r="B190" t="n">
        <v>535.6</v>
      </c>
      <c r="C190" t="n">
        <v>1754.7</v>
      </c>
      <c r="E190" t="n">
        <v>887.9</v>
      </c>
    </row>
    <row r="191">
      <c r="A191" s="87" t="n">
        <v>27303</v>
      </c>
      <c r="B191" t="n">
        <v>533.9</v>
      </c>
      <c r="C191" t="n">
        <v>1751.6</v>
      </c>
      <c r="E191" t="n">
        <v>893.3</v>
      </c>
      <c r="F191" t="n">
        <v>1.781</v>
      </c>
    </row>
    <row r="192">
      <c r="A192" s="87" t="n">
        <v>27334</v>
      </c>
      <c r="B192" t="n">
        <v>531.5</v>
      </c>
      <c r="C192" t="n">
        <v>1744.9</v>
      </c>
      <c r="E192" t="n">
        <v>898.6</v>
      </c>
    </row>
    <row r="193">
      <c r="A193" s="87" t="n">
        <v>27364</v>
      </c>
      <c r="B193" t="n">
        <v>528.3</v>
      </c>
      <c r="C193" t="n">
        <v>1738.2</v>
      </c>
      <c r="E193" t="n">
        <v>902.1</v>
      </c>
    </row>
    <row r="194">
      <c r="A194" s="87" t="n">
        <v>27395</v>
      </c>
      <c r="B194" t="n">
        <v>523.7</v>
      </c>
      <c r="C194" t="n">
        <v>1732.9</v>
      </c>
      <c r="E194" t="n">
        <v>906.3</v>
      </c>
      <c r="F194" t="n">
        <v>1.766</v>
      </c>
    </row>
    <row r="195">
      <c r="A195" s="87" t="n">
        <v>27400</v>
      </c>
      <c r="D195" t="n">
        <v>273.4</v>
      </c>
    </row>
    <row r="196">
      <c r="A196" s="87" t="n">
        <v>27407</v>
      </c>
      <c r="D196" t="n">
        <v>273.7</v>
      </c>
    </row>
    <row r="197">
      <c r="A197" s="87" t="n">
        <v>27414</v>
      </c>
      <c r="D197" t="n">
        <v>273.8</v>
      </c>
    </row>
    <row r="198">
      <c r="A198" s="87" t="n">
        <v>27421</v>
      </c>
      <c r="D198" t="n">
        <v>273.7</v>
      </c>
    </row>
    <row r="199">
      <c r="A199" s="87" t="n">
        <v>27426</v>
      </c>
      <c r="B199" t="n">
        <v>522.8</v>
      </c>
      <c r="C199" t="n">
        <v>1737.8</v>
      </c>
      <c r="E199" t="n">
        <v>914.1</v>
      </c>
    </row>
    <row r="200">
      <c r="A200" s="87" t="n">
        <v>27428</v>
      </c>
      <c r="D200" t="n">
        <v>275.2</v>
      </c>
    </row>
    <row r="201">
      <c r="A201" s="87" t="n">
        <v>27435</v>
      </c>
      <c r="D201" t="n">
        <v>274.5</v>
      </c>
    </row>
    <row r="202">
      <c r="A202" s="87" t="n">
        <v>27442</v>
      </c>
      <c r="D202" t="n">
        <v>274.6</v>
      </c>
    </row>
    <row r="203">
      <c r="A203" s="87" t="n">
        <v>27449</v>
      </c>
      <c r="D203" t="n">
        <v>274.2</v>
      </c>
    </row>
    <row r="204">
      <c r="A204" s="87" t="n">
        <v>27454</v>
      </c>
      <c r="B204" t="n">
        <v>523.5</v>
      </c>
      <c r="C204" t="n">
        <v>1751.9</v>
      </c>
      <c r="E204" t="n">
        <v>925</v>
      </c>
    </row>
    <row r="205">
      <c r="A205" s="87" t="n">
        <v>27456</v>
      </c>
      <c r="D205" t="n">
        <v>275.4</v>
      </c>
    </row>
    <row r="206">
      <c r="A206" s="87" t="n">
        <v>27463</v>
      </c>
      <c r="D206" t="n">
        <v>276.9</v>
      </c>
    </row>
    <row r="207">
      <c r="A207" s="87" t="n">
        <v>27470</v>
      </c>
      <c r="D207" t="n">
        <v>276.3</v>
      </c>
    </row>
    <row r="208">
      <c r="A208" s="87" t="n">
        <v>27477</v>
      </c>
      <c r="D208" t="n">
        <v>277.6</v>
      </c>
    </row>
    <row r="209">
      <c r="A209" s="87" t="n">
        <v>27484</v>
      </c>
      <c r="D209" t="n">
        <v>273.4</v>
      </c>
    </row>
    <row r="210">
      <c r="A210" s="87" t="n">
        <v>27485</v>
      </c>
      <c r="B210" t="n">
        <v>521.1</v>
      </c>
      <c r="C210" t="n">
        <v>1764.3</v>
      </c>
      <c r="E210" t="n">
        <v>935.1</v>
      </c>
      <c r="F210" t="n">
        <v>1.741</v>
      </c>
    </row>
    <row r="211">
      <c r="A211" s="87" t="n">
        <v>27491</v>
      </c>
      <c r="D211" t="n">
        <v>275.2</v>
      </c>
    </row>
    <row r="212">
      <c r="A212" s="87" t="n">
        <v>27498</v>
      </c>
      <c r="D212" t="n">
        <v>276.1</v>
      </c>
    </row>
    <row r="213">
      <c r="A213" s="87" t="n">
        <v>27505</v>
      </c>
      <c r="D213" t="n">
        <v>276.7</v>
      </c>
    </row>
    <row r="214">
      <c r="A214" s="87" t="n">
        <v>27512</v>
      </c>
      <c r="D214" t="n">
        <v>276.8</v>
      </c>
    </row>
    <row r="215">
      <c r="A215" s="87" t="n">
        <v>27515</v>
      </c>
      <c r="B215" t="n">
        <v>525.8</v>
      </c>
      <c r="C215" t="n">
        <v>1785.1</v>
      </c>
      <c r="E215" t="n">
        <v>947.9</v>
      </c>
    </row>
    <row r="216">
      <c r="A216" s="87" t="n">
        <v>27519</v>
      </c>
      <c r="D216" t="n">
        <v>277.4</v>
      </c>
    </row>
    <row r="217">
      <c r="A217" s="87" t="n">
        <v>27526</v>
      </c>
      <c r="D217" t="n">
        <v>278.1</v>
      </c>
    </row>
    <row r="218">
      <c r="A218" s="87" t="n">
        <v>27533</v>
      </c>
      <c r="D218" t="n">
        <v>279.3</v>
      </c>
    </row>
    <row r="219">
      <c r="A219" s="87" t="n">
        <v>27540</v>
      </c>
      <c r="D219" t="n">
        <v>280.4</v>
      </c>
    </row>
    <row r="220">
      <c r="A220" s="87" t="n">
        <v>27546</v>
      </c>
      <c r="B220" t="n">
        <v>527.9</v>
      </c>
      <c r="C220" t="n">
        <v>1800</v>
      </c>
      <c r="E220" t="n">
        <v>963</v>
      </c>
    </row>
    <row r="221">
      <c r="A221" s="87" t="n">
        <v>27547</v>
      </c>
      <c r="D221" t="n">
        <v>280.7</v>
      </c>
    </row>
    <row r="222">
      <c r="A222" s="87" t="n">
        <v>27554</v>
      </c>
      <c r="D222" t="n">
        <v>281.5</v>
      </c>
    </row>
    <row r="223">
      <c r="A223" s="87" t="n">
        <v>27561</v>
      </c>
      <c r="D223" t="n">
        <v>282.2</v>
      </c>
    </row>
    <row r="224">
      <c r="A224" s="87" t="n">
        <v>27568</v>
      </c>
      <c r="D224" t="n">
        <v>283.2</v>
      </c>
    </row>
    <row r="225">
      <c r="A225" s="87" t="n">
        <v>27575</v>
      </c>
      <c r="D225" t="n">
        <v>283.3</v>
      </c>
    </row>
    <row r="226">
      <c r="A226" s="87" t="n">
        <v>27576</v>
      </c>
      <c r="B226" t="n">
        <v>525.4</v>
      </c>
      <c r="C226" t="n">
        <v>1805.7</v>
      </c>
      <c r="E226" t="n">
        <v>975.1</v>
      </c>
      <c r="F226" t="n">
        <v>1.739</v>
      </c>
    </row>
    <row r="227">
      <c r="A227" s="87" t="n">
        <v>27582</v>
      </c>
      <c r="D227" t="n">
        <v>283.3</v>
      </c>
    </row>
    <row r="228">
      <c r="A228" s="87" t="n">
        <v>27589</v>
      </c>
      <c r="D228" t="n">
        <v>283.7</v>
      </c>
    </row>
    <row r="229">
      <c r="A229" s="87" t="n">
        <v>27596</v>
      </c>
      <c r="D229" t="n">
        <v>283.9</v>
      </c>
    </row>
    <row r="230">
      <c r="A230" s="87" t="n">
        <v>27603</v>
      </c>
      <c r="D230" t="n">
        <v>283.7</v>
      </c>
    </row>
    <row r="231">
      <c r="A231" s="87" t="n">
        <v>27607</v>
      </c>
      <c r="B231" t="n">
        <v>524.2</v>
      </c>
      <c r="C231" t="n">
        <v>1813.8</v>
      </c>
      <c r="E231" t="n">
        <v>983.1</v>
      </c>
    </row>
    <row r="232">
      <c r="A232" s="87" t="n">
        <v>27610</v>
      </c>
      <c r="D232" t="n">
        <v>283.7</v>
      </c>
    </row>
    <row r="233">
      <c r="A233" s="87" t="n">
        <v>27617</v>
      </c>
      <c r="D233" t="n">
        <v>283.1</v>
      </c>
    </row>
    <row r="234">
      <c r="A234" s="87" t="n">
        <v>27624</v>
      </c>
      <c r="D234" t="n">
        <v>283.5</v>
      </c>
    </row>
    <row r="235">
      <c r="A235" s="87" t="n">
        <v>27631</v>
      </c>
      <c r="D235" t="n">
        <v>284.7</v>
      </c>
    </row>
    <row r="236">
      <c r="A236" s="87" t="n">
        <v>27638</v>
      </c>
      <c r="B236" t="n">
        <v>523.3</v>
      </c>
      <c r="C236" t="n">
        <v>1815.9</v>
      </c>
      <c r="D236" t="n">
        <v>285.2</v>
      </c>
      <c r="E236" t="n">
        <v>991.5</v>
      </c>
    </row>
    <row r="237">
      <c r="A237" s="87" t="n">
        <v>27645</v>
      </c>
      <c r="D237" t="n">
        <v>285.6</v>
      </c>
    </row>
    <row r="238">
      <c r="A238" s="87" t="n">
        <v>27652</v>
      </c>
      <c r="D238" t="n">
        <v>285.3</v>
      </c>
    </row>
    <row r="239">
      <c r="A239" s="87" t="n">
        <v>27659</v>
      </c>
      <c r="D239" t="n">
        <v>285.8</v>
      </c>
    </row>
    <row r="240">
      <c r="A240" s="87" t="n">
        <v>27666</v>
      </c>
      <c r="D240" t="n">
        <v>286.1</v>
      </c>
    </row>
    <row r="241">
      <c r="A241" s="87" t="n">
        <v>27668</v>
      </c>
      <c r="B241" t="n">
        <v>519.9</v>
      </c>
      <c r="C241" t="n">
        <v>1817.5</v>
      </c>
      <c r="E241" t="n">
        <v>997.8</v>
      </c>
      <c r="F241" t="n">
        <v>1.75</v>
      </c>
    </row>
    <row r="242">
      <c r="A242" s="87" t="n">
        <v>27673</v>
      </c>
      <c r="D242" t="n">
        <v>284.5</v>
      </c>
    </row>
    <row r="243">
      <c r="A243" s="87" t="n">
        <v>27680</v>
      </c>
      <c r="D243" t="n">
        <v>285.5</v>
      </c>
    </row>
    <row r="244">
      <c r="A244" s="87" t="n">
        <v>27687</v>
      </c>
      <c r="D244" t="n">
        <v>286.2</v>
      </c>
    </row>
    <row r="245">
      <c r="A245" s="87" t="n">
        <v>27694</v>
      </c>
      <c r="D245" t="n">
        <v>284.9</v>
      </c>
    </row>
    <row r="246">
      <c r="A246" s="87" t="n">
        <v>27699</v>
      </c>
      <c r="B246" t="n">
        <v>518.6</v>
      </c>
      <c r="C246" t="n">
        <v>1820.8</v>
      </c>
      <c r="E246" t="n">
        <v>1006.9</v>
      </c>
    </row>
    <row r="247">
      <c r="A247" s="87" t="n">
        <v>27701</v>
      </c>
      <c r="D247" t="n">
        <v>285.9</v>
      </c>
    </row>
    <row r="248">
      <c r="A248" s="87" t="n">
        <v>27708</v>
      </c>
      <c r="D248" t="n">
        <v>286.8</v>
      </c>
    </row>
    <row r="249">
      <c r="A249" s="87" t="n">
        <v>27715</v>
      </c>
      <c r="D249" t="n">
        <v>286.3</v>
      </c>
    </row>
    <row r="250">
      <c r="A250" s="87" t="n">
        <v>27722</v>
      </c>
      <c r="D250" t="n">
        <v>287.5</v>
      </c>
    </row>
    <row r="251">
      <c r="A251" s="87" t="n">
        <v>27729</v>
      </c>
      <c r="B251" t="n">
        <v>516.4</v>
      </c>
      <c r="C251" t="n">
        <v>1827.7</v>
      </c>
      <c r="D251" t="n">
        <v>286.9</v>
      </c>
      <c r="E251" t="n">
        <v>1016.2</v>
      </c>
    </row>
    <row r="252">
      <c r="A252" s="87" t="n">
        <v>27736</v>
      </c>
      <c r="D252" t="n">
        <v>286.8</v>
      </c>
    </row>
    <row r="253">
      <c r="A253" s="87" t="n">
        <v>27743</v>
      </c>
      <c r="D253" t="n">
        <v>287.1</v>
      </c>
    </row>
    <row r="254">
      <c r="A254" s="87" t="n">
        <v>27750</v>
      </c>
      <c r="D254" t="n">
        <v>287.4</v>
      </c>
    </row>
    <row r="255">
      <c r="A255" s="87" t="n">
        <v>27757</v>
      </c>
      <c r="D255" t="n">
        <v>287.2</v>
      </c>
    </row>
    <row r="256">
      <c r="A256" s="87" t="n">
        <v>27760</v>
      </c>
      <c r="B256" t="n">
        <v>516.8</v>
      </c>
      <c r="C256" t="n">
        <v>1839.8</v>
      </c>
      <c r="E256" t="n">
        <v>1026.6</v>
      </c>
      <c r="F256" t="n">
        <v>1.752</v>
      </c>
    </row>
    <row r="257">
      <c r="A257" s="87" t="n">
        <v>27764</v>
      </c>
      <c r="D257" t="n">
        <v>287.3</v>
      </c>
    </row>
    <row r="258">
      <c r="A258" s="87" t="n">
        <v>27771</v>
      </c>
      <c r="D258" t="n">
        <v>287.9</v>
      </c>
    </row>
    <row r="259">
      <c r="A259" s="87" t="n">
        <v>27778</v>
      </c>
      <c r="D259" t="n">
        <v>288.4</v>
      </c>
    </row>
    <row r="260">
      <c r="A260" s="87" t="n">
        <v>27785</v>
      </c>
      <c r="D260" t="n">
        <v>289.1</v>
      </c>
    </row>
    <row r="261">
      <c r="A261" s="87" t="n">
        <v>27791</v>
      </c>
      <c r="B261" t="n">
        <v>520.2</v>
      </c>
      <c r="C261" t="n">
        <v>1861</v>
      </c>
      <c r="E261" t="n">
        <v>1040.3</v>
      </c>
    </row>
    <row r="262">
      <c r="A262" s="87" t="n">
        <v>27792</v>
      </c>
      <c r="D262" t="n">
        <v>290.2</v>
      </c>
    </row>
    <row r="263">
      <c r="A263" s="87" t="n">
        <v>27799</v>
      </c>
      <c r="D263" t="n">
        <v>290.3</v>
      </c>
    </row>
    <row r="264">
      <c r="A264" s="87" t="n">
        <v>27806</v>
      </c>
      <c r="D264" t="n">
        <v>291.2</v>
      </c>
    </row>
    <row r="265">
      <c r="A265" s="87" t="n">
        <v>27813</v>
      </c>
      <c r="D265" t="n">
        <v>290.7</v>
      </c>
    </row>
    <row r="266">
      <c r="A266" s="87" t="n">
        <v>27820</v>
      </c>
      <c r="B266" t="n">
        <v>522.7</v>
      </c>
      <c r="C266" t="n">
        <v>1875</v>
      </c>
      <c r="D266" t="n">
        <v>291.2</v>
      </c>
      <c r="E266" t="n">
        <v>1050</v>
      </c>
    </row>
    <row r="267">
      <c r="A267" s="87" t="n">
        <v>27827</v>
      </c>
      <c r="D267" t="n">
        <v>291.1</v>
      </c>
    </row>
    <row r="268">
      <c r="A268" s="87" t="n">
        <v>27834</v>
      </c>
      <c r="D268" t="n">
        <v>292.8</v>
      </c>
    </row>
    <row r="269">
      <c r="A269" s="87" t="n">
        <v>27841</v>
      </c>
      <c r="D269" t="n">
        <v>292.8</v>
      </c>
    </row>
    <row r="270">
      <c r="A270" s="87" t="n">
        <v>27848</v>
      </c>
      <c r="D270" t="n">
        <v>294.2</v>
      </c>
    </row>
    <row r="271">
      <c r="A271" s="87" t="n">
        <v>27851</v>
      </c>
      <c r="B271" t="n">
        <v>525.3</v>
      </c>
      <c r="C271" t="n">
        <v>1890.9</v>
      </c>
      <c r="E271" t="n">
        <v>1060.8</v>
      </c>
      <c r="F271" t="n">
        <v>1.731</v>
      </c>
    </row>
    <row r="272">
      <c r="A272" s="87" t="n">
        <v>27855</v>
      </c>
      <c r="D272" t="n">
        <v>293</v>
      </c>
    </row>
    <row r="273">
      <c r="A273" s="87" t="n">
        <v>27862</v>
      </c>
      <c r="D273" t="n">
        <v>294.5</v>
      </c>
    </row>
    <row r="274">
      <c r="A274" s="87" t="n">
        <v>27869</v>
      </c>
      <c r="D274" t="n">
        <v>294.9</v>
      </c>
    </row>
    <row r="275">
      <c r="A275" s="87" t="n">
        <v>27876</v>
      </c>
      <c r="D275" t="n">
        <v>295.4</v>
      </c>
    </row>
    <row r="276">
      <c r="A276" s="87" t="n">
        <v>27881</v>
      </c>
      <c r="B276" t="n">
        <v>524.6</v>
      </c>
      <c r="C276" t="n">
        <v>1900.9</v>
      </c>
      <c r="E276" t="n">
        <v>1072.1</v>
      </c>
    </row>
    <row r="277">
      <c r="A277" s="87" t="n">
        <v>27883</v>
      </c>
      <c r="D277" t="n">
        <v>294.9</v>
      </c>
    </row>
    <row r="278">
      <c r="A278" s="87" t="n">
        <v>27890</v>
      </c>
      <c r="D278" t="n">
        <v>296.3</v>
      </c>
    </row>
    <row r="279">
      <c r="A279" s="87" t="n">
        <v>27897</v>
      </c>
      <c r="D279" t="n">
        <v>295.3</v>
      </c>
    </row>
    <row r="280">
      <c r="A280" s="87" t="n">
        <v>27904</v>
      </c>
      <c r="D280" t="n">
        <v>295.5</v>
      </c>
    </row>
    <row r="281">
      <c r="A281" s="87" t="n">
        <v>27911</v>
      </c>
      <c r="D281" t="n">
        <v>296.4</v>
      </c>
    </row>
    <row r="282">
      <c r="A282" s="87" t="n">
        <v>27912</v>
      </c>
      <c r="B282" t="n">
        <v>522.4</v>
      </c>
      <c r="C282" t="n">
        <v>1900.5</v>
      </c>
      <c r="E282" t="n">
        <v>1077.6</v>
      </c>
    </row>
    <row r="283">
      <c r="A283" s="87" t="n">
        <v>27918</v>
      </c>
      <c r="D283" t="n">
        <v>295.5</v>
      </c>
    </row>
    <row r="284">
      <c r="A284" s="87" t="n">
        <v>27925</v>
      </c>
      <c r="D284" t="n">
        <v>296.7</v>
      </c>
    </row>
    <row r="285">
      <c r="A285" s="87" t="n">
        <v>27932</v>
      </c>
      <c r="D285" t="n">
        <v>296.1</v>
      </c>
    </row>
    <row r="286">
      <c r="A286" s="87" t="n">
        <v>27939</v>
      </c>
      <c r="D286" t="n">
        <v>296.1</v>
      </c>
    </row>
    <row r="287">
      <c r="A287" s="87" t="n">
        <v>27942</v>
      </c>
      <c r="B287" t="n">
        <v>521.4</v>
      </c>
      <c r="C287" t="n">
        <v>1905.8</v>
      </c>
      <c r="E287" t="n">
        <v>1086.3</v>
      </c>
      <c r="F287" t="n">
        <v>1.717</v>
      </c>
    </row>
    <row r="288">
      <c r="A288" s="87" t="n">
        <v>27946</v>
      </c>
      <c r="D288" t="n">
        <v>296.1</v>
      </c>
    </row>
    <row r="289">
      <c r="A289" s="87" t="n">
        <v>27953</v>
      </c>
      <c r="D289" t="n">
        <v>296.6</v>
      </c>
    </row>
    <row r="290">
      <c r="A290" s="87" t="n">
        <v>27960</v>
      </c>
      <c r="D290" t="n">
        <v>297.2</v>
      </c>
    </row>
    <row r="291">
      <c r="A291" s="87" t="n">
        <v>27967</v>
      </c>
      <c r="D291" t="n">
        <v>297.5</v>
      </c>
    </row>
    <row r="292">
      <c r="A292" s="87" t="n">
        <v>27973</v>
      </c>
      <c r="B292" t="n">
        <v>521.8</v>
      </c>
      <c r="C292" t="n">
        <v>1917.5</v>
      </c>
      <c r="E292" t="n">
        <v>1098.7</v>
      </c>
    </row>
    <row r="293">
      <c r="A293" s="87" t="n">
        <v>27974</v>
      </c>
      <c r="D293" t="n">
        <v>297.7</v>
      </c>
    </row>
    <row r="294">
      <c r="A294" s="87" t="n">
        <v>27981</v>
      </c>
      <c r="D294" t="n">
        <v>298.5</v>
      </c>
    </row>
    <row r="295">
      <c r="A295" s="87" t="n">
        <v>27988</v>
      </c>
      <c r="D295" t="n">
        <v>299.6</v>
      </c>
    </row>
    <row r="296">
      <c r="A296" s="87" t="n">
        <v>27995</v>
      </c>
      <c r="D296" t="n">
        <v>299</v>
      </c>
    </row>
    <row r="297">
      <c r="A297" s="87" t="n">
        <v>28002</v>
      </c>
      <c r="D297" t="n">
        <v>299</v>
      </c>
    </row>
    <row r="298">
      <c r="A298" s="87" t="n">
        <v>28004</v>
      </c>
      <c r="B298" t="n">
        <v>520.1</v>
      </c>
      <c r="C298" t="n">
        <v>1928.5</v>
      </c>
      <c r="E298" t="n">
        <v>1110.8</v>
      </c>
    </row>
    <row r="299">
      <c r="A299" s="87" t="n">
        <v>28009</v>
      </c>
      <c r="D299" t="n">
        <v>298.2</v>
      </c>
    </row>
    <row r="300">
      <c r="A300" s="87" t="n">
        <v>28016</v>
      </c>
      <c r="D300" t="n">
        <v>299.7</v>
      </c>
    </row>
    <row r="301">
      <c r="A301" s="87" t="n">
        <v>28023</v>
      </c>
      <c r="D301" t="n">
        <v>300.1</v>
      </c>
    </row>
    <row r="302">
      <c r="A302" s="87" t="n">
        <v>28030</v>
      </c>
      <c r="D302" t="n">
        <v>299.3</v>
      </c>
    </row>
    <row r="303">
      <c r="A303" s="87" t="n">
        <v>28034</v>
      </c>
      <c r="B303" t="n">
        <v>521.6</v>
      </c>
      <c r="C303" t="n">
        <v>1943</v>
      </c>
      <c r="E303" t="n">
        <v>1125</v>
      </c>
      <c r="F303" t="n">
        <v>1.699</v>
      </c>
    </row>
    <row r="304">
      <c r="A304" s="87" t="n">
        <v>28037</v>
      </c>
      <c r="D304" t="n">
        <v>300.7</v>
      </c>
    </row>
    <row r="305">
      <c r="A305" s="87" t="n">
        <v>28044</v>
      </c>
      <c r="D305" t="n">
        <v>302.1</v>
      </c>
    </row>
    <row r="306">
      <c r="A306" s="87" t="n">
        <v>28051</v>
      </c>
      <c r="D306" t="n">
        <v>300.1</v>
      </c>
    </row>
    <row r="307">
      <c r="A307" s="87" t="n">
        <v>28058</v>
      </c>
      <c r="D307" t="n">
        <v>302.7</v>
      </c>
    </row>
    <row r="308">
      <c r="A308" s="87" t="n">
        <v>28065</v>
      </c>
      <c r="B308" t="n">
        <v>522.5</v>
      </c>
      <c r="C308" t="n">
        <v>1959</v>
      </c>
      <c r="D308" t="n">
        <v>303.7</v>
      </c>
      <c r="E308" t="n">
        <v>1138.2</v>
      </c>
    </row>
    <row r="309">
      <c r="A309" s="87" t="n">
        <v>28072</v>
      </c>
      <c r="D309" t="n">
        <v>302.2</v>
      </c>
    </row>
    <row r="310">
      <c r="A310" s="87" t="n">
        <v>28079</v>
      </c>
      <c r="D310" t="n">
        <v>304.3</v>
      </c>
    </row>
    <row r="311">
      <c r="A311" s="87" t="n">
        <v>28086</v>
      </c>
      <c r="D311" t="n">
        <v>303.8</v>
      </c>
    </row>
    <row r="312">
      <c r="A312" s="87" t="n">
        <v>28093</v>
      </c>
      <c r="D312" t="n">
        <v>303.6</v>
      </c>
    </row>
    <row r="313">
      <c r="A313" s="87" t="n">
        <v>28095</v>
      </c>
      <c r="B313" t="n">
        <v>524.3</v>
      </c>
      <c r="C313" t="n">
        <v>1972.6</v>
      </c>
      <c r="E313" t="n">
        <v>1152</v>
      </c>
    </row>
    <row r="314">
      <c r="A314" s="87" t="n">
        <v>28100</v>
      </c>
      <c r="D314" t="n">
        <v>305.3</v>
      </c>
    </row>
    <row r="315">
      <c r="A315" s="87" t="n">
        <v>28107</v>
      </c>
      <c r="D315" t="n">
        <v>305.8</v>
      </c>
    </row>
    <row r="316">
      <c r="A316" s="87" t="n">
        <v>28114</v>
      </c>
      <c r="D316" t="n">
        <v>306.4</v>
      </c>
    </row>
    <row r="317">
      <c r="A317" s="87" t="n">
        <v>28121</v>
      </c>
      <c r="D317" t="n">
        <v>306.6</v>
      </c>
    </row>
    <row r="318">
      <c r="A318" s="87" t="n">
        <v>28126</v>
      </c>
      <c r="B318" t="n">
        <v>525.2</v>
      </c>
      <c r="C318" t="n">
        <v>1985</v>
      </c>
      <c r="E318" t="n">
        <v>1165.2</v>
      </c>
      <c r="F318" t="n">
        <v>1.689</v>
      </c>
    </row>
    <row r="319">
      <c r="A319" s="87" t="n">
        <v>28128</v>
      </c>
      <c r="D319" t="n">
        <v>306.9</v>
      </c>
    </row>
    <row r="320">
      <c r="A320" s="87" t="n">
        <v>28135</v>
      </c>
      <c r="D320" t="n">
        <v>307.7</v>
      </c>
    </row>
    <row r="321">
      <c r="A321" s="87" t="n">
        <v>28142</v>
      </c>
      <c r="D321" t="n">
        <v>308</v>
      </c>
    </row>
    <row r="322">
      <c r="A322" s="87" t="n">
        <v>28149</v>
      </c>
      <c r="D322" t="n">
        <v>308.9</v>
      </c>
    </row>
    <row r="323">
      <c r="A323" s="87" t="n">
        <v>28156</v>
      </c>
      <c r="D323" t="n">
        <v>309.5</v>
      </c>
    </row>
    <row r="324">
      <c r="A324" s="87" t="n">
        <v>28157</v>
      </c>
      <c r="B324" t="n">
        <v>525.3</v>
      </c>
      <c r="C324" t="n">
        <v>1985.8</v>
      </c>
      <c r="E324" t="n">
        <v>1177.6</v>
      </c>
    </row>
    <row r="325">
      <c r="A325" s="87" t="n">
        <v>28163</v>
      </c>
      <c r="D325" t="n">
        <v>310.3</v>
      </c>
    </row>
    <row r="326">
      <c r="A326" s="87" t="n">
        <v>28170</v>
      </c>
      <c r="D326" t="n">
        <v>311.3</v>
      </c>
    </row>
    <row r="327">
      <c r="A327" s="87" t="n">
        <v>28177</v>
      </c>
      <c r="D327" t="n">
        <v>311.7</v>
      </c>
    </row>
    <row r="328">
      <c r="A328" s="87" t="n">
        <v>28184</v>
      </c>
      <c r="D328" t="n">
        <v>312.3</v>
      </c>
    </row>
    <row r="329">
      <c r="A329" s="87" t="n">
        <v>28185</v>
      </c>
      <c r="B329" t="n">
        <v>526.7</v>
      </c>
      <c r="C329" t="n">
        <v>1994.1</v>
      </c>
      <c r="E329" t="n">
        <v>1188.5</v>
      </c>
    </row>
    <row r="330">
      <c r="A330" s="87" t="n">
        <v>28191</v>
      </c>
      <c r="D330" t="n">
        <v>312.7</v>
      </c>
    </row>
    <row r="331">
      <c r="A331" s="87" t="n">
        <v>28198</v>
      </c>
      <c r="D331" t="n">
        <v>313.8</v>
      </c>
    </row>
    <row r="332">
      <c r="A332" s="87" t="n">
        <v>28205</v>
      </c>
      <c r="D332" t="n">
        <v>314.5</v>
      </c>
    </row>
    <row r="333">
      <c r="A333" s="87" t="n">
        <v>28212</v>
      </c>
      <c r="D333" t="n">
        <v>313.9</v>
      </c>
    </row>
    <row r="334">
      <c r="A334" s="87" t="n">
        <v>28216</v>
      </c>
      <c r="B334" t="n">
        <v>526.7</v>
      </c>
      <c r="C334" t="n">
        <v>1999.3</v>
      </c>
      <c r="E334" t="n">
        <v>1199.6</v>
      </c>
      <c r="F334" t="n">
        <v>1.701</v>
      </c>
    </row>
    <row r="335">
      <c r="A335" s="87" t="n">
        <v>28219</v>
      </c>
      <c r="D335" t="n">
        <v>315.6</v>
      </c>
    </row>
    <row r="336">
      <c r="A336" s="87" t="n">
        <v>28226</v>
      </c>
      <c r="D336" t="n">
        <v>315.8</v>
      </c>
    </row>
    <row r="337">
      <c r="A337" s="87" t="n">
        <v>28233</v>
      </c>
      <c r="D337" t="n">
        <v>315.7</v>
      </c>
    </row>
    <row r="338">
      <c r="A338" s="87" t="n">
        <v>28240</v>
      </c>
      <c r="D338" t="n">
        <v>316.1</v>
      </c>
    </row>
    <row r="339">
      <c r="A339" s="87" t="n">
        <v>28246</v>
      </c>
      <c r="B339" t="n">
        <v>526.9</v>
      </c>
      <c r="C339" t="n">
        <v>2008.3</v>
      </c>
      <c r="E339" t="n">
        <v>1209</v>
      </c>
    </row>
    <row r="340">
      <c r="A340" s="87" t="n">
        <v>28247</v>
      </c>
      <c r="D340" t="n">
        <v>316.6</v>
      </c>
    </row>
    <row r="341">
      <c r="A341" s="87" t="n">
        <v>28254</v>
      </c>
      <c r="D341" t="n">
        <v>316.7</v>
      </c>
    </row>
    <row r="342">
      <c r="A342" s="87" t="n">
        <v>28261</v>
      </c>
      <c r="D342" t="n">
        <v>317.6</v>
      </c>
    </row>
    <row r="343">
      <c r="A343" s="87" t="n">
        <v>28268</v>
      </c>
      <c r="D343" t="n">
        <v>317.4</v>
      </c>
    </row>
    <row r="344">
      <c r="A344" s="87" t="n">
        <v>28275</v>
      </c>
      <c r="D344" t="n">
        <v>316.8</v>
      </c>
    </row>
    <row r="345">
      <c r="A345" s="87" t="n">
        <v>28277</v>
      </c>
      <c r="B345" t="n">
        <v>526.9</v>
      </c>
      <c r="C345" t="n">
        <v>2012.9</v>
      </c>
      <c r="E345" t="n">
        <v>1217.8</v>
      </c>
    </row>
    <row r="346">
      <c r="A346" s="87" t="n">
        <v>28282</v>
      </c>
      <c r="D346" t="n">
        <v>317.6</v>
      </c>
    </row>
    <row r="347">
      <c r="A347" s="87" t="n">
        <v>28289</v>
      </c>
      <c r="D347" t="n">
        <v>317.8</v>
      </c>
    </row>
    <row r="348">
      <c r="A348" s="87" t="n">
        <v>28296</v>
      </c>
      <c r="D348" t="n">
        <v>319.4</v>
      </c>
    </row>
    <row r="349">
      <c r="A349" s="87" t="n">
        <v>28303</v>
      </c>
      <c r="D349" t="n">
        <v>319.4</v>
      </c>
    </row>
    <row r="350">
      <c r="A350" s="87" t="n">
        <v>28307</v>
      </c>
      <c r="B350" t="n">
        <v>526.6</v>
      </c>
      <c r="C350" t="n">
        <v>2017.6</v>
      </c>
      <c r="E350" t="n">
        <v>1226.7</v>
      </c>
      <c r="F350" t="n">
        <v>1.713</v>
      </c>
    </row>
    <row r="351">
      <c r="A351" s="87" t="n">
        <v>28310</v>
      </c>
      <c r="D351" t="n">
        <v>319.5</v>
      </c>
    </row>
    <row r="352">
      <c r="A352" s="87" t="n">
        <v>28317</v>
      </c>
      <c r="D352" t="n">
        <v>319.3</v>
      </c>
    </row>
    <row r="353">
      <c r="A353" s="87" t="n">
        <v>28324</v>
      </c>
      <c r="D353" t="n">
        <v>320.2</v>
      </c>
    </row>
    <row r="354">
      <c r="A354" s="87" t="n">
        <v>28331</v>
      </c>
      <c r="D354" t="n">
        <v>320.1</v>
      </c>
    </row>
    <row r="355">
      <c r="A355" s="87" t="n">
        <v>28338</v>
      </c>
      <c r="B355" t="n">
        <v>527.5</v>
      </c>
      <c r="C355" t="n">
        <v>2024.5</v>
      </c>
      <c r="D355" t="n">
        <v>321</v>
      </c>
      <c r="E355" t="n">
        <v>1237</v>
      </c>
    </row>
    <row r="356">
      <c r="A356" s="87" t="n">
        <v>28345</v>
      </c>
      <c r="D356" t="n">
        <v>321.4</v>
      </c>
    </row>
    <row r="357">
      <c r="A357" s="87" t="n">
        <v>28352</v>
      </c>
      <c r="D357" t="n">
        <v>321.2</v>
      </c>
    </row>
    <row r="358">
      <c r="A358" s="87" t="n">
        <v>28359</v>
      </c>
      <c r="D358" t="n">
        <v>322.4</v>
      </c>
    </row>
    <row r="359">
      <c r="A359" s="87" t="n">
        <v>28366</v>
      </c>
      <c r="D359" t="n">
        <v>323.4</v>
      </c>
    </row>
    <row r="360">
      <c r="A360" s="87" t="n">
        <v>28369</v>
      </c>
      <c r="B360" t="n">
        <v>529.4</v>
      </c>
      <c r="C360" t="n">
        <v>2033</v>
      </c>
      <c r="E360" t="n">
        <v>1246.2</v>
      </c>
    </row>
    <row r="361">
      <c r="A361" s="87" t="n">
        <v>28373</v>
      </c>
      <c r="D361" t="n">
        <v>324.6</v>
      </c>
    </row>
    <row r="362">
      <c r="A362" s="87" t="n">
        <v>28380</v>
      </c>
      <c r="D362" t="n">
        <v>323.3</v>
      </c>
    </row>
    <row r="363">
      <c r="A363" s="87" t="n">
        <v>28387</v>
      </c>
      <c r="D363" t="n">
        <v>324.2</v>
      </c>
    </row>
    <row r="364">
      <c r="A364" s="87" t="n">
        <v>28394</v>
      </c>
      <c r="D364" t="n">
        <v>324.5</v>
      </c>
    </row>
    <row r="365">
      <c r="A365" s="87" t="n">
        <v>28399</v>
      </c>
      <c r="B365" t="n">
        <v>529.9</v>
      </c>
      <c r="C365" t="n">
        <v>2035.7</v>
      </c>
      <c r="E365" t="n">
        <v>1254</v>
      </c>
      <c r="F365" t="n">
        <v>1.715</v>
      </c>
    </row>
    <row r="366">
      <c r="A366" s="87" t="n">
        <v>28401</v>
      </c>
      <c r="D366" t="n">
        <v>325.6</v>
      </c>
    </row>
    <row r="367">
      <c r="A367" s="87" t="n">
        <v>28408</v>
      </c>
      <c r="D367" t="n">
        <v>326.1</v>
      </c>
    </row>
    <row r="368">
      <c r="A368" s="87" t="n">
        <v>28415</v>
      </c>
      <c r="D368" t="n">
        <v>325.6</v>
      </c>
    </row>
    <row r="369">
      <c r="A369" s="87" t="n">
        <v>28422</v>
      </c>
      <c r="D369" t="n">
        <v>327.5</v>
      </c>
    </row>
    <row r="370">
      <c r="A370" s="87" t="n">
        <v>28429</v>
      </c>
      <c r="D370" t="n">
        <v>327</v>
      </c>
    </row>
    <row r="371">
      <c r="A371" s="87" t="n">
        <v>28430</v>
      </c>
      <c r="B371" t="n">
        <v>530</v>
      </c>
      <c r="C371" t="n">
        <v>2036.1</v>
      </c>
      <c r="E371" t="n">
        <v>1262.4</v>
      </c>
    </row>
    <row r="372">
      <c r="A372" s="87" t="n">
        <v>28436</v>
      </c>
      <c r="D372" t="n">
        <v>328.2</v>
      </c>
    </row>
    <row r="373">
      <c r="A373" s="87" t="n">
        <v>28443</v>
      </c>
      <c r="D373" t="n">
        <v>328.6</v>
      </c>
    </row>
    <row r="374">
      <c r="A374" s="87" t="n">
        <v>28450</v>
      </c>
      <c r="D374" t="n">
        <v>329</v>
      </c>
    </row>
    <row r="375">
      <c r="A375" s="87" t="n">
        <v>28457</v>
      </c>
      <c r="D375" t="n">
        <v>328.7</v>
      </c>
    </row>
    <row r="376">
      <c r="A376" s="87" t="n">
        <v>28460</v>
      </c>
      <c r="B376" t="n">
        <v>531.1</v>
      </c>
      <c r="C376" t="n">
        <v>2039</v>
      </c>
      <c r="E376" t="n">
        <v>1270.3</v>
      </c>
    </row>
    <row r="377">
      <c r="A377" s="87" t="n">
        <v>28464</v>
      </c>
      <c r="D377" t="n">
        <v>330</v>
      </c>
    </row>
    <row r="378">
      <c r="A378" s="87" t="n">
        <v>28471</v>
      </c>
      <c r="D378" t="n">
        <v>330.2</v>
      </c>
    </row>
    <row r="379">
      <c r="A379" s="87" t="n">
        <v>28478</v>
      </c>
      <c r="D379" t="n">
        <v>331</v>
      </c>
    </row>
    <row r="380">
      <c r="A380" s="87" t="n">
        <v>28485</v>
      </c>
      <c r="D380" t="n">
        <v>330.7</v>
      </c>
    </row>
    <row r="381">
      <c r="A381" s="87" t="n">
        <v>28491</v>
      </c>
      <c r="B381" t="n">
        <v>533.3</v>
      </c>
      <c r="C381" t="n">
        <v>2041</v>
      </c>
      <c r="E381" t="n">
        <v>1279.7</v>
      </c>
      <c r="F381" t="n">
        <v>1.713</v>
      </c>
    </row>
    <row r="382">
      <c r="A382" s="87" t="n">
        <v>28492</v>
      </c>
      <c r="D382" t="n">
        <v>332.5</v>
      </c>
    </row>
    <row r="383">
      <c r="A383" s="87" t="n">
        <v>28499</v>
      </c>
      <c r="D383" t="n">
        <v>334</v>
      </c>
    </row>
    <row r="384">
      <c r="A384" s="87" t="n">
        <v>28506</v>
      </c>
      <c r="D384" t="n">
        <v>334.5</v>
      </c>
    </row>
    <row r="385">
      <c r="A385" s="87" t="n">
        <v>28513</v>
      </c>
      <c r="D385" t="n">
        <v>335.9</v>
      </c>
    </row>
    <row r="386">
      <c r="A386" s="87" t="n">
        <v>28520</v>
      </c>
      <c r="D386" t="n">
        <v>334.4</v>
      </c>
    </row>
    <row r="387">
      <c r="A387" s="87" t="n">
        <v>28522</v>
      </c>
      <c r="B387" t="n">
        <v>532.2</v>
      </c>
      <c r="C387" t="n">
        <v>2040.5</v>
      </c>
      <c r="E387" t="n">
        <v>1285.5</v>
      </c>
    </row>
    <row r="388">
      <c r="A388" s="87" t="n">
        <v>28527</v>
      </c>
      <c r="D388" t="n">
        <v>333.8</v>
      </c>
    </row>
    <row r="389">
      <c r="A389" s="87" t="n">
        <v>28534</v>
      </c>
      <c r="D389" t="n">
        <v>335.1</v>
      </c>
    </row>
    <row r="390">
      <c r="A390" s="87" t="n">
        <v>28541</v>
      </c>
      <c r="D390" t="n">
        <v>335.5</v>
      </c>
    </row>
    <row r="391">
      <c r="A391" s="87" t="n">
        <v>28548</v>
      </c>
      <c r="D391" t="n">
        <v>336.1</v>
      </c>
    </row>
    <row r="392">
      <c r="A392" s="87" t="n">
        <v>28550</v>
      </c>
      <c r="B392" t="n">
        <v>531.5</v>
      </c>
      <c r="C392" t="n">
        <v>2038.2</v>
      </c>
      <c r="E392" t="n">
        <v>1292.2</v>
      </c>
    </row>
    <row r="393">
      <c r="A393" s="87" t="n">
        <v>28555</v>
      </c>
      <c r="D393" t="n">
        <v>336.8</v>
      </c>
    </row>
    <row r="394">
      <c r="A394" s="87" t="n">
        <v>28562</v>
      </c>
      <c r="D394" t="n">
        <v>336.2</v>
      </c>
    </row>
    <row r="395">
      <c r="A395" s="87" t="n">
        <v>28569</v>
      </c>
      <c r="D395" t="n">
        <v>336.7</v>
      </c>
    </row>
    <row r="396">
      <c r="A396" s="87" t="n">
        <v>28576</v>
      </c>
      <c r="D396" t="n">
        <v>336.7</v>
      </c>
    </row>
    <row r="397">
      <c r="A397" s="87" t="n">
        <v>28581</v>
      </c>
      <c r="B397" t="n">
        <v>531.9</v>
      </c>
      <c r="C397" t="n">
        <v>2035.1</v>
      </c>
      <c r="E397" t="n">
        <v>1300.4</v>
      </c>
      <c r="F397" t="n">
        <v>1.78</v>
      </c>
    </row>
    <row r="398">
      <c r="A398" s="87" t="n">
        <v>28583</v>
      </c>
      <c r="D398" t="n">
        <v>338.6</v>
      </c>
    </row>
    <row r="399">
      <c r="A399" s="87" t="n">
        <v>28590</v>
      </c>
      <c r="D399" t="n">
        <v>338.3</v>
      </c>
    </row>
    <row r="400">
      <c r="A400" s="87" t="n">
        <v>28597</v>
      </c>
      <c r="D400" t="n">
        <v>337.6</v>
      </c>
    </row>
    <row r="401">
      <c r="A401" s="87" t="n">
        <v>28604</v>
      </c>
      <c r="D401" t="n">
        <v>340.6</v>
      </c>
    </row>
    <row r="402">
      <c r="A402" s="87" t="n">
        <v>28611</v>
      </c>
      <c r="B402" t="n">
        <v>534.7</v>
      </c>
      <c r="C402" t="n">
        <v>2031.8</v>
      </c>
      <c r="D402" t="n">
        <v>344.9</v>
      </c>
      <c r="E402" t="n">
        <v>1310.5</v>
      </c>
    </row>
    <row r="403">
      <c r="A403" s="87" t="n">
        <v>28618</v>
      </c>
      <c r="D403" t="n">
        <v>342.6</v>
      </c>
    </row>
    <row r="404">
      <c r="A404" s="87" t="n">
        <v>28625</v>
      </c>
      <c r="D404" t="n">
        <v>344.1</v>
      </c>
    </row>
    <row r="405">
      <c r="A405" s="87" t="n">
        <v>28632</v>
      </c>
      <c r="D405" t="n">
        <v>345.1</v>
      </c>
    </row>
    <row r="406">
      <c r="A406" s="87" t="n">
        <v>28639</v>
      </c>
      <c r="D406" t="n">
        <v>346.7</v>
      </c>
    </row>
    <row r="407">
      <c r="A407" s="87" t="n">
        <v>28642</v>
      </c>
      <c r="B407" t="n">
        <v>533.7</v>
      </c>
      <c r="C407" t="n">
        <v>2028.5</v>
      </c>
      <c r="E407" t="n">
        <v>1318.5</v>
      </c>
    </row>
    <row r="408">
      <c r="A408" s="87" t="n">
        <v>28646</v>
      </c>
      <c r="D408" t="n">
        <v>346.6</v>
      </c>
    </row>
    <row r="409">
      <c r="A409" s="87" t="n">
        <v>28653</v>
      </c>
      <c r="D409" t="n">
        <v>346.8</v>
      </c>
    </row>
    <row r="410">
      <c r="A410" s="87" t="n">
        <v>28660</v>
      </c>
      <c r="D410" t="n">
        <v>345.8</v>
      </c>
    </row>
    <row r="411">
      <c r="A411" s="87" t="n">
        <v>28667</v>
      </c>
      <c r="D411" t="n">
        <v>346.5</v>
      </c>
    </row>
    <row r="412">
      <c r="A412" s="87" t="n">
        <v>28672</v>
      </c>
      <c r="B412" t="n">
        <v>530.7</v>
      </c>
      <c r="C412" t="n">
        <v>2021.5</v>
      </c>
      <c r="E412" t="n">
        <v>1324.1</v>
      </c>
      <c r="F412" t="n">
        <v>1.795</v>
      </c>
    </row>
    <row r="413">
      <c r="A413" s="87" t="n">
        <v>28674</v>
      </c>
      <c r="D413" t="n">
        <v>348.1</v>
      </c>
    </row>
    <row r="414">
      <c r="A414" s="87" t="n">
        <v>28681</v>
      </c>
      <c r="D414" t="n">
        <v>347.7</v>
      </c>
    </row>
    <row r="415">
      <c r="A415" s="87" t="n">
        <v>28688</v>
      </c>
      <c r="D415" t="n">
        <v>346.2</v>
      </c>
    </row>
    <row r="416">
      <c r="A416" s="87" t="n">
        <v>28695</v>
      </c>
      <c r="D416" t="n">
        <v>348.2</v>
      </c>
    </row>
    <row r="417">
      <c r="A417" s="87" t="n">
        <v>28702</v>
      </c>
      <c r="D417" t="n">
        <v>348.6</v>
      </c>
    </row>
    <row r="418">
      <c r="A418" s="87" t="n">
        <v>28703</v>
      </c>
      <c r="B418" t="n">
        <v>530.5</v>
      </c>
      <c r="C418" t="n">
        <v>2023.5</v>
      </c>
      <c r="E418" t="n">
        <v>1333.5</v>
      </c>
    </row>
    <row r="419">
      <c r="A419" s="87" t="n">
        <v>28709</v>
      </c>
      <c r="D419" t="n">
        <v>348.4</v>
      </c>
    </row>
    <row r="420">
      <c r="A420" s="87" t="n">
        <v>28716</v>
      </c>
      <c r="D420" t="n">
        <v>349.7</v>
      </c>
    </row>
    <row r="421">
      <c r="A421" s="87" t="n">
        <v>28723</v>
      </c>
      <c r="D421" t="n">
        <v>349.7</v>
      </c>
    </row>
    <row r="422">
      <c r="A422" s="87" t="n">
        <v>28730</v>
      </c>
      <c r="D422" t="n">
        <v>349.3</v>
      </c>
    </row>
    <row r="423">
      <c r="A423" s="87" t="n">
        <v>28734</v>
      </c>
      <c r="B423" t="n">
        <v>529.6</v>
      </c>
      <c r="C423" t="n">
        <v>2022.6</v>
      </c>
      <c r="E423" t="n">
        <v>1345</v>
      </c>
    </row>
    <row r="424">
      <c r="A424" s="87" t="n">
        <v>28737</v>
      </c>
      <c r="D424" t="n">
        <v>352.7</v>
      </c>
    </row>
    <row r="425">
      <c r="A425" s="87" t="n">
        <v>28744</v>
      </c>
      <c r="D425" t="n">
        <v>351.6</v>
      </c>
    </row>
    <row r="426">
      <c r="A426" s="87" t="n">
        <v>28751</v>
      </c>
      <c r="D426" t="n">
        <v>351.5</v>
      </c>
    </row>
    <row r="427">
      <c r="A427" s="87" t="n">
        <v>28758</v>
      </c>
      <c r="D427" t="n">
        <v>352.8</v>
      </c>
    </row>
    <row r="428">
      <c r="A428" s="87" t="n">
        <v>28764</v>
      </c>
      <c r="B428" t="n">
        <v>526.5</v>
      </c>
      <c r="C428" t="n">
        <v>2015.4</v>
      </c>
      <c r="E428" t="n">
        <v>1352.3</v>
      </c>
      <c r="F428" t="n">
        <v>1.822</v>
      </c>
    </row>
    <row r="429">
      <c r="A429" s="87" t="n">
        <v>28765</v>
      </c>
      <c r="D429" t="n">
        <v>352.9</v>
      </c>
    </row>
    <row r="430">
      <c r="A430" s="87" t="n">
        <v>28772</v>
      </c>
      <c r="D430" t="n">
        <v>353</v>
      </c>
    </row>
    <row r="431">
      <c r="A431" s="87" t="n">
        <v>28779</v>
      </c>
      <c r="D431" t="n">
        <v>354.3</v>
      </c>
    </row>
    <row r="432">
      <c r="A432" s="87" t="n">
        <v>28786</v>
      </c>
      <c r="D432" t="n">
        <v>353.1</v>
      </c>
    </row>
    <row r="433">
      <c r="A433" s="87" t="n">
        <v>28793</v>
      </c>
      <c r="D433" t="n">
        <v>353.3</v>
      </c>
    </row>
    <row r="434">
      <c r="A434" s="87" t="n">
        <v>28795</v>
      </c>
      <c r="B434" t="n">
        <v>526.5</v>
      </c>
      <c r="C434" t="n">
        <v>2013.5</v>
      </c>
      <c r="E434" t="n">
        <v>1359.1</v>
      </c>
    </row>
    <row r="435">
      <c r="A435" s="87" t="n">
        <v>28800</v>
      </c>
      <c r="D435" t="n">
        <v>355.1</v>
      </c>
    </row>
    <row r="436">
      <c r="A436" s="87" t="n">
        <v>28807</v>
      </c>
      <c r="D436" t="n">
        <v>355.2</v>
      </c>
    </row>
    <row r="437">
      <c r="A437" s="87" t="n">
        <v>28814</v>
      </c>
      <c r="D437" t="n">
        <v>355.8</v>
      </c>
    </row>
    <row r="438">
      <c r="A438" s="87" t="n">
        <v>28821</v>
      </c>
      <c r="D438" t="n">
        <v>355.3</v>
      </c>
    </row>
    <row r="439">
      <c r="A439" s="87" t="n">
        <v>28825</v>
      </c>
      <c r="B439" t="n">
        <v>526.2</v>
      </c>
      <c r="C439" t="n">
        <v>2011.8</v>
      </c>
      <c r="E439" t="n">
        <v>1366</v>
      </c>
    </row>
    <row r="440">
      <c r="A440" s="87" t="n">
        <v>28828</v>
      </c>
      <c r="D440" t="n">
        <v>357.1</v>
      </c>
    </row>
    <row r="441">
      <c r="A441" s="87" t="n">
        <v>28835</v>
      </c>
      <c r="D441" t="n">
        <v>356.8</v>
      </c>
    </row>
    <row r="442">
      <c r="A442" s="87" t="n">
        <v>28842</v>
      </c>
      <c r="D442" t="n">
        <v>356.2</v>
      </c>
    </row>
    <row r="443">
      <c r="A443" s="87" t="n">
        <v>28849</v>
      </c>
      <c r="D443" t="n">
        <v>357.7</v>
      </c>
    </row>
    <row r="444">
      <c r="A444" s="87" t="n">
        <v>28856</v>
      </c>
      <c r="B444" t="n">
        <v>523.5</v>
      </c>
      <c r="C444" t="n">
        <v>2002.3</v>
      </c>
      <c r="D444" t="n">
        <v>359.5</v>
      </c>
      <c r="E444" t="n">
        <v>1371.6</v>
      </c>
      <c r="F444" t="n">
        <v>1.832</v>
      </c>
    </row>
    <row r="445">
      <c r="A445" s="87" t="n">
        <v>28863</v>
      </c>
      <c r="D445" t="n">
        <v>357.1</v>
      </c>
    </row>
    <row r="446">
      <c r="A446" s="87" t="n">
        <v>28870</v>
      </c>
      <c r="D446" t="n">
        <v>359.5</v>
      </c>
    </row>
    <row r="447">
      <c r="A447" s="87" t="n">
        <v>28877</v>
      </c>
      <c r="D447" t="n">
        <v>358.7</v>
      </c>
    </row>
    <row r="448">
      <c r="A448" s="87" t="n">
        <v>28884</v>
      </c>
      <c r="D448" t="n">
        <v>358.8</v>
      </c>
    </row>
    <row r="449">
      <c r="A449" s="87" t="n">
        <v>28887</v>
      </c>
      <c r="B449" t="n">
        <v>520.1</v>
      </c>
      <c r="C449" t="n">
        <v>1991</v>
      </c>
      <c r="E449" t="n">
        <v>1377.8</v>
      </c>
    </row>
    <row r="450">
      <c r="A450" s="87" t="n">
        <v>28891</v>
      </c>
      <c r="D450" t="n">
        <v>360.6</v>
      </c>
    </row>
    <row r="451">
      <c r="A451" s="87" t="n">
        <v>28898</v>
      </c>
      <c r="D451" t="n">
        <v>359.3</v>
      </c>
    </row>
    <row r="452">
      <c r="A452" s="87" t="n">
        <v>28905</v>
      </c>
      <c r="D452" t="n">
        <v>359.1</v>
      </c>
    </row>
    <row r="453">
      <c r="A453" s="87" t="n">
        <v>28912</v>
      </c>
      <c r="D453" t="n">
        <v>360.1</v>
      </c>
    </row>
    <row r="454">
      <c r="A454" s="87" t="n">
        <v>28915</v>
      </c>
      <c r="B454" t="n">
        <v>518.6</v>
      </c>
      <c r="C454" t="n">
        <v>1985.4</v>
      </c>
      <c r="E454" t="n">
        <v>1387.8</v>
      </c>
    </row>
    <row r="455">
      <c r="A455" s="87" t="n">
        <v>28919</v>
      </c>
      <c r="D455" t="n">
        <v>361.9</v>
      </c>
    </row>
    <row r="456">
      <c r="A456" s="87" t="n">
        <v>28926</v>
      </c>
      <c r="D456" t="n">
        <v>361.2</v>
      </c>
    </row>
    <row r="457">
      <c r="A457" s="87" t="n">
        <v>28933</v>
      </c>
      <c r="D457" t="n">
        <v>361.8</v>
      </c>
    </row>
    <row r="458">
      <c r="A458" s="87" t="n">
        <v>28940</v>
      </c>
      <c r="D458" t="n">
        <v>363.2</v>
      </c>
    </row>
    <row r="459">
      <c r="A459" s="87" t="n">
        <v>28946</v>
      </c>
      <c r="B459" t="n">
        <v>521.2</v>
      </c>
      <c r="C459" t="n">
        <v>1986</v>
      </c>
      <c r="E459" t="n">
        <v>1402.1</v>
      </c>
      <c r="F459" t="n">
        <v>1.835</v>
      </c>
    </row>
    <row r="460">
      <c r="A460" s="87" t="n">
        <v>28947</v>
      </c>
      <c r="D460" t="n">
        <v>364.2</v>
      </c>
    </row>
    <row r="461">
      <c r="A461" s="87" t="n">
        <v>28954</v>
      </c>
      <c r="D461" t="n">
        <v>365</v>
      </c>
    </row>
    <row r="462">
      <c r="A462" s="87" t="n">
        <v>28961</v>
      </c>
      <c r="D462" t="n">
        <v>368.7</v>
      </c>
    </row>
    <row r="463">
      <c r="A463" s="87" t="n">
        <v>28968</v>
      </c>
      <c r="D463" t="n">
        <v>370.2</v>
      </c>
    </row>
    <row r="464">
      <c r="A464" s="87" t="n">
        <v>28975</v>
      </c>
      <c r="D464" t="n">
        <v>369.6</v>
      </c>
    </row>
    <row r="465">
      <c r="A465" s="87" t="n">
        <v>28976</v>
      </c>
      <c r="B465" t="n">
        <v>517.6</v>
      </c>
      <c r="C465" t="n">
        <v>1975.1</v>
      </c>
      <c r="E465" t="n">
        <v>1410.2</v>
      </c>
    </row>
    <row r="466">
      <c r="A466" s="87" t="n">
        <v>28982</v>
      </c>
      <c r="D466" t="n">
        <v>368.9</v>
      </c>
    </row>
    <row r="467">
      <c r="A467" s="87" t="n">
        <v>28989</v>
      </c>
      <c r="D467" t="n">
        <v>369.1</v>
      </c>
    </row>
    <row r="468">
      <c r="A468" s="87" t="n">
        <v>28996</v>
      </c>
      <c r="D468" t="n">
        <v>369.6</v>
      </c>
    </row>
    <row r="469">
      <c r="A469" s="87" t="n">
        <v>29003</v>
      </c>
      <c r="D469" t="n">
        <v>369</v>
      </c>
    </row>
    <row r="470">
      <c r="A470" s="87" t="n">
        <v>29007</v>
      </c>
      <c r="B470" t="n">
        <v>517.2</v>
      </c>
      <c r="C470" t="n">
        <v>1970.9</v>
      </c>
      <c r="E470" t="n">
        <v>1423</v>
      </c>
    </row>
    <row r="471">
      <c r="A471" s="87" t="n">
        <v>29010</v>
      </c>
      <c r="D471" t="n">
        <v>372.4</v>
      </c>
    </row>
    <row r="472">
      <c r="A472" s="87" t="n">
        <v>29017</v>
      </c>
      <c r="D472" t="n">
        <v>372.7</v>
      </c>
    </row>
    <row r="473">
      <c r="A473" s="87" t="n">
        <v>29024</v>
      </c>
      <c r="D473" t="n">
        <v>372.2</v>
      </c>
    </row>
    <row r="474">
      <c r="A474" s="87" t="n">
        <v>29031</v>
      </c>
      <c r="D474" t="n">
        <v>374.3</v>
      </c>
    </row>
    <row r="475">
      <c r="A475" s="87" t="n">
        <v>29037</v>
      </c>
      <c r="B475" t="n">
        <v>516.7</v>
      </c>
      <c r="C475" t="n">
        <v>1965.5</v>
      </c>
      <c r="E475" t="n">
        <v>1434.8</v>
      </c>
      <c r="F475" t="n">
        <v>1.846</v>
      </c>
    </row>
    <row r="476">
      <c r="A476" s="87" t="n">
        <v>29038</v>
      </c>
      <c r="D476" t="n">
        <v>374.9</v>
      </c>
    </row>
    <row r="477">
      <c r="A477" s="87" t="n">
        <v>29045</v>
      </c>
      <c r="D477" t="n">
        <v>375.7</v>
      </c>
    </row>
    <row r="478">
      <c r="A478" s="87" t="n">
        <v>29052</v>
      </c>
      <c r="D478" t="n">
        <v>377.8</v>
      </c>
    </row>
    <row r="479">
      <c r="A479" s="87" t="n">
        <v>29059</v>
      </c>
      <c r="D479" t="n">
        <v>378.3</v>
      </c>
    </row>
    <row r="480">
      <c r="A480" s="87" t="n">
        <v>29066</v>
      </c>
      <c r="D480" t="n">
        <v>378.5</v>
      </c>
    </row>
    <row r="481">
      <c r="A481" s="87" t="n">
        <v>29068</v>
      </c>
      <c r="B481" t="n">
        <v>514</v>
      </c>
      <c r="C481" t="n">
        <v>1962.8</v>
      </c>
      <c r="E481" t="n">
        <v>1446.6</v>
      </c>
    </row>
    <row r="482">
      <c r="A482" s="87" t="n">
        <v>29073</v>
      </c>
      <c r="D482" t="n">
        <v>377.7</v>
      </c>
    </row>
    <row r="483">
      <c r="A483" s="87" t="n">
        <v>29080</v>
      </c>
      <c r="D483" t="n">
        <v>378.3</v>
      </c>
    </row>
    <row r="484">
      <c r="A484" s="87" t="n">
        <v>29087</v>
      </c>
      <c r="D484" t="n">
        <v>379.9</v>
      </c>
    </row>
    <row r="485">
      <c r="A485" s="87" t="n">
        <v>29094</v>
      </c>
      <c r="D485" t="n">
        <v>379.4</v>
      </c>
    </row>
    <row r="486">
      <c r="A486" s="87" t="n">
        <v>29099</v>
      </c>
      <c r="B486" t="n">
        <v>509.8</v>
      </c>
      <c r="C486" t="n">
        <v>1954.4</v>
      </c>
      <c r="E486" t="n">
        <v>1454.1</v>
      </c>
    </row>
    <row r="487">
      <c r="A487" s="87" t="n">
        <v>29101</v>
      </c>
      <c r="D487" t="n">
        <v>379</v>
      </c>
    </row>
    <row r="488">
      <c r="A488" s="87" t="n">
        <v>29108</v>
      </c>
      <c r="D488" t="n">
        <v>378.7</v>
      </c>
    </row>
    <row r="489">
      <c r="A489" s="87" t="n">
        <v>29115</v>
      </c>
      <c r="D489" t="n">
        <v>378.1</v>
      </c>
    </row>
    <row r="490">
      <c r="A490" s="87" t="n">
        <v>29122</v>
      </c>
      <c r="D490" t="n">
        <v>379.6</v>
      </c>
    </row>
    <row r="491">
      <c r="A491" s="87" t="n">
        <v>29129</v>
      </c>
      <c r="B491" t="n">
        <v>506.4</v>
      </c>
      <c r="C491" t="n">
        <v>1942</v>
      </c>
      <c r="D491" t="n">
        <v>381.6</v>
      </c>
      <c r="E491" t="n">
        <v>1460.4</v>
      </c>
      <c r="F491" t="n">
        <v>1.857</v>
      </c>
    </row>
    <row r="492">
      <c r="A492" s="87" t="n">
        <v>29136</v>
      </c>
      <c r="D492" t="n">
        <v>380.7</v>
      </c>
    </row>
    <row r="493">
      <c r="A493" s="87" t="n">
        <v>29143</v>
      </c>
      <c r="D493" t="n">
        <v>381.7</v>
      </c>
    </row>
    <row r="494">
      <c r="A494" s="87" t="n">
        <v>29150</v>
      </c>
      <c r="D494" t="n">
        <v>380.5</v>
      </c>
    </row>
    <row r="495">
      <c r="A495" s="87" t="n">
        <v>29157</v>
      </c>
      <c r="D495" t="n">
        <v>380.9</v>
      </c>
    </row>
    <row r="496">
      <c r="A496" s="87" t="n">
        <v>29160</v>
      </c>
      <c r="B496" t="n">
        <v>501.1</v>
      </c>
      <c r="C496" t="n">
        <v>1928.8</v>
      </c>
      <c r="E496" t="n">
        <v>1465.9</v>
      </c>
    </row>
    <row r="497">
      <c r="A497" s="87" t="n">
        <v>29164</v>
      </c>
      <c r="D497" t="n">
        <v>382.3</v>
      </c>
    </row>
    <row r="498">
      <c r="A498" s="87" t="n">
        <v>29171</v>
      </c>
      <c r="D498" t="n">
        <v>381.1</v>
      </c>
    </row>
    <row r="499">
      <c r="A499" s="87" t="n">
        <v>29178</v>
      </c>
      <c r="D499" t="n">
        <v>381.5</v>
      </c>
    </row>
    <row r="500">
      <c r="A500" s="87" t="n">
        <v>29185</v>
      </c>
      <c r="D500" t="n">
        <v>380.6</v>
      </c>
    </row>
    <row r="501">
      <c r="A501" s="87" t="n">
        <v>29190</v>
      </c>
      <c r="B501" t="n">
        <v>496.5</v>
      </c>
      <c r="C501" t="n">
        <v>1916.4</v>
      </c>
      <c r="E501" t="n">
        <v>1473.7</v>
      </c>
    </row>
    <row r="502">
      <c r="A502" s="87" t="n">
        <v>29192</v>
      </c>
      <c r="D502" t="n">
        <v>379.3</v>
      </c>
    </row>
    <row r="503">
      <c r="A503" s="87" t="n">
        <v>29199</v>
      </c>
      <c r="D503" t="n">
        <v>381.2</v>
      </c>
    </row>
    <row r="504">
      <c r="A504" s="87" t="n">
        <v>29206</v>
      </c>
      <c r="D504" t="n">
        <v>381</v>
      </c>
    </row>
    <row r="505">
      <c r="A505" s="87" t="n">
        <v>29213</v>
      </c>
      <c r="D505" t="n">
        <v>382.9</v>
      </c>
    </row>
    <row r="506">
      <c r="A506" s="87" t="n">
        <v>29220</v>
      </c>
      <c r="D506" t="n">
        <v>384.2</v>
      </c>
    </row>
    <row r="507">
      <c r="A507" s="87" t="n">
        <v>29221</v>
      </c>
      <c r="B507" t="n">
        <v>494.6</v>
      </c>
      <c r="C507" t="n">
        <v>1900.9</v>
      </c>
      <c r="E507" t="n">
        <v>1482.7</v>
      </c>
      <c r="F507" t="n">
        <v>1.869</v>
      </c>
    </row>
    <row r="508">
      <c r="A508" s="87" t="n">
        <v>29227</v>
      </c>
      <c r="D508" t="n">
        <v>383.7</v>
      </c>
    </row>
    <row r="509">
      <c r="A509" s="87" t="n">
        <v>29234</v>
      </c>
      <c r="D509" t="n">
        <v>385.5</v>
      </c>
    </row>
    <row r="510">
      <c r="A510" s="87" t="n">
        <v>29241</v>
      </c>
      <c r="D510" t="n">
        <v>384.8</v>
      </c>
    </row>
    <row r="511">
      <c r="A511" s="87" t="n">
        <v>29248</v>
      </c>
      <c r="D511" t="n">
        <v>387.4</v>
      </c>
    </row>
    <row r="512">
      <c r="A512" s="87" t="n">
        <v>29252</v>
      </c>
      <c r="B512" t="n">
        <v>493.8</v>
      </c>
      <c r="C512" t="n">
        <v>1891.9</v>
      </c>
      <c r="E512" t="n">
        <v>1494.6</v>
      </c>
    </row>
    <row r="513">
      <c r="A513" s="87" t="n">
        <v>29255</v>
      </c>
      <c r="D513" t="n">
        <v>390.6</v>
      </c>
    </row>
    <row r="514">
      <c r="A514" s="87" t="n">
        <v>29262</v>
      </c>
      <c r="D514" t="n">
        <v>390.3</v>
      </c>
    </row>
    <row r="515">
      <c r="A515" s="87" t="n">
        <v>29269</v>
      </c>
      <c r="D515" t="n">
        <v>390.3</v>
      </c>
    </row>
    <row r="516">
      <c r="A516" s="87" t="n">
        <v>29276</v>
      </c>
      <c r="D516" t="n">
        <v>389.3</v>
      </c>
    </row>
    <row r="517">
      <c r="A517" s="87" t="n">
        <v>29281</v>
      </c>
      <c r="B517" t="n">
        <v>484.9</v>
      </c>
      <c r="C517" t="n">
        <v>1872.4</v>
      </c>
      <c r="E517" t="n">
        <v>1499.8</v>
      </c>
    </row>
    <row r="518">
      <c r="A518" s="87" t="n">
        <v>29283</v>
      </c>
      <c r="D518" t="n">
        <v>389.4</v>
      </c>
    </row>
    <row r="519">
      <c r="A519" s="87" t="n">
        <v>29290</v>
      </c>
      <c r="D519" t="n">
        <v>388.8</v>
      </c>
    </row>
    <row r="520">
      <c r="A520" s="87" t="n">
        <v>29297</v>
      </c>
      <c r="D520" t="n">
        <v>389.2</v>
      </c>
    </row>
    <row r="521">
      <c r="A521" s="87" t="n">
        <v>29304</v>
      </c>
      <c r="D521" t="n">
        <v>388.4</v>
      </c>
    </row>
    <row r="522">
      <c r="A522" s="87" t="n">
        <v>29311</v>
      </c>
      <c r="D522" t="n">
        <v>387.1</v>
      </c>
    </row>
    <row r="523">
      <c r="A523" s="87" t="n">
        <v>29312</v>
      </c>
      <c r="B523" t="n">
        <v>474.4</v>
      </c>
      <c r="C523" t="n">
        <v>1856.9</v>
      </c>
      <c r="E523" t="n">
        <v>1502.2</v>
      </c>
      <c r="F523" t="n">
        <v>1.847</v>
      </c>
    </row>
    <row r="524">
      <c r="A524" s="87" t="n">
        <v>29318</v>
      </c>
      <c r="D524" t="n">
        <v>386</v>
      </c>
    </row>
    <row r="525">
      <c r="A525" s="87" t="n">
        <v>29325</v>
      </c>
      <c r="D525" t="n">
        <v>385</v>
      </c>
    </row>
    <row r="526">
      <c r="A526" s="87" t="n">
        <v>29332</v>
      </c>
      <c r="D526" t="n">
        <v>382.8</v>
      </c>
    </row>
    <row r="527">
      <c r="A527" s="87" t="n">
        <v>29339</v>
      </c>
      <c r="D527" t="n">
        <v>381.3</v>
      </c>
    </row>
    <row r="528">
      <c r="A528" s="87" t="n">
        <v>29342</v>
      </c>
      <c r="B528" t="n">
        <v>471</v>
      </c>
      <c r="C528" t="n">
        <v>1851</v>
      </c>
      <c r="E528" t="n">
        <v>1512.3</v>
      </c>
    </row>
    <row r="529">
      <c r="A529" s="87" t="n">
        <v>29346</v>
      </c>
      <c r="D529" t="n">
        <v>383.6</v>
      </c>
    </row>
    <row r="530">
      <c r="A530" s="87" t="n">
        <v>29353</v>
      </c>
      <c r="D530" t="n">
        <v>383.5</v>
      </c>
    </row>
    <row r="531">
      <c r="A531" s="87" t="n">
        <v>29360</v>
      </c>
      <c r="D531" t="n">
        <v>384.7</v>
      </c>
    </row>
    <row r="532">
      <c r="A532" s="87" t="n">
        <v>29367</v>
      </c>
      <c r="D532" t="n">
        <v>385.8</v>
      </c>
    </row>
    <row r="533">
      <c r="A533" s="87" t="n">
        <v>29373</v>
      </c>
      <c r="B533" t="n">
        <v>471.6</v>
      </c>
      <c r="C533" t="n">
        <v>1853.6</v>
      </c>
      <c r="E533" t="n">
        <v>1529.2</v>
      </c>
    </row>
    <row r="534">
      <c r="A534" s="87" t="n">
        <v>29374</v>
      </c>
      <c r="D534" t="n">
        <v>386.8</v>
      </c>
    </row>
    <row r="535">
      <c r="A535" s="87" t="n">
        <v>29381</v>
      </c>
      <c r="D535" t="n">
        <v>387.1</v>
      </c>
    </row>
    <row r="536">
      <c r="A536" s="87" t="n">
        <v>29388</v>
      </c>
      <c r="D536" t="n">
        <v>389</v>
      </c>
    </row>
    <row r="537">
      <c r="A537" s="87" t="n">
        <v>29395</v>
      </c>
      <c r="D537" t="n">
        <v>389.9</v>
      </c>
    </row>
    <row r="538">
      <c r="A538" s="87" t="n">
        <v>29402</v>
      </c>
      <c r="D538" t="n">
        <v>391.3</v>
      </c>
    </row>
    <row r="539">
      <c r="A539" s="87" t="n">
        <v>29403</v>
      </c>
      <c r="B539" t="n">
        <v>477</v>
      </c>
      <c r="C539" t="n">
        <v>1871.1</v>
      </c>
      <c r="E539" t="n">
        <v>1545.5</v>
      </c>
      <c r="F539" t="n">
        <v>1.831</v>
      </c>
    </row>
    <row r="540">
      <c r="A540" s="87" t="n">
        <v>29409</v>
      </c>
      <c r="D540" t="n">
        <v>391.4</v>
      </c>
    </row>
    <row r="541">
      <c r="A541" s="87" t="n">
        <v>29416</v>
      </c>
      <c r="D541" t="n">
        <v>394.2</v>
      </c>
    </row>
    <row r="542">
      <c r="A542" s="87" t="n">
        <v>29423</v>
      </c>
      <c r="D542" t="n">
        <v>393.9</v>
      </c>
    </row>
    <row r="543">
      <c r="A543" s="87" t="n">
        <v>29430</v>
      </c>
      <c r="D543" t="n">
        <v>394.6</v>
      </c>
    </row>
    <row r="544">
      <c r="A544" s="87" t="n">
        <v>29434</v>
      </c>
      <c r="B544" t="n">
        <v>479.8</v>
      </c>
      <c r="C544" t="n">
        <v>1876.8</v>
      </c>
      <c r="E544" t="n">
        <v>1561.5</v>
      </c>
    </row>
    <row r="545">
      <c r="A545" s="87" t="n">
        <v>29437</v>
      </c>
      <c r="D545" t="n">
        <v>398.8</v>
      </c>
    </row>
    <row r="546">
      <c r="A546" s="87" t="n">
        <v>29444</v>
      </c>
      <c r="D546" t="n">
        <v>398.2</v>
      </c>
    </row>
    <row r="547">
      <c r="A547" s="87" t="n">
        <v>29451</v>
      </c>
      <c r="D547" t="n">
        <v>398.3</v>
      </c>
    </row>
    <row r="548">
      <c r="A548" s="87" t="n">
        <v>29458</v>
      </c>
      <c r="D548" t="n">
        <v>399.3</v>
      </c>
    </row>
    <row r="549">
      <c r="A549" s="87" t="n">
        <v>29465</v>
      </c>
      <c r="B549" t="n">
        <v>482.5</v>
      </c>
      <c r="C549" t="n">
        <v>1876</v>
      </c>
      <c r="D549" t="n">
        <v>402.1</v>
      </c>
      <c r="E549" t="n">
        <v>1574</v>
      </c>
    </row>
    <row r="550">
      <c r="A550" s="87" t="n">
        <v>29472</v>
      </c>
      <c r="D550" t="n">
        <v>403.9</v>
      </c>
    </row>
    <row r="551">
      <c r="A551" s="87" t="n">
        <v>29479</v>
      </c>
      <c r="D551" t="n">
        <v>404.7</v>
      </c>
    </row>
    <row r="552">
      <c r="A552" s="87" t="n">
        <v>29486</v>
      </c>
      <c r="D552" t="n">
        <v>405.6</v>
      </c>
    </row>
    <row r="553">
      <c r="A553" s="87" t="n">
        <v>29493</v>
      </c>
      <c r="D553" t="n">
        <v>405.3</v>
      </c>
    </row>
    <row r="554">
      <c r="A554" s="87" t="n">
        <v>29495</v>
      </c>
      <c r="B554" t="n">
        <v>482.9</v>
      </c>
      <c r="C554" t="n">
        <v>1871.1</v>
      </c>
      <c r="E554" t="n">
        <v>1584.8</v>
      </c>
      <c r="F554" t="n">
        <v>1.874</v>
      </c>
    </row>
    <row r="555">
      <c r="A555" s="87" t="n">
        <v>29500</v>
      </c>
      <c r="D555" t="n">
        <v>408.2</v>
      </c>
    </row>
    <row r="556">
      <c r="A556" s="87" t="n">
        <v>29507</v>
      </c>
      <c r="D556" t="n">
        <v>408.9</v>
      </c>
    </row>
    <row r="557">
      <c r="A557" s="87" t="n">
        <v>29514</v>
      </c>
      <c r="D557" t="n">
        <v>408.6</v>
      </c>
    </row>
    <row r="558">
      <c r="A558" s="87" t="n">
        <v>29521</v>
      </c>
      <c r="D558" t="n">
        <v>409.6</v>
      </c>
    </row>
    <row r="559">
      <c r="A559" s="87" t="n">
        <v>29526</v>
      </c>
      <c r="B559" t="n">
        <v>479.8</v>
      </c>
      <c r="C559" t="n">
        <v>1864.3</v>
      </c>
      <c r="E559" t="n">
        <v>1595.8</v>
      </c>
    </row>
    <row r="560">
      <c r="A560" s="87" t="n">
        <v>29528</v>
      </c>
      <c r="D560" t="n">
        <v>409.2</v>
      </c>
    </row>
    <row r="561">
      <c r="A561" s="87" t="n">
        <v>29535</v>
      </c>
      <c r="D561" t="n">
        <v>410.4</v>
      </c>
    </row>
    <row r="562">
      <c r="A562" s="87" t="n">
        <v>29542</v>
      </c>
      <c r="D562" t="n">
        <v>411.3</v>
      </c>
    </row>
    <row r="563">
      <c r="A563" s="87" t="n">
        <v>29549</v>
      </c>
      <c r="D563" t="n">
        <v>410.8</v>
      </c>
    </row>
    <row r="564">
      <c r="A564" s="87" t="n">
        <v>29556</v>
      </c>
      <c r="B564" t="n">
        <v>472.8</v>
      </c>
      <c r="C564" t="n">
        <v>1851.6</v>
      </c>
      <c r="D564" t="n">
        <v>410.5</v>
      </c>
      <c r="E564" t="n">
        <v>1599.8</v>
      </c>
    </row>
    <row r="565">
      <c r="A565" s="87" t="n">
        <v>29563</v>
      </c>
      <c r="D565" t="n">
        <v>409.6</v>
      </c>
    </row>
    <row r="566">
      <c r="A566" s="87" t="n">
        <v>29570</v>
      </c>
      <c r="D566" t="n">
        <v>410.7</v>
      </c>
    </row>
    <row r="567">
      <c r="A567" s="87" t="n">
        <v>29577</v>
      </c>
      <c r="D567" t="n">
        <v>409.9</v>
      </c>
    </row>
    <row r="568">
      <c r="A568" s="87" t="n">
        <v>29584</v>
      </c>
      <c r="D568" t="n">
        <v>404.3</v>
      </c>
    </row>
    <row r="569">
      <c r="A569" s="87" t="n">
        <v>29587</v>
      </c>
      <c r="B569" t="n">
        <v>471.7</v>
      </c>
      <c r="C569" t="n">
        <v>1842.8</v>
      </c>
      <c r="E569" t="n">
        <v>1606.9</v>
      </c>
      <c r="F569" t="n">
        <v>1.928</v>
      </c>
    </row>
    <row r="570">
      <c r="A570" s="87" t="n">
        <v>29591</v>
      </c>
      <c r="D570" t="n">
        <v>407.4</v>
      </c>
    </row>
    <row r="571">
      <c r="A571" s="87" t="n">
        <v>29598</v>
      </c>
      <c r="D571" t="n">
        <v>409.4</v>
      </c>
    </row>
    <row r="572">
      <c r="A572" s="87" t="n">
        <v>29605</v>
      </c>
      <c r="D572" t="n">
        <v>413.2</v>
      </c>
    </row>
    <row r="573">
      <c r="A573" s="87" t="n">
        <v>29612</v>
      </c>
      <c r="D573" t="n">
        <v>413.8</v>
      </c>
    </row>
    <row r="574">
      <c r="A574" s="87" t="n">
        <v>29618</v>
      </c>
      <c r="B574" t="n">
        <v>471.4</v>
      </c>
      <c r="C574" t="n">
        <v>1839.4</v>
      </c>
      <c r="E574" t="n">
        <v>1618.7</v>
      </c>
    </row>
    <row r="575">
      <c r="A575" s="87" t="n">
        <v>29619</v>
      </c>
      <c r="D575" t="n">
        <v>410.8</v>
      </c>
    </row>
    <row r="576">
      <c r="A576" s="87" t="n">
        <v>29626</v>
      </c>
      <c r="D576" t="n">
        <v>413.6</v>
      </c>
    </row>
    <row r="577">
      <c r="A577" s="87" t="n">
        <v>29633</v>
      </c>
      <c r="D577" t="n">
        <v>415.3</v>
      </c>
    </row>
    <row r="578">
      <c r="A578" s="87" t="n">
        <v>29640</v>
      </c>
      <c r="D578" t="n">
        <v>416.6</v>
      </c>
    </row>
    <row r="579">
      <c r="A579" s="87" t="n">
        <v>29646</v>
      </c>
      <c r="B579" t="n">
        <v>472.9</v>
      </c>
      <c r="C579" t="n">
        <v>1847.2</v>
      </c>
      <c r="E579" t="n">
        <v>1636.6</v>
      </c>
    </row>
    <row r="580">
      <c r="A580" s="87" t="n">
        <v>29647</v>
      </c>
      <c r="D580" t="n">
        <v>414.7</v>
      </c>
    </row>
    <row r="581">
      <c r="A581" s="87" t="n">
        <v>29654</v>
      </c>
      <c r="D581" t="n">
        <v>417.4</v>
      </c>
    </row>
    <row r="582">
      <c r="A582" s="87" t="n">
        <v>29661</v>
      </c>
      <c r="D582" t="n">
        <v>419.1</v>
      </c>
    </row>
    <row r="583">
      <c r="A583" s="87" t="n">
        <v>29668</v>
      </c>
      <c r="D583" t="n">
        <v>419.2</v>
      </c>
    </row>
    <row r="584">
      <c r="A584" s="87" t="n">
        <v>29675</v>
      </c>
      <c r="D584" t="n">
        <v>421</v>
      </c>
    </row>
    <row r="585">
      <c r="A585" s="87" t="n">
        <v>29677</v>
      </c>
      <c r="B585" t="n">
        <v>479.7</v>
      </c>
      <c r="C585" t="n">
        <v>1862.2</v>
      </c>
      <c r="E585" t="n">
        <v>1659.2</v>
      </c>
      <c r="F585" t="n">
        <v>1.9</v>
      </c>
    </row>
    <row r="586">
      <c r="A586" s="87" t="n">
        <v>29682</v>
      </c>
      <c r="D586" t="n">
        <v>424</v>
      </c>
    </row>
    <row r="587">
      <c r="A587" s="87" t="n">
        <v>29689</v>
      </c>
      <c r="D587" t="n">
        <v>426.1</v>
      </c>
    </row>
    <row r="588">
      <c r="A588" s="87" t="n">
        <v>29696</v>
      </c>
      <c r="D588" t="n">
        <v>429.7</v>
      </c>
    </row>
    <row r="589">
      <c r="A589" s="87" t="n">
        <v>29703</v>
      </c>
      <c r="D589" t="n">
        <v>429.2</v>
      </c>
    </row>
    <row r="590">
      <c r="A590" s="87" t="n">
        <v>29707</v>
      </c>
      <c r="B590" t="n">
        <v>473.5</v>
      </c>
      <c r="C590" t="n">
        <v>1855.3</v>
      </c>
      <c r="E590" t="n">
        <v>1664.2</v>
      </c>
    </row>
    <row r="591">
      <c r="A591" s="87" t="n">
        <v>29710</v>
      </c>
      <c r="D591" t="n">
        <v>427.6</v>
      </c>
    </row>
    <row r="592">
      <c r="A592" s="87" t="n">
        <v>29717</v>
      </c>
      <c r="D592" t="n">
        <v>425.7</v>
      </c>
    </row>
    <row r="593">
      <c r="A593" s="87" t="n">
        <v>29724</v>
      </c>
      <c r="D593" t="n">
        <v>423.6</v>
      </c>
    </row>
    <row r="594">
      <c r="A594" s="87" t="n">
        <v>29731</v>
      </c>
      <c r="D594" t="n">
        <v>423.1</v>
      </c>
    </row>
    <row r="595">
      <c r="A595" s="87" t="n">
        <v>29738</v>
      </c>
      <c r="B595" t="n">
        <v>469.8</v>
      </c>
      <c r="C595" t="n">
        <v>1845.6</v>
      </c>
      <c r="D595" t="n">
        <v>424.6</v>
      </c>
      <c r="E595" t="n">
        <v>1670.3</v>
      </c>
    </row>
    <row r="596">
      <c r="A596" s="87" t="n">
        <v>29745</v>
      </c>
      <c r="D596" t="n">
        <v>423.1</v>
      </c>
    </row>
    <row r="597">
      <c r="A597" s="87" t="n">
        <v>29752</v>
      </c>
      <c r="D597" t="n">
        <v>425.4</v>
      </c>
    </row>
    <row r="598">
      <c r="A598" s="87" t="n">
        <v>29759</v>
      </c>
      <c r="D598" t="n">
        <v>426.6</v>
      </c>
    </row>
    <row r="599">
      <c r="A599" s="87" t="n">
        <v>29766</v>
      </c>
      <c r="D599" t="n">
        <v>425.2</v>
      </c>
    </row>
    <row r="600">
      <c r="A600" s="87" t="n">
        <v>29768</v>
      </c>
      <c r="B600" t="n">
        <v>466.6</v>
      </c>
      <c r="C600" t="n">
        <v>1838.1</v>
      </c>
      <c r="E600" t="n">
        <v>1681.9</v>
      </c>
      <c r="F600" t="n">
        <v>1.925</v>
      </c>
    </row>
    <row r="601">
      <c r="A601" s="87" t="n">
        <v>29773</v>
      </c>
      <c r="D601" t="n">
        <v>428.8</v>
      </c>
    </row>
    <row r="602">
      <c r="A602" s="87" t="n">
        <v>29780</v>
      </c>
      <c r="D602" t="n">
        <v>426.2</v>
      </c>
    </row>
    <row r="603">
      <c r="A603" s="87" t="n">
        <v>29787</v>
      </c>
      <c r="D603" t="n">
        <v>427.4</v>
      </c>
    </row>
    <row r="604">
      <c r="A604" s="87" t="n">
        <v>29794</v>
      </c>
      <c r="D604" t="n">
        <v>426.2</v>
      </c>
    </row>
    <row r="605">
      <c r="A605" s="87" t="n">
        <v>29799</v>
      </c>
      <c r="B605" t="n">
        <v>463</v>
      </c>
      <c r="C605" t="n">
        <v>1837.6</v>
      </c>
      <c r="E605" t="n">
        <v>1694.3</v>
      </c>
    </row>
    <row r="606">
      <c r="A606" s="87" t="n">
        <v>29801</v>
      </c>
      <c r="D606" t="n">
        <v>425.9</v>
      </c>
    </row>
    <row r="607">
      <c r="A607" s="87" t="n">
        <v>29808</v>
      </c>
      <c r="D607" t="n">
        <v>429</v>
      </c>
    </row>
    <row r="608">
      <c r="A608" s="87" t="n">
        <v>29815</v>
      </c>
      <c r="D608" t="n">
        <v>426.3</v>
      </c>
    </row>
    <row r="609">
      <c r="A609" s="87" t="n">
        <v>29822</v>
      </c>
      <c r="D609" t="n">
        <v>425.8</v>
      </c>
    </row>
    <row r="610">
      <c r="A610" s="87" t="n">
        <v>29829</v>
      </c>
      <c r="D610" t="n">
        <v>427</v>
      </c>
    </row>
    <row r="611">
      <c r="A611" s="87" t="n">
        <v>29830</v>
      </c>
      <c r="B611" t="n">
        <v>458.6</v>
      </c>
      <c r="C611" t="n">
        <v>1832.4</v>
      </c>
      <c r="E611" t="n">
        <v>1706</v>
      </c>
    </row>
    <row r="612">
      <c r="A612" s="87" t="n">
        <v>29836</v>
      </c>
      <c r="D612" t="n">
        <v>425.6</v>
      </c>
    </row>
    <row r="613">
      <c r="A613" s="87" t="n">
        <v>29843</v>
      </c>
      <c r="D613" t="n">
        <v>429</v>
      </c>
    </row>
    <row r="614">
      <c r="A614" s="87" t="n">
        <v>29850</v>
      </c>
      <c r="D614" t="n">
        <v>428.3</v>
      </c>
    </row>
    <row r="615">
      <c r="A615" s="87" t="n">
        <v>29857</v>
      </c>
      <c r="D615" t="n">
        <v>424.9</v>
      </c>
    </row>
    <row r="616">
      <c r="A616" s="87" t="n">
        <v>29860</v>
      </c>
      <c r="B616" t="n">
        <v>458.7</v>
      </c>
      <c r="C616" t="n">
        <v>1843.5</v>
      </c>
      <c r="E616" t="n">
        <v>1721.8</v>
      </c>
      <c r="F616" t="n">
        <v>1.888</v>
      </c>
    </row>
    <row r="617">
      <c r="A617" s="87" t="n">
        <v>29864</v>
      </c>
      <c r="D617" t="n">
        <v>427</v>
      </c>
    </row>
    <row r="618">
      <c r="A618" s="87" t="n">
        <v>29871</v>
      </c>
      <c r="D618" t="n">
        <v>428.3</v>
      </c>
    </row>
    <row r="619">
      <c r="A619" s="87" t="n">
        <v>29878</v>
      </c>
      <c r="D619" t="n">
        <v>428.9</v>
      </c>
    </row>
    <row r="620">
      <c r="A620" s="87" t="n">
        <v>29885</v>
      </c>
      <c r="D620" t="n">
        <v>428.9</v>
      </c>
    </row>
    <row r="621">
      <c r="A621" s="87" t="n">
        <v>29891</v>
      </c>
      <c r="B621" t="n">
        <v>459.8</v>
      </c>
      <c r="C621" t="n">
        <v>1850.9</v>
      </c>
      <c r="E621" t="n">
        <v>1736.1</v>
      </c>
    </row>
    <row r="622">
      <c r="A622" s="87" t="n">
        <v>29892</v>
      </c>
      <c r="D622" t="n">
        <v>428.3</v>
      </c>
    </row>
    <row r="623">
      <c r="A623" s="87" t="n">
        <v>29899</v>
      </c>
      <c r="D623" t="n">
        <v>430.6</v>
      </c>
    </row>
    <row r="624">
      <c r="A624" s="87" t="n">
        <v>29906</v>
      </c>
      <c r="D624" t="n">
        <v>431.4</v>
      </c>
    </row>
    <row r="625">
      <c r="A625" s="87" t="n">
        <v>29913</v>
      </c>
      <c r="D625" t="n">
        <v>430.4</v>
      </c>
    </row>
    <row r="626">
      <c r="A626" s="87" t="n">
        <v>29920</v>
      </c>
      <c r="D626" t="n">
        <v>433.5</v>
      </c>
    </row>
    <row r="627">
      <c r="A627" s="87" t="n">
        <v>29921</v>
      </c>
      <c r="B627" t="n">
        <v>464.1</v>
      </c>
      <c r="C627" t="n">
        <v>1865.6</v>
      </c>
      <c r="E627" t="n">
        <v>1755.5</v>
      </c>
    </row>
    <row r="628">
      <c r="A628" s="87" t="n">
        <v>29927</v>
      </c>
      <c r="D628" t="n">
        <v>436.2</v>
      </c>
    </row>
    <row r="629">
      <c r="A629" s="87" t="n">
        <v>29934</v>
      </c>
      <c r="D629" t="n">
        <v>435.1</v>
      </c>
    </row>
    <row r="630">
      <c r="A630" s="87" t="n">
        <v>29941</v>
      </c>
      <c r="D630" t="n">
        <v>437.2</v>
      </c>
    </row>
    <row r="631">
      <c r="A631" s="87" t="n">
        <v>29948</v>
      </c>
      <c r="D631" t="n">
        <v>436.7</v>
      </c>
    </row>
    <row r="632">
      <c r="A632" s="87" t="n">
        <v>29952</v>
      </c>
      <c r="B632" t="n">
        <v>469</v>
      </c>
      <c r="C632" t="n">
        <v>1875.4</v>
      </c>
      <c r="E632" t="n">
        <v>1770.4</v>
      </c>
      <c r="F632" t="n">
        <v>1.842</v>
      </c>
    </row>
    <row r="633">
      <c r="A633" s="87" t="n">
        <v>29955</v>
      </c>
      <c r="D633" t="n">
        <v>440.2</v>
      </c>
    </row>
    <row r="634">
      <c r="A634" s="87" t="n">
        <v>29962</v>
      </c>
      <c r="D634" t="n">
        <v>442.7</v>
      </c>
    </row>
    <row r="635">
      <c r="A635" s="87" t="n">
        <v>29969</v>
      </c>
      <c r="D635" t="n">
        <v>442.8</v>
      </c>
    </row>
    <row r="636">
      <c r="A636" s="87" t="n">
        <v>29976</v>
      </c>
      <c r="D636" t="n">
        <v>442.7</v>
      </c>
    </row>
    <row r="637">
      <c r="A637" s="87" t="n">
        <v>29983</v>
      </c>
      <c r="B637" t="n">
        <v>466.6</v>
      </c>
      <c r="C637" t="n">
        <v>1873.8</v>
      </c>
      <c r="D637" t="n">
        <v>444.2</v>
      </c>
      <c r="E637" t="n">
        <v>1774.5</v>
      </c>
    </row>
    <row r="638">
      <c r="A638" s="87" t="n">
        <v>29990</v>
      </c>
      <c r="D638" t="n">
        <v>441.3</v>
      </c>
    </row>
    <row r="639">
      <c r="A639" s="87" t="n">
        <v>29997</v>
      </c>
      <c r="D639" t="n">
        <v>442.3</v>
      </c>
    </row>
    <row r="640">
      <c r="A640" s="87" t="n">
        <v>30004</v>
      </c>
      <c r="D640" t="n">
        <v>441.6</v>
      </c>
    </row>
    <row r="641">
      <c r="A641" s="87" t="n">
        <v>30011</v>
      </c>
      <c r="B641" t="n">
        <v>467.5</v>
      </c>
      <c r="C641" t="n">
        <v>1886.5</v>
      </c>
      <c r="D641" t="n">
        <v>442.2</v>
      </c>
      <c r="E641" t="n">
        <v>1786.5</v>
      </c>
    </row>
    <row r="642">
      <c r="A642" s="87" t="n">
        <v>30018</v>
      </c>
      <c r="D642" t="n">
        <v>442.1</v>
      </c>
    </row>
    <row r="643">
      <c r="A643" s="87" t="n">
        <v>30025</v>
      </c>
      <c r="D643" t="n">
        <v>443.4</v>
      </c>
    </row>
    <row r="644">
      <c r="A644" s="87" t="n">
        <v>30032</v>
      </c>
      <c r="D644" t="n">
        <v>442.4</v>
      </c>
    </row>
    <row r="645">
      <c r="A645" s="87" t="n">
        <v>30039</v>
      </c>
      <c r="D645" t="n">
        <v>442.4</v>
      </c>
    </row>
    <row r="646">
      <c r="A646" s="87" t="n">
        <v>30042</v>
      </c>
      <c r="B646" t="n">
        <v>470.6</v>
      </c>
      <c r="C646" t="n">
        <v>1898.8</v>
      </c>
      <c r="E646" t="n">
        <v>1803.9</v>
      </c>
      <c r="F646" t="n">
        <v>1.836</v>
      </c>
    </row>
    <row r="647">
      <c r="A647" s="87" t="n">
        <v>30046</v>
      </c>
      <c r="D647" t="n">
        <v>445.2</v>
      </c>
    </row>
    <row r="648">
      <c r="A648" s="87" t="n">
        <v>30053</v>
      </c>
      <c r="D648" t="n">
        <v>447.6</v>
      </c>
    </row>
    <row r="649">
      <c r="A649" s="87" t="n">
        <v>30060</v>
      </c>
      <c r="D649" t="n">
        <v>448.5</v>
      </c>
    </row>
    <row r="650">
      <c r="A650" s="87" t="n">
        <v>30067</v>
      </c>
      <c r="D650" t="n">
        <v>447.7</v>
      </c>
    </row>
    <row r="651">
      <c r="A651" s="87" t="n">
        <v>30072</v>
      </c>
      <c r="B651" t="n">
        <v>465.8</v>
      </c>
      <c r="C651" t="n">
        <v>1893</v>
      </c>
      <c r="E651" t="n">
        <v>1815.4</v>
      </c>
    </row>
    <row r="652">
      <c r="A652" s="87" t="n">
        <v>30074</v>
      </c>
      <c r="D652" t="n">
        <v>445.3</v>
      </c>
    </row>
    <row r="653">
      <c r="A653" s="87" t="n">
        <v>30081</v>
      </c>
      <c r="D653" t="n">
        <v>447.2</v>
      </c>
    </row>
    <row r="654">
      <c r="A654" s="87" t="n">
        <v>30088</v>
      </c>
      <c r="D654" t="n">
        <v>445.9</v>
      </c>
    </row>
    <row r="655">
      <c r="A655" s="87" t="n">
        <v>30095</v>
      </c>
      <c r="D655" t="n">
        <v>447.1</v>
      </c>
    </row>
    <row r="656">
      <c r="A656" s="87" t="n">
        <v>30102</v>
      </c>
      <c r="D656" t="n">
        <v>447.4</v>
      </c>
    </row>
    <row r="657">
      <c r="A657" s="87" t="n">
        <v>30103</v>
      </c>
      <c r="B657" t="n">
        <v>461.3</v>
      </c>
      <c r="C657" t="n">
        <v>1882.5</v>
      </c>
      <c r="E657" t="n">
        <v>1826</v>
      </c>
    </row>
    <row r="658">
      <c r="A658" s="87" t="n">
        <v>30109</v>
      </c>
      <c r="D658" t="n">
        <v>448</v>
      </c>
    </row>
    <row r="659">
      <c r="A659" s="87" t="n">
        <v>30116</v>
      </c>
      <c r="D659" t="n">
        <v>449.1</v>
      </c>
    </row>
    <row r="660">
      <c r="A660" s="87" t="n">
        <v>30123</v>
      </c>
      <c r="D660" t="n">
        <v>448.3</v>
      </c>
    </row>
    <row r="661">
      <c r="A661" s="87" t="n">
        <v>30130</v>
      </c>
      <c r="D661" t="n">
        <v>445</v>
      </c>
    </row>
    <row r="662">
      <c r="A662" s="87" t="n">
        <v>30133</v>
      </c>
      <c r="B662" t="n">
        <v>459.5</v>
      </c>
      <c r="C662" t="n">
        <v>1878.5</v>
      </c>
      <c r="E662" t="n">
        <v>1831.5</v>
      </c>
      <c r="F662" t="n">
        <v>1.825</v>
      </c>
    </row>
    <row r="663">
      <c r="A663" s="87" t="n">
        <v>30137</v>
      </c>
      <c r="D663" t="n">
        <v>446.1</v>
      </c>
    </row>
    <row r="664">
      <c r="A664" s="87" t="n">
        <v>30144</v>
      </c>
      <c r="D664" t="n">
        <v>449</v>
      </c>
    </row>
    <row r="665">
      <c r="A665" s="87" t="n">
        <v>30151</v>
      </c>
      <c r="D665" t="n">
        <v>447.8</v>
      </c>
    </row>
    <row r="666">
      <c r="A666" s="87" t="n">
        <v>30158</v>
      </c>
      <c r="D666" t="n">
        <v>448.4</v>
      </c>
    </row>
    <row r="667">
      <c r="A667" s="87" t="n">
        <v>30164</v>
      </c>
      <c r="B667" t="n">
        <v>462</v>
      </c>
      <c r="C667" t="n">
        <v>1888.6</v>
      </c>
      <c r="E667" t="n">
        <v>1845.2</v>
      </c>
    </row>
    <row r="668">
      <c r="A668" s="87" t="n">
        <v>30165</v>
      </c>
      <c r="D668" t="n">
        <v>448.5</v>
      </c>
    </row>
    <row r="669">
      <c r="A669" s="87" t="n">
        <v>30172</v>
      </c>
      <c r="D669" t="n">
        <v>449.6</v>
      </c>
    </row>
    <row r="670">
      <c r="A670" s="87" t="n">
        <v>30179</v>
      </c>
      <c r="D670" t="n">
        <v>451.2</v>
      </c>
    </row>
    <row r="671">
      <c r="A671" s="87" t="n">
        <v>30186</v>
      </c>
      <c r="D671" t="n">
        <v>452.3</v>
      </c>
    </row>
    <row r="672">
      <c r="A672" s="87" t="n">
        <v>30193</v>
      </c>
      <c r="D672" t="n">
        <v>453.1</v>
      </c>
    </row>
    <row r="673">
      <c r="A673" s="87" t="n">
        <v>30195</v>
      </c>
      <c r="B673" t="n">
        <v>467.7</v>
      </c>
      <c r="C673" t="n">
        <v>1902.1</v>
      </c>
      <c r="E673" t="n">
        <v>1858.4</v>
      </c>
    </row>
    <row r="674">
      <c r="A674" s="87" t="n">
        <v>30200</v>
      </c>
      <c r="D674" t="n">
        <v>454.5</v>
      </c>
    </row>
    <row r="675">
      <c r="A675" s="87" t="n">
        <v>30207</v>
      </c>
      <c r="D675" t="n">
        <v>456.6</v>
      </c>
    </row>
    <row r="676">
      <c r="A676" s="87" t="n">
        <v>30214</v>
      </c>
      <c r="D676" t="n">
        <v>458.2</v>
      </c>
    </row>
    <row r="677">
      <c r="A677" s="87" t="n">
        <v>30221</v>
      </c>
      <c r="D677" t="n">
        <v>456.6</v>
      </c>
    </row>
    <row r="678">
      <c r="A678" s="87" t="n">
        <v>30225</v>
      </c>
      <c r="B678" t="n">
        <v>473.5</v>
      </c>
      <c r="C678" t="n">
        <v>1905.9</v>
      </c>
      <c r="E678" t="n">
        <v>1869.7</v>
      </c>
      <c r="F678" t="n">
        <v>1.804</v>
      </c>
    </row>
    <row r="679">
      <c r="A679" s="87" t="n">
        <v>30228</v>
      </c>
      <c r="D679" t="n">
        <v>460</v>
      </c>
    </row>
    <row r="680">
      <c r="A680" s="87" t="n">
        <v>30235</v>
      </c>
      <c r="D680" t="n">
        <v>463.3</v>
      </c>
    </row>
    <row r="681">
      <c r="A681" s="87" t="n">
        <v>30242</v>
      </c>
      <c r="D681" t="n">
        <v>463.9</v>
      </c>
    </row>
    <row r="682">
      <c r="A682" s="87" t="n">
        <v>30249</v>
      </c>
      <c r="D682" t="n">
        <v>465.5</v>
      </c>
    </row>
    <row r="683">
      <c r="A683" s="87" t="n">
        <v>30256</v>
      </c>
      <c r="B683" t="n">
        <v>481.1</v>
      </c>
      <c r="C683" t="n">
        <v>1922.1</v>
      </c>
      <c r="D683" t="n">
        <v>468.7</v>
      </c>
      <c r="E683" t="n">
        <v>1883.7</v>
      </c>
    </row>
    <row r="684">
      <c r="A684" s="87" t="n">
        <v>30263</v>
      </c>
      <c r="D684" t="n">
        <v>470.4</v>
      </c>
    </row>
    <row r="685">
      <c r="A685" s="87" t="n">
        <v>30270</v>
      </c>
      <c r="D685" t="n">
        <v>472.1</v>
      </c>
    </row>
    <row r="686">
      <c r="A686" s="87" t="n">
        <v>30277</v>
      </c>
      <c r="D686" t="n">
        <v>471.9</v>
      </c>
    </row>
    <row r="687">
      <c r="A687" s="87" t="n">
        <v>30284</v>
      </c>
      <c r="D687" t="n">
        <v>471.5</v>
      </c>
    </row>
    <row r="688">
      <c r="A688" s="87" t="n">
        <v>30286</v>
      </c>
      <c r="B688" t="n">
        <v>486</v>
      </c>
      <c r="C688" t="n">
        <v>1950.8</v>
      </c>
      <c r="E688" t="n">
        <v>1905.9</v>
      </c>
    </row>
    <row r="689">
      <c r="A689" s="87" t="n">
        <v>30291</v>
      </c>
      <c r="D689" t="n">
        <v>474.2</v>
      </c>
    </row>
    <row r="690">
      <c r="A690" s="87" t="n">
        <v>30298</v>
      </c>
      <c r="D690" t="n">
        <v>477.1</v>
      </c>
    </row>
    <row r="691">
      <c r="A691" s="87" t="n">
        <v>30305</v>
      </c>
      <c r="D691" t="n">
        <v>475.2</v>
      </c>
    </row>
    <row r="692">
      <c r="A692" s="87" t="n">
        <v>30312</v>
      </c>
      <c r="D692" t="n">
        <v>473.9</v>
      </c>
    </row>
    <row r="693">
      <c r="A693" s="87" t="n">
        <v>30317</v>
      </c>
      <c r="B693" t="n">
        <v>487.4</v>
      </c>
      <c r="C693" t="n">
        <v>2001.4</v>
      </c>
      <c r="E693" t="n">
        <v>1959.4</v>
      </c>
      <c r="F693" t="n">
        <v>1.745</v>
      </c>
    </row>
    <row r="694">
      <c r="A694" s="87" t="n">
        <v>30319</v>
      </c>
      <c r="D694" t="n">
        <v>472.6</v>
      </c>
    </row>
    <row r="695">
      <c r="A695" s="87" t="n">
        <v>30326</v>
      </c>
      <c r="D695" t="n">
        <v>475.3</v>
      </c>
    </row>
    <row r="696">
      <c r="A696" s="87" t="n">
        <v>30333</v>
      </c>
      <c r="D696" t="n">
        <v>477.2</v>
      </c>
    </row>
    <row r="697">
      <c r="A697" s="87" t="n">
        <v>30340</v>
      </c>
      <c r="D697" t="n">
        <v>478.4</v>
      </c>
    </row>
    <row r="698">
      <c r="A698" s="87" t="n">
        <v>30347</v>
      </c>
      <c r="D698" t="n">
        <v>479.7</v>
      </c>
    </row>
    <row r="699">
      <c r="A699" s="87" t="n">
        <v>30348</v>
      </c>
      <c r="B699" t="n">
        <v>494.2</v>
      </c>
      <c r="C699" t="n">
        <v>2037.6</v>
      </c>
      <c r="E699" t="n">
        <v>1996.8</v>
      </c>
    </row>
    <row r="700">
      <c r="A700" s="87" t="n">
        <v>30354</v>
      </c>
      <c r="D700" t="n">
        <v>482.3</v>
      </c>
    </row>
    <row r="701">
      <c r="A701" s="87" t="n">
        <v>30361</v>
      </c>
      <c r="D701" t="n">
        <v>483.4</v>
      </c>
    </row>
    <row r="702">
      <c r="A702" s="87" t="n">
        <v>30368</v>
      </c>
      <c r="D702" t="n">
        <v>483.9</v>
      </c>
    </row>
    <row r="703">
      <c r="A703" s="87" t="n">
        <v>30375</v>
      </c>
      <c r="D703" t="n">
        <v>487.5</v>
      </c>
    </row>
    <row r="704">
      <c r="A704" s="87" t="n">
        <v>30376</v>
      </c>
      <c r="B704" t="n">
        <v>500.1</v>
      </c>
      <c r="C704" t="n">
        <v>2054.2</v>
      </c>
      <c r="E704" t="n">
        <v>2015.2</v>
      </c>
    </row>
    <row r="705">
      <c r="A705" s="87" t="n">
        <v>30382</v>
      </c>
      <c r="D705" t="n">
        <v>489.6</v>
      </c>
    </row>
    <row r="706">
      <c r="A706" s="87" t="n">
        <v>30389</v>
      </c>
      <c r="D706" t="n">
        <v>489.6</v>
      </c>
    </row>
    <row r="707">
      <c r="A707" s="87" t="n">
        <v>30396</v>
      </c>
      <c r="D707" t="n">
        <v>490.9</v>
      </c>
    </row>
    <row r="708">
      <c r="A708" s="87" t="n">
        <v>30403</v>
      </c>
      <c r="D708" t="n">
        <v>491</v>
      </c>
    </row>
    <row r="709">
      <c r="A709" s="87" t="n">
        <v>30407</v>
      </c>
      <c r="B709" t="n">
        <v>499.2</v>
      </c>
      <c r="C709" t="n">
        <v>2053.2</v>
      </c>
      <c r="E709" t="n">
        <v>2028.6</v>
      </c>
      <c r="F709" t="n">
        <v>1.753</v>
      </c>
    </row>
    <row r="710">
      <c r="A710" s="87" t="n">
        <v>30410</v>
      </c>
      <c r="D710" t="n">
        <v>493.4</v>
      </c>
    </row>
    <row r="711">
      <c r="A711" s="87" t="n">
        <v>30417</v>
      </c>
      <c r="D711" t="n">
        <v>493.7</v>
      </c>
    </row>
    <row r="712">
      <c r="A712" s="87" t="n">
        <v>30424</v>
      </c>
      <c r="D712" t="n">
        <v>491.2</v>
      </c>
    </row>
    <row r="713">
      <c r="A713" s="87" t="n">
        <v>30431</v>
      </c>
      <c r="D713" t="n">
        <v>492.5</v>
      </c>
    </row>
    <row r="714">
      <c r="A714" s="87" t="n">
        <v>30437</v>
      </c>
      <c r="B714" t="n">
        <v>504</v>
      </c>
      <c r="C714" t="n">
        <v>2059.6</v>
      </c>
      <c r="E714" t="n">
        <v>2043.1</v>
      </c>
    </row>
    <row r="715">
      <c r="A715" s="87" t="n">
        <v>30438</v>
      </c>
      <c r="D715" t="n">
        <v>496</v>
      </c>
    </row>
    <row r="716">
      <c r="A716" s="87" t="n">
        <v>30445</v>
      </c>
      <c r="D716" t="n">
        <v>497.5</v>
      </c>
    </row>
    <row r="717">
      <c r="A717" s="87" t="n">
        <v>30452</v>
      </c>
      <c r="D717" t="n">
        <v>501.3</v>
      </c>
    </row>
    <row r="718">
      <c r="A718" s="87" t="n">
        <v>30459</v>
      </c>
      <c r="D718" t="n">
        <v>500.9</v>
      </c>
    </row>
    <row r="719">
      <c r="A719" s="87" t="n">
        <v>30466</v>
      </c>
      <c r="D719" t="n">
        <v>501</v>
      </c>
    </row>
    <row r="720">
      <c r="A720" s="87" t="n">
        <v>30468</v>
      </c>
      <c r="B720" t="n">
        <v>507</v>
      </c>
      <c r="C720" t="n">
        <v>2065.9</v>
      </c>
      <c r="E720" t="n">
        <v>2053.5</v>
      </c>
    </row>
    <row r="721">
      <c r="A721" s="87" t="n">
        <v>30473</v>
      </c>
      <c r="D721" t="n">
        <v>502.6</v>
      </c>
    </row>
    <row r="722">
      <c r="A722" s="87" t="n">
        <v>30480</v>
      </c>
      <c r="D722" t="n">
        <v>504.2</v>
      </c>
    </row>
    <row r="723">
      <c r="A723" s="87" t="n">
        <v>30487</v>
      </c>
      <c r="D723" t="n">
        <v>504.4</v>
      </c>
    </row>
    <row r="724">
      <c r="A724" s="87" t="n">
        <v>30494</v>
      </c>
      <c r="D724" t="n">
        <v>503.9</v>
      </c>
    </row>
    <row r="725">
      <c r="A725" s="87" t="n">
        <v>30498</v>
      </c>
      <c r="B725" t="n">
        <v>508.8</v>
      </c>
      <c r="C725" t="n">
        <v>2068.9</v>
      </c>
      <c r="E725" t="n">
        <v>2064.8</v>
      </c>
      <c r="F725" t="n">
        <v>1.779</v>
      </c>
    </row>
    <row r="726">
      <c r="A726" s="87" t="n">
        <v>30501</v>
      </c>
      <c r="D726" t="n">
        <v>505.1</v>
      </c>
    </row>
    <row r="727">
      <c r="A727" s="87" t="n">
        <v>30508</v>
      </c>
      <c r="D727" t="n">
        <v>508.2</v>
      </c>
    </row>
    <row r="728">
      <c r="A728" s="87" t="n">
        <v>30515</v>
      </c>
      <c r="D728" t="n">
        <v>506.8</v>
      </c>
    </row>
    <row r="729">
      <c r="A729" s="87" t="n">
        <v>30522</v>
      </c>
      <c r="D729" t="n">
        <v>508.2</v>
      </c>
    </row>
    <row r="730">
      <c r="A730" s="87" t="n">
        <v>30529</v>
      </c>
      <c r="B730" t="n">
        <v>510</v>
      </c>
      <c r="C730" t="n">
        <v>2071.9</v>
      </c>
      <c r="D730" t="n">
        <v>510.1</v>
      </c>
      <c r="E730" t="n">
        <v>2074</v>
      </c>
    </row>
    <row r="731">
      <c r="A731" s="87" t="n">
        <v>30536</v>
      </c>
      <c r="D731" t="n">
        <v>509.1</v>
      </c>
    </row>
    <row r="732">
      <c r="A732" s="87" t="n">
        <v>30543</v>
      </c>
      <c r="D732" t="n">
        <v>510.8</v>
      </c>
    </row>
    <row r="733">
      <c r="A733" s="87" t="n">
        <v>30550</v>
      </c>
      <c r="D733" t="n">
        <v>510.9</v>
      </c>
    </row>
    <row r="734">
      <c r="A734" s="87" t="n">
        <v>30557</v>
      </c>
      <c r="D734" t="n">
        <v>510.6</v>
      </c>
    </row>
    <row r="735">
      <c r="A735" s="87" t="n">
        <v>30560</v>
      </c>
      <c r="B735" t="n">
        <v>510.8</v>
      </c>
      <c r="C735" t="n">
        <v>2074.9</v>
      </c>
      <c r="E735" t="n">
        <v>2083.2</v>
      </c>
    </row>
    <row r="736">
      <c r="A736" s="87" t="n">
        <v>30564</v>
      </c>
      <c r="D736" t="n">
        <v>512.3</v>
      </c>
    </row>
    <row r="737">
      <c r="A737" s="87" t="n">
        <v>30571</v>
      </c>
      <c r="D737" t="n">
        <v>511.8</v>
      </c>
    </row>
    <row r="738">
      <c r="A738" s="87" t="n">
        <v>30578</v>
      </c>
      <c r="D738" t="n">
        <v>512.3</v>
      </c>
    </row>
    <row r="739">
      <c r="A739" s="87" t="n">
        <v>30585</v>
      </c>
      <c r="D739" t="n">
        <v>514</v>
      </c>
    </row>
    <row r="740">
      <c r="A740" s="87" t="n">
        <v>30590</v>
      </c>
      <c r="B740" t="n">
        <v>513.1</v>
      </c>
      <c r="C740" t="n">
        <v>2082.5</v>
      </c>
      <c r="E740" t="n">
        <v>2099.2</v>
      </c>
      <c r="F740" t="n">
        <v>1.797</v>
      </c>
    </row>
    <row r="741">
      <c r="A741" s="87" t="n">
        <v>30592</v>
      </c>
      <c r="D741" t="n">
        <v>513.8</v>
      </c>
    </row>
    <row r="742">
      <c r="A742" s="87" t="n">
        <v>30599</v>
      </c>
      <c r="D742" t="n">
        <v>517.3</v>
      </c>
    </row>
    <row r="743">
      <c r="A743" s="87" t="n">
        <v>30606</v>
      </c>
      <c r="D743" t="n">
        <v>517.7</v>
      </c>
    </row>
    <row r="744">
      <c r="A744" s="87" t="n">
        <v>30613</v>
      </c>
      <c r="D744" t="n">
        <v>518.5</v>
      </c>
    </row>
    <row r="745">
      <c r="A745" s="87" t="n">
        <v>30620</v>
      </c>
      <c r="D745" t="n">
        <v>518.4</v>
      </c>
    </row>
    <row r="746">
      <c r="A746" s="87" t="n">
        <v>30621</v>
      </c>
      <c r="B746" t="n">
        <v>513.4</v>
      </c>
      <c r="C746" t="n">
        <v>2089.3</v>
      </c>
      <c r="E746" t="n">
        <v>2112.3</v>
      </c>
    </row>
    <row r="747">
      <c r="A747" s="87" t="n">
        <v>30627</v>
      </c>
      <c r="D747" t="n">
        <v>518.9</v>
      </c>
    </row>
    <row r="748">
      <c r="A748" s="87" t="n">
        <v>30634</v>
      </c>
      <c r="D748" t="n">
        <v>519.1</v>
      </c>
    </row>
    <row r="749">
      <c r="A749" s="87" t="n">
        <v>30641</v>
      </c>
      <c r="D749" t="n">
        <v>518.8</v>
      </c>
    </row>
    <row r="750">
      <c r="A750" s="87" t="n">
        <v>30648</v>
      </c>
      <c r="D750" t="n">
        <v>518.6</v>
      </c>
    </row>
    <row r="751">
      <c r="A751" s="87" t="n">
        <v>30651</v>
      </c>
      <c r="B751" t="n">
        <v>514.2</v>
      </c>
      <c r="C751" t="n">
        <v>2094.2</v>
      </c>
      <c r="E751" t="n">
        <v>2123.5</v>
      </c>
    </row>
    <row r="752">
      <c r="A752" s="87" t="n">
        <v>30655</v>
      </c>
      <c r="D752" t="n">
        <v>520.4</v>
      </c>
    </row>
    <row r="753">
      <c r="A753" s="87" t="n">
        <v>30662</v>
      </c>
      <c r="D753" t="n">
        <v>521.6</v>
      </c>
    </row>
    <row r="754">
      <c r="A754" s="87" t="n">
        <v>30669</v>
      </c>
      <c r="D754" t="n">
        <v>522.2</v>
      </c>
    </row>
    <row r="755">
      <c r="A755" s="87" t="n">
        <v>30676</v>
      </c>
      <c r="D755" t="n">
        <v>520.6</v>
      </c>
    </row>
    <row r="756">
      <c r="A756" s="87" t="n">
        <v>30682</v>
      </c>
      <c r="B756" t="n">
        <v>514.3</v>
      </c>
      <c r="C756" t="n">
        <v>2094.2</v>
      </c>
      <c r="E756" t="n">
        <v>2138.2</v>
      </c>
      <c r="F756" t="n">
        <v>1.812</v>
      </c>
    </row>
    <row r="757">
      <c r="A757" s="87" t="n">
        <v>30683</v>
      </c>
      <c r="D757" t="n">
        <v>522.2</v>
      </c>
    </row>
    <row r="758">
      <c r="A758" s="87" t="n">
        <v>30690</v>
      </c>
      <c r="D758" t="n">
        <v>525.3</v>
      </c>
    </row>
    <row r="759">
      <c r="A759" s="87" t="n">
        <v>30697</v>
      </c>
      <c r="D759" t="n">
        <v>526.3</v>
      </c>
    </row>
    <row r="760">
      <c r="A760" s="87" t="n">
        <v>30704</v>
      </c>
      <c r="D760" t="n">
        <v>525</v>
      </c>
    </row>
    <row r="761">
      <c r="A761" s="87" t="n">
        <v>30711</v>
      </c>
      <c r="D761" t="n">
        <v>524.2</v>
      </c>
    </row>
    <row r="762">
      <c r="A762" s="87" t="n">
        <v>30713</v>
      </c>
      <c r="B762" t="n">
        <v>514.1</v>
      </c>
      <c r="C762" t="n">
        <v>2103.5</v>
      </c>
      <c r="E762" t="n">
        <v>2158.2</v>
      </c>
    </row>
    <row r="763">
      <c r="A763" s="87" t="n">
        <v>30718</v>
      </c>
      <c r="D763" t="n">
        <v>526.6</v>
      </c>
    </row>
    <row r="764">
      <c r="A764" s="87" t="n">
        <v>30725</v>
      </c>
      <c r="D764" t="n">
        <v>527.1</v>
      </c>
    </row>
    <row r="765">
      <c r="A765" s="87" t="n">
        <v>30732</v>
      </c>
      <c r="D765" t="n">
        <v>528.5</v>
      </c>
    </row>
    <row r="766">
      <c r="A766" s="87" t="n">
        <v>30739</v>
      </c>
      <c r="D766" t="n">
        <v>527.4</v>
      </c>
    </row>
    <row r="767">
      <c r="A767" s="87" t="n">
        <v>30742</v>
      </c>
      <c r="B767" t="n">
        <v>516.4</v>
      </c>
      <c r="C767" t="n">
        <v>2113.9</v>
      </c>
      <c r="E767" t="n">
        <v>2175.2</v>
      </c>
    </row>
    <row r="768">
      <c r="A768" s="87" t="n">
        <v>30746</v>
      </c>
      <c r="D768" t="n">
        <v>529.4</v>
      </c>
    </row>
    <row r="769">
      <c r="A769" s="87" t="n">
        <v>30753</v>
      </c>
      <c r="D769" t="n">
        <v>530</v>
      </c>
    </row>
    <row r="770">
      <c r="A770" s="87" t="n">
        <v>30760</v>
      </c>
      <c r="D770" t="n">
        <v>531.4</v>
      </c>
    </row>
    <row r="771">
      <c r="A771" s="87" t="n">
        <v>30767</v>
      </c>
      <c r="D771" t="n">
        <v>533.3</v>
      </c>
    </row>
    <row r="772">
      <c r="A772" s="87" t="n">
        <v>30773</v>
      </c>
      <c r="B772" t="n">
        <v>517.9</v>
      </c>
      <c r="C772" t="n">
        <v>2121.7</v>
      </c>
      <c r="E772" t="n">
        <v>2191.7</v>
      </c>
      <c r="F772" t="n">
        <v>1.82</v>
      </c>
    </row>
    <row r="773">
      <c r="A773" s="87" t="n">
        <v>30774</v>
      </c>
      <c r="D773" t="n">
        <v>531.8</v>
      </c>
    </row>
    <row r="774">
      <c r="A774" s="87" t="n">
        <v>30781</v>
      </c>
      <c r="D774" t="n">
        <v>533.8</v>
      </c>
    </row>
    <row r="775">
      <c r="A775" s="87" t="n">
        <v>30788</v>
      </c>
      <c r="D775" t="n">
        <v>535.5</v>
      </c>
    </row>
    <row r="776">
      <c r="A776" s="87" t="n">
        <v>30795</v>
      </c>
      <c r="D776" t="n">
        <v>534.7</v>
      </c>
    </row>
    <row r="777">
      <c r="A777" s="87" t="n">
        <v>30802</v>
      </c>
      <c r="D777" t="n">
        <v>534.5</v>
      </c>
    </row>
    <row r="778">
      <c r="A778" s="87" t="n">
        <v>30803</v>
      </c>
      <c r="B778" t="n">
        <v>518.6</v>
      </c>
      <c r="C778" t="n">
        <v>2129.6</v>
      </c>
      <c r="E778" t="n">
        <v>2204.1</v>
      </c>
    </row>
    <row r="779">
      <c r="A779" s="87" t="n">
        <v>30809</v>
      </c>
      <c r="D779" t="n">
        <v>535.4</v>
      </c>
    </row>
    <row r="780">
      <c r="A780" s="87" t="n">
        <v>30816</v>
      </c>
      <c r="D780" t="n">
        <v>537.4</v>
      </c>
    </row>
    <row r="781">
      <c r="A781" s="87" t="n">
        <v>30823</v>
      </c>
      <c r="D781" t="n">
        <v>537.1</v>
      </c>
    </row>
    <row r="782">
      <c r="A782" s="87" t="n">
        <v>30830</v>
      </c>
      <c r="D782" t="n">
        <v>536.2</v>
      </c>
    </row>
    <row r="783">
      <c r="A783" s="87" t="n">
        <v>30834</v>
      </c>
      <c r="B783" t="n">
        <v>520.9</v>
      </c>
      <c r="C783" t="n">
        <v>2136.1</v>
      </c>
      <c r="E783" t="n">
        <v>2215.1</v>
      </c>
    </row>
    <row r="784">
      <c r="A784" s="87" t="n">
        <v>30837</v>
      </c>
      <c r="D784" t="n">
        <v>539.6</v>
      </c>
    </row>
    <row r="785">
      <c r="A785" s="87" t="n">
        <v>30844</v>
      </c>
      <c r="D785" t="n">
        <v>540.2</v>
      </c>
    </row>
    <row r="786">
      <c r="A786" s="87" t="n">
        <v>30851</v>
      </c>
      <c r="D786" t="n">
        <v>539.3</v>
      </c>
    </row>
    <row r="787">
      <c r="A787" s="87" t="n">
        <v>30858</v>
      </c>
      <c r="D787" t="n">
        <v>540.3</v>
      </c>
    </row>
    <row r="788">
      <c r="A788" s="87" t="n">
        <v>30864</v>
      </c>
      <c r="B788" t="n">
        <v>519.6</v>
      </c>
      <c r="C788" t="n">
        <v>2135.9</v>
      </c>
      <c r="E788" t="n">
        <v>2223.5</v>
      </c>
      <c r="F788" t="n">
        <v>1.829</v>
      </c>
    </row>
    <row r="789">
      <c r="A789" s="87" t="n">
        <v>30865</v>
      </c>
      <c r="D789" t="n">
        <v>541.1</v>
      </c>
    </row>
    <row r="790">
      <c r="A790" s="87" t="n">
        <v>30872</v>
      </c>
      <c r="D790" t="n">
        <v>539.9</v>
      </c>
    </row>
    <row r="791">
      <c r="A791" s="87" t="n">
        <v>30879</v>
      </c>
      <c r="D791" t="n">
        <v>542.2</v>
      </c>
    </row>
    <row r="792">
      <c r="A792" s="87" t="n">
        <v>30886</v>
      </c>
      <c r="D792" t="n">
        <v>541.3</v>
      </c>
    </row>
    <row r="793">
      <c r="A793" s="87" t="n">
        <v>30893</v>
      </c>
      <c r="D793" t="n">
        <v>539.7</v>
      </c>
    </row>
    <row r="794">
      <c r="A794" s="87" t="n">
        <v>30895</v>
      </c>
      <c r="B794" t="n">
        <v>518.2</v>
      </c>
      <c r="C794" t="n">
        <v>2136.4</v>
      </c>
      <c r="E794" t="n">
        <v>2230.4</v>
      </c>
    </row>
    <row r="795">
      <c r="A795" s="87" t="n">
        <v>30900</v>
      </c>
      <c r="D795" t="n">
        <v>540.5</v>
      </c>
    </row>
    <row r="796">
      <c r="A796" s="87" t="n">
        <v>30907</v>
      </c>
      <c r="D796" t="n">
        <v>541.2</v>
      </c>
    </row>
    <row r="797">
      <c r="A797" s="87" t="n">
        <v>30914</v>
      </c>
      <c r="D797" t="n">
        <v>541.3</v>
      </c>
    </row>
    <row r="798">
      <c r="A798" s="87" t="n">
        <v>30921</v>
      </c>
      <c r="D798" t="n">
        <v>540.7</v>
      </c>
    </row>
    <row r="799">
      <c r="A799" s="87" t="n">
        <v>30926</v>
      </c>
      <c r="B799" t="n">
        <v>518.7</v>
      </c>
      <c r="C799" t="n">
        <v>2143.6</v>
      </c>
      <c r="E799" t="n">
        <v>2244.4</v>
      </c>
    </row>
    <row r="800">
      <c r="A800" s="87" t="n">
        <v>30928</v>
      </c>
      <c r="D800" t="n">
        <v>541.7</v>
      </c>
    </row>
    <row r="801">
      <c r="A801" s="87" t="n">
        <v>30935</v>
      </c>
      <c r="D801" t="n">
        <v>543.4</v>
      </c>
    </row>
    <row r="802">
      <c r="A802" s="87" t="n">
        <v>30942</v>
      </c>
      <c r="D802" t="n">
        <v>542.8</v>
      </c>
    </row>
    <row r="803">
      <c r="A803" s="87" t="n">
        <v>30949</v>
      </c>
      <c r="D803" t="n">
        <v>542.8</v>
      </c>
    </row>
    <row r="804">
      <c r="A804" s="87" t="n">
        <v>30956</v>
      </c>
      <c r="B804" t="n">
        <v>517.3</v>
      </c>
      <c r="C804" t="n">
        <v>2149.3</v>
      </c>
      <c r="D804" t="n">
        <v>544.9</v>
      </c>
      <c r="E804" t="n">
        <v>2258.9</v>
      </c>
      <c r="F804" t="n">
        <v>1.818</v>
      </c>
    </row>
    <row r="805">
      <c r="A805" s="87" t="n">
        <v>30963</v>
      </c>
      <c r="D805" t="n">
        <v>542.2</v>
      </c>
    </row>
    <row r="806">
      <c r="A806" s="87" t="n">
        <v>30970</v>
      </c>
      <c r="D806" t="n">
        <v>545.7</v>
      </c>
    </row>
    <row r="807">
      <c r="A807" s="87" t="n">
        <v>30977</v>
      </c>
      <c r="D807" t="n">
        <v>542.1</v>
      </c>
    </row>
    <row r="808">
      <c r="A808" s="87" t="n">
        <v>30984</v>
      </c>
      <c r="D808" t="n">
        <v>544.4</v>
      </c>
    </row>
    <row r="809">
      <c r="A809" s="87" t="n">
        <v>30987</v>
      </c>
      <c r="B809" t="n">
        <v>519.9</v>
      </c>
      <c r="C809" t="n">
        <v>2166.6</v>
      </c>
      <c r="E809" t="n">
        <v>2281.4</v>
      </c>
    </row>
    <row r="810">
      <c r="A810" s="87" t="n">
        <v>30991</v>
      </c>
      <c r="D810" t="n">
        <v>546.4</v>
      </c>
    </row>
    <row r="811">
      <c r="A811" s="87" t="n">
        <v>30998</v>
      </c>
      <c r="D811" t="n">
        <v>546.7</v>
      </c>
    </row>
    <row r="812">
      <c r="A812" s="87" t="n">
        <v>31005</v>
      </c>
      <c r="D812" t="n">
        <v>549.7</v>
      </c>
    </row>
    <row r="813">
      <c r="A813" s="87" t="n">
        <v>31012</v>
      </c>
      <c r="D813" t="n">
        <v>549.1</v>
      </c>
    </row>
    <row r="814">
      <c r="A814" s="87" t="n">
        <v>31017</v>
      </c>
      <c r="B814" t="n">
        <v>522.8</v>
      </c>
      <c r="C814" t="n">
        <v>2186.2</v>
      </c>
      <c r="E814" t="n">
        <v>2306.4</v>
      </c>
    </row>
    <row r="815">
      <c r="A815" s="87" t="n">
        <v>31019</v>
      </c>
      <c r="D815" t="n">
        <v>545.1</v>
      </c>
    </row>
    <row r="816">
      <c r="A816" s="87" t="n">
        <v>31026</v>
      </c>
      <c r="D816" t="n">
        <v>549.6</v>
      </c>
    </row>
    <row r="817">
      <c r="A817" s="87" t="n">
        <v>31033</v>
      </c>
      <c r="D817" t="n">
        <v>550.6</v>
      </c>
    </row>
    <row r="818">
      <c r="A818" s="87" t="n">
        <v>31040</v>
      </c>
      <c r="D818" t="n">
        <v>554</v>
      </c>
    </row>
    <row r="819">
      <c r="A819" s="87" t="n">
        <v>31047</v>
      </c>
      <c r="D819" t="n">
        <v>555.9</v>
      </c>
    </row>
    <row r="820">
      <c r="A820" s="87" t="n">
        <v>31048</v>
      </c>
      <c r="B820" t="n">
        <v>527</v>
      </c>
      <c r="C820" t="n">
        <v>2206.6</v>
      </c>
      <c r="E820" t="n">
        <v>2332.4</v>
      </c>
      <c r="F820" t="n">
        <v>1.799</v>
      </c>
    </row>
    <row r="821">
      <c r="A821" s="87" t="n">
        <v>31054</v>
      </c>
      <c r="D821" t="n">
        <v>554</v>
      </c>
    </row>
    <row r="822">
      <c r="A822" s="87" t="n">
        <v>31061</v>
      </c>
      <c r="D822" t="n">
        <v>555.6</v>
      </c>
    </row>
    <row r="823">
      <c r="A823" s="87" t="n">
        <v>31068</v>
      </c>
      <c r="D823" t="n">
        <v>557.5</v>
      </c>
    </row>
    <row r="824">
      <c r="A824" s="87" t="n">
        <v>31075</v>
      </c>
      <c r="D824" t="n">
        <v>558.8</v>
      </c>
    </row>
    <row r="825">
      <c r="A825" s="87" t="n">
        <v>31079</v>
      </c>
      <c r="B825" t="n">
        <v>530.2</v>
      </c>
      <c r="C825" t="n">
        <v>2214.6</v>
      </c>
      <c r="E825" t="n">
        <v>2354.1</v>
      </c>
    </row>
    <row r="826">
      <c r="A826" s="87" t="n">
        <v>31082</v>
      </c>
      <c r="D826" t="n">
        <v>561.4</v>
      </c>
    </row>
    <row r="827">
      <c r="A827" s="87" t="n">
        <v>31089</v>
      </c>
      <c r="D827" t="n">
        <v>562.4</v>
      </c>
    </row>
    <row r="828">
      <c r="A828" s="87" t="n">
        <v>31096</v>
      </c>
      <c r="D828" t="n">
        <v>563.7</v>
      </c>
    </row>
    <row r="829">
      <c r="A829" s="87" t="n">
        <v>31103</v>
      </c>
      <c r="D829" t="n">
        <v>564.9</v>
      </c>
    </row>
    <row r="830">
      <c r="A830" s="87" t="n">
        <v>31107</v>
      </c>
      <c r="B830" t="n">
        <v>530.5</v>
      </c>
      <c r="C830" t="n">
        <v>2215.5</v>
      </c>
      <c r="E830" t="n">
        <v>2366.2</v>
      </c>
    </row>
    <row r="831">
      <c r="A831" s="87" t="n">
        <v>31110</v>
      </c>
      <c r="D831" t="n">
        <v>565.7</v>
      </c>
    </row>
    <row r="832">
      <c r="A832" s="87" t="n">
        <v>31117</v>
      </c>
      <c r="D832" t="n">
        <v>565.6</v>
      </c>
    </row>
    <row r="833">
      <c r="A833" s="87" t="n">
        <v>31124</v>
      </c>
      <c r="D833" t="n">
        <v>565.1</v>
      </c>
    </row>
    <row r="834">
      <c r="A834" s="87" t="n">
        <v>31131</v>
      </c>
      <c r="D834" t="n">
        <v>567.6</v>
      </c>
    </row>
    <row r="835">
      <c r="A835" s="87" t="n">
        <v>31138</v>
      </c>
      <c r="B835" t="n">
        <v>533.1</v>
      </c>
      <c r="C835" t="n">
        <v>2220</v>
      </c>
      <c r="D835" t="n">
        <v>568.9</v>
      </c>
      <c r="E835" t="n">
        <v>2375.4</v>
      </c>
      <c r="F835" t="n">
        <v>1.795</v>
      </c>
    </row>
    <row r="836">
      <c r="A836" s="87" t="n">
        <v>31145</v>
      </c>
      <c r="D836" t="n">
        <v>567.8</v>
      </c>
    </row>
    <row r="837">
      <c r="A837" s="87" t="n">
        <v>31152</v>
      </c>
      <c r="D837" t="n">
        <v>571.2</v>
      </c>
    </row>
    <row r="838">
      <c r="A838" s="87" t="n">
        <v>31159</v>
      </c>
      <c r="D838" t="n">
        <v>572.1</v>
      </c>
    </row>
    <row r="839">
      <c r="A839" s="87" t="n">
        <v>31166</v>
      </c>
      <c r="D839" t="n">
        <v>570.4</v>
      </c>
    </row>
    <row r="840">
      <c r="A840" s="87" t="n">
        <v>31168</v>
      </c>
      <c r="B840" t="n">
        <v>536.5</v>
      </c>
      <c r="C840" t="n">
        <v>2229</v>
      </c>
      <c r="E840" t="n">
        <v>2389.5</v>
      </c>
    </row>
    <row r="841">
      <c r="A841" s="87" t="n">
        <v>31173</v>
      </c>
      <c r="D841" t="n">
        <v>571.9</v>
      </c>
    </row>
    <row r="842">
      <c r="A842" s="87" t="n">
        <v>31180</v>
      </c>
      <c r="D842" t="n">
        <v>574</v>
      </c>
    </row>
    <row r="843">
      <c r="A843" s="87" t="n">
        <v>31187</v>
      </c>
      <c r="D843" t="n">
        <v>576.4</v>
      </c>
    </row>
    <row r="844">
      <c r="A844" s="87" t="n">
        <v>31194</v>
      </c>
      <c r="D844" t="n">
        <v>577.1</v>
      </c>
    </row>
    <row r="845">
      <c r="A845" s="87" t="n">
        <v>31199</v>
      </c>
      <c r="B845" t="n">
        <v>541.7</v>
      </c>
      <c r="C845" t="n">
        <v>2244.3</v>
      </c>
      <c r="E845" t="n">
        <v>2412.6</v>
      </c>
    </row>
    <row r="846">
      <c r="A846" s="87" t="n">
        <v>31201</v>
      </c>
      <c r="D846" t="n">
        <v>575.9</v>
      </c>
    </row>
    <row r="847">
      <c r="A847" s="87" t="n">
        <v>31208</v>
      </c>
      <c r="D847" t="n">
        <v>580.5</v>
      </c>
    </row>
    <row r="848">
      <c r="A848" s="87" t="n">
        <v>31215</v>
      </c>
      <c r="D848" t="n">
        <v>581.2</v>
      </c>
    </row>
    <row r="849">
      <c r="A849" s="87" t="n">
        <v>31222</v>
      </c>
      <c r="D849" t="n">
        <v>583.6</v>
      </c>
    </row>
    <row r="850">
      <c r="A850" s="87" t="n">
        <v>31229</v>
      </c>
      <c r="B850" t="n">
        <v>547</v>
      </c>
      <c r="C850" t="n">
        <v>2255.8</v>
      </c>
      <c r="D850" t="n">
        <v>587.3</v>
      </c>
      <c r="E850" t="n">
        <v>2429.5</v>
      </c>
      <c r="F850" t="n">
        <v>1.795</v>
      </c>
    </row>
    <row r="851">
      <c r="A851" s="87" t="n">
        <v>31236</v>
      </c>
      <c r="D851" t="n">
        <v>585.7</v>
      </c>
    </row>
    <row r="852">
      <c r="A852" s="87" t="n">
        <v>31243</v>
      </c>
      <c r="D852" t="n">
        <v>588.6</v>
      </c>
    </row>
    <row r="853">
      <c r="A853" s="87" t="n">
        <v>31250</v>
      </c>
      <c r="D853" t="n">
        <v>590</v>
      </c>
    </row>
    <row r="854">
      <c r="A854" s="87" t="n">
        <v>31257</v>
      </c>
      <c r="D854" t="n">
        <v>591</v>
      </c>
    </row>
    <row r="855">
      <c r="A855" s="87" t="n">
        <v>31260</v>
      </c>
      <c r="B855" t="n">
        <v>552.5</v>
      </c>
      <c r="C855" t="n">
        <v>2265.1</v>
      </c>
      <c r="E855" t="n">
        <v>2444</v>
      </c>
    </row>
    <row r="856">
      <c r="A856" s="87" t="n">
        <v>31264</v>
      </c>
      <c r="D856" t="n">
        <v>593.6</v>
      </c>
    </row>
    <row r="857">
      <c r="A857" s="87" t="n">
        <v>31271</v>
      </c>
      <c r="D857" t="n">
        <v>594.9</v>
      </c>
    </row>
    <row r="858">
      <c r="A858" s="87" t="n">
        <v>31278</v>
      </c>
      <c r="D858" t="n">
        <v>595.7</v>
      </c>
    </row>
    <row r="859">
      <c r="A859" s="87" t="n">
        <v>31285</v>
      </c>
      <c r="D859" t="n">
        <v>598.5</v>
      </c>
    </row>
    <row r="860">
      <c r="A860" s="87" t="n">
        <v>31291</v>
      </c>
      <c r="B860" t="n">
        <v>558.1</v>
      </c>
      <c r="C860" t="n">
        <v>2272.3</v>
      </c>
      <c r="E860" t="n">
        <v>2456.4</v>
      </c>
    </row>
    <row r="861">
      <c r="A861" s="87" t="n">
        <v>31292</v>
      </c>
      <c r="D861" t="n">
        <v>598.2</v>
      </c>
    </row>
    <row r="862">
      <c r="A862" s="87" t="n">
        <v>31299</v>
      </c>
      <c r="D862" t="n">
        <v>601.3</v>
      </c>
    </row>
    <row r="863">
      <c r="A863" s="87" t="n">
        <v>31306</v>
      </c>
      <c r="D863" t="n">
        <v>601.2</v>
      </c>
    </row>
    <row r="864">
      <c r="A864" s="87" t="n">
        <v>31313</v>
      </c>
      <c r="D864" t="n">
        <v>602</v>
      </c>
    </row>
    <row r="865">
      <c r="A865" s="87" t="n">
        <v>31320</v>
      </c>
      <c r="D865" t="n">
        <v>610.3</v>
      </c>
    </row>
    <row r="866">
      <c r="A866" s="87" t="n">
        <v>31321</v>
      </c>
      <c r="B866" t="n">
        <v>560.2</v>
      </c>
      <c r="C866" t="n">
        <v>2274.7</v>
      </c>
      <c r="E866" t="n">
        <v>2468</v>
      </c>
      <c r="F866" t="n">
        <v>1.792</v>
      </c>
    </row>
    <row r="867">
      <c r="A867" s="87" t="n">
        <v>31327</v>
      </c>
      <c r="D867" t="n">
        <v>606.2</v>
      </c>
    </row>
    <row r="868">
      <c r="A868" s="87" t="n">
        <v>31334</v>
      </c>
      <c r="D868" t="n">
        <v>605.8</v>
      </c>
    </row>
    <row r="869">
      <c r="A869" s="87" t="n">
        <v>31341</v>
      </c>
      <c r="D869" t="n">
        <v>609.5</v>
      </c>
    </row>
    <row r="870">
      <c r="A870" s="87" t="n">
        <v>31348</v>
      </c>
      <c r="D870" t="n">
        <v>608.9</v>
      </c>
    </row>
    <row r="871">
      <c r="A871" s="87" t="n">
        <v>31352</v>
      </c>
      <c r="B871" t="n">
        <v>561.7</v>
      </c>
      <c r="C871" t="n">
        <v>2273.2</v>
      </c>
      <c r="E871" t="n">
        <v>2477.8</v>
      </c>
    </row>
    <row r="872">
      <c r="A872" s="87" t="n">
        <v>31355</v>
      </c>
      <c r="D872" t="n">
        <v>609.9</v>
      </c>
    </row>
    <row r="873">
      <c r="A873" s="87" t="n">
        <v>31362</v>
      </c>
      <c r="D873" t="n">
        <v>609.3</v>
      </c>
    </row>
    <row r="874">
      <c r="A874" s="87" t="n">
        <v>31369</v>
      </c>
      <c r="D874" t="n">
        <v>611</v>
      </c>
    </row>
    <row r="875">
      <c r="A875" s="87" t="n">
        <v>31376</v>
      </c>
      <c r="D875" t="n">
        <v>614.8</v>
      </c>
    </row>
    <row r="876">
      <c r="A876" s="87" t="n">
        <v>31382</v>
      </c>
      <c r="B876" t="n">
        <v>566</v>
      </c>
      <c r="C876" t="n">
        <v>2275.9</v>
      </c>
      <c r="E876" t="n">
        <v>2492.1</v>
      </c>
    </row>
    <row r="877">
      <c r="A877" s="87" t="n">
        <v>31383</v>
      </c>
      <c r="D877" t="n">
        <v>616.2</v>
      </c>
    </row>
    <row r="878">
      <c r="A878" s="87" t="n">
        <v>31390</v>
      </c>
      <c r="D878" t="n">
        <v>618.2</v>
      </c>
    </row>
    <row r="879">
      <c r="A879" s="87" t="n">
        <v>31397</v>
      </c>
      <c r="D879" t="n">
        <v>619.5</v>
      </c>
    </row>
    <row r="880">
      <c r="A880" s="87" t="n">
        <v>31404</v>
      </c>
      <c r="D880" t="n">
        <v>622.4</v>
      </c>
    </row>
    <row r="881">
      <c r="A881" s="87" t="n">
        <v>31411</v>
      </c>
      <c r="D881" t="n">
        <v>619.9</v>
      </c>
    </row>
    <row r="882">
      <c r="A882" s="87" t="n">
        <v>31413</v>
      </c>
      <c r="B882" t="n">
        <v>565.4</v>
      </c>
      <c r="C882" t="n">
        <v>2276.7</v>
      </c>
      <c r="E882" t="n">
        <v>2502.1</v>
      </c>
      <c r="F882" t="n">
        <v>1.792</v>
      </c>
    </row>
    <row r="883">
      <c r="A883" s="87" t="n">
        <v>31418</v>
      </c>
      <c r="D883" t="n">
        <v>622</v>
      </c>
    </row>
    <row r="884">
      <c r="A884" s="87" t="n">
        <v>31425</v>
      </c>
      <c r="D884" t="n">
        <v>620.1</v>
      </c>
    </row>
    <row r="885">
      <c r="A885" s="87" t="n">
        <v>31432</v>
      </c>
      <c r="D885" t="n">
        <v>620.9</v>
      </c>
    </row>
    <row r="886">
      <c r="A886" s="87" t="n">
        <v>31439</v>
      </c>
      <c r="D886" t="n">
        <v>623.4</v>
      </c>
    </row>
    <row r="887">
      <c r="A887" s="87" t="n">
        <v>31444</v>
      </c>
      <c r="B887" t="n">
        <v>569.9</v>
      </c>
      <c r="C887" t="n">
        <v>2290.7</v>
      </c>
      <c r="E887" t="n">
        <v>2512.9</v>
      </c>
    </row>
    <row r="888">
      <c r="A888" s="87" t="n">
        <v>31446</v>
      </c>
      <c r="D888" t="n">
        <v>620.3</v>
      </c>
    </row>
    <row r="889">
      <c r="A889" s="87" t="n">
        <v>31453</v>
      </c>
      <c r="D889" t="n">
        <v>624.1</v>
      </c>
    </row>
    <row r="890">
      <c r="A890" s="87" t="n">
        <v>31460</v>
      </c>
      <c r="D890" t="n">
        <v>624.4</v>
      </c>
    </row>
    <row r="891">
      <c r="A891" s="87" t="n">
        <v>31467</v>
      </c>
      <c r="D891" t="n">
        <v>627.7</v>
      </c>
    </row>
    <row r="892">
      <c r="A892" s="87" t="n">
        <v>31472</v>
      </c>
      <c r="B892" t="n">
        <v>580.7</v>
      </c>
      <c r="C892" t="n">
        <v>2321.8</v>
      </c>
      <c r="E892" t="n">
        <v>2533.1</v>
      </c>
    </row>
    <row r="893">
      <c r="A893" s="87" t="n">
        <v>31474</v>
      </c>
      <c r="D893" t="n">
        <v>627.5</v>
      </c>
    </row>
    <row r="894">
      <c r="A894" s="87" t="n">
        <v>31481</v>
      </c>
      <c r="D894" t="n">
        <v>631.7</v>
      </c>
    </row>
    <row r="895">
      <c r="A895" s="87" t="n">
        <v>31488</v>
      </c>
      <c r="D895" t="n">
        <v>633.5</v>
      </c>
    </row>
    <row r="896">
      <c r="A896" s="87" t="n">
        <v>31495</v>
      </c>
      <c r="D896" t="n">
        <v>635.2</v>
      </c>
    </row>
    <row r="897">
      <c r="A897" s="87" t="n">
        <v>31502</v>
      </c>
      <c r="D897" t="n">
        <v>636.1</v>
      </c>
    </row>
    <row r="898">
      <c r="A898" s="87" t="n">
        <v>31503</v>
      </c>
      <c r="B898" t="n">
        <v>589.7</v>
      </c>
      <c r="C898" t="n">
        <v>2353.1</v>
      </c>
      <c r="E898" t="n">
        <v>2557.8</v>
      </c>
      <c r="F898" t="n">
        <v>1.76</v>
      </c>
    </row>
    <row r="899">
      <c r="A899" s="87" t="n">
        <v>31509</v>
      </c>
      <c r="D899" t="n">
        <v>639.7</v>
      </c>
    </row>
    <row r="900">
      <c r="A900" s="87" t="n">
        <v>31516</v>
      </c>
      <c r="D900" t="n">
        <v>638.1</v>
      </c>
    </row>
    <row r="901">
      <c r="A901" s="87" t="n">
        <v>31523</v>
      </c>
      <c r="D901" t="n">
        <v>640.6</v>
      </c>
    </row>
    <row r="902">
      <c r="A902" s="87" t="n">
        <v>31530</v>
      </c>
      <c r="D902" t="n">
        <v>643.3</v>
      </c>
    </row>
    <row r="903">
      <c r="A903" s="87" t="n">
        <v>31533</v>
      </c>
      <c r="B903" t="n">
        <v>598.2</v>
      </c>
      <c r="C903" t="n">
        <v>2371.4</v>
      </c>
      <c r="E903" t="n">
        <v>2584.8</v>
      </c>
    </row>
    <row r="904">
      <c r="A904" s="87" t="n">
        <v>31537</v>
      </c>
      <c r="D904" t="n">
        <v>648.2</v>
      </c>
    </row>
    <row r="905">
      <c r="A905" s="87" t="n">
        <v>31544</v>
      </c>
      <c r="D905" t="n">
        <v>650.3</v>
      </c>
    </row>
    <row r="906">
      <c r="A906" s="87" t="n">
        <v>31551</v>
      </c>
      <c r="D906" t="n">
        <v>652.2</v>
      </c>
    </row>
    <row r="907">
      <c r="A907" s="87" t="n">
        <v>31558</v>
      </c>
      <c r="D907" t="n">
        <v>654.2</v>
      </c>
    </row>
    <row r="908">
      <c r="A908" s="87" t="n">
        <v>31564</v>
      </c>
      <c r="B908" t="n">
        <v>603.8</v>
      </c>
      <c r="C908" t="n">
        <v>2381.2</v>
      </c>
      <c r="E908" t="n">
        <v>2605</v>
      </c>
    </row>
    <row r="909">
      <c r="A909" s="87" t="n">
        <v>31565</v>
      </c>
      <c r="D909" t="n">
        <v>654.9</v>
      </c>
    </row>
    <row r="910">
      <c r="A910" s="87" t="n">
        <v>31572</v>
      </c>
      <c r="D910" t="n">
        <v>658.1</v>
      </c>
    </row>
    <row r="911">
      <c r="A911" s="87" t="n">
        <v>31579</v>
      </c>
      <c r="D911" t="n">
        <v>661</v>
      </c>
    </row>
    <row r="912">
      <c r="A912" s="87" t="n">
        <v>31586</v>
      </c>
      <c r="D912" t="n">
        <v>660.8</v>
      </c>
    </row>
    <row r="913">
      <c r="A913" s="87" t="n">
        <v>31593</v>
      </c>
      <c r="D913" t="n">
        <v>664.2</v>
      </c>
    </row>
    <row r="914">
      <c r="A914" s="87" t="n">
        <v>31594</v>
      </c>
      <c r="B914" t="n">
        <v>612.1</v>
      </c>
      <c r="C914" t="n">
        <v>2398.7</v>
      </c>
      <c r="E914" t="n">
        <v>2626.6</v>
      </c>
      <c r="F914" t="n">
        <v>1.741</v>
      </c>
    </row>
    <row r="915">
      <c r="A915" s="87" t="n">
        <v>31600</v>
      </c>
      <c r="D915" t="n">
        <v>665.7</v>
      </c>
    </row>
    <row r="916">
      <c r="A916" s="87" t="n">
        <v>31607</v>
      </c>
      <c r="D916" t="n">
        <v>670</v>
      </c>
    </row>
    <row r="917">
      <c r="A917" s="87" t="n">
        <v>31614</v>
      </c>
      <c r="D917" t="n">
        <v>671.5</v>
      </c>
    </row>
    <row r="918">
      <c r="A918" s="87" t="n">
        <v>31621</v>
      </c>
      <c r="D918" t="n">
        <v>672.4</v>
      </c>
    </row>
    <row r="919">
      <c r="A919" s="87" t="n">
        <v>31625</v>
      </c>
      <c r="B919" t="n">
        <v>619.3</v>
      </c>
      <c r="C919" t="n">
        <v>2414.7</v>
      </c>
      <c r="E919" t="n">
        <v>2646.5</v>
      </c>
    </row>
    <row r="920">
      <c r="A920" s="87" t="n">
        <v>31628</v>
      </c>
      <c r="D920" t="n">
        <v>674.1</v>
      </c>
    </row>
    <row r="921">
      <c r="A921" s="87" t="n">
        <v>31635</v>
      </c>
      <c r="D921" t="n">
        <v>676</v>
      </c>
    </row>
    <row r="922">
      <c r="A922" s="87" t="n">
        <v>31642</v>
      </c>
      <c r="D922" t="n">
        <v>677.5</v>
      </c>
    </row>
    <row r="923">
      <c r="A923" s="87" t="n">
        <v>31649</v>
      </c>
      <c r="D923" t="n">
        <v>679.5</v>
      </c>
    </row>
    <row r="924">
      <c r="A924" s="87" t="n">
        <v>31656</v>
      </c>
      <c r="B924" t="n">
        <v>624.9</v>
      </c>
      <c r="C924" t="n">
        <v>2425.3</v>
      </c>
      <c r="D924" t="n">
        <v>685.4</v>
      </c>
      <c r="E924" t="n">
        <v>2667.8</v>
      </c>
    </row>
    <row r="925">
      <c r="A925" s="87" t="n">
        <v>31663</v>
      </c>
      <c r="D925" t="n">
        <v>685.4</v>
      </c>
    </row>
    <row r="926">
      <c r="A926" s="87" t="n">
        <v>31670</v>
      </c>
      <c r="D926" t="n">
        <v>685.1</v>
      </c>
    </row>
    <row r="927">
      <c r="A927" s="87" t="n">
        <v>31677</v>
      </c>
      <c r="D927" t="n">
        <v>688.3</v>
      </c>
    </row>
    <row r="928">
      <c r="A928" s="87" t="n">
        <v>31684</v>
      </c>
      <c r="D928" t="n">
        <v>690.6</v>
      </c>
    </row>
    <row r="929">
      <c r="A929" s="87" t="n">
        <v>31686</v>
      </c>
      <c r="B929" t="n">
        <v>630.6</v>
      </c>
      <c r="C929" t="n">
        <v>2438.7</v>
      </c>
      <c r="E929" t="n">
        <v>2687.4</v>
      </c>
      <c r="F929" t="n">
        <v>1.721</v>
      </c>
    </row>
    <row r="930">
      <c r="A930" s="87" t="n">
        <v>31691</v>
      </c>
      <c r="D930" t="n">
        <v>691.2</v>
      </c>
    </row>
    <row r="931">
      <c r="A931" s="87" t="n">
        <v>31698</v>
      </c>
      <c r="D931" t="n">
        <v>691.2</v>
      </c>
    </row>
    <row r="932">
      <c r="A932" s="87" t="n">
        <v>31705</v>
      </c>
      <c r="D932" t="n">
        <v>695.9</v>
      </c>
    </row>
    <row r="933">
      <c r="A933" s="87" t="n">
        <v>31712</v>
      </c>
      <c r="D933" t="n">
        <v>698.4</v>
      </c>
    </row>
    <row r="934">
      <c r="A934" s="87" t="n">
        <v>31717</v>
      </c>
      <c r="B934" t="n">
        <v>638.9</v>
      </c>
      <c r="C934" t="n">
        <v>2446.8</v>
      </c>
      <c r="E934" t="n">
        <v>2701.3</v>
      </c>
    </row>
    <row r="935">
      <c r="A935" s="87" t="n">
        <v>31719</v>
      </c>
      <c r="D935" t="n">
        <v>698.9</v>
      </c>
    </row>
    <row r="936">
      <c r="A936" s="87" t="n">
        <v>31726</v>
      </c>
      <c r="D936" t="n">
        <v>702.8</v>
      </c>
    </row>
    <row r="937">
      <c r="A937" s="87" t="n">
        <v>31733</v>
      </c>
      <c r="D937" t="n">
        <v>704.3</v>
      </c>
    </row>
    <row r="938">
      <c r="A938" s="87" t="n">
        <v>31740</v>
      </c>
      <c r="D938" t="n">
        <v>704.3</v>
      </c>
    </row>
    <row r="939">
      <c r="A939" s="87" t="n">
        <v>31747</v>
      </c>
      <c r="B939" t="n">
        <v>654.1</v>
      </c>
      <c r="C939" t="n">
        <v>2462.1</v>
      </c>
      <c r="D939" t="n">
        <v>714.4</v>
      </c>
      <c r="E939" t="n">
        <v>2728</v>
      </c>
    </row>
    <row r="940">
      <c r="A940" s="87" t="n">
        <v>31754</v>
      </c>
      <c r="D940" t="n">
        <v>714.6</v>
      </c>
    </row>
    <row r="941">
      <c r="A941" s="87" t="n">
        <v>31761</v>
      </c>
      <c r="D941" t="n">
        <v>718.6</v>
      </c>
    </row>
    <row r="942">
      <c r="A942" s="87" t="n">
        <v>31768</v>
      </c>
      <c r="D942" t="n">
        <v>726.6</v>
      </c>
    </row>
    <row r="943">
      <c r="A943" s="87" t="n">
        <v>31775</v>
      </c>
      <c r="D943" t="n">
        <v>735.2</v>
      </c>
    </row>
    <row r="944">
      <c r="A944" s="87" t="n">
        <v>31778</v>
      </c>
      <c r="B944" t="n">
        <v>655.5</v>
      </c>
      <c r="C944" t="n">
        <v>2463.1</v>
      </c>
      <c r="E944" t="n">
        <v>2743.9</v>
      </c>
      <c r="F944" t="n">
        <v>1.718</v>
      </c>
    </row>
    <row r="945">
      <c r="A945" s="87" t="n">
        <v>31782</v>
      </c>
      <c r="D945" t="n">
        <v>742.1</v>
      </c>
    </row>
    <row r="946">
      <c r="A946" s="87" t="n">
        <v>31789</v>
      </c>
      <c r="D946" t="n">
        <v>727.9</v>
      </c>
    </row>
    <row r="947">
      <c r="A947" s="87" t="n">
        <v>31796</v>
      </c>
      <c r="D947" t="n">
        <v>725.3</v>
      </c>
    </row>
    <row r="948">
      <c r="A948" s="87" t="n">
        <v>31803</v>
      </c>
      <c r="D948" t="n">
        <v>728.5</v>
      </c>
    </row>
    <row r="949">
      <c r="A949" s="87" t="n">
        <v>31809</v>
      </c>
      <c r="B949" t="n">
        <v>653.6</v>
      </c>
      <c r="C949" t="n">
        <v>2457.5</v>
      </c>
      <c r="E949" t="n">
        <v>2747.5</v>
      </c>
    </row>
    <row r="950">
      <c r="A950" s="87" t="n">
        <v>31810</v>
      </c>
      <c r="D950" t="n">
        <v>729.9</v>
      </c>
    </row>
    <row r="951">
      <c r="A951" s="87" t="n">
        <v>31817</v>
      </c>
      <c r="D951" t="n">
        <v>730.1</v>
      </c>
    </row>
    <row r="952">
      <c r="A952" s="87" t="n">
        <v>31824</v>
      </c>
      <c r="D952" t="n">
        <v>730</v>
      </c>
    </row>
    <row r="953">
      <c r="A953" s="87" t="n">
        <v>31831</v>
      </c>
      <c r="D953" t="n">
        <v>731.7</v>
      </c>
    </row>
    <row r="954">
      <c r="A954" s="87" t="n">
        <v>31837</v>
      </c>
      <c r="B954" t="n">
        <v>654</v>
      </c>
      <c r="C954" t="n">
        <v>2454.3</v>
      </c>
      <c r="E954" t="n">
        <v>2753.7</v>
      </c>
    </row>
    <row r="955">
      <c r="A955" s="87" t="n">
        <v>31838</v>
      </c>
      <c r="D955" t="n">
        <v>731.4</v>
      </c>
    </row>
    <row r="956">
      <c r="A956" s="87" t="n">
        <v>31845</v>
      </c>
      <c r="D956" t="n">
        <v>732.2</v>
      </c>
    </row>
    <row r="957">
      <c r="A957" s="87" t="n">
        <v>31852</v>
      </c>
      <c r="D957" t="n">
        <v>733.9</v>
      </c>
    </row>
    <row r="958">
      <c r="A958" s="87" t="n">
        <v>31859</v>
      </c>
      <c r="D958" t="n">
        <v>733.8</v>
      </c>
    </row>
    <row r="959">
      <c r="A959" s="87" t="n">
        <v>31866</v>
      </c>
      <c r="D959" t="n">
        <v>735.4</v>
      </c>
    </row>
    <row r="960">
      <c r="A960" s="87" t="n">
        <v>31868</v>
      </c>
      <c r="B960" t="n">
        <v>660.1</v>
      </c>
      <c r="C960" t="n">
        <v>2455.8</v>
      </c>
      <c r="E960" t="n">
        <v>2767.7</v>
      </c>
      <c r="F960" t="n">
        <v>1.734</v>
      </c>
    </row>
    <row r="961">
      <c r="A961" s="87" t="n">
        <v>31873</v>
      </c>
      <c r="D961" t="n">
        <v>737.2</v>
      </c>
    </row>
    <row r="962">
      <c r="A962" s="87" t="n">
        <v>31880</v>
      </c>
      <c r="D962" t="n">
        <v>737.8</v>
      </c>
    </row>
    <row r="963">
      <c r="A963" s="87" t="n">
        <v>31887</v>
      </c>
      <c r="D963" t="n">
        <v>749.4</v>
      </c>
    </row>
    <row r="964">
      <c r="A964" s="87" t="n">
        <v>31894</v>
      </c>
      <c r="D964" t="n">
        <v>749.9</v>
      </c>
    </row>
    <row r="965">
      <c r="A965" s="87" t="n">
        <v>31898</v>
      </c>
      <c r="B965" t="n">
        <v>660</v>
      </c>
      <c r="C965" t="n">
        <v>2453.9</v>
      </c>
      <c r="E965" t="n">
        <v>2772.9</v>
      </c>
    </row>
    <row r="966">
      <c r="A966" s="87" t="n">
        <v>31901</v>
      </c>
      <c r="D966" t="n">
        <v>745.1</v>
      </c>
    </row>
    <row r="967">
      <c r="A967" s="87" t="n">
        <v>31908</v>
      </c>
      <c r="D967" t="n">
        <v>743.3</v>
      </c>
    </row>
    <row r="968">
      <c r="A968" s="87" t="n">
        <v>31915</v>
      </c>
      <c r="D968" t="n">
        <v>744.6</v>
      </c>
    </row>
    <row r="969">
      <c r="A969" s="87" t="n">
        <v>31922</v>
      </c>
      <c r="D969" t="n">
        <v>748.2</v>
      </c>
    </row>
    <row r="970">
      <c r="A970" s="87" t="n">
        <v>31929</v>
      </c>
      <c r="B970" t="n">
        <v>654.8</v>
      </c>
      <c r="C970" t="n">
        <v>2444.6</v>
      </c>
      <c r="D970" t="n">
        <v>748.1</v>
      </c>
      <c r="E970" t="n">
        <v>2774.6</v>
      </c>
    </row>
    <row r="971">
      <c r="A971" s="87" t="n">
        <v>31936</v>
      </c>
      <c r="D971" t="n">
        <v>742</v>
      </c>
    </row>
    <row r="972">
      <c r="A972" s="87" t="n">
        <v>31943</v>
      </c>
      <c r="D972" t="n">
        <v>743.4</v>
      </c>
    </row>
    <row r="973">
      <c r="A973" s="87" t="n">
        <v>31950</v>
      </c>
      <c r="D973" t="n">
        <v>744</v>
      </c>
    </row>
    <row r="974">
      <c r="A974" s="87" t="n">
        <v>31957</v>
      </c>
      <c r="D974" t="n">
        <v>742.3</v>
      </c>
    </row>
    <row r="975">
      <c r="A975" s="87" t="n">
        <v>31959</v>
      </c>
      <c r="B975" t="n">
        <v>652.9</v>
      </c>
      <c r="C975" t="n">
        <v>2442</v>
      </c>
      <c r="E975" t="n">
        <v>2779</v>
      </c>
      <c r="F975" t="n">
        <v>1.751</v>
      </c>
    </row>
    <row r="976">
      <c r="A976" s="87" t="n">
        <v>31964</v>
      </c>
      <c r="D976" t="n">
        <v>745.4</v>
      </c>
    </row>
    <row r="977">
      <c r="A977" s="87" t="n">
        <v>31971</v>
      </c>
      <c r="D977" t="n">
        <v>740.6</v>
      </c>
    </row>
    <row r="978">
      <c r="A978" s="87" t="n">
        <v>31978</v>
      </c>
      <c r="D978" t="n">
        <v>742.9</v>
      </c>
    </row>
    <row r="979">
      <c r="A979" s="87" t="n">
        <v>31985</v>
      </c>
      <c r="D979" t="n">
        <v>744.5</v>
      </c>
    </row>
    <row r="980">
      <c r="A980" s="87" t="n">
        <v>31990</v>
      </c>
      <c r="B980" t="n">
        <v>651.7</v>
      </c>
      <c r="C980" t="n">
        <v>2439.4</v>
      </c>
      <c r="E980" t="n">
        <v>2788.2</v>
      </c>
    </row>
    <row r="981">
      <c r="A981" s="87" t="n">
        <v>31992</v>
      </c>
      <c r="D981" t="n">
        <v>741.4</v>
      </c>
    </row>
    <row r="982">
      <c r="A982" s="87" t="n">
        <v>31999</v>
      </c>
      <c r="D982" t="n">
        <v>743.9</v>
      </c>
    </row>
    <row r="983">
      <c r="A983" s="87" t="n">
        <v>32006</v>
      </c>
      <c r="D983" t="n">
        <v>744.8</v>
      </c>
    </row>
    <row r="984">
      <c r="A984" s="87" t="n">
        <v>32013</v>
      </c>
      <c r="D984" t="n">
        <v>746.3</v>
      </c>
    </row>
    <row r="985">
      <c r="A985" s="87" t="n">
        <v>32020</v>
      </c>
      <c r="D985" t="n">
        <v>746.2</v>
      </c>
    </row>
    <row r="986">
      <c r="A986" s="87" t="n">
        <v>32021</v>
      </c>
      <c r="B986" t="n">
        <v>651.8</v>
      </c>
      <c r="C986" t="n">
        <v>2440.7</v>
      </c>
      <c r="E986" t="n">
        <v>2799.5</v>
      </c>
    </row>
    <row r="987">
      <c r="A987" s="87" t="n">
        <v>32027</v>
      </c>
      <c r="D987" t="n">
        <v>743.5</v>
      </c>
    </row>
    <row r="988">
      <c r="A988" s="87" t="n">
        <v>32034</v>
      </c>
      <c r="D988" t="n">
        <v>746.5</v>
      </c>
    </row>
    <row r="989">
      <c r="A989" s="87" t="n">
        <v>32041</v>
      </c>
      <c r="D989" t="n">
        <v>748.8</v>
      </c>
    </row>
    <row r="990">
      <c r="A990" s="87" t="n">
        <v>32048</v>
      </c>
      <c r="D990" t="n">
        <v>749.8</v>
      </c>
    </row>
    <row r="991">
      <c r="A991" s="87" t="n">
        <v>32051</v>
      </c>
      <c r="B991" t="n">
        <v>657.6</v>
      </c>
      <c r="C991" t="n">
        <v>2447.7</v>
      </c>
      <c r="E991" t="n">
        <v>2814.8</v>
      </c>
      <c r="F991" t="n">
        <v>1.776</v>
      </c>
    </row>
    <row r="992">
      <c r="A992" s="87" t="n">
        <v>32055</v>
      </c>
      <c r="D992" t="n">
        <v>753.7</v>
      </c>
    </row>
    <row r="993">
      <c r="A993" s="87" t="n">
        <v>32062</v>
      </c>
      <c r="D993" t="n">
        <v>748.9</v>
      </c>
    </row>
    <row r="994">
      <c r="A994" s="87" t="n">
        <v>32069</v>
      </c>
      <c r="D994" t="n">
        <v>755</v>
      </c>
    </row>
    <row r="995">
      <c r="A995" s="87" t="n">
        <v>32076</v>
      </c>
      <c r="D995" t="n">
        <v>765.2</v>
      </c>
    </row>
    <row r="996">
      <c r="A996" s="87" t="n">
        <v>32082</v>
      </c>
      <c r="B996" t="n">
        <v>652.7</v>
      </c>
      <c r="C996" t="n">
        <v>2442.7</v>
      </c>
      <c r="E996" t="n">
        <v>2818.9</v>
      </c>
    </row>
    <row r="997">
      <c r="A997" s="87" t="n">
        <v>32083</v>
      </c>
      <c r="D997" t="n">
        <v>758.5</v>
      </c>
    </row>
    <row r="998">
      <c r="A998" s="87" t="n">
        <v>32090</v>
      </c>
      <c r="D998" t="n">
        <v>755.4</v>
      </c>
    </row>
    <row r="999">
      <c r="A999" s="87" t="n">
        <v>32097</v>
      </c>
      <c r="D999" t="n">
        <v>752.9</v>
      </c>
    </row>
    <row r="1000">
      <c r="A1000" s="87" t="n">
        <v>32104</v>
      </c>
      <c r="D1000" t="n">
        <v>752</v>
      </c>
    </row>
    <row r="1001">
      <c r="A1001" s="87" t="n">
        <v>32111</v>
      </c>
      <c r="D1001" t="n">
        <v>751</v>
      </c>
    </row>
    <row r="1002">
      <c r="A1002" s="87" t="n">
        <v>32112</v>
      </c>
      <c r="B1002" t="n">
        <v>649</v>
      </c>
      <c r="C1002" t="n">
        <v>2445</v>
      </c>
      <c r="E1002" t="n">
        <v>2826.4</v>
      </c>
    </row>
    <row r="1003">
      <c r="A1003" s="87" t="n">
        <v>32118</v>
      </c>
      <c r="D1003" t="n">
        <v>750.5</v>
      </c>
    </row>
    <row r="1004">
      <c r="A1004" s="87" t="n">
        <v>32125</v>
      </c>
      <c r="D1004" t="n">
        <v>749.8</v>
      </c>
    </row>
    <row r="1005">
      <c r="A1005" s="87" t="n">
        <v>32132</v>
      </c>
      <c r="D1005" t="n">
        <v>749.6</v>
      </c>
    </row>
    <row r="1006">
      <c r="A1006" s="87" t="n">
        <v>32139</v>
      </c>
      <c r="D1006" t="n">
        <v>750.6</v>
      </c>
    </row>
    <row r="1007">
      <c r="A1007" s="87" t="n">
        <v>32143</v>
      </c>
      <c r="B1007" t="n">
        <v>651.9</v>
      </c>
      <c r="C1007" t="n">
        <v>2454.7</v>
      </c>
      <c r="E1007" t="n">
        <v>2847.4</v>
      </c>
      <c r="F1007" t="n">
        <v>1.768</v>
      </c>
    </row>
    <row r="1008">
      <c r="A1008" s="87" t="n">
        <v>32146</v>
      </c>
      <c r="D1008" t="n">
        <v>751.1</v>
      </c>
    </row>
    <row r="1009">
      <c r="A1009" s="87" t="n">
        <v>32153</v>
      </c>
      <c r="D1009" t="n">
        <v>753.2</v>
      </c>
    </row>
    <row r="1010">
      <c r="A1010" s="87" t="n">
        <v>32160</v>
      </c>
      <c r="D1010" t="n">
        <v>755.8</v>
      </c>
    </row>
    <row r="1011">
      <c r="A1011" s="87" t="n">
        <v>32167</v>
      </c>
      <c r="D1011" t="n">
        <v>759</v>
      </c>
    </row>
    <row r="1012">
      <c r="A1012" s="87" t="n">
        <v>32174</v>
      </c>
      <c r="B1012" t="n">
        <v>652.1</v>
      </c>
      <c r="C1012" t="n">
        <v>2470.2</v>
      </c>
      <c r="D1012" t="n">
        <v>760.3</v>
      </c>
      <c r="E1012" t="n">
        <v>2870.4</v>
      </c>
    </row>
    <row r="1013">
      <c r="A1013" s="87" t="n">
        <v>32181</v>
      </c>
      <c r="D1013" t="n">
        <v>756.6</v>
      </c>
    </row>
    <row r="1014">
      <c r="A1014" s="87" t="n">
        <v>32188</v>
      </c>
      <c r="D1014" t="n">
        <v>757.4</v>
      </c>
    </row>
    <row r="1015">
      <c r="A1015" s="87" t="n">
        <v>32195</v>
      </c>
      <c r="D1015" t="n">
        <v>759.8</v>
      </c>
    </row>
    <row r="1016">
      <c r="A1016" s="87" t="n">
        <v>32202</v>
      </c>
      <c r="D1016" t="n">
        <v>756.7</v>
      </c>
    </row>
    <row r="1017">
      <c r="A1017" s="87" t="n">
        <v>32203</v>
      </c>
      <c r="B1017" t="n">
        <v>653.9</v>
      </c>
      <c r="C1017" t="n">
        <v>2481.3</v>
      </c>
      <c r="E1017" t="n">
        <v>2890.7</v>
      </c>
    </row>
    <row r="1018">
      <c r="A1018" s="87" t="n">
        <v>32209</v>
      </c>
      <c r="D1018" t="n">
        <v>758.1</v>
      </c>
    </row>
    <row r="1019">
      <c r="A1019" s="87" t="n">
        <v>32216</v>
      </c>
      <c r="D1019" t="n">
        <v>760.6</v>
      </c>
    </row>
    <row r="1020">
      <c r="A1020" s="87" t="n">
        <v>32223</v>
      </c>
      <c r="D1020" t="n">
        <v>763.1</v>
      </c>
    </row>
    <row r="1021">
      <c r="A1021" s="87" t="n">
        <v>32230</v>
      </c>
      <c r="D1021" t="n">
        <v>763.7</v>
      </c>
    </row>
    <row r="1022">
      <c r="A1022" s="87" t="n">
        <v>32234</v>
      </c>
      <c r="B1022" t="n">
        <v>655.4</v>
      </c>
      <c r="C1022" t="n">
        <v>2483.5</v>
      </c>
      <c r="E1022" t="n">
        <v>2910.7</v>
      </c>
      <c r="F1022" t="n">
        <v>1.774</v>
      </c>
    </row>
    <row r="1023">
      <c r="A1023" s="87" t="n">
        <v>32237</v>
      </c>
      <c r="D1023" t="n">
        <v>765.5</v>
      </c>
    </row>
    <row r="1024">
      <c r="A1024" s="87" t="n">
        <v>32244</v>
      </c>
      <c r="D1024" t="n">
        <v>765.8</v>
      </c>
    </row>
    <row r="1025">
      <c r="A1025" s="87" t="n">
        <v>32251</v>
      </c>
      <c r="D1025" t="n">
        <v>766.8</v>
      </c>
    </row>
    <row r="1026">
      <c r="A1026" s="87" t="n">
        <v>32258</v>
      </c>
      <c r="D1026" t="n">
        <v>772.2</v>
      </c>
    </row>
    <row r="1027">
      <c r="A1027" s="87" t="n">
        <v>32264</v>
      </c>
      <c r="B1027" t="n">
        <v>656.8</v>
      </c>
      <c r="C1027" t="n">
        <v>2490.2</v>
      </c>
      <c r="E1027" t="n">
        <v>2926</v>
      </c>
    </row>
    <row r="1028">
      <c r="A1028" s="87" t="n">
        <v>32265</v>
      </c>
      <c r="D1028" t="n">
        <v>769.6</v>
      </c>
    </row>
    <row r="1029">
      <c r="A1029" s="87" t="n">
        <v>32272</v>
      </c>
      <c r="D1029" t="n">
        <v>769.9</v>
      </c>
    </row>
    <row r="1030">
      <c r="A1030" s="87" t="n">
        <v>32279</v>
      </c>
      <c r="D1030" t="n">
        <v>771.9</v>
      </c>
    </row>
    <row r="1031">
      <c r="A1031" s="87" t="n">
        <v>32286</v>
      </c>
      <c r="D1031" t="n">
        <v>772.5</v>
      </c>
    </row>
    <row r="1032">
      <c r="A1032" s="87" t="n">
        <v>32293</v>
      </c>
      <c r="D1032" t="n">
        <v>772.7</v>
      </c>
    </row>
    <row r="1033">
      <c r="A1033" s="87" t="n">
        <v>32295</v>
      </c>
      <c r="B1033" t="n">
        <v>659.6</v>
      </c>
      <c r="C1033" t="n">
        <v>2490.2</v>
      </c>
      <c r="E1033" t="n">
        <v>2938.4</v>
      </c>
    </row>
    <row r="1034">
      <c r="A1034" s="87" t="n">
        <v>32300</v>
      </c>
      <c r="D1034" t="n">
        <v>776.4</v>
      </c>
    </row>
    <row r="1035">
      <c r="A1035" s="87" t="n">
        <v>32307</v>
      </c>
      <c r="D1035" t="n">
        <v>776.5</v>
      </c>
    </row>
    <row r="1036">
      <c r="A1036" s="87" t="n">
        <v>32314</v>
      </c>
      <c r="D1036" t="n">
        <v>780.6</v>
      </c>
    </row>
    <row r="1037">
      <c r="A1037" s="87" t="n">
        <v>32321</v>
      </c>
      <c r="D1037" t="n">
        <v>779.8</v>
      </c>
    </row>
    <row r="1038">
      <c r="A1038" s="87" t="n">
        <v>32325</v>
      </c>
      <c r="B1038" t="n">
        <v>659.4</v>
      </c>
      <c r="C1038" t="n">
        <v>2487.1</v>
      </c>
      <c r="E1038" t="n">
        <v>2947.2</v>
      </c>
      <c r="F1038" t="n">
        <v>1.79</v>
      </c>
    </row>
    <row r="1039">
      <c r="A1039" s="87" t="n">
        <v>32328</v>
      </c>
      <c r="D1039" t="n">
        <v>777.7</v>
      </c>
    </row>
    <row r="1040">
      <c r="A1040" s="87" t="n">
        <v>32335</v>
      </c>
      <c r="D1040" t="n">
        <v>781.3</v>
      </c>
    </row>
    <row r="1041">
      <c r="A1041" s="87" t="n">
        <v>32342</v>
      </c>
      <c r="D1041" t="n">
        <v>780.3</v>
      </c>
    </row>
    <row r="1042">
      <c r="A1042" s="87" t="n">
        <v>32349</v>
      </c>
      <c r="D1042" t="n">
        <v>782.2</v>
      </c>
    </row>
    <row r="1043">
      <c r="A1043" s="87" t="n">
        <v>32356</v>
      </c>
      <c r="B1043" t="n">
        <v>658.2</v>
      </c>
      <c r="C1043" t="n">
        <v>2480.7</v>
      </c>
      <c r="D1043" t="n">
        <v>784.3</v>
      </c>
      <c r="E1043" t="n">
        <v>2952</v>
      </c>
    </row>
    <row r="1044">
      <c r="A1044" s="87" t="n">
        <v>32363</v>
      </c>
      <c r="D1044" t="n">
        <v>782.2</v>
      </c>
    </row>
    <row r="1045">
      <c r="A1045" s="87" t="n">
        <v>32370</v>
      </c>
      <c r="D1045" t="n">
        <v>783.4</v>
      </c>
    </row>
    <row r="1046">
      <c r="A1046" s="87" t="n">
        <v>32377</v>
      </c>
      <c r="D1046" t="n">
        <v>783.4</v>
      </c>
    </row>
    <row r="1047">
      <c r="A1047" s="87" t="n">
        <v>32384</v>
      </c>
      <c r="D1047" t="n">
        <v>784</v>
      </c>
    </row>
    <row r="1048">
      <c r="A1048" s="87" t="n">
        <v>32387</v>
      </c>
      <c r="B1048" t="n">
        <v>655.8</v>
      </c>
      <c r="C1048" t="n">
        <v>2474.4</v>
      </c>
      <c r="E1048" t="n">
        <v>2956.9</v>
      </c>
    </row>
    <row r="1049">
      <c r="A1049" s="87" t="n">
        <v>32391</v>
      </c>
      <c r="D1049" t="n">
        <v>783.8</v>
      </c>
    </row>
    <row r="1050">
      <c r="A1050" s="87" t="n">
        <v>32398</v>
      </c>
      <c r="D1050" t="n">
        <v>782.8</v>
      </c>
    </row>
    <row r="1051">
      <c r="A1051" s="87" t="n">
        <v>32405</v>
      </c>
      <c r="D1051" t="n">
        <v>784.6</v>
      </c>
    </row>
    <row r="1052">
      <c r="A1052" s="87" t="n">
        <v>32412</v>
      </c>
      <c r="D1052" t="n">
        <v>785.1</v>
      </c>
    </row>
    <row r="1053">
      <c r="A1053" s="87" t="n">
        <v>32417</v>
      </c>
      <c r="B1053" t="n">
        <v>653.3</v>
      </c>
      <c r="C1053" t="n">
        <v>2473.1</v>
      </c>
      <c r="E1053" t="n">
        <v>2965.3</v>
      </c>
      <c r="F1053" t="n">
        <v>1.813</v>
      </c>
    </row>
    <row r="1054">
      <c r="A1054" s="87" t="n">
        <v>32419</v>
      </c>
      <c r="D1054" t="n">
        <v>781.1</v>
      </c>
    </row>
    <row r="1055">
      <c r="A1055" s="87" t="n">
        <v>32426</v>
      </c>
      <c r="D1055" t="n">
        <v>782.3</v>
      </c>
    </row>
    <row r="1056">
      <c r="A1056" s="87" t="n">
        <v>32433</v>
      </c>
      <c r="D1056" t="n">
        <v>784</v>
      </c>
    </row>
    <row r="1057">
      <c r="A1057" s="87" t="n">
        <v>32440</v>
      </c>
      <c r="D1057" t="n">
        <v>783.1</v>
      </c>
    </row>
    <row r="1058">
      <c r="A1058" s="87" t="n">
        <v>32447</v>
      </c>
      <c r="D1058" t="n">
        <v>784.1</v>
      </c>
    </row>
    <row r="1059">
      <c r="A1059" s="87" t="n">
        <v>32448</v>
      </c>
      <c r="B1059" t="n">
        <v>652.5</v>
      </c>
      <c r="C1059" t="n">
        <v>2477.3</v>
      </c>
      <c r="E1059" t="n">
        <v>2980.2</v>
      </c>
    </row>
    <row r="1060">
      <c r="A1060" s="87" t="n">
        <v>32454</v>
      </c>
      <c r="D1060" t="n">
        <v>783.2</v>
      </c>
    </row>
    <row r="1061">
      <c r="A1061" s="87" t="n">
        <v>32461</v>
      </c>
      <c r="D1061" t="n">
        <v>784.2</v>
      </c>
    </row>
    <row r="1062">
      <c r="A1062" s="87" t="n">
        <v>32468</v>
      </c>
      <c r="D1062" t="n">
        <v>784.5</v>
      </c>
    </row>
    <row r="1063">
      <c r="A1063" s="87" t="n">
        <v>32475</v>
      </c>
      <c r="D1063" t="n">
        <v>786.9</v>
      </c>
    </row>
    <row r="1064">
      <c r="A1064" s="87" t="n">
        <v>32478</v>
      </c>
      <c r="B1064" t="n">
        <v>651.8</v>
      </c>
      <c r="C1064" t="n">
        <v>2475.7</v>
      </c>
      <c r="E1064" t="n">
        <v>2988.2</v>
      </c>
    </row>
    <row r="1065">
      <c r="A1065" s="87" t="n">
        <v>32482</v>
      </c>
      <c r="D1065" t="n">
        <v>787.5</v>
      </c>
    </row>
    <row r="1066">
      <c r="A1066" s="87" t="n">
        <v>32489</v>
      </c>
      <c r="D1066" t="n">
        <v>788.2</v>
      </c>
    </row>
    <row r="1067">
      <c r="A1067" s="87" t="n">
        <v>32496</v>
      </c>
      <c r="D1067" t="n">
        <v>786.5</v>
      </c>
    </row>
    <row r="1068">
      <c r="A1068" s="87" t="n">
        <v>32503</v>
      </c>
      <c r="D1068" t="n">
        <v>784.6</v>
      </c>
    </row>
    <row r="1069">
      <c r="A1069" s="87" t="n">
        <v>32509</v>
      </c>
      <c r="B1069" t="n">
        <v>648.3</v>
      </c>
      <c r="C1069" t="n">
        <v>2468.4</v>
      </c>
      <c r="E1069" t="n">
        <v>2991.7</v>
      </c>
      <c r="F1069" t="n">
        <v>1.84</v>
      </c>
    </row>
    <row r="1070">
      <c r="A1070" s="87" t="n">
        <v>32510</v>
      </c>
      <c r="D1070" t="n">
        <v>787.4</v>
      </c>
    </row>
    <row r="1071">
      <c r="A1071" s="87" t="n">
        <v>32517</v>
      </c>
      <c r="D1071" t="n">
        <v>786.7</v>
      </c>
    </row>
    <row r="1072">
      <c r="A1072" s="87" t="n">
        <v>32524</v>
      </c>
      <c r="D1072" t="n">
        <v>786.2</v>
      </c>
    </row>
    <row r="1073">
      <c r="A1073" s="87" t="n">
        <v>32531</v>
      </c>
      <c r="D1073" t="n">
        <v>786.5</v>
      </c>
    </row>
    <row r="1074">
      <c r="A1074" s="87" t="n">
        <v>32538</v>
      </c>
      <c r="D1074" t="n">
        <v>783.2</v>
      </c>
    </row>
    <row r="1075">
      <c r="A1075" s="87" t="n">
        <v>32540</v>
      </c>
      <c r="B1075" t="n">
        <v>644.6</v>
      </c>
      <c r="C1075" t="n">
        <v>2460.7</v>
      </c>
      <c r="E1075" t="n">
        <v>2992.2</v>
      </c>
    </row>
    <row r="1076">
      <c r="A1076" s="87" t="n">
        <v>32545</v>
      </c>
      <c r="D1076" t="n">
        <v>784.4</v>
      </c>
    </row>
    <row r="1077">
      <c r="A1077" s="87" t="n">
        <v>32552</v>
      </c>
      <c r="D1077" t="n">
        <v>783.5</v>
      </c>
    </row>
    <row r="1078">
      <c r="A1078" s="87" t="n">
        <v>32559</v>
      </c>
      <c r="D1078" t="n">
        <v>783.5</v>
      </c>
    </row>
    <row r="1079">
      <c r="A1079" s="87" t="n">
        <v>32566</v>
      </c>
      <c r="D1079" t="n">
        <v>783.4</v>
      </c>
    </row>
    <row r="1080">
      <c r="A1080" s="87" t="n">
        <v>32568</v>
      </c>
      <c r="B1080" t="n">
        <v>640.8</v>
      </c>
      <c r="C1080" t="n">
        <v>2454.7</v>
      </c>
      <c r="E1080" t="n">
        <v>2999.7</v>
      </c>
    </row>
    <row r="1081">
      <c r="A1081" s="87" t="n">
        <v>32573</v>
      </c>
      <c r="D1081" t="n">
        <v>787.1</v>
      </c>
    </row>
    <row r="1082">
      <c r="A1082" s="87" t="n">
        <v>32580</v>
      </c>
      <c r="D1082" t="n">
        <v>782.6</v>
      </c>
    </row>
    <row r="1083">
      <c r="A1083" s="87" t="n">
        <v>32587</v>
      </c>
      <c r="D1083" t="n">
        <v>783.2</v>
      </c>
    </row>
    <row r="1084">
      <c r="A1084" s="87" t="n">
        <v>32594</v>
      </c>
      <c r="D1084" t="n">
        <v>783</v>
      </c>
    </row>
    <row r="1085">
      <c r="A1085" s="87" t="n">
        <v>32599</v>
      </c>
      <c r="B1085" t="n">
        <v>633</v>
      </c>
      <c r="C1085" t="n">
        <v>2441.9</v>
      </c>
      <c r="E1085" t="n">
        <v>3006</v>
      </c>
      <c r="F1085" t="n">
        <v>1.861</v>
      </c>
    </row>
    <row r="1086">
      <c r="A1086" s="87" t="n">
        <v>32601</v>
      </c>
      <c r="D1086" t="n">
        <v>777.4</v>
      </c>
    </row>
    <row r="1087">
      <c r="A1087" s="87" t="n">
        <v>32608</v>
      </c>
      <c r="D1087" t="n">
        <v>776.5</v>
      </c>
    </row>
    <row r="1088">
      <c r="A1088" s="87" t="n">
        <v>32615</v>
      </c>
      <c r="D1088" t="n">
        <v>776.9</v>
      </c>
    </row>
    <row r="1089">
      <c r="A1089" s="87" t="n">
        <v>32622</v>
      </c>
      <c r="D1089" t="n">
        <v>782.3</v>
      </c>
    </row>
    <row r="1090">
      <c r="A1090" s="87" t="n">
        <v>32629</v>
      </c>
      <c r="B1090" t="n">
        <v>626.5</v>
      </c>
      <c r="C1090" t="n">
        <v>2434.6</v>
      </c>
      <c r="D1090" t="n">
        <v>782.3</v>
      </c>
      <c r="E1090" t="n">
        <v>3011.6</v>
      </c>
    </row>
    <row r="1091">
      <c r="A1091" s="87" t="n">
        <v>32636</v>
      </c>
      <c r="D1091" t="n">
        <v>775.1</v>
      </c>
    </row>
    <row r="1092">
      <c r="A1092" s="87" t="n">
        <v>32643</v>
      </c>
      <c r="D1092" t="n">
        <v>775.7</v>
      </c>
    </row>
    <row r="1093">
      <c r="A1093" s="87" t="n">
        <v>32650</v>
      </c>
      <c r="D1093" t="n">
        <v>773.4</v>
      </c>
    </row>
    <row r="1094">
      <c r="A1094" s="87" t="n">
        <v>32657</v>
      </c>
      <c r="D1094" t="n">
        <v>774.6</v>
      </c>
    </row>
    <row r="1095">
      <c r="A1095" s="87" t="n">
        <v>32660</v>
      </c>
      <c r="B1095" t="n">
        <v>623.3</v>
      </c>
      <c r="C1095" t="n">
        <v>2439.9</v>
      </c>
      <c r="E1095" t="n">
        <v>3027.9</v>
      </c>
    </row>
    <row r="1096">
      <c r="A1096" s="87" t="n">
        <v>32664</v>
      </c>
      <c r="D1096" t="n">
        <v>775.3</v>
      </c>
    </row>
    <row r="1097">
      <c r="A1097" s="87" t="n">
        <v>32671</v>
      </c>
      <c r="D1097" t="n">
        <v>772.5</v>
      </c>
    </row>
    <row r="1098">
      <c r="A1098" s="87" t="n">
        <v>32678</v>
      </c>
      <c r="D1098" t="n">
        <v>772.7</v>
      </c>
    </row>
    <row r="1099">
      <c r="A1099" s="87" t="n">
        <v>32685</v>
      </c>
      <c r="D1099" t="n">
        <v>773.6</v>
      </c>
    </row>
    <row r="1100">
      <c r="A1100" s="87" t="n">
        <v>32690</v>
      </c>
      <c r="B1100" t="n">
        <v>624.7</v>
      </c>
      <c r="C1100" t="n">
        <v>2451.7</v>
      </c>
      <c r="E1100" t="n">
        <v>3052.4</v>
      </c>
      <c r="F1100" t="n">
        <v>1.853</v>
      </c>
    </row>
    <row r="1101">
      <c r="A1101" s="87" t="n">
        <v>32692</v>
      </c>
      <c r="D1101" t="n">
        <v>774.3</v>
      </c>
    </row>
    <row r="1102">
      <c r="A1102" s="87" t="n">
        <v>32699</v>
      </c>
      <c r="D1102" t="n">
        <v>779.1</v>
      </c>
    </row>
    <row r="1103">
      <c r="A1103" s="87" t="n">
        <v>32706</v>
      </c>
      <c r="D1103" t="n">
        <v>777.9</v>
      </c>
    </row>
    <row r="1104">
      <c r="A1104" s="87" t="n">
        <v>32713</v>
      </c>
      <c r="D1104" t="n">
        <v>778.1</v>
      </c>
    </row>
    <row r="1105">
      <c r="A1105" s="87" t="n">
        <v>32720</v>
      </c>
      <c r="D1105" t="n">
        <v>777.3</v>
      </c>
    </row>
    <row r="1106">
      <c r="A1106" s="87" t="n">
        <v>32721</v>
      </c>
      <c r="B1106" t="n">
        <v>626</v>
      </c>
      <c r="C1106" t="n">
        <v>2469.4</v>
      </c>
      <c r="E1106" t="n">
        <v>3074.4</v>
      </c>
    </row>
    <row r="1107">
      <c r="A1107" s="87" t="n">
        <v>32727</v>
      </c>
      <c r="D1107" t="n">
        <v>778.4</v>
      </c>
    </row>
    <row r="1108">
      <c r="A1108" s="87" t="n">
        <v>32734</v>
      </c>
      <c r="D1108" t="n">
        <v>779</v>
      </c>
    </row>
    <row r="1109">
      <c r="A1109" s="87" t="n">
        <v>32741</v>
      </c>
      <c r="D1109" t="n">
        <v>780.9</v>
      </c>
    </row>
    <row r="1110">
      <c r="A1110" s="87" t="n">
        <v>32748</v>
      </c>
      <c r="D1110" t="n">
        <v>779.9</v>
      </c>
    </row>
    <row r="1111">
      <c r="A1111" s="87" t="n">
        <v>32752</v>
      </c>
      <c r="B1111" t="n">
        <v>625.8</v>
      </c>
      <c r="C1111" t="n">
        <v>2478</v>
      </c>
      <c r="E1111" t="n">
        <v>3092.5</v>
      </c>
    </row>
    <row r="1112">
      <c r="A1112" s="87" t="n">
        <v>32755</v>
      </c>
      <c r="D1112" t="n">
        <v>777.8</v>
      </c>
    </row>
    <row r="1113">
      <c r="A1113" s="87" t="n">
        <v>32762</v>
      </c>
      <c r="D1113" t="n">
        <v>781.9</v>
      </c>
    </row>
    <row r="1114">
      <c r="A1114" s="87" t="n">
        <v>32769</v>
      </c>
      <c r="D1114" t="n">
        <v>780.2</v>
      </c>
    </row>
    <row r="1115">
      <c r="A1115" s="87" t="n">
        <v>32776</v>
      </c>
      <c r="D1115" t="n">
        <v>781.2</v>
      </c>
    </row>
    <row r="1116">
      <c r="A1116" s="87" t="n">
        <v>32782</v>
      </c>
      <c r="B1116" t="n">
        <v>627.3</v>
      </c>
      <c r="C1116" t="n">
        <v>2483.3</v>
      </c>
      <c r="E1116" t="n">
        <v>3114.1</v>
      </c>
      <c r="F1116" t="n">
        <v>1.834</v>
      </c>
    </row>
    <row r="1117">
      <c r="A1117" s="87" t="n">
        <v>32783</v>
      </c>
      <c r="D1117" t="n">
        <v>783.5</v>
      </c>
    </row>
    <row r="1118">
      <c r="A1118" s="87" t="n">
        <v>32790</v>
      </c>
      <c r="D1118" t="n">
        <v>785.2</v>
      </c>
    </row>
    <row r="1119">
      <c r="A1119" s="87" t="n">
        <v>32797</v>
      </c>
      <c r="D1119" t="n">
        <v>788.7</v>
      </c>
    </row>
    <row r="1120">
      <c r="A1120" s="87" t="n">
        <v>32804</v>
      </c>
      <c r="D1120" t="n">
        <v>787.4</v>
      </c>
    </row>
    <row r="1121">
      <c r="A1121" s="87" t="n">
        <v>32811</v>
      </c>
      <c r="D1121" t="n">
        <v>785.8</v>
      </c>
    </row>
    <row r="1122">
      <c r="A1122" s="87" t="n">
        <v>32813</v>
      </c>
      <c r="B1122" t="n">
        <v>625.8</v>
      </c>
      <c r="C1122" t="n">
        <v>2488.7</v>
      </c>
      <c r="E1122" t="n">
        <v>3133.3</v>
      </c>
    </row>
    <row r="1123">
      <c r="A1123" s="87" t="n">
        <v>32818</v>
      </c>
      <c r="D1123" t="n">
        <v>787</v>
      </c>
    </row>
    <row r="1124">
      <c r="A1124" s="87" t="n">
        <v>32825</v>
      </c>
      <c r="D1124" t="n">
        <v>785.9</v>
      </c>
    </row>
    <row r="1125">
      <c r="A1125" s="87" t="n">
        <v>32832</v>
      </c>
      <c r="D1125" t="n">
        <v>787.6</v>
      </c>
    </row>
    <row r="1126">
      <c r="A1126" s="87" t="n">
        <v>32839</v>
      </c>
      <c r="D1126" t="n">
        <v>790.7</v>
      </c>
    </row>
    <row r="1127">
      <c r="A1127" s="87" t="n">
        <v>32843</v>
      </c>
      <c r="B1127" t="n">
        <v>627.8</v>
      </c>
      <c r="C1127" t="n">
        <v>2496</v>
      </c>
      <c r="E1127" t="n">
        <v>3152.5</v>
      </c>
    </row>
    <row r="1128">
      <c r="A1128" s="87" t="n">
        <v>32846</v>
      </c>
      <c r="D1128" t="n">
        <v>789</v>
      </c>
    </row>
    <row r="1129">
      <c r="A1129" s="87" t="n">
        <v>32853</v>
      </c>
      <c r="D1129" t="n">
        <v>789.8</v>
      </c>
    </row>
    <row r="1130">
      <c r="A1130" s="87" t="n">
        <v>32860</v>
      </c>
      <c r="D1130" t="n">
        <v>790.7</v>
      </c>
    </row>
    <row r="1131">
      <c r="A1131" s="87" t="n">
        <v>32867</v>
      </c>
      <c r="D1131" t="n">
        <v>794.9</v>
      </c>
    </row>
    <row r="1132">
      <c r="A1132" s="87" t="n">
        <v>32874</v>
      </c>
      <c r="B1132" t="n">
        <v>623.8</v>
      </c>
      <c r="C1132" t="n">
        <v>2483.8</v>
      </c>
      <c r="D1132" t="n">
        <v>798.3</v>
      </c>
      <c r="E1132" t="n">
        <v>3166.8</v>
      </c>
      <c r="F1132" t="n">
        <v>1.848</v>
      </c>
    </row>
    <row r="1133">
      <c r="A1133" s="87" t="n">
        <v>32881</v>
      </c>
      <c r="D1133" t="n">
        <v>793.6</v>
      </c>
    </row>
    <row r="1134">
      <c r="A1134" s="87" t="n">
        <v>32888</v>
      </c>
      <c r="D1134" t="n">
        <v>796.5</v>
      </c>
    </row>
    <row r="1135">
      <c r="A1135" s="87" t="n">
        <v>32895</v>
      </c>
      <c r="D1135" t="n">
        <v>795.1</v>
      </c>
    </row>
    <row r="1136">
      <c r="A1136" s="87" t="n">
        <v>32902</v>
      </c>
      <c r="D1136" t="n">
        <v>793.8</v>
      </c>
    </row>
    <row r="1137">
      <c r="A1137" s="87" t="n">
        <v>32905</v>
      </c>
      <c r="B1137" t="n">
        <v>623.5</v>
      </c>
      <c r="C1137" t="n">
        <v>2483.8</v>
      </c>
      <c r="E1137" t="n">
        <v>3179.2</v>
      </c>
    </row>
    <row r="1138">
      <c r="A1138" s="87" t="n">
        <v>32909</v>
      </c>
      <c r="D1138" t="n">
        <v>797.1</v>
      </c>
    </row>
    <row r="1139">
      <c r="A1139" s="87" t="n">
        <v>32916</v>
      </c>
      <c r="D1139" t="n">
        <v>796.3</v>
      </c>
    </row>
    <row r="1140">
      <c r="A1140" s="87" t="n">
        <v>32923</v>
      </c>
      <c r="D1140" t="n">
        <v>796.3</v>
      </c>
    </row>
    <row r="1141">
      <c r="A1141" s="87" t="n">
        <v>32930</v>
      </c>
      <c r="D1141" t="n">
        <v>799.8</v>
      </c>
    </row>
    <row r="1142">
      <c r="A1142" s="87" t="n">
        <v>32933</v>
      </c>
      <c r="B1142" t="n">
        <v>623.3</v>
      </c>
      <c r="C1142" t="n">
        <v>2480.6</v>
      </c>
      <c r="E1142" t="n">
        <v>3190.1</v>
      </c>
    </row>
    <row r="1143">
      <c r="A1143" s="87" t="n">
        <v>32937</v>
      </c>
      <c r="D1143" t="n">
        <v>801.6</v>
      </c>
    </row>
    <row r="1144">
      <c r="A1144" s="87" t="n">
        <v>32944</v>
      </c>
      <c r="D1144" t="n">
        <v>799.7</v>
      </c>
    </row>
    <row r="1145">
      <c r="A1145" s="87" t="n">
        <v>32951</v>
      </c>
      <c r="D1145" t="n">
        <v>799.6</v>
      </c>
    </row>
    <row r="1146">
      <c r="A1146" s="87" t="n">
        <v>32958</v>
      </c>
      <c r="D1146" t="n">
        <v>802.5</v>
      </c>
    </row>
    <row r="1147">
      <c r="A1147" s="87" t="n">
        <v>32964</v>
      </c>
      <c r="B1147" t="n">
        <v>625.4</v>
      </c>
      <c r="C1147" t="n">
        <v>2483.8</v>
      </c>
      <c r="E1147" t="n">
        <v>3201.6</v>
      </c>
      <c r="F1147" t="n">
        <v>1.859</v>
      </c>
    </row>
    <row r="1148">
      <c r="A1148" s="87" t="n">
        <v>32965</v>
      </c>
      <c r="D1148" t="n">
        <v>802.4</v>
      </c>
    </row>
    <row r="1149">
      <c r="A1149" s="87" t="n">
        <v>32972</v>
      </c>
      <c r="D1149" t="n">
        <v>804.3</v>
      </c>
    </row>
    <row r="1150">
      <c r="A1150" s="87" t="n">
        <v>32979</v>
      </c>
      <c r="D1150" t="n">
        <v>807</v>
      </c>
    </row>
    <row r="1151">
      <c r="A1151" s="87" t="n">
        <v>32986</v>
      </c>
      <c r="D1151" t="n">
        <v>807.2</v>
      </c>
    </row>
    <row r="1152">
      <c r="A1152" s="87" t="n">
        <v>32993</v>
      </c>
      <c r="D1152" t="n">
        <v>806.5</v>
      </c>
    </row>
    <row r="1153">
      <c r="A1153" s="87" t="n">
        <v>32994</v>
      </c>
      <c r="B1153" t="n">
        <v>622.9</v>
      </c>
      <c r="C1153" t="n">
        <v>2479.2</v>
      </c>
      <c r="E1153" t="n">
        <v>3200.6</v>
      </c>
    </row>
    <row r="1154">
      <c r="A1154" s="87" t="n">
        <v>33000</v>
      </c>
      <c r="D1154" t="n">
        <v>803</v>
      </c>
    </row>
    <row r="1155">
      <c r="A1155" s="87" t="n">
        <v>33007</v>
      </c>
      <c r="D1155" t="n">
        <v>802.9</v>
      </c>
    </row>
    <row r="1156">
      <c r="A1156" s="87" t="n">
        <v>33014</v>
      </c>
      <c r="D1156" t="n">
        <v>806.2</v>
      </c>
    </row>
    <row r="1157">
      <c r="A1157" s="87" t="n">
        <v>33021</v>
      </c>
      <c r="D1157" t="n">
        <v>804.9</v>
      </c>
    </row>
    <row r="1158">
      <c r="A1158" s="87" t="n">
        <v>33025</v>
      </c>
      <c r="B1158" t="n">
        <v>622.6</v>
      </c>
      <c r="C1158" t="n">
        <v>2474</v>
      </c>
      <c r="E1158" t="n">
        <v>3213.7</v>
      </c>
    </row>
    <row r="1159">
      <c r="A1159" s="87" t="n">
        <v>33028</v>
      </c>
      <c r="D1159" t="n">
        <v>807.1</v>
      </c>
    </row>
    <row r="1160">
      <c r="A1160" s="87" t="n">
        <v>33035</v>
      </c>
      <c r="D1160" t="n">
        <v>807.7</v>
      </c>
    </row>
    <row r="1161">
      <c r="A1161" s="87" t="n">
        <v>33042</v>
      </c>
      <c r="D1161" t="n">
        <v>807.3</v>
      </c>
    </row>
    <row r="1162">
      <c r="A1162" s="87" t="n">
        <v>33049</v>
      </c>
      <c r="D1162" t="n">
        <v>810.3</v>
      </c>
    </row>
    <row r="1163">
      <c r="A1163" s="87" t="n">
        <v>33055</v>
      </c>
      <c r="B1163" t="n">
        <v>620.8</v>
      </c>
      <c r="C1163" t="n">
        <v>2470.9</v>
      </c>
      <c r="E1163" t="n">
        <v>3224.5</v>
      </c>
      <c r="F1163" t="n">
        <v>1.856</v>
      </c>
    </row>
    <row r="1164">
      <c r="A1164" s="87" t="n">
        <v>33056</v>
      </c>
      <c r="D1164" t="n">
        <v>813.2</v>
      </c>
    </row>
    <row r="1165">
      <c r="A1165" s="87" t="n">
        <v>33063</v>
      </c>
      <c r="D1165" t="n">
        <v>808.1</v>
      </c>
    </row>
    <row r="1166">
      <c r="A1166" s="87" t="n">
        <v>33070</v>
      </c>
      <c r="D1166" t="n">
        <v>811.3</v>
      </c>
    </row>
    <row r="1167">
      <c r="A1167" s="87" t="n">
        <v>33077</v>
      </c>
      <c r="D1167" t="n">
        <v>809.3</v>
      </c>
    </row>
    <row r="1168">
      <c r="A1168" s="87" t="n">
        <v>33084</v>
      </c>
      <c r="D1168" t="n">
        <v>810.8</v>
      </c>
    </row>
    <row r="1169">
      <c r="A1169" s="87" t="n">
        <v>33086</v>
      </c>
      <c r="B1169" t="n">
        <v>619.8</v>
      </c>
      <c r="C1169" t="n">
        <v>2463.5</v>
      </c>
      <c r="E1169" t="n">
        <v>3242</v>
      </c>
    </row>
    <row r="1170">
      <c r="A1170" s="87" t="n">
        <v>33091</v>
      </c>
      <c r="D1170" t="n">
        <v>811.9</v>
      </c>
    </row>
    <row r="1171">
      <c r="A1171" s="87" t="n">
        <v>33098</v>
      </c>
      <c r="D1171" t="n">
        <v>816.1</v>
      </c>
    </row>
    <row r="1172">
      <c r="A1172" s="87" t="n">
        <v>33105</v>
      </c>
      <c r="D1172" t="n">
        <v>817.2</v>
      </c>
    </row>
    <row r="1173">
      <c r="A1173" s="87" t="n">
        <v>33112</v>
      </c>
      <c r="D1173" t="n">
        <v>816.2</v>
      </c>
    </row>
    <row r="1174">
      <c r="A1174" s="87" t="n">
        <v>33117</v>
      </c>
      <c r="B1174" t="n">
        <v>619</v>
      </c>
      <c r="C1174" t="n">
        <v>2456.3</v>
      </c>
      <c r="E1174" t="n">
        <v>3254.6</v>
      </c>
    </row>
    <row r="1175">
      <c r="A1175" s="87" t="n">
        <v>33119</v>
      </c>
      <c r="D1175" t="n">
        <v>819</v>
      </c>
    </row>
    <row r="1176">
      <c r="A1176" s="87" t="n">
        <v>33126</v>
      </c>
      <c r="D1176" t="n">
        <v>819.8</v>
      </c>
    </row>
    <row r="1177">
      <c r="A1177" s="87" t="n">
        <v>33133</v>
      </c>
      <c r="D1177" t="n">
        <v>819.2</v>
      </c>
    </row>
    <row r="1178">
      <c r="A1178" s="87" t="n">
        <v>33140</v>
      </c>
      <c r="D1178" t="n">
        <v>820.5</v>
      </c>
    </row>
    <row r="1179">
      <c r="A1179" s="87" t="n">
        <v>33147</v>
      </c>
      <c r="B1179" t="n">
        <v>614.6</v>
      </c>
      <c r="C1179" t="n">
        <v>2443.3</v>
      </c>
      <c r="D1179" t="n">
        <v>823.3</v>
      </c>
      <c r="E1179" t="n">
        <v>3259.3</v>
      </c>
      <c r="F1179" t="n">
        <v>1.839</v>
      </c>
    </row>
    <row r="1180">
      <c r="A1180" s="87" t="n">
        <v>33154</v>
      </c>
      <c r="D1180" t="n">
        <v>820.5</v>
      </c>
    </row>
    <row r="1181">
      <c r="A1181" s="87" t="n">
        <v>33161</v>
      </c>
      <c r="D1181" t="n">
        <v>820.7</v>
      </c>
    </row>
    <row r="1182">
      <c r="A1182" s="87" t="n">
        <v>33168</v>
      </c>
      <c r="D1182" t="n">
        <v>817.2</v>
      </c>
    </row>
    <row r="1183">
      <c r="A1183" s="87" t="n">
        <v>33175</v>
      </c>
      <c r="D1183" t="n">
        <v>820</v>
      </c>
    </row>
    <row r="1184">
      <c r="A1184" s="87" t="n">
        <v>33178</v>
      </c>
      <c r="B1184" t="n">
        <v>614.9</v>
      </c>
      <c r="C1184" t="n">
        <v>2440.2</v>
      </c>
      <c r="E1184" t="n">
        <v>3262.6</v>
      </c>
    </row>
    <row r="1185">
      <c r="A1185" s="87" t="n">
        <v>33182</v>
      </c>
      <c r="D1185" t="n">
        <v>822</v>
      </c>
    </row>
    <row r="1186">
      <c r="A1186" s="87" t="n">
        <v>33189</v>
      </c>
      <c r="D1186" t="n">
        <v>822</v>
      </c>
    </row>
    <row r="1187">
      <c r="A1187" s="87" t="n">
        <v>33196</v>
      </c>
      <c r="D1187" t="n">
        <v>823.4</v>
      </c>
    </row>
    <row r="1188">
      <c r="A1188" s="87" t="n">
        <v>33203</v>
      </c>
      <c r="D1188" t="n">
        <v>824.5</v>
      </c>
    </row>
    <row r="1189">
      <c r="A1189" s="87" t="n">
        <v>33208</v>
      </c>
      <c r="B1189" t="n">
        <v>614.5</v>
      </c>
      <c r="C1189" t="n">
        <v>2438</v>
      </c>
      <c r="E1189" t="n">
        <v>3271.8</v>
      </c>
    </row>
    <row r="1190">
      <c r="A1190" s="87" t="n">
        <v>33210</v>
      </c>
      <c r="D1190" t="n">
        <v>815.3</v>
      </c>
    </row>
    <row r="1191">
      <c r="A1191" s="87" t="n">
        <v>33217</v>
      </c>
      <c r="D1191" t="n">
        <v>821.8</v>
      </c>
    </row>
    <row r="1192">
      <c r="A1192" s="87" t="n">
        <v>33224</v>
      </c>
      <c r="D1192" t="n">
        <v>824.2</v>
      </c>
    </row>
    <row r="1193">
      <c r="A1193" s="87" t="n">
        <v>33231</v>
      </c>
      <c r="D1193" t="n">
        <v>828.1</v>
      </c>
    </row>
    <row r="1194">
      <c r="A1194" s="87" t="n">
        <v>33238</v>
      </c>
      <c r="D1194" t="n">
        <v>828.9</v>
      </c>
    </row>
    <row r="1195">
      <c r="A1195" s="87" t="n">
        <v>33239</v>
      </c>
      <c r="B1195" t="n">
        <v>614.1</v>
      </c>
      <c r="C1195" t="n">
        <v>2440.8</v>
      </c>
      <c r="E1195" t="n">
        <v>3287.7</v>
      </c>
      <c r="F1195" t="n">
        <v>1.826</v>
      </c>
    </row>
    <row r="1196">
      <c r="A1196" s="87" t="n">
        <v>33245</v>
      </c>
      <c r="D1196" t="n">
        <v>826.6</v>
      </c>
    </row>
    <row r="1197">
      <c r="A1197" s="87" t="n">
        <v>33252</v>
      </c>
      <c r="D1197" t="n">
        <v>825.7</v>
      </c>
    </row>
    <row r="1198">
      <c r="A1198" s="87" t="n">
        <v>33259</v>
      </c>
      <c r="D1198" t="n">
        <v>826.2</v>
      </c>
    </row>
    <row r="1199">
      <c r="A1199" s="87" t="n">
        <v>33266</v>
      </c>
      <c r="D1199" t="n">
        <v>828.4</v>
      </c>
    </row>
    <row r="1200">
      <c r="A1200" s="87" t="n">
        <v>33270</v>
      </c>
      <c r="B1200" t="n">
        <v>617.7</v>
      </c>
      <c r="C1200" t="n">
        <v>2451.4</v>
      </c>
      <c r="E1200" t="n">
        <v>3304.5</v>
      </c>
    </row>
    <row r="1201">
      <c r="A1201" s="87" t="n">
        <v>33273</v>
      </c>
      <c r="D1201" t="n">
        <v>830.9</v>
      </c>
    </row>
    <row r="1202">
      <c r="A1202" s="87" t="n">
        <v>33280</v>
      </c>
      <c r="D1202" t="n">
        <v>833.5</v>
      </c>
    </row>
    <row r="1203">
      <c r="A1203" s="87" t="n">
        <v>33287</v>
      </c>
      <c r="D1203" t="n">
        <v>832.4</v>
      </c>
    </row>
    <row r="1204">
      <c r="A1204" s="87" t="n">
        <v>33294</v>
      </c>
      <c r="D1204" t="n">
        <v>832</v>
      </c>
    </row>
    <row r="1205">
      <c r="A1205" s="87" t="n">
        <v>33298</v>
      </c>
      <c r="B1205" t="n">
        <v>622.2</v>
      </c>
      <c r="C1205" t="n">
        <v>2464.3</v>
      </c>
      <c r="E1205" t="n">
        <v>3321.9</v>
      </c>
    </row>
    <row r="1206">
      <c r="A1206" s="87" t="n">
        <v>33301</v>
      </c>
      <c r="D1206" t="n">
        <v>834.6</v>
      </c>
    </row>
    <row r="1207">
      <c r="A1207" s="87" t="n">
        <v>33308</v>
      </c>
      <c r="D1207" t="n">
        <v>836.5</v>
      </c>
    </row>
    <row r="1208">
      <c r="A1208" s="87" t="n">
        <v>33315</v>
      </c>
      <c r="D1208" t="n">
        <v>836</v>
      </c>
    </row>
    <row r="1209">
      <c r="A1209" s="87" t="n">
        <v>33322</v>
      </c>
      <c r="D1209" t="n">
        <v>840.2</v>
      </c>
    </row>
    <row r="1210">
      <c r="A1210" s="87" t="n">
        <v>33329</v>
      </c>
      <c r="B1210" t="n">
        <v>624.1</v>
      </c>
      <c r="C1210" t="n">
        <v>2466.6</v>
      </c>
      <c r="D1210" t="n">
        <v>845.5</v>
      </c>
      <c r="E1210" t="n">
        <v>3332.4</v>
      </c>
      <c r="F1210" t="n">
        <v>1.833</v>
      </c>
    </row>
    <row r="1211">
      <c r="A1211" s="87" t="n">
        <v>33336</v>
      </c>
      <c r="D1211" t="n">
        <v>842.7</v>
      </c>
    </row>
    <row r="1212">
      <c r="A1212" s="87" t="n">
        <v>33343</v>
      </c>
      <c r="D1212" t="n">
        <v>845</v>
      </c>
    </row>
    <row r="1213">
      <c r="A1213" s="87" t="n">
        <v>33350</v>
      </c>
      <c r="D1213" t="n">
        <v>842.6</v>
      </c>
    </row>
    <row r="1214">
      <c r="A1214" s="87" t="n">
        <v>33357</v>
      </c>
      <c r="D1214" t="n">
        <v>841.2</v>
      </c>
    </row>
    <row r="1215">
      <c r="A1215" s="87" t="n">
        <v>33359</v>
      </c>
      <c r="B1215" t="n">
        <v>626</v>
      </c>
      <c r="C1215" t="n">
        <v>2465.3</v>
      </c>
      <c r="E1215" t="n">
        <v>3343</v>
      </c>
    </row>
    <row r="1216">
      <c r="A1216" s="87" t="n">
        <v>33364</v>
      </c>
      <c r="D1216" t="n">
        <v>846.4</v>
      </c>
    </row>
    <row r="1217">
      <c r="A1217" s="87" t="n">
        <v>33371</v>
      </c>
      <c r="D1217" t="n">
        <v>848.3</v>
      </c>
    </row>
    <row r="1218">
      <c r="A1218" s="87" t="n">
        <v>33378</v>
      </c>
      <c r="D1218" t="n">
        <v>850.8</v>
      </c>
    </row>
    <row r="1219">
      <c r="A1219" s="87" t="n">
        <v>33385</v>
      </c>
      <c r="D1219" t="n">
        <v>849.7</v>
      </c>
    </row>
    <row r="1220">
      <c r="A1220" s="87" t="n">
        <v>33390</v>
      </c>
      <c r="B1220" t="n">
        <v>629.9</v>
      </c>
      <c r="C1220" t="n">
        <v>2464.6</v>
      </c>
      <c r="E1220" t="n">
        <v>3351.9</v>
      </c>
    </row>
    <row r="1221">
      <c r="A1221" s="87" t="n">
        <v>33392</v>
      </c>
      <c r="D1221" t="n">
        <v>848.1</v>
      </c>
    </row>
    <row r="1222">
      <c r="A1222" s="87" t="n">
        <v>33399</v>
      </c>
      <c r="D1222" t="n">
        <v>855.6</v>
      </c>
    </row>
    <row r="1223">
      <c r="A1223" s="87" t="n">
        <v>33406</v>
      </c>
      <c r="D1223" t="n">
        <v>856.5</v>
      </c>
    </row>
    <row r="1224">
      <c r="A1224" s="87" t="n">
        <v>33413</v>
      </c>
      <c r="D1224" t="n">
        <v>856.1</v>
      </c>
    </row>
    <row r="1225">
      <c r="A1225" s="87" t="n">
        <v>33420</v>
      </c>
      <c r="B1225" t="n">
        <v>632.6</v>
      </c>
      <c r="C1225" t="n">
        <v>2464.1</v>
      </c>
      <c r="D1225" t="n">
        <v>863.2</v>
      </c>
      <c r="E1225" t="n">
        <v>3356.1</v>
      </c>
      <c r="F1225" t="n">
        <v>1.85</v>
      </c>
    </row>
    <row r="1226">
      <c r="A1226" s="87" t="n">
        <v>33427</v>
      </c>
      <c r="D1226" t="n">
        <v>859.5</v>
      </c>
    </row>
    <row r="1227">
      <c r="A1227" s="87" t="n">
        <v>33434</v>
      </c>
      <c r="D1227" t="n">
        <v>861.4</v>
      </c>
    </row>
    <row r="1228">
      <c r="A1228" s="87" t="n">
        <v>33441</v>
      </c>
      <c r="D1228" t="n">
        <v>861.1</v>
      </c>
    </row>
    <row r="1229">
      <c r="A1229" s="87" t="n">
        <v>33448</v>
      </c>
      <c r="D1229" t="n">
        <v>862.7</v>
      </c>
    </row>
    <row r="1230">
      <c r="A1230" s="87" t="n">
        <v>33451</v>
      </c>
      <c r="B1230" t="n">
        <v>634.6</v>
      </c>
      <c r="C1230" t="n">
        <v>2456.1</v>
      </c>
      <c r="E1230" t="n">
        <v>3355</v>
      </c>
    </row>
    <row r="1231">
      <c r="A1231" s="87" t="n">
        <v>33455</v>
      </c>
      <c r="D1231" t="n">
        <v>866.3</v>
      </c>
    </row>
    <row r="1232">
      <c r="A1232" s="87" t="n">
        <v>33462</v>
      </c>
      <c r="D1232" t="n">
        <v>865.3</v>
      </c>
    </row>
    <row r="1233">
      <c r="A1233" s="87" t="n">
        <v>33469</v>
      </c>
      <c r="D1233" t="n">
        <v>865</v>
      </c>
    </row>
    <row r="1234">
      <c r="A1234" s="87" t="n">
        <v>33476</v>
      </c>
      <c r="D1234" t="n">
        <v>869.1</v>
      </c>
    </row>
    <row r="1235">
      <c r="A1235" s="87" t="n">
        <v>33482</v>
      </c>
      <c r="B1235" t="n">
        <v>634.8</v>
      </c>
      <c r="C1235" t="n">
        <v>2448.8</v>
      </c>
      <c r="E1235" t="n">
        <v>3354.9</v>
      </c>
    </row>
    <row r="1236">
      <c r="A1236" s="87" t="n">
        <v>33483</v>
      </c>
      <c r="D1236" t="n">
        <v>868.3</v>
      </c>
    </row>
    <row r="1237">
      <c r="A1237" s="87" t="n">
        <v>33490</v>
      </c>
      <c r="D1237" t="n">
        <v>870.5</v>
      </c>
    </row>
    <row r="1238">
      <c r="A1238" s="87" t="n">
        <v>33497</v>
      </c>
      <c r="D1238" t="n">
        <v>869.8</v>
      </c>
    </row>
    <row r="1239">
      <c r="A1239" s="87" t="n">
        <v>33504</v>
      </c>
      <c r="D1239" t="n">
        <v>869.5</v>
      </c>
    </row>
    <row r="1240">
      <c r="A1240" s="87" t="n">
        <v>33511</v>
      </c>
      <c r="D1240" t="n">
        <v>871.8</v>
      </c>
    </row>
    <row r="1241">
      <c r="A1241" s="87" t="n">
        <v>33512</v>
      </c>
      <c r="B1241" t="n">
        <v>639.9</v>
      </c>
      <c r="C1241" t="n">
        <v>2449.1</v>
      </c>
      <c r="E1241" t="n">
        <v>3360.1</v>
      </c>
      <c r="F1241" t="n">
        <v>1.861</v>
      </c>
    </row>
    <row r="1242">
      <c r="A1242" s="87" t="n">
        <v>33518</v>
      </c>
      <c r="D1242" t="n">
        <v>874.6</v>
      </c>
    </row>
    <row r="1243">
      <c r="A1243" s="87" t="n">
        <v>33525</v>
      </c>
      <c r="D1243" t="n">
        <v>875.4</v>
      </c>
    </row>
    <row r="1244">
      <c r="A1244" s="87" t="n">
        <v>33532</v>
      </c>
      <c r="D1244" t="n">
        <v>879.5</v>
      </c>
    </row>
    <row r="1245">
      <c r="A1245" s="87" t="n">
        <v>33539</v>
      </c>
      <c r="D1245" t="n">
        <v>880.8</v>
      </c>
    </row>
    <row r="1246">
      <c r="A1246" s="87" t="n">
        <v>33543</v>
      </c>
      <c r="B1246" t="n">
        <v>644.1</v>
      </c>
      <c r="C1246" t="n">
        <v>2442.3</v>
      </c>
      <c r="E1246" t="n">
        <v>3365.5</v>
      </c>
    </row>
    <row r="1247">
      <c r="A1247" s="87" t="n">
        <v>33546</v>
      </c>
      <c r="D1247" t="n">
        <v>882.4</v>
      </c>
    </row>
    <row r="1248">
      <c r="A1248" s="87" t="n">
        <v>33553</v>
      </c>
      <c r="D1248" t="n">
        <v>885.8</v>
      </c>
    </row>
    <row r="1249">
      <c r="A1249" s="87" t="n">
        <v>33560</v>
      </c>
      <c r="D1249" t="n">
        <v>886.6</v>
      </c>
    </row>
    <row r="1250">
      <c r="A1250" s="87" t="n">
        <v>33567</v>
      </c>
      <c r="D1250" t="n">
        <v>887.4</v>
      </c>
    </row>
    <row r="1251">
      <c r="A1251" s="87" t="n">
        <v>33573</v>
      </c>
      <c r="B1251" t="n">
        <v>649.1</v>
      </c>
      <c r="C1251" t="n">
        <v>2440.1</v>
      </c>
      <c r="E1251" t="n">
        <v>3372.2</v>
      </c>
    </row>
    <row r="1252">
      <c r="A1252" s="87" t="n">
        <v>33574</v>
      </c>
      <c r="D1252" t="n">
        <v>896.1</v>
      </c>
    </row>
    <row r="1253">
      <c r="A1253" s="87" t="n">
        <v>33581</v>
      </c>
      <c r="D1253" t="n">
        <v>894.6</v>
      </c>
    </row>
    <row r="1254">
      <c r="A1254" s="87" t="n">
        <v>33588</v>
      </c>
      <c r="D1254" t="n">
        <v>897.6</v>
      </c>
    </row>
    <row r="1255">
      <c r="A1255" s="87" t="n">
        <v>33595</v>
      </c>
      <c r="D1255" t="n">
        <v>897.6</v>
      </c>
    </row>
    <row r="1256">
      <c r="A1256" s="87" t="n">
        <v>33602</v>
      </c>
      <c r="D1256" t="n">
        <v>897.5</v>
      </c>
    </row>
    <row r="1257">
      <c r="A1257" s="87" t="n">
        <v>33604</v>
      </c>
      <c r="B1257" t="n">
        <v>658.3</v>
      </c>
      <c r="C1257" t="n">
        <v>2444.8</v>
      </c>
      <c r="E1257" t="n">
        <v>3381.2</v>
      </c>
      <c r="F1257" t="n">
        <v>1.874</v>
      </c>
    </row>
    <row r="1258">
      <c r="A1258" s="87" t="n">
        <v>33609</v>
      </c>
      <c r="D1258" t="n">
        <v>901.9</v>
      </c>
    </row>
    <row r="1259">
      <c r="A1259" s="87" t="n">
        <v>33616</v>
      </c>
      <c r="D1259" t="n">
        <v>906.8</v>
      </c>
    </row>
    <row r="1260">
      <c r="A1260" s="87" t="n">
        <v>33623</v>
      </c>
      <c r="D1260" t="n">
        <v>909.3</v>
      </c>
    </row>
    <row r="1261">
      <c r="A1261" s="87" t="n">
        <v>33630</v>
      </c>
      <c r="D1261" t="n">
        <v>918.2</v>
      </c>
    </row>
    <row r="1262">
      <c r="A1262" s="87" t="n">
        <v>33635</v>
      </c>
      <c r="B1262" t="n">
        <v>667.5</v>
      </c>
      <c r="C1262" t="n">
        <v>2453.1</v>
      </c>
      <c r="E1262" t="n">
        <v>3400</v>
      </c>
    </row>
    <row r="1263">
      <c r="A1263" s="87" t="n">
        <v>33637</v>
      </c>
      <c r="D1263" t="n">
        <v>917.7</v>
      </c>
    </row>
    <row r="1264">
      <c r="A1264" s="87" t="n">
        <v>33644</v>
      </c>
      <c r="D1264" t="n">
        <v>923.6</v>
      </c>
    </row>
    <row r="1265">
      <c r="A1265" s="87" t="n">
        <v>33651</v>
      </c>
      <c r="D1265" t="n">
        <v>925.4</v>
      </c>
    </row>
    <row r="1266">
      <c r="A1266" s="87" t="n">
        <v>33658</v>
      </c>
      <c r="D1266" t="n">
        <v>928.6</v>
      </c>
    </row>
    <row r="1267">
      <c r="A1267" s="87" t="n">
        <v>33664</v>
      </c>
      <c r="B1267" t="n">
        <v>673.4</v>
      </c>
      <c r="C1267" t="n">
        <v>2447.1</v>
      </c>
      <c r="E1267" t="n">
        <v>3403.9</v>
      </c>
    </row>
    <row r="1268">
      <c r="A1268" s="87" t="n">
        <v>33665</v>
      </c>
      <c r="D1268" t="n">
        <v>926.9</v>
      </c>
    </row>
    <row r="1269">
      <c r="A1269" s="87" t="n">
        <v>33672</v>
      </c>
      <c r="D1269" t="n">
        <v>933.1</v>
      </c>
    </row>
    <row r="1270">
      <c r="A1270" s="87" t="n">
        <v>33679</v>
      </c>
      <c r="D1270" t="n">
        <v>938.2</v>
      </c>
    </row>
    <row r="1271">
      <c r="A1271" s="87" t="n">
        <v>33686</v>
      </c>
      <c r="D1271" t="n">
        <v>937.9</v>
      </c>
    </row>
    <row r="1272">
      <c r="A1272" s="87" t="n">
        <v>33693</v>
      </c>
      <c r="D1272" t="n">
        <v>939.7</v>
      </c>
    </row>
    <row r="1273">
      <c r="A1273" s="87" t="n">
        <v>33695</v>
      </c>
      <c r="B1273" t="n">
        <v>677</v>
      </c>
      <c r="C1273" t="n">
        <v>2438.8</v>
      </c>
      <c r="E1273" t="n">
        <v>3399.7</v>
      </c>
      <c r="F1273" t="n">
        <v>1.905</v>
      </c>
    </row>
    <row r="1274">
      <c r="A1274" s="87" t="n">
        <v>33700</v>
      </c>
      <c r="D1274" t="n">
        <v>941</v>
      </c>
    </row>
    <row r="1275">
      <c r="A1275" s="87" t="n">
        <v>33707</v>
      </c>
      <c r="D1275" t="n">
        <v>941.3</v>
      </c>
    </row>
    <row r="1276">
      <c r="A1276" s="87" t="n">
        <v>33714</v>
      </c>
      <c r="D1276" t="n">
        <v>945.7</v>
      </c>
    </row>
    <row r="1277">
      <c r="A1277" s="87" t="n">
        <v>33721</v>
      </c>
      <c r="D1277" t="n">
        <v>945.6</v>
      </c>
    </row>
    <row r="1278">
      <c r="A1278" s="87" t="n">
        <v>33725</v>
      </c>
      <c r="B1278" t="n">
        <v>680.5</v>
      </c>
      <c r="C1278" t="n">
        <v>2432.8</v>
      </c>
      <c r="E1278" t="n">
        <v>3398.6</v>
      </c>
    </row>
    <row r="1279">
      <c r="A1279" s="87" t="n">
        <v>33728</v>
      </c>
      <c r="D1279" t="n">
        <v>946.5</v>
      </c>
    </row>
    <row r="1280">
      <c r="A1280" s="87" t="n">
        <v>33735</v>
      </c>
      <c r="D1280" t="n">
        <v>949.4</v>
      </c>
    </row>
    <row r="1281">
      <c r="A1281" s="87" t="n">
        <v>33742</v>
      </c>
      <c r="D1281" t="n">
        <v>949.8</v>
      </c>
    </row>
    <row r="1282">
      <c r="A1282" s="87" t="n">
        <v>33749</v>
      </c>
      <c r="D1282" t="n">
        <v>952.3</v>
      </c>
    </row>
    <row r="1283">
      <c r="A1283" s="87" t="n">
        <v>33756</v>
      </c>
      <c r="B1283" t="n">
        <v>681.2</v>
      </c>
      <c r="C1283" t="n">
        <v>2422.1</v>
      </c>
      <c r="D1283" t="n">
        <v>953.5</v>
      </c>
      <c r="E1283" t="n">
        <v>3393.4</v>
      </c>
    </row>
    <row r="1284">
      <c r="A1284" s="87" t="n">
        <v>33763</v>
      </c>
      <c r="D1284" t="n">
        <v>951.1</v>
      </c>
    </row>
    <row r="1285">
      <c r="A1285" s="87" t="n">
        <v>33770</v>
      </c>
      <c r="D1285" t="n">
        <v>955.6</v>
      </c>
    </row>
    <row r="1286">
      <c r="A1286" s="87" t="n">
        <v>33777</v>
      </c>
      <c r="D1286" t="n">
        <v>954.8</v>
      </c>
    </row>
    <row r="1287">
      <c r="A1287" s="87" t="n">
        <v>33784</v>
      </c>
      <c r="D1287" t="n">
        <v>955.2</v>
      </c>
    </row>
    <row r="1288">
      <c r="A1288" s="87" t="n">
        <v>33786</v>
      </c>
      <c r="B1288" t="n">
        <v>685.6</v>
      </c>
      <c r="C1288" t="n">
        <v>2415.6</v>
      </c>
      <c r="E1288" t="n">
        <v>3393.9</v>
      </c>
      <c r="F1288" t="n">
        <v>1.931</v>
      </c>
    </row>
    <row r="1289">
      <c r="A1289" s="87" t="n">
        <v>33791</v>
      </c>
      <c r="D1289" t="n">
        <v>959.3</v>
      </c>
    </row>
    <row r="1290">
      <c r="A1290" s="87" t="n">
        <v>33798</v>
      </c>
      <c r="D1290" t="n">
        <v>960.4</v>
      </c>
    </row>
    <row r="1291">
      <c r="A1291" s="87" t="n">
        <v>33805</v>
      </c>
      <c r="D1291" t="n">
        <v>964.8</v>
      </c>
    </row>
    <row r="1292">
      <c r="A1292" s="87" t="n">
        <v>33812</v>
      </c>
      <c r="D1292" t="n">
        <v>966.8</v>
      </c>
    </row>
    <row r="1293">
      <c r="A1293" s="87" t="n">
        <v>33817</v>
      </c>
      <c r="B1293" t="n">
        <v>691.5</v>
      </c>
      <c r="C1293" t="n">
        <v>2413.9</v>
      </c>
      <c r="E1293" t="n">
        <v>3398.8</v>
      </c>
    </row>
    <row r="1294">
      <c r="A1294" s="87" t="n">
        <v>33819</v>
      </c>
      <c r="D1294" t="n">
        <v>965.8</v>
      </c>
    </row>
    <row r="1295">
      <c r="A1295" s="87" t="n">
        <v>33826</v>
      </c>
      <c r="D1295" t="n">
        <v>972.7</v>
      </c>
    </row>
    <row r="1296">
      <c r="A1296" s="87" t="n">
        <v>33833</v>
      </c>
      <c r="D1296" t="n">
        <v>972.9</v>
      </c>
    </row>
    <row r="1297">
      <c r="A1297" s="87" t="n">
        <v>33840</v>
      </c>
      <c r="D1297" t="n">
        <v>974.2</v>
      </c>
    </row>
    <row r="1298">
      <c r="A1298" s="87" t="n">
        <v>33847</v>
      </c>
      <c r="D1298" t="n">
        <v>978.5</v>
      </c>
    </row>
    <row r="1299">
      <c r="A1299" s="87" t="n">
        <v>33848</v>
      </c>
      <c r="B1299" t="n">
        <v>700.2</v>
      </c>
      <c r="C1299" t="n">
        <v>2416.9</v>
      </c>
      <c r="E1299" t="n">
        <v>3410.3</v>
      </c>
    </row>
    <row r="1300">
      <c r="A1300" s="87" t="n">
        <v>33854</v>
      </c>
      <c r="D1300" t="n">
        <v>979.3</v>
      </c>
    </row>
    <row r="1301">
      <c r="A1301" s="87" t="n">
        <v>33861</v>
      </c>
      <c r="D1301" t="n">
        <v>985.6</v>
      </c>
    </row>
    <row r="1302">
      <c r="A1302" s="87" t="n">
        <v>33868</v>
      </c>
      <c r="D1302" t="n">
        <v>990.1</v>
      </c>
    </row>
    <row r="1303">
      <c r="A1303" s="87" t="n">
        <v>33875</v>
      </c>
      <c r="D1303" t="n">
        <v>994.2</v>
      </c>
    </row>
    <row r="1304">
      <c r="A1304" s="87" t="n">
        <v>33878</v>
      </c>
      <c r="B1304" t="n">
        <v>708.3</v>
      </c>
      <c r="C1304" t="n">
        <v>2416.2</v>
      </c>
      <c r="E1304" t="n">
        <v>3423.8</v>
      </c>
      <c r="F1304" t="n">
        <v>1.951</v>
      </c>
    </row>
    <row r="1305">
      <c r="A1305" s="87" t="n">
        <v>33882</v>
      </c>
      <c r="D1305" t="n">
        <v>997.6</v>
      </c>
    </row>
    <row r="1306">
      <c r="A1306" s="87" t="n">
        <v>33889</v>
      </c>
      <c r="D1306" t="n">
        <v>999.5</v>
      </c>
    </row>
    <row r="1307">
      <c r="A1307" s="87" t="n">
        <v>33896</v>
      </c>
      <c r="D1307" t="n">
        <v>1001</v>
      </c>
    </row>
    <row r="1308">
      <c r="A1308" s="87" t="n">
        <v>33903</v>
      </c>
      <c r="D1308" t="n">
        <v>1009.2</v>
      </c>
    </row>
    <row r="1309">
      <c r="A1309" s="87" t="n">
        <v>33909</v>
      </c>
      <c r="B1309" t="n">
        <v>714.8</v>
      </c>
      <c r="C1309" t="n">
        <v>2411.3</v>
      </c>
      <c r="E1309" t="n">
        <v>3426.5</v>
      </c>
    </row>
    <row r="1310">
      <c r="A1310" s="87" t="n">
        <v>33910</v>
      </c>
      <c r="D1310" t="n">
        <v>1011.7</v>
      </c>
    </row>
    <row r="1311">
      <c r="A1311" s="87" t="n">
        <v>33917</v>
      </c>
      <c r="D1311" t="n">
        <v>1014.8</v>
      </c>
    </row>
    <row r="1312">
      <c r="A1312" s="87" t="n">
        <v>33924</v>
      </c>
      <c r="D1312" t="n">
        <v>1017</v>
      </c>
    </row>
    <row r="1313">
      <c r="A1313" s="87" t="n">
        <v>33931</v>
      </c>
      <c r="D1313" t="n">
        <v>1014.4</v>
      </c>
    </row>
    <row r="1314">
      <c r="A1314" s="87" t="n">
        <v>33938</v>
      </c>
      <c r="D1314" t="n">
        <v>1017.9</v>
      </c>
    </row>
    <row r="1315">
      <c r="A1315" s="87" t="n">
        <v>33939</v>
      </c>
      <c r="B1315" t="n">
        <v>720.2</v>
      </c>
      <c r="C1315" t="n">
        <v>2406.7</v>
      </c>
      <c r="E1315" t="n">
        <v>3424.7</v>
      </c>
    </row>
    <row r="1316">
      <c r="A1316" s="87" t="n">
        <v>33945</v>
      </c>
      <c r="D1316" t="n">
        <v>1021.4</v>
      </c>
    </row>
    <row r="1317">
      <c r="A1317" s="87" t="n">
        <v>33952</v>
      </c>
      <c r="D1317" t="n">
        <v>1025.9</v>
      </c>
    </row>
    <row r="1318">
      <c r="A1318" s="87" t="n">
        <v>33959</v>
      </c>
      <c r="D1318" t="n">
        <v>1022.8</v>
      </c>
    </row>
    <row r="1319">
      <c r="A1319" s="87" t="n">
        <v>33966</v>
      </c>
      <c r="D1319" t="n">
        <v>1028.4</v>
      </c>
    </row>
    <row r="1320">
      <c r="A1320" s="87" t="n">
        <v>33970</v>
      </c>
      <c r="B1320" t="n">
        <v>721.6</v>
      </c>
      <c r="C1320" t="n">
        <v>2394.3</v>
      </c>
      <c r="E1320" t="n">
        <v>3419.1</v>
      </c>
      <c r="F1320" t="n">
        <v>1.971</v>
      </c>
    </row>
    <row r="1321">
      <c r="A1321" s="87" t="n">
        <v>33973</v>
      </c>
      <c r="D1321" t="n">
        <v>1027.8</v>
      </c>
    </row>
    <row r="1322">
      <c r="A1322" s="87" t="n">
        <v>33980</v>
      </c>
      <c r="D1322" t="n">
        <v>1031.1</v>
      </c>
    </row>
    <row r="1323">
      <c r="A1323" s="87" t="n">
        <v>33987</v>
      </c>
      <c r="D1323" t="n">
        <v>1029.6</v>
      </c>
    </row>
    <row r="1324">
      <c r="A1324" s="87" t="n">
        <v>33994</v>
      </c>
      <c r="D1324" t="n">
        <v>1030.9</v>
      </c>
    </row>
    <row r="1325">
      <c r="A1325" s="87" t="n">
        <v>34001</v>
      </c>
      <c r="B1325" t="n">
        <v>722.2</v>
      </c>
      <c r="C1325" t="n">
        <v>2386.1</v>
      </c>
      <c r="D1325" t="n">
        <v>1031.4</v>
      </c>
      <c r="E1325" t="n">
        <v>3414.5</v>
      </c>
    </row>
    <row r="1326">
      <c r="A1326" s="87" t="n">
        <v>34008</v>
      </c>
      <c r="D1326" t="n">
        <v>1030</v>
      </c>
    </row>
    <row r="1327">
      <c r="A1327" s="87" t="n">
        <v>34015</v>
      </c>
      <c r="D1327" t="n">
        <v>1034.1</v>
      </c>
    </row>
    <row r="1328">
      <c r="A1328" s="87" t="n">
        <v>34022</v>
      </c>
      <c r="D1328" t="n">
        <v>1034.7</v>
      </c>
    </row>
    <row r="1329">
      <c r="A1329" s="87" t="n">
        <v>34029</v>
      </c>
      <c r="B1329" t="n">
        <v>724.6</v>
      </c>
      <c r="C1329" t="n">
        <v>2380.8</v>
      </c>
      <c r="D1329" t="n">
        <v>1035.9</v>
      </c>
      <c r="E1329" t="n">
        <v>3411.7</v>
      </c>
    </row>
    <row r="1330">
      <c r="A1330" s="87" t="n">
        <v>34036</v>
      </c>
      <c r="D1330" t="n">
        <v>1035.3</v>
      </c>
    </row>
    <row r="1331">
      <c r="A1331" s="87" t="n">
        <v>34043</v>
      </c>
      <c r="D1331" t="n">
        <v>1036.8</v>
      </c>
    </row>
    <row r="1332">
      <c r="A1332" s="87" t="n">
        <v>34050</v>
      </c>
      <c r="D1332" t="n">
        <v>1038.6</v>
      </c>
    </row>
    <row r="1333">
      <c r="A1333" s="87" t="n">
        <v>34057</v>
      </c>
      <c r="D1333" t="n">
        <v>1040.4</v>
      </c>
    </row>
    <row r="1334">
      <c r="A1334" s="87" t="n">
        <v>34060</v>
      </c>
      <c r="B1334" t="n">
        <v>728.5</v>
      </c>
      <c r="C1334" t="n">
        <v>2372.3</v>
      </c>
      <c r="E1334" t="n">
        <v>3411.3</v>
      </c>
      <c r="F1334" t="n">
        <v>1.985</v>
      </c>
    </row>
    <row r="1335">
      <c r="A1335" s="87" t="n">
        <v>34064</v>
      </c>
      <c r="D1335" t="n">
        <v>1045.4</v>
      </c>
    </row>
    <row r="1336">
      <c r="A1336" s="87" t="n">
        <v>34071</v>
      </c>
      <c r="D1336" t="n">
        <v>1045.9</v>
      </c>
    </row>
    <row r="1337">
      <c r="A1337" s="87" t="n">
        <v>34078</v>
      </c>
      <c r="D1337" t="n">
        <v>1045.5</v>
      </c>
    </row>
    <row r="1338">
      <c r="A1338" s="87" t="n">
        <v>34085</v>
      </c>
      <c r="D1338" t="n">
        <v>1047.2</v>
      </c>
    </row>
    <row r="1339">
      <c r="A1339" s="87" t="n">
        <v>34090</v>
      </c>
      <c r="B1339" t="n">
        <v>739.2</v>
      </c>
      <c r="C1339" t="n">
        <v>2383.4</v>
      </c>
      <c r="E1339" t="n">
        <v>3436.9</v>
      </c>
    </row>
    <row r="1340">
      <c r="A1340" s="87" t="n">
        <v>34092</v>
      </c>
      <c r="D1340" t="n">
        <v>1056.3</v>
      </c>
    </row>
    <row r="1341">
      <c r="A1341" s="87" t="n">
        <v>34099</v>
      </c>
      <c r="D1341" t="n">
        <v>1064.1</v>
      </c>
    </row>
    <row r="1342">
      <c r="A1342" s="87" t="n">
        <v>34106</v>
      </c>
      <c r="D1342" t="n">
        <v>1066</v>
      </c>
    </row>
    <row r="1343">
      <c r="A1343" s="87" t="n">
        <v>34113</v>
      </c>
      <c r="D1343" t="n">
        <v>1063.6</v>
      </c>
    </row>
    <row r="1344">
      <c r="A1344" s="87" t="n">
        <v>34120</v>
      </c>
      <c r="D1344" t="n">
        <v>1073</v>
      </c>
    </row>
    <row r="1345">
      <c r="A1345" s="87" t="n">
        <v>34121</v>
      </c>
      <c r="B1345" t="n">
        <v>745</v>
      </c>
      <c r="C1345" t="n">
        <v>2385.6</v>
      </c>
      <c r="E1345" t="n">
        <v>3442.4</v>
      </c>
    </row>
    <row r="1346">
      <c r="A1346" s="87" t="n">
        <v>34127</v>
      </c>
      <c r="D1346" t="n">
        <v>1071.3</v>
      </c>
    </row>
    <row r="1347">
      <c r="A1347" s="87" t="n">
        <v>34134</v>
      </c>
      <c r="D1347" t="n">
        <v>1074.1</v>
      </c>
    </row>
    <row r="1348">
      <c r="A1348" s="87" t="n">
        <v>34141</v>
      </c>
      <c r="D1348" t="n">
        <v>1076.4</v>
      </c>
    </row>
    <row r="1349">
      <c r="A1349" s="87" t="n">
        <v>34148</v>
      </c>
      <c r="D1349" t="n">
        <v>1077.6</v>
      </c>
    </row>
    <row r="1350">
      <c r="A1350" s="87" t="n">
        <v>34151</v>
      </c>
      <c r="B1350" t="n">
        <v>750.6</v>
      </c>
      <c r="C1350" t="n">
        <v>2382</v>
      </c>
      <c r="E1350" t="n">
        <v>3442</v>
      </c>
      <c r="F1350" t="n">
        <v>1.997</v>
      </c>
    </row>
    <row r="1351">
      <c r="A1351" s="87" t="n">
        <v>34155</v>
      </c>
      <c r="D1351" t="n">
        <v>1079.3</v>
      </c>
    </row>
    <row r="1352">
      <c r="A1352" s="87" t="n">
        <v>34162</v>
      </c>
      <c r="D1352" t="n">
        <v>1083.3</v>
      </c>
    </row>
    <row r="1353">
      <c r="A1353" s="87" t="n">
        <v>34169</v>
      </c>
      <c r="D1353" t="n">
        <v>1085.3</v>
      </c>
    </row>
    <row r="1354">
      <c r="A1354" s="87" t="n">
        <v>34176</v>
      </c>
      <c r="D1354" t="n">
        <v>1086.5</v>
      </c>
    </row>
    <row r="1355">
      <c r="A1355" s="87" t="n">
        <v>34182</v>
      </c>
      <c r="B1355" t="n">
        <v>755.7</v>
      </c>
      <c r="C1355" t="n">
        <v>2379.6</v>
      </c>
      <c r="E1355" t="n">
        <v>3445.7</v>
      </c>
    </row>
    <row r="1356">
      <c r="A1356" s="87" t="n">
        <v>34183</v>
      </c>
      <c r="D1356" t="n">
        <v>1088.3</v>
      </c>
    </row>
    <row r="1357">
      <c r="A1357" s="87" t="n">
        <v>34190</v>
      </c>
      <c r="D1357" t="n">
        <v>1092.4</v>
      </c>
    </row>
    <row r="1358">
      <c r="A1358" s="87" t="n">
        <v>34197</v>
      </c>
      <c r="D1358" t="n">
        <v>1095.4</v>
      </c>
    </row>
    <row r="1359">
      <c r="A1359" s="87" t="n">
        <v>34204</v>
      </c>
      <c r="D1359" t="n">
        <v>1093.1</v>
      </c>
    </row>
    <row r="1360">
      <c r="A1360" s="87" t="n">
        <v>34211</v>
      </c>
      <c r="D1360" t="n">
        <v>1096.8</v>
      </c>
    </row>
    <row r="1361">
      <c r="A1361" s="87" t="n">
        <v>34213</v>
      </c>
      <c r="B1361" t="n">
        <v>761.5</v>
      </c>
      <c r="C1361" t="n">
        <v>2380.8</v>
      </c>
      <c r="E1361" t="n">
        <v>3452.2</v>
      </c>
    </row>
    <row r="1362">
      <c r="A1362" s="87" t="n">
        <v>34218</v>
      </c>
      <c r="D1362" t="n">
        <v>1100.6</v>
      </c>
    </row>
    <row r="1363">
      <c r="A1363" s="87" t="n">
        <v>34225</v>
      </c>
      <c r="D1363" t="n">
        <v>1103</v>
      </c>
    </row>
    <row r="1364">
      <c r="A1364" s="87" t="n">
        <v>34232</v>
      </c>
      <c r="D1364" t="n">
        <v>1106.9</v>
      </c>
    </row>
    <row r="1365">
      <c r="A1365" s="87" t="n">
        <v>34239</v>
      </c>
      <c r="D1365" t="n">
        <v>1103.9</v>
      </c>
    </row>
    <row r="1366">
      <c r="A1366" s="87" t="n">
        <v>34243</v>
      </c>
      <c r="B1366" t="n">
        <v>764.5</v>
      </c>
      <c r="C1366" t="n">
        <v>2374.1</v>
      </c>
      <c r="E1366" t="n">
        <v>3456.7</v>
      </c>
      <c r="F1366" t="n">
        <v>2.023</v>
      </c>
    </row>
    <row r="1367">
      <c r="A1367" s="87" t="n">
        <v>34246</v>
      </c>
      <c r="D1367" t="n">
        <v>1108.3</v>
      </c>
    </row>
    <row r="1368">
      <c r="A1368" s="87" t="n">
        <v>34253</v>
      </c>
      <c r="D1368" t="n">
        <v>1110.1</v>
      </c>
    </row>
    <row r="1369">
      <c r="A1369" s="87" t="n">
        <v>34260</v>
      </c>
      <c r="D1369" t="n">
        <v>1112.8</v>
      </c>
    </row>
    <row r="1370">
      <c r="A1370" s="87" t="n">
        <v>34267</v>
      </c>
      <c r="D1370" t="n">
        <v>1113</v>
      </c>
    </row>
    <row r="1371">
      <c r="A1371" s="87" t="n">
        <v>34274</v>
      </c>
      <c r="B1371" t="n">
        <v>769.9</v>
      </c>
      <c r="C1371" t="n">
        <v>2376.8</v>
      </c>
      <c r="D1371" t="n">
        <v>1120.1</v>
      </c>
      <c r="E1371" t="n">
        <v>3470.1</v>
      </c>
    </row>
    <row r="1372">
      <c r="A1372" s="87" t="n">
        <v>34281</v>
      </c>
      <c r="D1372" t="n">
        <v>1121.7</v>
      </c>
    </row>
    <row r="1373">
      <c r="A1373" s="87" t="n">
        <v>34288</v>
      </c>
      <c r="D1373" t="n">
        <v>1126.8</v>
      </c>
    </row>
    <row r="1374">
      <c r="A1374" s="87" t="n">
        <v>34295</v>
      </c>
      <c r="D1374" t="n">
        <v>1123.2</v>
      </c>
    </row>
    <row r="1375">
      <c r="A1375" s="87" t="n">
        <v>34302</v>
      </c>
      <c r="D1375" t="n">
        <v>1124.7</v>
      </c>
    </row>
    <row r="1376">
      <c r="A1376" s="87" t="n">
        <v>34304</v>
      </c>
      <c r="B1376" t="n">
        <v>772.1</v>
      </c>
      <c r="C1376" t="n">
        <v>2374.9</v>
      </c>
      <c r="E1376" t="n">
        <v>3474.5</v>
      </c>
    </row>
    <row r="1377">
      <c r="A1377" s="87" t="n">
        <v>34309</v>
      </c>
      <c r="D1377" t="n">
        <v>1128.1</v>
      </c>
    </row>
    <row r="1378">
      <c r="A1378" s="87" t="n">
        <v>34316</v>
      </c>
      <c r="D1378" t="n">
        <v>1129.5</v>
      </c>
    </row>
    <row r="1379">
      <c r="A1379" s="87" t="n">
        <v>34323</v>
      </c>
      <c r="D1379" t="n">
        <v>1129.5</v>
      </c>
    </row>
    <row r="1380">
      <c r="A1380" s="87" t="n">
        <v>34330</v>
      </c>
      <c r="D1380" t="n">
        <v>1131.9</v>
      </c>
    </row>
    <row r="1381">
      <c r="A1381" s="87" t="n">
        <v>34335</v>
      </c>
      <c r="B1381" t="n">
        <v>773.5</v>
      </c>
      <c r="C1381" t="n">
        <v>2375.2</v>
      </c>
      <c r="E1381" t="n">
        <v>3474.9</v>
      </c>
      <c r="F1381" t="n">
        <v>2.047</v>
      </c>
    </row>
    <row r="1382">
      <c r="A1382" s="87" t="n">
        <v>34337</v>
      </c>
      <c r="D1382" t="n">
        <v>1128.4</v>
      </c>
    </row>
    <row r="1383">
      <c r="A1383" s="87" t="n">
        <v>34344</v>
      </c>
      <c r="D1383" t="n">
        <v>1131</v>
      </c>
    </row>
    <row r="1384">
      <c r="A1384" s="87" t="n">
        <v>34351</v>
      </c>
      <c r="D1384" t="n">
        <v>1131.3</v>
      </c>
    </row>
    <row r="1385">
      <c r="A1385" s="87" t="n">
        <v>34358</v>
      </c>
      <c r="D1385" t="n">
        <v>1132.4</v>
      </c>
    </row>
    <row r="1386">
      <c r="A1386" s="87" t="n">
        <v>34365</v>
      </c>
      <c r="D1386" t="n">
        <v>1132.7</v>
      </c>
    </row>
    <row r="1387">
      <c r="A1387" s="87" t="n">
        <v>34366</v>
      </c>
      <c r="B1387" t="n">
        <v>774.6</v>
      </c>
      <c r="C1387" t="n">
        <v>2369.3</v>
      </c>
      <c r="E1387" t="n">
        <v>3475.7</v>
      </c>
    </row>
    <row r="1388">
      <c r="A1388" s="87" t="n">
        <v>34372</v>
      </c>
      <c r="D1388" t="n">
        <v>1134.5</v>
      </c>
    </row>
    <row r="1389">
      <c r="A1389" s="87" t="n">
        <v>34379</v>
      </c>
      <c r="D1389" t="n">
        <v>1136.7</v>
      </c>
    </row>
    <row r="1390">
      <c r="A1390" s="87" t="n">
        <v>34386</v>
      </c>
      <c r="D1390" t="n">
        <v>1137.4</v>
      </c>
    </row>
    <row r="1391">
      <c r="A1391" s="87" t="n">
        <v>34393</v>
      </c>
      <c r="D1391" t="n">
        <v>1136.5</v>
      </c>
    </row>
    <row r="1392">
      <c r="A1392" s="87" t="n">
        <v>34394</v>
      </c>
      <c r="B1392" t="n">
        <v>775.1</v>
      </c>
      <c r="C1392" t="n">
        <v>2365.8</v>
      </c>
      <c r="E1392" t="n">
        <v>3480.1</v>
      </c>
    </row>
    <row r="1393">
      <c r="A1393" s="87" t="n">
        <v>34400</v>
      </c>
      <c r="D1393" t="n">
        <v>1138.3</v>
      </c>
    </row>
    <row r="1394">
      <c r="A1394" s="87" t="n">
        <v>34407</v>
      </c>
      <c r="D1394" t="n">
        <v>1139.6</v>
      </c>
    </row>
    <row r="1395">
      <c r="A1395" s="87" t="n">
        <v>34414</v>
      </c>
      <c r="D1395" t="n">
        <v>1139.2</v>
      </c>
    </row>
    <row r="1396">
      <c r="A1396" s="87" t="n">
        <v>34421</v>
      </c>
      <c r="D1396" t="n">
        <v>1141.5</v>
      </c>
    </row>
    <row r="1397">
      <c r="A1397" s="87" t="n">
        <v>34425</v>
      </c>
      <c r="B1397" t="n">
        <v>775.2</v>
      </c>
      <c r="C1397" t="n">
        <v>2365</v>
      </c>
      <c r="E1397" t="n">
        <v>3481.3</v>
      </c>
      <c r="F1397" t="n">
        <v>2.08</v>
      </c>
    </row>
    <row r="1398">
      <c r="A1398" s="87" t="n">
        <v>34428</v>
      </c>
      <c r="D1398" t="n">
        <v>1144.7</v>
      </c>
    </row>
    <row r="1399">
      <c r="A1399" s="87" t="n">
        <v>34435</v>
      </c>
      <c r="D1399" t="n">
        <v>1143.8</v>
      </c>
    </row>
    <row r="1400">
      <c r="A1400" s="87" t="n">
        <v>34442</v>
      </c>
      <c r="D1400" t="n">
        <v>1139</v>
      </c>
    </row>
    <row r="1401">
      <c r="A1401" s="87" t="n">
        <v>34449</v>
      </c>
      <c r="D1401" t="n">
        <v>1137.9</v>
      </c>
    </row>
    <row r="1402">
      <c r="A1402" s="87" t="n">
        <v>34455</v>
      </c>
      <c r="B1402" t="n">
        <v>775.1</v>
      </c>
      <c r="C1402" t="n">
        <v>2366.6</v>
      </c>
      <c r="E1402" t="n">
        <v>3490.8</v>
      </c>
    </row>
    <row r="1403">
      <c r="A1403" s="87" t="n">
        <v>34456</v>
      </c>
      <c r="D1403" t="n">
        <v>1141.8</v>
      </c>
    </row>
    <row r="1404">
      <c r="A1404" s="87" t="n">
        <v>34463</v>
      </c>
      <c r="D1404" t="n">
        <v>1144.9</v>
      </c>
    </row>
    <row r="1405">
      <c r="A1405" s="87" t="n">
        <v>34470</v>
      </c>
      <c r="D1405" t="n">
        <v>1145.1</v>
      </c>
    </row>
    <row r="1406">
      <c r="A1406" s="87" t="n">
        <v>34477</v>
      </c>
      <c r="D1406" t="n">
        <v>1141.2</v>
      </c>
    </row>
    <row r="1407">
      <c r="A1407" s="87" t="n">
        <v>34484</v>
      </c>
      <c r="D1407" t="n">
        <v>1142.3</v>
      </c>
    </row>
    <row r="1408">
      <c r="A1408" s="87" t="n">
        <v>34486</v>
      </c>
      <c r="B1408" t="n">
        <v>774.3</v>
      </c>
      <c r="C1408" t="n">
        <v>2352.6</v>
      </c>
      <c r="E1408" t="n">
        <v>3479.5</v>
      </c>
    </row>
    <row r="1409">
      <c r="A1409" s="87" t="n">
        <v>34491</v>
      </c>
      <c r="D1409" t="n">
        <v>1144.3</v>
      </c>
    </row>
    <row r="1410">
      <c r="A1410" s="87" t="n">
        <v>34498</v>
      </c>
      <c r="D1410" t="n">
        <v>1145.4</v>
      </c>
    </row>
    <row r="1411">
      <c r="A1411" s="87" t="n">
        <v>34505</v>
      </c>
      <c r="D1411" t="n">
        <v>1146.4</v>
      </c>
    </row>
    <row r="1412">
      <c r="A1412" s="87" t="n">
        <v>34512</v>
      </c>
      <c r="D1412" t="n">
        <v>1145.3</v>
      </c>
    </row>
    <row r="1413">
      <c r="A1413" s="87" t="n">
        <v>34516</v>
      </c>
      <c r="B1413" t="n">
        <v>775.4</v>
      </c>
      <c r="C1413" t="n">
        <v>2350.5</v>
      </c>
      <c r="E1413" t="n">
        <v>3488.2</v>
      </c>
      <c r="F1413" t="n">
        <v>2.103</v>
      </c>
    </row>
    <row r="1414">
      <c r="A1414" s="87" t="n">
        <v>34519</v>
      </c>
      <c r="D1414" t="n">
        <v>1143.5</v>
      </c>
    </row>
    <row r="1415">
      <c r="A1415" s="87" t="n">
        <v>34526</v>
      </c>
      <c r="D1415" t="n">
        <v>1151.5</v>
      </c>
    </row>
    <row r="1416">
      <c r="A1416" s="87" t="n">
        <v>34533</v>
      </c>
      <c r="D1416" t="n">
        <v>1151.2</v>
      </c>
    </row>
    <row r="1417">
      <c r="A1417" s="87" t="n">
        <v>34540</v>
      </c>
      <c r="D1417" t="n">
        <v>1151.4</v>
      </c>
    </row>
    <row r="1418">
      <c r="A1418" s="87" t="n">
        <v>34547</v>
      </c>
      <c r="B1418" t="n">
        <v>772.2</v>
      </c>
      <c r="C1418" t="n">
        <v>2339.4</v>
      </c>
      <c r="D1418" t="n">
        <v>1152.9</v>
      </c>
      <c r="E1418" t="n">
        <v>3485.7</v>
      </c>
    </row>
    <row r="1419">
      <c r="A1419" s="87" t="n">
        <v>34554</v>
      </c>
      <c r="D1419" t="n">
        <v>1148</v>
      </c>
    </row>
    <row r="1420">
      <c r="A1420" s="87" t="n">
        <v>34561</v>
      </c>
      <c r="D1420" t="n">
        <v>1151.6</v>
      </c>
    </row>
    <row r="1421">
      <c r="A1421" s="87" t="n">
        <v>34568</v>
      </c>
      <c r="D1421" t="n">
        <v>1150.2</v>
      </c>
    </row>
    <row r="1422">
      <c r="A1422" s="87" t="n">
        <v>34575</v>
      </c>
      <c r="D1422" t="n">
        <v>1151.6</v>
      </c>
    </row>
    <row r="1423">
      <c r="A1423" s="87" t="n">
        <v>34578</v>
      </c>
      <c r="B1423" t="n">
        <v>771.5</v>
      </c>
      <c r="C1423" t="n">
        <v>2335</v>
      </c>
      <c r="E1423" t="n">
        <v>3486.1</v>
      </c>
    </row>
    <row r="1424">
      <c r="A1424" s="87" t="n">
        <v>34582</v>
      </c>
      <c r="D1424" t="n">
        <v>1153</v>
      </c>
    </row>
    <row r="1425">
      <c r="A1425" s="87" t="n">
        <v>34589</v>
      </c>
      <c r="D1425" t="n">
        <v>1152.7</v>
      </c>
    </row>
    <row r="1426">
      <c r="A1426" s="87" t="n">
        <v>34596</v>
      </c>
      <c r="D1426" t="n">
        <v>1152.2</v>
      </c>
    </row>
    <row r="1427">
      <c r="A1427" s="87" t="n">
        <v>34603</v>
      </c>
      <c r="D1427" t="n">
        <v>1152.3</v>
      </c>
    </row>
    <row r="1428">
      <c r="A1428" s="87" t="n">
        <v>34608</v>
      </c>
      <c r="B1428" t="n">
        <v>769.9</v>
      </c>
      <c r="C1428" t="n">
        <v>2332.2</v>
      </c>
      <c r="E1428" t="n">
        <v>3484.3</v>
      </c>
      <c r="F1428" t="n">
        <v>2.139</v>
      </c>
    </row>
    <row r="1429">
      <c r="A1429" s="87" t="n">
        <v>34610</v>
      </c>
      <c r="D1429" t="n">
        <v>1147.7</v>
      </c>
    </row>
    <row r="1430">
      <c r="A1430" s="87" t="n">
        <v>34617</v>
      </c>
      <c r="D1430" t="n">
        <v>1152.6</v>
      </c>
    </row>
    <row r="1431">
      <c r="A1431" s="87" t="n">
        <v>34624</v>
      </c>
      <c r="D1431" t="n">
        <v>1152.7</v>
      </c>
    </row>
    <row r="1432">
      <c r="A1432" s="87" t="n">
        <v>34631</v>
      </c>
      <c r="D1432" t="n">
        <v>1148.2</v>
      </c>
    </row>
    <row r="1433">
      <c r="A1433" s="87" t="n">
        <v>34638</v>
      </c>
      <c r="D1433" t="n">
        <v>1148.1</v>
      </c>
    </row>
    <row r="1434">
      <c r="A1434" s="87" t="n">
        <v>34639</v>
      </c>
      <c r="B1434" t="n">
        <v>768.3</v>
      </c>
      <c r="C1434" t="n">
        <v>2327.9</v>
      </c>
      <c r="E1434" t="n">
        <v>3487.2</v>
      </c>
    </row>
    <row r="1435">
      <c r="A1435" s="87" t="n">
        <v>34645</v>
      </c>
      <c r="D1435" t="n">
        <v>1148.2</v>
      </c>
    </row>
    <row r="1436">
      <c r="A1436" s="87" t="n">
        <v>34652</v>
      </c>
      <c r="D1436" t="n">
        <v>1151.8</v>
      </c>
    </row>
    <row r="1437">
      <c r="A1437" s="87" t="n">
        <v>34659</v>
      </c>
      <c r="D1437" t="n">
        <v>1152.4</v>
      </c>
    </row>
    <row r="1438">
      <c r="A1438" s="87" t="n">
        <v>34666</v>
      </c>
      <c r="D1438" t="n">
        <v>1151.2</v>
      </c>
    </row>
    <row r="1439">
      <c r="A1439" s="87" t="n">
        <v>34669</v>
      </c>
      <c r="B1439" t="n">
        <v>766.6</v>
      </c>
      <c r="C1439" t="n">
        <v>2322.7</v>
      </c>
      <c r="E1439" t="n">
        <v>3486.4</v>
      </c>
    </row>
    <row r="1440">
      <c r="A1440" s="87" t="n">
        <v>34673</v>
      </c>
      <c r="D1440" t="n">
        <v>1152.2</v>
      </c>
    </row>
    <row r="1441">
      <c r="A1441" s="87" t="n">
        <v>34680</v>
      </c>
      <c r="D1441" t="n">
        <v>1154.5</v>
      </c>
    </row>
    <row r="1442">
      <c r="A1442" s="87" t="n">
        <v>34687</v>
      </c>
      <c r="D1442" t="n">
        <v>1150.4</v>
      </c>
    </row>
    <row r="1443">
      <c r="A1443" s="87" t="n">
        <v>34694</v>
      </c>
      <c r="D1443" t="n">
        <v>1149.3</v>
      </c>
    </row>
    <row r="1444">
      <c r="A1444" s="87" t="n">
        <v>34700</v>
      </c>
      <c r="B1444" t="n">
        <v>765</v>
      </c>
      <c r="C1444" t="n">
        <v>2320.5</v>
      </c>
      <c r="E1444" t="n">
        <v>3492.4</v>
      </c>
      <c r="F1444" t="n">
        <v>2.155</v>
      </c>
    </row>
    <row r="1445">
      <c r="A1445" s="87" t="n">
        <v>34701</v>
      </c>
      <c r="D1445" t="n">
        <v>1145.9</v>
      </c>
    </row>
    <row r="1446">
      <c r="A1446" s="87" t="n">
        <v>34708</v>
      </c>
      <c r="D1446" t="n">
        <v>1154.4</v>
      </c>
    </row>
    <row r="1447">
      <c r="A1447" s="87" t="n">
        <v>34715</v>
      </c>
      <c r="D1447" t="n">
        <v>1154.4</v>
      </c>
    </row>
    <row r="1448">
      <c r="A1448" s="87" t="n">
        <v>34722</v>
      </c>
      <c r="D1448" t="n">
        <v>1150.4</v>
      </c>
    </row>
    <row r="1449">
      <c r="A1449" s="87" t="n">
        <v>34729</v>
      </c>
      <c r="D1449" t="n">
        <v>1148</v>
      </c>
    </row>
    <row r="1450">
      <c r="A1450" s="87" t="n">
        <v>34731</v>
      </c>
      <c r="B1450" t="n">
        <v>760.4</v>
      </c>
      <c r="C1450" t="n">
        <v>2312.7</v>
      </c>
      <c r="E1450" t="n">
        <v>3489.9</v>
      </c>
    </row>
    <row r="1451">
      <c r="A1451" s="87" t="n">
        <v>34736</v>
      </c>
      <c r="D1451" t="n">
        <v>1150.5</v>
      </c>
    </row>
    <row r="1452">
      <c r="A1452" s="87" t="n">
        <v>34743</v>
      </c>
      <c r="D1452" t="n">
        <v>1148</v>
      </c>
    </row>
    <row r="1453">
      <c r="A1453" s="87" t="n">
        <v>34750</v>
      </c>
      <c r="D1453" t="n">
        <v>1145.3</v>
      </c>
    </row>
    <row r="1454">
      <c r="A1454" s="87" t="n">
        <v>34757</v>
      </c>
      <c r="D1454" t="n">
        <v>1146.2</v>
      </c>
    </row>
    <row r="1455">
      <c r="A1455" s="87" t="n">
        <v>34759</v>
      </c>
      <c r="B1455" t="n">
        <v>758.4</v>
      </c>
      <c r="C1455" t="n">
        <v>2308.9</v>
      </c>
      <c r="E1455" t="n">
        <v>3491.1</v>
      </c>
    </row>
    <row r="1456">
      <c r="A1456" s="87" t="n">
        <v>34764</v>
      </c>
      <c r="D1456" t="n">
        <v>1147.2</v>
      </c>
    </row>
    <row r="1457">
      <c r="A1457" s="87" t="n">
        <v>34771</v>
      </c>
      <c r="D1457" t="n">
        <v>1148.3</v>
      </c>
    </row>
    <row r="1458">
      <c r="A1458" s="87" t="n">
        <v>34778</v>
      </c>
      <c r="D1458" t="n">
        <v>1147.2</v>
      </c>
    </row>
    <row r="1459">
      <c r="A1459" s="87" t="n">
        <v>34785</v>
      </c>
      <c r="D1459" t="n">
        <v>1147.2</v>
      </c>
    </row>
    <row r="1460">
      <c r="A1460" s="87" t="n">
        <v>34790</v>
      </c>
      <c r="B1460" t="n">
        <v>757.1</v>
      </c>
      <c r="C1460" t="n">
        <v>2305.1</v>
      </c>
      <c r="E1460" t="n">
        <v>3499.2</v>
      </c>
      <c r="F1460" t="n">
        <v>2.151</v>
      </c>
    </row>
    <row r="1461">
      <c r="A1461" s="87" t="n">
        <v>34792</v>
      </c>
      <c r="D1461" t="n">
        <v>1141.5</v>
      </c>
    </row>
    <row r="1462">
      <c r="A1462" s="87" t="n">
        <v>34799</v>
      </c>
      <c r="D1462" t="n">
        <v>1151.4</v>
      </c>
    </row>
    <row r="1463">
      <c r="A1463" s="87" t="n">
        <v>34806</v>
      </c>
      <c r="D1463" t="n">
        <v>1149.1</v>
      </c>
    </row>
    <row r="1464">
      <c r="A1464" s="87" t="n">
        <v>34813</v>
      </c>
      <c r="D1464" t="n">
        <v>1149.8</v>
      </c>
    </row>
    <row r="1465">
      <c r="A1465" s="87" t="n">
        <v>34820</v>
      </c>
      <c r="B1465" t="n">
        <v>753</v>
      </c>
      <c r="C1465" t="n">
        <v>2317</v>
      </c>
      <c r="D1465" t="n">
        <v>1150.4</v>
      </c>
      <c r="E1465" t="n">
        <v>3524.2</v>
      </c>
    </row>
    <row r="1466">
      <c r="A1466" s="87" t="n">
        <v>34827</v>
      </c>
      <c r="D1466" t="n">
        <v>1144.8</v>
      </c>
    </row>
    <row r="1467">
      <c r="A1467" s="87" t="n">
        <v>34834</v>
      </c>
      <c r="D1467" t="n">
        <v>1146.7</v>
      </c>
    </row>
    <row r="1468">
      <c r="A1468" s="87" t="n">
        <v>34841</v>
      </c>
      <c r="D1468" t="n">
        <v>1146</v>
      </c>
    </row>
    <row r="1469">
      <c r="A1469" s="87" t="n">
        <v>34848</v>
      </c>
      <c r="D1469" t="n">
        <v>1142.8</v>
      </c>
    </row>
    <row r="1470">
      <c r="A1470" s="87" t="n">
        <v>34851</v>
      </c>
      <c r="B1470" t="n">
        <v>750.8</v>
      </c>
      <c r="C1470" t="n">
        <v>2328.7</v>
      </c>
      <c r="E1470" t="n">
        <v>3548.9</v>
      </c>
    </row>
    <row r="1471">
      <c r="A1471" s="87" t="n">
        <v>34855</v>
      </c>
      <c r="D1471" t="n">
        <v>1145.5</v>
      </c>
    </row>
    <row r="1472">
      <c r="A1472" s="87" t="n">
        <v>34862</v>
      </c>
      <c r="D1472" t="n">
        <v>1146.3</v>
      </c>
    </row>
    <row r="1473">
      <c r="A1473" s="87" t="n">
        <v>34869</v>
      </c>
      <c r="D1473" t="n">
        <v>1143.4</v>
      </c>
    </row>
    <row r="1474">
      <c r="A1474" s="87" t="n">
        <v>34876</v>
      </c>
      <c r="D1474" t="n">
        <v>1143.8</v>
      </c>
    </row>
    <row r="1475">
      <c r="A1475" s="87" t="n">
        <v>34881</v>
      </c>
      <c r="B1475" t="n">
        <v>750.7</v>
      </c>
      <c r="C1475" t="n">
        <v>2337.7</v>
      </c>
      <c r="E1475" t="n">
        <v>3567.4</v>
      </c>
      <c r="F1475" t="n">
        <v>2.142</v>
      </c>
    </row>
    <row r="1476">
      <c r="A1476" s="87" t="n">
        <v>34883</v>
      </c>
      <c r="D1476" t="n">
        <v>1141</v>
      </c>
    </row>
    <row r="1477">
      <c r="A1477" s="87" t="n">
        <v>34890</v>
      </c>
      <c r="D1477" t="n">
        <v>1149</v>
      </c>
    </row>
    <row r="1478">
      <c r="A1478" s="87" t="n">
        <v>34897</v>
      </c>
      <c r="D1478" t="n">
        <v>1145.5</v>
      </c>
    </row>
    <row r="1479">
      <c r="A1479" s="87" t="n">
        <v>34904</v>
      </c>
      <c r="D1479" t="n">
        <v>1143</v>
      </c>
    </row>
    <row r="1480">
      <c r="A1480" s="87" t="n">
        <v>34911</v>
      </c>
      <c r="D1480" t="n">
        <v>1146.2</v>
      </c>
    </row>
    <row r="1481">
      <c r="A1481" s="87" t="n">
        <v>34912</v>
      </c>
      <c r="B1481" t="n">
        <v>749.1</v>
      </c>
      <c r="C1481" t="n">
        <v>2347.3</v>
      </c>
      <c r="E1481" t="n">
        <v>3589</v>
      </c>
    </row>
    <row r="1482">
      <c r="A1482" s="87" t="n">
        <v>34918</v>
      </c>
      <c r="D1482" t="n">
        <v>1146</v>
      </c>
    </row>
    <row r="1483">
      <c r="A1483" s="87" t="n">
        <v>34925</v>
      </c>
      <c r="D1483" t="n">
        <v>1147.4</v>
      </c>
    </row>
    <row r="1484">
      <c r="A1484" s="87" t="n">
        <v>34932</v>
      </c>
      <c r="D1484" t="n">
        <v>1146.3</v>
      </c>
    </row>
    <row r="1485">
      <c r="A1485" s="87" t="n">
        <v>34939</v>
      </c>
      <c r="D1485" t="n">
        <v>1143.4</v>
      </c>
    </row>
    <row r="1486">
      <c r="A1486" s="87" t="n">
        <v>34943</v>
      </c>
      <c r="B1486" t="n">
        <v>745.9</v>
      </c>
      <c r="C1486" t="n">
        <v>2352.8</v>
      </c>
      <c r="E1486" t="n">
        <v>3602.1</v>
      </c>
    </row>
    <row r="1487">
      <c r="A1487" s="87" t="n">
        <v>34946</v>
      </c>
      <c r="D1487" t="n">
        <v>1142.7</v>
      </c>
    </row>
    <row r="1488">
      <c r="A1488" s="87" t="n">
        <v>34953</v>
      </c>
      <c r="D1488" t="n">
        <v>1148.6</v>
      </c>
    </row>
    <row r="1489">
      <c r="A1489" s="87" t="n">
        <v>34960</v>
      </c>
      <c r="D1489" t="n">
        <v>1142.1</v>
      </c>
    </row>
    <row r="1490">
      <c r="A1490" s="87" t="n">
        <v>34967</v>
      </c>
      <c r="D1490" t="n">
        <v>1140</v>
      </c>
    </row>
    <row r="1491">
      <c r="A1491" s="87" t="n">
        <v>34973</v>
      </c>
      <c r="B1491" t="n">
        <v>740.9</v>
      </c>
      <c r="C1491" t="n">
        <v>2354</v>
      </c>
      <c r="E1491" t="n">
        <v>3613.4</v>
      </c>
      <c r="F1491" t="n">
        <v>2.147</v>
      </c>
    </row>
    <row r="1492">
      <c r="A1492" s="87" t="n">
        <v>34974</v>
      </c>
      <c r="D1492" t="n">
        <v>1133.8</v>
      </c>
    </row>
    <row r="1493">
      <c r="A1493" s="87" t="n">
        <v>34981</v>
      </c>
      <c r="D1493" t="n">
        <v>1137.3</v>
      </c>
    </row>
    <row r="1494">
      <c r="A1494" s="87" t="n">
        <v>34988</v>
      </c>
      <c r="D1494" t="n">
        <v>1141.2</v>
      </c>
    </row>
    <row r="1495">
      <c r="A1495" s="87" t="n">
        <v>34995</v>
      </c>
      <c r="D1495" t="n">
        <v>1136.1</v>
      </c>
    </row>
    <row r="1496">
      <c r="A1496" s="87" t="n">
        <v>35002</v>
      </c>
      <c r="D1496" t="n">
        <v>1135.2</v>
      </c>
    </row>
    <row r="1497">
      <c r="A1497" s="87" t="n">
        <v>35004</v>
      </c>
      <c r="B1497" t="n">
        <v>737.9</v>
      </c>
      <c r="C1497" t="n">
        <v>2355.2</v>
      </c>
      <c r="E1497" t="n">
        <v>3619.9</v>
      </c>
    </row>
    <row r="1498">
      <c r="A1498" s="87" t="n">
        <v>35009</v>
      </c>
      <c r="D1498" t="n">
        <v>1137.9</v>
      </c>
    </row>
    <row r="1499">
      <c r="A1499" s="87" t="n">
        <v>35016</v>
      </c>
      <c r="D1499" t="n">
        <v>1134.3</v>
      </c>
    </row>
    <row r="1500">
      <c r="A1500" s="87" t="n">
        <v>35023</v>
      </c>
      <c r="D1500" t="n">
        <v>1134.6</v>
      </c>
    </row>
    <row r="1501">
      <c r="A1501" s="87" t="n">
        <v>35030</v>
      </c>
      <c r="D1501" t="n">
        <v>1133.8</v>
      </c>
    </row>
    <row r="1502">
      <c r="A1502" s="87" t="n">
        <v>35034</v>
      </c>
      <c r="B1502" t="n">
        <v>732.6</v>
      </c>
      <c r="C1502" t="n">
        <v>2358.3</v>
      </c>
      <c r="E1502" t="n">
        <v>3629.5</v>
      </c>
    </row>
    <row r="1503">
      <c r="A1503" s="87" t="n">
        <v>35037</v>
      </c>
      <c r="D1503" t="n">
        <v>1125.5</v>
      </c>
    </row>
    <row r="1504">
      <c r="A1504" s="87" t="n">
        <v>35044</v>
      </c>
      <c r="D1504" t="n">
        <v>1131</v>
      </c>
    </row>
    <row r="1505">
      <c r="A1505" s="87" t="n">
        <v>35051</v>
      </c>
      <c r="D1505" t="n">
        <v>1122.7</v>
      </c>
    </row>
    <row r="1506">
      <c r="A1506" s="87" t="n">
        <v>35058</v>
      </c>
      <c r="D1506" t="n">
        <v>1127</v>
      </c>
    </row>
    <row r="1507">
      <c r="A1507" s="87" t="n">
        <v>35065</v>
      </c>
      <c r="B1507" t="n">
        <v>726.2</v>
      </c>
      <c r="C1507" t="n">
        <v>2358</v>
      </c>
      <c r="D1507" t="n">
        <v>1130.5</v>
      </c>
      <c r="E1507" t="n">
        <v>3647.9</v>
      </c>
      <c r="F1507" t="n">
        <v>2.147</v>
      </c>
    </row>
    <row r="1508">
      <c r="A1508" s="87" t="n">
        <v>35072</v>
      </c>
      <c r="D1508" t="n">
        <v>1124.9</v>
      </c>
    </row>
    <row r="1509">
      <c r="A1509" s="87" t="n">
        <v>35079</v>
      </c>
      <c r="D1509" t="n">
        <v>1129.4</v>
      </c>
    </row>
    <row r="1510">
      <c r="A1510" s="87" t="n">
        <v>35086</v>
      </c>
      <c r="D1510" t="n">
        <v>1120.8</v>
      </c>
    </row>
    <row r="1511">
      <c r="A1511" s="87" t="n">
        <v>35093</v>
      </c>
      <c r="D1511" t="n">
        <v>1117.9</v>
      </c>
    </row>
    <row r="1512">
      <c r="A1512" s="87" t="n">
        <v>35096</v>
      </c>
      <c r="B1512" t="n">
        <v>721.6</v>
      </c>
      <c r="C1512" t="n">
        <v>2362.5</v>
      </c>
      <c r="E1512" t="n">
        <v>3661.8</v>
      </c>
    </row>
    <row r="1513">
      <c r="A1513" s="87" t="n">
        <v>35100</v>
      </c>
      <c r="D1513" t="n">
        <v>1121.5</v>
      </c>
    </row>
    <row r="1514">
      <c r="A1514" s="87" t="n">
        <v>35107</v>
      </c>
      <c r="D1514" t="n">
        <v>1118.6</v>
      </c>
    </row>
    <row r="1515">
      <c r="A1515" s="87" t="n">
        <v>35114</v>
      </c>
      <c r="D1515" t="n">
        <v>1115.7</v>
      </c>
    </row>
    <row r="1516">
      <c r="A1516" s="87" t="n">
        <v>35121</v>
      </c>
      <c r="D1516" t="n">
        <v>1116.9</v>
      </c>
    </row>
    <row r="1517">
      <c r="A1517" s="87" t="n">
        <v>35125</v>
      </c>
      <c r="B1517" t="n">
        <v>721.9</v>
      </c>
      <c r="C1517" t="n">
        <v>2371</v>
      </c>
      <c r="E1517" t="n">
        <v>3686.9</v>
      </c>
    </row>
    <row r="1518">
      <c r="A1518" s="87" t="n">
        <v>35128</v>
      </c>
      <c r="D1518" t="n">
        <v>1123</v>
      </c>
    </row>
    <row r="1519">
      <c r="A1519" s="87" t="n">
        <v>35135</v>
      </c>
      <c r="D1519" t="n">
        <v>1118.7</v>
      </c>
    </row>
    <row r="1520">
      <c r="A1520" s="87" t="n">
        <v>35142</v>
      </c>
      <c r="D1520" t="n">
        <v>1120.8</v>
      </c>
    </row>
    <row r="1521">
      <c r="A1521" s="87" t="n">
        <v>35149</v>
      </c>
      <c r="D1521" t="n">
        <v>1123.2</v>
      </c>
    </row>
    <row r="1522">
      <c r="A1522" s="87" t="n">
        <v>35156</v>
      </c>
      <c r="B1522" t="n">
        <v>720.6</v>
      </c>
      <c r="C1522" t="n">
        <v>2368.8</v>
      </c>
      <c r="D1522" t="n">
        <v>1128.8</v>
      </c>
      <c r="E1522" t="n">
        <v>3697.7</v>
      </c>
      <c r="F1522" t="n">
        <v>2.165</v>
      </c>
    </row>
    <row r="1523">
      <c r="A1523" s="87" t="n">
        <v>35163</v>
      </c>
      <c r="D1523" t="n">
        <v>1124.1</v>
      </c>
    </row>
    <row r="1524">
      <c r="A1524" s="87" t="n">
        <v>35170</v>
      </c>
      <c r="D1524" t="n">
        <v>1130.4</v>
      </c>
    </row>
    <row r="1525">
      <c r="A1525" s="87" t="n">
        <v>35177</v>
      </c>
      <c r="D1525" t="n">
        <v>1125</v>
      </c>
    </row>
    <row r="1526">
      <c r="A1526" s="87" t="n">
        <v>35184</v>
      </c>
      <c r="D1526" t="n">
        <v>1118.6</v>
      </c>
    </row>
    <row r="1527">
      <c r="A1527" s="87" t="n">
        <v>35186</v>
      </c>
      <c r="B1527" t="n">
        <v>713.9</v>
      </c>
      <c r="C1527" t="n">
        <v>2371.9</v>
      </c>
      <c r="E1527" t="n">
        <v>3709.6</v>
      </c>
    </row>
    <row r="1528">
      <c r="A1528" s="87" t="n">
        <v>35191</v>
      </c>
      <c r="D1528" t="n">
        <v>1123</v>
      </c>
    </row>
    <row r="1529">
      <c r="A1529" s="87" t="n">
        <v>35198</v>
      </c>
      <c r="D1529" t="n">
        <v>1117.6</v>
      </c>
    </row>
    <row r="1530">
      <c r="A1530" s="87" t="n">
        <v>35205</v>
      </c>
      <c r="D1530" t="n">
        <v>1117.3</v>
      </c>
    </row>
    <row r="1531">
      <c r="A1531" s="87" t="n">
        <v>35212</v>
      </c>
      <c r="D1531" t="n">
        <v>1110.8</v>
      </c>
    </row>
    <row r="1532">
      <c r="A1532" s="87" t="n">
        <v>35217</v>
      </c>
      <c r="B1532" t="n">
        <v>711.7</v>
      </c>
      <c r="C1532" t="n">
        <v>2375.6</v>
      </c>
      <c r="E1532" t="n">
        <v>3722.5</v>
      </c>
    </row>
    <row r="1533">
      <c r="A1533" s="87" t="n">
        <v>35219</v>
      </c>
      <c r="D1533" t="n">
        <v>1114.2</v>
      </c>
    </row>
    <row r="1534">
      <c r="A1534" s="87" t="n">
        <v>35226</v>
      </c>
      <c r="D1534" t="n">
        <v>1114.9</v>
      </c>
    </row>
    <row r="1535">
      <c r="A1535" s="87" t="n">
        <v>35233</v>
      </c>
      <c r="D1535" t="n">
        <v>1114.5</v>
      </c>
    </row>
    <row r="1536">
      <c r="A1536" s="87" t="n">
        <v>35240</v>
      </c>
      <c r="D1536" t="n">
        <v>1113</v>
      </c>
    </row>
    <row r="1537">
      <c r="A1537" s="87" t="n">
        <v>35247</v>
      </c>
      <c r="B1537" t="n">
        <v>708.5</v>
      </c>
      <c r="C1537" t="n">
        <v>2380.3</v>
      </c>
      <c r="D1537" t="n">
        <v>1119.2</v>
      </c>
      <c r="E1537" t="n">
        <v>3737.1</v>
      </c>
      <c r="F1537" t="n">
        <v>2.171</v>
      </c>
    </row>
    <row r="1538">
      <c r="A1538" s="87" t="n">
        <v>35254</v>
      </c>
      <c r="D1538" t="n">
        <v>1109</v>
      </c>
    </row>
    <row r="1539">
      <c r="A1539" s="87" t="n">
        <v>35261</v>
      </c>
      <c r="D1539" t="n">
        <v>1115.1</v>
      </c>
    </row>
    <row r="1540">
      <c r="A1540" s="87" t="n">
        <v>35268</v>
      </c>
      <c r="D1540" t="n">
        <v>1113.1</v>
      </c>
    </row>
    <row r="1541">
      <c r="A1541" s="87" t="n">
        <v>35275</v>
      </c>
      <c r="D1541" t="n">
        <v>1112.1</v>
      </c>
    </row>
    <row r="1542">
      <c r="A1542" s="87" t="n">
        <v>35278</v>
      </c>
      <c r="B1542" t="n">
        <v>700.8</v>
      </c>
      <c r="C1542" t="n">
        <v>2381.7</v>
      </c>
      <c r="E1542" t="n">
        <v>3744</v>
      </c>
    </row>
    <row r="1543">
      <c r="A1543" s="87" t="n">
        <v>35282</v>
      </c>
      <c r="D1543" t="n">
        <v>1108.5</v>
      </c>
    </row>
    <row r="1544">
      <c r="A1544" s="87" t="n">
        <v>35289</v>
      </c>
      <c r="D1544" t="n">
        <v>1106.1</v>
      </c>
    </row>
    <row r="1545">
      <c r="A1545" s="87" t="n">
        <v>35296</v>
      </c>
      <c r="D1545" t="n">
        <v>1098.1</v>
      </c>
    </row>
    <row r="1546">
      <c r="A1546" s="87" t="n">
        <v>35303</v>
      </c>
      <c r="D1546" t="n">
        <v>1098.6</v>
      </c>
    </row>
    <row r="1547">
      <c r="A1547" s="87" t="n">
        <v>35309</v>
      </c>
      <c r="B1547" t="n">
        <v>695.1</v>
      </c>
      <c r="C1547" t="n">
        <v>2380.1</v>
      </c>
      <c r="E1547" t="n">
        <v>3753.4</v>
      </c>
    </row>
    <row r="1548">
      <c r="A1548" s="87" t="n">
        <v>35310</v>
      </c>
      <c r="D1548" t="n">
        <v>1097.9</v>
      </c>
    </row>
    <row r="1549">
      <c r="A1549" s="87" t="n">
        <v>35317</v>
      </c>
      <c r="D1549" t="n">
        <v>1103.8</v>
      </c>
    </row>
    <row r="1550">
      <c r="A1550" s="87" t="n">
        <v>35324</v>
      </c>
      <c r="D1550" t="n">
        <v>1096.7</v>
      </c>
    </row>
    <row r="1551">
      <c r="A1551" s="87" t="n">
        <v>35331</v>
      </c>
      <c r="D1551" t="n">
        <v>1091.7</v>
      </c>
    </row>
    <row r="1552">
      <c r="A1552" s="87" t="n">
        <v>35338</v>
      </c>
      <c r="D1552" t="n">
        <v>1091.8</v>
      </c>
    </row>
    <row r="1553">
      <c r="A1553" s="87" t="n">
        <v>35339</v>
      </c>
      <c r="B1553" t="n">
        <v>686.3</v>
      </c>
      <c r="C1553" t="n">
        <v>2384.8</v>
      </c>
      <c r="E1553" t="n">
        <v>3772.8</v>
      </c>
      <c r="F1553" t="n">
        <v>2.176</v>
      </c>
    </row>
    <row r="1554">
      <c r="A1554" s="87" t="n">
        <v>35345</v>
      </c>
      <c r="D1554" t="n">
        <v>1088.5</v>
      </c>
    </row>
    <row r="1555">
      <c r="A1555" s="87" t="n">
        <v>35352</v>
      </c>
      <c r="D1555" t="n">
        <v>1091.6</v>
      </c>
    </row>
    <row r="1556">
      <c r="A1556" s="87" t="n">
        <v>35359</v>
      </c>
      <c r="D1556" t="n">
        <v>1086.7</v>
      </c>
    </row>
    <row r="1557">
      <c r="A1557" s="87" t="n">
        <v>35366</v>
      </c>
      <c r="D1557" t="n">
        <v>1077.8</v>
      </c>
    </row>
    <row r="1558">
      <c r="A1558" s="87" t="n">
        <v>35370</v>
      </c>
      <c r="B1558" t="n">
        <v>682.7</v>
      </c>
      <c r="C1558" t="n">
        <v>2391.4</v>
      </c>
      <c r="E1558" t="n">
        <v>3795.1</v>
      </c>
    </row>
    <row r="1559">
      <c r="A1559" s="87" t="n">
        <v>35373</v>
      </c>
      <c r="D1559" t="n">
        <v>1081.2</v>
      </c>
    </row>
    <row r="1560">
      <c r="A1560" s="87" t="n">
        <v>35380</v>
      </c>
      <c r="D1560" t="n">
        <v>1088.1</v>
      </c>
    </row>
    <row r="1561">
      <c r="A1561" s="87" t="n">
        <v>35387</v>
      </c>
      <c r="D1561" t="n">
        <v>1087.7</v>
      </c>
    </row>
    <row r="1562">
      <c r="A1562" s="87" t="n">
        <v>35394</v>
      </c>
      <c r="D1562" t="n">
        <v>1078.1</v>
      </c>
    </row>
    <row r="1563">
      <c r="A1563" s="87" t="n">
        <v>35400</v>
      </c>
      <c r="B1563" t="n">
        <v>679.6</v>
      </c>
      <c r="C1563" t="n">
        <v>2400.1</v>
      </c>
      <c r="E1563" t="n">
        <v>3818.6</v>
      </c>
    </row>
    <row r="1564">
      <c r="A1564" s="87" t="n">
        <v>35401</v>
      </c>
      <c r="D1564" t="n">
        <v>1081</v>
      </c>
    </row>
    <row r="1565">
      <c r="A1565" s="87" t="n">
        <v>35408</v>
      </c>
      <c r="D1565" t="n">
        <v>1091.1</v>
      </c>
    </row>
    <row r="1566">
      <c r="A1566" s="87" t="n">
        <v>35415</v>
      </c>
      <c r="D1566" t="n">
        <v>1083.9</v>
      </c>
    </row>
    <row r="1567">
      <c r="A1567" s="87" t="n">
        <v>35422</v>
      </c>
      <c r="D1567" t="n">
        <v>1080.2</v>
      </c>
    </row>
    <row r="1568">
      <c r="A1568" s="87" t="n">
        <v>35429</v>
      </c>
      <c r="D1568" t="n">
        <v>1070.7</v>
      </c>
    </row>
    <row r="1569">
      <c r="A1569" s="87" t="n">
        <v>35431</v>
      </c>
      <c r="B1569" t="n">
        <v>678.3</v>
      </c>
      <c r="C1569" t="n">
        <v>2405.6</v>
      </c>
      <c r="E1569" t="n">
        <v>3834.6</v>
      </c>
      <c r="F1569" t="n">
        <v>2.174</v>
      </c>
    </row>
    <row r="1570">
      <c r="A1570" s="87" t="n">
        <v>35436</v>
      </c>
      <c r="D1570" t="n">
        <v>1079.6</v>
      </c>
    </row>
    <row r="1571">
      <c r="A1571" s="87" t="n">
        <v>35443</v>
      </c>
      <c r="D1571" t="n">
        <v>1089.9</v>
      </c>
    </row>
    <row r="1572">
      <c r="A1572" s="87" t="n">
        <v>35450</v>
      </c>
      <c r="D1572" t="n">
        <v>1081.7</v>
      </c>
    </row>
    <row r="1573">
      <c r="A1573" s="87" t="n">
        <v>35457</v>
      </c>
      <c r="D1573" t="n">
        <v>1075.8</v>
      </c>
    </row>
    <row r="1574">
      <c r="A1574" s="87" t="n">
        <v>35462</v>
      </c>
      <c r="B1574" t="n">
        <v>675.5</v>
      </c>
      <c r="C1574" t="n">
        <v>2408.5</v>
      </c>
      <c r="E1574" t="n">
        <v>3846.3</v>
      </c>
    </row>
    <row r="1575">
      <c r="A1575" s="87" t="n">
        <v>35464</v>
      </c>
      <c r="D1575" t="n">
        <v>1077.2</v>
      </c>
    </row>
    <row r="1576">
      <c r="A1576" s="87" t="n">
        <v>35471</v>
      </c>
      <c r="D1576" t="n">
        <v>1086.5</v>
      </c>
    </row>
    <row r="1577">
      <c r="A1577" s="87" t="n">
        <v>35478</v>
      </c>
      <c r="D1577" t="n">
        <v>1078.2</v>
      </c>
    </row>
    <row r="1578">
      <c r="A1578" s="87" t="n">
        <v>35485</v>
      </c>
      <c r="D1578" t="n">
        <v>1075.3</v>
      </c>
    </row>
    <row r="1579">
      <c r="A1579" s="87" t="n">
        <v>35490</v>
      </c>
      <c r="B1579" t="n">
        <v>671.2</v>
      </c>
      <c r="C1579" t="n">
        <v>2416.3</v>
      </c>
      <c r="E1579" t="n">
        <v>3861.2</v>
      </c>
    </row>
    <row r="1580">
      <c r="A1580" s="87" t="n">
        <v>35492</v>
      </c>
      <c r="D1580" t="n">
        <v>1073.6</v>
      </c>
    </row>
    <row r="1581">
      <c r="A1581" s="87" t="n">
        <v>35499</v>
      </c>
      <c r="D1581" t="n">
        <v>1081.3</v>
      </c>
    </row>
    <row r="1582">
      <c r="A1582" s="87" t="n">
        <v>35506</v>
      </c>
      <c r="D1582" t="n">
        <v>1075.2</v>
      </c>
    </row>
    <row r="1583">
      <c r="A1583" s="87" t="n">
        <v>35513</v>
      </c>
      <c r="D1583" t="n">
        <v>1069.4</v>
      </c>
    </row>
    <row r="1584">
      <c r="A1584" s="87" t="n">
        <v>35520</v>
      </c>
      <c r="D1584" t="n">
        <v>1063.6</v>
      </c>
    </row>
    <row r="1585">
      <c r="A1585" s="87" t="n">
        <v>35521</v>
      </c>
      <c r="B1585" t="n">
        <v>665.4</v>
      </c>
      <c r="C1585" t="n">
        <v>2424.6</v>
      </c>
      <c r="E1585" t="n">
        <v>3877</v>
      </c>
      <c r="F1585" t="n">
        <v>2.19</v>
      </c>
    </row>
    <row r="1586">
      <c r="A1586" s="87" t="n">
        <v>35527</v>
      </c>
      <c r="D1586" t="n">
        <v>1069.7</v>
      </c>
    </row>
    <row r="1587">
      <c r="A1587" s="87" t="n">
        <v>35534</v>
      </c>
      <c r="D1587" t="n">
        <v>1066.6</v>
      </c>
    </row>
    <row r="1588">
      <c r="A1588" s="87" t="n">
        <v>35541</v>
      </c>
      <c r="D1588" t="n">
        <v>1064.1</v>
      </c>
    </row>
    <row r="1589">
      <c r="A1589" s="87" t="n">
        <v>35548</v>
      </c>
      <c r="D1589" t="n">
        <v>1055.5</v>
      </c>
    </row>
    <row r="1590">
      <c r="A1590" s="87" t="n">
        <v>35551</v>
      </c>
      <c r="B1590" t="n">
        <v>665.3</v>
      </c>
      <c r="C1590" t="n">
        <v>2432.3</v>
      </c>
      <c r="E1590" t="n">
        <v>3889.2</v>
      </c>
    </row>
    <row r="1591">
      <c r="A1591" s="87" t="n">
        <v>35555</v>
      </c>
      <c r="D1591" t="n">
        <v>1062.7</v>
      </c>
    </row>
    <row r="1592">
      <c r="A1592" s="87" t="n">
        <v>35562</v>
      </c>
      <c r="D1592" t="n">
        <v>1067.3</v>
      </c>
    </row>
    <row r="1593">
      <c r="A1593" s="87" t="n">
        <v>35569</v>
      </c>
      <c r="D1593" t="n">
        <v>1063.3</v>
      </c>
    </row>
    <row r="1594">
      <c r="A1594" s="87" t="n">
        <v>35576</v>
      </c>
      <c r="D1594" t="n">
        <v>1060.6</v>
      </c>
    </row>
    <row r="1595">
      <c r="A1595" s="87" t="n">
        <v>35582</v>
      </c>
      <c r="B1595" t="n">
        <v>665.5</v>
      </c>
      <c r="C1595" t="n">
        <v>2438.2</v>
      </c>
      <c r="E1595" t="n">
        <v>3906</v>
      </c>
    </row>
    <row r="1596">
      <c r="A1596" s="87" t="n">
        <v>35583</v>
      </c>
      <c r="D1596" t="n">
        <v>1065.1</v>
      </c>
    </row>
    <row r="1597">
      <c r="A1597" s="87" t="n">
        <v>35590</v>
      </c>
      <c r="D1597" t="n">
        <v>1072.3</v>
      </c>
    </row>
    <row r="1598">
      <c r="A1598" s="87" t="n">
        <v>35597</v>
      </c>
      <c r="D1598" t="n">
        <v>1068.6</v>
      </c>
    </row>
    <row r="1599">
      <c r="A1599" s="87" t="n">
        <v>35604</v>
      </c>
      <c r="D1599" t="n">
        <v>1061.7</v>
      </c>
    </row>
    <row r="1600">
      <c r="A1600" s="87" t="n">
        <v>35611</v>
      </c>
      <c r="D1600" t="n">
        <v>1062.1</v>
      </c>
    </row>
    <row r="1601">
      <c r="A1601" s="87" t="n">
        <v>35612</v>
      </c>
      <c r="B1601" t="n">
        <v>664.3</v>
      </c>
      <c r="C1601" t="n">
        <v>2446.3</v>
      </c>
      <c r="E1601" t="n">
        <v>3923.9</v>
      </c>
      <c r="F1601" t="n">
        <v>2.192</v>
      </c>
    </row>
    <row r="1602">
      <c r="A1602" s="87" t="n">
        <v>35618</v>
      </c>
      <c r="D1602" t="n">
        <v>1065.6</v>
      </c>
    </row>
    <row r="1603">
      <c r="A1603" s="87" t="n">
        <v>35625</v>
      </c>
      <c r="D1603" t="n">
        <v>1069.3</v>
      </c>
    </row>
    <row r="1604">
      <c r="A1604" s="87" t="n">
        <v>35632</v>
      </c>
      <c r="D1604" t="n">
        <v>1064</v>
      </c>
    </row>
    <row r="1605">
      <c r="A1605" s="87" t="n">
        <v>35639</v>
      </c>
      <c r="D1605" t="n">
        <v>1060.6</v>
      </c>
    </row>
    <row r="1606">
      <c r="A1606" s="87" t="n">
        <v>35643</v>
      </c>
      <c r="B1606" t="n">
        <v>668.7</v>
      </c>
      <c r="C1606" t="n">
        <v>2461.1</v>
      </c>
      <c r="E1606" t="n">
        <v>3957.4</v>
      </c>
    </row>
    <row r="1607">
      <c r="A1607" s="87" t="n">
        <v>35646</v>
      </c>
      <c r="D1607" t="n">
        <v>1071</v>
      </c>
    </row>
    <row r="1608">
      <c r="A1608" s="87" t="n">
        <v>35653</v>
      </c>
      <c r="D1608" t="n">
        <v>1080.2</v>
      </c>
    </row>
    <row r="1609">
      <c r="A1609" s="87" t="n">
        <v>35660</v>
      </c>
      <c r="D1609" t="n">
        <v>1076.4</v>
      </c>
    </row>
    <row r="1610">
      <c r="A1610" s="87" t="n">
        <v>35667</v>
      </c>
      <c r="D1610" t="n">
        <v>1074.5</v>
      </c>
    </row>
    <row r="1611">
      <c r="A1611" s="87" t="n">
        <v>35674</v>
      </c>
      <c r="B1611" t="n">
        <v>661.8</v>
      </c>
      <c r="C1611" t="n">
        <v>2464.7</v>
      </c>
      <c r="D1611" t="n">
        <v>1071.9</v>
      </c>
      <c r="E1611" t="n">
        <v>3973.1</v>
      </c>
    </row>
    <row r="1612">
      <c r="A1612" s="87" t="n">
        <v>35681</v>
      </c>
      <c r="D1612" t="n">
        <v>1077.6</v>
      </c>
    </row>
    <row r="1613">
      <c r="A1613" s="87" t="n">
        <v>35688</v>
      </c>
      <c r="D1613" t="n">
        <v>1066.5</v>
      </c>
    </row>
    <row r="1614">
      <c r="A1614" s="87" t="n">
        <v>35695</v>
      </c>
      <c r="D1614" t="n">
        <v>1062.2</v>
      </c>
    </row>
    <row r="1615">
      <c r="A1615" s="87" t="n">
        <v>35702</v>
      </c>
      <c r="D1615" t="n">
        <v>1060.1</v>
      </c>
    </row>
    <row r="1616">
      <c r="A1616" s="87" t="n">
        <v>35704</v>
      </c>
      <c r="B1616" t="n">
        <v>659.8</v>
      </c>
      <c r="C1616" t="n">
        <v>2472</v>
      </c>
      <c r="E1616" t="n">
        <v>3992.3</v>
      </c>
      <c r="F1616" t="n">
        <v>2.184</v>
      </c>
    </row>
    <row r="1617">
      <c r="A1617" s="87" t="n">
        <v>35709</v>
      </c>
      <c r="D1617" t="n">
        <v>1068.8</v>
      </c>
    </row>
    <row r="1618">
      <c r="A1618" s="87" t="n">
        <v>35716</v>
      </c>
      <c r="D1618" t="n">
        <v>1066.3</v>
      </c>
    </row>
    <row r="1619">
      <c r="A1619" s="87" t="n">
        <v>35723</v>
      </c>
      <c r="D1619" t="n">
        <v>1064.5</v>
      </c>
    </row>
    <row r="1620">
      <c r="A1620" s="87" t="n">
        <v>35730</v>
      </c>
      <c r="D1620" t="n">
        <v>1058.7</v>
      </c>
    </row>
    <row r="1621">
      <c r="A1621" s="87" t="n">
        <v>35735</v>
      </c>
      <c r="B1621" t="n">
        <v>662.3</v>
      </c>
      <c r="C1621" t="n">
        <v>2482.9</v>
      </c>
      <c r="E1621" t="n">
        <v>4014.8</v>
      </c>
    </row>
    <row r="1622">
      <c r="A1622" s="87" t="n">
        <v>35737</v>
      </c>
      <c r="D1622" t="n">
        <v>1073.1</v>
      </c>
    </row>
    <row r="1623">
      <c r="A1623" s="87" t="n">
        <v>35744</v>
      </c>
      <c r="D1623" t="n">
        <v>1075.4</v>
      </c>
    </row>
    <row r="1624">
      <c r="A1624" s="87" t="n">
        <v>35751</v>
      </c>
      <c r="D1624" t="n">
        <v>1070.4</v>
      </c>
    </row>
    <row r="1625">
      <c r="A1625" s="87" t="n">
        <v>35758</v>
      </c>
      <c r="D1625" t="n">
        <v>1066.4</v>
      </c>
    </row>
    <row r="1626">
      <c r="A1626" s="87" t="n">
        <v>35765</v>
      </c>
      <c r="B1626" t="n">
        <v>662.7</v>
      </c>
      <c r="C1626" t="n">
        <v>2492.5</v>
      </c>
      <c r="D1626" t="n">
        <v>1070.4</v>
      </c>
      <c r="E1626" t="n">
        <v>4032.9</v>
      </c>
    </row>
    <row r="1627">
      <c r="A1627" s="87" t="n">
        <v>35772</v>
      </c>
      <c r="D1627" t="n">
        <v>1072.2</v>
      </c>
    </row>
    <row r="1628">
      <c r="A1628" s="87" t="n">
        <v>35779</v>
      </c>
      <c r="D1628" t="n">
        <v>1072.9</v>
      </c>
    </row>
    <row r="1629">
      <c r="A1629" s="87" t="n">
        <v>35786</v>
      </c>
      <c r="D1629" t="n">
        <v>1070.6</v>
      </c>
    </row>
    <row r="1630">
      <c r="A1630" s="87" t="n">
        <v>35793</v>
      </c>
      <c r="D1630" t="n">
        <v>1071.4</v>
      </c>
    </row>
    <row r="1631">
      <c r="A1631" s="87" t="n">
        <v>35796</v>
      </c>
      <c r="B1631" t="n">
        <v>663</v>
      </c>
      <c r="C1631" t="n">
        <v>2503.8</v>
      </c>
      <c r="E1631" t="n">
        <v>4056.2</v>
      </c>
      <c r="F1631" t="n">
        <v>2.17</v>
      </c>
    </row>
    <row r="1632">
      <c r="A1632" s="87" t="n">
        <v>35800</v>
      </c>
      <c r="D1632" t="n">
        <v>1080.9</v>
      </c>
    </row>
    <row r="1633">
      <c r="A1633" s="87" t="n">
        <v>35807</v>
      </c>
      <c r="D1633" t="n">
        <v>1078</v>
      </c>
    </row>
    <row r="1634">
      <c r="A1634" s="87" t="n">
        <v>35814</v>
      </c>
      <c r="D1634" t="n">
        <v>1070.3</v>
      </c>
    </row>
    <row r="1635">
      <c r="A1635" s="87" t="n">
        <v>35821</v>
      </c>
      <c r="D1635" t="n">
        <v>1070.9</v>
      </c>
    </row>
    <row r="1636">
      <c r="A1636" s="87" t="n">
        <v>35827</v>
      </c>
      <c r="B1636" t="n">
        <v>665.3</v>
      </c>
      <c r="C1636" t="n">
        <v>2524</v>
      </c>
      <c r="E1636" t="n">
        <v>4088.9</v>
      </c>
    </row>
    <row r="1637">
      <c r="A1637" s="87" t="n">
        <v>35828</v>
      </c>
      <c r="D1637" t="n">
        <v>1072.2</v>
      </c>
    </row>
    <row r="1638">
      <c r="A1638" s="87" t="n">
        <v>35835</v>
      </c>
      <c r="D1638" t="n">
        <v>1080.1</v>
      </c>
    </row>
    <row r="1639">
      <c r="A1639" s="87" t="n">
        <v>35842</v>
      </c>
      <c r="D1639" t="n">
        <v>1077.4</v>
      </c>
    </row>
    <row r="1640">
      <c r="A1640" s="87" t="n">
        <v>35849</v>
      </c>
      <c r="D1640" t="n">
        <v>1076.8</v>
      </c>
    </row>
    <row r="1641">
      <c r="A1641" s="87" t="n">
        <v>35855</v>
      </c>
      <c r="B1641" t="n">
        <v>664.8</v>
      </c>
      <c r="C1641" t="n">
        <v>2539.7</v>
      </c>
      <c r="E1641" t="n">
        <v>4114.3</v>
      </c>
    </row>
    <row r="1642">
      <c r="A1642" s="87" t="n">
        <v>35856</v>
      </c>
      <c r="D1642" t="n">
        <v>1079.3</v>
      </c>
    </row>
    <row r="1643">
      <c r="A1643" s="87" t="n">
        <v>35863</v>
      </c>
      <c r="D1643" t="n">
        <v>1085.8</v>
      </c>
    </row>
    <row r="1644">
      <c r="A1644" s="87" t="n">
        <v>35870</v>
      </c>
      <c r="D1644" t="n">
        <v>1081.7</v>
      </c>
    </row>
    <row r="1645">
      <c r="A1645" s="87" t="n">
        <v>35877</v>
      </c>
      <c r="D1645" t="n">
        <v>1074.4</v>
      </c>
    </row>
    <row r="1646">
      <c r="A1646" s="87" t="n">
        <v>35884</v>
      </c>
      <c r="D1646" t="n">
        <v>1064.8</v>
      </c>
    </row>
    <row r="1647">
      <c r="A1647" s="87" t="n">
        <v>35886</v>
      </c>
      <c r="B1647" t="n">
        <v>663.7</v>
      </c>
      <c r="C1647" t="n">
        <v>2552.5</v>
      </c>
      <c r="E1647" t="n">
        <v>4140.2</v>
      </c>
      <c r="F1647" t="n">
        <v>2.155</v>
      </c>
    </row>
    <row r="1648">
      <c r="A1648" s="87" t="n">
        <v>35891</v>
      </c>
      <c r="D1648" t="n">
        <v>1079.1</v>
      </c>
    </row>
    <row r="1649">
      <c r="A1649" s="87" t="n">
        <v>35898</v>
      </c>
      <c r="D1649" t="n">
        <v>1078.2</v>
      </c>
    </row>
    <row r="1650">
      <c r="A1650" s="87" t="n">
        <v>35905</v>
      </c>
      <c r="D1650" t="n">
        <v>1079.4</v>
      </c>
    </row>
    <row r="1651">
      <c r="A1651" s="87" t="n">
        <v>35912</v>
      </c>
      <c r="D1651" t="n">
        <v>1068.5</v>
      </c>
    </row>
    <row r="1652">
      <c r="A1652" s="87" t="n">
        <v>35916</v>
      </c>
      <c r="B1652" t="n">
        <v>663.7</v>
      </c>
      <c r="C1652" t="n">
        <v>2561.1</v>
      </c>
      <c r="E1652" t="n">
        <v>4164.4</v>
      </c>
    </row>
    <row r="1653">
      <c r="A1653" s="87" t="n">
        <v>35919</v>
      </c>
      <c r="D1653" t="n">
        <v>1078.9</v>
      </c>
    </row>
    <row r="1654">
      <c r="A1654" s="87" t="n">
        <v>35926</v>
      </c>
      <c r="D1654" t="n">
        <v>1084.4</v>
      </c>
    </row>
    <row r="1655">
      <c r="A1655" s="87" t="n">
        <v>35933</v>
      </c>
      <c r="D1655" t="n">
        <v>1081.2</v>
      </c>
    </row>
    <row r="1656">
      <c r="A1656" s="87" t="n">
        <v>35940</v>
      </c>
      <c r="D1656" t="n">
        <v>1072.9</v>
      </c>
    </row>
    <row r="1657">
      <c r="A1657" s="87" t="n">
        <v>35947</v>
      </c>
      <c r="B1657" t="n">
        <v>661.1</v>
      </c>
      <c r="C1657" t="n">
        <v>2570.1</v>
      </c>
      <c r="D1657" t="n">
        <v>1077.6</v>
      </c>
      <c r="E1657" t="n">
        <v>4184.1</v>
      </c>
    </row>
    <row r="1658">
      <c r="A1658" s="87" t="n">
        <v>35954</v>
      </c>
      <c r="D1658" t="n">
        <v>1081</v>
      </c>
    </row>
    <row r="1659">
      <c r="A1659" s="87" t="n">
        <v>35961</v>
      </c>
      <c r="D1659" t="n">
        <v>1083.8</v>
      </c>
    </row>
    <row r="1660">
      <c r="A1660" s="87" t="n">
        <v>35968</v>
      </c>
      <c r="D1660" t="n">
        <v>1071.8</v>
      </c>
    </row>
    <row r="1661">
      <c r="A1661" s="87" t="n">
        <v>35975</v>
      </c>
      <c r="D1661" t="n">
        <v>1066.9</v>
      </c>
    </row>
    <row r="1662">
      <c r="A1662" s="87" t="n">
        <v>35977</v>
      </c>
      <c r="B1662" t="n">
        <v>658.8</v>
      </c>
      <c r="C1662" t="n">
        <v>2575.9</v>
      </c>
      <c r="E1662" t="n">
        <v>4203.8</v>
      </c>
      <c r="F1662" t="n">
        <v>2.155</v>
      </c>
    </row>
    <row r="1663">
      <c r="A1663" s="87" t="n">
        <v>35982</v>
      </c>
      <c r="D1663" t="n">
        <v>1083.2</v>
      </c>
    </row>
    <row r="1664">
      <c r="A1664" s="87" t="n">
        <v>35989</v>
      </c>
      <c r="D1664" t="n">
        <v>1075</v>
      </c>
    </row>
    <row r="1665">
      <c r="A1665" s="87" t="n">
        <v>35996</v>
      </c>
      <c r="D1665" t="n">
        <v>1072.7</v>
      </c>
    </row>
    <row r="1666">
      <c r="A1666" s="87" t="n">
        <v>36003</v>
      </c>
      <c r="D1666" t="n">
        <v>1067.7</v>
      </c>
    </row>
    <row r="1667">
      <c r="A1667" s="87" t="n">
        <v>36008</v>
      </c>
      <c r="B1667" t="n">
        <v>658.4</v>
      </c>
      <c r="C1667" t="n">
        <v>2587.9</v>
      </c>
      <c r="E1667" t="n">
        <v>4228.7</v>
      </c>
    </row>
    <row r="1668">
      <c r="A1668" s="87" t="n">
        <v>36010</v>
      </c>
      <c r="D1668" t="n">
        <v>1079.8</v>
      </c>
    </row>
    <row r="1669">
      <c r="A1669" s="87" t="n">
        <v>36017</v>
      </c>
      <c r="D1669" t="n">
        <v>1084.1</v>
      </c>
    </row>
    <row r="1670">
      <c r="A1670" s="87" t="n">
        <v>36024</v>
      </c>
      <c r="D1670" t="n">
        <v>1075.4</v>
      </c>
    </row>
    <row r="1671">
      <c r="A1671" s="87" t="n">
        <v>36031</v>
      </c>
      <c r="D1671" t="n">
        <v>1072.4</v>
      </c>
    </row>
    <row r="1672">
      <c r="A1672" s="87" t="n">
        <v>36038</v>
      </c>
      <c r="D1672" t="n">
        <v>1069.8</v>
      </c>
    </row>
    <row r="1673">
      <c r="A1673" s="87" t="n">
        <v>36039</v>
      </c>
      <c r="B1673" t="n">
        <v>660.5</v>
      </c>
      <c r="C1673" t="n">
        <v>2610.2</v>
      </c>
      <c r="E1673" t="n">
        <v>4267.6</v>
      </c>
    </row>
    <row r="1674">
      <c r="A1674" s="87" t="n">
        <v>36045</v>
      </c>
      <c r="D1674" t="n">
        <v>1076.2</v>
      </c>
    </row>
    <row r="1675">
      <c r="A1675" s="87" t="n">
        <v>36052</v>
      </c>
      <c r="D1675" t="n">
        <v>1083.9</v>
      </c>
    </row>
    <row r="1676">
      <c r="A1676" s="87" t="n">
        <v>36059</v>
      </c>
      <c r="D1676" t="n">
        <v>1083.4</v>
      </c>
    </row>
    <row r="1677">
      <c r="A1677" s="87" t="n">
        <v>36066</v>
      </c>
      <c r="D1677" t="n">
        <v>1074.5</v>
      </c>
    </row>
    <row r="1678">
      <c r="A1678" s="87" t="n">
        <v>36069</v>
      </c>
      <c r="B1678" t="n">
        <v>662.6</v>
      </c>
      <c r="C1678" t="n">
        <v>2628.2</v>
      </c>
      <c r="E1678" t="n">
        <v>4307.7</v>
      </c>
      <c r="F1678" t="n">
        <v>2.14</v>
      </c>
    </row>
    <row r="1679">
      <c r="A1679" s="87" t="n">
        <v>36073</v>
      </c>
      <c r="D1679" t="n">
        <v>1084.2</v>
      </c>
    </row>
    <row r="1680">
      <c r="A1680" s="87" t="n">
        <v>36080</v>
      </c>
      <c r="D1680" t="n">
        <v>1084</v>
      </c>
    </row>
    <row r="1681">
      <c r="A1681" s="87" t="n">
        <v>36087</v>
      </c>
      <c r="D1681" t="n">
        <v>1086.1</v>
      </c>
    </row>
    <row r="1682">
      <c r="A1682" s="87" t="n">
        <v>36094</v>
      </c>
      <c r="D1682" t="n">
        <v>1086.9</v>
      </c>
    </row>
    <row r="1683">
      <c r="A1683" s="87" t="n">
        <v>36100</v>
      </c>
      <c r="B1683" t="n">
        <v>667.2</v>
      </c>
      <c r="C1683" t="n">
        <v>2648.6</v>
      </c>
      <c r="E1683" t="n">
        <v>4346.4</v>
      </c>
    </row>
    <row r="1684">
      <c r="A1684" s="87" t="n">
        <v>36101</v>
      </c>
      <c r="D1684" t="n">
        <v>1088.9</v>
      </c>
    </row>
    <row r="1685">
      <c r="A1685" s="87" t="n">
        <v>36108</v>
      </c>
      <c r="D1685" t="n">
        <v>1096.1</v>
      </c>
    </row>
    <row r="1686">
      <c r="A1686" s="87" t="n">
        <v>36115</v>
      </c>
      <c r="D1686" t="n">
        <v>1097.2</v>
      </c>
    </row>
    <row r="1687">
      <c r="A1687" s="87" t="n">
        <v>36122</v>
      </c>
      <c r="D1687" t="n">
        <v>1092.4</v>
      </c>
    </row>
    <row r="1688">
      <c r="A1688" s="87" t="n">
        <v>36129</v>
      </c>
      <c r="D1688" t="n">
        <v>1096.1</v>
      </c>
    </row>
    <row r="1689">
      <c r="A1689" s="87" t="n">
        <v>36130</v>
      </c>
      <c r="B1689" t="n">
        <v>666.1</v>
      </c>
      <c r="C1689" t="n">
        <v>2661.3</v>
      </c>
      <c r="E1689" t="n">
        <v>4375.2</v>
      </c>
    </row>
    <row r="1690">
      <c r="A1690" s="87" t="n">
        <v>36136</v>
      </c>
      <c r="D1690" t="n">
        <v>1094.2</v>
      </c>
    </row>
    <row r="1691">
      <c r="A1691" s="87" t="n">
        <v>36143</v>
      </c>
      <c r="D1691" t="n">
        <v>1095.1</v>
      </c>
    </row>
    <row r="1692">
      <c r="A1692" s="87" t="n">
        <v>36150</v>
      </c>
      <c r="D1692" t="n">
        <v>1094.5</v>
      </c>
    </row>
    <row r="1693">
      <c r="A1693" s="87" t="n">
        <v>36157</v>
      </c>
      <c r="D1693" t="n">
        <v>1091.6</v>
      </c>
    </row>
    <row r="1694">
      <c r="A1694" s="87" t="n">
        <v>36161</v>
      </c>
      <c r="B1694" t="n">
        <v>666.7</v>
      </c>
      <c r="C1694" t="n">
        <v>2673.1</v>
      </c>
      <c r="E1694" t="n">
        <v>4402.6</v>
      </c>
      <c r="F1694" t="n">
        <v>2.129</v>
      </c>
    </row>
    <row r="1695">
      <c r="A1695" s="87" t="n">
        <v>36164</v>
      </c>
      <c r="D1695" t="n">
        <v>1107.1</v>
      </c>
    </row>
    <row r="1696">
      <c r="A1696" s="87" t="n">
        <v>36171</v>
      </c>
      <c r="D1696" t="n">
        <v>1102.7</v>
      </c>
    </row>
    <row r="1697">
      <c r="A1697" s="87" t="n">
        <v>36178</v>
      </c>
      <c r="D1697" t="n">
        <v>1095.3</v>
      </c>
    </row>
    <row r="1698">
      <c r="A1698" s="87" t="n">
        <v>36185</v>
      </c>
      <c r="D1698" t="n">
        <v>1093.9</v>
      </c>
    </row>
    <row r="1699">
      <c r="A1699" s="87" t="n">
        <v>36192</v>
      </c>
      <c r="B1699" t="n">
        <v>665.9</v>
      </c>
      <c r="C1699" t="n">
        <v>2686.9</v>
      </c>
      <c r="D1699" t="n">
        <v>1096.7</v>
      </c>
      <c r="E1699" t="n">
        <v>4425.3</v>
      </c>
    </row>
    <row r="1700">
      <c r="A1700" s="87" t="n">
        <v>36199</v>
      </c>
      <c r="D1700" t="n">
        <v>1095.4</v>
      </c>
    </row>
    <row r="1701">
      <c r="A1701" s="87" t="n">
        <v>36206</v>
      </c>
      <c r="D1701" t="n">
        <v>1097.4</v>
      </c>
    </row>
    <row r="1702">
      <c r="A1702" s="87" t="n">
        <v>36213</v>
      </c>
      <c r="D1702" t="n">
        <v>1099.8</v>
      </c>
    </row>
    <row r="1703">
      <c r="A1703" s="87" t="n">
        <v>36220</v>
      </c>
      <c r="B1703" t="n">
        <v>665.4</v>
      </c>
      <c r="C1703" t="n">
        <v>2689.4</v>
      </c>
      <c r="D1703" t="n">
        <v>1095.1</v>
      </c>
      <c r="E1703" t="n">
        <v>4432.1</v>
      </c>
    </row>
    <row r="1704">
      <c r="A1704" s="87" t="n">
        <v>36227</v>
      </c>
      <c r="D1704" t="n">
        <v>1098.6</v>
      </c>
    </row>
    <row r="1705">
      <c r="A1705" s="87" t="n">
        <v>36234</v>
      </c>
      <c r="D1705" t="n">
        <v>1097.6</v>
      </c>
    </row>
    <row r="1706">
      <c r="A1706" s="87" t="n">
        <v>36241</v>
      </c>
      <c r="D1706" t="n">
        <v>1097.3</v>
      </c>
    </row>
    <row r="1707">
      <c r="A1707" s="87" t="n">
        <v>36248</v>
      </c>
      <c r="D1707" t="n">
        <v>1093.8</v>
      </c>
    </row>
    <row r="1708">
      <c r="A1708" s="87" t="n">
        <v>36251</v>
      </c>
      <c r="B1708" t="n">
        <v>664</v>
      </c>
      <c r="C1708" t="n">
        <v>2688.8</v>
      </c>
      <c r="E1708" t="n">
        <v>4460.7</v>
      </c>
      <c r="F1708" t="n">
        <v>2.124</v>
      </c>
    </row>
    <row r="1709">
      <c r="A1709" s="87" t="n">
        <v>36255</v>
      </c>
      <c r="D1709" t="n">
        <v>1101.5</v>
      </c>
    </row>
    <row r="1710">
      <c r="A1710" s="87" t="n">
        <v>36262</v>
      </c>
      <c r="D1710" t="n">
        <v>1104.2</v>
      </c>
    </row>
    <row r="1711">
      <c r="A1711" s="87" t="n">
        <v>36269</v>
      </c>
      <c r="D1711" t="n">
        <v>1099.5</v>
      </c>
    </row>
    <row r="1712">
      <c r="A1712" s="87" t="n">
        <v>36276</v>
      </c>
      <c r="D1712" t="n">
        <v>1095.1</v>
      </c>
    </row>
    <row r="1713">
      <c r="A1713" s="87" t="n">
        <v>36281</v>
      </c>
      <c r="B1713" t="n">
        <v>664.9</v>
      </c>
      <c r="C1713" t="n">
        <v>2702</v>
      </c>
      <c r="E1713" t="n">
        <v>4485.3</v>
      </c>
    </row>
    <row r="1714">
      <c r="A1714" s="87" t="n">
        <v>36283</v>
      </c>
      <c r="D1714" t="n">
        <v>1109.2</v>
      </c>
    </row>
    <row r="1715">
      <c r="A1715" s="87" t="n">
        <v>36290</v>
      </c>
      <c r="D1715" t="n">
        <v>1109.9</v>
      </c>
    </row>
    <row r="1716">
      <c r="A1716" s="87" t="n">
        <v>36297</v>
      </c>
      <c r="D1716" t="n">
        <v>1102.9</v>
      </c>
    </row>
    <row r="1717">
      <c r="A1717" s="87" t="n">
        <v>36304</v>
      </c>
      <c r="D1717" t="n">
        <v>1099.3</v>
      </c>
    </row>
    <row r="1718">
      <c r="A1718" s="87" t="n">
        <v>36311</v>
      </c>
      <c r="D1718" t="n">
        <v>1099.2</v>
      </c>
    </row>
    <row r="1719">
      <c r="A1719" s="87" t="n">
        <v>36312</v>
      </c>
      <c r="B1719" t="n">
        <v>662.5</v>
      </c>
      <c r="C1719" t="n">
        <v>2715.2</v>
      </c>
      <c r="E1719" t="n">
        <v>4507.2</v>
      </c>
    </row>
    <row r="1720">
      <c r="A1720" s="87" t="n">
        <v>36318</v>
      </c>
      <c r="D1720" t="n">
        <v>1100.6</v>
      </c>
    </row>
    <row r="1721">
      <c r="A1721" s="87" t="n">
        <v>36325</v>
      </c>
      <c r="D1721" t="n">
        <v>1103.1</v>
      </c>
    </row>
    <row r="1722">
      <c r="A1722" s="87" t="n">
        <v>36332</v>
      </c>
      <c r="D1722" t="n">
        <v>1101.6</v>
      </c>
    </row>
    <row r="1723">
      <c r="A1723" s="87" t="n">
        <v>36339</v>
      </c>
      <c r="D1723" t="n">
        <v>1095.1</v>
      </c>
    </row>
    <row r="1724">
      <c r="A1724" s="87" t="n">
        <v>36342</v>
      </c>
      <c r="B1724" t="n">
        <v>659.3</v>
      </c>
      <c r="C1724" t="n">
        <v>2720.2</v>
      </c>
      <c r="E1724" t="n">
        <v>4534.5</v>
      </c>
      <c r="F1724" t="n">
        <v>2.128</v>
      </c>
    </row>
    <row r="1725">
      <c r="A1725" s="87" t="n">
        <v>36346</v>
      </c>
      <c r="D1725" t="n">
        <v>1091.5</v>
      </c>
    </row>
    <row r="1726">
      <c r="A1726" s="87" t="n">
        <v>36353</v>
      </c>
      <c r="D1726" t="n">
        <v>1107.5</v>
      </c>
    </row>
    <row r="1727">
      <c r="A1727" s="87" t="n">
        <v>36360</v>
      </c>
      <c r="D1727" t="n">
        <v>1097.2</v>
      </c>
    </row>
    <row r="1728">
      <c r="A1728" s="87" t="n">
        <v>36367</v>
      </c>
      <c r="D1728" t="n">
        <v>1096.5</v>
      </c>
    </row>
    <row r="1729">
      <c r="A1729" s="87" t="n">
        <v>36373</v>
      </c>
      <c r="B1729" t="n">
        <v>657.8</v>
      </c>
      <c r="C1729" t="n">
        <v>2723.9</v>
      </c>
      <c r="E1729" t="n">
        <v>4551.7</v>
      </c>
    </row>
    <row r="1730">
      <c r="A1730" s="87" t="n">
        <v>36374</v>
      </c>
      <c r="D1730" t="n">
        <v>1099.9</v>
      </c>
    </row>
    <row r="1731">
      <c r="A1731" s="87" t="n">
        <v>36381</v>
      </c>
      <c r="D1731" t="n">
        <v>1110.9</v>
      </c>
    </row>
    <row r="1732">
      <c r="A1732" s="87" t="n">
        <v>36388</v>
      </c>
      <c r="D1732" t="n">
        <v>1106.2</v>
      </c>
    </row>
    <row r="1733">
      <c r="A1733" s="87" t="n">
        <v>36395</v>
      </c>
      <c r="D1733" t="n">
        <v>1096.9</v>
      </c>
    </row>
    <row r="1734">
      <c r="A1734" s="87" t="n">
        <v>36402</v>
      </c>
      <c r="D1734" t="n">
        <v>1082.8</v>
      </c>
    </row>
    <row r="1735">
      <c r="A1735" s="87" t="n">
        <v>36404</v>
      </c>
      <c r="B1735" t="n">
        <v>653.5</v>
      </c>
      <c r="C1735" t="n">
        <v>2722.1</v>
      </c>
      <c r="E1735" t="n">
        <v>4567.7</v>
      </c>
    </row>
    <row r="1736">
      <c r="A1736" s="87" t="n">
        <v>36409</v>
      </c>
      <c r="D1736" t="n">
        <v>1092.3</v>
      </c>
    </row>
    <row r="1737">
      <c r="A1737" s="87" t="n">
        <v>36416</v>
      </c>
      <c r="D1737" t="n">
        <v>1100.4</v>
      </c>
    </row>
    <row r="1738">
      <c r="A1738" s="87" t="n">
        <v>36423</v>
      </c>
      <c r="D1738" t="n">
        <v>1100.9</v>
      </c>
    </row>
    <row r="1739">
      <c r="A1739" s="87" t="n">
        <v>36430</v>
      </c>
      <c r="D1739" t="n">
        <v>1089.6</v>
      </c>
    </row>
    <row r="1740">
      <c r="A1740" s="87" t="n">
        <v>36434</v>
      </c>
      <c r="B1740" t="n">
        <v>656.3</v>
      </c>
      <c r="C1740" t="n">
        <v>2731.4</v>
      </c>
      <c r="E1740" t="n">
        <v>4591.5</v>
      </c>
      <c r="F1740" t="n">
        <v>2.146</v>
      </c>
    </row>
    <row r="1741">
      <c r="A1741" s="87" t="n">
        <v>36437</v>
      </c>
      <c r="D1741" t="n">
        <v>1101</v>
      </c>
    </row>
    <row r="1742">
      <c r="A1742" s="87" t="n">
        <v>36444</v>
      </c>
      <c r="D1742" t="n">
        <v>1106.8</v>
      </c>
    </row>
    <row r="1743">
      <c r="A1743" s="87" t="n">
        <v>36451</v>
      </c>
      <c r="D1743" t="n">
        <v>1103</v>
      </c>
    </row>
    <row r="1744">
      <c r="A1744" s="87" t="n">
        <v>36458</v>
      </c>
      <c r="D1744" t="n">
        <v>1101.6</v>
      </c>
    </row>
    <row r="1745">
      <c r="A1745" s="87" t="n">
        <v>36465</v>
      </c>
      <c r="B1745" t="n">
        <v>659.6</v>
      </c>
      <c r="C1745" t="n">
        <v>2737.8</v>
      </c>
      <c r="D1745" t="n">
        <v>1102.7</v>
      </c>
      <c r="E1745" t="n">
        <v>4610.5</v>
      </c>
    </row>
    <row r="1746">
      <c r="A1746" s="87" t="n">
        <v>36472</v>
      </c>
      <c r="D1746" t="n">
        <v>1110.4</v>
      </c>
    </row>
    <row r="1747">
      <c r="A1747" s="87" t="n">
        <v>36479</v>
      </c>
      <c r="D1747" t="n">
        <v>1116.5</v>
      </c>
    </row>
    <row r="1748">
      <c r="A1748" s="87" t="n">
        <v>36486</v>
      </c>
      <c r="D1748" t="n">
        <v>1113</v>
      </c>
    </row>
    <row r="1749">
      <c r="A1749" s="87" t="n">
        <v>36493</v>
      </c>
      <c r="D1749" t="n">
        <v>1104.8</v>
      </c>
    </row>
    <row r="1750">
      <c r="A1750" s="87" t="n">
        <v>36495</v>
      </c>
      <c r="B1750" t="n">
        <v>664.8</v>
      </c>
      <c r="C1750" t="n">
        <v>2747.6</v>
      </c>
      <c r="E1750" t="n">
        <v>4638</v>
      </c>
    </row>
    <row r="1751">
      <c r="A1751" s="87" t="n">
        <v>36500</v>
      </c>
      <c r="D1751" t="n">
        <v>1110.3</v>
      </c>
    </row>
    <row r="1752">
      <c r="A1752" s="87" t="n">
        <v>36507</v>
      </c>
      <c r="D1752" t="n">
        <v>1122</v>
      </c>
    </row>
    <row r="1753">
      <c r="A1753" s="87" t="n">
        <v>36514</v>
      </c>
      <c r="D1753" t="n">
        <v>1120.5</v>
      </c>
    </row>
    <row r="1754">
      <c r="A1754" s="87" t="n">
        <v>36521</v>
      </c>
      <c r="D1754" t="n">
        <v>1126.5</v>
      </c>
    </row>
    <row r="1755">
      <c r="A1755" s="87" t="n">
        <v>36526</v>
      </c>
      <c r="B1755" t="n">
        <v>662.8</v>
      </c>
      <c r="C1755" t="n">
        <v>2756.2</v>
      </c>
      <c r="E1755" t="n">
        <v>4666.2</v>
      </c>
      <c r="F1755" t="n">
        <v>2.135</v>
      </c>
    </row>
    <row r="1756">
      <c r="A1756" s="87" t="n">
        <v>36528</v>
      </c>
      <c r="D1756" t="n">
        <v>1138.6</v>
      </c>
    </row>
    <row r="1757">
      <c r="A1757" s="87" t="n">
        <v>36535</v>
      </c>
      <c r="D1757" t="n">
        <v>1133.4</v>
      </c>
    </row>
    <row r="1758">
      <c r="A1758" s="87" t="n">
        <v>36542</v>
      </c>
      <c r="D1758" t="n">
        <v>1125.1</v>
      </c>
    </row>
    <row r="1759">
      <c r="A1759" s="87" t="n">
        <v>36549</v>
      </c>
      <c r="D1759" t="n">
        <v>1122.3</v>
      </c>
    </row>
    <row r="1760">
      <c r="A1760" s="87" t="n">
        <v>36556</v>
      </c>
      <c r="D1760" t="n">
        <v>1108.9</v>
      </c>
    </row>
    <row r="1761">
      <c r="A1761" s="87" t="n">
        <v>36557</v>
      </c>
      <c r="B1761" t="n">
        <v>652.1</v>
      </c>
      <c r="C1761" t="n">
        <v>2752.6</v>
      </c>
      <c r="E1761" t="n">
        <v>4679.4</v>
      </c>
    </row>
    <row r="1762">
      <c r="A1762" s="87" t="n">
        <v>36563</v>
      </c>
      <c r="D1762" t="n">
        <v>1114.3</v>
      </c>
    </row>
    <row r="1763">
      <c r="A1763" s="87" t="n">
        <v>36570</v>
      </c>
      <c r="D1763" t="n">
        <v>1112.2</v>
      </c>
    </row>
    <row r="1764">
      <c r="A1764" s="87" t="n">
        <v>36577</v>
      </c>
      <c r="D1764" t="n">
        <v>1106.4</v>
      </c>
    </row>
    <row r="1765">
      <c r="A1765" s="87" t="n">
        <v>36584</v>
      </c>
      <c r="D1765" t="n">
        <v>1101.8</v>
      </c>
    </row>
    <row r="1766">
      <c r="A1766" s="87" t="n">
        <v>36586</v>
      </c>
      <c r="B1766" t="n">
        <v>647.7</v>
      </c>
      <c r="C1766" t="n">
        <v>2754.5</v>
      </c>
      <c r="E1766" t="n">
        <v>4710.2</v>
      </c>
    </row>
    <row r="1767">
      <c r="A1767" s="87" t="n">
        <v>36591</v>
      </c>
      <c r="D1767" t="n">
        <v>1107.1</v>
      </c>
    </row>
    <row r="1768">
      <c r="A1768" s="87" t="n">
        <v>36598</v>
      </c>
      <c r="D1768" t="n">
        <v>1105.5</v>
      </c>
    </row>
    <row r="1769">
      <c r="A1769" s="87" t="n">
        <v>36605</v>
      </c>
      <c r="D1769" t="n">
        <v>1106.5</v>
      </c>
    </row>
    <row r="1770">
      <c r="A1770" s="87" t="n">
        <v>36612</v>
      </c>
      <c r="D1770" t="n">
        <v>1104.9</v>
      </c>
    </row>
    <row r="1771">
      <c r="A1771" s="87" t="n">
        <v>36617</v>
      </c>
      <c r="B1771" t="n">
        <v>652.8</v>
      </c>
      <c r="C1771" t="n">
        <v>2788.8</v>
      </c>
      <c r="E1771" t="n">
        <v>4766.1</v>
      </c>
      <c r="F1771" t="n">
        <v>2.151</v>
      </c>
    </row>
    <row r="1772">
      <c r="A1772" s="87" t="n">
        <v>36619</v>
      </c>
      <c r="D1772" t="n">
        <v>1117.8</v>
      </c>
    </row>
    <row r="1773">
      <c r="A1773" s="87" t="n">
        <v>36626</v>
      </c>
      <c r="D1773" t="n">
        <v>1121.8</v>
      </c>
    </row>
    <row r="1774">
      <c r="A1774" s="87" t="n">
        <v>36633</v>
      </c>
      <c r="D1774" t="n">
        <v>1118.2</v>
      </c>
    </row>
    <row r="1775">
      <c r="A1775" s="87" t="n">
        <v>36640</v>
      </c>
      <c r="D1775" t="n">
        <v>1114.9</v>
      </c>
    </row>
    <row r="1776">
      <c r="A1776" s="87" t="n">
        <v>36647</v>
      </c>
      <c r="B1776" t="n">
        <v>645.4</v>
      </c>
      <c r="C1776" t="n">
        <v>2776.8</v>
      </c>
      <c r="D1776" t="n">
        <v>1105</v>
      </c>
      <c r="E1776" t="n">
        <v>4753.9</v>
      </c>
    </row>
    <row r="1777">
      <c r="A1777" s="87" t="n">
        <v>36654</v>
      </c>
      <c r="D1777" t="n">
        <v>1106.5</v>
      </c>
    </row>
    <row r="1778">
      <c r="A1778" s="87" t="n">
        <v>36661</v>
      </c>
      <c r="D1778" t="n">
        <v>1111.2</v>
      </c>
    </row>
    <row r="1779">
      <c r="A1779" s="87" t="n">
        <v>36668</v>
      </c>
      <c r="D1779" t="n">
        <v>1105.1</v>
      </c>
    </row>
    <row r="1780">
      <c r="A1780" s="87" t="n">
        <v>36675</v>
      </c>
      <c r="D1780" t="n">
        <v>1097.8</v>
      </c>
    </row>
    <row r="1781">
      <c r="A1781" s="87" t="n">
        <v>36678</v>
      </c>
      <c r="B1781" t="n">
        <v>640.3</v>
      </c>
      <c r="C1781" t="n">
        <v>2771.1</v>
      </c>
      <c r="E1781" t="n">
        <v>4771.8</v>
      </c>
    </row>
    <row r="1782">
      <c r="A1782" s="87" t="n">
        <v>36682</v>
      </c>
      <c r="D1782" t="n">
        <v>1102</v>
      </c>
    </row>
    <row r="1783">
      <c r="A1783" s="87" t="n">
        <v>36689</v>
      </c>
      <c r="D1783" t="n">
        <v>1104.4</v>
      </c>
    </row>
    <row r="1784">
      <c r="A1784" s="87" t="n">
        <v>36696</v>
      </c>
      <c r="D1784" t="n">
        <v>1101.1</v>
      </c>
    </row>
    <row r="1785">
      <c r="A1785" s="87" t="n">
        <v>36703</v>
      </c>
      <c r="D1785" t="n">
        <v>1099</v>
      </c>
    </row>
    <row r="1786">
      <c r="A1786" s="87" t="n">
        <v>36708</v>
      </c>
      <c r="B1786" t="n">
        <v>639</v>
      </c>
      <c r="C1786" t="n">
        <v>2773.2</v>
      </c>
      <c r="E1786" t="n">
        <v>4789.4</v>
      </c>
      <c r="F1786" t="n">
        <v>2.141</v>
      </c>
    </row>
    <row r="1787">
      <c r="A1787" s="87" t="n">
        <v>36710</v>
      </c>
      <c r="D1787" t="n">
        <v>1109.4</v>
      </c>
    </row>
    <row r="1788">
      <c r="A1788" s="87" t="n">
        <v>36717</v>
      </c>
      <c r="D1788" t="n">
        <v>1114.6</v>
      </c>
    </row>
    <row r="1789">
      <c r="A1789" s="87" t="n">
        <v>36724</v>
      </c>
      <c r="D1789" t="n">
        <v>1100.9</v>
      </c>
    </row>
    <row r="1790">
      <c r="A1790" s="87" t="n">
        <v>36731</v>
      </c>
      <c r="D1790" t="n">
        <v>1099.5</v>
      </c>
    </row>
    <row r="1791">
      <c r="A1791" s="87" t="n">
        <v>36738</v>
      </c>
      <c r="D1791" t="n">
        <v>1096.2</v>
      </c>
    </row>
    <row r="1792">
      <c r="A1792" s="87" t="n">
        <v>36739</v>
      </c>
      <c r="B1792" t="n">
        <v>637.1</v>
      </c>
      <c r="C1792" t="n">
        <v>2789.5</v>
      </c>
      <c r="E1792" t="n">
        <v>4817.5</v>
      </c>
    </row>
    <row r="1793">
      <c r="A1793" s="87" t="n">
        <v>36745</v>
      </c>
      <c r="D1793" t="n">
        <v>1097.9</v>
      </c>
    </row>
    <row r="1794">
      <c r="A1794" s="87" t="n">
        <v>36752</v>
      </c>
      <c r="D1794" t="n">
        <v>1100.3</v>
      </c>
    </row>
    <row r="1795">
      <c r="A1795" s="87" t="n">
        <v>36759</v>
      </c>
      <c r="D1795" t="n">
        <v>1102.2</v>
      </c>
    </row>
    <row r="1796">
      <c r="A1796" s="87" t="n">
        <v>36766</v>
      </c>
      <c r="D1796" t="n">
        <v>1101.4</v>
      </c>
    </row>
    <row r="1797">
      <c r="A1797" s="87" t="n">
        <v>36770</v>
      </c>
      <c r="B1797" t="n">
        <v>633.5</v>
      </c>
      <c r="C1797" t="n">
        <v>2795.6</v>
      </c>
      <c r="E1797" t="n">
        <v>4853.2</v>
      </c>
    </row>
    <row r="1798">
      <c r="A1798" s="87" t="n">
        <v>36773</v>
      </c>
      <c r="D1798" t="n">
        <v>1097.7</v>
      </c>
    </row>
    <row r="1799">
      <c r="A1799" s="87" t="n">
        <v>36780</v>
      </c>
      <c r="D1799" t="n">
        <v>1106.5</v>
      </c>
    </row>
    <row r="1800">
      <c r="A1800" s="87" t="n">
        <v>36787</v>
      </c>
      <c r="D1800" t="n">
        <v>1098.5</v>
      </c>
    </row>
    <row r="1801">
      <c r="A1801" s="87" t="n">
        <v>36794</v>
      </c>
      <c r="D1801" t="n">
        <v>1096.7</v>
      </c>
    </row>
    <row r="1802">
      <c r="A1802" s="87" t="n">
        <v>36800</v>
      </c>
      <c r="B1802" t="n">
        <v>631.8</v>
      </c>
      <c r="C1802" t="n">
        <v>2800</v>
      </c>
      <c r="E1802" t="n">
        <v>4869.2</v>
      </c>
      <c r="F1802" t="n">
        <v>2.133</v>
      </c>
    </row>
    <row r="1803">
      <c r="A1803" s="87" t="n">
        <v>36801</v>
      </c>
      <c r="D1803" t="n">
        <v>1097.9</v>
      </c>
    </row>
    <row r="1804">
      <c r="A1804" s="87" t="n">
        <v>36808</v>
      </c>
      <c r="D1804" t="n">
        <v>1099.9</v>
      </c>
    </row>
    <row r="1805">
      <c r="A1805" s="87" t="n">
        <v>36815</v>
      </c>
      <c r="D1805" t="n">
        <v>1100.2</v>
      </c>
    </row>
    <row r="1806">
      <c r="A1806" s="87" t="n">
        <v>36822</v>
      </c>
      <c r="D1806" t="n">
        <v>1099.3</v>
      </c>
    </row>
    <row r="1807">
      <c r="A1807" s="87" t="n">
        <v>36829</v>
      </c>
      <c r="D1807" t="n">
        <v>1096.8</v>
      </c>
    </row>
    <row r="1808">
      <c r="A1808" s="87" t="n">
        <v>36831</v>
      </c>
      <c r="B1808" t="n">
        <v>627.1</v>
      </c>
      <c r="C1808" t="n">
        <v>2801.5</v>
      </c>
      <c r="E1808" t="n">
        <v>4880.3</v>
      </c>
    </row>
    <row r="1809">
      <c r="A1809" s="87" t="n">
        <v>36836</v>
      </c>
      <c r="D1809" t="n">
        <v>1091.7</v>
      </c>
    </row>
    <row r="1810">
      <c r="A1810" s="87" t="n">
        <v>36843</v>
      </c>
      <c r="D1810" t="n">
        <v>1089.9</v>
      </c>
    </row>
    <row r="1811">
      <c r="A1811" s="87" t="n">
        <v>36850</v>
      </c>
      <c r="D1811" t="n">
        <v>1093.9</v>
      </c>
    </row>
    <row r="1812">
      <c r="A1812" s="87" t="n">
        <v>36857</v>
      </c>
      <c r="D1812" t="n">
        <v>1096.6</v>
      </c>
    </row>
    <row r="1813">
      <c r="A1813" s="87" t="n">
        <v>36861</v>
      </c>
      <c r="B1813" t="n">
        <v>623.5</v>
      </c>
      <c r="C1813" t="n">
        <v>2820.7</v>
      </c>
      <c r="E1813" t="n">
        <v>4925</v>
      </c>
    </row>
    <row r="1814">
      <c r="A1814" s="87" t="n">
        <v>36864</v>
      </c>
      <c r="D1814" t="n">
        <v>1086.4</v>
      </c>
    </row>
    <row r="1815">
      <c r="A1815" s="87" t="n">
        <v>36871</v>
      </c>
      <c r="D1815" t="n">
        <v>1092.9</v>
      </c>
    </row>
    <row r="1816">
      <c r="A1816" s="87" t="n">
        <v>36878</v>
      </c>
      <c r="D1816" t="n">
        <v>1084.4</v>
      </c>
    </row>
    <row r="1817">
      <c r="A1817" s="87" t="n">
        <v>36885</v>
      </c>
      <c r="D1817" t="n">
        <v>1090.1</v>
      </c>
    </row>
    <row r="1818">
      <c r="A1818" s="87" t="n">
        <v>36892</v>
      </c>
      <c r="B1818" t="n">
        <v>624.5</v>
      </c>
      <c r="C1818" t="n">
        <v>2833.5</v>
      </c>
      <c r="D1818" t="n">
        <v>1088.3</v>
      </c>
      <c r="E1818" t="n">
        <v>4975.7</v>
      </c>
      <c r="F1818" t="n">
        <v>2.085</v>
      </c>
    </row>
    <row r="1819">
      <c r="A1819" s="87" t="n">
        <v>36899</v>
      </c>
      <c r="D1819" t="n">
        <v>1094.2</v>
      </c>
    </row>
    <row r="1820">
      <c r="A1820" s="87" t="n">
        <v>36906</v>
      </c>
      <c r="D1820" t="n">
        <v>1096.2</v>
      </c>
    </row>
    <row r="1821">
      <c r="A1821" s="87" t="n">
        <v>36913</v>
      </c>
      <c r="D1821" t="n">
        <v>1101.7</v>
      </c>
    </row>
    <row r="1822">
      <c r="A1822" s="87" t="n">
        <v>36920</v>
      </c>
      <c r="D1822" t="n">
        <v>1094.8</v>
      </c>
    </row>
    <row r="1823">
      <c r="A1823" s="87" t="n">
        <v>36923</v>
      </c>
      <c r="B1823" t="n">
        <v>625.7</v>
      </c>
      <c r="C1823" t="n">
        <v>2848.9</v>
      </c>
      <c r="E1823" t="n">
        <v>5014.1</v>
      </c>
    </row>
    <row r="1824">
      <c r="A1824" s="87" t="n">
        <v>36927</v>
      </c>
      <c r="D1824" t="n">
        <v>1099.7</v>
      </c>
    </row>
    <row r="1825">
      <c r="A1825" s="87" t="n">
        <v>36934</v>
      </c>
      <c r="D1825" t="n">
        <v>1099.3</v>
      </c>
    </row>
    <row r="1826">
      <c r="A1826" s="87" t="n">
        <v>36941</v>
      </c>
      <c r="D1826" t="n">
        <v>1098.8</v>
      </c>
    </row>
    <row r="1827">
      <c r="A1827" s="87" t="n">
        <v>36948</v>
      </c>
      <c r="D1827" t="n">
        <v>1104.4</v>
      </c>
    </row>
    <row r="1828">
      <c r="A1828" s="87" t="n">
        <v>36951</v>
      </c>
      <c r="B1828" t="n">
        <v>629.7</v>
      </c>
      <c r="C1828" t="n">
        <v>2880.2</v>
      </c>
      <c r="E1828" t="n">
        <v>5072</v>
      </c>
    </row>
    <row r="1829">
      <c r="A1829" s="87" t="n">
        <v>36955</v>
      </c>
      <c r="D1829" t="n">
        <v>1109.3</v>
      </c>
    </row>
    <row r="1830">
      <c r="A1830" s="87" t="n">
        <v>36962</v>
      </c>
      <c r="D1830" t="n">
        <v>1108.3</v>
      </c>
    </row>
    <row r="1831">
      <c r="A1831" s="87" t="n">
        <v>36969</v>
      </c>
      <c r="D1831" t="n">
        <v>1107.7</v>
      </c>
    </row>
    <row r="1832">
      <c r="A1832" s="87" t="n">
        <v>36976</v>
      </c>
      <c r="D1832" t="n">
        <v>1106.7</v>
      </c>
    </row>
    <row r="1833">
      <c r="A1833" s="87" t="n">
        <v>36982</v>
      </c>
      <c r="B1833" t="n">
        <v>633</v>
      </c>
      <c r="C1833" t="n">
        <v>2911.5</v>
      </c>
      <c r="E1833" t="n">
        <v>5135.9</v>
      </c>
      <c r="F1833" t="n">
        <v>2.059</v>
      </c>
    </row>
    <row r="1834">
      <c r="A1834" s="87" t="n">
        <v>36983</v>
      </c>
      <c r="D1834" t="n">
        <v>1113.9</v>
      </c>
    </row>
    <row r="1835">
      <c r="A1835" s="87" t="n">
        <v>36990</v>
      </c>
      <c r="D1835" t="n">
        <v>1114.9</v>
      </c>
    </row>
    <row r="1836">
      <c r="A1836" s="87" t="n">
        <v>36997</v>
      </c>
      <c r="D1836" t="n">
        <v>1118.2</v>
      </c>
    </row>
    <row r="1837">
      <c r="A1837" s="87" t="n">
        <v>37004</v>
      </c>
      <c r="D1837" t="n">
        <v>1117.7</v>
      </c>
    </row>
    <row r="1838">
      <c r="A1838" s="87" t="n">
        <v>37011</v>
      </c>
      <c r="D1838" t="n">
        <v>1116.8</v>
      </c>
    </row>
    <row r="1839">
      <c r="A1839" s="87" t="n">
        <v>37012</v>
      </c>
      <c r="B1839" t="n">
        <v>630.9</v>
      </c>
      <c r="C1839" t="n">
        <v>2895.1</v>
      </c>
      <c r="E1839" t="n">
        <v>5133</v>
      </c>
    </row>
    <row r="1840">
      <c r="A1840" s="87" t="n">
        <v>37018</v>
      </c>
      <c r="D1840" t="n">
        <v>1113.9</v>
      </c>
    </row>
    <row r="1841">
      <c r="A1841" s="87" t="n">
        <v>37025</v>
      </c>
      <c r="D1841" t="n">
        <v>1117.5</v>
      </c>
    </row>
    <row r="1842">
      <c r="A1842" s="87" t="n">
        <v>37032</v>
      </c>
      <c r="D1842" t="n">
        <v>1122.3</v>
      </c>
    </row>
    <row r="1843">
      <c r="A1843" s="87" t="n">
        <v>37039</v>
      </c>
      <c r="D1843" t="n">
        <v>1117.4</v>
      </c>
    </row>
    <row r="1844">
      <c r="A1844" s="87" t="n">
        <v>37043</v>
      </c>
      <c r="B1844" t="n">
        <v>633.8</v>
      </c>
      <c r="C1844" t="n">
        <v>2911.4</v>
      </c>
      <c r="E1844" t="n">
        <v>5173.5</v>
      </c>
    </row>
    <row r="1845">
      <c r="A1845" s="87" t="n">
        <v>37046</v>
      </c>
      <c r="D1845" t="n">
        <v>1125.2</v>
      </c>
    </row>
    <row r="1846">
      <c r="A1846" s="87" t="n">
        <v>37053</v>
      </c>
      <c r="D1846" t="n">
        <v>1126.2</v>
      </c>
    </row>
    <row r="1847">
      <c r="A1847" s="87" t="n">
        <v>37060</v>
      </c>
      <c r="D1847" t="n">
        <v>1126.4</v>
      </c>
    </row>
    <row r="1848">
      <c r="A1848" s="87" t="n">
        <v>37067</v>
      </c>
      <c r="D1848" t="n">
        <v>1124.1</v>
      </c>
    </row>
    <row r="1849">
      <c r="A1849" s="87" t="n">
        <v>37073</v>
      </c>
      <c r="B1849" t="n">
        <v>642</v>
      </c>
      <c r="C1849" t="n">
        <v>2933.1</v>
      </c>
      <c r="E1849" t="n">
        <v>5203.4</v>
      </c>
      <c r="F1849" t="n">
        <v>2.014</v>
      </c>
    </row>
    <row r="1850">
      <c r="A1850" s="87" t="n">
        <v>37074</v>
      </c>
      <c r="D1850" t="n">
        <v>1129.9</v>
      </c>
    </row>
    <row r="1851">
      <c r="A1851" s="87" t="n">
        <v>37081</v>
      </c>
      <c r="D1851" t="n">
        <v>1133.9</v>
      </c>
    </row>
    <row r="1852">
      <c r="A1852" s="87" t="n">
        <v>37088</v>
      </c>
      <c r="D1852" t="n">
        <v>1142.1</v>
      </c>
    </row>
    <row r="1853">
      <c r="A1853" s="87" t="n">
        <v>37095</v>
      </c>
      <c r="D1853" t="n">
        <v>1142</v>
      </c>
    </row>
    <row r="1854">
      <c r="A1854" s="87" t="n">
        <v>37102</v>
      </c>
      <c r="D1854" t="n">
        <v>1139.4</v>
      </c>
    </row>
    <row r="1855">
      <c r="A1855" s="87" t="n">
        <v>37104</v>
      </c>
      <c r="B1855" t="n">
        <v>648.4</v>
      </c>
      <c r="C1855" t="n">
        <v>2952.2</v>
      </c>
      <c r="E1855" t="n">
        <v>5237.2</v>
      </c>
    </row>
    <row r="1856">
      <c r="A1856" s="87" t="n">
        <v>37109</v>
      </c>
      <c r="D1856" t="n">
        <v>1143.3</v>
      </c>
    </row>
    <row r="1857">
      <c r="A1857" s="87" t="n">
        <v>37116</v>
      </c>
      <c r="D1857" t="n">
        <v>1148.6</v>
      </c>
    </row>
    <row r="1858">
      <c r="A1858" s="87" t="n">
        <v>37123</v>
      </c>
      <c r="D1858" t="n">
        <v>1149.9</v>
      </c>
    </row>
    <row r="1859">
      <c r="A1859" s="87" t="n">
        <v>37130</v>
      </c>
      <c r="D1859" t="n">
        <v>1149</v>
      </c>
    </row>
    <row r="1860">
      <c r="A1860" s="87" t="n">
        <v>37135</v>
      </c>
      <c r="B1860" t="n">
        <v>677</v>
      </c>
      <c r="C1860" t="n">
        <v>3003</v>
      </c>
      <c r="E1860" t="n">
        <v>5348.4</v>
      </c>
    </row>
    <row r="1861">
      <c r="A1861" s="87" t="n">
        <v>37137</v>
      </c>
      <c r="D1861" t="n">
        <v>1165.5</v>
      </c>
    </row>
    <row r="1862">
      <c r="A1862" s="87" t="n">
        <v>37144</v>
      </c>
      <c r="D1862" t="n">
        <v>1167</v>
      </c>
    </row>
    <row r="1863">
      <c r="A1863" s="87" t="n">
        <v>37151</v>
      </c>
      <c r="D1863" t="n">
        <v>1292</v>
      </c>
    </row>
    <row r="1864">
      <c r="A1864" s="87" t="n">
        <v>37158</v>
      </c>
      <c r="D1864" t="n">
        <v>1206.1</v>
      </c>
    </row>
    <row r="1865">
      <c r="A1865" s="87" t="n">
        <v>37165</v>
      </c>
      <c r="B1865" t="n">
        <v>656.4</v>
      </c>
      <c r="C1865" t="n">
        <v>3005.1</v>
      </c>
      <c r="D1865" t="n">
        <v>1171.3</v>
      </c>
      <c r="E1865" t="n">
        <v>5337.1</v>
      </c>
      <c r="F1865" t="n">
        <v>1.98</v>
      </c>
    </row>
    <row r="1866">
      <c r="A1866" s="87" t="n">
        <v>37172</v>
      </c>
      <c r="D1866" t="n">
        <v>1166.9</v>
      </c>
    </row>
    <row r="1867">
      <c r="A1867" s="87" t="n">
        <v>37179</v>
      </c>
      <c r="D1867" t="n">
        <v>1166.7</v>
      </c>
    </row>
    <row r="1868">
      <c r="A1868" s="87" t="n">
        <v>37186</v>
      </c>
      <c r="D1868" t="n">
        <v>1167.2</v>
      </c>
    </row>
    <row r="1869">
      <c r="A1869" s="87" t="n">
        <v>37193</v>
      </c>
      <c r="D1869" t="n">
        <v>1161.2</v>
      </c>
    </row>
    <row r="1870">
      <c r="A1870" s="87" t="n">
        <v>37196</v>
      </c>
      <c r="B1870" t="n">
        <v>659.7</v>
      </c>
      <c r="C1870" t="n">
        <v>3031.4</v>
      </c>
      <c r="E1870" t="n">
        <v>5380.8</v>
      </c>
    </row>
    <row r="1871">
      <c r="A1871" s="87" t="n">
        <v>37200</v>
      </c>
      <c r="D1871" t="n">
        <v>1164.8</v>
      </c>
    </row>
    <row r="1872">
      <c r="A1872" s="87" t="n">
        <v>37207</v>
      </c>
      <c r="D1872" t="n">
        <v>1170.2</v>
      </c>
    </row>
    <row r="1873">
      <c r="A1873" s="87" t="n">
        <v>37214</v>
      </c>
      <c r="D1873" t="n">
        <v>1171.9</v>
      </c>
    </row>
    <row r="1874">
      <c r="A1874" s="87" t="n">
        <v>37221</v>
      </c>
      <c r="D1874" t="n">
        <v>1172.1</v>
      </c>
    </row>
    <row r="1875">
      <c r="A1875" s="87" t="n">
        <v>37226</v>
      </c>
      <c r="B1875" t="n">
        <v>667</v>
      </c>
      <c r="C1875" t="n">
        <v>3063</v>
      </c>
      <c r="E1875" t="n">
        <v>5433.8</v>
      </c>
    </row>
    <row r="1876">
      <c r="A1876" s="87" t="n">
        <v>37228</v>
      </c>
      <c r="D1876" t="n">
        <v>1176.5</v>
      </c>
    </row>
    <row r="1877">
      <c r="A1877" s="87" t="n">
        <v>37235</v>
      </c>
      <c r="D1877" t="n">
        <v>1186.3</v>
      </c>
    </row>
    <row r="1878">
      <c r="A1878" s="87" t="n">
        <v>37242</v>
      </c>
      <c r="D1878" t="n">
        <v>1183.6</v>
      </c>
    </row>
    <row r="1879">
      <c r="A1879" s="87" t="n">
        <v>37249</v>
      </c>
      <c r="D1879" t="n">
        <v>1181.7</v>
      </c>
    </row>
    <row r="1880">
      <c r="A1880" s="87" t="n">
        <v>37256</v>
      </c>
      <c r="D1880" t="n">
        <v>1184.2</v>
      </c>
    </row>
    <row r="1881">
      <c r="A1881" s="87" t="n">
        <v>37257</v>
      </c>
      <c r="B1881" t="n">
        <v>670.1</v>
      </c>
      <c r="C1881" t="n">
        <v>3069.3</v>
      </c>
      <c r="E1881" t="n">
        <v>5454.1</v>
      </c>
      <c r="F1881" t="n">
        <v>1.969</v>
      </c>
    </row>
    <row r="1882">
      <c r="A1882" s="87" t="n">
        <v>37263</v>
      </c>
      <c r="D1882" t="n">
        <v>1190.3</v>
      </c>
    </row>
    <row r="1883">
      <c r="A1883" s="87" t="n">
        <v>37270</v>
      </c>
      <c r="D1883" t="n">
        <v>1194.6</v>
      </c>
    </row>
    <row r="1884">
      <c r="A1884" s="87" t="n">
        <v>37277</v>
      </c>
      <c r="D1884" t="n">
        <v>1193.6</v>
      </c>
    </row>
    <row r="1885">
      <c r="A1885" s="87" t="n">
        <v>37284</v>
      </c>
      <c r="D1885" t="n">
        <v>1184.6</v>
      </c>
    </row>
    <row r="1886">
      <c r="A1886" s="87" t="n">
        <v>37288</v>
      </c>
      <c r="B1886" t="n">
        <v>668.9</v>
      </c>
      <c r="C1886" t="n">
        <v>3080.6</v>
      </c>
      <c r="E1886" t="n">
        <v>5483.4</v>
      </c>
    </row>
    <row r="1887">
      <c r="A1887" s="87" t="n">
        <v>37291</v>
      </c>
      <c r="D1887" t="n">
        <v>1189.5</v>
      </c>
    </row>
    <row r="1888">
      <c r="A1888" s="87" t="n">
        <v>37298</v>
      </c>
      <c r="D1888" t="n">
        <v>1190.4</v>
      </c>
    </row>
    <row r="1889">
      <c r="A1889" s="87" t="n">
        <v>37305</v>
      </c>
      <c r="D1889" t="n">
        <v>1192.4</v>
      </c>
    </row>
    <row r="1890">
      <c r="A1890" s="87" t="n">
        <v>37312</v>
      </c>
      <c r="D1890" t="n">
        <v>1189.4</v>
      </c>
    </row>
    <row r="1891">
      <c r="A1891" s="87" t="n">
        <v>37316</v>
      </c>
      <c r="B1891" t="n">
        <v>668.5</v>
      </c>
      <c r="C1891" t="n">
        <v>3078.5</v>
      </c>
      <c r="E1891" t="n">
        <v>5495.2</v>
      </c>
    </row>
    <row r="1892">
      <c r="A1892" s="87" t="n">
        <v>37319</v>
      </c>
      <c r="D1892" t="n">
        <v>1191.1</v>
      </c>
    </row>
    <row r="1893">
      <c r="A1893" s="87" t="n">
        <v>37326</v>
      </c>
      <c r="D1893" t="n">
        <v>1198.6</v>
      </c>
    </row>
    <row r="1894">
      <c r="A1894" s="87" t="n">
        <v>37333</v>
      </c>
      <c r="D1894" t="n">
        <v>1196.1</v>
      </c>
    </row>
    <row r="1895">
      <c r="A1895" s="87" t="n">
        <v>37340</v>
      </c>
      <c r="D1895" t="n">
        <v>1193</v>
      </c>
    </row>
    <row r="1896">
      <c r="A1896" s="87" t="n">
        <v>37347</v>
      </c>
      <c r="B1896" t="n">
        <v>662</v>
      </c>
      <c r="C1896" t="n">
        <v>3064.9</v>
      </c>
      <c r="D1896" t="n">
        <v>1185.3</v>
      </c>
      <c r="E1896" t="n">
        <v>5495.4</v>
      </c>
      <c r="F1896" t="n">
        <v>1.972</v>
      </c>
    </row>
    <row r="1897">
      <c r="A1897" s="87" t="n">
        <v>37354</v>
      </c>
      <c r="D1897" t="n">
        <v>1185.1</v>
      </c>
    </row>
    <row r="1898">
      <c r="A1898" s="87" t="n">
        <v>37361</v>
      </c>
      <c r="D1898" t="n">
        <v>1187.5</v>
      </c>
    </row>
    <row r="1899">
      <c r="A1899" s="87" t="n">
        <v>37368</v>
      </c>
      <c r="D1899" t="n">
        <v>1188</v>
      </c>
    </row>
    <row r="1900">
      <c r="A1900" s="87" t="n">
        <v>37375</v>
      </c>
      <c r="D1900" t="n">
        <v>1187.9</v>
      </c>
    </row>
    <row r="1901">
      <c r="A1901" s="87" t="n">
        <v>37377</v>
      </c>
      <c r="B1901" t="n">
        <v>662.6</v>
      </c>
      <c r="C1901" t="n">
        <v>3076</v>
      </c>
      <c r="E1901" t="n">
        <v>5521.5</v>
      </c>
    </row>
    <row r="1902">
      <c r="A1902" s="87" t="n">
        <v>37382</v>
      </c>
      <c r="D1902" t="n">
        <v>1181.1</v>
      </c>
    </row>
    <row r="1903">
      <c r="A1903" s="87" t="n">
        <v>37389</v>
      </c>
      <c r="D1903" t="n">
        <v>1186.1</v>
      </c>
    </row>
    <row r="1904">
      <c r="A1904" s="87" t="n">
        <v>37396</v>
      </c>
      <c r="D1904" t="n">
        <v>1188.1</v>
      </c>
    </row>
    <row r="1905">
      <c r="A1905" s="87" t="n">
        <v>37403</v>
      </c>
      <c r="D1905" t="n">
        <v>1192.2</v>
      </c>
    </row>
    <row r="1906">
      <c r="A1906" s="87" t="n">
        <v>37408</v>
      </c>
      <c r="B1906" t="n">
        <v>664.4</v>
      </c>
      <c r="C1906" t="n">
        <v>3088.3</v>
      </c>
      <c r="E1906" t="n">
        <v>5546.5</v>
      </c>
    </row>
    <row r="1907">
      <c r="A1907" s="87" t="n">
        <v>37410</v>
      </c>
      <c r="D1907" t="n">
        <v>1204.2</v>
      </c>
    </row>
    <row r="1908">
      <c r="A1908" s="87" t="n">
        <v>37417</v>
      </c>
      <c r="D1908" t="n">
        <v>1192.3</v>
      </c>
    </row>
    <row r="1909">
      <c r="A1909" s="87" t="n">
        <v>37424</v>
      </c>
      <c r="D1909" t="n">
        <v>1188.9</v>
      </c>
    </row>
    <row r="1910">
      <c r="A1910" s="87" t="n">
        <v>37431</v>
      </c>
      <c r="D1910" t="n">
        <v>1193.3</v>
      </c>
    </row>
    <row r="1911">
      <c r="A1911" s="87" t="n">
        <v>37438</v>
      </c>
      <c r="B1911" t="n">
        <v>666.2</v>
      </c>
      <c r="C1911" t="n">
        <v>3105.1</v>
      </c>
      <c r="D1911" t="n">
        <v>1194.1</v>
      </c>
      <c r="E1911" t="n">
        <v>5589.1</v>
      </c>
      <c r="F1911" t="n">
        <v>1.953</v>
      </c>
    </row>
    <row r="1912">
      <c r="A1912" s="87" t="n">
        <v>37445</v>
      </c>
      <c r="D1912" t="n">
        <v>1193.4</v>
      </c>
    </row>
    <row r="1913">
      <c r="A1913" s="87" t="n">
        <v>37452</v>
      </c>
      <c r="D1913" t="n">
        <v>1202</v>
      </c>
    </row>
    <row r="1914">
      <c r="A1914" s="87" t="n">
        <v>37459</v>
      </c>
      <c r="D1914" t="n">
        <v>1203.1</v>
      </c>
    </row>
    <row r="1915">
      <c r="A1915" s="87" t="n">
        <v>37466</v>
      </c>
      <c r="D1915" t="n">
        <v>1203.7</v>
      </c>
    </row>
    <row r="1916">
      <c r="A1916" s="87" t="n">
        <v>37469</v>
      </c>
      <c r="B1916" t="n">
        <v>657.7</v>
      </c>
      <c r="C1916" t="n">
        <v>3120</v>
      </c>
      <c r="E1916" t="n">
        <v>5631.6</v>
      </c>
    </row>
    <row r="1917">
      <c r="A1917" s="87" t="n">
        <v>37473</v>
      </c>
      <c r="D1917" t="n">
        <v>1181.6</v>
      </c>
    </row>
    <row r="1918">
      <c r="A1918" s="87" t="n">
        <v>37480</v>
      </c>
      <c r="D1918" t="n">
        <v>1182.1</v>
      </c>
    </row>
    <row r="1919">
      <c r="A1919" s="87" t="n">
        <v>37487</v>
      </c>
      <c r="D1919" t="n">
        <v>1182.6</v>
      </c>
    </row>
    <row r="1920">
      <c r="A1920" s="87" t="n">
        <v>37494</v>
      </c>
      <c r="D1920" t="n">
        <v>1188.8</v>
      </c>
    </row>
    <row r="1921">
      <c r="A1921" s="87" t="n">
        <v>37500</v>
      </c>
      <c r="B1921" t="n">
        <v>661.6</v>
      </c>
      <c r="C1921" t="n">
        <v>3128.3</v>
      </c>
      <c r="E1921" t="n">
        <v>5656</v>
      </c>
    </row>
    <row r="1922">
      <c r="A1922" s="87" t="n">
        <v>37501</v>
      </c>
      <c r="D1922" t="n">
        <v>1203.3</v>
      </c>
    </row>
    <row r="1923">
      <c r="A1923" s="87" t="n">
        <v>37508</v>
      </c>
      <c r="D1923" t="n">
        <v>1191.5</v>
      </c>
    </row>
    <row r="1924">
      <c r="A1924" s="87" t="n">
        <v>37515</v>
      </c>
      <c r="D1924" t="n">
        <v>1191.8</v>
      </c>
    </row>
    <row r="1925">
      <c r="A1925" s="87" t="n">
        <v>37522</v>
      </c>
      <c r="D1925" t="n">
        <v>1192.8</v>
      </c>
    </row>
    <row r="1926">
      <c r="A1926" s="87" t="n">
        <v>37529</v>
      </c>
      <c r="D1926" t="n">
        <v>1206.3</v>
      </c>
    </row>
    <row r="1927">
      <c r="A1927" s="87" t="n">
        <v>37530</v>
      </c>
      <c r="B1927" t="n">
        <v>664.5</v>
      </c>
      <c r="C1927" t="n">
        <v>3145.9</v>
      </c>
      <c r="E1927" t="n">
        <v>5700.4</v>
      </c>
      <c r="F1927" t="n">
        <v>1.927</v>
      </c>
    </row>
    <row r="1928">
      <c r="A1928" s="87" t="n">
        <v>37536</v>
      </c>
      <c r="D1928" t="n">
        <v>1188.1</v>
      </c>
    </row>
    <row r="1929">
      <c r="A1929" s="87" t="n">
        <v>37543</v>
      </c>
      <c r="D1929" t="n">
        <v>1206.7</v>
      </c>
    </row>
    <row r="1930">
      <c r="A1930" s="87" t="n">
        <v>37550</v>
      </c>
      <c r="D1930" t="n">
        <v>1207.4</v>
      </c>
    </row>
    <row r="1931">
      <c r="A1931" s="87" t="n">
        <v>37557</v>
      </c>
      <c r="D1931" t="n">
        <v>1212.1</v>
      </c>
    </row>
    <row r="1932">
      <c r="A1932" s="87" t="n">
        <v>37561</v>
      </c>
      <c r="B1932" t="n">
        <v>666.4</v>
      </c>
      <c r="C1932" t="n">
        <v>3168.4</v>
      </c>
      <c r="E1932" t="n">
        <v>5750.6</v>
      </c>
    </row>
    <row r="1933">
      <c r="A1933" s="87" t="n">
        <v>37564</v>
      </c>
      <c r="D1933" t="n">
        <v>1208</v>
      </c>
    </row>
    <row r="1934">
      <c r="A1934" s="87" t="n">
        <v>37571</v>
      </c>
      <c r="D1934" t="n">
        <v>1208.5</v>
      </c>
    </row>
    <row r="1935">
      <c r="A1935" s="87" t="n">
        <v>37578</v>
      </c>
      <c r="D1935" t="n">
        <v>1205.4</v>
      </c>
    </row>
    <row r="1936">
      <c r="A1936" s="87" t="n">
        <v>37585</v>
      </c>
      <c r="D1936" t="n">
        <v>1203.8</v>
      </c>
    </row>
    <row r="1937">
      <c r="A1937" s="87" t="n">
        <v>37591</v>
      </c>
      <c r="B1937" t="n">
        <v>671.2</v>
      </c>
      <c r="C1937" t="n">
        <v>3174.9</v>
      </c>
      <c r="E1937" t="n">
        <v>5772</v>
      </c>
    </row>
    <row r="1938">
      <c r="A1938" s="87" t="n">
        <v>37592</v>
      </c>
      <c r="D1938" t="n">
        <v>1226.5</v>
      </c>
    </row>
    <row r="1939">
      <c r="A1939" s="87" t="n">
        <v>37599</v>
      </c>
      <c r="D1939" t="n">
        <v>1218.8</v>
      </c>
    </row>
    <row r="1940">
      <c r="A1940" s="87" t="n">
        <v>37606</v>
      </c>
      <c r="D1940" t="n">
        <v>1217.3</v>
      </c>
    </row>
    <row r="1941">
      <c r="A1941" s="87" t="n">
        <v>37613</v>
      </c>
      <c r="D1941" t="n">
        <v>1223.4</v>
      </c>
    </row>
    <row r="1942">
      <c r="A1942" s="87" t="n">
        <v>37620</v>
      </c>
      <c r="D1942" t="n">
        <v>1220.2</v>
      </c>
    </row>
    <row r="1943">
      <c r="A1943" s="87" t="n">
        <v>37622</v>
      </c>
      <c r="B1943" t="n">
        <v>672.1</v>
      </c>
      <c r="C1943" t="n">
        <v>3178.9</v>
      </c>
      <c r="E1943" t="n">
        <v>5804.6</v>
      </c>
      <c r="F1943" t="n">
        <v>1.915</v>
      </c>
    </row>
    <row r="1944">
      <c r="A1944" s="87" t="n">
        <v>37627</v>
      </c>
      <c r="D1944" t="n">
        <v>1215.7</v>
      </c>
    </row>
    <row r="1945">
      <c r="A1945" s="87" t="n">
        <v>37634</v>
      </c>
      <c r="D1945" t="n">
        <v>1221.8</v>
      </c>
    </row>
    <row r="1946">
      <c r="A1946" s="87" t="n">
        <v>37641</v>
      </c>
      <c r="D1946" t="n">
        <v>1229.7</v>
      </c>
    </row>
    <row r="1947">
      <c r="A1947" s="87" t="n">
        <v>37648</v>
      </c>
      <c r="D1947" t="n">
        <v>1229.4</v>
      </c>
    </row>
    <row r="1948">
      <c r="A1948" s="87" t="n">
        <v>37653</v>
      </c>
      <c r="B1948" t="n">
        <v>674.4</v>
      </c>
      <c r="C1948" t="n">
        <v>3181.2</v>
      </c>
      <c r="E1948" t="n">
        <v>5840.7</v>
      </c>
    </row>
    <row r="1949">
      <c r="A1949" s="87" t="n">
        <v>37655</v>
      </c>
      <c r="D1949" t="n">
        <v>1246.6</v>
      </c>
    </row>
    <row r="1950">
      <c r="A1950" s="87" t="n">
        <v>37662</v>
      </c>
      <c r="D1950" t="n">
        <v>1234.2</v>
      </c>
    </row>
    <row r="1951">
      <c r="A1951" s="87" t="n">
        <v>37669</v>
      </c>
      <c r="D1951" t="n">
        <v>1241.1</v>
      </c>
    </row>
    <row r="1952">
      <c r="A1952" s="87" t="n">
        <v>37676</v>
      </c>
      <c r="D1952" t="n">
        <v>1231.3</v>
      </c>
    </row>
    <row r="1953">
      <c r="A1953" s="87" t="n">
        <v>37681</v>
      </c>
      <c r="B1953" t="n">
        <v>673.9</v>
      </c>
      <c r="C1953" t="n">
        <v>3187.3</v>
      </c>
      <c r="E1953" t="n">
        <v>5861.4</v>
      </c>
    </row>
    <row r="1954">
      <c r="A1954" s="87" t="n">
        <v>37683</v>
      </c>
      <c r="D1954" t="n">
        <v>1245.6</v>
      </c>
    </row>
    <row r="1955">
      <c r="A1955" s="87" t="n">
        <v>37690</v>
      </c>
      <c r="D1955" t="n">
        <v>1242.5</v>
      </c>
    </row>
    <row r="1956">
      <c r="A1956" s="87" t="n">
        <v>37697</v>
      </c>
      <c r="D1956" t="n">
        <v>1235.9</v>
      </c>
    </row>
    <row r="1957">
      <c r="A1957" s="87" t="n">
        <v>37704</v>
      </c>
      <c r="D1957" t="n">
        <v>1235.9</v>
      </c>
    </row>
    <row r="1958">
      <c r="A1958" s="87" t="n">
        <v>37711</v>
      </c>
      <c r="D1958" t="n">
        <v>1240.4</v>
      </c>
    </row>
    <row r="1959">
      <c r="A1959" s="87" t="n">
        <v>37712</v>
      </c>
      <c r="B1959" t="n">
        <v>682.3</v>
      </c>
      <c r="C1959" t="n">
        <v>3219.9</v>
      </c>
      <c r="E1959" t="n">
        <v>5898.8</v>
      </c>
      <c r="F1959" t="n">
        <v>1.901</v>
      </c>
    </row>
    <row r="1960">
      <c r="A1960" s="87" t="n">
        <v>37718</v>
      </c>
      <c r="D1960" t="n">
        <v>1235.8</v>
      </c>
    </row>
    <row r="1961">
      <c r="A1961" s="87" t="n">
        <v>37725</v>
      </c>
      <c r="D1961" t="n">
        <v>1249.9</v>
      </c>
    </row>
    <row r="1962">
      <c r="A1962" s="87" t="n">
        <v>37732</v>
      </c>
      <c r="D1962" t="n">
        <v>1255.9</v>
      </c>
    </row>
    <row r="1963">
      <c r="A1963" s="87" t="n">
        <v>37739</v>
      </c>
      <c r="D1963" t="n">
        <v>1255.4</v>
      </c>
    </row>
    <row r="1964">
      <c r="A1964" s="87" t="n">
        <v>37742</v>
      </c>
      <c r="B1964" t="n">
        <v>693.7</v>
      </c>
      <c r="C1964" t="n">
        <v>3258.2</v>
      </c>
      <c r="E1964" t="n">
        <v>5959.3</v>
      </c>
    </row>
    <row r="1965">
      <c r="A1965" s="87" t="n">
        <v>37746</v>
      </c>
      <c r="D1965" t="n">
        <v>1261.2</v>
      </c>
    </row>
    <row r="1966">
      <c r="A1966" s="87" t="n">
        <v>37753</v>
      </c>
      <c r="D1966" t="n">
        <v>1268.8</v>
      </c>
    </row>
    <row r="1967">
      <c r="A1967" s="87" t="n">
        <v>37760</v>
      </c>
      <c r="D1967" t="n">
        <v>1268.2</v>
      </c>
    </row>
    <row r="1968">
      <c r="A1968" s="87" t="n">
        <v>37767</v>
      </c>
      <c r="D1968" t="n">
        <v>1269.5</v>
      </c>
    </row>
    <row r="1969">
      <c r="A1969" s="87" t="n">
        <v>37773</v>
      </c>
      <c r="B1969" t="n">
        <v>699.6</v>
      </c>
      <c r="C1969" t="n">
        <v>3274.7</v>
      </c>
      <c r="E1969" t="n">
        <v>5996</v>
      </c>
    </row>
    <row r="1970">
      <c r="A1970" s="87" t="n">
        <v>37774</v>
      </c>
      <c r="D1970" t="n">
        <v>1276.4</v>
      </c>
    </row>
    <row r="1971">
      <c r="A1971" s="87" t="n">
        <v>37781</v>
      </c>
      <c r="D1971" t="n">
        <v>1279.1</v>
      </c>
    </row>
    <row r="1972">
      <c r="A1972" s="87" t="n">
        <v>37788</v>
      </c>
      <c r="D1972" t="n">
        <v>1287.6</v>
      </c>
    </row>
    <row r="1973">
      <c r="A1973" s="87" t="n">
        <v>37795</v>
      </c>
      <c r="D1973" t="n">
        <v>1276.9</v>
      </c>
    </row>
    <row r="1974">
      <c r="A1974" s="87" t="n">
        <v>37802</v>
      </c>
      <c r="D1974" t="n">
        <v>1281.7</v>
      </c>
    </row>
    <row r="1975">
      <c r="A1975" s="87" t="n">
        <v>37803</v>
      </c>
      <c r="B1975" t="n">
        <v>700.9</v>
      </c>
      <c r="C1975" t="n">
        <v>3289.4</v>
      </c>
      <c r="E1975" t="n">
        <v>6042.7</v>
      </c>
      <c r="F1975" t="n">
        <v>1.905</v>
      </c>
    </row>
    <row r="1976">
      <c r="A1976" s="87" t="n">
        <v>37809</v>
      </c>
      <c r="D1976" t="n">
        <v>1276.4</v>
      </c>
    </row>
    <row r="1977">
      <c r="A1977" s="87" t="n">
        <v>37816</v>
      </c>
      <c r="D1977" t="n">
        <v>1289.1</v>
      </c>
    </row>
    <row r="1978">
      <c r="A1978" s="87" t="n">
        <v>37823</v>
      </c>
      <c r="D1978" t="n">
        <v>1292.1</v>
      </c>
    </row>
    <row r="1979">
      <c r="A1979" s="87" t="n">
        <v>37830</v>
      </c>
      <c r="D1979" t="n">
        <v>1286.4</v>
      </c>
    </row>
    <row r="1980">
      <c r="A1980" s="87" t="n">
        <v>37834</v>
      </c>
      <c r="B1980" t="n">
        <v>702.7</v>
      </c>
      <c r="C1980" t="n">
        <v>3306.7</v>
      </c>
      <c r="E1980" t="n">
        <v>6100.8</v>
      </c>
    </row>
    <row r="1981">
      <c r="A1981" s="87" t="n">
        <v>37837</v>
      </c>
      <c r="D1981" t="n">
        <v>1301.4</v>
      </c>
    </row>
    <row r="1982">
      <c r="A1982" s="87" t="n">
        <v>37844</v>
      </c>
      <c r="D1982" t="n">
        <v>1295.4</v>
      </c>
    </row>
    <row r="1983">
      <c r="A1983" s="87" t="n">
        <v>37851</v>
      </c>
      <c r="D1983" t="n">
        <v>1309.5</v>
      </c>
    </row>
    <row r="1984">
      <c r="A1984" s="87" t="n">
        <v>37858</v>
      </c>
      <c r="D1984" t="n">
        <v>1288.4</v>
      </c>
    </row>
    <row r="1985">
      <c r="A1985" s="87" t="n">
        <v>37865</v>
      </c>
      <c r="B1985" t="n">
        <v>700.8</v>
      </c>
      <c r="C1985" t="n">
        <v>3280.8</v>
      </c>
      <c r="D1985" t="n">
        <v>1288.4</v>
      </c>
      <c r="E1985" t="n">
        <v>6072.8</v>
      </c>
    </row>
    <row r="1986">
      <c r="A1986" s="87" t="n">
        <v>37872</v>
      </c>
      <c r="D1986" t="n">
        <v>1295.1</v>
      </c>
    </row>
    <row r="1987">
      <c r="A1987" s="87" t="n">
        <v>37879</v>
      </c>
      <c r="D1987" t="n">
        <v>1299.9</v>
      </c>
    </row>
    <row r="1988">
      <c r="A1988" s="87" t="n">
        <v>37886</v>
      </c>
      <c r="D1988" t="n">
        <v>1299.4</v>
      </c>
    </row>
    <row r="1989">
      <c r="A1989" s="87" t="n">
        <v>37893</v>
      </c>
      <c r="D1989" t="n">
        <v>1297.1</v>
      </c>
    </row>
    <row r="1990">
      <c r="A1990" s="87" t="n">
        <v>37895</v>
      </c>
      <c r="B1990" t="n">
        <v>701.9</v>
      </c>
      <c r="C1990" t="n">
        <v>3279.4</v>
      </c>
      <c r="E1990" t="n">
        <v>6063.6</v>
      </c>
      <c r="F1990" t="n">
        <v>1.94</v>
      </c>
    </row>
    <row r="1991">
      <c r="A1991" s="87" t="n">
        <v>37900</v>
      </c>
      <c r="D1991" t="n">
        <v>1285.8</v>
      </c>
    </row>
    <row r="1992">
      <c r="A1992" s="87" t="n">
        <v>37907</v>
      </c>
      <c r="D1992" t="n">
        <v>1297</v>
      </c>
    </row>
    <row r="1993">
      <c r="A1993" s="87" t="n">
        <v>37914</v>
      </c>
      <c r="D1993" t="n">
        <v>1297.8</v>
      </c>
    </row>
    <row r="1994">
      <c r="A1994" s="87" t="n">
        <v>37921</v>
      </c>
      <c r="D1994" t="n">
        <v>1298.2</v>
      </c>
    </row>
    <row r="1995">
      <c r="A1995" s="87" t="n">
        <v>37926</v>
      </c>
      <c r="B1995" t="n">
        <v>702.2</v>
      </c>
      <c r="C1995" t="n">
        <v>3280.6</v>
      </c>
      <c r="E1995" t="n">
        <v>6069.1</v>
      </c>
    </row>
    <row r="1996">
      <c r="A1996" s="87" t="n">
        <v>37928</v>
      </c>
      <c r="D1996" t="n">
        <v>1316.5</v>
      </c>
    </row>
    <row r="1997">
      <c r="A1997" s="87" t="n">
        <v>37935</v>
      </c>
      <c r="D1997" t="n">
        <v>1306.2</v>
      </c>
    </row>
    <row r="1998">
      <c r="A1998" s="87" t="n">
        <v>37942</v>
      </c>
      <c r="D1998" t="n">
        <v>1297.7</v>
      </c>
    </row>
    <row r="1999">
      <c r="A1999" s="87" t="n">
        <v>37949</v>
      </c>
      <c r="D1999" t="n">
        <v>1293</v>
      </c>
    </row>
    <row r="2000">
      <c r="A2000" s="87" t="n">
        <v>37956</v>
      </c>
      <c r="B2000" t="n">
        <v>704.2</v>
      </c>
      <c r="C2000" t="n">
        <v>3270.8</v>
      </c>
      <c r="D2000" t="n">
        <v>1290.7</v>
      </c>
      <c r="E2000" t="n">
        <v>6067.3</v>
      </c>
    </row>
    <row r="2001">
      <c r="A2001" s="87" t="n">
        <v>37963</v>
      </c>
      <c r="D2001" t="n">
        <v>1304.9</v>
      </c>
    </row>
    <row r="2002">
      <c r="A2002" s="87" t="n">
        <v>37970</v>
      </c>
      <c r="D2002" t="n">
        <v>1311.8</v>
      </c>
    </row>
    <row r="2003">
      <c r="A2003" s="87" t="n">
        <v>37977</v>
      </c>
      <c r="D2003" t="n">
        <v>1308.4</v>
      </c>
    </row>
    <row r="2004">
      <c r="A2004" s="87" t="n">
        <v>37984</v>
      </c>
      <c r="D2004" t="n">
        <v>1302.8</v>
      </c>
    </row>
    <row r="2005">
      <c r="A2005" s="87" t="n">
        <v>37987</v>
      </c>
      <c r="B2005" t="n">
        <v>701</v>
      </c>
      <c r="C2005" t="n">
        <v>3261.1</v>
      </c>
      <c r="E2005" t="n">
        <v>6075.5</v>
      </c>
      <c r="F2005" t="n">
        <v>1.95</v>
      </c>
    </row>
    <row r="2006">
      <c r="A2006" s="87" t="n">
        <v>37991</v>
      </c>
      <c r="D2006" t="n">
        <v>1303</v>
      </c>
    </row>
    <row r="2007">
      <c r="A2007" s="87" t="n">
        <v>37998</v>
      </c>
      <c r="D2007" t="n">
        <v>1300.4</v>
      </c>
    </row>
    <row r="2008">
      <c r="A2008" s="87" t="n">
        <v>38005</v>
      </c>
      <c r="D2008" t="n">
        <v>1307.5</v>
      </c>
    </row>
    <row r="2009">
      <c r="A2009" s="87" t="n">
        <v>38012</v>
      </c>
      <c r="D2009" t="n">
        <v>1307.9</v>
      </c>
    </row>
    <row r="2010">
      <c r="A2010" s="87" t="n">
        <v>38018</v>
      </c>
      <c r="B2010" t="n">
        <v>707.8</v>
      </c>
      <c r="C2010" t="n">
        <v>3274.9</v>
      </c>
      <c r="E2010" t="n">
        <v>6114.3</v>
      </c>
    </row>
    <row r="2011">
      <c r="A2011" s="87" t="n">
        <v>38019</v>
      </c>
      <c r="D2011" t="n">
        <v>1312.3</v>
      </c>
    </row>
    <row r="2012">
      <c r="A2012" s="87" t="n">
        <v>38026</v>
      </c>
      <c r="D2012" t="n">
        <v>1321</v>
      </c>
    </row>
    <row r="2013">
      <c r="A2013" s="87" t="n">
        <v>38033</v>
      </c>
      <c r="D2013" t="n">
        <v>1328.2</v>
      </c>
    </row>
    <row r="2014">
      <c r="A2014" s="87" t="n">
        <v>38040</v>
      </c>
      <c r="D2014" t="n">
        <v>1320.3</v>
      </c>
    </row>
    <row r="2015">
      <c r="A2015" s="87" t="n">
        <v>38047</v>
      </c>
      <c r="B2015" t="n">
        <v>710.2</v>
      </c>
      <c r="C2015" t="n">
        <v>3287.1</v>
      </c>
      <c r="D2015" t="n">
        <v>1318.4</v>
      </c>
      <c r="E2015" t="n">
        <v>6150.1</v>
      </c>
    </row>
    <row r="2016">
      <c r="A2016" s="87" t="n">
        <v>38054</v>
      </c>
      <c r="D2016" t="n">
        <v>1318.5</v>
      </c>
    </row>
    <row r="2017">
      <c r="A2017" s="87" t="n">
        <v>38061</v>
      </c>
      <c r="D2017" t="n">
        <v>1329.7</v>
      </c>
    </row>
    <row r="2018">
      <c r="A2018" s="87" t="n">
        <v>38068</v>
      </c>
      <c r="D2018" t="n">
        <v>1335.8</v>
      </c>
    </row>
    <row r="2019">
      <c r="A2019" s="87" t="n">
        <v>38075</v>
      </c>
      <c r="D2019" t="n">
        <v>1334.1</v>
      </c>
    </row>
    <row r="2020">
      <c r="A2020" s="87" t="n">
        <v>38078</v>
      </c>
      <c r="B2020" t="n">
        <v>711.2</v>
      </c>
      <c r="C2020" t="n">
        <v>3303.7</v>
      </c>
      <c r="E2020" t="n">
        <v>6191.2</v>
      </c>
      <c r="F2020" t="n">
        <v>1.94</v>
      </c>
    </row>
    <row r="2021">
      <c r="A2021" s="87" t="n">
        <v>38082</v>
      </c>
      <c r="D2021" t="n">
        <v>1321.9</v>
      </c>
    </row>
    <row r="2022">
      <c r="A2022" s="87" t="n">
        <v>38089</v>
      </c>
      <c r="D2022" t="n">
        <v>1330.1</v>
      </c>
    </row>
    <row r="2023">
      <c r="A2023" s="87" t="n">
        <v>38096</v>
      </c>
      <c r="D2023" t="n">
        <v>1327.1</v>
      </c>
    </row>
    <row r="2024">
      <c r="A2024" s="87" t="n">
        <v>38103</v>
      </c>
      <c r="D2024" t="n">
        <v>1334.6</v>
      </c>
    </row>
    <row r="2025">
      <c r="A2025" s="87" t="n">
        <v>38108</v>
      </c>
      <c r="B2025" t="n">
        <v>708.4</v>
      </c>
      <c r="C2025" t="n">
        <v>3330.6</v>
      </c>
      <c r="E2025" t="n">
        <v>6268.1</v>
      </c>
    </row>
    <row r="2026">
      <c r="A2026" s="87" t="n">
        <v>38110</v>
      </c>
      <c r="D2026" t="n">
        <v>1357.7</v>
      </c>
    </row>
    <row r="2027">
      <c r="A2027" s="87" t="n">
        <v>38117</v>
      </c>
      <c r="D2027" t="n">
        <v>1328</v>
      </c>
    </row>
    <row r="2028">
      <c r="A2028" s="87" t="n">
        <v>38124</v>
      </c>
      <c r="D2028" t="n">
        <v>1336</v>
      </c>
    </row>
    <row r="2029">
      <c r="A2029" s="87" t="n">
        <v>38131</v>
      </c>
      <c r="D2029" t="n">
        <v>1335.6</v>
      </c>
    </row>
    <row r="2030">
      <c r="A2030" s="87" t="n">
        <v>38138</v>
      </c>
      <c r="D2030" t="n">
        <v>1323.1</v>
      </c>
    </row>
    <row r="2031">
      <c r="A2031" s="87" t="n">
        <v>38139</v>
      </c>
      <c r="B2031" t="n">
        <v>710.8</v>
      </c>
      <c r="C2031" t="n">
        <v>3319.5</v>
      </c>
      <c r="E2031" t="n">
        <v>6270.5</v>
      </c>
    </row>
    <row r="2032">
      <c r="A2032" s="87" t="n">
        <v>38145</v>
      </c>
      <c r="D2032" t="n">
        <v>1327.8</v>
      </c>
    </row>
    <row r="2033">
      <c r="A2033" s="87" t="n">
        <v>38152</v>
      </c>
      <c r="D2033" t="n">
        <v>1345.7</v>
      </c>
    </row>
    <row r="2034">
      <c r="A2034" s="87" t="n">
        <v>38159</v>
      </c>
      <c r="D2034" t="n">
        <v>1348</v>
      </c>
    </row>
    <row r="2035">
      <c r="A2035" s="87" t="n">
        <v>38166</v>
      </c>
      <c r="D2035" t="n">
        <v>1353</v>
      </c>
    </row>
    <row r="2036">
      <c r="A2036" s="87" t="n">
        <v>38169</v>
      </c>
      <c r="B2036" t="n">
        <v>709</v>
      </c>
      <c r="C2036" t="n">
        <v>3323.3</v>
      </c>
      <c r="E2036" t="n">
        <v>6284.3</v>
      </c>
      <c r="F2036" t="n">
        <v>1.949</v>
      </c>
    </row>
    <row r="2037">
      <c r="A2037" s="87" t="n">
        <v>38173</v>
      </c>
      <c r="D2037" t="n">
        <v>1330.1</v>
      </c>
    </row>
    <row r="2038">
      <c r="A2038" s="87" t="n">
        <v>38180</v>
      </c>
      <c r="D2038" t="n">
        <v>1341.1</v>
      </c>
    </row>
    <row r="2039">
      <c r="A2039" s="87" t="n">
        <v>38187</v>
      </c>
      <c r="D2039" t="n">
        <v>1337.2</v>
      </c>
    </row>
    <row r="2040">
      <c r="A2040" s="87" t="n">
        <v>38194</v>
      </c>
      <c r="D2040" t="n">
        <v>1347.6</v>
      </c>
    </row>
    <row r="2041">
      <c r="A2041" s="87" t="n">
        <v>38200</v>
      </c>
      <c r="B2041" t="n">
        <v>715.8</v>
      </c>
      <c r="C2041" t="n">
        <v>3335.4</v>
      </c>
      <c r="E2041" t="n">
        <v>6310.6</v>
      </c>
    </row>
    <row r="2042">
      <c r="A2042" s="87" t="n">
        <v>38201</v>
      </c>
      <c r="D2042" t="n">
        <v>1346.8</v>
      </c>
    </row>
    <row r="2043">
      <c r="A2043" s="87" t="n">
        <v>38208</v>
      </c>
      <c r="D2043" t="n">
        <v>1352</v>
      </c>
    </row>
    <row r="2044">
      <c r="A2044" s="87" t="n">
        <v>38215</v>
      </c>
      <c r="D2044" t="n">
        <v>1355.2</v>
      </c>
    </row>
    <row r="2045">
      <c r="A2045" s="87" t="n">
        <v>38222</v>
      </c>
      <c r="D2045" t="n">
        <v>1362.5</v>
      </c>
    </row>
    <row r="2046">
      <c r="A2046" s="87" t="n">
        <v>38229</v>
      </c>
      <c r="D2046" t="n">
        <v>1351.4</v>
      </c>
    </row>
    <row r="2047">
      <c r="A2047" s="87" t="n">
        <v>38231</v>
      </c>
      <c r="B2047" t="n">
        <v>717.9</v>
      </c>
      <c r="C2047" t="n">
        <v>3343.2</v>
      </c>
      <c r="E2047" t="n">
        <v>6345.3</v>
      </c>
    </row>
    <row r="2048">
      <c r="A2048" s="87" t="n">
        <v>38236</v>
      </c>
      <c r="D2048" t="n">
        <v>1342.3</v>
      </c>
    </row>
    <row r="2049">
      <c r="A2049" s="87" t="n">
        <v>38243</v>
      </c>
      <c r="D2049" t="n">
        <v>1359.9</v>
      </c>
    </row>
    <row r="2050">
      <c r="A2050" s="87" t="n">
        <v>38250</v>
      </c>
      <c r="D2050" t="n">
        <v>1372.2</v>
      </c>
    </row>
    <row r="2051">
      <c r="A2051" s="87" t="n">
        <v>38257</v>
      </c>
      <c r="D2051" t="n">
        <v>1372</v>
      </c>
    </row>
    <row r="2052">
      <c r="A2052" s="87" t="n">
        <v>38261</v>
      </c>
      <c r="B2052" t="n">
        <v>714</v>
      </c>
      <c r="C2052" t="n">
        <v>3340.3</v>
      </c>
      <c r="E2052" t="n">
        <v>6373.3</v>
      </c>
      <c r="F2052" t="n">
        <v>1.958</v>
      </c>
    </row>
    <row r="2053">
      <c r="A2053" s="87" t="n">
        <v>38264</v>
      </c>
      <c r="D2053" t="n">
        <v>1364.4</v>
      </c>
    </row>
    <row r="2054">
      <c r="A2054" s="87" t="n">
        <v>38271</v>
      </c>
      <c r="D2054" t="n">
        <v>1365.5</v>
      </c>
    </row>
    <row r="2055">
      <c r="A2055" s="87" t="n">
        <v>38278</v>
      </c>
      <c r="D2055" t="n">
        <v>1359.7</v>
      </c>
    </row>
    <row r="2056">
      <c r="A2056" s="87" t="n">
        <v>38285</v>
      </c>
      <c r="D2056" t="n">
        <v>1368.5</v>
      </c>
    </row>
    <row r="2057">
      <c r="A2057" s="87" t="n">
        <v>38292</v>
      </c>
      <c r="B2057" t="n">
        <v>716.8</v>
      </c>
      <c r="C2057" t="n">
        <v>3338.4</v>
      </c>
      <c r="D2057" t="n">
        <v>1352.8</v>
      </c>
      <c r="E2057" t="n">
        <v>6399.8</v>
      </c>
    </row>
    <row r="2058">
      <c r="A2058" s="87" t="n">
        <v>38299</v>
      </c>
      <c r="D2058" t="n">
        <v>1363.9</v>
      </c>
    </row>
    <row r="2059">
      <c r="A2059" s="87" t="n">
        <v>38306</v>
      </c>
      <c r="D2059" t="n">
        <v>1371.2</v>
      </c>
    </row>
    <row r="2060">
      <c r="A2060" s="87" t="n">
        <v>38313</v>
      </c>
      <c r="D2060" t="n">
        <v>1379.2</v>
      </c>
    </row>
    <row r="2061">
      <c r="A2061" s="87" t="n">
        <v>38320</v>
      </c>
      <c r="D2061" t="n">
        <v>1387.5</v>
      </c>
    </row>
    <row r="2062">
      <c r="A2062" s="87" t="n">
        <v>38322</v>
      </c>
      <c r="B2062" t="n">
        <v>717.8</v>
      </c>
      <c r="C2062" t="n">
        <v>3348.1</v>
      </c>
      <c r="E2062" t="n">
        <v>6418.3</v>
      </c>
    </row>
    <row r="2063">
      <c r="A2063" s="87" t="n">
        <v>38327</v>
      </c>
      <c r="D2063" t="n">
        <v>1359.6</v>
      </c>
    </row>
    <row r="2064">
      <c r="A2064" s="87" t="n">
        <v>38334</v>
      </c>
      <c r="D2064" t="n">
        <v>1369.7</v>
      </c>
    </row>
    <row r="2065">
      <c r="A2065" s="87" t="n">
        <v>38341</v>
      </c>
      <c r="D2065" t="n">
        <v>1380</v>
      </c>
    </row>
    <row r="2066">
      <c r="A2066" s="87" t="n">
        <v>38348</v>
      </c>
      <c r="D2066" t="n">
        <v>1387.5</v>
      </c>
    </row>
    <row r="2067">
      <c r="A2067" s="87" t="n">
        <v>38353</v>
      </c>
      <c r="B2067" t="n">
        <v>713.5</v>
      </c>
      <c r="C2067" t="n">
        <v>3353.1</v>
      </c>
      <c r="E2067" t="n">
        <v>6424.5</v>
      </c>
      <c r="F2067" t="n">
        <v>1.985</v>
      </c>
    </row>
    <row r="2068">
      <c r="A2068" s="87" t="n">
        <v>38355</v>
      </c>
      <c r="D2068" t="n">
        <v>1373.7</v>
      </c>
    </row>
    <row r="2069">
      <c r="A2069" s="87" t="n">
        <v>38362</v>
      </c>
      <c r="D2069" t="n">
        <v>1347.5</v>
      </c>
    </row>
    <row r="2070">
      <c r="A2070" s="87" t="n">
        <v>38369</v>
      </c>
      <c r="D2070" t="n">
        <v>1348.5</v>
      </c>
    </row>
    <row r="2071">
      <c r="A2071" s="87" t="n">
        <v>38376</v>
      </c>
      <c r="D2071" t="n">
        <v>1362.7</v>
      </c>
    </row>
    <row r="2072">
      <c r="A2072" s="87" t="n">
        <v>38383</v>
      </c>
      <c r="D2072" t="n">
        <v>1364.9</v>
      </c>
    </row>
    <row r="2073">
      <c r="A2073" s="87" t="n">
        <v>38384</v>
      </c>
      <c r="B2073" t="n">
        <v>712.6</v>
      </c>
      <c r="C2073" t="n">
        <v>3343.5</v>
      </c>
      <c r="E2073" t="n">
        <v>6432.8</v>
      </c>
    </row>
    <row r="2074">
      <c r="A2074" s="87" t="n">
        <v>38390</v>
      </c>
      <c r="D2074" t="n">
        <v>1353.7</v>
      </c>
    </row>
    <row r="2075">
      <c r="A2075" s="87" t="n">
        <v>38397</v>
      </c>
      <c r="D2075" t="n">
        <v>1368.7</v>
      </c>
    </row>
    <row r="2076">
      <c r="A2076" s="87" t="n">
        <v>38404</v>
      </c>
      <c r="D2076" t="n">
        <v>1381.5</v>
      </c>
    </row>
    <row r="2077">
      <c r="A2077" s="87" t="n">
        <v>38411</v>
      </c>
      <c r="D2077" t="n">
        <v>1380.5</v>
      </c>
    </row>
    <row r="2078">
      <c r="A2078" s="87" t="n">
        <v>38412</v>
      </c>
      <c r="B2078" t="n">
        <v>709.9</v>
      </c>
      <c r="C2078" t="n">
        <v>3336</v>
      </c>
      <c r="E2078" t="n">
        <v>6441.9</v>
      </c>
    </row>
    <row r="2079">
      <c r="A2079" s="87" t="n">
        <v>38418</v>
      </c>
      <c r="D2079" t="n">
        <v>1362.8</v>
      </c>
    </row>
    <row r="2080">
      <c r="A2080" s="87" t="n">
        <v>38425</v>
      </c>
      <c r="D2080" t="n">
        <v>1370.1</v>
      </c>
    </row>
    <row r="2081">
      <c r="A2081" s="87" t="n">
        <v>38432</v>
      </c>
      <c r="D2081" t="n">
        <v>1376.3</v>
      </c>
    </row>
    <row r="2082">
      <c r="A2082" s="87" t="n">
        <v>38439</v>
      </c>
      <c r="D2082" t="n">
        <v>1378.4</v>
      </c>
    </row>
    <row r="2083">
      <c r="A2083" s="87" t="n">
        <v>38443</v>
      </c>
      <c r="B2083" t="n">
        <v>701.3</v>
      </c>
      <c r="C2083" t="n">
        <v>3332.9</v>
      </c>
      <c r="E2083" t="n">
        <v>6455.9</v>
      </c>
      <c r="F2083" t="n">
        <v>1.995</v>
      </c>
    </row>
    <row r="2084">
      <c r="A2084" s="87" t="n">
        <v>38446</v>
      </c>
      <c r="D2084" t="n">
        <v>1361.1</v>
      </c>
    </row>
    <row r="2085">
      <c r="A2085" s="87" t="n">
        <v>38453</v>
      </c>
      <c r="D2085" t="n">
        <v>1355.3</v>
      </c>
    </row>
    <row r="2086">
      <c r="A2086" s="87" t="n">
        <v>38460</v>
      </c>
      <c r="D2086" t="n">
        <v>1355.1</v>
      </c>
    </row>
    <row r="2087">
      <c r="A2087" s="87" t="n">
        <v>38467</v>
      </c>
      <c r="D2087" t="n">
        <v>1361.7</v>
      </c>
    </row>
    <row r="2088">
      <c r="A2088" s="87" t="n">
        <v>38473</v>
      </c>
      <c r="B2088" t="n">
        <v>705.6</v>
      </c>
      <c r="C2088" t="n">
        <v>3343.6</v>
      </c>
      <c r="E2088" t="n">
        <v>6473.3</v>
      </c>
    </row>
    <row r="2089">
      <c r="A2089" s="87" t="n">
        <v>38474</v>
      </c>
      <c r="D2089" t="n">
        <v>1360.4</v>
      </c>
    </row>
    <row r="2090">
      <c r="A2090" s="87" t="n">
        <v>38481</v>
      </c>
      <c r="D2090" t="n">
        <v>1361.8</v>
      </c>
    </row>
    <row r="2091">
      <c r="A2091" s="87" t="n">
        <v>38488</v>
      </c>
      <c r="D2091" t="n">
        <v>1357.6</v>
      </c>
    </row>
    <row r="2092">
      <c r="A2092" s="87" t="n">
        <v>38495</v>
      </c>
      <c r="D2092" t="n">
        <v>1367.4</v>
      </c>
    </row>
    <row r="2093">
      <c r="A2093" s="87" t="n">
        <v>38502</v>
      </c>
      <c r="D2093" t="n">
        <v>1379.4</v>
      </c>
    </row>
    <row r="2094">
      <c r="A2094" s="87" t="n">
        <v>38504</v>
      </c>
      <c r="B2094" t="n">
        <v>712.5</v>
      </c>
      <c r="C2094" t="n">
        <v>3358.7</v>
      </c>
      <c r="E2094" t="n">
        <v>6505.8</v>
      </c>
    </row>
    <row r="2095">
      <c r="A2095" s="87" t="n">
        <v>38509</v>
      </c>
      <c r="D2095" t="n">
        <v>1361.7</v>
      </c>
    </row>
    <row r="2096">
      <c r="A2096" s="87" t="n">
        <v>38516</v>
      </c>
      <c r="D2096" t="n">
        <v>1372.6</v>
      </c>
    </row>
    <row r="2097">
      <c r="A2097" s="87" t="n">
        <v>38523</v>
      </c>
      <c r="D2097" t="n">
        <v>1389.9</v>
      </c>
    </row>
    <row r="2098">
      <c r="A2098" s="87" t="n">
        <v>38530</v>
      </c>
      <c r="D2098" t="n">
        <v>1395.5</v>
      </c>
    </row>
    <row r="2099">
      <c r="A2099" s="87" t="n">
        <v>38534</v>
      </c>
      <c r="B2099" t="n">
        <v>702.4</v>
      </c>
      <c r="C2099" t="n">
        <v>3354.2</v>
      </c>
      <c r="E2099" t="n">
        <v>6537.4</v>
      </c>
      <c r="F2099" t="n">
        <v>2</v>
      </c>
    </row>
    <row r="2100">
      <c r="A2100" s="87" t="n">
        <v>38537</v>
      </c>
      <c r="D2100" t="n">
        <v>1375.6</v>
      </c>
    </row>
    <row r="2101">
      <c r="A2101" s="87" t="n">
        <v>38544</v>
      </c>
      <c r="D2101" t="n">
        <v>1364.8</v>
      </c>
    </row>
    <row r="2102">
      <c r="A2102" s="87" t="n">
        <v>38551</v>
      </c>
      <c r="D2102" t="n">
        <v>1364.4</v>
      </c>
    </row>
    <row r="2103">
      <c r="A2103" s="87" t="n">
        <v>38558</v>
      </c>
      <c r="D2103" t="n">
        <v>1379.6</v>
      </c>
    </row>
    <row r="2104">
      <c r="A2104" s="87" t="n">
        <v>38565</v>
      </c>
      <c r="B2104" t="n">
        <v>702.6</v>
      </c>
      <c r="C2104" t="n">
        <v>3350.4</v>
      </c>
      <c r="D2104" t="n">
        <v>1362.4</v>
      </c>
      <c r="E2104" t="n">
        <v>6570.2</v>
      </c>
    </row>
    <row r="2105">
      <c r="A2105" s="87" t="n">
        <v>38572</v>
      </c>
      <c r="D2105" t="n">
        <v>1366.5</v>
      </c>
    </row>
    <row r="2106">
      <c r="A2106" s="87" t="n">
        <v>38579</v>
      </c>
      <c r="D2106" t="n">
        <v>1375.6</v>
      </c>
    </row>
    <row r="2107">
      <c r="A2107" s="87" t="n">
        <v>38586</v>
      </c>
      <c r="D2107" t="n">
        <v>1388.5</v>
      </c>
    </row>
    <row r="2108">
      <c r="A2108" s="87" t="n">
        <v>38593</v>
      </c>
      <c r="D2108" t="n">
        <v>1386.5</v>
      </c>
    </row>
    <row r="2109">
      <c r="A2109" s="87" t="n">
        <v>38596</v>
      </c>
      <c r="B2109" t="n">
        <v>693.5</v>
      </c>
      <c r="C2109" t="n">
        <v>3322.1</v>
      </c>
      <c r="E2109" t="n">
        <v>6604.3</v>
      </c>
    </row>
    <row r="2110">
      <c r="A2110" s="87" t="n">
        <v>38600</v>
      </c>
      <c r="D2110" t="n">
        <v>1364.4</v>
      </c>
    </row>
    <row r="2111">
      <c r="A2111" s="87" t="n">
        <v>38607</v>
      </c>
      <c r="D2111" t="n">
        <v>1366.9</v>
      </c>
    </row>
    <row r="2112">
      <c r="A2112" s="87" t="n">
        <v>38614</v>
      </c>
      <c r="D2112" t="n">
        <v>1380.1</v>
      </c>
    </row>
    <row r="2113">
      <c r="A2113" s="87" t="n">
        <v>38621</v>
      </c>
      <c r="D2113" t="n">
        <v>1388.5</v>
      </c>
    </row>
    <row r="2114">
      <c r="A2114" s="87" t="n">
        <v>38626</v>
      </c>
      <c r="B2114" t="n">
        <v>691.4</v>
      </c>
      <c r="C2114" t="n">
        <v>3334.3</v>
      </c>
      <c r="E2114" t="n">
        <v>6638.6</v>
      </c>
      <c r="F2114" t="n">
        <v>2.001</v>
      </c>
    </row>
    <row r="2115">
      <c r="A2115" s="87" t="n">
        <v>38628</v>
      </c>
      <c r="D2115" t="n">
        <v>1396.7</v>
      </c>
    </row>
    <row r="2116">
      <c r="A2116" s="87" t="n">
        <v>38635</v>
      </c>
      <c r="D2116" t="n">
        <v>1372.5</v>
      </c>
    </row>
    <row r="2117">
      <c r="A2117" s="87" t="n">
        <v>38642</v>
      </c>
      <c r="D2117" t="n">
        <v>1365.5</v>
      </c>
    </row>
    <row r="2118">
      <c r="A2118" s="87" t="n">
        <v>38649</v>
      </c>
      <c r="D2118" t="n">
        <v>1382</v>
      </c>
    </row>
    <row r="2119">
      <c r="A2119" s="87" t="n">
        <v>38656</v>
      </c>
      <c r="D2119" t="n">
        <v>1377.3</v>
      </c>
    </row>
    <row r="2120">
      <c r="A2120" s="87" t="n">
        <v>38657</v>
      </c>
      <c r="B2120" t="n">
        <v>694.6</v>
      </c>
      <c r="C2120" t="n">
        <v>3359.4</v>
      </c>
      <c r="E2120" t="n">
        <v>6655</v>
      </c>
    </row>
    <row r="2121">
      <c r="A2121" s="87" t="n">
        <v>38663</v>
      </c>
      <c r="D2121" t="n">
        <v>1360.5</v>
      </c>
    </row>
    <row r="2122">
      <c r="A2122" s="87" t="n">
        <v>38670</v>
      </c>
      <c r="D2122" t="n">
        <v>1370.9</v>
      </c>
    </row>
    <row r="2123">
      <c r="A2123" s="87" t="n">
        <v>38677</v>
      </c>
      <c r="D2123" t="n">
        <v>1388</v>
      </c>
    </row>
    <row r="2124">
      <c r="A2124" s="87" t="n">
        <v>38684</v>
      </c>
      <c r="D2124" t="n">
        <v>1386.3</v>
      </c>
    </row>
    <row r="2125">
      <c r="A2125" s="87" t="n">
        <v>38687</v>
      </c>
      <c r="B2125" t="n">
        <v>693.7</v>
      </c>
      <c r="C2125" t="n">
        <v>3373</v>
      </c>
      <c r="E2125" t="n">
        <v>6681.9</v>
      </c>
    </row>
    <row r="2126">
      <c r="A2126" s="87" t="n">
        <v>38691</v>
      </c>
      <c r="D2126" t="n">
        <v>1371.5</v>
      </c>
    </row>
    <row r="2127">
      <c r="A2127" s="87" t="n">
        <v>38698</v>
      </c>
      <c r="D2127" t="n">
        <v>1368</v>
      </c>
    </row>
    <row r="2128">
      <c r="A2128" s="87" t="n">
        <v>38705</v>
      </c>
      <c r="D2128" t="n">
        <v>1373.1</v>
      </c>
    </row>
    <row r="2129">
      <c r="A2129" s="87" t="n">
        <v>38712</v>
      </c>
      <c r="D2129" t="n">
        <v>1383</v>
      </c>
    </row>
    <row r="2130">
      <c r="A2130" s="87" t="n">
        <v>38718</v>
      </c>
      <c r="B2130" t="n">
        <v>692.2</v>
      </c>
      <c r="C2130" t="n">
        <v>3374</v>
      </c>
      <c r="E2130" t="n">
        <v>6724.3</v>
      </c>
      <c r="F2130" t="n">
        <v>2.016</v>
      </c>
    </row>
    <row r="2131">
      <c r="A2131" s="87" t="n">
        <v>38719</v>
      </c>
      <c r="D2131" t="n">
        <v>1375.5</v>
      </c>
    </row>
    <row r="2132">
      <c r="A2132" s="87" t="n">
        <v>38726</v>
      </c>
      <c r="D2132" t="n">
        <v>1372</v>
      </c>
    </row>
    <row r="2133">
      <c r="A2133" s="87" t="n">
        <v>38733</v>
      </c>
      <c r="D2133" t="n">
        <v>1375.8</v>
      </c>
    </row>
    <row r="2134">
      <c r="A2134" s="87" t="n">
        <v>38740</v>
      </c>
      <c r="D2134" t="n">
        <v>1383.1</v>
      </c>
    </row>
    <row r="2135">
      <c r="A2135" s="87" t="n">
        <v>38747</v>
      </c>
      <c r="D2135" t="n">
        <v>1389.8</v>
      </c>
    </row>
    <row r="2136">
      <c r="A2136" s="87" t="n">
        <v>38749</v>
      </c>
      <c r="B2136" t="n">
        <v>691.3</v>
      </c>
      <c r="C2136" t="n">
        <v>3384.5</v>
      </c>
      <c r="E2136" t="n">
        <v>6748.6</v>
      </c>
    </row>
    <row r="2137">
      <c r="A2137" s="87" t="n">
        <v>38754</v>
      </c>
      <c r="D2137" t="n">
        <v>1369.2</v>
      </c>
    </row>
    <row r="2138">
      <c r="A2138" s="87" t="n">
        <v>38761</v>
      </c>
      <c r="D2138" t="n">
        <v>1368.6</v>
      </c>
    </row>
    <row r="2139">
      <c r="A2139" s="87" t="n">
        <v>38768</v>
      </c>
      <c r="D2139" t="n">
        <v>1383.3</v>
      </c>
    </row>
    <row r="2140">
      <c r="A2140" s="87" t="n">
        <v>38775</v>
      </c>
      <c r="D2140" t="n">
        <v>1393</v>
      </c>
    </row>
    <row r="2141">
      <c r="A2141" s="87" t="n">
        <v>38777</v>
      </c>
      <c r="B2141" t="n">
        <v>692.6</v>
      </c>
      <c r="C2141" t="n">
        <v>3386.5</v>
      </c>
      <c r="E2141" t="n">
        <v>6762.9</v>
      </c>
    </row>
    <row r="2142">
      <c r="A2142" s="87" t="n">
        <v>38782</v>
      </c>
      <c r="D2142" t="n">
        <v>1366.2</v>
      </c>
    </row>
    <row r="2143">
      <c r="A2143" s="87" t="n">
        <v>38789</v>
      </c>
      <c r="D2143" t="n">
        <v>1371</v>
      </c>
    </row>
    <row r="2144">
      <c r="A2144" s="87" t="n">
        <v>38796</v>
      </c>
      <c r="D2144" t="n">
        <v>1387.9</v>
      </c>
    </row>
    <row r="2145">
      <c r="A2145" s="87" t="n">
        <v>38803</v>
      </c>
      <c r="D2145" t="n">
        <v>1394.8</v>
      </c>
    </row>
    <row r="2146">
      <c r="A2146" s="87" t="n">
        <v>38808</v>
      </c>
      <c r="B2146" t="n">
        <v>688.3</v>
      </c>
      <c r="C2146" t="n">
        <v>3388.2</v>
      </c>
      <c r="E2146" t="n">
        <v>6800.1</v>
      </c>
      <c r="F2146" t="n">
        <v>2.017</v>
      </c>
    </row>
    <row r="2147">
      <c r="A2147" s="87" t="n">
        <v>38810</v>
      </c>
      <c r="D2147" t="n">
        <v>1401.4</v>
      </c>
    </row>
    <row r="2148">
      <c r="A2148" s="87" t="n">
        <v>38817</v>
      </c>
      <c r="D2148" t="n">
        <v>1375.7</v>
      </c>
    </row>
    <row r="2149">
      <c r="A2149" s="87" t="n">
        <v>38824</v>
      </c>
      <c r="D2149" t="n">
        <v>1379.4</v>
      </c>
    </row>
    <row r="2150">
      <c r="A2150" s="87" t="n">
        <v>38831</v>
      </c>
      <c r="D2150" t="n">
        <v>1388.1</v>
      </c>
    </row>
    <row r="2151">
      <c r="A2151" s="87" t="n">
        <v>38838</v>
      </c>
      <c r="B2151" t="n">
        <v>689.1</v>
      </c>
      <c r="C2151" t="n">
        <v>3381.5</v>
      </c>
      <c r="D2151" t="n">
        <v>1372.5</v>
      </c>
      <c r="E2151" t="n">
        <v>6806.9</v>
      </c>
    </row>
    <row r="2152">
      <c r="A2152" s="87" t="n">
        <v>38845</v>
      </c>
      <c r="D2152" t="n">
        <v>1373.8</v>
      </c>
    </row>
    <row r="2153">
      <c r="A2153" s="87" t="n">
        <v>38852</v>
      </c>
      <c r="D2153" t="n">
        <v>1389.4</v>
      </c>
    </row>
    <row r="2154">
      <c r="A2154" s="87" t="n">
        <v>38859</v>
      </c>
      <c r="D2154" t="n">
        <v>1394.8</v>
      </c>
    </row>
    <row r="2155">
      <c r="A2155" s="87" t="n">
        <v>38866</v>
      </c>
      <c r="D2155" t="n">
        <v>1397.9</v>
      </c>
    </row>
    <row r="2156">
      <c r="A2156" s="87" t="n">
        <v>38869</v>
      </c>
      <c r="B2156" t="n">
        <v>681.6</v>
      </c>
      <c r="C2156" t="n">
        <v>3391.9</v>
      </c>
      <c r="E2156" t="n">
        <v>6844.9</v>
      </c>
    </row>
    <row r="2157">
      <c r="A2157" s="87" t="n">
        <v>38873</v>
      </c>
      <c r="D2157" t="n">
        <v>1369.1</v>
      </c>
    </row>
    <row r="2158">
      <c r="A2158" s="87" t="n">
        <v>38880</v>
      </c>
      <c r="D2158" t="n">
        <v>1367.7</v>
      </c>
    </row>
    <row r="2159">
      <c r="A2159" s="87" t="n">
        <v>38887</v>
      </c>
      <c r="D2159" t="n">
        <v>1370.9</v>
      </c>
    </row>
    <row r="2160">
      <c r="A2160" s="87" t="n">
        <v>38894</v>
      </c>
      <c r="D2160" t="n">
        <v>1383.6</v>
      </c>
    </row>
    <row r="2161">
      <c r="A2161" s="87" t="n">
        <v>38899</v>
      </c>
      <c r="B2161" t="n">
        <v>676.4</v>
      </c>
      <c r="C2161" t="n">
        <v>3393.9</v>
      </c>
      <c r="E2161" t="n">
        <v>6886.3</v>
      </c>
      <c r="F2161" t="n">
        <v>2.006</v>
      </c>
    </row>
    <row r="2162">
      <c r="A2162" s="87" t="n">
        <v>38901</v>
      </c>
      <c r="D2162" t="n">
        <v>1390.5</v>
      </c>
    </row>
    <row r="2163">
      <c r="A2163" s="87" t="n">
        <v>38908</v>
      </c>
      <c r="D2163" t="n">
        <v>1372.4</v>
      </c>
    </row>
    <row r="2164">
      <c r="A2164" s="87" t="n">
        <v>38915</v>
      </c>
      <c r="D2164" t="n">
        <v>1359.2</v>
      </c>
    </row>
    <row r="2165">
      <c r="A2165" s="87" t="n">
        <v>38922</v>
      </c>
      <c r="D2165" t="n">
        <v>1377.5</v>
      </c>
    </row>
    <row r="2166">
      <c r="A2166" s="87" t="n">
        <v>38929</v>
      </c>
      <c r="D2166" t="n">
        <v>1372.9</v>
      </c>
    </row>
    <row r="2167">
      <c r="A2167" s="87" t="n">
        <v>38930</v>
      </c>
      <c r="B2167" t="n">
        <v>673.4</v>
      </c>
      <c r="C2167" t="n">
        <v>3394.1</v>
      </c>
      <c r="E2167" t="n">
        <v>6917.1</v>
      </c>
    </row>
    <row r="2168">
      <c r="A2168" s="87" t="n">
        <v>38936</v>
      </c>
      <c r="D2168" t="n">
        <v>1357.2</v>
      </c>
    </row>
    <row r="2169">
      <c r="A2169" s="87" t="n">
        <v>38943</v>
      </c>
      <c r="D2169" t="n">
        <v>1364.8</v>
      </c>
    </row>
    <row r="2170">
      <c r="A2170" s="87" t="n">
        <v>38950</v>
      </c>
      <c r="D2170" t="n">
        <v>1382.8</v>
      </c>
    </row>
    <row r="2171">
      <c r="A2171" s="87" t="n">
        <v>38957</v>
      </c>
      <c r="D2171" t="n">
        <v>1384</v>
      </c>
    </row>
    <row r="2172">
      <c r="A2172" s="87" t="n">
        <v>38961</v>
      </c>
      <c r="B2172" t="n">
        <v>672.8</v>
      </c>
      <c r="C2172" t="n">
        <v>3424.2</v>
      </c>
      <c r="E2172" t="n">
        <v>6944.2</v>
      </c>
    </row>
    <row r="2173">
      <c r="A2173" s="87" t="n">
        <v>38964</v>
      </c>
      <c r="D2173" t="n">
        <v>1373.8</v>
      </c>
    </row>
    <row r="2174">
      <c r="A2174" s="87" t="n">
        <v>38971</v>
      </c>
      <c r="D2174" t="n">
        <v>1365.4</v>
      </c>
    </row>
    <row r="2175">
      <c r="A2175" s="87" t="n">
        <v>38978</v>
      </c>
      <c r="D2175" t="n">
        <v>1357.6</v>
      </c>
    </row>
    <row r="2176">
      <c r="A2176" s="87" t="n">
        <v>38985</v>
      </c>
      <c r="D2176" t="n">
        <v>1364.9</v>
      </c>
    </row>
    <row r="2177">
      <c r="A2177" s="87" t="n">
        <v>38991</v>
      </c>
      <c r="B2177" t="n">
        <v>678.7</v>
      </c>
      <c r="C2177" t="n">
        <v>3463.7</v>
      </c>
      <c r="E2177" t="n">
        <v>6993.3</v>
      </c>
      <c r="F2177" t="n">
        <v>1.997</v>
      </c>
    </row>
    <row r="2178">
      <c r="A2178" s="87" t="n">
        <v>38992</v>
      </c>
      <c r="D2178" t="n">
        <v>1364.3</v>
      </c>
    </row>
    <row r="2179">
      <c r="A2179" s="87" t="n">
        <v>38999</v>
      </c>
      <c r="D2179" t="n">
        <v>1368.1</v>
      </c>
    </row>
    <row r="2180">
      <c r="A2180" s="87" t="n">
        <v>39006</v>
      </c>
      <c r="D2180" t="n">
        <v>1360.6</v>
      </c>
    </row>
    <row r="2181">
      <c r="A2181" s="87" t="n">
        <v>39013</v>
      </c>
      <c r="D2181" t="n">
        <v>1380.3</v>
      </c>
    </row>
    <row r="2182">
      <c r="A2182" s="87" t="n">
        <v>39020</v>
      </c>
      <c r="D2182" t="n">
        <v>1376.4</v>
      </c>
    </row>
    <row r="2183">
      <c r="A2183" s="87" t="n">
        <v>39022</v>
      </c>
      <c r="B2183" t="n">
        <v>678.6</v>
      </c>
      <c r="C2183" t="n">
        <v>3479.4</v>
      </c>
      <c r="E2183" t="n">
        <v>7028.4</v>
      </c>
    </row>
    <row r="2184">
      <c r="A2184" s="87" t="n">
        <v>39027</v>
      </c>
      <c r="D2184" t="n">
        <v>1351.1</v>
      </c>
    </row>
    <row r="2185">
      <c r="A2185" s="87" t="n">
        <v>39034</v>
      </c>
      <c r="D2185" t="n">
        <v>1361.3</v>
      </c>
    </row>
    <row r="2186">
      <c r="A2186" s="87" t="n">
        <v>39041</v>
      </c>
      <c r="D2186" t="n">
        <v>1380.2</v>
      </c>
    </row>
    <row r="2187">
      <c r="A2187" s="87" t="n">
        <v>39048</v>
      </c>
      <c r="D2187" t="n">
        <v>1386.4</v>
      </c>
    </row>
    <row r="2188">
      <c r="A2188" s="87" t="n">
        <v>39052</v>
      </c>
      <c r="B2188" t="n">
        <v>672.9</v>
      </c>
      <c r="C2188" t="n">
        <v>3481.8</v>
      </c>
      <c r="E2188" t="n">
        <v>7071.6</v>
      </c>
    </row>
    <row r="2189">
      <c r="A2189" s="87" t="n">
        <v>39055</v>
      </c>
      <c r="D2189" t="n">
        <v>1374.1</v>
      </c>
    </row>
    <row r="2190">
      <c r="A2190" s="87" t="n">
        <v>39062</v>
      </c>
      <c r="D2190" t="n">
        <v>1360.3</v>
      </c>
    </row>
    <row r="2191">
      <c r="A2191" s="87" t="n">
        <v>39069</v>
      </c>
      <c r="D2191" t="n">
        <v>1359.2</v>
      </c>
    </row>
    <row r="2192">
      <c r="A2192" s="87" t="n">
        <v>39076</v>
      </c>
      <c r="D2192" t="n">
        <v>1380.4</v>
      </c>
    </row>
    <row r="2193">
      <c r="A2193" s="87" t="n">
        <v>39083</v>
      </c>
      <c r="B2193" t="n">
        <v>674.3</v>
      </c>
      <c r="C2193" t="n">
        <v>3494.7</v>
      </c>
      <c r="D2193" t="n">
        <v>1361.3</v>
      </c>
      <c r="E2193" t="n">
        <v>7109.6</v>
      </c>
      <c r="F2193" t="n">
        <v>1.993</v>
      </c>
    </row>
    <row r="2194">
      <c r="A2194" s="87" t="n">
        <v>39090</v>
      </c>
      <c r="D2194" t="n">
        <v>1355.7</v>
      </c>
    </row>
    <row r="2195">
      <c r="A2195" s="87" t="n">
        <v>39097</v>
      </c>
      <c r="D2195" t="n">
        <v>1382.9</v>
      </c>
    </row>
    <row r="2196">
      <c r="A2196" s="87" t="n">
        <v>39104</v>
      </c>
      <c r="D2196" t="n">
        <v>1373.2</v>
      </c>
    </row>
    <row r="2197">
      <c r="A2197" s="87" t="n">
        <v>39111</v>
      </c>
      <c r="D2197" t="n">
        <v>1377</v>
      </c>
    </row>
    <row r="2198">
      <c r="A2198" s="87" t="n">
        <v>39114</v>
      </c>
      <c r="B2198" t="n">
        <v>667.4</v>
      </c>
      <c r="C2198" t="n">
        <v>3488.9</v>
      </c>
      <c r="E2198" t="n">
        <v>7125.3</v>
      </c>
    </row>
    <row r="2199">
      <c r="A2199" s="87" t="n">
        <v>39118</v>
      </c>
      <c r="D2199" t="n">
        <v>1369.9</v>
      </c>
    </row>
    <row r="2200">
      <c r="A2200" s="87" t="n">
        <v>39125</v>
      </c>
      <c r="D2200" t="n">
        <v>1361.7</v>
      </c>
    </row>
    <row r="2201">
      <c r="A2201" s="87" t="n">
        <v>39132</v>
      </c>
      <c r="D2201" t="n">
        <v>1361.7</v>
      </c>
    </row>
    <row r="2202">
      <c r="A2202" s="87" t="n">
        <v>39139</v>
      </c>
      <c r="D2202" t="n">
        <v>1362</v>
      </c>
    </row>
    <row r="2203">
      <c r="A2203" s="87" t="n">
        <v>39142</v>
      </c>
      <c r="B2203" t="n">
        <v>665.7</v>
      </c>
      <c r="C2203" t="n">
        <v>3487.3</v>
      </c>
      <c r="E2203" t="n">
        <v>7159.1</v>
      </c>
    </row>
    <row r="2204">
      <c r="A2204" s="87" t="n">
        <v>39146</v>
      </c>
      <c r="D2204" t="n">
        <v>1358.6</v>
      </c>
    </row>
    <row r="2205">
      <c r="A2205" s="87" t="n">
        <v>39153</v>
      </c>
      <c r="D2205" t="n">
        <v>1363.5</v>
      </c>
    </row>
    <row r="2206">
      <c r="A2206" s="87" t="n">
        <v>39160</v>
      </c>
      <c r="D2206" t="n">
        <v>1360.2</v>
      </c>
    </row>
    <row r="2207">
      <c r="A2207" s="87" t="n">
        <v>39167</v>
      </c>
      <c r="D2207" t="n">
        <v>1373.6</v>
      </c>
    </row>
    <row r="2208">
      <c r="A2208" s="87" t="n">
        <v>39173</v>
      </c>
      <c r="B2208" t="n">
        <v>669.2</v>
      </c>
      <c r="C2208" t="n">
        <v>3512</v>
      </c>
      <c r="E2208" t="n">
        <v>7231.3</v>
      </c>
      <c r="F2208" t="n">
        <v>1.986</v>
      </c>
    </row>
    <row r="2209">
      <c r="A2209" s="87" t="n">
        <v>39174</v>
      </c>
      <c r="D2209" t="n">
        <v>1377.5</v>
      </c>
    </row>
    <row r="2210">
      <c r="A2210" s="87" t="n">
        <v>39181</v>
      </c>
      <c r="D2210" t="n">
        <v>1379.6</v>
      </c>
    </row>
    <row r="2211">
      <c r="A2211" s="87" t="n">
        <v>39188</v>
      </c>
      <c r="D2211" t="n">
        <v>1374.5</v>
      </c>
    </row>
    <row r="2212">
      <c r="A2212" s="87" t="n">
        <v>39195</v>
      </c>
      <c r="D2212" t="n">
        <v>1375.7</v>
      </c>
    </row>
    <row r="2213">
      <c r="A2213" s="87" t="n">
        <v>39202</v>
      </c>
      <c r="D2213" t="n">
        <v>1382.5</v>
      </c>
    </row>
    <row r="2214">
      <c r="A2214" s="87" t="n">
        <v>39203</v>
      </c>
      <c r="B2214" t="n">
        <v>667.9</v>
      </c>
      <c r="C2214" t="n">
        <v>3504.3</v>
      </c>
      <c r="E2214" t="n">
        <v>7245.4</v>
      </c>
    </row>
    <row r="2215">
      <c r="A2215" s="87" t="n">
        <v>39209</v>
      </c>
      <c r="D2215" t="n">
        <v>1367.2</v>
      </c>
    </row>
    <row r="2216">
      <c r="A2216" s="87" t="n">
        <v>39216</v>
      </c>
      <c r="D2216" t="n">
        <v>1382.3</v>
      </c>
    </row>
    <row r="2217">
      <c r="A2217" s="87" t="n">
        <v>39223</v>
      </c>
      <c r="D2217" t="n">
        <v>1384.1</v>
      </c>
    </row>
    <row r="2218">
      <c r="A2218" s="87" t="n">
        <v>39230</v>
      </c>
      <c r="D2218" t="n">
        <v>1388.5</v>
      </c>
    </row>
    <row r="2219">
      <c r="A2219" s="87" t="n">
        <v>39234</v>
      </c>
      <c r="B2219" t="n">
        <v>660.2</v>
      </c>
      <c r="C2219" t="n">
        <v>3512.3</v>
      </c>
      <c r="E2219" t="n">
        <v>7278.6</v>
      </c>
    </row>
    <row r="2220">
      <c r="A2220" s="87" t="n">
        <v>39237</v>
      </c>
      <c r="D2220" t="n">
        <v>1384.6</v>
      </c>
    </row>
    <row r="2221">
      <c r="A2221" s="87" t="n">
        <v>39244</v>
      </c>
      <c r="D2221" t="n">
        <v>1370.7</v>
      </c>
    </row>
    <row r="2222">
      <c r="A2222" s="87" t="n">
        <v>39251</v>
      </c>
      <c r="D2222" t="n">
        <v>1356.3</v>
      </c>
    </row>
    <row r="2223">
      <c r="A2223" s="87" t="n">
        <v>39258</v>
      </c>
      <c r="D2223" t="n">
        <v>1362.9</v>
      </c>
    </row>
    <row r="2224">
      <c r="A2224" s="87" t="n">
        <v>39264</v>
      </c>
      <c r="B2224" t="n">
        <v>660.8</v>
      </c>
      <c r="C2224" t="n">
        <v>3520.7</v>
      </c>
      <c r="E2224" t="n">
        <v>7309</v>
      </c>
      <c r="F2224" t="n">
        <v>1.977</v>
      </c>
    </row>
    <row r="2225">
      <c r="A2225" s="87" t="n">
        <v>39265</v>
      </c>
      <c r="D2225" t="n">
        <v>1375.8</v>
      </c>
    </row>
    <row r="2226">
      <c r="A2226" s="87" t="n">
        <v>39272</v>
      </c>
      <c r="D2226" t="n">
        <v>1370.5</v>
      </c>
    </row>
    <row r="2227">
      <c r="A2227" s="87" t="n">
        <v>39279</v>
      </c>
      <c r="D2227" t="n">
        <v>1373.5</v>
      </c>
    </row>
    <row r="2228">
      <c r="A2228" s="87" t="n">
        <v>39286</v>
      </c>
      <c r="D2228" t="n">
        <v>1373.2</v>
      </c>
    </row>
    <row r="2229">
      <c r="A2229" s="87" t="n">
        <v>39293</v>
      </c>
      <c r="D2229" t="n">
        <v>1370.4</v>
      </c>
    </row>
    <row r="2230">
      <c r="A2230" s="87" t="n">
        <v>39295</v>
      </c>
      <c r="B2230" t="n">
        <v>662.7</v>
      </c>
      <c r="C2230" t="n">
        <v>3556.2</v>
      </c>
      <c r="E2230" t="n">
        <v>7385.1</v>
      </c>
    </row>
    <row r="2231">
      <c r="A2231" s="87" t="n">
        <v>39300</v>
      </c>
      <c r="D2231" t="n">
        <v>1359.9</v>
      </c>
    </row>
    <row r="2232">
      <c r="A2232" s="87" t="n">
        <v>39307</v>
      </c>
      <c r="D2232" t="n">
        <v>1364.1</v>
      </c>
    </row>
    <row r="2233">
      <c r="A2233" s="87" t="n">
        <v>39314</v>
      </c>
      <c r="D2233" t="n">
        <v>1372.8</v>
      </c>
    </row>
    <row r="2234">
      <c r="A2234" s="87" t="n">
        <v>39321</v>
      </c>
      <c r="D2234" t="n">
        <v>1385.6</v>
      </c>
    </row>
    <row r="2235">
      <c r="A2235" s="87" t="n">
        <v>39326</v>
      </c>
      <c r="B2235" t="n">
        <v>659.7</v>
      </c>
      <c r="C2235" t="n">
        <v>3549.9</v>
      </c>
      <c r="E2235" t="n">
        <v>7403.2</v>
      </c>
    </row>
    <row r="2236">
      <c r="A2236" s="87" t="n">
        <v>39328</v>
      </c>
      <c r="D2236" t="n">
        <v>1412.6</v>
      </c>
    </row>
    <row r="2237">
      <c r="A2237" s="87" t="n">
        <v>39335</v>
      </c>
      <c r="D2237" t="n">
        <v>1382.1</v>
      </c>
    </row>
    <row r="2238">
      <c r="A2238" s="87" t="n">
        <v>39342</v>
      </c>
      <c r="D2238" t="n">
        <v>1373.5</v>
      </c>
    </row>
    <row r="2239">
      <c r="A2239" s="87" t="n">
        <v>39349</v>
      </c>
      <c r="D2239" t="n">
        <v>1365.4</v>
      </c>
    </row>
    <row r="2240">
      <c r="A2240" s="87" t="n">
        <v>39356</v>
      </c>
      <c r="B2240" t="n">
        <v>659.4</v>
      </c>
      <c r="C2240" t="n">
        <v>3545.7</v>
      </c>
      <c r="D2240" t="n">
        <v>1364.1</v>
      </c>
      <c r="E2240" t="n">
        <v>7417.2</v>
      </c>
      <c r="F2240" t="n">
        <v>1.977</v>
      </c>
    </row>
    <row r="2241">
      <c r="A2241" s="87" t="n">
        <v>39363</v>
      </c>
      <c r="D2241" t="n">
        <v>1376.8</v>
      </c>
    </row>
    <row r="2242">
      <c r="A2242" s="87" t="n">
        <v>39370</v>
      </c>
      <c r="D2242" t="n">
        <v>1382.9</v>
      </c>
    </row>
    <row r="2243">
      <c r="A2243" s="87" t="n">
        <v>39377</v>
      </c>
      <c r="D2243" t="n">
        <v>1383.1</v>
      </c>
    </row>
    <row r="2244">
      <c r="A2244" s="87" t="n">
        <v>39384</v>
      </c>
      <c r="D2244" t="n">
        <v>1379.7</v>
      </c>
    </row>
    <row r="2245">
      <c r="A2245" s="87" t="n">
        <v>39387</v>
      </c>
      <c r="B2245" t="n">
        <v>650.7</v>
      </c>
      <c r="C2245" t="n">
        <v>3529.7</v>
      </c>
      <c r="E2245" t="n">
        <v>7441.8</v>
      </c>
    </row>
    <row r="2246">
      <c r="A2246" s="87" t="n">
        <v>39391</v>
      </c>
      <c r="D2246" t="n">
        <v>1369.6</v>
      </c>
    </row>
    <row r="2247">
      <c r="A2247" s="87" t="n">
        <v>39398</v>
      </c>
      <c r="D2247" t="n">
        <v>1367.8</v>
      </c>
    </row>
    <row r="2248">
      <c r="A2248" s="87" t="n">
        <v>39405</v>
      </c>
      <c r="D2248" t="n">
        <v>1367.2</v>
      </c>
    </row>
    <row r="2249">
      <c r="A2249" s="87" t="n">
        <v>39412</v>
      </c>
      <c r="D2249" t="n">
        <v>1374.5</v>
      </c>
    </row>
    <row r="2250">
      <c r="A2250" s="87" t="n">
        <v>39417</v>
      </c>
      <c r="B2250" t="n">
        <v>649.5</v>
      </c>
      <c r="C2250" t="n">
        <v>3533.6</v>
      </c>
      <c r="E2250" t="n">
        <v>7471.6</v>
      </c>
    </row>
    <row r="2251">
      <c r="A2251" s="87" t="n">
        <v>39419</v>
      </c>
      <c r="D2251" t="n">
        <v>1384.8</v>
      </c>
    </row>
    <row r="2252">
      <c r="A2252" s="87" t="n">
        <v>39426</v>
      </c>
      <c r="D2252" t="n">
        <v>1377.6</v>
      </c>
    </row>
    <row r="2253">
      <c r="A2253" s="87" t="n">
        <v>39433</v>
      </c>
      <c r="D2253" t="n">
        <v>1365.1</v>
      </c>
    </row>
    <row r="2254">
      <c r="A2254" s="87" t="n">
        <v>39440</v>
      </c>
      <c r="D2254" t="n">
        <v>1378.1</v>
      </c>
    </row>
    <row r="2255">
      <c r="A2255" s="87" t="n">
        <v>39447</v>
      </c>
      <c r="D2255" t="n">
        <v>1367.9</v>
      </c>
    </row>
    <row r="2256">
      <c r="A2256" s="87" t="n">
        <v>39448</v>
      </c>
      <c r="B2256" t="n">
        <v>649.3</v>
      </c>
      <c r="C2256" t="n">
        <v>3537.4</v>
      </c>
      <c r="E2256" t="n">
        <v>7505.5</v>
      </c>
      <c r="F2256" t="n">
        <v>1.939</v>
      </c>
    </row>
    <row r="2257">
      <c r="A2257" s="87" t="n">
        <v>39454</v>
      </c>
      <c r="D2257" t="n">
        <v>1367.3</v>
      </c>
    </row>
    <row r="2258">
      <c r="A2258" s="87" t="n">
        <v>39461</v>
      </c>
      <c r="D2258" t="n">
        <v>1370.2</v>
      </c>
    </row>
    <row r="2259">
      <c r="A2259" s="87" t="n">
        <v>39468</v>
      </c>
      <c r="D2259" t="n">
        <v>1390</v>
      </c>
    </row>
    <row r="2260">
      <c r="A2260" s="87" t="n">
        <v>39475</v>
      </c>
      <c r="D2260" t="n">
        <v>1379.6</v>
      </c>
    </row>
    <row r="2261">
      <c r="A2261" s="87" t="n">
        <v>39479</v>
      </c>
      <c r="B2261" t="n">
        <v>649</v>
      </c>
      <c r="C2261" t="n">
        <v>3568.9</v>
      </c>
      <c r="E2261" t="n">
        <v>7590.6</v>
      </c>
    </row>
    <row r="2262">
      <c r="A2262" s="87" t="n">
        <v>39482</v>
      </c>
      <c r="D2262" t="n">
        <v>1386.1</v>
      </c>
    </row>
    <row r="2263">
      <c r="A2263" s="87" t="n">
        <v>39489</v>
      </c>
      <c r="D2263" t="n">
        <v>1374.4</v>
      </c>
    </row>
    <row r="2264">
      <c r="A2264" s="87" t="n">
        <v>39496</v>
      </c>
      <c r="D2264" t="n">
        <v>1375</v>
      </c>
    </row>
    <row r="2265">
      <c r="A2265" s="87" t="n">
        <v>39503</v>
      </c>
      <c r="D2265" t="n">
        <v>1376.9</v>
      </c>
    </row>
    <row r="2266">
      <c r="A2266" s="87" t="n">
        <v>39508</v>
      </c>
      <c r="B2266" t="n">
        <v>650.6</v>
      </c>
      <c r="C2266" t="n">
        <v>3586.9</v>
      </c>
      <c r="E2266" t="n">
        <v>7656.2</v>
      </c>
    </row>
    <row r="2267">
      <c r="A2267" s="87" t="n">
        <v>39510</v>
      </c>
      <c r="D2267" t="n">
        <v>1401</v>
      </c>
    </row>
    <row r="2268">
      <c r="A2268" s="87" t="n">
        <v>39517</v>
      </c>
      <c r="D2268" t="n">
        <v>1391.3</v>
      </c>
    </row>
    <row r="2269">
      <c r="A2269" s="87" t="n">
        <v>39524</v>
      </c>
      <c r="D2269" t="n">
        <v>1381.5</v>
      </c>
    </row>
    <row r="2270">
      <c r="A2270" s="87" t="n">
        <v>39531</v>
      </c>
      <c r="D2270" t="n">
        <v>1387.1</v>
      </c>
    </row>
    <row r="2271">
      <c r="A2271" s="87" t="n">
        <v>39538</v>
      </c>
      <c r="D2271" t="n">
        <v>1389.7</v>
      </c>
    </row>
    <row r="2272">
      <c r="A2272" s="87" t="n">
        <v>39539</v>
      </c>
      <c r="B2272" t="n">
        <v>650.4</v>
      </c>
      <c r="C2272" t="n">
        <v>3598.7</v>
      </c>
      <c r="E2272" t="n">
        <v>7699.2</v>
      </c>
      <c r="F2272" t="n">
        <v>1.927</v>
      </c>
    </row>
    <row r="2273">
      <c r="A2273" s="87" t="n">
        <v>39545</v>
      </c>
      <c r="D2273" t="n">
        <v>1374.2</v>
      </c>
    </row>
    <row r="2274">
      <c r="A2274" s="87" t="n">
        <v>39552</v>
      </c>
      <c r="D2274" t="n">
        <v>1389.2</v>
      </c>
    </row>
    <row r="2275">
      <c r="A2275" s="87" t="n">
        <v>39559</v>
      </c>
      <c r="D2275" t="n">
        <v>1403.8</v>
      </c>
    </row>
    <row r="2276">
      <c r="A2276" s="87" t="n">
        <v>39566</v>
      </c>
      <c r="D2276" t="n">
        <v>1397.7</v>
      </c>
    </row>
    <row r="2277">
      <c r="A2277" s="87" t="n">
        <v>39569</v>
      </c>
      <c r="B2277" t="n">
        <v>647.5</v>
      </c>
      <c r="C2277" t="n">
        <v>3583.1</v>
      </c>
      <c r="E2277" t="n">
        <v>7711.2</v>
      </c>
    </row>
    <row r="2278">
      <c r="A2278" s="87" t="n">
        <v>39573</v>
      </c>
      <c r="D2278" t="n">
        <v>1393.5</v>
      </c>
    </row>
    <row r="2279">
      <c r="A2279" s="87" t="n">
        <v>39580</v>
      </c>
      <c r="D2279" t="n">
        <v>1392</v>
      </c>
    </row>
    <row r="2280">
      <c r="A2280" s="87" t="n">
        <v>39587</v>
      </c>
      <c r="D2280" t="n">
        <v>1385.7</v>
      </c>
    </row>
    <row r="2281">
      <c r="A2281" s="87" t="n">
        <v>39594</v>
      </c>
      <c r="D2281" t="n">
        <v>1394</v>
      </c>
    </row>
    <row r="2282">
      <c r="A2282" s="87" t="n">
        <v>39600</v>
      </c>
      <c r="B2282" t="n">
        <v>645.9</v>
      </c>
      <c r="C2282" t="n">
        <v>3554.1</v>
      </c>
      <c r="E2282" t="n">
        <v>7728.9</v>
      </c>
    </row>
    <row r="2283">
      <c r="A2283" s="87" t="n">
        <v>39601</v>
      </c>
      <c r="D2283" t="n">
        <v>1405.2</v>
      </c>
    </row>
    <row r="2284">
      <c r="A2284" s="87" t="n">
        <v>39608</v>
      </c>
      <c r="D2284" t="n">
        <v>1410.9</v>
      </c>
    </row>
    <row r="2285">
      <c r="A2285" s="87" t="n">
        <v>39615</v>
      </c>
      <c r="D2285" t="n">
        <v>1403.7</v>
      </c>
    </row>
    <row r="2286">
      <c r="A2286" s="87" t="n">
        <v>39622</v>
      </c>
      <c r="D2286" t="n">
        <v>1398.9</v>
      </c>
    </row>
    <row r="2287">
      <c r="A2287" s="87" t="n">
        <v>39629</v>
      </c>
      <c r="D2287" t="n">
        <v>1404.6</v>
      </c>
    </row>
    <row r="2288">
      <c r="A2288" s="87" t="n">
        <v>39630</v>
      </c>
      <c r="B2288" t="n">
        <v>648.9</v>
      </c>
      <c r="C2288" t="n">
        <v>3550.2</v>
      </c>
      <c r="E2288" t="n">
        <v>7775.4</v>
      </c>
      <c r="F2288" t="n">
        <v>1.908</v>
      </c>
    </row>
    <row r="2289">
      <c r="A2289" s="87" t="n">
        <v>39636</v>
      </c>
      <c r="D2289" t="n">
        <v>1412.6</v>
      </c>
    </row>
    <row r="2290">
      <c r="A2290" s="87" t="n">
        <v>39643</v>
      </c>
      <c r="D2290" t="n">
        <v>1421.5</v>
      </c>
    </row>
    <row r="2291">
      <c r="A2291" s="87" t="n">
        <v>39650</v>
      </c>
      <c r="D2291" t="n">
        <v>1426.9</v>
      </c>
    </row>
    <row r="2292">
      <c r="A2292" s="87" t="n">
        <v>39657</v>
      </c>
      <c r="D2292" t="n">
        <v>1422.3</v>
      </c>
    </row>
    <row r="2293">
      <c r="A2293" s="87" t="n">
        <v>39661</v>
      </c>
      <c r="B2293" t="n">
        <v>643.6</v>
      </c>
      <c r="C2293" t="n">
        <v>3562.2</v>
      </c>
      <c r="E2293" t="n">
        <v>7790.2</v>
      </c>
    </row>
    <row r="2294">
      <c r="A2294" s="87" t="n">
        <v>39664</v>
      </c>
      <c r="D2294" t="n">
        <v>1423.5</v>
      </c>
    </row>
    <row r="2295">
      <c r="A2295" s="87" t="n">
        <v>39671</v>
      </c>
      <c r="D2295" t="n">
        <v>1412.7</v>
      </c>
    </row>
    <row r="2296">
      <c r="A2296" s="87" t="n">
        <v>39678</v>
      </c>
      <c r="D2296" t="n">
        <v>1394.4</v>
      </c>
    </row>
    <row r="2297">
      <c r="A2297" s="87" t="n">
        <v>39685</v>
      </c>
      <c r="D2297" t="n">
        <v>1404.9</v>
      </c>
    </row>
    <row r="2298">
      <c r="A2298" s="87" t="n">
        <v>39692</v>
      </c>
      <c r="B2298" t="n">
        <v>668</v>
      </c>
      <c r="C2298" t="n">
        <v>3590.8</v>
      </c>
      <c r="D2298" t="n">
        <v>1408.4</v>
      </c>
      <c r="E2298" t="n">
        <v>7859.5</v>
      </c>
    </row>
    <row r="2299">
      <c r="A2299" s="87" t="n">
        <v>39699</v>
      </c>
      <c r="D2299" t="n">
        <v>1423.9</v>
      </c>
    </row>
    <row r="2300">
      <c r="A2300" s="87" t="n">
        <v>39706</v>
      </c>
      <c r="D2300" t="n">
        <v>1437</v>
      </c>
    </row>
    <row r="2301">
      <c r="A2301" s="87" t="n">
        <v>39713</v>
      </c>
      <c r="D2301" t="n">
        <v>1490.1</v>
      </c>
    </row>
    <row r="2302">
      <c r="A2302" s="87" t="n">
        <v>39720</v>
      </c>
      <c r="D2302" t="n">
        <v>1504.6</v>
      </c>
    </row>
    <row r="2303">
      <c r="A2303" s="87" t="n">
        <v>39722</v>
      </c>
      <c r="B2303" t="n">
        <v>679.2</v>
      </c>
      <c r="C2303" t="n">
        <v>3670.7</v>
      </c>
      <c r="E2303" t="n">
        <v>7965.3</v>
      </c>
      <c r="F2303" t="n">
        <v>1.813</v>
      </c>
    </row>
    <row r="2304">
      <c r="A2304" s="87" t="n">
        <v>39727</v>
      </c>
      <c r="D2304" t="n">
        <v>1461</v>
      </c>
    </row>
    <row r="2305">
      <c r="A2305" s="87" t="n">
        <v>39734</v>
      </c>
      <c r="D2305" t="n">
        <v>1464.9</v>
      </c>
    </row>
    <row r="2306">
      <c r="A2306" s="87" t="n">
        <v>39741</v>
      </c>
      <c r="D2306" t="n">
        <v>1457.4</v>
      </c>
    </row>
    <row r="2307">
      <c r="A2307" s="87" t="n">
        <v>39748</v>
      </c>
      <c r="D2307" t="n">
        <v>1483.7</v>
      </c>
    </row>
    <row r="2308">
      <c r="A2308" s="87" t="n">
        <v>39753</v>
      </c>
      <c r="B2308" t="n">
        <v>710.6</v>
      </c>
      <c r="C2308" t="n">
        <v>3760.6</v>
      </c>
      <c r="E2308" t="n">
        <v>8015.8</v>
      </c>
    </row>
    <row r="2309">
      <c r="A2309" s="87" t="n">
        <v>39755</v>
      </c>
      <c r="D2309" t="n">
        <v>1520</v>
      </c>
    </row>
    <row r="2310">
      <c r="A2310" s="87" t="n">
        <v>39762</v>
      </c>
      <c r="D2310" t="n">
        <v>1505.5</v>
      </c>
    </row>
    <row r="2311">
      <c r="A2311" s="87" t="n">
        <v>39769</v>
      </c>
      <c r="D2311" t="n">
        <v>1506.8</v>
      </c>
    </row>
    <row r="2312">
      <c r="A2312" s="87" t="n">
        <v>39776</v>
      </c>
      <c r="D2312" t="n">
        <v>1518.3</v>
      </c>
    </row>
    <row r="2313">
      <c r="A2313" s="87" t="n">
        <v>39783</v>
      </c>
      <c r="B2313" t="n">
        <v>757.7</v>
      </c>
      <c r="C2313" t="n">
        <v>3875.2</v>
      </c>
      <c r="D2313" t="n">
        <v>1527.2</v>
      </c>
      <c r="E2313" t="n">
        <v>8192.1</v>
      </c>
    </row>
    <row r="2314">
      <c r="A2314" s="87" t="n">
        <v>39790</v>
      </c>
      <c r="D2314" t="n">
        <v>1590</v>
      </c>
    </row>
    <row r="2315">
      <c r="A2315" s="87" t="n">
        <v>39797</v>
      </c>
      <c r="D2315" t="n">
        <v>1612</v>
      </c>
    </row>
    <row r="2316">
      <c r="A2316" s="87" t="n">
        <v>39804</v>
      </c>
      <c r="D2316" t="n">
        <v>1610.2</v>
      </c>
    </row>
    <row r="2317">
      <c r="A2317" s="87" t="n">
        <v>39811</v>
      </c>
      <c r="D2317" t="n">
        <v>1597.3</v>
      </c>
    </row>
    <row r="2318">
      <c r="A2318" s="87" t="n">
        <v>39814</v>
      </c>
      <c r="B2318" t="n">
        <v>746.8</v>
      </c>
      <c r="C2318" t="n">
        <v>3903.9</v>
      </c>
      <c r="E2318" t="n">
        <v>8273.700000000001</v>
      </c>
      <c r="F2318" t="n">
        <v>1.735</v>
      </c>
    </row>
    <row r="2319">
      <c r="A2319" s="87" t="n">
        <v>39818</v>
      </c>
      <c r="D2319" t="n">
        <v>1629.7</v>
      </c>
    </row>
    <row r="2320">
      <c r="A2320" s="87" t="n">
        <v>39825</v>
      </c>
      <c r="D2320" t="n">
        <v>1609.5</v>
      </c>
    </row>
    <row r="2321">
      <c r="A2321" s="87" t="n">
        <v>39832</v>
      </c>
      <c r="D2321" t="n">
        <v>1561.1</v>
      </c>
    </row>
    <row r="2322">
      <c r="A2322" s="87" t="n">
        <v>39839</v>
      </c>
      <c r="D2322" t="n">
        <v>1555.1</v>
      </c>
    </row>
    <row r="2323">
      <c r="A2323" s="87" t="n">
        <v>39845</v>
      </c>
      <c r="B2323" t="n">
        <v>736.8</v>
      </c>
      <c r="C2323" t="n">
        <v>3903.6</v>
      </c>
      <c r="E2323" t="n">
        <v>8303.1</v>
      </c>
    </row>
    <row r="2324">
      <c r="A2324" s="87" t="n">
        <v>39846</v>
      </c>
      <c r="D2324" t="n">
        <v>1567.4</v>
      </c>
    </row>
    <row r="2325">
      <c r="A2325" s="87" t="n">
        <v>39853</v>
      </c>
      <c r="D2325" t="n">
        <v>1575.7</v>
      </c>
    </row>
    <row r="2326">
      <c r="A2326" s="87" t="n">
        <v>39860</v>
      </c>
      <c r="D2326" t="n">
        <v>1565</v>
      </c>
    </row>
    <row r="2327">
      <c r="A2327" s="87" t="n">
        <v>39867</v>
      </c>
      <c r="D2327" t="n">
        <v>1558.9</v>
      </c>
    </row>
    <row r="2328">
      <c r="A2328" s="87" t="n">
        <v>39873</v>
      </c>
      <c r="B2328" t="n">
        <v>743</v>
      </c>
      <c r="C2328" t="n">
        <v>3938.6</v>
      </c>
      <c r="E2328" t="n">
        <v>8369.299999999999</v>
      </c>
    </row>
    <row r="2329">
      <c r="A2329" s="87" t="n">
        <v>39874</v>
      </c>
      <c r="D2329" t="n">
        <v>1570.1</v>
      </c>
    </row>
    <row r="2330">
      <c r="A2330" s="87" t="n">
        <v>39881</v>
      </c>
      <c r="D2330" t="n">
        <v>1583.8</v>
      </c>
    </row>
    <row r="2331">
      <c r="A2331" s="87" t="n">
        <v>39888</v>
      </c>
      <c r="D2331" t="n">
        <v>1575.7</v>
      </c>
    </row>
    <row r="2332">
      <c r="A2332" s="87" t="n">
        <v>39895</v>
      </c>
      <c r="D2332" t="n">
        <v>1575.1</v>
      </c>
    </row>
    <row r="2333">
      <c r="A2333" s="87" t="n">
        <v>39902</v>
      </c>
      <c r="D2333" t="n">
        <v>1572.3</v>
      </c>
    </row>
    <row r="2334">
      <c r="A2334" s="87" t="n">
        <v>39904</v>
      </c>
      <c r="B2334" t="n">
        <v>757.7</v>
      </c>
      <c r="C2334" t="n">
        <v>3936.3</v>
      </c>
      <c r="E2334" t="n">
        <v>8372.9</v>
      </c>
      <c r="F2334" t="n">
        <v>1.709</v>
      </c>
    </row>
    <row r="2335">
      <c r="A2335" s="87" t="n">
        <v>39909</v>
      </c>
      <c r="D2335" t="n">
        <v>1655.6</v>
      </c>
    </row>
    <row r="2336">
      <c r="A2336" s="87" t="n">
        <v>39916</v>
      </c>
      <c r="D2336" t="n">
        <v>1604.1</v>
      </c>
    </row>
    <row r="2337">
      <c r="A2337" s="87" t="n">
        <v>39923</v>
      </c>
      <c r="D2337" t="n">
        <v>1595.4</v>
      </c>
    </row>
    <row r="2338">
      <c r="A2338" s="87" t="n">
        <v>39930</v>
      </c>
      <c r="D2338" t="n">
        <v>1598</v>
      </c>
    </row>
    <row r="2339">
      <c r="A2339" s="87" t="n">
        <v>39934</v>
      </c>
      <c r="B2339" t="n">
        <v>759.3</v>
      </c>
      <c r="C2339" t="n">
        <v>3957.7</v>
      </c>
      <c r="E2339" t="n">
        <v>8430.700000000001</v>
      </c>
    </row>
    <row r="2340">
      <c r="A2340" s="87" t="n">
        <v>39937</v>
      </c>
      <c r="D2340" t="n">
        <v>1611.3</v>
      </c>
    </row>
    <row r="2341">
      <c r="A2341" s="87" t="n">
        <v>39944</v>
      </c>
      <c r="D2341" t="n">
        <v>1617.5</v>
      </c>
    </row>
    <row r="2342">
      <c r="A2342" s="87" t="n">
        <v>39951</v>
      </c>
      <c r="D2342" t="n">
        <v>1617.1</v>
      </c>
    </row>
    <row r="2343">
      <c r="A2343" s="87" t="n">
        <v>39958</v>
      </c>
      <c r="D2343" t="n">
        <v>1623.4</v>
      </c>
    </row>
    <row r="2344">
      <c r="A2344" s="87" t="n">
        <v>39965</v>
      </c>
      <c r="B2344" t="n">
        <v>772.3</v>
      </c>
      <c r="C2344" t="n">
        <v>3929.7</v>
      </c>
      <c r="D2344" t="n">
        <v>1615.5</v>
      </c>
      <c r="E2344" t="n">
        <v>8440.5</v>
      </c>
    </row>
    <row r="2345">
      <c r="A2345" s="87" t="n">
        <v>39972</v>
      </c>
      <c r="D2345" t="n">
        <v>1650.5</v>
      </c>
    </row>
    <row r="2346">
      <c r="A2346" s="87" t="n">
        <v>39979</v>
      </c>
      <c r="D2346" t="n">
        <v>1659.5</v>
      </c>
    </row>
    <row r="2347">
      <c r="A2347" s="87" t="n">
        <v>39986</v>
      </c>
      <c r="D2347" t="n">
        <v>1671.6</v>
      </c>
    </row>
    <row r="2348">
      <c r="A2348" s="87" t="n">
        <v>39993</v>
      </c>
      <c r="D2348" t="n">
        <v>1660.7</v>
      </c>
    </row>
    <row r="2349">
      <c r="A2349" s="87" t="n">
        <v>39995</v>
      </c>
      <c r="B2349" t="n">
        <v>774.2</v>
      </c>
      <c r="C2349" t="n">
        <v>3933</v>
      </c>
      <c r="E2349" t="n">
        <v>8445.1</v>
      </c>
      <c r="F2349" t="n">
        <v>1.711</v>
      </c>
    </row>
    <row r="2350">
      <c r="A2350" s="87" t="n">
        <v>40000</v>
      </c>
      <c r="D2350" t="n">
        <v>1653.2</v>
      </c>
    </row>
    <row r="2351">
      <c r="A2351" s="87" t="n">
        <v>40007</v>
      </c>
      <c r="D2351" t="n">
        <v>1663.9</v>
      </c>
    </row>
    <row r="2352">
      <c r="A2352" s="87" t="n">
        <v>40014</v>
      </c>
      <c r="D2352" t="n">
        <v>1662.6</v>
      </c>
    </row>
    <row r="2353">
      <c r="A2353" s="87" t="n">
        <v>40021</v>
      </c>
      <c r="D2353" t="n">
        <v>1659.2</v>
      </c>
    </row>
    <row r="2354">
      <c r="A2354" s="87" t="n">
        <v>40026</v>
      </c>
      <c r="B2354" t="n">
        <v>770.5</v>
      </c>
      <c r="C2354" t="n">
        <v>3919.8</v>
      </c>
      <c r="E2354" t="n">
        <v>8445</v>
      </c>
    </row>
    <row r="2355">
      <c r="A2355" s="87" t="n">
        <v>40028</v>
      </c>
      <c r="D2355" t="n">
        <v>1679.3</v>
      </c>
    </row>
    <row r="2356">
      <c r="A2356" s="87" t="n">
        <v>40035</v>
      </c>
      <c r="D2356" t="n">
        <v>1669.5</v>
      </c>
    </row>
    <row r="2357">
      <c r="A2357" s="87" t="n">
        <v>40042</v>
      </c>
      <c r="D2357" t="n">
        <v>1668.9</v>
      </c>
    </row>
    <row r="2358">
      <c r="A2358" s="87" t="n">
        <v>40049</v>
      </c>
      <c r="D2358" t="n">
        <v>1649.2</v>
      </c>
    </row>
    <row r="2359">
      <c r="A2359" s="87" t="n">
        <v>40056</v>
      </c>
      <c r="D2359" t="n">
        <v>1644.2</v>
      </c>
    </row>
    <row r="2360">
      <c r="A2360" s="87" t="n">
        <v>40057</v>
      </c>
      <c r="B2360" t="n">
        <v>771.3</v>
      </c>
      <c r="C2360" t="n">
        <v>3911.9</v>
      </c>
      <c r="E2360" t="n">
        <v>8444.200000000001</v>
      </c>
    </row>
    <row r="2361">
      <c r="A2361" s="87" t="n">
        <v>40063</v>
      </c>
      <c r="D2361" t="n">
        <v>1660.5</v>
      </c>
    </row>
    <row r="2362">
      <c r="A2362" s="87" t="n">
        <v>40070</v>
      </c>
      <c r="D2362" t="n">
        <v>1674.9</v>
      </c>
    </row>
    <row r="2363">
      <c r="A2363" s="87" t="n">
        <v>40077</v>
      </c>
      <c r="D2363" t="n">
        <v>1662.9</v>
      </c>
    </row>
    <row r="2364">
      <c r="A2364" s="87" t="n">
        <v>40084</v>
      </c>
      <c r="D2364" t="n">
        <v>1662.1</v>
      </c>
    </row>
    <row r="2365">
      <c r="A2365" s="87" t="n">
        <v>40087</v>
      </c>
      <c r="B2365" t="n">
        <v>774.9</v>
      </c>
      <c r="C2365" t="n">
        <v>3912.6</v>
      </c>
      <c r="E2365" t="n">
        <v>8471.1</v>
      </c>
      <c r="F2365" t="n">
        <v>1.726</v>
      </c>
    </row>
    <row r="2366">
      <c r="A2366" s="87" t="n">
        <v>40091</v>
      </c>
      <c r="D2366" t="n">
        <v>1662.2</v>
      </c>
    </row>
    <row r="2367">
      <c r="A2367" s="87" t="n">
        <v>40098</v>
      </c>
      <c r="D2367" t="n">
        <v>1674.6</v>
      </c>
    </row>
    <row r="2368">
      <c r="A2368" s="87" t="n">
        <v>40105</v>
      </c>
      <c r="D2368" t="n">
        <v>1680.9</v>
      </c>
    </row>
    <row r="2369">
      <c r="A2369" s="87" t="n">
        <v>40112</v>
      </c>
      <c r="D2369" t="n">
        <v>1685.4</v>
      </c>
    </row>
    <row r="2370">
      <c r="A2370" s="87" t="n">
        <v>40118</v>
      </c>
      <c r="B2370" t="n">
        <v>774.7</v>
      </c>
      <c r="C2370" t="n">
        <v>3913.2</v>
      </c>
      <c r="E2370" t="n">
        <v>8500.799999999999</v>
      </c>
    </row>
    <row r="2371">
      <c r="A2371" s="87" t="n">
        <v>40119</v>
      </c>
      <c r="D2371" t="n">
        <v>1682.6</v>
      </c>
    </row>
    <row r="2372">
      <c r="A2372" s="87" t="n">
        <v>40126</v>
      </c>
      <c r="D2372" t="n">
        <v>1680.4</v>
      </c>
    </row>
    <row r="2373">
      <c r="A2373" s="87" t="n">
        <v>40133</v>
      </c>
      <c r="D2373" t="n">
        <v>1680.8</v>
      </c>
    </row>
    <row r="2374">
      <c r="A2374" s="87" t="n">
        <v>40140</v>
      </c>
      <c r="D2374" t="n">
        <v>1683</v>
      </c>
    </row>
    <row r="2375">
      <c r="A2375" s="87" t="n">
        <v>40147</v>
      </c>
      <c r="D2375" t="n">
        <v>1688.2</v>
      </c>
    </row>
    <row r="2376">
      <c r="A2376" s="87" t="n">
        <v>40148</v>
      </c>
      <c r="B2376" t="n">
        <v>778.8</v>
      </c>
      <c r="C2376" t="n">
        <v>3909</v>
      </c>
      <c r="E2376" t="n">
        <v>8496</v>
      </c>
    </row>
    <row r="2377">
      <c r="A2377" s="87" t="n">
        <v>40154</v>
      </c>
      <c r="D2377" t="n">
        <v>1684.8</v>
      </c>
    </row>
    <row r="2378">
      <c r="A2378" s="87" t="n">
        <v>40161</v>
      </c>
      <c r="D2378" t="n">
        <v>1691.1</v>
      </c>
    </row>
    <row r="2379">
      <c r="A2379" s="87" t="n">
        <v>40168</v>
      </c>
      <c r="D2379" t="n">
        <v>1698.6</v>
      </c>
    </row>
    <row r="2380">
      <c r="A2380" s="87" t="n">
        <v>40175</v>
      </c>
      <c r="D2380" t="n">
        <v>1690.1</v>
      </c>
    </row>
    <row r="2381">
      <c r="A2381" s="87" t="n">
        <v>40179</v>
      </c>
      <c r="B2381" t="n">
        <v>770</v>
      </c>
      <c r="C2381" t="n">
        <v>3889</v>
      </c>
      <c r="E2381" t="n">
        <v>8458.1</v>
      </c>
      <c r="F2381" t="n">
        <v>1.739</v>
      </c>
    </row>
    <row r="2382">
      <c r="A2382" s="87" t="n">
        <v>40182</v>
      </c>
      <c r="D2382" t="n">
        <v>1708.6</v>
      </c>
    </row>
    <row r="2383">
      <c r="A2383" s="87" t="n">
        <v>40189</v>
      </c>
      <c r="D2383" t="n">
        <v>1665.4</v>
      </c>
    </row>
    <row r="2384">
      <c r="A2384" s="87" t="n">
        <v>40196</v>
      </c>
      <c r="D2384" t="n">
        <v>1669.7</v>
      </c>
    </row>
    <row r="2385">
      <c r="A2385" s="87" t="n">
        <v>40203</v>
      </c>
      <c r="D2385" t="n">
        <v>1672.6</v>
      </c>
    </row>
    <row r="2386">
      <c r="A2386" s="87" t="n">
        <v>40210</v>
      </c>
      <c r="B2386" t="n">
        <v>782.3</v>
      </c>
      <c r="C2386" t="n">
        <v>3915.4</v>
      </c>
      <c r="D2386" t="n">
        <v>1670.9</v>
      </c>
      <c r="E2386" t="n">
        <v>8507.4</v>
      </c>
    </row>
    <row r="2387">
      <c r="A2387" s="87" t="n">
        <v>40217</v>
      </c>
      <c r="D2387" t="n">
        <v>1688.6</v>
      </c>
    </row>
    <row r="2388">
      <c r="A2388" s="87" t="n">
        <v>40224</v>
      </c>
      <c r="D2388" t="n">
        <v>1717.2</v>
      </c>
    </row>
    <row r="2389">
      <c r="A2389" s="87" t="n">
        <v>40231</v>
      </c>
      <c r="D2389" t="n">
        <v>1702.1</v>
      </c>
    </row>
    <row r="2390">
      <c r="A2390" s="87" t="n">
        <v>40238</v>
      </c>
      <c r="B2390" t="n">
        <v>787.6</v>
      </c>
      <c r="C2390" t="n">
        <v>3912.8</v>
      </c>
      <c r="D2390" t="n">
        <v>1694.9</v>
      </c>
      <c r="E2390" t="n">
        <v>8504.5</v>
      </c>
    </row>
    <row r="2391">
      <c r="A2391" s="87" t="n">
        <v>40245</v>
      </c>
      <c r="D2391" t="n">
        <v>1704.2</v>
      </c>
    </row>
    <row r="2392">
      <c r="A2392" s="87" t="n">
        <v>40252</v>
      </c>
      <c r="D2392" t="n">
        <v>1722.9</v>
      </c>
    </row>
    <row r="2393">
      <c r="A2393" s="87" t="n">
        <v>40259</v>
      </c>
      <c r="D2393" t="n">
        <v>1722.2</v>
      </c>
    </row>
    <row r="2394">
      <c r="A2394" s="87" t="n">
        <v>40266</v>
      </c>
      <c r="D2394" t="n">
        <v>1708.3</v>
      </c>
    </row>
    <row r="2395">
      <c r="A2395" s="87" t="n">
        <v>40269</v>
      </c>
      <c r="B2395" t="n">
        <v>781.5</v>
      </c>
      <c r="C2395" t="n">
        <v>3926</v>
      </c>
      <c r="E2395" t="n">
        <v>8535.200000000001</v>
      </c>
      <c r="F2395" t="n">
        <v>1.746</v>
      </c>
    </row>
    <row r="2396">
      <c r="A2396" s="87" t="n">
        <v>40273</v>
      </c>
      <c r="D2396" t="n">
        <v>1686</v>
      </c>
    </row>
    <row r="2397">
      <c r="A2397" s="87" t="n">
        <v>40280</v>
      </c>
      <c r="D2397" t="n">
        <v>1697.7</v>
      </c>
    </row>
    <row r="2398">
      <c r="A2398" s="87" t="n">
        <v>40287</v>
      </c>
      <c r="D2398" t="n">
        <v>1699.4</v>
      </c>
    </row>
    <row r="2399">
      <c r="A2399" s="87" t="n">
        <v>40294</v>
      </c>
      <c r="D2399" t="n">
        <v>1692.3</v>
      </c>
    </row>
    <row r="2400">
      <c r="A2400" s="87" t="n">
        <v>40299</v>
      </c>
      <c r="B2400" t="n">
        <v>787</v>
      </c>
      <c r="C2400" t="n">
        <v>3953.2</v>
      </c>
      <c r="E2400" t="n">
        <v>8589.9</v>
      </c>
    </row>
    <row r="2401">
      <c r="A2401" s="87" t="n">
        <v>40301</v>
      </c>
      <c r="D2401" t="n">
        <v>1728.3</v>
      </c>
    </row>
    <row r="2402">
      <c r="A2402" s="87" t="n">
        <v>40308</v>
      </c>
      <c r="D2402" t="n">
        <v>1710.7</v>
      </c>
    </row>
    <row r="2403">
      <c r="A2403" s="87" t="n">
        <v>40315</v>
      </c>
      <c r="D2403" t="n">
        <v>1702.8</v>
      </c>
    </row>
    <row r="2404">
      <c r="A2404" s="87" t="n">
        <v>40322</v>
      </c>
      <c r="D2404" t="n">
        <v>1707.5</v>
      </c>
    </row>
    <row r="2405">
      <c r="A2405" s="87" t="n">
        <v>40329</v>
      </c>
      <c r="D2405" t="n">
        <v>1711.5</v>
      </c>
    </row>
    <row r="2406">
      <c r="A2406" s="87" t="n">
        <v>40330</v>
      </c>
      <c r="B2406" t="n">
        <v>797.2</v>
      </c>
      <c r="C2406" t="n">
        <v>3963.6</v>
      </c>
      <c r="E2406" t="n">
        <v>8609</v>
      </c>
    </row>
    <row r="2407">
      <c r="A2407" s="87" t="n">
        <v>40336</v>
      </c>
      <c r="D2407" t="n">
        <v>1717.9</v>
      </c>
    </row>
    <row r="2408">
      <c r="A2408" s="87" t="n">
        <v>40343</v>
      </c>
      <c r="D2408" t="n">
        <v>1722.3</v>
      </c>
    </row>
    <row r="2409">
      <c r="A2409" s="87" t="n">
        <v>40350</v>
      </c>
      <c r="D2409" t="n">
        <v>1741.3</v>
      </c>
    </row>
    <row r="2410">
      <c r="A2410" s="87" t="n">
        <v>40357</v>
      </c>
      <c r="D2410" t="n">
        <v>1748.3</v>
      </c>
    </row>
    <row r="2411">
      <c r="A2411" s="87" t="n">
        <v>40360</v>
      </c>
      <c r="B2411" t="n">
        <v>792.3</v>
      </c>
      <c r="C2411" t="n">
        <v>3960.8</v>
      </c>
      <c r="E2411" t="n">
        <v>8618.799999999999</v>
      </c>
      <c r="F2411" t="n">
        <v>1.748</v>
      </c>
    </row>
    <row r="2412">
      <c r="A2412" s="87" t="n">
        <v>40364</v>
      </c>
      <c r="D2412" t="n">
        <v>1719.3</v>
      </c>
    </row>
    <row r="2413">
      <c r="A2413" s="87" t="n">
        <v>40371</v>
      </c>
      <c r="D2413" t="n">
        <v>1722.3</v>
      </c>
    </row>
    <row r="2414">
      <c r="A2414" s="87" t="n">
        <v>40378</v>
      </c>
      <c r="D2414" t="n">
        <v>1718.8</v>
      </c>
    </row>
    <row r="2415">
      <c r="A2415" s="87" t="n">
        <v>40385</v>
      </c>
      <c r="D2415" t="n">
        <v>1730.6</v>
      </c>
    </row>
    <row r="2416">
      <c r="A2416" s="87" t="n">
        <v>40391</v>
      </c>
      <c r="B2416" t="n">
        <v>802.4</v>
      </c>
      <c r="C2416" t="n">
        <v>3978.1</v>
      </c>
      <c r="E2416" t="n">
        <v>8669.1</v>
      </c>
    </row>
    <row r="2417">
      <c r="A2417" s="87" t="n">
        <v>40392</v>
      </c>
      <c r="D2417" t="n">
        <v>1729.2</v>
      </c>
    </row>
    <row r="2418">
      <c r="A2418" s="87" t="n">
        <v>40399</v>
      </c>
      <c r="D2418" t="n">
        <v>1743.4</v>
      </c>
    </row>
    <row r="2419">
      <c r="A2419" s="87" t="n">
        <v>40406</v>
      </c>
      <c r="D2419" t="n">
        <v>1742.1</v>
      </c>
    </row>
    <row r="2420">
      <c r="A2420" s="87" t="n">
        <v>40413</v>
      </c>
      <c r="D2420" t="n">
        <v>1757.4</v>
      </c>
    </row>
    <row r="2421">
      <c r="A2421" s="87" t="n">
        <v>40420</v>
      </c>
      <c r="D2421" t="n">
        <v>1757.3</v>
      </c>
    </row>
    <row r="2422">
      <c r="A2422" s="87" t="n">
        <v>40422</v>
      </c>
      <c r="B2422" t="n">
        <v>809.2</v>
      </c>
      <c r="C2422" t="n">
        <v>3985.8</v>
      </c>
      <c r="E2422" t="n">
        <v>8700.1</v>
      </c>
    </row>
    <row r="2423">
      <c r="A2423" s="87" t="n">
        <v>40427</v>
      </c>
      <c r="D2423" t="n">
        <v>1749.5</v>
      </c>
    </row>
    <row r="2424">
      <c r="A2424" s="87" t="n">
        <v>40434</v>
      </c>
      <c r="D2424" t="n">
        <v>1768.6</v>
      </c>
    </row>
    <row r="2425">
      <c r="A2425" s="87" t="n">
        <v>40441</v>
      </c>
      <c r="D2425" t="n">
        <v>1769.6</v>
      </c>
    </row>
    <row r="2426">
      <c r="A2426" s="87" t="n">
        <v>40448</v>
      </c>
      <c r="D2426" t="n">
        <v>1770.2</v>
      </c>
    </row>
    <row r="2427">
      <c r="A2427" s="87" t="n">
        <v>40452</v>
      </c>
      <c r="B2427" t="n">
        <v>812.8</v>
      </c>
      <c r="C2427" t="n">
        <v>3994.5</v>
      </c>
      <c r="E2427" t="n">
        <v>8749.4</v>
      </c>
      <c r="F2427" t="n">
        <v>1.745</v>
      </c>
    </row>
    <row r="2428">
      <c r="A2428" s="87" t="n">
        <v>40455</v>
      </c>
      <c r="D2428" t="n">
        <v>1776.2</v>
      </c>
    </row>
    <row r="2429">
      <c r="A2429" s="87" t="n">
        <v>40462</v>
      </c>
      <c r="D2429" t="n">
        <v>1789.5</v>
      </c>
    </row>
    <row r="2430">
      <c r="A2430" s="87" t="n">
        <v>40469</v>
      </c>
      <c r="D2430" t="n">
        <v>1776.5</v>
      </c>
    </row>
    <row r="2431">
      <c r="A2431" s="87" t="n">
        <v>40476</v>
      </c>
      <c r="D2431" t="n">
        <v>1789.5</v>
      </c>
    </row>
    <row r="2432">
      <c r="A2432" s="87" t="n">
        <v>40483</v>
      </c>
      <c r="B2432" t="n">
        <v>832.6</v>
      </c>
      <c r="C2432" t="n">
        <v>3993.8</v>
      </c>
      <c r="D2432" t="n">
        <v>1766.4</v>
      </c>
      <c r="E2432" t="n">
        <v>8770</v>
      </c>
    </row>
    <row r="2433">
      <c r="A2433" s="87" t="n">
        <v>40490</v>
      </c>
      <c r="D2433" t="n">
        <v>1867.7</v>
      </c>
    </row>
    <row r="2434">
      <c r="A2434" s="87" t="n">
        <v>40497</v>
      </c>
      <c r="D2434" t="n">
        <v>1802</v>
      </c>
    </row>
    <row r="2435">
      <c r="A2435" s="87" t="n">
        <v>40504</v>
      </c>
      <c r="D2435" t="n">
        <v>1819</v>
      </c>
    </row>
    <row r="2436">
      <c r="A2436" s="87" t="n">
        <v>40511</v>
      </c>
      <c r="D2436" t="n">
        <v>1836.1</v>
      </c>
    </row>
    <row r="2437">
      <c r="A2437" s="87" t="n">
        <v>40513</v>
      </c>
      <c r="B2437" t="n">
        <v>833.1</v>
      </c>
      <c r="C2437" t="n">
        <v>3992.3</v>
      </c>
      <c r="E2437" t="n">
        <v>8801.799999999999</v>
      </c>
    </row>
    <row r="2438">
      <c r="A2438" s="87" t="n">
        <v>40518</v>
      </c>
      <c r="D2438" t="n">
        <v>1812.3</v>
      </c>
    </row>
    <row r="2439">
      <c r="A2439" s="87" t="n">
        <v>40525</v>
      </c>
      <c r="D2439" t="n">
        <v>1829</v>
      </c>
    </row>
    <row r="2440">
      <c r="A2440" s="87" t="n">
        <v>40532</v>
      </c>
      <c r="D2440" t="n">
        <v>1840.8</v>
      </c>
    </row>
    <row r="2441">
      <c r="A2441" s="87" t="n">
        <v>40539</v>
      </c>
      <c r="D2441" t="n">
        <v>1853.6</v>
      </c>
    </row>
    <row r="2442">
      <c r="A2442" s="87" t="n">
        <v>40544</v>
      </c>
      <c r="B2442" t="n">
        <v>834.7</v>
      </c>
      <c r="C2442" t="n">
        <v>3989</v>
      </c>
      <c r="E2442" t="n">
        <v>8823.1</v>
      </c>
      <c r="F2442" t="n">
        <v>1.728</v>
      </c>
    </row>
    <row r="2443">
      <c r="A2443" s="87" t="n">
        <v>40546</v>
      </c>
      <c r="D2443" t="n">
        <v>1849.9</v>
      </c>
    </row>
    <row r="2444">
      <c r="A2444" s="87" t="n">
        <v>40553</v>
      </c>
      <c r="D2444" t="n">
        <v>1834.5</v>
      </c>
    </row>
    <row r="2445">
      <c r="A2445" s="87" t="n">
        <v>40560</v>
      </c>
      <c r="D2445" t="n">
        <v>1858.3</v>
      </c>
    </row>
    <row r="2446">
      <c r="A2446" s="87" t="n">
        <v>40567</v>
      </c>
      <c r="D2446" t="n">
        <v>1854.1</v>
      </c>
    </row>
    <row r="2447">
      <c r="A2447" s="87" t="n">
        <v>40574</v>
      </c>
      <c r="D2447" t="n">
        <v>1868.8</v>
      </c>
    </row>
    <row r="2448">
      <c r="A2448" s="87" t="n">
        <v>40575</v>
      </c>
      <c r="B2448" t="n">
        <v>842.8</v>
      </c>
      <c r="C2448" t="n">
        <v>4004.9</v>
      </c>
      <c r="E2448" t="n">
        <v>8886.9</v>
      </c>
    </row>
    <row r="2449">
      <c r="A2449" s="87" t="n">
        <v>40581</v>
      </c>
      <c r="D2449" t="n">
        <v>1850.4</v>
      </c>
    </row>
    <row r="2450">
      <c r="A2450" s="87" t="n">
        <v>40588</v>
      </c>
      <c r="D2450" t="n">
        <v>1859.1</v>
      </c>
    </row>
    <row r="2451">
      <c r="A2451" s="87" t="n">
        <v>40595</v>
      </c>
      <c r="D2451" t="n">
        <v>1885.8</v>
      </c>
    </row>
    <row r="2452">
      <c r="A2452" s="87" t="n">
        <v>40602</v>
      </c>
      <c r="D2452" t="n">
        <v>1895.2</v>
      </c>
    </row>
    <row r="2453">
      <c r="A2453" s="87" t="n">
        <v>40603</v>
      </c>
      <c r="B2453" t="n">
        <v>850.3</v>
      </c>
      <c r="C2453" t="n">
        <v>4009.7</v>
      </c>
      <c r="E2453" t="n">
        <v>8943.5</v>
      </c>
    </row>
    <row r="2454">
      <c r="A2454" s="87" t="n">
        <v>40609</v>
      </c>
      <c r="D2454" t="n">
        <v>1875.6</v>
      </c>
    </row>
    <row r="2455">
      <c r="A2455" s="87" t="n">
        <v>40616</v>
      </c>
      <c r="D2455" t="n">
        <v>1889.6</v>
      </c>
    </row>
    <row r="2456">
      <c r="A2456" s="87" t="n">
        <v>40623</v>
      </c>
      <c r="D2456" t="n">
        <v>1901.2</v>
      </c>
    </row>
    <row r="2457">
      <c r="A2457" s="87" t="n">
        <v>40630</v>
      </c>
      <c r="D2457" t="n">
        <v>1897.1</v>
      </c>
    </row>
    <row r="2458">
      <c r="A2458" s="87" t="n">
        <v>40634</v>
      </c>
      <c r="B2458" t="n">
        <v>846.5</v>
      </c>
      <c r="C2458" t="n">
        <v>4018.4</v>
      </c>
      <c r="E2458" t="n">
        <v>9004.9</v>
      </c>
      <c r="F2458" t="n">
        <v>1.714</v>
      </c>
    </row>
    <row r="2459">
      <c r="A2459" s="87" t="n">
        <v>40637</v>
      </c>
      <c r="D2459" t="n">
        <v>1895.4</v>
      </c>
    </row>
    <row r="2460">
      <c r="A2460" s="87" t="n">
        <v>40644</v>
      </c>
      <c r="D2460" t="n">
        <v>1896.4</v>
      </c>
    </row>
    <row r="2461">
      <c r="A2461" s="87" t="n">
        <v>40651</v>
      </c>
      <c r="D2461" t="n">
        <v>1892.8</v>
      </c>
    </row>
    <row r="2462">
      <c r="A2462" s="87" t="n">
        <v>40658</v>
      </c>
      <c r="D2462" t="n">
        <v>1902.2</v>
      </c>
    </row>
    <row r="2463">
      <c r="A2463" s="87" t="n">
        <v>40664</v>
      </c>
      <c r="B2463" t="n">
        <v>863.7</v>
      </c>
      <c r="C2463" t="n">
        <v>4037</v>
      </c>
      <c r="E2463" t="n">
        <v>9075.5</v>
      </c>
    </row>
    <row r="2464">
      <c r="A2464" s="87" t="n">
        <v>40665</v>
      </c>
      <c r="D2464" t="n">
        <v>1920.6</v>
      </c>
    </row>
    <row r="2465">
      <c r="A2465" s="87" t="n">
        <v>40672</v>
      </c>
      <c r="D2465" t="n">
        <v>1928.1</v>
      </c>
    </row>
    <row r="2466">
      <c r="A2466" s="87" t="n">
        <v>40679</v>
      </c>
      <c r="D2466" t="n">
        <v>1930.7</v>
      </c>
    </row>
    <row r="2467">
      <c r="A2467" s="87" t="n">
        <v>40686</v>
      </c>
      <c r="D2467" t="n">
        <v>1942.2</v>
      </c>
    </row>
    <row r="2468">
      <c r="A2468" s="87" t="n">
        <v>40693</v>
      </c>
      <c r="D2468" t="n">
        <v>1956.5</v>
      </c>
    </row>
    <row r="2469">
      <c r="A2469" s="87" t="n">
        <v>40695</v>
      </c>
      <c r="B2469" t="n">
        <v>873.4</v>
      </c>
      <c r="C2469" t="n">
        <v>4070.6</v>
      </c>
      <c r="E2469" t="n">
        <v>9151</v>
      </c>
    </row>
    <row r="2470">
      <c r="A2470" s="87" t="n">
        <v>40700</v>
      </c>
      <c r="D2470" t="n">
        <v>1936</v>
      </c>
    </row>
    <row r="2471">
      <c r="A2471" s="87" t="n">
        <v>40707</v>
      </c>
      <c r="D2471" t="n">
        <v>1951.5</v>
      </c>
    </row>
    <row r="2472">
      <c r="A2472" s="87" t="n">
        <v>40714</v>
      </c>
      <c r="D2472" t="n">
        <v>1961.5</v>
      </c>
    </row>
    <row r="2473">
      <c r="A2473" s="87" t="n">
        <v>40721</v>
      </c>
      <c r="D2473" t="n">
        <v>1959.4</v>
      </c>
    </row>
    <row r="2474">
      <c r="A2474" s="87" t="n">
        <v>40725</v>
      </c>
      <c r="B2474" t="n">
        <v>885.6</v>
      </c>
      <c r="C2474" t="n">
        <v>4133.5</v>
      </c>
      <c r="E2474" t="n">
        <v>9316.6</v>
      </c>
      <c r="F2474" t="n">
        <v>1.656</v>
      </c>
    </row>
    <row r="2475">
      <c r="A2475" s="87" t="n">
        <v>40728</v>
      </c>
      <c r="D2475" t="n">
        <v>1985.7</v>
      </c>
    </row>
    <row r="2476">
      <c r="A2476" s="87" t="n">
        <v>40735</v>
      </c>
      <c r="D2476" t="n">
        <v>1983.7</v>
      </c>
    </row>
    <row r="2477">
      <c r="A2477" s="87" t="n">
        <v>40742</v>
      </c>
      <c r="D2477" t="n">
        <v>1975.8</v>
      </c>
    </row>
    <row r="2478">
      <c r="A2478" s="87" t="n">
        <v>40749</v>
      </c>
      <c r="D2478" t="n">
        <v>2001.2</v>
      </c>
    </row>
    <row r="2479">
      <c r="A2479" s="87" t="n">
        <v>40756</v>
      </c>
      <c r="B2479" t="n">
        <v>935.6</v>
      </c>
      <c r="C2479" t="n">
        <v>4204.9</v>
      </c>
      <c r="D2479" t="n">
        <v>2063.5</v>
      </c>
      <c r="E2479" t="n">
        <v>9507.6</v>
      </c>
    </row>
    <row r="2480">
      <c r="A2480" s="87" t="n">
        <v>40763</v>
      </c>
      <c r="D2480" t="n">
        <v>2094.4</v>
      </c>
    </row>
    <row r="2481">
      <c r="A2481" s="87" t="n">
        <v>40770</v>
      </c>
      <c r="D2481" t="n">
        <v>2109.1</v>
      </c>
    </row>
    <row r="2482">
      <c r="A2482" s="87" t="n">
        <v>40777</v>
      </c>
      <c r="D2482" t="n">
        <v>2136</v>
      </c>
    </row>
    <row r="2483">
      <c r="A2483" s="87" t="n">
        <v>40784</v>
      </c>
      <c r="D2483" t="n">
        <v>2122.4</v>
      </c>
    </row>
    <row r="2484">
      <c r="A2484" s="87" t="n">
        <v>40787</v>
      </c>
      <c r="B2484" t="n">
        <v>935.6</v>
      </c>
      <c r="C2484" t="n">
        <v>4205</v>
      </c>
      <c r="E2484" t="n">
        <v>9528.299999999999</v>
      </c>
    </row>
    <row r="2485">
      <c r="A2485" s="87" t="n">
        <v>40791</v>
      </c>
      <c r="D2485" t="n">
        <v>2110.1</v>
      </c>
    </row>
    <row r="2486">
      <c r="A2486" s="87" t="n">
        <v>40798</v>
      </c>
      <c r="D2486" t="n">
        <v>2118.7</v>
      </c>
    </row>
    <row r="2487">
      <c r="A2487" s="87" t="n">
        <v>40805</v>
      </c>
      <c r="D2487" t="n">
        <v>2120.9</v>
      </c>
    </row>
    <row r="2488">
      <c r="A2488" s="87" t="n">
        <v>40812</v>
      </c>
      <c r="D2488" t="n">
        <v>2128</v>
      </c>
    </row>
    <row r="2489">
      <c r="A2489" s="87" t="n">
        <v>40817</v>
      </c>
      <c r="B2489" t="n">
        <v>938.7</v>
      </c>
      <c r="C2489" t="n">
        <v>4217</v>
      </c>
      <c r="E2489" t="n">
        <v>9562.1</v>
      </c>
      <c r="F2489" t="n">
        <v>1.648</v>
      </c>
    </row>
    <row r="2490">
      <c r="A2490" s="87" t="n">
        <v>40819</v>
      </c>
      <c r="D2490" t="n">
        <v>2176.7</v>
      </c>
    </row>
    <row r="2491">
      <c r="A2491" s="87" t="n">
        <v>40826</v>
      </c>
      <c r="D2491" t="n">
        <v>2150.8</v>
      </c>
    </row>
    <row r="2492">
      <c r="A2492" s="87" t="n">
        <v>40833</v>
      </c>
      <c r="D2492" t="n">
        <v>2128.2</v>
      </c>
    </row>
    <row r="2493">
      <c r="A2493" s="87" t="n">
        <v>40840</v>
      </c>
      <c r="D2493" t="n">
        <v>2126.6</v>
      </c>
    </row>
    <row r="2494">
      <c r="A2494" s="87" t="n">
        <v>40847</v>
      </c>
      <c r="D2494" t="n">
        <v>2136.2</v>
      </c>
    </row>
    <row r="2495">
      <c r="A2495" s="87" t="n">
        <v>40848</v>
      </c>
      <c r="B2495" t="n">
        <v>960.5</v>
      </c>
      <c r="C2495" t="n">
        <v>4231.5</v>
      </c>
      <c r="E2495" t="n">
        <v>9612.6</v>
      </c>
    </row>
    <row r="2496">
      <c r="A2496" s="87" t="n">
        <v>40854</v>
      </c>
      <c r="D2496" t="n">
        <v>2147.3</v>
      </c>
    </row>
    <row r="2497">
      <c r="A2497" s="87" t="n">
        <v>40861</v>
      </c>
      <c r="D2497" t="n">
        <v>2171.9</v>
      </c>
    </row>
    <row r="2498">
      <c r="A2498" s="87" t="n">
        <v>40868</v>
      </c>
      <c r="D2498" t="n">
        <v>2179.4</v>
      </c>
    </row>
    <row r="2499">
      <c r="A2499" s="87" t="n">
        <v>40875</v>
      </c>
      <c r="D2499" t="n">
        <v>2171.2</v>
      </c>
    </row>
    <row r="2500">
      <c r="A2500" s="87" t="n">
        <v>40878</v>
      </c>
      <c r="B2500" t="n">
        <v>953.1</v>
      </c>
      <c r="C2500" t="n">
        <v>4251.4</v>
      </c>
      <c r="E2500" t="n">
        <v>9660.1</v>
      </c>
    </row>
    <row r="2501">
      <c r="A2501" s="87" t="n">
        <v>40882</v>
      </c>
      <c r="D2501" t="n">
        <v>2158.5</v>
      </c>
    </row>
    <row r="2502">
      <c r="A2502" s="87" t="n">
        <v>40889</v>
      </c>
      <c r="D2502" t="n">
        <v>2165.7</v>
      </c>
    </row>
    <row r="2503">
      <c r="A2503" s="87" t="n">
        <v>40896</v>
      </c>
      <c r="D2503" t="n">
        <v>2149.8</v>
      </c>
    </row>
    <row r="2504">
      <c r="A2504" s="87" t="n">
        <v>40903</v>
      </c>
      <c r="D2504" t="n">
        <v>2156.3</v>
      </c>
    </row>
    <row r="2505">
      <c r="A2505" s="87" t="n">
        <v>40909</v>
      </c>
      <c r="B2505" t="n">
        <v>966.4</v>
      </c>
      <c r="C2505" t="n">
        <v>4272</v>
      </c>
      <c r="E2505" t="n">
        <v>9733.299999999999</v>
      </c>
      <c r="F2505" t="n">
        <v>1.642</v>
      </c>
    </row>
    <row r="2506">
      <c r="A2506" s="87" t="n">
        <v>40910</v>
      </c>
      <c r="D2506" t="n">
        <v>2199.2</v>
      </c>
    </row>
    <row r="2507">
      <c r="A2507" s="87" t="n">
        <v>40917</v>
      </c>
      <c r="D2507" t="n">
        <v>2199.3</v>
      </c>
    </row>
    <row r="2508">
      <c r="A2508" s="87" t="n">
        <v>40924</v>
      </c>
      <c r="D2508" t="n">
        <v>2198.1</v>
      </c>
    </row>
    <row r="2509">
      <c r="A2509" s="87" t="n">
        <v>40931</v>
      </c>
      <c r="D2509" t="n">
        <v>2207.4</v>
      </c>
    </row>
    <row r="2510">
      <c r="A2510" s="87" t="n">
        <v>40938</v>
      </c>
      <c r="D2510" t="n">
        <v>2204.3</v>
      </c>
    </row>
    <row r="2511">
      <c r="A2511" s="87" t="n">
        <v>40940</v>
      </c>
      <c r="B2511" t="n">
        <v>966.6</v>
      </c>
      <c r="C2511" t="n">
        <v>4285.8</v>
      </c>
      <c r="E2511" t="n">
        <v>9785.700000000001</v>
      </c>
    </row>
    <row r="2512">
      <c r="A2512" s="87" t="n">
        <v>40945</v>
      </c>
      <c r="D2512" t="n">
        <v>2197.3</v>
      </c>
    </row>
    <row r="2513">
      <c r="A2513" s="87" t="n">
        <v>40952</v>
      </c>
      <c r="D2513" t="n">
        <v>2211.8</v>
      </c>
    </row>
    <row r="2514">
      <c r="A2514" s="87" t="n">
        <v>40959</v>
      </c>
      <c r="D2514" t="n">
        <v>2217.4</v>
      </c>
    </row>
    <row r="2515">
      <c r="A2515" s="87" t="n">
        <v>40966</v>
      </c>
      <c r="D2515" t="n">
        <v>2210.4</v>
      </c>
    </row>
    <row r="2516">
      <c r="A2516" s="87" t="n">
        <v>40969</v>
      </c>
      <c r="B2516" t="n">
        <v>973.7</v>
      </c>
      <c r="C2516" t="n">
        <v>4296.5</v>
      </c>
      <c r="E2516" t="n">
        <v>9830.6</v>
      </c>
    </row>
    <row r="2517">
      <c r="A2517" s="87" t="n">
        <v>40973</v>
      </c>
      <c r="D2517" t="n">
        <v>2213.7</v>
      </c>
    </row>
    <row r="2518">
      <c r="A2518" s="87" t="n">
        <v>40980</v>
      </c>
      <c r="D2518" t="n">
        <v>2228.9</v>
      </c>
    </row>
    <row r="2519">
      <c r="A2519" s="87" t="n">
        <v>40987</v>
      </c>
      <c r="D2519" t="n">
        <v>2227.9</v>
      </c>
    </row>
    <row r="2520">
      <c r="A2520" s="87" t="n">
        <v>40994</v>
      </c>
      <c r="D2520" t="n">
        <v>2227.2</v>
      </c>
    </row>
    <row r="2521">
      <c r="A2521" s="87" t="n">
        <v>41000</v>
      </c>
      <c r="B2521" t="n">
        <v>976.2</v>
      </c>
      <c r="C2521" t="n">
        <v>4312.9</v>
      </c>
      <c r="E2521" t="n">
        <v>9884.6</v>
      </c>
      <c r="F2521" t="n">
        <v>1.631</v>
      </c>
    </row>
    <row r="2522">
      <c r="A2522" s="87" t="n">
        <v>41001</v>
      </c>
      <c r="D2522" t="n">
        <v>2247.1</v>
      </c>
    </row>
    <row r="2523">
      <c r="A2523" s="87" t="n">
        <v>41008</v>
      </c>
      <c r="D2523" t="n">
        <v>2249.9</v>
      </c>
    </row>
    <row r="2524">
      <c r="A2524" s="87" t="n">
        <v>41015</v>
      </c>
      <c r="D2524" t="n">
        <v>2241.8</v>
      </c>
    </row>
    <row r="2525">
      <c r="A2525" s="87" t="n">
        <v>41022</v>
      </c>
      <c r="D2525" t="n">
        <v>2247.4</v>
      </c>
    </row>
    <row r="2526">
      <c r="A2526" s="87" t="n">
        <v>41029</v>
      </c>
      <c r="D2526" t="n">
        <v>2253.5</v>
      </c>
    </row>
    <row r="2527">
      <c r="A2527" s="87" t="n">
        <v>41030</v>
      </c>
      <c r="B2527" t="n">
        <v>986.5</v>
      </c>
      <c r="C2527" t="n">
        <v>4341</v>
      </c>
      <c r="E2527" t="n">
        <v>9928.4</v>
      </c>
    </row>
    <row r="2528">
      <c r="A2528" s="87" t="n">
        <v>41036</v>
      </c>
      <c r="D2528" t="n">
        <v>2241.3</v>
      </c>
    </row>
    <row r="2529">
      <c r="A2529" s="87" t="n">
        <v>41043</v>
      </c>
      <c r="D2529" t="n">
        <v>2267.3</v>
      </c>
    </row>
    <row r="2530">
      <c r="A2530" s="87" t="n">
        <v>41050</v>
      </c>
      <c r="D2530" t="n">
        <v>2261.9</v>
      </c>
    </row>
    <row r="2531">
      <c r="A2531" s="87" t="n">
        <v>41057</v>
      </c>
      <c r="D2531" t="n">
        <v>2256.6</v>
      </c>
    </row>
    <row r="2532">
      <c r="A2532" s="87" t="n">
        <v>41061</v>
      </c>
      <c r="B2532" t="n">
        <v>995.7</v>
      </c>
      <c r="C2532" t="n">
        <v>4375.6</v>
      </c>
      <c r="E2532" t="n">
        <v>9999.299999999999</v>
      </c>
    </row>
    <row r="2533">
      <c r="A2533" s="87" t="n">
        <v>41064</v>
      </c>
      <c r="D2533" t="n">
        <v>2255.2</v>
      </c>
    </row>
    <row r="2534">
      <c r="A2534" s="87" t="n">
        <v>41071</v>
      </c>
      <c r="D2534" t="n">
        <v>2290.5</v>
      </c>
    </row>
    <row r="2535">
      <c r="A2535" s="87" t="n">
        <v>41078</v>
      </c>
      <c r="D2535" t="n">
        <v>2274.6</v>
      </c>
    </row>
    <row r="2536">
      <c r="A2536" s="87" t="n">
        <v>41085</v>
      </c>
      <c r="D2536" t="n">
        <v>2272.9</v>
      </c>
    </row>
    <row r="2537">
      <c r="A2537" s="87" t="n">
        <v>41091</v>
      </c>
      <c r="B2537" t="n">
        <v>1012.7</v>
      </c>
      <c r="C2537" t="n">
        <v>4397.3</v>
      </c>
      <c r="E2537" t="n">
        <v>10051.8</v>
      </c>
      <c r="F2537" t="n">
        <v>1.612</v>
      </c>
    </row>
    <row r="2538">
      <c r="A2538" s="87" t="n">
        <v>41092</v>
      </c>
      <c r="D2538" t="n">
        <v>2284.4</v>
      </c>
    </row>
    <row r="2539">
      <c r="A2539" s="87" t="n">
        <v>41099</v>
      </c>
      <c r="D2539" t="n">
        <v>2337.5</v>
      </c>
    </row>
    <row r="2540">
      <c r="A2540" s="87" t="n">
        <v>41106</v>
      </c>
      <c r="D2540" t="n">
        <v>2316.2</v>
      </c>
    </row>
    <row r="2541">
      <c r="A2541" s="87" t="n">
        <v>41113</v>
      </c>
      <c r="D2541" t="n">
        <v>2317.7</v>
      </c>
    </row>
    <row r="2542">
      <c r="A2542" s="87" t="n">
        <v>41120</v>
      </c>
      <c r="D2542" t="n">
        <v>2311.7</v>
      </c>
    </row>
    <row r="2543">
      <c r="A2543" s="87" t="n">
        <v>41122</v>
      </c>
      <c r="B2543" t="n">
        <v>1023.9</v>
      </c>
      <c r="C2543" t="n">
        <v>4402.1</v>
      </c>
      <c r="E2543" t="n">
        <v>10121.3</v>
      </c>
    </row>
    <row r="2544">
      <c r="A2544" s="87" t="n">
        <v>41127</v>
      </c>
      <c r="D2544" t="n">
        <v>2310.6</v>
      </c>
    </row>
    <row r="2545">
      <c r="A2545" s="87" t="n">
        <v>41134</v>
      </c>
      <c r="D2545" t="n">
        <v>2350</v>
      </c>
    </row>
    <row r="2546">
      <c r="A2546" s="87" t="n">
        <v>41141</v>
      </c>
      <c r="D2546" t="n">
        <v>2341.8</v>
      </c>
    </row>
    <row r="2547">
      <c r="A2547" s="87" t="n">
        <v>41148</v>
      </c>
      <c r="D2547" t="n">
        <v>2346.2</v>
      </c>
    </row>
    <row r="2548">
      <c r="A2548" s="87" t="n">
        <v>41153</v>
      </c>
      <c r="B2548" t="n">
        <v>1033.1</v>
      </c>
      <c r="C2548" t="n">
        <v>4415.6</v>
      </c>
      <c r="E2548" t="n">
        <v>10200.8</v>
      </c>
    </row>
    <row r="2549">
      <c r="A2549" s="87" t="n">
        <v>41155</v>
      </c>
      <c r="D2549" t="n">
        <v>2420.7</v>
      </c>
    </row>
    <row r="2550">
      <c r="A2550" s="87" t="n">
        <v>41162</v>
      </c>
      <c r="D2550" t="n">
        <v>2405.4</v>
      </c>
    </row>
    <row r="2551">
      <c r="A2551" s="87" t="n">
        <v>41169</v>
      </c>
      <c r="D2551" t="n">
        <v>2379.6</v>
      </c>
    </row>
    <row r="2552">
      <c r="A2552" s="87" t="n">
        <v>41176</v>
      </c>
      <c r="D2552" t="n">
        <v>2378.6</v>
      </c>
    </row>
    <row r="2553">
      <c r="A2553" s="87" t="n">
        <v>41183</v>
      </c>
      <c r="B2553" t="n">
        <v>1044.8</v>
      </c>
      <c r="C2553" t="n">
        <v>4432.5</v>
      </c>
      <c r="D2553" t="n">
        <v>2382.4</v>
      </c>
      <c r="E2553" t="n">
        <v>10267.3</v>
      </c>
      <c r="F2553" t="n">
        <v>1.586</v>
      </c>
    </row>
    <row r="2554">
      <c r="A2554" s="87" t="n">
        <v>41190</v>
      </c>
      <c r="D2554" t="n">
        <v>2422.4</v>
      </c>
    </row>
    <row r="2555">
      <c r="A2555" s="87" t="n">
        <v>41197</v>
      </c>
      <c r="D2555" t="n">
        <v>2422.2</v>
      </c>
    </row>
    <row r="2556">
      <c r="A2556" s="87" t="n">
        <v>41204</v>
      </c>
      <c r="D2556" t="n">
        <v>2417.1</v>
      </c>
    </row>
    <row r="2557">
      <c r="A2557" s="87" t="n">
        <v>41211</v>
      </c>
      <c r="D2557" t="n">
        <v>2429.4</v>
      </c>
    </row>
    <row r="2558">
      <c r="A2558" s="87" t="n">
        <v>41214</v>
      </c>
      <c r="B2558" t="n">
        <v>1055.7</v>
      </c>
      <c r="C2558" t="n">
        <v>4470.3</v>
      </c>
      <c r="E2558" t="n">
        <v>10337.6</v>
      </c>
    </row>
    <row r="2559">
      <c r="A2559" s="87" t="n">
        <v>41218</v>
      </c>
      <c r="D2559" t="n">
        <v>2430.2</v>
      </c>
    </row>
    <row r="2560">
      <c r="A2560" s="87" t="n">
        <v>41225</v>
      </c>
      <c r="D2560" t="n">
        <v>2414.8</v>
      </c>
    </row>
    <row r="2561">
      <c r="A2561" s="87" t="n">
        <v>41232</v>
      </c>
      <c r="D2561" t="n">
        <v>2420.5</v>
      </c>
    </row>
    <row r="2562">
      <c r="A2562" s="87" t="n">
        <v>41239</v>
      </c>
      <c r="D2562" t="n">
        <v>2405.2</v>
      </c>
    </row>
    <row r="2563">
      <c r="A2563" s="87" t="n">
        <v>41244</v>
      </c>
      <c r="B2563" t="n">
        <v>1064.2</v>
      </c>
      <c r="C2563" t="n">
        <v>4523.7</v>
      </c>
      <c r="E2563" t="n">
        <v>10459.7</v>
      </c>
    </row>
    <row r="2564">
      <c r="A2564" s="87" t="n">
        <v>41246</v>
      </c>
      <c r="D2564" t="n">
        <v>2467.5</v>
      </c>
    </row>
    <row r="2565">
      <c r="A2565" s="87" t="n">
        <v>41253</v>
      </c>
      <c r="D2565" t="n">
        <v>2469.3</v>
      </c>
    </row>
    <row r="2566">
      <c r="A2566" s="87" t="n">
        <v>41260</v>
      </c>
      <c r="D2566" t="n">
        <v>2438.6</v>
      </c>
    </row>
    <row r="2567">
      <c r="A2567" s="87" t="n">
        <v>41267</v>
      </c>
      <c r="D2567" t="n">
        <v>2474.4</v>
      </c>
    </row>
    <row r="2568">
      <c r="A2568" s="87" t="n">
        <v>41274</v>
      </c>
      <c r="D2568" t="n">
        <v>2459.7</v>
      </c>
    </row>
    <row r="2569">
      <c r="A2569" s="87" t="n">
        <v>41275</v>
      </c>
      <c r="B2569" t="n">
        <v>1069</v>
      </c>
      <c r="C2569" t="n">
        <v>4524.8</v>
      </c>
      <c r="E2569" t="n">
        <v>10482.9</v>
      </c>
      <c r="F2569" t="n">
        <v>1.582</v>
      </c>
    </row>
    <row r="2570">
      <c r="A2570" s="87" t="n">
        <v>41281</v>
      </c>
      <c r="D2570" t="n">
        <v>2459.6</v>
      </c>
    </row>
    <row r="2571">
      <c r="A2571" s="87" t="n">
        <v>41288</v>
      </c>
      <c r="D2571" t="n">
        <v>2480.1</v>
      </c>
    </row>
    <row r="2572">
      <c r="A2572" s="87" t="n">
        <v>41295</v>
      </c>
      <c r="D2572" t="n">
        <v>2488.5</v>
      </c>
    </row>
    <row r="2573">
      <c r="A2573" s="87" t="n">
        <v>41302</v>
      </c>
      <c r="D2573" t="n">
        <v>2465.2</v>
      </c>
    </row>
    <row r="2574">
      <c r="A2574" s="87" t="n">
        <v>41306</v>
      </c>
      <c r="B2574" t="n">
        <v>1059.9</v>
      </c>
      <c r="C2574" t="n">
        <v>4508.2</v>
      </c>
      <c r="E2574" t="n">
        <v>10501.3</v>
      </c>
    </row>
    <row r="2575">
      <c r="A2575" s="87" t="n">
        <v>41309</v>
      </c>
      <c r="D2575" t="n">
        <v>2474</v>
      </c>
    </row>
    <row r="2576">
      <c r="A2576" s="87" t="n">
        <v>41316</v>
      </c>
      <c r="D2576" t="n">
        <v>2484.3</v>
      </c>
    </row>
    <row r="2577">
      <c r="A2577" s="87" t="n">
        <v>41323</v>
      </c>
      <c r="D2577" t="n">
        <v>2469.4</v>
      </c>
    </row>
    <row r="2578">
      <c r="A2578" s="87" t="n">
        <v>41330</v>
      </c>
      <c r="D2578" t="n">
        <v>2465.9</v>
      </c>
    </row>
    <row r="2579">
      <c r="A2579" s="87" t="n">
        <v>41334</v>
      </c>
      <c r="B2579" t="n">
        <v>1066.1</v>
      </c>
      <c r="C2579" t="n">
        <v>4545.5</v>
      </c>
      <c r="E2579" t="n">
        <v>10558.3</v>
      </c>
    </row>
    <row r="2580">
      <c r="A2580" s="87" t="n">
        <v>41337</v>
      </c>
      <c r="D2580" t="n">
        <v>2461.8</v>
      </c>
    </row>
    <row r="2581">
      <c r="A2581" s="87" t="n">
        <v>41344</v>
      </c>
      <c r="D2581" t="n">
        <v>2468.3</v>
      </c>
    </row>
    <row r="2582">
      <c r="A2582" s="87" t="n">
        <v>41351</v>
      </c>
      <c r="D2582" t="n">
        <v>2466.8</v>
      </c>
    </row>
    <row r="2583">
      <c r="A2583" s="87" t="n">
        <v>41358</v>
      </c>
      <c r="D2583" t="n">
        <v>2488.8</v>
      </c>
    </row>
    <row r="2584">
      <c r="A2584" s="87" t="n">
        <v>41365</v>
      </c>
      <c r="B2584" t="n">
        <v>1080.6</v>
      </c>
      <c r="C2584" t="n">
        <v>4567.1</v>
      </c>
      <c r="D2584" t="n">
        <v>2511.8</v>
      </c>
      <c r="E2584" t="n">
        <v>10586.3</v>
      </c>
      <c r="F2584" t="n">
        <v>1.571</v>
      </c>
    </row>
    <row r="2585">
      <c r="A2585" s="87" t="n">
        <v>41372</v>
      </c>
      <c r="D2585" t="n">
        <v>2486.3</v>
      </c>
    </row>
    <row r="2586">
      <c r="A2586" s="87" t="n">
        <v>41379</v>
      </c>
      <c r="D2586" t="n">
        <v>2514.6</v>
      </c>
    </row>
    <row r="2587">
      <c r="A2587" s="87" t="n">
        <v>41386</v>
      </c>
      <c r="D2587" t="n">
        <v>2527.4</v>
      </c>
    </row>
    <row r="2588">
      <c r="A2588" s="87" t="n">
        <v>41393</v>
      </c>
      <c r="D2588" t="n">
        <v>2534.5</v>
      </c>
    </row>
    <row r="2589">
      <c r="A2589" s="87" t="n">
        <v>41395</v>
      </c>
      <c r="B2589" t="n">
        <v>1088.2</v>
      </c>
      <c r="C2589" t="n">
        <v>4580.1</v>
      </c>
      <c r="E2589" t="n">
        <v>10621</v>
      </c>
    </row>
    <row r="2590">
      <c r="A2590" s="87" t="n">
        <v>41400</v>
      </c>
      <c r="D2590" t="n">
        <v>2501.5</v>
      </c>
    </row>
    <row r="2591">
      <c r="A2591" s="87" t="n">
        <v>41407</v>
      </c>
      <c r="D2591" t="n">
        <v>2523.3</v>
      </c>
    </row>
    <row r="2592">
      <c r="A2592" s="87" t="n">
        <v>41414</v>
      </c>
      <c r="D2592" t="n">
        <v>2524.1</v>
      </c>
    </row>
    <row r="2593">
      <c r="A2593" s="87" t="n">
        <v>41421</v>
      </c>
      <c r="D2593" t="n">
        <v>2535.9</v>
      </c>
    </row>
    <row r="2594">
      <c r="A2594" s="87" t="n">
        <v>41426</v>
      </c>
      <c r="B2594" t="n">
        <v>1084.6</v>
      </c>
      <c r="C2594" t="n">
        <v>4594.1</v>
      </c>
      <c r="E2594" t="n">
        <v>10678.7</v>
      </c>
    </row>
    <row r="2595">
      <c r="A2595" s="87" t="n">
        <v>41428</v>
      </c>
      <c r="D2595" t="n">
        <v>2585.8</v>
      </c>
    </row>
    <row r="2596">
      <c r="A2596" s="87" t="n">
        <v>41435</v>
      </c>
      <c r="D2596" t="n">
        <v>2538.9</v>
      </c>
    </row>
    <row r="2597">
      <c r="A2597" s="87" t="n">
        <v>41442</v>
      </c>
      <c r="D2597" t="n">
        <v>2513.2</v>
      </c>
    </row>
    <row r="2598">
      <c r="A2598" s="87" t="n">
        <v>41449</v>
      </c>
      <c r="D2598" t="n">
        <v>2522.4</v>
      </c>
    </row>
    <row r="2599">
      <c r="A2599" s="87" t="n">
        <v>41456</v>
      </c>
      <c r="B2599" t="n">
        <v>1091.6</v>
      </c>
      <c r="C2599" t="n">
        <v>4602.1</v>
      </c>
      <c r="D2599" t="n">
        <v>2526.6</v>
      </c>
      <c r="E2599" t="n">
        <v>10718.4</v>
      </c>
      <c r="F2599" t="n">
        <v>1.569</v>
      </c>
    </row>
    <row r="2600">
      <c r="A2600" s="87" t="n">
        <v>41463</v>
      </c>
      <c r="D2600" t="n">
        <v>2526.9</v>
      </c>
    </row>
    <row r="2601">
      <c r="A2601" s="87" t="n">
        <v>41470</v>
      </c>
      <c r="D2601" t="n">
        <v>2544</v>
      </c>
    </row>
    <row r="2602">
      <c r="A2602" s="87" t="n">
        <v>41477</v>
      </c>
      <c r="D2602" t="n">
        <v>2565.6</v>
      </c>
    </row>
    <row r="2603">
      <c r="A2603" s="87" t="n">
        <v>41484</v>
      </c>
      <c r="D2603" t="n">
        <v>2552.2</v>
      </c>
    </row>
    <row r="2604">
      <c r="A2604" s="87" t="n">
        <v>41487</v>
      </c>
      <c r="B2604" t="n">
        <v>1092.8</v>
      </c>
      <c r="C2604" t="n">
        <v>4616.1</v>
      </c>
      <c r="E2604" t="n">
        <v>10776.6</v>
      </c>
    </row>
    <row r="2605">
      <c r="A2605" s="87" t="n">
        <v>41491</v>
      </c>
      <c r="D2605" t="n">
        <v>2533.6</v>
      </c>
    </row>
    <row r="2606">
      <c r="A2606" s="87" t="n">
        <v>41498</v>
      </c>
      <c r="D2606" t="n">
        <v>2545.5</v>
      </c>
    </row>
    <row r="2607">
      <c r="A2607" s="87" t="n">
        <v>41505</v>
      </c>
      <c r="D2607" t="n">
        <v>2537.8</v>
      </c>
    </row>
    <row r="2608">
      <c r="A2608" s="87" t="n">
        <v>41512</v>
      </c>
      <c r="D2608" t="n">
        <v>2562.8</v>
      </c>
    </row>
    <row r="2609">
      <c r="A2609" s="87" t="n">
        <v>41518</v>
      </c>
      <c r="B2609" t="n">
        <v>1107.1</v>
      </c>
      <c r="C2609" t="n">
        <v>4640.3</v>
      </c>
      <c r="E2609" t="n">
        <v>10837.2</v>
      </c>
    </row>
    <row r="2610">
      <c r="A2610" s="87" t="n">
        <v>41519</v>
      </c>
      <c r="D2610" t="n">
        <v>2585.5</v>
      </c>
    </row>
    <row r="2611">
      <c r="A2611" s="87" t="n">
        <v>41526</v>
      </c>
      <c r="D2611" t="n">
        <v>2581.2</v>
      </c>
    </row>
    <row r="2612">
      <c r="A2612" s="87" t="n">
        <v>41533</v>
      </c>
      <c r="D2612" t="n">
        <v>2572.1</v>
      </c>
    </row>
    <row r="2613">
      <c r="A2613" s="87" t="n">
        <v>41540</v>
      </c>
      <c r="D2613" t="n">
        <v>2590.7</v>
      </c>
    </row>
    <row r="2614">
      <c r="A2614" s="87" t="n">
        <v>41547</v>
      </c>
      <c r="D2614" t="n">
        <v>2589.9</v>
      </c>
    </row>
    <row r="2615">
      <c r="A2615" s="87" t="n">
        <v>41548</v>
      </c>
      <c r="B2615" t="n">
        <v>1126</v>
      </c>
      <c r="C2615" t="n">
        <v>4691.1</v>
      </c>
      <c r="E2615" t="n">
        <v>10961.6</v>
      </c>
      <c r="F2615" t="n">
        <v>1.559</v>
      </c>
    </row>
    <row r="2616">
      <c r="A2616" s="87" t="n">
        <v>41554</v>
      </c>
      <c r="D2616" t="n">
        <v>2568.8</v>
      </c>
    </row>
    <row r="2617">
      <c r="A2617" s="87" t="n">
        <v>41561</v>
      </c>
      <c r="D2617" t="n">
        <v>2641.1</v>
      </c>
    </row>
    <row r="2618">
      <c r="A2618" s="87" t="n">
        <v>41568</v>
      </c>
      <c r="D2618" t="n">
        <v>2662.6</v>
      </c>
    </row>
    <row r="2619">
      <c r="A2619" s="87" t="n">
        <v>41575</v>
      </c>
      <c r="D2619" t="n">
        <v>2625.4</v>
      </c>
    </row>
    <row r="2620">
      <c r="A2620" s="87" t="n">
        <v>41579</v>
      </c>
      <c r="B2620" t="n">
        <v>1127.2</v>
      </c>
      <c r="C2620" t="n">
        <v>4685.9</v>
      </c>
      <c r="E2620" t="n">
        <v>10969.7</v>
      </c>
    </row>
    <row r="2621">
      <c r="A2621" s="87" t="n">
        <v>41582</v>
      </c>
      <c r="D2621" t="n">
        <v>2604.8</v>
      </c>
    </row>
    <row r="2622">
      <c r="A2622" s="87" t="n">
        <v>41589</v>
      </c>
      <c r="D2622" t="n">
        <v>2615</v>
      </c>
    </row>
    <row r="2623">
      <c r="A2623" s="87" t="n">
        <v>41596</v>
      </c>
      <c r="D2623" t="n">
        <v>2622.8</v>
      </c>
    </row>
    <row r="2624">
      <c r="A2624" s="87" t="n">
        <v>41603</v>
      </c>
      <c r="D2624" t="n">
        <v>2627.9</v>
      </c>
    </row>
    <row r="2625">
      <c r="A2625" s="87" t="n">
        <v>41609</v>
      </c>
      <c r="B2625" t="n">
        <v>1139.3</v>
      </c>
      <c r="C2625" t="n">
        <v>4701.4</v>
      </c>
      <c r="E2625" t="n">
        <v>11035</v>
      </c>
    </row>
    <row r="2626">
      <c r="A2626" s="87" t="n">
        <v>41610</v>
      </c>
      <c r="D2626" t="n">
        <v>2654.5</v>
      </c>
    </row>
    <row r="2627">
      <c r="A2627" s="87" t="n">
        <v>41617</v>
      </c>
      <c r="D2627" t="n">
        <v>2672.8</v>
      </c>
    </row>
    <row r="2628">
      <c r="A2628" s="87" t="n">
        <v>41624</v>
      </c>
      <c r="D2628" t="n">
        <v>2656.2</v>
      </c>
    </row>
    <row r="2629">
      <c r="A2629" s="87" t="n">
        <v>41631</v>
      </c>
      <c r="D2629" t="n">
        <v>2682.7</v>
      </c>
    </row>
    <row r="2630">
      <c r="A2630" s="87" t="n">
        <v>41638</v>
      </c>
      <c r="D2630" t="n">
        <v>2648.4</v>
      </c>
    </row>
    <row r="2631">
      <c r="A2631" s="87" t="n">
        <v>41640</v>
      </c>
      <c r="B2631" t="n">
        <v>1146.6</v>
      </c>
      <c r="C2631" t="n">
        <v>4709.5</v>
      </c>
      <c r="E2631" t="n">
        <v>11080.8</v>
      </c>
      <c r="F2631" t="n">
        <v>1.537</v>
      </c>
    </row>
    <row r="2632">
      <c r="A2632" s="87" t="n">
        <v>41645</v>
      </c>
      <c r="D2632" t="n">
        <v>2668.2</v>
      </c>
    </row>
    <row r="2633">
      <c r="A2633" s="87" t="n">
        <v>41652</v>
      </c>
      <c r="D2633" t="n">
        <v>2673.9</v>
      </c>
    </row>
    <row r="2634">
      <c r="A2634" s="87" t="n">
        <v>41659</v>
      </c>
      <c r="D2634" t="n">
        <v>2704.5</v>
      </c>
    </row>
    <row r="2635">
      <c r="A2635" s="87" t="n">
        <v>41666</v>
      </c>
      <c r="D2635" t="n">
        <v>2694.1</v>
      </c>
    </row>
    <row r="2636">
      <c r="A2636" s="87" t="n">
        <v>41671</v>
      </c>
      <c r="B2636" t="n">
        <v>1156.5</v>
      </c>
      <c r="C2636" t="n">
        <v>4745.9</v>
      </c>
      <c r="E2636" t="n">
        <v>11178.8</v>
      </c>
    </row>
    <row r="2637">
      <c r="A2637" s="87" t="n">
        <v>41673</v>
      </c>
      <c r="D2637" t="n">
        <v>2766.9</v>
      </c>
    </row>
    <row r="2638">
      <c r="A2638" s="87" t="n">
        <v>41680</v>
      </c>
      <c r="D2638" t="n">
        <v>2719.4</v>
      </c>
    </row>
    <row r="2639">
      <c r="A2639" s="87" t="n">
        <v>41687</v>
      </c>
      <c r="D2639" t="n">
        <v>2711.3</v>
      </c>
    </row>
    <row r="2640">
      <c r="A2640" s="87" t="n">
        <v>41694</v>
      </c>
      <c r="D2640" t="n">
        <v>2707.1</v>
      </c>
    </row>
    <row r="2641">
      <c r="A2641" s="87" t="n">
        <v>41699</v>
      </c>
      <c r="B2641" t="n">
        <v>1165.1</v>
      </c>
      <c r="C2641" t="n">
        <v>4748.6</v>
      </c>
      <c r="E2641" t="n">
        <v>11208.1</v>
      </c>
    </row>
    <row r="2642">
      <c r="A2642" s="87" t="n">
        <v>41701</v>
      </c>
      <c r="D2642" t="n">
        <v>2764.5</v>
      </c>
    </row>
    <row r="2643">
      <c r="A2643" s="87" t="n">
        <v>41708</v>
      </c>
      <c r="D2643" t="n">
        <v>2762.5</v>
      </c>
    </row>
    <row r="2644">
      <c r="A2644" s="87" t="n">
        <v>41715</v>
      </c>
      <c r="D2644" t="n">
        <v>2740.1</v>
      </c>
    </row>
    <row r="2645">
      <c r="A2645" s="87" t="n">
        <v>41722</v>
      </c>
      <c r="D2645" t="n">
        <v>2749.5</v>
      </c>
    </row>
    <row r="2646">
      <c r="A2646" s="87" t="n">
        <v>41729</v>
      </c>
      <c r="D2646" t="n">
        <v>2762.3</v>
      </c>
    </row>
    <row r="2647">
      <c r="A2647" s="87" t="n">
        <v>41730</v>
      </c>
      <c r="B2647" t="n">
        <v>1171.6</v>
      </c>
      <c r="C2647" t="n">
        <v>4760.8</v>
      </c>
      <c r="E2647" t="n">
        <v>11257.7</v>
      </c>
      <c r="F2647" t="n">
        <v>1.543</v>
      </c>
    </row>
    <row r="2648">
      <c r="A2648" s="87" t="n">
        <v>41736</v>
      </c>
      <c r="D2648" t="n">
        <v>2739.3</v>
      </c>
    </row>
    <row r="2649">
      <c r="A2649" s="87" t="n">
        <v>41743</v>
      </c>
      <c r="D2649" t="n">
        <v>2790</v>
      </c>
    </row>
    <row r="2650">
      <c r="A2650" s="87" t="n">
        <v>41750</v>
      </c>
      <c r="D2650" t="n">
        <v>2789.5</v>
      </c>
    </row>
    <row r="2651">
      <c r="A2651" s="87" t="n">
        <v>41757</v>
      </c>
      <c r="D2651" t="n">
        <v>2793.1</v>
      </c>
    </row>
    <row r="2652">
      <c r="A2652" s="87" t="n">
        <v>41760</v>
      </c>
      <c r="B2652" t="n">
        <v>1176.4</v>
      </c>
      <c r="C2652" t="n">
        <v>4778.4</v>
      </c>
      <c r="E2652" t="n">
        <v>11321</v>
      </c>
    </row>
    <row r="2653">
      <c r="A2653" s="87" t="n">
        <v>41764</v>
      </c>
      <c r="D2653" t="n">
        <v>2783.9</v>
      </c>
    </row>
    <row r="2654">
      <c r="A2654" s="87" t="n">
        <v>41771</v>
      </c>
      <c r="D2654" t="n">
        <v>2798.8</v>
      </c>
    </row>
    <row r="2655">
      <c r="A2655" s="87" t="n">
        <v>41778</v>
      </c>
      <c r="D2655" t="n">
        <v>2782.3</v>
      </c>
    </row>
    <row r="2656">
      <c r="A2656" s="87" t="n">
        <v>41785</v>
      </c>
      <c r="D2656" t="n">
        <v>2792.3</v>
      </c>
    </row>
    <row r="2657">
      <c r="A2657" s="87" t="n">
        <v>41791</v>
      </c>
      <c r="B2657" t="n">
        <v>1189.5</v>
      </c>
      <c r="C2657" t="n">
        <v>4794.9</v>
      </c>
      <c r="E2657" t="n">
        <v>11374.9</v>
      </c>
    </row>
    <row r="2658">
      <c r="A2658" s="87" t="n">
        <v>41792</v>
      </c>
      <c r="D2658" t="n">
        <v>2820.5</v>
      </c>
    </row>
    <row r="2659">
      <c r="A2659" s="87" t="n">
        <v>41799</v>
      </c>
      <c r="D2659" t="n">
        <v>2831.3</v>
      </c>
    </row>
    <row r="2660">
      <c r="A2660" s="87" t="n">
        <v>41806</v>
      </c>
      <c r="D2660" t="n">
        <v>2825.5</v>
      </c>
    </row>
    <row r="2661">
      <c r="A2661" s="87" t="n">
        <v>41813</v>
      </c>
      <c r="D2661" t="n">
        <v>2829.2</v>
      </c>
    </row>
    <row r="2662">
      <c r="A2662" s="87" t="n">
        <v>41820</v>
      </c>
      <c r="D2662" t="n">
        <v>2834.5</v>
      </c>
    </row>
    <row r="2663">
      <c r="A2663" s="87" t="n">
        <v>41821</v>
      </c>
      <c r="B2663" t="n">
        <v>1196.4</v>
      </c>
      <c r="C2663" t="n">
        <v>4812.6</v>
      </c>
      <c r="E2663" t="n">
        <v>11429.9</v>
      </c>
      <c r="F2663" t="n">
        <v>1.548</v>
      </c>
    </row>
    <row r="2664">
      <c r="A2664" s="87" t="n">
        <v>41827</v>
      </c>
      <c r="D2664" t="n">
        <v>2812.5</v>
      </c>
    </row>
    <row r="2665">
      <c r="A2665" s="87" t="n">
        <v>41834</v>
      </c>
      <c r="D2665" t="n">
        <v>2853.2</v>
      </c>
    </row>
    <row r="2666">
      <c r="A2666" s="87" t="n">
        <v>41841</v>
      </c>
      <c r="D2666" t="n">
        <v>2860.9</v>
      </c>
    </row>
    <row r="2667">
      <c r="A2667" s="87" t="n">
        <v>41848</v>
      </c>
      <c r="D2667" t="n">
        <v>2841.4</v>
      </c>
    </row>
    <row r="2668">
      <c r="A2668" s="87" t="n">
        <v>41852</v>
      </c>
      <c r="B2668" t="n">
        <v>1179.7</v>
      </c>
      <c r="C2668" t="n">
        <v>4825.6</v>
      </c>
      <c r="E2668" t="n">
        <v>11458.9</v>
      </c>
    </row>
    <row r="2669">
      <c r="A2669" s="87" t="n">
        <v>41855</v>
      </c>
      <c r="D2669" t="n">
        <v>2841.9</v>
      </c>
    </row>
    <row r="2670">
      <c r="A2670" s="87" t="n">
        <v>41862</v>
      </c>
      <c r="D2670" t="n">
        <v>2807.8</v>
      </c>
    </row>
    <row r="2671">
      <c r="A2671" s="87" t="n">
        <v>41869</v>
      </c>
      <c r="D2671" t="n">
        <v>2781.3</v>
      </c>
    </row>
    <row r="2672">
      <c r="A2672" s="87" t="n">
        <v>41876</v>
      </c>
      <c r="D2672" t="n">
        <v>2794.1</v>
      </c>
    </row>
    <row r="2673">
      <c r="A2673" s="87" t="n">
        <v>41883</v>
      </c>
      <c r="B2673" t="n">
        <v>1206.9</v>
      </c>
      <c r="C2673" t="n">
        <v>4842.5</v>
      </c>
      <c r="D2673" t="n">
        <v>2809.6</v>
      </c>
      <c r="E2673" t="n">
        <v>11499.8</v>
      </c>
    </row>
    <row r="2674">
      <c r="A2674" s="87" t="n">
        <v>41890</v>
      </c>
      <c r="D2674" t="n">
        <v>2841</v>
      </c>
    </row>
    <row r="2675">
      <c r="A2675" s="87" t="n">
        <v>41897</v>
      </c>
      <c r="D2675" t="n">
        <v>2870.6</v>
      </c>
    </row>
    <row r="2676">
      <c r="A2676" s="87" t="n">
        <v>41904</v>
      </c>
      <c r="D2676" t="n">
        <v>2873</v>
      </c>
    </row>
    <row r="2677">
      <c r="A2677" s="87" t="n">
        <v>41911</v>
      </c>
      <c r="D2677" t="n">
        <v>2874</v>
      </c>
    </row>
    <row r="2678">
      <c r="A2678" s="87" t="n">
        <v>41913</v>
      </c>
      <c r="B2678" t="n">
        <v>1211.7</v>
      </c>
      <c r="C2678" t="n">
        <v>4871.3</v>
      </c>
      <c r="E2678" t="n">
        <v>11566</v>
      </c>
      <c r="F2678" t="n">
        <v>1.537</v>
      </c>
    </row>
    <row r="2679">
      <c r="A2679" s="87" t="n">
        <v>41918</v>
      </c>
      <c r="D2679" t="n">
        <v>2851.7</v>
      </c>
    </row>
    <row r="2680">
      <c r="A2680" s="87" t="n">
        <v>41925</v>
      </c>
      <c r="D2680" t="n">
        <v>2857.2</v>
      </c>
    </row>
    <row r="2681">
      <c r="A2681" s="87" t="n">
        <v>41932</v>
      </c>
      <c r="D2681" t="n">
        <v>2862.6</v>
      </c>
    </row>
    <row r="2682">
      <c r="A2682" s="87" t="n">
        <v>41939</v>
      </c>
      <c r="D2682" t="n">
        <v>2869.6</v>
      </c>
    </row>
    <row r="2683">
      <c r="A2683" s="87" t="n">
        <v>41944</v>
      </c>
      <c r="B2683" t="n">
        <v>1220.6</v>
      </c>
      <c r="C2683" t="n">
        <v>4896.9</v>
      </c>
      <c r="E2683" t="n">
        <v>11604.8</v>
      </c>
    </row>
    <row r="2684">
      <c r="A2684" s="87" t="n">
        <v>41946</v>
      </c>
      <c r="D2684" t="n">
        <v>2919.6</v>
      </c>
    </row>
    <row r="2685">
      <c r="A2685" s="87" t="n">
        <v>41953</v>
      </c>
      <c r="D2685" t="n">
        <v>2891.6</v>
      </c>
    </row>
    <row r="2686">
      <c r="A2686" s="87" t="n">
        <v>41960</v>
      </c>
      <c r="D2686" t="n">
        <v>2871.4</v>
      </c>
    </row>
    <row r="2687">
      <c r="A2687" s="87" t="n">
        <v>41967</v>
      </c>
      <c r="D2687" t="n">
        <v>2880.7</v>
      </c>
    </row>
    <row r="2688">
      <c r="A2688" s="87" t="n">
        <v>41974</v>
      </c>
      <c r="B2688" t="n">
        <v>1247.5</v>
      </c>
      <c r="C2688" t="n">
        <v>4945.9</v>
      </c>
      <c r="D2688" t="n">
        <v>2885.7</v>
      </c>
      <c r="E2688" t="n">
        <v>11684.9</v>
      </c>
    </row>
    <row r="2689">
      <c r="A2689" s="87" t="n">
        <v>41981</v>
      </c>
      <c r="D2689" t="n">
        <v>2929</v>
      </c>
    </row>
    <row r="2690">
      <c r="A2690" s="87" t="n">
        <v>41988</v>
      </c>
      <c r="D2690" t="n">
        <v>2944.2</v>
      </c>
    </row>
    <row r="2691">
      <c r="A2691" s="87" t="n">
        <v>41995</v>
      </c>
      <c r="D2691" t="n">
        <v>2959.7</v>
      </c>
    </row>
    <row r="2692">
      <c r="A2692" s="87" t="n">
        <v>42002</v>
      </c>
      <c r="D2692" t="n">
        <v>2937.8</v>
      </c>
    </row>
    <row r="2693">
      <c r="A2693" s="87" t="n">
        <v>42005</v>
      </c>
      <c r="B2693" t="n">
        <v>1252.3</v>
      </c>
      <c r="C2693" t="n">
        <v>5003.5</v>
      </c>
      <c r="E2693" t="n">
        <v>11745.6</v>
      </c>
      <c r="F2693" t="n">
        <v>1.52</v>
      </c>
    </row>
    <row r="2694">
      <c r="A2694" s="87" t="n">
        <v>42009</v>
      </c>
      <c r="D2694" t="n">
        <v>2934</v>
      </c>
    </row>
    <row r="2695">
      <c r="A2695" s="87" t="n">
        <v>42016</v>
      </c>
      <c r="D2695" t="n">
        <v>2930.6</v>
      </c>
    </row>
    <row r="2696">
      <c r="A2696" s="87" t="n">
        <v>42023</v>
      </c>
      <c r="D2696" t="n">
        <v>2917.8</v>
      </c>
    </row>
    <row r="2697">
      <c r="A2697" s="87" t="n">
        <v>42030</v>
      </c>
      <c r="D2697" t="n">
        <v>2935.5</v>
      </c>
    </row>
    <row r="2698">
      <c r="A2698" s="87" t="n">
        <v>42036</v>
      </c>
      <c r="B2698" t="n">
        <v>1276.8</v>
      </c>
      <c r="C2698" t="n">
        <v>5047.5</v>
      </c>
      <c r="E2698" t="n">
        <v>11879</v>
      </c>
    </row>
    <row r="2699">
      <c r="A2699" s="87" t="n">
        <v>42037</v>
      </c>
      <c r="D2699" t="n">
        <v>2999.4</v>
      </c>
    </row>
    <row r="2700">
      <c r="A2700" s="87" t="n">
        <v>42044</v>
      </c>
      <c r="D2700" t="n">
        <v>3002.2</v>
      </c>
    </row>
    <row r="2701">
      <c r="A2701" s="87" t="n">
        <v>42051</v>
      </c>
      <c r="D2701" t="n">
        <v>3005.6</v>
      </c>
    </row>
    <row r="2702">
      <c r="A2702" s="87" t="n">
        <v>42058</v>
      </c>
      <c r="D2702" t="n">
        <v>3006.4</v>
      </c>
    </row>
    <row r="2703">
      <c r="A2703" s="87" t="n">
        <v>42064</v>
      </c>
      <c r="B2703" t="n">
        <v>1270.3</v>
      </c>
      <c r="C2703" t="n">
        <v>5037.3</v>
      </c>
      <c r="E2703" t="n">
        <v>11886.8</v>
      </c>
    </row>
    <row r="2704">
      <c r="A2704" s="87" t="n">
        <v>42065</v>
      </c>
      <c r="D2704" t="n">
        <v>3015.5</v>
      </c>
    </row>
    <row r="2705">
      <c r="A2705" s="87" t="n">
        <v>42072</v>
      </c>
      <c r="D2705" t="n">
        <v>3013.2</v>
      </c>
    </row>
    <row r="2706">
      <c r="A2706" s="87" t="n">
        <v>42079</v>
      </c>
      <c r="D2706" t="n">
        <v>2995.8</v>
      </c>
    </row>
    <row r="2707">
      <c r="A2707" s="87" t="n">
        <v>42086</v>
      </c>
      <c r="D2707" t="n">
        <v>3000.2</v>
      </c>
    </row>
    <row r="2708">
      <c r="A2708" s="87" t="n">
        <v>42093</v>
      </c>
      <c r="D2708" t="n">
        <v>2987.5</v>
      </c>
    </row>
    <row r="2709">
      <c r="A2709" s="87" t="n">
        <v>42095</v>
      </c>
      <c r="B2709" t="n">
        <v>1268.7</v>
      </c>
      <c r="C2709" t="n">
        <v>5049.9</v>
      </c>
      <c r="E2709" t="n">
        <v>11928.9</v>
      </c>
      <c r="F2709" t="n">
        <v>1.521</v>
      </c>
    </row>
    <row r="2710">
      <c r="A2710" s="87" t="n">
        <v>42100</v>
      </c>
      <c r="D2710" t="n">
        <v>2977.8</v>
      </c>
    </row>
    <row r="2711">
      <c r="A2711" s="87" t="n">
        <v>42107</v>
      </c>
      <c r="D2711" t="n">
        <v>3014.8</v>
      </c>
    </row>
    <row r="2712">
      <c r="A2712" s="87" t="n">
        <v>42114</v>
      </c>
      <c r="D2712" t="n">
        <v>3015.8</v>
      </c>
    </row>
    <row r="2713">
      <c r="A2713" s="87" t="n">
        <v>42121</v>
      </c>
      <c r="D2713" t="n">
        <v>2994.4</v>
      </c>
    </row>
    <row r="2714">
      <c r="A2714" s="87" t="n">
        <v>42125</v>
      </c>
      <c r="B2714" t="n">
        <v>1257.3</v>
      </c>
      <c r="C2714" t="n">
        <v>5045.5</v>
      </c>
      <c r="E2714" t="n">
        <v>11957.9</v>
      </c>
    </row>
    <row r="2715">
      <c r="A2715" s="87" t="n">
        <v>42128</v>
      </c>
      <c r="D2715" t="n">
        <v>2995.3</v>
      </c>
    </row>
    <row r="2716">
      <c r="A2716" s="87" t="n">
        <v>42135</v>
      </c>
      <c r="D2716" t="n">
        <v>2997.1</v>
      </c>
    </row>
    <row r="2717">
      <c r="A2717" s="87" t="n">
        <v>42142</v>
      </c>
      <c r="D2717" t="n">
        <v>2970.3</v>
      </c>
    </row>
    <row r="2718">
      <c r="A2718" s="87" t="n">
        <v>42149</v>
      </c>
      <c r="D2718" t="n">
        <v>2994.8</v>
      </c>
    </row>
    <row r="2719">
      <c r="A2719" s="87" t="n">
        <v>42156</v>
      </c>
      <c r="B2719" t="n">
        <v>1269.9</v>
      </c>
      <c r="C2719" t="n">
        <v>5050</v>
      </c>
      <c r="D2719" t="n">
        <v>2977.1</v>
      </c>
      <c r="E2719" t="n">
        <v>12001.7</v>
      </c>
    </row>
    <row r="2720">
      <c r="A2720" s="87" t="n">
        <v>42163</v>
      </c>
      <c r="D2720" t="n">
        <v>2990.7</v>
      </c>
    </row>
    <row r="2721">
      <c r="A2721" s="87" t="n">
        <v>42170</v>
      </c>
      <c r="D2721" t="n">
        <v>3012.6</v>
      </c>
    </row>
    <row r="2722">
      <c r="A2722" s="87" t="n">
        <v>42177</v>
      </c>
      <c r="D2722" t="n">
        <v>3037.1</v>
      </c>
    </row>
    <row r="2723">
      <c r="A2723" s="87" t="n">
        <v>42184</v>
      </c>
      <c r="D2723" t="n">
        <v>3047.2</v>
      </c>
    </row>
    <row r="2724">
      <c r="A2724" s="87" t="n">
        <v>42186</v>
      </c>
      <c r="B2724" t="n">
        <v>1277</v>
      </c>
      <c r="C2724" t="n">
        <v>5062.8</v>
      </c>
      <c r="E2724" t="n">
        <v>12051.3</v>
      </c>
      <c r="F2724" t="n">
        <v>1.512</v>
      </c>
    </row>
    <row r="2725">
      <c r="A2725" s="87" t="n">
        <v>42191</v>
      </c>
      <c r="D2725" t="n">
        <v>3022.5</v>
      </c>
    </row>
    <row r="2726">
      <c r="A2726" s="87" t="n">
        <v>42198</v>
      </c>
      <c r="D2726" t="n">
        <v>3035.5</v>
      </c>
    </row>
    <row r="2727">
      <c r="A2727" s="87" t="n">
        <v>42205</v>
      </c>
      <c r="D2727" t="n">
        <v>3038.4</v>
      </c>
    </row>
    <row r="2728">
      <c r="A2728" s="87" t="n">
        <v>42212</v>
      </c>
      <c r="D2728" t="n">
        <v>3033.5</v>
      </c>
    </row>
    <row r="2729">
      <c r="A2729" s="87" t="n">
        <v>42217</v>
      </c>
      <c r="B2729" t="n">
        <v>1271.7</v>
      </c>
      <c r="C2729" t="n">
        <v>5084.1</v>
      </c>
      <c r="E2729" t="n">
        <v>12101.9</v>
      </c>
    </row>
    <row r="2730">
      <c r="A2730" s="87" t="n">
        <v>42219</v>
      </c>
      <c r="D2730" t="n">
        <v>3092</v>
      </c>
    </row>
    <row r="2731">
      <c r="A2731" s="87" t="n">
        <v>42226</v>
      </c>
      <c r="D2731" t="n">
        <v>3033.6</v>
      </c>
    </row>
    <row r="2732">
      <c r="A2732" s="87" t="n">
        <v>42233</v>
      </c>
      <c r="D2732" t="n">
        <v>3013.6</v>
      </c>
    </row>
    <row r="2733">
      <c r="A2733" s="87" t="n">
        <v>42240</v>
      </c>
      <c r="D2733" t="n">
        <v>3025.7</v>
      </c>
    </row>
    <row r="2734">
      <c r="A2734" s="87" t="n">
        <v>42247</v>
      </c>
      <c r="D2734" t="n">
        <v>3018.5</v>
      </c>
    </row>
    <row r="2735">
      <c r="A2735" s="87" t="n">
        <v>42248</v>
      </c>
      <c r="B2735" t="n">
        <v>1283</v>
      </c>
      <c r="C2735" t="n">
        <v>5120.4</v>
      </c>
      <c r="E2735" t="n">
        <v>12160.8</v>
      </c>
    </row>
    <row r="2736">
      <c r="A2736" s="87" t="n">
        <v>42254</v>
      </c>
      <c r="D2736" t="n">
        <v>3012</v>
      </c>
    </row>
    <row r="2737">
      <c r="A2737" s="87" t="n">
        <v>42261</v>
      </c>
      <c r="D2737" t="n">
        <v>3048.2</v>
      </c>
    </row>
    <row r="2738">
      <c r="A2738" s="87" t="n">
        <v>42268</v>
      </c>
      <c r="D2738" t="n">
        <v>3074.9</v>
      </c>
    </row>
    <row r="2739">
      <c r="A2739" s="87" t="n">
        <v>42275</v>
      </c>
      <c r="D2739" t="n">
        <v>3053.2</v>
      </c>
    </row>
    <row r="2740">
      <c r="A2740" s="87" t="n">
        <v>42278</v>
      </c>
      <c r="B2740" t="n">
        <v>1271.3</v>
      </c>
      <c r="C2740" t="n">
        <v>5130.1</v>
      </c>
      <c r="E2740" t="n">
        <v>12195.9</v>
      </c>
      <c r="F2740" t="n">
        <v>1.493</v>
      </c>
    </row>
    <row r="2741">
      <c r="A2741" s="87" t="n">
        <v>42282</v>
      </c>
      <c r="D2741" t="n">
        <v>3016.1</v>
      </c>
    </row>
    <row r="2742">
      <c r="A2742" s="87" t="n">
        <v>42289</v>
      </c>
      <c r="D2742" t="n">
        <v>2999.1</v>
      </c>
    </row>
    <row r="2743">
      <c r="A2743" s="87" t="n">
        <v>42296</v>
      </c>
      <c r="D2743" t="n">
        <v>2996.2</v>
      </c>
    </row>
    <row r="2744">
      <c r="A2744" s="87" t="n">
        <v>42303</v>
      </c>
      <c r="D2744" t="n">
        <v>3023.1</v>
      </c>
    </row>
    <row r="2745">
      <c r="A2745" s="87" t="n">
        <v>42309</v>
      </c>
      <c r="B2745" t="n">
        <v>1296</v>
      </c>
      <c r="C2745" t="n">
        <v>5161.2</v>
      </c>
      <c r="E2745" t="n">
        <v>12284.6</v>
      </c>
    </row>
    <row r="2746">
      <c r="A2746" s="87" t="n">
        <v>42310</v>
      </c>
      <c r="D2746" t="n">
        <v>3067.6</v>
      </c>
    </row>
    <row r="2747">
      <c r="A2747" s="87" t="n">
        <v>42317</v>
      </c>
      <c r="D2747" t="n">
        <v>3077.4</v>
      </c>
    </row>
    <row r="2748">
      <c r="A2748" s="87" t="n">
        <v>42324</v>
      </c>
      <c r="D2748" t="n">
        <v>3072.7</v>
      </c>
    </row>
    <row r="2749">
      <c r="A2749" s="87" t="n">
        <v>42331</v>
      </c>
      <c r="D2749" t="n">
        <v>3095.2</v>
      </c>
    </row>
    <row r="2750">
      <c r="A2750" s="87" t="n">
        <v>42338</v>
      </c>
      <c r="D2750" t="n">
        <v>3084.4</v>
      </c>
    </row>
    <row r="2751">
      <c r="A2751" s="87" t="n">
        <v>42339</v>
      </c>
      <c r="B2751" t="n">
        <v>1303.8</v>
      </c>
      <c r="C2751" t="n">
        <v>5192.9</v>
      </c>
      <c r="E2751" t="n">
        <v>12346.8</v>
      </c>
    </row>
    <row r="2752">
      <c r="A2752" s="87" t="n">
        <v>42345</v>
      </c>
      <c r="D2752" t="n">
        <v>3038.9</v>
      </c>
    </row>
    <row r="2753">
      <c r="A2753" s="87" t="n">
        <v>42352</v>
      </c>
      <c r="D2753" t="n">
        <v>3083.8</v>
      </c>
    </row>
    <row r="2754">
      <c r="A2754" s="87" t="n">
        <v>42359</v>
      </c>
      <c r="D2754" t="n">
        <v>3116.8</v>
      </c>
    </row>
    <row r="2755">
      <c r="A2755" s="87" t="n">
        <v>42366</v>
      </c>
      <c r="D2755" t="n">
        <v>3099.9</v>
      </c>
    </row>
    <row r="2756">
      <c r="A2756" s="87" t="n">
        <v>42370</v>
      </c>
      <c r="B2756" t="n">
        <v>1302.3</v>
      </c>
      <c r="C2756" t="n">
        <v>5247.1</v>
      </c>
      <c r="E2756" t="n">
        <v>12469.9</v>
      </c>
      <c r="F2756" t="n">
        <v>1.468</v>
      </c>
    </row>
    <row r="2757">
      <c r="A2757" s="87" t="n">
        <v>42373</v>
      </c>
      <c r="D2757" t="n">
        <v>3177.3</v>
      </c>
    </row>
    <row r="2758">
      <c r="A2758" s="87" t="n">
        <v>42380</v>
      </c>
      <c r="D2758" t="n">
        <v>3090.4</v>
      </c>
    </row>
    <row r="2759">
      <c r="A2759" s="87" t="n">
        <v>42387</v>
      </c>
      <c r="D2759" t="n">
        <v>3079.7</v>
      </c>
    </row>
    <row r="2760">
      <c r="A2760" s="87" t="n">
        <v>42394</v>
      </c>
      <c r="D2760" t="n">
        <v>3093.3</v>
      </c>
    </row>
    <row r="2761">
      <c r="A2761" s="87" t="n">
        <v>42401</v>
      </c>
      <c r="B2761" t="n">
        <v>1318</v>
      </c>
      <c r="C2761" t="n">
        <v>5290.7</v>
      </c>
      <c r="D2761" t="n">
        <v>3079.9</v>
      </c>
      <c r="E2761" t="n">
        <v>12556.7</v>
      </c>
    </row>
    <row r="2762">
      <c r="A2762" s="87" t="n">
        <v>42408</v>
      </c>
      <c r="D2762" t="n">
        <v>3084.2</v>
      </c>
    </row>
    <row r="2763">
      <c r="A2763" s="87" t="n">
        <v>42415</v>
      </c>
      <c r="D2763" t="n">
        <v>3138.4</v>
      </c>
    </row>
    <row r="2764">
      <c r="A2764" s="87" t="n">
        <v>42422</v>
      </c>
      <c r="D2764" t="n">
        <v>3134.3</v>
      </c>
    </row>
    <row r="2765">
      <c r="A2765" s="87" t="n">
        <v>42429</v>
      </c>
      <c r="D2765" t="n">
        <v>3165.8</v>
      </c>
    </row>
    <row r="2766">
      <c r="A2766" s="87" t="n">
        <v>42430</v>
      </c>
      <c r="B2766" t="n">
        <v>1324.6</v>
      </c>
      <c r="C2766" t="n">
        <v>5299.4</v>
      </c>
      <c r="E2766" t="n">
        <v>12616.7</v>
      </c>
    </row>
    <row r="2767">
      <c r="A2767" s="87" t="n">
        <v>42436</v>
      </c>
      <c r="D2767" t="n">
        <v>3107.5</v>
      </c>
    </row>
    <row r="2768">
      <c r="A2768" s="87" t="n">
        <v>42443</v>
      </c>
      <c r="D2768" t="n">
        <v>3134.2</v>
      </c>
    </row>
    <row r="2769">
      <c r="A2769" s="87" t="n">
        <v>42450</v>
      </c>
      <c r="D2769" t="n">
        <v>3174.5</v>
      </c>
    </row>
    <row r="2770">
      <c r="A2770" s="87" t="n">
        <v>42457</v>
      </c>
      <c r="D2770" t="n">
        <v>3181</v>
      </c>
    </row>
    <row r="2771">
      <c r="A2771" s="87" t="n">
        <v>42461</v>
      </c>
      <c r="B2771" t="n">
        <v>1338.3</v>
      </c>
      <c r="C2771" t="n">
        <v>5314.2</v>
      </c>
      <c r="E2771" t="n">
        <v>12700.4</v>
      </c>
      <c r="F2771" t="n">
        <v>1.458</v>
      </c>
    </row>
    <row r="2772">
      <c r="A2772" s="87" t="n">
        <v>42464</v>
      </c>
      <c r="D2772" t="n">
        <v>3180.7</v>
      </c>
    </row>
    <row r="2773">
      <c r="A2773" s="87" t="n">
        <v>42471</v>
      </c>
      <c r="D2773" t="n">
        <v>3198.4</v>
      </c>
    </row>
    <row r="2774">
      <c r="A2774" s="87" t="n">
        <v>42478</v>
      </c>
      <c r="D2774" t="n">
        <v>3182.4</v>
      </c>
    </row>
    <row r="2775">
      <c r="A2775" s="87" t="n">
        <v>42485</v>
      </c>
      <c r="D2775" t="n">
        <v>3203.5</v>
      </c>
    </row>
    <row r="2776">
      <c r="A2776" s="87" t="n">
        <v>42491</v>
      </c>
      <c r="B2776" t="n">
        <v>1351.6</v>
      </c>
      <c r="C2776" t="n">
        <v>5329.1</v>
      </c>
      <c r="E2776" t="n">
        <v>12766.2</v>
      </c>
    </row>
    <row r="2777">
      <c r="A2777" s="87" t="n">
        <v>42492</v>
      </c>
      <c r="D2777" t="n">
        <v>3242.5</v>
      </c>
    </row>
    <row r="2778">
      <c r="A2778" s="87" t="n">
        <v>42499</v>
      </c>
      <c r="D2778" t="n">
        <v>3255.3</v>
      </c>
    </row>
    <row r="2779">
      <c r="A2779" s="87" t="n">
        <v>42506</v>
      </c>
      <c r="D2779" t="n">
        <v>3236.6</v>
      </c>
    </row>
    <row r="2780">
      <c r="A2780" s="87" t="n">
        <v>42513</v>
      </c>
      <c r="D2780" t="n">
        <v>3248.8</v>
      </c>
    </row>
    <row r="2781">
      <c r="A2781" s="87" t="n">
        <v>42520</v>
      </c>
      <c r="D2781" t="n">
        <v>3218.7</v>
      </c>
    </row>
    <row r="2782">
      <c r="A2782" s="87" t="n">
        <v>42522</v>
      </c>
      <c r="B2782" t="n">
        <v>1350.8</v>
      </c>
      <c r="C2782" t="n">
        <v>5340.6</v>
      </c>
      <c r="E2782" t="n">
        <v>12829.4</v>
      </c>
    </row>
    <row r="2783">
      <c r="A2783" s="87" t="n">
        <v>42527</v>
      </c>
      <c r="D2783" t="n">
        <v>3207</v>
      </c>
    </row>
    <row r="2784">
      <c r="A2784" s="87" t="n">
        <v>42534</v>
      </c>
      <c r="D2784" t="n">
        <v>3256.1</v>
      </c>
    </row>
    <row r="2785">
      <c r="A2785" s="87" t="n">
        <v>42541</v>
      </c>
      <c r="D2785" t="n">
        <v>3270.2</v>
      </c>
    </row>
    <row r="2786">
      <c r="A2786" s="87" t="n">
        <v>42548</v>
      </c>
      <c r="D2786" t="n">
        <v>3247.8</v>
      </c>
    </row>
    <row r="2787">
      <c r="A2787" s="87" t="n">
        <v>42552</v>
      </c>
      <c r="B2787" t="n">
        <v>1351.6</v>
      </c>
      <c r="C2787" t="n">
        <v>5367.6</v>
      </c>
      <c r="E2787" t="n">
        <v>12887.7</v>
      </c>
      <c r="F2787" t="n">
        <v>1.448</v>
      </c>
    </row>
    <row r="2788">
      <c r="A2788" s="87" t="n">
        <v>42555</v>
      </c>
      <c r="D2788" t="n">
        <v>3251.2</v>
      </c>
    </row>
    <row r="2789">
      <c r="A2789" s="87" t="n">
        <v>42562</v>
      </c>
      <c r="D2789" t="n">
        <v>3260.8</v>
      </c>
    </row>
    <row r="2790">
      <c r="A2790" s="87" t="n">
        <v>42569</v>
      </c>
      <c r="D2790" t="n">
        <v>3243.4</v>
      </c>
    </row>
    <row r="2791">
      <c r="A2791" s="87" t="n">
        <v>42576</v>
      </c>
      <c r="D2791" t="n">
        <v>3253.9</v>
      </c>
    </row>
    <row r="2792">
      <c r="A2792" s="87" t="n">
        <v>42583</v>
      </c>
      <c r="B2792" t="n">
        <v>1379.2</v>
      </c>
      <c r="C2792" t="n">
        <v>5393.1</v>
      </c>
      <c r="D2792" t="n">
        <v>3232.7</v>
      </c>
      <c r="E2792" t="n">
        <v>12972.8</v>
      </c>
    </row>
    <row r="2793">
      <c r="A2793" s="87" t="n">
        <v>42590</v>
      </c>
      <c r="D2793" t="n">
        <v>3299.2</v>
      </c>
    </row>
    <row r="2794">
      <c r="A2794" s="87" t="n">
        <v>42597</v>
      </c>
      <c r="D2794" t="n">
        <v>3323.6</v>
      </c>
    </row>
    <row r="2795">
      <c r="A2795" s="87" t="n">
        <v>42604</v>
      </c>
      <c r="D2795" t="n">
        <v>3344.1</v>
      </c>
    </row>
    <row r="2796">
      <c r="A2796" s="87" t="n">
        <v>42611</v>
      </c>
      <c r="D2796" t="n">
        <v>3323.7</v>
      </c>
    </row>
    <row r="2797">
      <c r="A2797" s="87" t="n">
        <v>42614</v>
      </c>
      <c r="B2797" t="n">
        <v>1379.6</v>
      </c>
      <c r="C2797" t="n">
        <v>5404.2</v>
      </c>
      <c r="E2797" t="n">
        <v>13033.6</v>
      </c>
    </row>
    <row r="2798">
      <c r="A2798" s="87" t="n">
        <v>42618</v>
      </c>
      <c r="D2798" t="n">
        <v>3288.9</v>
      </c>
    </row>
    <row r="2799">
      <c r="A2799" s="87" t="n">
        <v>42625</v>
      </c>
      <c r="D2799" t="n">
        <v>3333.2</v>
      </c>
    </row>
    <row r="2800">
      <c r="A2800" s="87" t="n">
        <v>42632</v>
      </c>
      <c r="D2800" t="n">
        <v>3324.8</v>
      </c>
    </row>
    <row r="2801">
      <c r="A2801" s="87" t="n">
        <v>42639</v>
      </c>
      <c r="D2801" t="n">
        <v>3322.3</v>
      </c>
    </row>
    <row r="2802">
      <c r="A2802" s="87" t="n">
        <v>42644</v>
      </c>
      <c r="B2802" t="n">
        <v>1379</v>
      </c>
      <c r="C2802" t="n">
        <v>5419.2</v>
      </c>
      <c r="E2802" t="n">
        <v>13100.5</v>
      </c>
      <c r="F2802" t="n">
        <v>1.441</v>
      </c>
    </row>
    <row r="2803">
      <c r="A2803" s="87" t="n">
        <v>42646</v>
      </c>
      <c r="D2803" t="n">
        <v>3374.5</v>
      </c>
    </row>
    <row r="2804">
      <c r="A2804" s="87" t="n">
        <v>42653</v>
      </c>
      <c r="D2804" t="n">
        <v>3362.5</v>
      </c>
    </row>
    <row r="2805">
      <c r="A2805" s="87" t="n">
        <v>42660</v>
      </c>
      <c r="D2805" t="n">
        <v>3309.1</v>
      </c>
    </row>
    <row r="2806">
      <c r="A2806" s="87" t="n">
        <v>42667</v>
      </c>
      <c r="D2806" t="n">
        <v>3318.6</v>
      </c>
    </row>
    <row r="2807">
      <c r="A2807" s="87" t="n">
        <v>42674</v>
      </c>
      <c r="D2807" t="n">
        <v>3328.7</v>
      </c>
    </row>
    <row r="2808">
      <c r="A2808" s="87" t="n">
        <v>42675</v>
      </c>
      <c r="B2808" t="n">
        <v>1385.8</v>
      </c>
      <c r="C2808" t="n">
        <v>5443</v>
      </c>
      <c r="E2808" t="n">
        <v>13173.4</v>
      </c>
    </row>
    <row r="2809">
      <c r="A2809" s="87" t="n">
        <v>42681</v>
      </c>
      <c r="D2809" t="n">
        <v>3305.2</v>
      </c>
    </row>
    <row r="2810">
      <c r="A2810" s="87" t="n">
        <v>42688</v>
      </c>
      <c r="D2810" t="n">
        <v>3368</v>
      </c>
    </row>
    <row r="2811">
      <c r="A2811" s="87" t="n">
        <v>42695</v>
      </c>
      <c r="D2811" t="n">
        <v>3385.6</v>
      </c>
    </row>
    <row r="2812">
      <c r="A2812" s="87" t="n">
        <v>42702</v>
      </c>
      <c r="D2812" t="n">
        <v>3360.5</v>
      </c>
    </row>
    <row r="2813">
      <c r="A2813" s="87" t="n">
        <v>42705</v>
      </c>
      <c r="B2813" t="n">
        <v>1378.8</v>
      </c>
      <c r="C2813" t="n">
        <v>5445.7</v>
      </c>
      <c r="E2813" t="n">
        <v>13213.4</v>
      </c>
    </row>
    <row r="2814">
      <c r="A2814" s="87" t="n">
        <v>42709</v>
      </c>
      <c r="D2814" t="n">
        <v>3324.3</v>
      </c>
    </row>
    <row r="2815">
      <c r="A2815" s="87" t="n">
        <v>42716</v>
      </c>
      <c r="D2815" t="n">
        <v>3347.2</v>
      </c>
    </row>
    <row r="2816">
      <c r="A2816" s="87" t="n">
        <v>42723</v>
      </c>
      <c r="D2816" t="n">
        <v>3328.7</v>
      </c>
    </row>
    <row r="2817">
      <c r="A2817" s="87" t="n">
        <v>42730</v>
      </c>
      <c r="D2817" t="n">
        <v>3345.9</v>
      </c>
    </row>
    <row r="2818">
      <c r="A2818" s="87" t="n">
        <v>42736</v>
      </c>
      <c r="B2818" t="n">
        <v>1391.2</v>
      </c>
      <c r="C2818" t="n">
        <v>5452.6</v>
      </c>
      <c r="E2818" t="n">
        <v>13283.4</v>
      </c>
      <c r="F2818" t="n">
        <v>1.434</v>
      </c>
    </row>
    <row r="2819">
      <c r="A2819" s="87" t="n">
        <v>42737</v>
      </c>
      <c r="D2819" t="n">
        <v>3351.8</v>
      </c>
    </row>
    <row r="2820">
      <c r="A2820" s="87" t="n">
        <v>42744</v>
      </c>
      <c r="D2820" t="n">
        <v>3383.8</v>
      </c>
    </row>
    <row r="2821">
      <c r="A2821" s="87" t="n">
        <v>42751</v>
      </c>
      <c r="D2821" t="n">
        <v>3388.8</v>
      </c>
    </row>
    <row r="2822">
      <c r="A2822" s="87" t="n">
        <v>42758</v>
      </c>
      <c r="D2822" t="n">
        <v>3394.6</v>
      </c>
    </row>
    <row r="2823">
      <c r="A2823" s="87" t="n">
        <v>42765</v>
      </c>
      <c r="D2823" t="n">
        <v>3399.7</v>
      </c>
    </row>
    <row r="2824">
      <c r="A2824" s="87" t="n">
        <v>42767</v>
      </c>
      <c r="B2824" t="n">
        <v>1393.6</v>
      </c>
      <c r="C2824" t="n">
        <v>5474.8</v>
      </c>
      <c r="E2824" t="n">
        <v>13358.8</v>
      </c>
    </row>
    <row r="2825">
      <c r="A2825" s="87" t="n">
        <v>42772</v>
      </c>
      <c r="D2825" t="n">
        <v>3364.4</v>
      </c>
    </row>
    <row r="2826">
      <c r="A2826" s="87" t="n">
        <v>42779</v>
      </c>
      <c r="D2826" t="n">
        <v>3394.4</v>
      </c>
    </row>
    <row r="2827">
      <c r="A2827" s="87" t="n">
        <v>42786</v>
      </c>
      <c r="D2827" t="n">
        <v>3426.8</v>
      </c>
    </row>
    <row r="2828">
      <c r="A2828" s="87" t="n">
        <v>42793</v>
      </c>
      <c r="D2828" t="n">
        <v>3420.9</v>
      </c>
    </row>
    <row r="2829">
      <c r="A2829" s="87" t="n">
        <v>42795</v>
      </c>
      <c r="B2829" t="n">
        <v>1415.7</v>
      </c>
      <c r="C2829" t="n">
        <v>5505.3</v>
      </c>
      <c r="E2829" t="n">
        <v>13426.9</v>
      </c>
    </row>
    <row r="2830">
      <c r="A2830" s="87" t="n">
        <v>42800</v>
      </c>
      <c r="D2830" t="n">
        <v>3394.1</v>
      </c>
    </row>
    <row r="2831">
      <c r="A2831" s="87" t="n">
        <v>42807</v>
      </c>
      <c r="D2831" t="n">
        <v>3446.1</v>
      </c>
    </row>
    <row r="2832">
      <c r="A2832" s="87" t="n">
        <v>42814</v>
      </c>
      <c r="D2832" t="n">
        <v>3458.6</v>
      </c>
    </row>
    <row r="2833">
      <c r="A2833" s="87" t="n">
        <v>42821</v>
      </c>
      <c r="D2833" t="n">
        <v>3445.8</v>
      </c>
    </row>
    <row r="2834">
      <c r="A2834" s="87" t="n">
        <v>42826</v>
      </c>
      <c r="B2834" t="n">
        <v>1413.9</v>
      </c>
      <c r="C2834" t="n">
        <v>5522.2</v>
      </c>
      <c r="E2834" t="n">
        <v>13484.9</v>
      </c>
      <c r="F2834" t="n">
        <v>1.427</v>
      </c>
    </row>
    <row r="2835">
      <c r="A2835" s="87" t="n">
        <v>42828</v>
      </c>
      <c r="D2835" t="n">
        <v>3518.4</v>
      </c>
    </row>
    <row r="2836">
      <c r="A2836" s="87" t="n">
        <v>42835</v>
      </c>
      <c r="D2836" t="n">
        <v>3457</v>
      </c>
    </row>
    <row r="2837">
      <c r="A2837" s="87" t="n">
        <v>42842</v>
      </c>
      <c r="D2837" t="n">
        <v>3441.1</v>
      </c>
    </row>
    <row r="2838">
      <c r="A2838" s="87" t="n">
        <v>42849</v>
      </c>
      <c r="D2838" t="n">
        <v>3446.2</v>
      </c>
    </row>
    <row r="2839">
      <c r="A2839" s="87" t="n">
        <v>42856</v>
      </c>
      <c r="B2839" t="n">
        <v>1441.6</v>
      </c>
      <c r="C2839" t="n">
        <v>5548.3</v>
      </c>
      <c r="D2839" t="n">
        <v>3450.2</v>
      </c>
      <c r="E2839" t="n">
        <v>13538.1</v>
      </c>
    </row>
    <row r="2840">
      <c r="A2840" s="87" t="n">
        <v>42863</v>
      </c>
      <c r="D2840" t="n">
        <v>3502.8</v>
      </c>
    </row>
    <row r="2841">
      <c r="A2841" s="87" t="n">
        <v>42870</v>
      </c>
      <c r="D2841" t="n">
        <v>3526.1</v>
      </c>
    </row>
    <row r="2842">
      <c r="A2842" s="87" t="n">
        <v>42877</v>
      </c>
      <c r="D2842" t="n">
        <v>3538.9</v>
      </c>
    </row>
    <row r="2843">
      <c r="A2843" s="87" t="n">
        <v>42884</v>
      </c>
      <c r="D2843" t="n">
        <v>3525.2</v>
      </c>
    </row>
    <row r="2844">
      <c r="A2844" s="87" t="n">
        <v>42887</v>
      </c>
      <c r="B2844" t="n">
        <v>1444.2</v>
      </c>
      <c r="C2844" t="n">
        <v>5553.3</v>
      </c>
      <c r="E2844" t="n">
        <v>13559.2</v>
      </c>
    </row>
    <row r="2845">
      <c r="A2845" s="87" t="n">
        <v>42891</v>
      </c>
      <c r="D2845" t="n">
        <v>3489.2</v>
      </c>
    </row>
    <row r="2846">
      <c r="A2846" s="87" t="n">
        <v>42898</v>
      </c>
      <c r="D2846" t="n">
        <v>3514.5</v>
      </c>
    </row>
    <row r="2847">
      <c r="A2847" s="87" t="n">
        <v>42905</v>
      </c>
      <c r="D2847" t="n">
        <v>3512.4</v>
      </c>
    </row>
    <row r="2848">
      <c r="A2848" s="87" t="n">
        <v>42912</v>
      </c>
      <c r="D2848" t="n">
        <v>3553</v>
      </c>
    </row>
    <row r="2849">
      <c r="A2849" s="87" t="n">
        <v>42917</v>
      </c>
      <c r="B2849" t="n">
        <v>1452.9</v>
      </c>
      <c r="C2849" t="n">
        <v>5575.9</v>
      </c>
      <c r="E2849" t="n">
        <v>13618.7</v>
      </c>
      <c r="F2849" t="n">
        <v>1.431</v>
      </c>
    </row>
    <row r="2850">
      <c r="A2850" s="87" t="n">
        <v>42919</v>
      </c>
      <c r="D2850" t="n">
        <v>3580.7</v>
      </c>
    </row>
    <row r="2851">
      <c r="A2851" s="87" t="n">
        <v>42926</v>
      </c>
      <c r="D2851" t="n">
        <v>3552.4</v>
      </c>
    </row>
    <row r="2852">
      <c r="A2852" s="87" t="n">
        <v>42933</v>
      </c>
      <c r="D2852" t="n">
        <v>3519.5</v>
      </c>
    </row>
    <row r="2853">
      <c r="A2853" s="87" t="n">
        <v>42940</v>
      </c>
      <c r="D2853" t="n">
        <v>3553.4</v>
      </c>
    </row>
    <row r="2854">
      <c r="A2854" s="87" t="n">
        <v>42947</v>
      </c>
      <c r="D2854" t="n">
        <v>3567.4</v>
      </c>
    </row>
    <row r="2855">
      <c r="A2855" s="87" t="n">
        <v>42948</v>
      </c>
      <c r="B2855" t="n">
        <v>1462.2</v>
      </c>
      <c r="C2855" t="n">
        <v>5576.9</v>
      </c>
      <c r="E2855" t="n">
        <v>13673.7</v>
      </c>
    </row>
    <row r="2856">
      <c r="A2856" s="87" t="n">
        <v>42954</v>
      </c>
      <c r="D2856" t="n">
        <v>3540.5</v>
      </c>
    </row>
    <row r="2857">
      <c r="A2857" s="87" t="n">
        <v>42961</v>
      </c>
      <c r="D2857" t="n">
        <v>3582.6</v>
      </c>
    </row>
    <row r="2858">
      <c r="A2858" s="87" t="n">
        <v>42968</v>
      </c>
      <c r="D2858" t="n">
        <v>3635.1</v>
      </c>
    </row>
    <row r="2859">
      <c r="A2859" s="87" t="n">
        <v>42975</v>
      </c>
      <c r="D2859" t="n">
        <v>3597.7</v>
      </c>
    </row>
    <row r="2860">
      <c r="A2860" s="87" t="n">
        <v>42979</v>
      </c>
      <c r="B2860" t="n">
        <v>1448.4</v>
      </c>
      <c r="C2860" t="n">
        <v>5566.5</v>
      </c>
      <c r="E2860" t="n">
        <v>13717.9</v>
      </c>
    </row>
    <row r="2861">
      <c r="A2861" s="87" t="n">
        <v>42982</v>
      </c>
      <c r="D2861" t="n">
        <v>3550.7</v>
      </c>
    </row>
    <row r="2862">
      <c r="A2862" s="87" t="n">
        <v>42989</v>
      </c>
      <c r="D2862" t="n">
        <v>3588.1</v>
      </c>
    </row>
    <row r="2863">
      <c r="A2863" s="87" t="n">
        <v>42996</v>
      </c>
      <c r="D2863" t="n">
        <v>3574.8</v>
      </c>
    </row>
    <row r="2864">
      <c r="A2864" s="87" t="n">
        <v>43003</v>
      </c>
      <c r="D2864" t="n">
        <v>3568.4</v>
      </c>
    </row>
    <row r="2865">
      <c r="A2865" s="87" t="n">
        <v>43009</v>
      </c>
      <c r="B2865" t="n">
        <v>1461.5</v>
      </c>
      <c r="C2865" t="n">
        <v>5583.4</v>
      </c>
      <c r="E2865" t="n">
        <v>13770.1</v>
      </c>
      <c r="F2865" t="n">
        <v>1.441</v>
      </c>
    </row>
    <row r="2866">
      <c r="A2866" s="87" t="n">
        <v>43010</v>
      </c>
      <c r="D2866" t="n">
        <v>3581.7</v>
      </c>
    </row>
    <row r="2867">
      <c r="A2867" s="87" t="n">
        <v>43017</v>
      </c>
      <c r="D2867" t="n">
        <v>3618.2</v>
      </c>
    </row>
    <row r="2868">
      <c r="A2868" s="87" t="n">
        <v>43024</v>
      </c>
      <c r="D2868" t="n">
        <v>3593.9</v>
      </c>
    </row>
    <row r="2869">
      <c r="A2869" s="87" t="n">
        <v>43031</v>
      </c>
      <c r="D2869" t="n">
        <v>3612.7</v>
      </c>
    </row>
    <row r="2870">
      <c r="A2870" s="87" t="n">
        <v>43038</v>
      </c>
      <c r="D2870" t="n">
        <v>3598.9</v>
      </c>
    </row>
    <row r="2871">
      <c r="A2871" s="87" t="n">
        <v>43040</v>
      </c>
      <c r="B2871" t="n">
        <v>1466.4</v>
      </c>
      <c r="C2871" t="n">
        <v>5580.6</v>
      </c>
      <c r="E2871" t="n">
        <v>13799.9</v>
      </c>
    </row>
    <row r="2872">
      <c r="A2872" s="87" t="n">
        <v>43045</v>
      </c>
      <c r="D2872" t="n">
        <v>3591.9</v>
      </c>
    </row>
    <row r="2873">
      <c r="A2873" s="87" t="n">
        <v>43052</v>
      </c>
      <c r="D2873" t="n">
        <v>3631.3</v>
      </c>
    </row>
    <row r="2874">
      <c r="A2874" s="87" t="n">
        <v>43059</v>
      </c>
      <c r="D2874" t="n">
        <v>3644.9</v>
      </c>
    </row>
    <row r="2875">
      <c r="A2875" s="87" t="n">
        <v>43066</v>
      </c>
      <c r="D2875" t="n">
        <v>3641.9</v>
      </c>
    </row>
    <row r="2876">
      <c r="A2876" s="87" t="n">
        <v>43070</v>
      </c>
      <c r="B2876" t="n">
        <v>1460.3</v>
      </c>
      <c r="C2876" t="n">
        <v>5592.3</v>
      </c>
      <c r="E2876" t="n">
        <v>13857.9</v>
      </c>
    </row>
    <row r="2877">
      <c r="A2877" s="87" t="n">
        <v>43073</v>
      </c>
      <c r="D2877" t="n">
        <v>3619.2</v>
      </c>
    </row>
    <row r="2878">
      <c r="A2878" s="87" t="n">
        <v>43080</v>
      </c>
      <c r="D2878" t="n">
        <v>3632.1</v>
      </c>
    </row>
    <row r="2879">
      <c r="A2879" s="87" t="n">
        <v>43087</v>
      </c>
      <c r="D2879" t="n">
        <v>3608.5</v>
      </c>
    </row>
    <row r="2880">
      <c r="A2880" s="87" t="n">
        <v>43094</v>
      </c>
      <c r="D2880" t="n">
        <v>3595.6</v>
      </c>
    </row>
    <row r="2881">
      <c r="A2881" s="87" t="n">
        <v>43101</v>
      </c>
      <c r="B2881" t="n">
        <v>1467</v>
      </c>
      <c r="C2881" t="n">
        <v>5573.3</v>
      </c>
      <c r="D2881" t="n">
        <v>3581</v>
      </c>
      <c r="E2881" t="n">
        <v>13869.7</v>
      </c>
      <c r="F2881" t="n">
        <v>1.448</v>
      </c>
    </row>
    <row r="2882">
      <c r="A2882" s="87" t="n">
        <v>43108</v>
      </c>
      <c r="D2882" t="n">
        <v>3642.1</v>
      </c>
    </row>
    <row r="2883">
      <c r="A2883" s="87" t="n">
        <v>43115</v>
      </c>
      <c r="D2883" t="n">
        <v>3670.6</v>
      </c>
    </row>
    <row r="2884">
      <c r="A2884" s="87" t="n">
        <v>43122</v>
      </c>
      <c r="D2884" t="n">
        <v>3663</v>
      </c>
    </row>
    <row r="2885">
      <c r="A2885" s="87" t="n">
        <v>43129</v>
      </c>
      <c r="D2885" t="n">
        <v>3636.4</v>
      </c>
    </row>
    <row r="2886">
      <c r="A2886" s="87" t="n">
        <v>43132</v>
      </c>
      <c r="B2886" t="n">
        <v>1448.3</v>
      </c>
      <c r="C2886" t="n">
        <v>5575.4</v>
      </c>
      <c r="E2886" t="n">
        <v>13912.3</v>
      </c>
    </row>
    <row r="2887">
      <c r="A2887" s="87" t="n">
        <v>43136</v>
      </c>
      <c r="D2887" t="n">
        <v>3622.6</v>
      </c>
    </row>
    <row r="2888">
      <c r="A2888" s="87" t="n">
        <v>43143</v>
      </c>
      <c r="D2888" t="n">
        <v>3607.4</v>
      </c>
    </row>
    <row r="2889">
      <c r="A2889" s="87" t="n">
        <v>43150</v>
      </c>
      <c r="D2889" t="n">
        <v>3611.8</v>
      </c>
    </row>
    <row r="2890">
      <c r="A2890" s="87" t="n">
        <v>43157</v>
      </c>
      <c r="D2890" t="n">
        <v>3624.3</v>
      </c>
    </row>
    <row r="2891">
      <c r="A2891" s="87" t="n">
        <v>43160</v>
      </c>
      <c r="B2891" t="n">
        <v>1469.3</v>
      </c>
      <c r="C2891" t="n">
        <v>5597.6</v>
      </c>
      <c r="E2891" t="n">
        <v>13970.2</v>
      </c>
    </row>
    <row r="2892">
      <c r="A2892" s="87" t="n">
        <v>43164</v>
      </c>
      <c r="D2892" t="n">
        <v>3655.3</v>
      </c>
    </row>
    <row r="2893">
      <c r="A2893" s="87" t="n">
        <v>43171</v>
      </c>
      <c r="D2893" t="n">
        <v>3670.8</v>
      </c>
    </row>
    <row r="2894">
      <c r="A2894" s="87" t="n">
        <v>43178</v>
      </c>
      <c r="D2894" t="n">
        <v>3660.6</v>
      </c>
    </row>
    <row r="2895">
      <c r="A2895" s="87" t="n">
        <v>43185</v>
      </c>
      <c r="D2895" t="n">
        <v>3657.7</v>
      </c>
    </row>
    <row r="2896">
      <c r="A2896" s="87" t="n">
        <v>43191</v>
      </c>
      <c r="B2896" t="n">
        <v>1462.7</v>
      </c>
      <c r="C2896" t="n">
        <v>5590.4</v>
      </c>
      <c r="E2896" t="n">
        <v>13988.8</v>
      </c>
      <c r="F2896" t="n">
        <v>1.457</v>
      </c>
    </row>
    <row r="2897">
      <c r="A2897" s="87" t="n">
        <v>43192</v>
      </c>
      <c r="D2897" t="n">
        <v>3659.2</v>
      </c>
    </row>
    <row r="2898">
      <c r="A2898" s="87" t="n">
        <v>43199</v>
      </c>
      <c r="D2898" t="n">
        <v>3660.9</v>
      </c>
    </row>
    <row r="2899">
      <c r="A2899" s="87" t="n">
        <v>43206</v>
      </c>
      <c r="D2899" t="n">
        <v>3647</v>
      </c>
    </row>
    <row r="2900">
      <c r="A2900" s="87" t="n">
        <v>43213</v>
      </c>
      <c r="D2900" t="n">
        <v>3669.8</v>
      </c>
    </row>
    <row r="2901">
      <c r="A2901" s="87" t="n">
        <v>43220</v>
      </c>
      <c r="D2901" t="n">
        <v>3669.5</v>
      </c>
    </row>
    <row r="2902">
      <c r="A2902" s="87" t="n">
        <v>43221</v>
      </c>
      <c r="B2902" t="n">
        <v>1457.1</v>
      </c>
      <c r="C2902" t="n">
        <v>5601.1</v>
      </c>
      <c r="E2902" t="n">
        <v>14047.2</v>
      </c>
    </row>
    <row r="2903">
      <c r="A2903" s="87" t="n">
        <v>43227</v>
      </c>
      <c r="D2903" t="n">
        <v>3637.2</v>
      </c>
    </row>
    <row r="2904">
      <c r="A2904" s="87" t="n">
        <v>43234</v>
      </c>
      <c r="D2904" t="n">
        <v>3655.2</v>
      </c>
    </row>
    <row r="2905">
      <c r="A2905" s="87" t="n">
        <v>43241</v>
      </c>
      <c r="D2905" t="n">
        <v>3666.8</v>
      </c>
    </row>
    <row r="2906">
      <c r="A2906" s="87" t="n">
        <v>43248</v>
      </c>
      <c r="D2906" t="n">
        <v>3664.2</v>
      </c>
    </row>
    <row r="2907">
      <c r="A2907" s="87" t="n">
        <v>43252</v>
      </c>
      <c r="B2907" t="n">
        <v>1455.9</v>
      </c>
      <c r="C2907" t="n">
        <v>5618.6</v>
      </c>
      <c r="E2907" t="n">
        <v>14103.6</v>
      </c>
    </row>
    <row r="2908">
      <c r="A2908" s="87" t="n">
        <v>43255</v>
      </c>
      <c r="D2908" t="n">
        <v>3672.2</v>
      </c>
    </row>
    <row r="2909">
      <c r="A2909" s="87" t="n">
        <v>43262</v>
      </c>
      <c r="D2909" t="n">
        <v>3654.6</v>
      </c>
    </row>
    <row r="2910">
      <c r="A2910" s="87" t="n">
        <v>43269</v>
      </c>
      <c r="D2910" t="n">
        <v>3651.1</v>
      </c>
    </row>
    <row r="2911">
      <c r="A2911" s="87" t="n">
        <v>43276</v>
      </c>
      <c r="D2911" t="n">
        <v>3655.1</v>
      </c>
    </row>
    <row r="2912">
      <c r="A2912" s="87" t="n">
        <v>43282</v>
      </c>
      <c r="B2912" t="n">
        <v>1464.8</v>
      </c>
      <c r="C2912" t="n">
        <v>5628.3</v>
      </c>
      <c r="E2912" t="n">
        <v>14139.2</v>
      </c>
      <c r="F2912" t="n">
        <v>1.459</v>
      </c>
    </row>
    <row r="2913">
      <c r="A2913" s="87" t="n">
        <v>43283</v>
      </c>
      <c r="D2913" t="n">
        <v>3673.2</v>
      </c>
    </row>
    <row r="2914">
      <c r="A2914" s="87" t="n">
        <v>43290</v>
      </c>
      <c r="D2914" t="n">
        <v>3682.1</v>
      </c>
    </row>
    <row r="2915">
      <c r="A2915" s="87" t="n">
        <v>43297</v>
      </c>
      <c r="D2915" t="n">
        <v>3681.5</v>
      </c>
    </row>
    <row r="2916">
      <c r="A2916" s="87" t="n">
        <v>43304</v>
      </c>
      <c r="D2916" t="n">
        <v>3677.6</v>
      </c>
    </row>
    <row r="2917">
      <c r="A2917" s="87" t="n">
        <v>43311</v>
      </c>
      <c r="D2917" t="n">
        <v>3681.9</v>
      </c>
    </row>
    <row r="2918">
      <c r="A2918" s="87" t="n">
        <v>43313</v>
      </c>
      <c r="B2918" t="n">
        <v>1466.4</v>
      </c>
      <c r="C2918" t="n">
        <v>5635</v>
      </c>
      <c r="E2918" t="n">
        <v>14181.3</v>
      </c>
    </row>
    <row r="2919">
      <c r="A2919" s="87" t="n">
        <v>43318</v>
      </c>
      <c r="D2919" t="n">
        <v>3661.4</v>
      </c>
    </row>
    <row r="2920">
      <c r="A2920" s="87" t="n">
        <v>43325</v>
      </c>
      <c r="D2920" t="n">
        <v>3677</v>
      </c>
    </row>
    <row r="2921">
      <c r="A2921" s="87" t="n">
        <v>43332</v>
      </c>
      <c r="D2921" t="n">
        <v>3676</v>
      </c>
    </row>
    <row r="2922">
      <c r="A2922" s="87" t="n">
        <v>43339</v>
      </c>
      <c r="D2922" t="n">
        <v>3695.2</v>
      </c>
    </row>
    <row r="2923">
      <c r="A2923" s="87" t="n">
        <v>43344</v>
      </c>
      <c r="B2923" t="n">
        <v>1467.2</v>
      </c>
      <c r="C2923" t="n">
        <v>5636</v>
      </c>
      <c r="E2923" t="n">
        <v>14212.9</v>
      </c>
    </row>
    <row r="2924">
      <c r="A2924" s="87" t="n">
        <v>43346</v>
      </c>
      <c r="D2924" t="n">
        <v>3779.6</v>
      </c>
    </row>
    <row r="2925">
      <c r="A2925" s="87" t="n">
        <v>43353</v>
      </c>
      <c r="D2925" t="n">
        <v>3710.1</v>
      </c>
    </row>
    <row r="2926">
      <c r="A2926" s="87" t="n">
        <v>43360</v>
      </c>
      <c r="D2926" t="n">
        <v>3691.7</v>
      </c>
    </row>
    <row r="2927">
      <c r="A2927" s="87" t="n">
        <v>43367</v>
      </c>
      <c r="D2927" t="n">
        <v>3704.6</v>
      </c>
    </row>
    <row r="2928">
      <c r="A2928" s="87" t="n">
        <v>43374</v>
      </c>
      <c r="B2928" t="n">
        <v>1473.6</v>
      </c>
      <c r="C2928" t="n">
        <v>5626.6</v>
      </c>
      <c r="D2928" t="n">
        <v>3693.1</v>
      </c>
      <c r="E2928" t="n">
        <v>14222.5</v>
      </c>
      <c r="F2928" t="n">
        <v>1.459</v>
      </c>
    </row>
    <row r="2929">
      <c r="A2929" s="87" t="n">
        <v>43381</v>
      </c>
      <c r="D2929" t="n">
        <v>3708.5</v>
      </c>
    </row>
    <row r="2930">
      <c r="A2930" s="87" t="n">
        <v>43388</v>
      </c>
      <c r="D2930" t="n">
        <v>3723.5</v>
      </c>
    </row>
    <row r="2931">
      <c r="A2931" s="87" t="n">
        <v>43395</v>
      </c>
      <c r="D2931" t="n">
        <v>3744.5</v>
      </c>
    </row>
    <row r="2932">
      <c r="A2932" s="87" t="n">
        <v>43402</v>
      </c>
      <c r="D2932" t="n">
        <v>3729.1</v>
      </c>
    </row>
    <row r="2933">
      <c r="A2933" s="87" t="n">
        <v>43405</v>
      </c>
      <c r="B2933" t="n">
        <v>1465.2</v>
      </c>
      <c r="C2933" t="n">
        <v>5636.2</v>
      </c>
      <c r="E2933" t="n">
        <v>14236.8</v>
      </c>
    </row>
    <row r="2934">
      <c r="A2934" s="87" t="n">
        <v>43409</v>
      </c>
      <c r="D2934" t="n">
        <v>3689.6</v>
      </c>
    </row>
    <row r="2935">
      <c r="A2935" s="87" t="n">
        <v>43416</v>
      </c>
      <c r="D2935" t="n">
        <v>3687.3</v>
      </c>
    </row>
    <row r="2936">
      <c r="A2936" s="87" t="n">
        <v>43423</v>
      </c>
      <c r="D2936" t="n">
        <v>3688.2</v>
      </c>
    </row>
    <row r="2937">
      <c r="A2937" s="87" t="n">
        <v>43430</v>
      </c>
      <c r="D2937" t="n">
        <v>3692.6</v>
      </c>
    </row>
    <row r="2938">
      <c r="A2938" s="87" t="n">
        <v>43435</v>
      </c>
      <c r="B2938" t="n">
        <v>1492.7</v>
      </c>
      <c r="C2938" t="n">
        <v>5682.2</v>
      </c>
      <c r="E2938" t="n">
        <v>14362.7</v>
      </c>
    </row>
    <row r="2939">
      <c r="A2939" s="87" t="n">
        <v>43437</v>
      </c>
      <c r="D2939" t="n">
        <v>3780.5</v>
      </c>
    </row>
    <row r="2940">
      <c r="A2940" s="87" t="n">
        <v>43444</v>
      </c>
      <c r="D2940" t="n">
        <v>3769.8</v>
      </c>
    </row>
    <row r="2941">
      <c r="A2941" s="87" t="n">
        <v>43451</v>
      </c>
      <c r="D2941" t="n">
        <v>3712.9</v>
      </c>
    </row>
    <row r="2942">
      <c r="A2942" s="87" t="n">
        <v>43458</v>
      </c>
      <c r="D2942" t="n">
        <v>3760.7</v>
      </c>
    </row>
    <row r="2943">
      <c r="A2943" s="87" t="n">
        <v>43465</v>
      </c>
      <c r="D2943" t="n">
        <v>3744.6</v>
      </c>
    </row>
    <row r="2944">
      <c r="A2944" s="87" t="n">
        <v>43466</v>
      </c>
      <c r="B2944" t="n">
        <v>1481.9</v>
      </c>
      <c r="C2944" t="n">
        <v>5709.9</v>
      </c>
      <c r="E2944" t="n">
        <v>14430</v>
      </c>
      <c r="F2944" t="n">
        <v>1.452</v>
      </c>
    </row>
    <row r="2945">
      <c r="A2945" s="87" t="n">
        <v>43472</v>
      </c>
      <c r="D2945" t="n">
        <v>3722.2</v>
      </c>
    </row>
    <row r="2946">
      <c r="A2946" s="87" t="n">
        <v>43479</v>
      </c>
      <c r="D2946" t="n">
        <v>3720.3</v>
      </c>
    </row>
    <row r="2947">
      <c r="A2947" s="87" t="n">
        <v>43486</v>
      </c>
      <c r="D2947" t="n">
        <v>3757.1</v>
      </c>
    </row>
    <row r="2948">
      <c r="A2948" s="87" t="n">
        <v>43493</v>
      </c>
      <c r="D2948" t="n">
        <v>3753.4</v>
      </c>
    </row>
    <row r="2949">
      <c r="A2949" s="87" t="n">
        <v>43497</v>
      </c>
      <c r="B2949" t="n">
        <v>1481.2</v>
      </c>
      <c r="C2949" t="n">
        <v>5712.1</v>
      </c>
      <c r="E2949" t="n">
        <v>14469.9</v>
      </c>
    </row>
    <row r="2950">
      <c r="A2950" s="87" t="n">
        <v>43500</v>
      </c>
      <c r="D2950" t="n">
        <v>3792.3</v>
      </c>
    </row>
    <row r="2951">
      <c r="A2951" s="87" t="n">
        <v>43507</v>
      </c>
      <c r="D2951" t="n">
        <v>3768.8</v>
      </c>
    </row>
    <row r="2952">
      <c r="A2952" s="87" t="n">
        <v>43514</v>
      </c>
      <c r="D2952" t="n">
        <v>3757.9</v>
      </c>
    </row>
    <row r="2953">
      <c r="A2953" s="87" t="n">
        <v>43521</v>
      </c>
      <c r="D2953" t="n">
        <v>3743</v>
      </c>
    </row>
    <row r="2954">
      <c r="A2954" s="87" t="n">
        <v>43525</v>
      </c>
      <c r="B2954" t="n">
        <v>1470.1</v>
      </c>
      <c r="C2954" t="n">
        <v>5708</v>
      </c>
      <c r="E2954" t="n">
        <v>14509.9</v>
      </c>
    </row>
    <row r="2955">
      <c r="A2955" s="87" t="n">
        <v>43528</v>
      </c>
      <c r="D2955" t="n">
        <v>3766.8</v>
      </c>
    </row>
    <row r="2956">
      <c r="A2956" s="87" t="n">
        <v>43535</v>
      </c>
      <c r="D2956" t="n">
        <v>3736.9</v>
      </c>
    </row>
    <row r="2957">
      <c r="A2957" s="87" t="n">
        <v>43542</v>
      </c>
      <c r="D2957" t="n">
        <v>3716.7</v>
      </c>
    </row>
    <row r="2958">
      <c r="A2958" s="87" t="n">
        <v>43549</v>
      </c>
      <c r="D2958" t="n">
        <v>3728.3</v>
      </c>
    </row>
    <row r="2959">
      <c r="A2959" s="87" t="n">
        <v>43556</v>
      </c>
      <c r="B2959" t="n">
        <v>1482.7</v>
      </c>
      <c r="C2959" t="n">
        <v>5697.6</v>
      </c>
      <c r="D2959" t="n">
        <v>3731.6</v>
      </c>
      <c r="E2959" t="n">
        <v>14541</v>
      </c>
      <c r="F2959" t="n">
        <v>1.452</v>
      </c>
    </row>
    <row r="2960">
      <c r="A2960" s="87" t="n">
        <v>43563</v>
      </c>
      <c r="D2960" t="n">
        <v>3747.3</v>
      </c>
    </row>
    <row r="2961">
      <c r="A2961" s="87" t="n">
        <v>43570</v>
      </c>
      <c r="D2961" t="n">
        <v>3797.5</v>
      </c>
    </row>
    <row r="2962">
      <c r="A2962" s="87" t="n">
        <v>43577</v>
      </c>
      <c r="D2962" t="n">
        <v>3790.6</v>
      </c>
    </row>
    <row r="2963">
      <c r="A2963" s="87" t="n">
        <v>43584</v>
      </c>
      <c r="D2963" t="n">
        <v>3814</v>
      </c>
    </row>
    <row r="2964">
      <c r="A2964" s="87" t="n">
        <v>43586</v>
      </c>
      <c r="B2964" t="n">
        <v>1483.9</v>
      </c>
      <c r="C2964" t="n">
        <v>5735.9</v>
      </c>
      <c r="E2964" t="n">
        <v>14643.2</v>
      </c>
    </row>
    <row r="2965">
      <c r="A2965" s="87" t="n">
        <v>43591</v>
      </c>
      <c r="D2965" t="n">
        <v>3766.3</v>
      </c>
    </row>
    <row r="2966">
      <c r="A2966" s="87" t="n">
        <v>43598</v>
      </c>
      <c r="D2966" t="n">
        <v>3773.5</v>
      </c>
    </row>
    <row r="2967">
      <c r="A2967" s="87" t="n">
        <v>43605</v>
      </c>
      <c r="D2967" t="n">
        <v>3782.7</v>
      </c>
    </row>
    <row r="2968">
      <c r="A2968" s="87" t="n">
        <v>43612</v>
      </c>
      <c r="D2968" t="n">
        <v>3810.8</v>
      </c>
    </row>
    <row r="2969">
      <c r="A2969" s="87" t="n">
        <v>43617</v>
      </c>
      <c r="B2969" t="n">
        <v>1500.4</v>
      </c>
      <c r="C2969" t="n">
        <v>5783.7</v>
      </c>
      <c r="E2969" t="n">
        <v>14757.7</v>
      </c>
    </row>
    <row r="2970">
      <c r="A2970" s="87" t="n">
        <v>43619</v>
      </c>
      <c r="D2970" t="n">
        <v>3877</v>
      </c>
    </row>
    <row r="2971">
      <c r="A2971" s="87" t="n">
        <v>43626</v>
      </c>
      <c r="D2971" t="n">
        <v>3840.5</v>
      </c>
    </row>
    <row r="2972">
      <c r="A2972" s="87" t="n">
        <v>43633</v>
      </c>
      <c r="D2972" t="n">
        <v>3833.5</v>
      </c>
    </row>
    <row r="2973">
      <c r="A2973" s="87" t="n">
        <v>43640</v>
      </c>
      <c r="D2973" t="n">
        <v>3830.7</v>
      </c>
    </row>
    <row r="2974">
      <c r="A2974" s="87" t="n">
        <v>43647</v>
      </c>
      <c r="B2974" t="n">
        <v>1509.8</v>
      </c>
      <c r="C2974" t="n">
        <v>5804.3</v>
      </c>
      <c r="D2974" t="n">
        <v>3819.5</v>
      </c>
      <c r="E2974" t="n">
        <v>14840.6</v>
      </c>
      <c r="F2974" t="n">
        <v>1.443</v>
      </c>
    </row>
    <row r="2975">
      <c r="A2975" s="87" t="n">
        <v>43654</v>
      </c>
      <c r="D2975" t="n">
        <v>3838.3</v>
      </c>
    </row>
    <row r="2976">
      <c r="A2976" s="87" t="n">
        <v>43661</v>
      </c>
      <c r="D2976" t="n">
        <v>3857.4</v>
      </c>
    </row>
    <row r="2977">
      <c r="A2977" s="87" t="n">
        <v>43668</v>
      </c>
      <c r="D2977" t="n">
        <v>3876.3</v>
      </c>
    </row>
    <row r="2978">
      <c r="A2978" s="87" t="n">
        <v>43675</v>
      </c>
      <c r="D2978" t="n">
        <v>3873.6</v>
      </c>
    </row>
    <row r="2979">
      <c r="A2979" s="87" t="n">
        <v>43678</v>
      </c>
      <c r="B2979" t="n">
        <v>1505.6</v>
      </c>
      <c r="C2979" t="n">
        <v>5824.7</v>
      </c>
      <c r="E2979" t="n">
        <v>14914.6</v>
      </c>
    </row>
    <row r="2980">
      <c r="A2980" s="87" t="n">
        <v>43682</v>
      </c>
      <c r="D2980" t="n">
        <v>3876</v>
      </c>
    </row>
    <row r="2981">
      <c r="A2981" s="87" t="n">
        <v>43689</v>
      </c>
      <c r="D2981" t="n">
        <v>3862</v>
      </c>
    </row>
    <row r="2982">
      <c r="A2982" s="87" t="n">
        <v>43696</v>
      </c>
      <c r="D2982" t="n">
        <v>3833.2</v>
      </c>
    </row>
    <row r="2983">
      <c r="A2983" s="87" t="n">
        <v>43703</v>
      </c>
      <c r="D2983" t="n">
        <v>3845.8</v>
      </c>
    </row>
    <row r="2984">
      <c r="A2984" s="87" t="n">
        <v>43709</v>
      </c>
      <c r="B2984" t="n">
        <v>1520.2</v>
      </c>
      <c r="C2984" t="n">
        <v>5850.9</v>
      </c>
      <c r="E2984" t="n">
        <v>15008.1</v>
      </c>
    </row>
    <row r="2985">
      <c r="A2985" s="87" t="n">
        <v>43710</v>
      </c>
      <c r="D2985" t="n">
        <v>3878.9</v>
      </c>
    </row>
    <row r="2986">
      <c r="A2986" s="87" t="n">
        <v>43717</v>
      </c>
      <c r="D2986" t="n">
        <v>3896.9</v>
      </c>
    </row>
    <row r="2987">
      <c r="A2987" s="87" t="n">
        <v>43724</v>
      </c>
      <c r="D2987" t="n">
        <v>3896.8</v>
      </c>
    </row>
    <row r="2988">
      <c r="A2988" s="87" t="n">
        <v>43731</v>
      </c>
      <c r="D2988" t="n">
        <v>3912</v>
      </c>
    </row>
    <row r="2989">
      <c r="A2989" s="87" t="n">
        <v>43738</v>
      </c>
      <c r="D2989" t="n">
        <v>3929.1</v>
      </c>
    </row>
    <row r="2990">
      <c r="A2990" s="87" t="n">
        <v>43739</v>
      </c>
      <c r="B2990" t="n">
        <v>1528.9</v>
      </c>
      <c r="C2990" t="n">
        <v>5885.8</v>
      </c>
      <c r="E2990" t="n">
        <v>15140.8</v>
      </c>
      <c r="F2990" t="n">
        <v>1.425</v>
      </c>
    </row>
    <row r="2991">
      <c r="A2991" s="87" t="n">
        <v>43745</v>
      </c>
      <c r="D2991" t="n">
        <v>3894.7</v>
      </c>
    </row>
    <row r="2992">
      <c r="A2992" s="87" t="n">
        <v>43752</v>
      </c>
      <c r="D2992" t="n">
        <v>3931.6</v>
      </c>
    </row>
    <row r="2993">
      <c r="A2993" s="87" t="n">
        <v>43759</v>
      </c>
      <c r="D2993" t="n">
        <v>3929.9</v>
      </c>
    </row>
    <row r="2994">
      <c r="A2994" s="87" t="n">
        <v>43766</v>
      </c>
      <c r="D2994" t="n">
        <v>3935.3</v>
      </c>
    </row>
    <row r="2995">
      <c r="A2995" s="87" t="n">
        <v>43770</v>
      </c>
      <c r="B2995" t="n">
        <v>1532</v>
      </c>
      <c r="C2995" t="n">
        <v>5912.3</v>
      </c>
      <c r="E2995" t="n">
        <v>15242.2</v>
      </c>
    </row>
    <row r="2996">
      <c r="A2996" s="87" t="n">
        <v>43773</v>
      </c>
      <c r="D2996" t="n">
        <v>3956.2</v>
      </c>
    </row>
    <row r="2997">
      <c r="A2997" s="87" t="n">
        <v>43780</v>
      </c>
      <c r="D2997" t="n">
        <v>3956.4</v>
      </c>
    </row>
    <row r="2998">
      <c r="A2998" s="87" t="n">
        <v>43787</v>
      </c>
      <c r="D2998" t="n">
        <v>3928.9</v>
      </c>
    </row>
    <row r="2999">
      <c r="A2999" s="87" t="n">
        <v>43794</v>
      </c>
      <c r="D2999" t="n">
        <v>3963.3</v>
      </c>
    </row>
    <row r="3000">
      <c r="A3000" s="87" t="n">
        <v>43800</v>
      </c>
      <c r="B3000" t="n">
        <v>1554.9</v>
      </c>
      <c r="C3000" t="n">
        <v>5924.1</v>
      </c>
      <c r="E3000" t="n">
        <v>15320.7</v>
      </c>
    </row>
    <row r="3001">
      <c r="A3001" s="87" t="n">
        <v>43801</v>
      </c>
      <c r="D3001" t="n">
        <v>3954.6</v>
      </c>
    </row>
    <row r="3002">
      <c r="A3002" s="87" t="n">
        <v>43808</v>
      </c>
      <c r="D3002" t="n">
        <v>3979.3</v>
      </c>
    </row>
    <row r="3003">
      <c r="A3003" s="87" t="n">
        <v>43815</v>
      </c>
      <c r="D3003" t="n">
        <v>3992.9</v>
      </c>
    </row>
    <row r="3004">
      <c r="A3004" s="87" t="n">
        <v>43822</v>
      </c>
      <c r="D3004" t="n">
        <v>3999.9</v>
      </c>
    </row>
    <row r="3005">
      <c r="A3005" s="87" t="n">
        <v>43829</v>
      </c>
      <c r="D3005" t="n">
        <v>3964.4</v>
      </c>
    </row>
    <row r="3006">
      <c r="A3006" s="87" t="n">
        <v>43831</v>
      </c>
      <c r="B3006" t="n">
        <v>1535.9</v>
      </c>
      <c r="C3006" t="n">
        <v>5943.6</v>
      </c>
      <c r="E3006" t="n">
        <v>15396</v>
      </c>
      <c r="F3006" t="n">
        <v>1.38</v>
      </c>
    </row>
    <row r="3007">
      <c r="A3007" s="87" t="n">
        <v>43836</v>
      </c>
      <c r="D3007" t="n">
        <v>3948.9</v>
      </c>
    </row>
    <row r="3008">
      <c r="A3008" s="87" t="n">
        <v>43843</v>
      </c>
      <c r="D3008" t="n">
        <v>3950.6</v>
      </c>
    </row>
    <row r="3009">
      <c r="A3009" s="87" t="n">
        <v>43850</v>
      </c>
      <c r="D3009" t="n">
        <v>3978.9</v>
      </c>
    </row>
    <row r="3010">
      <c r="A3010" s="87" t="n">
        <v>43857</v>
      </c>
      <c r="D3010" t="n">
        <v>3963.1</v>
      </c>
    </row>
    <row r="3011">
      <c r="A3011" s="87" t="n">
        <v>43862</v>
      </c>
      <c r="B3011" t="n">
        <v>1535.7</v>
      </c>
      <c r="C3011" t="n">
        <v>5959.7</v>
      </c>
      <c r="E3011" t="n">
        <v>15450.3</v>
      </c>
    </row>
    <row r="3012">
      <c r="A3012" s="87" t="n">
        <v>43864</v>
      </c>
      <c r="D3012" t="n">
        <v>4082.2</v>
      </c>
    </row>
    <row r="3013">
      <c r="A3013" s="87" t="n">
        <v>43871</v>
      </c>
      <c r="D3013" t="n">
        <v>4013.7</v>
      </c>
    </row>
    <row r="3014">
      <c r="A3014" s="87" t="n">
        <v>43878</v>
      </c>
      <c r="D3014" t="n">
        <v>3984.5</v>
      </c>
    </row>
    <row r="3015">
      <c r="A3015" s="87" t="n">
        <v>43885</v>
      </c>
      <c r="D3015" t="n">
        <v>3972.3</v>
      </c>
    </row>
    <row r="3016">
      <c r="A3016" s="87" t="n">
        <v>43891</v>
      </c>
      <c r="B3016" t="n">
        <v>1650.8</v>
      </c>
      <c r="C3016" t="n">
        <v>6190.3</v>
      </c>
      <c r="E3016" t="n">
        <v>15978.7</v>
      </c>
    </row>
    <row r="3017">
      <c r="A3017" s="87" t="n">
        <v>43892</v>
      </c>
      <c r="D3017" t="n">
        <v>4029.1</v>
      </c>
    </row>
    <row r="3018">
      <c r="A3018" s="87" t="n">
        <v>43899</v>
      </c>
      <c r="D3018" t="n">
        <v>4064.6</v>
      </c>
    </row>
    <row r="3019">
      <c r="A3019" s="87" t="n">
        <v>43906</v>
      </c>
      <c r="D3019" t="n">
        <v>4127.7</v>
      </c>
    </row>
    <row r="3020">
      <c r="A3020" s="87" t="n">
        <v>43913</v>
      </c>
      <c r="D3020" t="n">
        <v>4314.5</v>
      </c>
    </row>
    <row r="3021">
      <c r="A3021" s="87" t="n">
        <v>43920</v>
      </c>
      <c r="D3021" t="n">
        <v>4514</v>
      </c>
    </row>
    <row r="3022">
      <c r="A3022" s="87" t="n">
        <v>43922</v>
      </c>
      <c r="B3022" t="n">
        <v>1872.2</v>
      </c>
      <c r="C3022" t="n">
        <v>6637.3</v>
      </c>
      <c r="E3022" t="n">
        <v>16997.6</v>
      </c>
      <c r="F3022" t="n">
        <v>1.112</v>
      </c>
    </row>
    <row r="3023">
      <c r="A3023" s="87" t="n">
        <v>43927</v>
      </c>
      <c r="D3023" t="n">
        <v>4592.2</v>
      </c>
    </row>
    <row r="3024">
      <c r="A3024" s="87" t="n">
        <v>43934</v>
      </c>
      <c r="D3024" t="n">
        <v>4717.8</v>
      </c>
    </row>
    <row r="3025">
      <c r="A3025" s="87" t="n">
        <v>43941</v>
      </c>
      <c r="D3025" t="n">
        <v>4851.2</v>
      </c>
    </row>
    <row r="3026">
      <c r="A3026" s="87" t="n">
        <v>43948</v>
      </c>
      <c r="D3026" t="n">
        <v>4899.4</v>
      </c>
    </row>
    <row r="3027">
      <c r="A3027" s="87" t="n">
        <v>43952</v>
      </c>
      <c r="B3027" t="n">
        <v>6348.7</v>
      </c>
      <c r="C3027" t="n">
        <v>6976.7</v>
      </c>
      <c r="E3027" t="n">
        <v>17851.1</v>
      </c>
    </row>
    <row r="3028">
      <c r="A3028" s="87" t="n">
        <v>43955</v>
      </c>
      <c r="D3028" t="n">
        <v>15982.2</v>
      </c>
    </row>
    <row r="3029">
      <c r="A3029" s="87" t="n">
        <v>43962</v>
      </c>
      <c r="D3029" t="n">
        <v>16201.5</v>
      </c>
    </row>
    <row r="3030">
      <c r="A3030" s="87" t="n">
        <v>43969</v>
      </c>
      <c r="D3030" t="n">
        <v>16292.5</v>
      </c>
    </row>
    <row r="3031">
      <c r="A3031" s="87" t="n">
        <v>43976</v>
      </c>
      <c r="D3031" t="n">
        <v>16319.8</v>
      </c>
    </row>
    <row r="3032">
      <c r="A3032" s="87" t="n">
        <v>43983</v>
      </c>
      <c r="B3032" t="n">
        <v>6443.8</v>
      </c>
      <c r="C3032" t="n">
        <v>7055.5</v>
      </c>
      <c r="D3032" t="n">
        <v>16364</v>
      </c>
      <c r="E3032" t="n">
        <v>18131.7</v>
      </c>
    </row>
    <row r="3033">
      <c r="A3033" s="87" t="n">
        <v>43990</v>
      </c>
      <c r="D3033" t="n">
        <v>16467.2</v>
      </c>
    </row>
    <row r="3034">
      <c r="A3034" s="87" t="n">
        <v>43997</v>
      </c>
      <c r="D3034" t="n">
        <v>16554.6</v>
      </c>
    </row>
    <row r="3035">
      <c r="A3035" s="87" t="n">
        <v>44004</v>
      </c>
      <c r="D3035" t="n">
        <v>16654.9</v>
      </c>
    </row>
    <row r="3036">
      <c r="A3036" s="87" t="n">
        <v>44011</v>
      </c>
      <c r="D3036" t="n">
        <v>16656.6</v>
      </c>
    </row>
    <row r="3037">
      <c r="A3037" s="87" t="n">
        <v>44013</v>
      </c>
      <c r="B3037" t="n">
        <v>6491.9</v>
      </c>
      <c r="C3037" t="n">
        <v>7080.1</v>
      </c>
      <c r="E3037" t="n">
        <v>18286.3</v>
      </c>
      <c r="F3037" t="n">
        <v>1.161</v>
      </c>
    </row>
    <row r="3038">
      <c r="A3038" s="87" t="n">
        <v>44018</v>
      </c>
      <c r="D3038" t="n">
        <v>16763.2</v>
      </c>
    </row>
    <row r="3039">
      <c r="A3039" s="87" t="n">
        <v>44025</v>
      </c>
      <c r="D3039" t="n">
        <v>16836.7</v>
      </c>
    </row>
    <row r="3040">
      <c r="A3040" s="87" t="n">
        <v>44032</v>
      </c>
      <c r="D3040" t="n">
        <v>16781.8</v>
      </c>
    </row>
    <row r="3041">
      <c r="A3041" s="87" t="n">
        <v>44039</v>
      </c>
      <c r="D3041" t="n">
        <v>16753.2</v>
      </c>
    </row>
    <row r="3042">
      <c r="A3042" s="87" t="n">
        <v>44044</v>
      </c>
      <c r="B3042" t="n">
        <v>6506.5</v>
      </c>
      <c r="C3042" t="n">
        <v>7072.2</v>
      </c>
      <c r="E3042" t="n">
        <v>18346</v>
      </c>
    </row>
    <row r="3043">
      <c r="A3043" s="87" t="n">
        <v>44046</v>
      </c>
      <c r="D3043" t="n">
        <v>16734.6</v>
      </c>
    </row>
    <row r="3044">
      <c r="A3044" s="87" t="n">
        <v>44053</v>
      </c>
      <c r="D3044" t="n">
        <v>16888.9</v>
      </c>
    </row>
    <row r="3045">
      <c r="A3045" s="87" t="n">
        <v>44060</v>
      </c>
      <c r="D3045" t="n">
        <v>16938.6</v>
      </c>
    </row>
    <row r="3046">
      <c r="A3046" s="87" t="n">
        <v>44067</v>
      </c>
      <c r="D3046" t="n">
        <v>16880.5</v>
      </c>
    </row>
    <row r="3047">
      <c r="A3047" s="87" t="n">
        <v>44074</v>
      </c>
      <c r="D3047" t="n">
        <v>16962.7</v>
      </c>
    </row>
    <row r="3048">
      <c r="A3048" s="87" t="n">
        <v>44075</v>
      </c>
      <c r="B3048" t="n">
        <v>6598.7</v>
      </c>
      <c r="C3048" t="n">
        <v>7144.3</v>
      </c>
      <c r="E3048" t="n">
        <v>18577.3</v>
      </c>
    </row>
    <row r="3049">
      <c r="A3049" s="87" t="n">
        <v>44081</v>
      </c>
      <c r="D3049" t="n">
        <v>17087.6</v>
      </c>
    </row>
    <row r="3050">
      <c r="A3050" s="87" t="n">
        <v>44088</v>
      </c>
      <c r="D3050" t="n">
        <v>17214.6</v>
      </c>
    </row>
    <row r="3051">
      <c r="A3051" s="87" t="n">
        <v>44095</v>
      </c>
      <c r="D3051" t="n">
        <v>17237.7</v>
      </c>
    </row>
    <row r="3052">
      <c r="A3052" s="87" t="n">
        <v>44102</v>
      </c>
      <c r="D3052" t="n">
        <v>17174.9</v>
      </c>
    </row>
    <row r="3053">
      <c r="A3053" s="87" t="n">
        <v>44105</v>
      </c>
      <c r="B3053" t="n">
        <v>6668.5</v>
      </c>
      <c r="C3053" t="n">
        <v>7195.6</v>
      </c>
      <c r="E3053" t="n">
        <v>18729.1</v>
      </c>
      <c r="F3053" t="n">
        <v>1.147</v>
      </c>
    </row>
    <row r="3054">
      <c r="A3054" s="87" t="n">
        <v>44109</v>
      </c>
      <c r="D3054" t="n">
        <v>17224.2</v>
      </c>
    </row>
    <row r="3055">
      <c r="A3055" s="87" t="n">
        <v>44116</v>
      </c>
      <c r="D3055" t="n">
        <v>17331.8</v>
      </c>
    </row>
    <row r="3056">
      <c r="A3056" s="87" t="n">
        <v>44123</v>
      </c>
      <c r="D3056" t="n">
        <v>17350.6</v>
      </c>
    </row>
    <row r="3057">
      <c r="A3057" s="87" t="n">
        <v>44130</v>
      </c>
      <c r="D3057" t="n">
        <v>17376.1</v>
      </c>
    </row>
    <row r="3058">
      <c r="A3058" s="87" t="n">
        <v>44136</v>
      </c>
      <c r="B3058" t="n">
        <v>6751.6</v>
      </c>
      <c r="C3058" t="n">
        <v>7265.5</v>
      </c>
      <c r="E3058" t="n">
        <v>18949.3</v>
      </c>
    </row>
    <row r="3059">
      <c r="A3059" s="87" t="n">
        <v>44137</v>
      </c>
      <c r="D3059" t="n">
        <v>17431.2</v>
      </c>
    </row>
    <row r="3060">
      <c r="A3060" s="87" t="n">
        <v>44144</v>
      </c>
      <c r="D3060" t="n">
        <v>17593.4</v>
      </c>
    </row>
    <row r="3061">
      <c r="A3061" s="87" t="n">
        <v>44151</v>
      </c>
      <c r="D3061" t="n">
        <v>17638.4</v>
      </c>
    </row>
    <row r="3062">
      <c r="A3062" s="87" t="n">
        <v>44158</v>
      </c>
      <c r="D3062" t="n">
        <v>17657.9</v>
      </c>
    </row>
    <row r="3063">
      <c r="A3063" s="87" t="n">
        <v>44165</v>
      </c>
      <c r="D3063" t="n">
        <v>17547.6</v>
      </c>
    </row>
    <row r="3064">
      <c r="A3064" s="87" t="n">
        <v>44166</v>
      </c>
      <c r="B3064" t="n">
        <v>6803.4</v>
      </c>
      <c r="C3064" t="n">
        <v>7294.5</v>
      </c>
      <c r="E3064" t="n">
        <v>19114.2</v>
      </c>
    </row>
    <row r="3065">
      <c r="A3065" s="87" t="n">
        <v>44172</v>
      </c>
      <c r="D3065" t="n">
        <v>17777.4</v>
      </c>
    </row>
    <row r="3066">
      <c r="A3066" s="87" t="n">
        <v>44179</v>
      </c>
      <c r="D3066" t="n">
        <v>17853.5</v>
      </c>
    </row>
    <row r="3067">
      <c r="A3067" s="87" t="n">
        <v>44186</v>
      </c>
      <c r="D3067" t="n">
        <v>17762.7</v>
      </c>
    </row>
    <row r="3068">
      <c r="A3068" s="87" t="n">
        <v>44193</v>
      </c>
      <c r="D3068" t="n">
        <v>17659.7</v>
      </c>
    </row>
    <row r="3069">
      <c r="A3069" s="87" t="n">
        <v>44197</v>
      </c>
      <c r="B3069" t="n">
        <v>6890.8</v>
      </c>
      <c r="C3069" t="n">
        <v>7369.8</v>
      </c>
      <c r="E3069" t="n">
        <v>19356.8</v>
      </c>
      <c r="F3069" t="n">
        <v>1.139</v>
      </c>
    </row>
    <row r="3070">
      <c r="A3070" s="87" t="n">
        <v>44200</v>
      </c>
      <c r="D3070" t="n">
        <v>17770</v>
      </c>
    </row>
    <row r="3071">
      <c r="A3071" s="87" t="n">
        <v>44207</v>
      </c>
      <c r="D3071" t="n">
        <v>18142.1</v>
      </c>
    </row>
    <row r="3072">
      <c r="A3072" s="87" t="n">
        <v>44214</v>
      </c>
      <c r="D3072" t="n">
        <v>18151.2</v>
      </c>
    </row>
    <row r="3073">
      <c r="A3073" s="87" t="n">
        <v>44221</v>
      </c>
      <c r="D3073" t="n">
        <v>18107.7</v>
      </c>
    </row>
    <row r="3074">
      <c r="A3074" s="87" t="n">
        <v>44228</v>
      </c>
      <c r="B3074" t="n">
        <v>6965</v>
      </c>
      <c r="C3074" t="n">
        <v>7434.5</v>
      </c>
      <c r="D3074" t="n">
        <v>18104.9</v>
      </c>
      <c r="E3074" t="n">
        <v>19600.1</v>
      </c>
    </row>
    <row r="3075">
      <c r="A3075" s="87" t="n">
        <v>44256</v>
      </c>
      <c r="B3075" t="n">
        <v>7034.4</v>
      </c>
      <c r="C3075" t="n">
        <v>7489.6</v>
      </c>
      <c r="E3075" t="n">
        <v>19841</v>
      </c>
    </row>
    <row r="3076">
      <c r="A3076" s="87" t="n">
        <v>44287</v>
      </c>
      <c r="B3076" t="n">
        <v>7100</v>
      </c>
      <c r="C3076" t="n">
        <v>7543.7</v>
      </c>
      <c r="E3076" t="n">
        <v>20116.7</v>
      </c>
      <c r="F3076" t="n">
        <v>1.132</v>
      </c>
    </row>
    <row r="3077">
      <c r="A3077" s="87" t="n">
        <v>44317</v>
      </c>
      <c r="B3077" t="n">
        <v>7177.1</v>
      </c>
      <c r="C3077" t="n">
        <v>7610.9</v>
      </c>
      <c r="E3077" t="n">
        <v>20430.9</v>
      </c>
    </row>
    <row r="3078">
      <c r="A3078" s="87" t="n">
        <v>44348</v>
      </c>
      <c r="B3078" t="n">
        <v>7155.1</v>
      </c>
      <c r="C3078" t="n">
        <v>7579.3</v>
      </c>
      <c r="E3078" t="n">
        <v>20506.5</v>
      </c>
    </row>
    <row r="3079">
      <c r="A3079" s="87" t="n">
        <v>44378</v>
      </c>
      <c r="B3079" t="n">
        <v>7187.9</v>
      </c>
      <c r="C3079" t="n">
        <v>7603.1</v>
      </c>
      <c r="E3079" t="n">
        <v>20662.6</v>
      </c>
      <c r="F3079" t="n">
        <v>1.131</v>
      </c>
    </row>
    <row r="3080">
      <c r="A3080" s="87" t="n">
        <v>44409</v>
      </c>
      <c r="B3080" t="n">
        <v>7231.7</v>
      </c>
      <c r="C3080" t="n">
        <v>7640</v>
      </c>
      <c r="E3080" t="n">
        <v>20847.2</v>
      </c>
    </row>
    <row r="3081">
      <c r="A3081" s="87" t="n">
        <v>44440</v>
      </c>
      <c r="B3081" t="n">
        <v>7249.4</v>
      </c>
      <c r="C3081" t="n">
        <v>7650.3</v>
      </c>
      <c r="E3081" t="n">
        <v>20963.9</v>
      </c>
    </row>
    <row r="3082">
      <c r="A3082" s="87" t="n">
        <v>44470</v>
      </c>
      <c r="B3082" t="n">
        <v>7245.5</v>
      </c>
      <c r="C3082" t="n">
        <v>7636.3</v>
      </c>
      <c r="E3082" t="n">
        <v>21116.1</v>
      </c>
      <c r="F3082" t="n">
        <v>1.142</v>
      </c>
    </row>
    <row r="3083">
      <c r="A3083" s="87" t="n">
        <v>44501</v>
      </c>
      <c r="B3083" t="n">
        <v>7265.7</v>
      </c>
      <c r="C3083" t="n">
        <v>7648.1</v>
      </c>
      <c r="E3083" t="n">
        <v>21316</v>
      </c>
    </row>
    <row r="3084">
      <c r="A3084" s="87" t="n">
        <v>44531</v>
      </c>
      <c r="B3084" t="n">
        <v>7296.5</v>
      </c>
      <c r="C3084" t="n">
        <v>7671.9</v>
      </c>
      <c r="E3084" t="n">
        <v>21549.3</v>
      </c>
    </row>
    <row r="3085">
      <c r="A3085" s="87" t="n">
        <v>44562</v>
      </c>
      <c r="B3085" t="n">
        <v>7256.5</v>
      </c>
      <c r="C3085" t="n">
        <v>7630</v>
      </c>
      <c r="E3085" t="n">
        <v>21562.4</v>
      </c>
      <c r="F3085" t="n">
        <v>1.145</v>
      </c>
    </row>
    <row r="3086">
      <c r="A3086" s="87" t="n">
        <v>44593</v>
      </c>
      <c r="B3086" t="n">
        <v>7215</v>
      </c>
      <c r="C3086" t="n">
        <v>7579.2</v>
      </c>
      <c r="E3086" t="n">
        <v>21571.1</v>
      </c>
    </row>
    <row r="3087">
      <c r="A3087" s="87" t="n">
        <v>44621</v>
      </c>
      <c r="B3087" t="n">
        <v>7188.6</v>
      </c>
      <c r="C3087" t="n">
        <v>7547.9</v>
      </c>
      <c r="E3087" t="n">
        <v>21698.2</v>
      </c>
    </row>
    <row r="3088">
      <c r="A3088" s="87" t="n">
        <v>44652</v>
      </c>
      <c r="B3088" t="n">
        <v>7155.4</v>
      </c>
      <c r="C3088" t="n">
        <v>7511</v>
      </c>
      <c r="E3088" t="n">
        <v>21677.7</v>
      </c>
      <c r="F3088" t="n">
        <v>1.165</v>
      </c>
    </row>
    <row r="3089">
      <c r="A3089" s="87" t="n">
        <v>44682</v>
      </c>
      <c r="B3089" t="n">
        <v>7086</v>
      </c>
      <c r="C3089" t="n">
        <v>7438.4</v>
      </c>
      <c r="E3089" t="n">
        <v>21665.7</v>
      </c>
    </row>
    <row r="3090">
      <c r="A3090" s="87" t="n">
        <v>44713</v>
      </c>
      <c r="B3090" t="n">
        <v>6992.2</v>
      </c>
      <c r="C3090" t="n">
        <v>7351.4</v>
      </c>
      <c r="E3090" t="n">
        <v>21666.5</v>
      </c>
    </row>
    <row r="3091">
      <c r="A3091" s="87" t="n">
        <v>44743</v>
      </c>
      <c r="B3091" t="n">
        <v>6988</v>
      </c>
      <c r="C3091" t="n">
        <v>7366.5</v>
      </c>
      <c r="E3091" t="n">
        <v>21703.8</v>
      </c>
      <c r="F3091" t="n">
        <v>1.189</v>
      </c>
    </row>
    <row r="3092">
      <c r="A3092" s="87" t="n">
        <v>44774</v>
      </c>
      <c r="B3092" t="n">
        <v>6934.6</v>
      </c>
      <c r="C3092" t="n">
        <v>7334.4</v>
      </c>
      <c r="E3092" t="n">
        <v>21660</v>
      </c>
    </row>
    <row r="3093">
      <c r="A3093" s="87" t="n">
        <v>44805</v>
      </c>
      <c r="B3093" t="n">
        <v>6838.9</v>
      </c>
      <c r="C3093" t="n">
        <v>7258.5</v>
      </c>
      <c r="E3093" t="n">
        <v>21524.2</v>
      </c>
    </row>
    <row r="3094">
      <c r="A3094" s="87" t="n">
        <v>44835</v>
      </c>
      <c r="B3094" t="n">
        <v>6744.6</v>
      </c>
      <c r="C3094" t="n">
        <v>7192.3</v>
      </c>
      <c r="E3094" t="n">
        <v>21432.1</v>
      </c>
      <c r="F3094" t="n">
        <v>1.222</v>
      </c>
    </row>
    <row r="3095">
      <c r="A3095" s="87" t="n">
        <v>44866</v>
      </c>
      <c r="B3095" t="n">
        <v>6686</v>
      </c>
      <c r="C3095" t="n">
        <v>7166.4</v>
      </c>
      <c r="E3095" t="n">
        <v>21398.7</v>
      </c>
    </row>
    <row r="3096">
      <c r="A3096" s="87" t="n">
        <v>44896</v>
      </c>
      <c r="B3096" t="n">
        <v>6629.3</v>
      </c>
      <c r="C3096" t="n">
        <v>7143.4</v>
      </c>
      <c r="E3096" t="n">
        <v>21358.1</v>
      </c>
    </row>
    <row r="3097">
      <c r="A3097" s="87" t="n">
        <v>44927</v>
      </c>
      <c r="B3097" t="n">
        <v>6508.4</v>
      </c>
      <c r="C3097" t="n">
        <v>7058.3</v>
      </c>
      <c r="E3097" t="n">
        <v>21212.6</v>
      </c>
      <c r="F3097" t="n">
        <v>1.259</v>
      </c>
    </row>
    <row r="3098">
      <c r="A3098" s="87" t="n">
        <v>44958</v>
      </c>
      <c r="B3098" t="n">
        <v>6407.4</v>
      </c>
      <c r="C3098" t="n">
        <v>6987.3</v>
      </c>
      <c r="E3098" t="n">
        <v>21076.9</v>
      </c>
    </row>
    <row r="3099">
      <c r="A3099" s="87" t="n">
        <v>44986</v>
      </c>
      <c r="B3099" t="n">
        <v>6283.6</v>
      </c>
      <c r="C3099" t="n">
        <v>6905.2</v>
      </c>
      <c r="E3099" t="n">
        <v>20840.3</v>
      </c>
    </row>
    <row r="3100">
      <c r="A3100" s="87" t="n">
        <v>45017</v>
      </c>
      <c r="B3100" t="n">
        <v>6149.9</v>
      </c>
      <c r="C3100" t="n">
        <v>6824.7</v>
      </c>
      <c r="E3100" t="n">
        <v>20673.1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6">
    <tabColor rgb="FFFFC000"/>
    <outlinePr summaryBelow="1" summaryRight="1"/>
    <pageSetUpPr/>
  </sheetPr>
  <dimension ref="A1:AE878"/>
  <sheetViews>
    <sheetView zoomScale="90" zoomScaleNormal="90" workbookViewId="0">
      <pane xSplit="1" ySplit="1" topLeftCell="B837" activePane="bottomRight" state="frozen"/>
      <selection activeCell="F826" sqref="F826"/>
      <selection pane="topRight" activeCell="F826" sqref="F826"/>
      <selection pane="bottomLeft" activeCell="F826" sqref="F826"/>
      <selection pane="bottomRight" activeCell="F826" sqref="F826"/>
    </sheetView>
  </sheetViews>
  <sheetFormatPr baseColWidth="8" defaultColWidth="9.1796875" defaultRowHeight="14.5"/>
  <cols>
    <col width="22.6328125" customWidth="1" style="77" min="1" max="1"/>
    <col width="9.1796875" customWidth="1" style="77" min="2" max="3"/>
    <col width="10.6328125" bestFit="1" customWidth="1" style="77" min="4" max="4"/>
    <col width="9.1796875" customWidth="1" style="77" min="5" max="43"/>
    <col width="9.1796875" customWidth="1" style="77" min="44" max="16384"/>
  </cols>
  <sheetData>
    <row r="1">
      <c r="A1" t="inlineStr">
        <is>
          <t>DATE</t>
        </is>
      </c>
      <c r="B1" t="inlineStr">
        <is>
          <t>AUS</t>
        </is>
      </c>
      <c r="C1" t="inlineStr">
        <is>
          <t>BRA</t>
        </is>
      </c>
      <c r="D1" t="inlineStr">
        <is>
          <t>CAN</t>
        </is>
      </c>
      <c r="E1" t="inlineStr">
        <is>
          <t>CHE</t>
        </is>
      </c>
      <c r="F1" t="inlineStr">
        <is>
          <t>CHL</t>
        </is>
      </c>
      <c r="G1" t="inlineStr">
        <is>
          <t>CHN</t>
        </is>
      </c>
      <c r="H1" t="inlineStr">
        <is>
          <t>COL</t>
        </is>
      </c>
      <c r="I1" t="inlineStr">
        <is>
          <t>CRI</t>
        </is>
      </c>
      <c r="J1" t="inlineStr">
        <is>
          <t>CZE</t>
        </is>
      </c>
      <c r="K1" t="inlineStr">
        <is>
          <t>DNK</t>
        </is>
      </c>
      <c r="L1" t="inlineStr">
        <is>
          <t>EA19</t>
        </is>
      </c>
      <c r="M1" t="inlineStr">
        <is>
          <t>GBR</t>
        </is>
      </c>
      <c r="N1" t="inlineStr">
        <is>
          <t>HUN</t>
        </is>
      </c>
      <c r="O1" t="inlineStr">
        <is>
          <t>IDN</t>
        </is>
      </c>
      <c r="P1" t="inlineStr">
        <is>
          <t>IND</t>
        </is>
      </c>
      <c r="Q1" t="inlineStr">
        <is>
          <t>ISL</t>
        </is>
      </c>
      <c r="R1" t="inlineStr">
        <is>
          <t>ISR</t>
        </is>
      </c>
      <c r="S1" t="inlineStr">
        <is>
          <t>JPN</t>
        </is>
      </c>
      <c r="T1" t="inlineStr">
        <is>
          <t>KOR</t>
        </is>
      </c>
      <c r="U1" t="inlineStr">
        <is>
          <t>MEX</t>
        </is>
      </c>
      <c r="V1" t="inlineStr">
        <is>
          <t>NOR</t>
        </is>
      </c>
      <c r="W1" t="inlineStr">
        <is>
          <t>NZL</t>
        </is>
      </c>
      <c r="X1" t="inlineStr">
        <is>
          <t>OECD</t>
        </is>
      </c>
      <c r="Y1" t="inlineStr">
        <is>
          <t>OECDE</t>
        </is>
      </c>
      <c r="Z1" t="inlineStr">
        <is>
          <t>POL</t>
        </is>
      </c>
      <c r="AA1" t="inlineStr">
        <is>
          <t>RUS</t>
        </is>
      </c>
      <c r="AB1" t="inlineStr">
        <is>
          <t>SWE</t>
        </is>
      </c>
      <c r="AC1" t="inlineStr">
        <is>
          <t>TUR</t>
        </is>
      </c>
      <c r="AD1" t="inlineStr">
        <is>
          <t>USA</t>
        </is>
      </c>
      <c r="AE1" t="inlineStr">
        <is>
          <t>ZAF</t>
        </is>
      </c>
    </row>
    <row r="2">
      <c r="A2" s="87" t="n">
        <v>18629</v>
      </c>
      <c r="B2" t="n">
        <v/>
      </c>
      <c r="C2" t="n">
        <v/>
      </c>
      <c r="D2" t="n">
        <v/>
      </c>
      <c r="E2" t="n">
        <v/>
      </c>
      <c r="F2" t="n">
        <v/>
      </c>
      <c r="G2" t="n">
        <v/>
      </c>
      <c r="H2" t="n">
        <v/>
      </c>
      <c r="I2" t="n">
        <v/>
      </c>
      <c r="J2" t="n">
        <v/>
      </c>
      <c r="K2" t="n">
        <v/>
      </c>
      <c r="L2" t="n">
        <v/>
      </c>
      <c r="M2" t="n">
        <v/>
      </c>
      <c r="N2" t="n">
        <v/>
      </c>
      <c r="O2" t="n">
        <v/>
      </c>
      <c r="P2" t="n">
        <v/>
      </c>
      <c r="Q2" t="n">
        <v/>
      </c>
      <c r="R2" t="n">
        <v/>
      </c>
      <c r="S2" t="n">
        <v/>
      </c>
      <c r="T2" t="n">
        <v/>
      </c>
      <c r="U2" t="n">
        <v/>
      </c>
      <c r="V2" t="n">
        <v/>
      </c>
      <c r="W2" t="n">
        <v/>
      </c>
      <c r="X2" t="n">
        <v/>
      </c>
      <c r="Y2" t="n">
        <v/>
      </c>
      <c r="Z2" t="n">
        <v/>
      </c>
      <c r="AA2" t="n">
        <v/>
      </c>
      <c r="AB2" t="n">
        <v/>
      </c>
      <c r="AC2" t="n">
        <v/>
      </c>
      <c r="AD2" t="n">
        <v/>
      </c>
      <c r="AE2" t="n">
        <v/>
      </c>
    </row>
    <row r="3">
      <c r="A3" s="87" t="n">
        <v>18660</v>
      </c>
      <c r="B3" t="n">
        <v/>
      </c>
      <c r="C3" t="n">
        <v/>
      </c>
      <c r="D3" t="n">
        <v/>
      </c>
      <c r="E3" t="n">
        <v/>
      </c>
      <c r="F3" t="n">
        <v/>
      </c>
      <c r="G3" t="n">
        <v/>
      </c>
      <c r="H3" t="n">
        <v/>
      </c>
      <c r="I3" t="n">
        <v/>
      </c>
      <c r="J3" t="n">
        <v/>
      </c>
      <c r="K3" t="n">
        <v/>
      </c>
      <c r="L3" t="n">
        <v/>
      </c>
      <c r="M3" t="n">
        <v/>
      </c>
      <c r="N3" t="n">
        <v/>
      </c>
      <c r="O3" t="n">
        <v/>
      </c>
      <c r="P3" t="n">
        <v/>
      </c>
      <c r="Q3" t="n">
        <v/>
      </c>
      <c r="R3" t="n">
        <v/>
      </c>
      <c r="S3" t="n">
        <v/>
      </c>
      <c r="T3" t="n">
        <v/>
      </c>
      <c r="U3" t="n">
        <v/>
      </c>
      <c r="V3" t="n">
        <v/>
      </c>
      <c r="W3" t="n">
        <v/>
      </c>
      <c r="X3" t="n">
        <v/>
      </c>
      <c r="Y3" t="n">
        <v/>
      </c>
      <c r="Z3" t="n">
        <v/>
      </c>
      <c r="AA3" t="n">
        <v/>
      </c>
      <c r="AB3" t="n">
        <v/>
      </c>
      <c r="AC3" t="n">
        <v/>
      </c>
      <c r="AD3" t="n">
        <v/>
      </c>
      <c r="AE3" t="n">
        <v/>
      </c>
    </row>
    <row r="4">
      <c r="A4" s="87" t="n">
        <v>18688</v>
      </c>
      <c r="B4" t="n">
        <v/>
      </c>
      <c r="C4" t="n">
        <v/>
      </c>
      <c r="D4" t="n">
        <v/>
      </c>
      <c r="E4" t="n">
        <v/>
      </c>
      <c r="F4" t="n">
        <v/>
      </c>
      <c r="G4" t="n">
        <v/>
      </c>
      <c r="H4" t="n">
        <v/>
      </c>
      <c r="I4" t="n">
        <v/>
      </c>
      <c r="J4" t="n">
        <v/>
      </c>
      <c r="K4" t="n">
        <v/>
      </c>
      <c r="L4" t="n">
        <v/>
      </c>
      <c r="M4" t="n">
        <v/>
      </c>
      <c r="N4" t="n">
        <v/>
      </c>
      <c r="O4" t="n">
        <v/>
      </c>
      <c r="P4" t="n">
        <v/>
      </c>
      <c r="Q4" t="n">
        <v/>
      </c>
      <c r="R4" t="n">
        <v/>
      </c>
      <c r="S4" t="n">
        <v/>
      </c>
      <c r="T4" t="n">
        <v/>
      </c>
      <c r="U4" t="n">
        <v/>
      </c>
      <c r="V4" t="n">
        <v/>
      </c>
      <c r="W4" t="n">
        <v/>
      </c>
      <c r="X4" t="n">
        <v/>
      </c>
      <c r="Y4" t="n">
        <v/>
      </c>
      <c r="Z4" t="n">
        <v/>
      </c>
      <c r="AA4" t="n">
        <v/>
      </c>
      <c r="AB4" t="n">
        <v/>
      </c>
      <c r="AC4" t="n">
        <v/>
      </c>
      <c r="AD4" t="n">
        <v/>
      </c>
      <c r="AE4" t="n">
        <v/>
      </c>
    </row>
    <row r="5">
      <c r="A5" s="87" t="n">
        <v>18719</v>
      </c>
      <c r="B5" t="n">
        <v/>
      </c>
      <c r="C5" t="n">
        <v/>
      </c>
      <c r="D5" t="n">
        <v/>
      </c>
      <c r="E5" t="n">
        <v/>
      </c>
      <c r="F5" t="n">
        <v/>
      </c>
      <c r="G5" t="n">
        <v/>
      </c>
      <c r="H5" t="n">
        <v/>
      </c>
      <c r="I5" t="n">
        <v/>
      </c>
      <c r="J5" t="n">
        <v/>
      </c>
      <c r="K5" t="n">
        <v/>
      </c>
      <c r="L5" t="n">
        <v/>
      </c>
      <c r="M5" t="n">
        <v/>
      </c>
      <c r="N5" t="n">
        <v/>
      </c>
      <c r="O5" t="n">
        <v/>
      </c>
      <c r="P5" t="n">
        <v/>
      </c>
      <c r="Q5" t="n">
        <v/>
      </c>
      <c r="R5" t="n">
        <v/>
      </c>
      <c r="S5" t="n">
        <v/>
      </c>
      <c r="T5" t="n">
        <v/>
      </c>
      <c r="U5" t="n">
        <v/>
      </c>
      <c r="V5" t="n">
        <v/>
      </c>
      <c r="W5" t="n">
        <v/>
      </c>
      <c r="X5" t="n">
        <v/>
      </c>
      <c r="Y5" t="n">
        <v/>
      </c>
      <c r="Z5" t="n">
        <v/>
      </c>
      <c r="AA5" t="n">
        <v/>
      </c>
      <c r="AB5" t="n">
        <v/>
      </c>
      <c r="AC5" t="n">
        <v/>
      </c>
      <c r="AD5" t="n">
        <v/>
      </c>
      <c r="AE5" t="n">
        <v/>
      </c>
    </row>
    <row r="6">
      <c r="A6" s="87" t="n">
        <v>18749</v>
      </c>
      <c r="B6" t="n">
        <v/>
      </c>
      <c r="C6" t="n">
        <v/>
      </c>
      <c r="D6" t="n">
        <v/>
      </c>
      <c r="E6" t="n">
        <v/>
      </c>
      <c r="F6" t="n">
        <v/>
      </c>
      <c r="G6" t="n">
        <v/>
      </c>
      <c r="H6" t="n">
        <v/>
      </c>
      <c r="I6" t="n">
        <v/>
      </c>
      <c r="J6" t="n">
        <v/>
      </c>
      <c r="K6" t="n">
        <v/>
      </c>
      <c r="L6" t="n">
        <v/>
      </c>
      <c r="M6" t="n">
        <v/>
      </c>
      <c r="N6" t="n">
        <v/>
      </c>
      <c r="O6" t="n">
        <v/>
      </c>
      <c r="P6" t="n">
        <v>0.02098284</v>
      </c>
      <c r="Q6" t="n">
        <v/>
      </c>
      <c r="R6" t="n">
        <v/>
      </c>
      <c r="S6" t="n">
        <v/>
      </c>
      <c r="T6" t="n">
        <v/>
      </c>
      <c r="U6" t="n">
        <v/>
      </c>
      <c r="V6" t="n">
        <v/>
      </c>
      <c r="W6" t="n">
        <v/>
      </c>
      <c r="X6" t="n">
        <v/>
      </c>
      <c r="Y6" t="n">
        <v/>
      </c>
      <c r="Z6" t="n">
        <v/>
      </c>
      <c r="AA6" t="n">
        <v/>
      </c>
      <c r="AB6" t="n">
        <v/>
      </c>
      <c r="AC6" t="n">
        <v/>
      </c>
      <c r="AD6" t="n">
        <v/>
      </c>
      <c r="AE6" t="n">
        <v/>
      </c>
    </row>
    <row r="7">
      <c r="A7" s="87" t="n">
        <v>18780</v>
      </c>
      <c r="B7" t="n">
        <v/>
      </c>
      <c r="C7" t="n">
        <v/>
      </c>
      <c r="D7" t="n">
        <v/>
      </c>
      <c r="E7" t="n">
        <v/>
      </c>
      <c r="F7" t="n">
        <v/>
      </c>
      <c r="G7" t="n">
        <v/>
      </c>
      <c r="H7" t="n">
        <v/>
      </c>
      <c r="I7" t="n">
        <v/>
      </c>
      <c r="J7" t="n">
        <v/>
      </c>
      <c r="K7" t="n">
        <v/>
      </c>
      <c r="L7" t="n">
        <v/>
      </c>
      <c r="M7" t="n">
        <v/>
      </c>
      <c r="N7" t="n">
        <v/>
      </c>
      <c r="O7" t="n">
        <v/>
      </c>
      <c r="P7" t="n">
        <v>0.02089351</v>
      </c>
      <c r="Q7" t="n">
        <v/>
      </c>
      <c r="R7" t="n">
        <v/>
      </c>
      <c r="S7" t="n">
        <v/>
      </c>
      <c r="T7" t="n">
        <v/>
      </c>
      <c r="U7" t="n">
        <v/>
      </c>
      <c r="V7" t="n">
        <v/>
      </c>
      <c r="W7" t="n">
        <v/>
      </c>
      <c r="X7" t="n">
        <v/>
      </c>
      <c r="Y7" t="n">
        <v/>
      </c>
      <c r="Z7" t="n">
        <v/>
      </c>
      <c r="AA7" t="n">
        <v/>
      </c>
      <c r="AB7" t="n">
        <v/>
      </c>
      <c r="AC7" t="n">
        <v/>
      </c>
      <c r="AD7" t="n">
        <v/>
      </c>
      <c r="AE7" t="n">
        <v/>
      </c>
    </row>
    <row r="8">
      <c r="A8" s="87" t="n">
        <v>18810</v>
      </c>
      <c r="B8" t="n">
        <v/>
      </c>
      <c r="C8" t="n">
        <v/>
      </c>
      <c r="D8" t="n">
        <v/>
      </c>
      <c r="E8" t="n">
        <v/>
      </c>
      <c r="F8" t="n">
        <v/>
      </c>
      <c r="G8" t="n">
        <v/>
      </c>
      <c r="H8" t="n">
        <v/>
      </c>
      <c r="I8" t="n">
        <v/>
      </c>
      <c r="J8" t="n">
        <v/>
      </c>
      <c r="K8" t="n">
        <v/>
      </c>
      <c r="L8" t="n">
        <v/>
      </c>
      <c r="M8" t="n">
        <v/>
      </c>
      <c r="N8" t="n">
        <v/>
      </c>
      <c r="O8" t="n">
        <v/>
      </c>
      <c r="P8" t="n">
        <v>0.02073329</v>
      </c>
      <c r="Q8" t="n">
        <v/>
      </c>
      <c r="R8" t="n">
        <v/>
      </c>
      <c r="S8" t="n">
        <v/>
      </c>
      <c r="T8" t="n">
        <v/>
      </c>
      <c r="U8" t="n">
        <v/>
      </c>
      <c r="V8" t="n">
        <v/>
      </c>
      <c r="W8" t="n">
        <v/>
      </c>
      <c r="X8" t="n">
        <v/>
      </c>
      <c r="Y8" t="n">
        <v/>
      </c>
      <c r="Z8" t="n">
        <v/>
      </c>
      <c r="AA8" t="n">
        <v/>
      </c>
      <c r="AB8" t="n">
        <v/>
      </c>
      <c r="AC8" t="n">
        <v/>
      </c>
      <c r="AD8" t="n">
        <v/>
      </c>
      <c r="AE8" t="n">
        <v/>
      </c>
    </row>
    <row r="9">
      <c r="A9" s="87" t="n">
        <v>18841</v>
      </c>
      <c r="B9" t="n">
        <v/>
      </c>
      <c r="C9" t="n">
        <v/>
      </c>
      <c r="D9" t="n">
        <v/>
      </c>
      <c r="E9" t="n">
        <v/>
      </c>
      <c r="F9" t="n">
        <v/>
      </c>
      <c r="G9" t="n">
        <v/>
      </c>
      <c r="H9" t="n">
        <v/>
      </c>
      <c r="I9" t="n">
        <v/>
      </c>
      <c r="J9" t="n">
        <v/>
      </c>
      <c r="K9" t="n">
        <v/>
      </c>
      <c r="L9" t="n">
        <v/>
      </c>
      <c r="M9" t="n">
        <v/>
      </c>
      <c r="N9" t="n">
        <v/>
      </c>
      <c r="O9" t="n">
        <v/>
      </c>
      <c r="P9" t="n">
        <v>0.02056927</v>
      </c>
      <c r="Q9" t="n">
        <v/>
      </c>
      <c r="R9" t="n">
        <v/>
      </c>
      <c r="S9" t="n">
        <v/>
      </c>
      <c r="T9" t="n">
        <v/>
      </c>
      <c r="U9" t="n">
        <v/>
      </c>
      <c r="V9" t="n">
        <v/>
      </c>
      <c r="W9" t="n">
        <v/>
      </c>
      <c r="X9" t="n">
        <v/>
      </c>
      <c r="Y9" t="n">
        <v/>
      </c>
      <c r="Z9" t="n">
        <v/>
      </c>
      <c r="AA9" t="n">
        <v/>
      </c>
      <c r="AB9" t="n">
        <v/>
      </c>
      <c r="AC9" t="n">
        <v/>
      </c>
      <c r="AD9" t="n">
        <v/>
      </c>
      <c r="AE9" t="n">
        <v/>
      </c>
    </row>
    <row r="10">
      <c r="A10" s="87" t="n">
        <v>18872</v>
      </c>
      <c r="B10" t="n">
        <v/>
      </c>
      <c r="C10" t="n">
        <v/>
      </c>
      <c r="D10" t="n">
        <v/>
      </c>
      <c r="E10" t="n">
        <v/>
      </c>
      <c r="F10" t="n">
        <v/>
      </c>
      <c r="G10" t="n">
        <v/>
      </c>
      <c r="H10" t="n">
        <v/>
      </c>
      <c r="I10" t="n">
        <v/>
      </c>
      <c r="J10" t="n">
        <v/>
      </c>
      <c r="K10" t="n">
        <v/>
      </c>
      <c r="L10" t="n">
        <v/>
      </c>
      <c r="M10" t="n">
        <v/>
      </c>
      <c r="N10" t="n">
        <v/>
      </c>
      <c r="O10" t="n">
        <v/>
      </c>
      <c r="P10" t="n">
        <v>0.02033067</v>
      </c>
      <c r="Q10" t="n">
        <v/>
      </c>
      <c r="R10" t="n">
        <v/>
      </c>
      <c r="S10" t="n">
        <v/>
      </c>
      <c r="T10" t="n">
        <v/>
      </c>
      <c r="U10" t="n">
        <v/>
      </c>
      <c r="V10" t="n">
        <v/>
      </c>
      <c r="W10" t="n">
        <v/>
      </c>
      <c r="X10" t="n">
        <v/>
      </c>
      <c r="Y10" t="n">
        <v/>
      </c>
      <c r="Z10" t="n">
        <v/>
      </c>
      <c r="AA10" t="n">
        <v/>
      </c>
      <c r="AB10" t="n">
        <v/>
      </c>
      <c r="AC10" t="n">
        <v/>
      </c>
      <c r="AD10" t="n">
        <v/>
      </c>
      <c r="AE10" t="n">
        <v/>
      </c>
    </row>
    <row r="11">
      <c r="A11" s="87" t="n">
        <v>18902</v>
      </c>
      <c r="B11" t="n">
        <v/>
      </c>
      <c r="C11" t="n">
        <v/>
      </c>
      <c r="D11" t="n">
        <v/>
      </c>
      <c r="E11" t="n">
        <v/>
      </c>
      <c r="F11" t="n">
        <v/>
      </c>
      <c r="G11" t="n">
        <v/>
      </c>
      <c r="H11" t="n">
        <v/>
      </c>
      <c r="I11" t="n">
        <v/>
      </c>
      <c r="J11" t="n">
        <v/>
      </c>
      <c r="K11" t="n">
        <v/>
      </c>
      <c r="L11" t="n">
        <v/>
      </c>
      <c r="M11" t="n">
        <v/>
      </c>
      <c r="N11" t="n">
        <v/>
      </c>
      <c r="O11" t="n">
        <v/>
      </c>
      <c r="P11" t="n">
        <v>0.02017183</v>
      </c>
      <c r="Q11" t="n">
        <v/>
      </c>
      <c r="R11" t="n">
        <v/>
      </c>
      <c r="S11" t="n">
        <v/>
      </c>
      <c r="T11" t="n">
        <v/>
      </c>
      <c r="U11" t="n">
        <v/>
      </c>
      <c r="V11" t="n">
        <v/>
      </c>
      <c r="W11" t="n">
        <v/>
      </c>
      <c r="X11" t="n">
        <v/>
      </c>
      <c r="Y11" t="n">
        <v/>
      </c>
      <c r="Z11" t="n">
        <v/>
      </c>
      <c r="AA11" t="n">
        <v/>
      </c>
      <c r="AB11" t="n">
        <v/>
      </c>
      <c r="AC11" t="n">
        <v/>
      </c>
      <c r="AD11" t="n">
        <v/>
      </c>
      <c r="AE11" t="n">
        <v/>
      </c>
    </row>
    <row r="12">
      <c r="A12" s="87" t="n">
        <v>18933</v>
      </c>
      <c r="B12" t="n">
        <v/>
      </c>
      <c r="C12" t="n">
        <v/>
      </c>
      <c r="D12" t="n">
        <v/>
      </c>
      <c r="E12" t="n">
        <v/>
      </c>
      <c r="F12" t="n">
        <v/>
      </c>
      <c r="G12" t="n">
        <v/>
      </c>
      <c r="H12" t="n">
        <v/>
      </c>
      <c r="I12" t="n">
        <v/>
      </c>
      <c r="J12" t="n">
        <v/>
      </c>
      <c r="K12" t="n">
        <v/>
      </c>
      <c r="L12" t="n">
        <v/>
      </c>
      <c r="M12" t="n">
        <v/>
      </c>
      <c r="N12" t="n">
        <v/>
      </c>
      <c r="O12" t="n">
        <v/>
      </c>
      <c r="P12" t="n">
        <v>0.02003792</v>
      </c>
      <c r="Q12" t="n">
        <v/>
      </c>
      <c r="R12" t="n">
        <v/>
      </c>
      <c r="S12" t="n">
        <v/>
      </c>
      <c r="T12" t="n">
        <v/>
      </c>
      <c r="U12" t="n">
        <v/>
      </c>
      <c r="V12" t="n">
        <v/>
      </c>
      <c r="W12" t="n">
        <v/>
      </c>
      <c r="X12" t="n">
        <v/>
      </c>
      <c r="Y12" t="n">
        <v/>
      </c>
      <c r="Z12" t="n">
        <v/>
      </c>
      <c r="AA12" t="n">
        <v/>
      </c>
      <c r="AB12" t="n">
        <v/>
      </c>
      <c r="AC12" t="n">
        <v/>
      </c>
      <c r="AD12" t="n">
        <v/>
      </c>
      <c r="AE12" t="n">
        <v/>
      </c>
    </row>
    <row r="13">
      <c r="A13" s="87" t="n">
        <v>18963</v>
      </c>
      <c r="B13" t="n">
        <v/>
      </c>
      <c r="C13" t="n">
        <v/>
      </c>
      <c r="D13" t="n">
        <v/>
      </c>
      <c r="E13" t="n">
        <v/>
      </c>
      <c r="F13" t="n">
        <v/>
      </c>
      <c r="G13" t="n">
        <v/>
      </c>
      <c r="H13" t="n">
        <v/>
      </c>
      <c r="I13" t="n">
        <v/>
      </c>
      <c r="J13" t="n">
        <v/>
      </c>
      <c r="K13" t="n">
        <v/>
      </c>
      <c r="L13" t="n">
        <v/>
      </c>
      <c r="M13" t="n">
        <v/>
      </c>
      <c r="N13" t="n">
        <v/>
      </c>
      <c r="O13" t="n">
        <v/>
      </c>
      <c r="P13" t="n">
        <v>0.01990365</v>
      </c>
      <c r="Q13" t="n">
        <v/>
      </c>
      <c r="R13" t="n">
        <v/>
      </c>
      <c r="S13" t="n">
        <v/>
      </c>
      <c r="T13" t="n">
        <v/>
      </c>
      <c r="U13" t="n">
        <v/>
      </c>
      <c r="V13" t="n">
        <v/>
      </c>
      <c r="W13" t="n">
        <v/>
      </c>
      <c r="X13" t="n">
        <v/>
      </c>
      <c r="Y13" t="n">
        <v/>
      </c>
      <c r="Z13" t="n">
        <v/>
      </c>
      <c r="AA13" t="n">
        <v/>
      </c>
      <c r="AB13" t="n">
        <v/>
      </c>
      <c r="AC13" t="n">
        <v/>
      </c>
      <c r="AD13" t="n">
        <v/>
      </c>
      <c r="AE13" t="n">
        <v/>
      </c>
    </row>
    <row r="14">
      <c r="A14" s="87" t="n">
        <v>18994</v>
      </c>
      <c r="B14" t="n">
        <v/>
      </c>
      <c r="C14" t="n">
        <v/>
      </c>
      <c r="D14" t="n">
        <v/>
      </c>
      <c r="E14" t="n">
        <v/>
      </c>
      <c r="F14" t="n">
        <v/>
      </c>
      <c r="G14" t="n">
        <v/>
      </c>
      <c r="H14" t="n">
        <v/>
      </c>
      <c r="I14" t="n">
        <v/>
      </c>
      <c r="J14" t="n">
        <v/>
      </c>
      <c r="K14" t="n">
        <v/>
      </c>
      <c r="L14" t="n">
        <v/>
      </c>
      <c r="M14" t="n">
        <v/>
      </c>
      <c r="N14" t="n">
        <v/>
      </c>
      <c r="O14" t="n">
        <v/>
      </c>
      <c r="P14" t="n">
        <v>0.01990894</v>
      </c>
      <c r="Q14" t="n">
        <v/>
      </c>
      <c r="R14" t="n">
        <v/>
      </c>
      <c r="S14" t="n">
        <v/>
      </c>
      <c r="T14" t="n">
        <v/>
      </c>
      <c r="U14" t="n">
        <v/>
      </c>
      <c r="V14" t="n">
        <v/>
      </c>
      <c r="W14" t="n">
        <v/>
      </c>
      <c r="X14" t="n">
        <v/>
      </c>
      <c r="Y14" t="n">
        <v/>
      </c>
      <c r="Z14" t="n">
        <v/>
      </c>
      <c r="AA14" t="n">
        <v/>
      </c>
      <c r="AB14" t="n">
        <v/>
      </c>
      <c r="AC14" t="n">
        <v/>
      </c>
      <c r="AD14" t="n">
        <v/>
      </c>
      <c r="AE14" t="n">
        <v/>
      </c>
    </row>
    <row r="15">
      <c r="A15" s="87" t="n">
        <v>19025</v>
      </c>
      <c r="B15" t="n">
        <v/>
      </c>
      <c r="C15" t="n">
        <v/>
      </c>
      <c r="D15" t="n">
        <v/>
      </c>
      <c r="E15" t="n">
        <v/>
      </c>
      <c r="F15" t="n">
        <v/>
      </c>
      <c r="G15" t="n">
        <v/>
      </c>
      <c r="H15" t="n">
        <v/>
      </c>
      <c r="I15" t="n">
        <v/>
      </c>
      <c r="J15" t="n">
        <v/>
      </c>
      <c r="K15" t="n">
        <v/>
      </c>
      <c r="L15" t="n">
        <v/>
      </c>
      <c r="M15" t="n">
        <v/>
      </c>
      <c r="N15" t="n">
        <v/>
      </c>
      <c r="O15" t="n">
        <v/>
      </c>
      <c r="P15" t="n">
        <v>0.01981428</v>
      </c>
      <c r="Q15" t="n">
        <v/>
      </c>
      <c r="R15" t="n">
        <v/>
      </c>
      <c r="S15" t="n">
        <v/>
      </c>
      <c r="T15" t="n">
        <v/>
      </c>
      <c r="U15" t="n">
        <v/>
      </c>
      <c r="V15" t="n">
        <v/>
      </c>
      <c r="W15" t="n">
        <v/>
      </c>
      <c r="X15" t="n">
        <v/>
      </c>
      <c r="Y15" t="n">
        <v/>
      </c>
      <c r="Z15" t="n">
        <v/>
      </c>
      <c r="AA15" t="n">
        <v/>
      </c>
      <c r="AB15" t="n">
        <v/>
      </c>
      <c r="AC15" t="n">
        <v/>
      </c>
      <c r="AD15" t="n">
        <v/>
      </c>
      <c r="AE15" t="n">
        <v/>
      </c>
    </row>
    <row r="16">
      <c r="A16" s="87" t="n">
        <v>19054</v>
      </c>
      <c r="B16" t="n">
        <v/>
      </c>
      <c r="C16" t="n">
        <v/>
      </c>
      <c r="D16" t="n">
        <v/>
      </c>
      <c r="E16" t="n">
        <v/>
      </c>
      <c r="F16" t="n">
        <v/>
      </c>
      <c r="G16" t="n">
        <v/>
      </c>
      <c r="H16" t="n">
        <v/>
      </c>
      <c r="I16" t="n">
        <v/>
      </c>
      <c r="J16" t="n">
        <v/>
      </c>
      <c r="K16" t="n">
        <v/>
      </c>
      <c r="L16" t="n">
        <v/>
      </c>
      <c r="M16" t="n">
        <v/>
      </c>
      <c r="N16" t="n">
        <v/>
      </c>
      <c r="O16" t="n">
        <v/>
      </c>
      <c r="P16" t="n">
        <v>0.01958432</v>
      </c>
      <c r="Q16" t="n">
        <v/>
      </c>
      <c r="R16" t="n">
        <v/>
      </c>
      <c r="S16" t="n">
        <v/>
      </c>
      <c r="T16" t="n">
        <v/>
      </c>
      <c r="U16" t="n">
        <v/>
      </c>
      <c r="V16" t="n">
        <v/>
      </c>
      <c r="W16" t="n">
        <v/>
      </c>
      <c r="X16" t="n">
        <v/>
      </c>
      <c r="Y16" t="n">
        <v/>
      </c>
      <c r="Z16" t="n">
        <v/>
      </c>
      <c r="AA16" t="n">
        <v/>
      </c>
      <c r="AB16" t="n">
        <v/>
      </c>
      <c r="AC16" t="n">
        <v/>
      </c>
      <c r="AD16" t="n">
        <v/>
      </c>
      <c r="AE16" t="n">
        <v/>
      </c>
    </row>
    <row r="17">
      <c r="A17" s="87" t="n">
        <v>19085</v>
      </c>
      <c r="B17" t="n">
        <v/>
      </c>
      <c r="C17" t="n">
        <v/>
      </c>
      <c r="D17" t="n">
        <v/>
      </c>
      <c r="E17" t="n">
        <v/>
      </c>
      <c r="F17" t="n">
        <v/>
      </c>
      <c r="G17" t="n">
        <v/>
      </c>
      <c r="H17" t="n">
        <v/>
      </c>
      <c r="I17" t="n">
        <v/>
      </c>
      <c r="J17" t="n">
        <v/>
      </c>
      <c r="K17" t="n">
        <v/>
      </c>
      <c r="L17" t="n">
        <v/>
      </c>
      <c r="M17" t="n">
        <v/>
      </c>
      <c r="N17" t="n">
        <v/>
      </c>
      <c r="O17" t="n">
        <v/>
      </c>
      <c r="P17" t="n">
        <v>0.01940475</v>
      </c>
      <c r="Q17" t="n">
        <v/>
      </c>
      <c r="R17" t="n">
        <v/>
      </c>
      <c r="S17" t="n">
        <v/>
      </c>
      <c r="T17" t="n">
        <v/>
      </c>
      <c r="U17" t="n">
        <v/>
      </c>
      <c r="V17" t="n">
        <v/>
      </c>
      <c r="W17" t="n">
        <v/>
      </c>
      <c r="X17" t="n">
        <v/>
      </c>
      <c r="Y17" t="n">
        <v/>
      </c>
      <c r="Z17" t="n">
        <v/>
      </c>
      <c r="AA17" t="n">
        <v/>
      </c>
      <c r="AB17" t="n">
        <v/>
      </c>
      <c r="AC17" t="n">
        <v/>
      </c>
      <c r="AD17" t="n">
        <v/>
      </c>
      <c r="AE17" t="n">
        <v/>
      </c>
    </row>
    <row r="18">
      <c r="A18" s="87" t="n">
        <v>19115</v>
      </c>
      <c r="B18" t="n">
        <v/>
      </c>
      <c r="C18" t="n">
        <v/>
      </c>
      <c r="D18" t="n">
        <v/>
      </c>
      <c r="E18" t="n">
        <v/>
      </c>
      <c r="F18" t="n">
        <v/>
      </c>
      <c r="G18" t="n">
        <v/>
      </c>
      <c r="H18" t="n">
        <v/>
      </c>
      <c r="I18" t="n">
        <v/>
      </c>
      <c r="J18" t="n">
        <v/>
      </c>
      <c r="K18" t="n">
        <v/>
      </c>
      <c r="L18" t="n">
        <v/>
      </c>
      <c r="M18" t="n">
        <v/>
      </c>
      <c r="N18" t="n">
        <v/>
      </c>
      <c r="O18" t="n">
        <v/>
      </c>
      <c r="P18" t="n">
        <v>0.01929388</v>
      </c>
      <c r="Q18" t="n">
        <v/>
      </c>
      <c r="R18" t="n">
        <v/>
      </c>
      <c r="S18" t="n">
        <v/>
      </c>
      <c r="T18" t="n">
        <v/>
      </c>
      <c r="U18" t="n">
        <v/>
      </c>
      <c r="V18" t="n">
        <v/>
      </c>
      <c r="W18" t="n">
        <v/>
      </c>
      <c r="X18" t="n">
        <v/>
      </c>
      <c r="Y18" t="n">
        <v/>
      </c>
      <c r="Z18" t="n">
        <v/>
      </c>
      <c r="AA18" t="n">
        <v/>
      </c>
      <c r="AB18" t="n">
        <v/>
      </c>
      <c r="AC18" t="n">
        <v/>
      </c>
      <c r="AD18" t="n">
        <v/>
      </c>
      <c r="AE18" t="n">
        <v/>
      </c>
    </row>
    <row r="19">
      <c r="A19" s="87" t="n">
        <v>19146</v>
      </c>
      <c r="B19" t="n">
        <v/>
      </c>
      <c r="C19" t="n">
        <v/>
      </c>
      <c r="D19" t="n">
        <v/>
      </c>
      <c r="E19" t="n">
        <v/>
      </c>
      <c r="F19" t="n">
        <v/>
      </c>
      <c r="G19" t="n">
        <v/>
      </c>
      <c r="H19" t="n">
        <v/>
      </c>
      <c r="I19" t="n">
        <v/>
      </c>
      <c r="J19" t="n">
        <v/>
      </c>
      <c r="K19" t="n">
        <v/>
      </c>
      <c r="L19" t="n">
        <v/>
      </c>
      <c r="M19" t="n">
        <v/>
      </c>
      <c r="N19" t="n">
        <v/>
      </c>
      <c r="O19" t="n">
        <v/>
      </c>
      <c r="P19" t="n">
        <v>0.01933598</v>
      </c>
      <c r="Q19" t="n">
        <v/>
      </c>
      <c r="R19" t="n">
        <v/>
      </c>
      <c r="S19" t="n">
        <v/>
      </c>
      <c r="T19" t="n">
        <v/>
      </c>
      <c r="U19" t="n">
        <v/>
      </c>
      <c r="V19" t="n">
        <v/>
      </c>
      <c r="W19" t="n">
        <v/>
      </c>
      <c r="X19" t="n">
        <v/>
      </c>
      <c r="Y19" t="n">
        <v/>
      </c>
      <c r="Z19" t="n">
        <v/>
      </c>
      <c r="AA19" t="n">
        <v/>
      </c>
      <c r="AB19" t="n">
        <v/>
      </c>
      <c r="AC19" t="n">
        <v/>
      </c>
      <c r="AD19" t="n">
        <v/>
      </c>
      <c r="AE19" t="n">
        <v/>
      </c>
    </row>
    <row r="20">
      <c r="A20" s="87" t="n">
        <v>19176</v>
      </c>
      <c r="B20" t="n">
        <v/>
      </c>
      <c r="C20" t="n">
        <v/>
      </c>
      <c r="D20" t="n">
        <v/>
      </c>
      <c r="E20" t="n">
        <v/>
      </c>
      <c r="F20" t="n">
        <v/>
      </c>
      <c r="G20" t="n">
        <v/>
      </c>
      <c r="H20" t="n">
        <v/>
      </c>
      <c r="I20" t="n">
        <v/>
      </c>
      <c r="J20" t="n">
        <v/>
      </c>
      <c r="K20" t="n">
        <v/>
      </c>
      <c r="L20" t="n">
        <v/>
      </c>
      <c r="M20" t="n">
        <v/>
      </c>
      <c r="N20" t="n">
        <v/>
      </c>
      <c r="O20" t="n">
        <v/>
      </c>
      <c r="P20" t="n">
        <v>0.019453</v>
      </c>
      <c r="Q20" t="n">
        <v/>
      </c>
      <c r="R20" t="n">
        <v/>
      </c>
      <c r="S20" t="n">
        <v/>
      </c>
      <c r="T20" t="n">
        <v/>
      </c>
      <c r="U20" t="n">
        <v/>
      </c>
      <c r="V20" t="n">
        <v/>
      </c>
      <c r="W20" t="n">
        <v/>
      </c>
      <c r="X20" t="n">
        <v/>
      </c>
      <c r="Y20" t="n">
        <v/>
      </c>
      <c r="Z20" t="n">
        <v/>
      </c>
      <c r="AA20" t="n">
        <v/>
      </c>
      <c r="AB20" t="n">
        <v/>
      </c>
      <c r="AC20" t="n">
        <v/>
      </c>
      <c r="AD20" t="n">
        <v/>
      </c>
      <c r="AE20" t="n">
        <v/>
      </c>
    </row>
    <row r="21">
      <c r="A21" s="87" t="n">
        <v>19207</v>
      </c>
      <c r="B21" t="n">
        <v/>
      </c>
      <c r="C21" t="n">
        <v/>
      </c>
      <c r="D21" t="n">
        <v/>
      </c>
      <c r="E21" t="n">
        <v/>
      </c>
      <c r="F21" t="n">
        <v/>
      </c>
      <c r="G21" t="n">
        <v/>
      </c>
      <c r="H21" t="n">
        <v/>
      </c>
      <c r="I21" t="n">
        <v/>
      </c>
      <c r="J21" t="n">
        <v/>
      </c>
      <c r="K21" t="n">
        <v/>
      </c>
      <c r="L21" t="n">
        <v/>
      </c>
      <c r="M21" t="n">
        <v/>
      </c>
      <c r="N21" t="n">
        <v/>
      </c>
      <c r="O21" t="n">
        <v/>
      </c>
      <c r="P21" t="n">
        <v>0.01947889</v>
      </c>
      <c r="Q21" t="n">
        <v/>
      </c>
      <c r="R21" t="n">
        <v/>
      </c>
      <c r="S21" t="n">
        <v/>
      </c>
      <c r="T21" t="n">
        <v/>
      </c>
      <c r="U21" t="n">
        <v/>
      </c>
      <c r="V21" t="n">
        <v/>
      </c>
      <c r="W21" t="n">
        <v/>
      </c>
      <c r="X21" t="n">
        <v/>
      </c>
      <c r="Y21" t="n">
        <v/>
      </c>
      <c r="Z21" t="n">
        <v/>
      </c>
      <c r="AA21" t="n">
        <v/>
      </c>
      <c r="AB21" t="n">
        <v/>
      </c>
      <c r="AC21" t="n">
        <v/>
      </c>
      <c r="AD21" t="n">
        <v/>
      </c>
      <c r="AE21" t="n">
        <v/>
      </c>
    </row>
    <row r="22">
      <c r="A22" s="87" t="n">
        <v>19238</v>
      </c>
      <c r="B22" t="n">
        <v/>
      </c>
      <c r="C22" t="n">
        <v/>
      </c>
      <c r="D22" t="n">
        <v/>
      </c>
      <c r="E22" t="n">
        <v/>
      </c>
      <c r="F22" t="n">
        <v/>
      </c>
      <c r="G22" t="n">
        <v/>
      </c>
      <c r="H22" t="n">
        <v/>
      </c>
      <c r="I22" t="n">
        <v/>
      </c>
      <c r="J22" t="n">
        <v/>
      </c>
      <c r="K22" t="n">
        <v/>
      </c>
      <c r="L22" t="n">
        <v/>
      </c>
      <c r="M22" t="n">
        <v/>
      </c>
      <c r="N22" t="n">
        <v/>
      </c>
      <c r="O22" t="n">
        <v/>
      </c>
      <c r="P22" t="n">
        <v>0.01949227</v>
      </c>
      <c r="Q22" t="n">
        <v/>
      </c>
      <c r="R22" t="n">
        <v/>
      </c>
      <c r="S22" t="n">
        <v/>
      </c>
      <c r="T22" t="n">
        <v/>
      </c>
      <c r="U22" t="n">
        <v/>
      </c>
      <c r="V22" t="n">
        <v/>
      </c>
      <c r="W22" t="n">
        <v/>
      </c>
      <c r="X22" t="n">
        <v/>
      </c>
      <c r="Y22" t="n">
        <v/>
      </c>
      <c r="Z22" t="n">
        <v/>
      </c>
      <c r="AA22" t="n">
        <v/>
      </c>
      <c r="AB22" t="n">
        <v/>
      </c>
      <c r="AC22" t="n">
        <v/>
      </c>
      <c r="AD22" t="n">
        <v/>
      </c>
      <c r="AE22" t="n">
        <v/>
      </c>
    </row>
    <row r="23">
      <c r="A23" s="87" t="n">
        <v>19268</v>
      </c>
      <c r="B23" t="n">
        <v/>
      </c>
      <c r="C23" t="n">
        <v/>
      </c>
      <c r="D23" t="n">
        <v/>
      </c>
      <c r="E23" t="n">
        <v/>
      </c>
      <c r="F23" t="n">
        <v/>
      </c>
      <c r="G23" t="n">
        <v/>
      </c>
      <c r="H23" t="n">
        <v/>
      </c>
      <c r="I23" t="n">
        <v/>
      </c>
      <c r="J23" t="n">
        <v/>
      </c>
      <c r="K23" t="n">
        <v/>
      </c>
      <c r="L23" t="n">
        <v/>
      </c>
      <c r="M23" t="n">
        <v/>
      </c>
      <c r="N23" t="n">
        <v/>
      </c>
      <c r="O23" t="n">
        <v/>
      </c>
      <c r="P23" t="n">
        <v>0.01944223</v>
      </c>
      <c r="Q23" t="n">
        <v/>
      </c>
      <c r="R23" t="n">
        <v/>
      </c>
      <c r="S23" t="n">
        <v/>
      </c>
      <c r="T23" t="n">
        <v/>
      </c>
      <c r="U23" t="n">
        <v/>
      </c>
      <c r="V23" t="n">
        <v/>
      </c>
      <c r="W23" t="n">
        <v/>
      </c>
      <c r="X23" t="n">
        <v/>
      </c>
      <c r="Y23" t="n">
        <v/>
      </c>
      <c r="Z23" t="n">
        <v/>
      </c>
      <c r="AA23" t="n">
        <v/>
      </c>
      <c r="AB23" t="n">
        <v/>
      </c>
      <c r="AC23" t="n">
        <v/>
      </c>
      <c r="AD23" t="n">
        <v/>
      </c>
      <c r="AE23" t="n">
        <v/>
      </c>
    </row>
    <row r="24">
      <c r="A24" s="87" t="n">
        <v>19299</v>
      </c>
      <c r="B24" t="n">
        <v/>
      </c>
      <c r="C24" t="n">
        <v/>
      </c>
      <c r="D24" t="n">
        <v/>
      </c>
      <c r="E24" t="n">
        <v/>
      </c>
      <c r="F24" t="n">
        <v/>
      </c>
      <c r="G24" t="n">
        <v/>
      </c>
      <c r="H24" t="n">
        <v/>
      </c>
      <c r="I24" t="n">
        <v/>
      </c>
      <c r="J24" t="n">
        <v/>
      </c>
      <c r="K24" t="n">
        <v/>
      </c>
      <c r="L24" t="n">
        <v/>
      </c>
      <c r="M24" t="n">
        <v/>
      </c>
      <c r="N24" t="n">
        <v/>
      </c>
      <c r="O24" t="n">
        <v/>
      </c>
      <c r="P24" t="n">
        <v>0.01935626</v>
      </c>
      <c r="Q24" t="n">
        <v/>
      </c>
      <c r="R24" t="n">
        <v/>
      </c>
      <c r="S24" t="n">
        <v/>
      </c>
      <c r="T24" t="n">
        <v/>
      </c>
      <c r="U24" t="n">
        <v/>
      </c>
      <c r="V24" t="n">
        <v/>
      </c>
      <c r="W24" t="n">
        <v/>
      </c>
      <c r="X24" t="n">
        <v/>
      </c>
      <c r="Y24" t="n">
        <v/>
      </c>
      <c r="Z24" t="n">
        <v/>
      </c>
      <c r="AA24" t="n">
        <v/>
      </c>
      <c r="AB24" t="n">
        <v/>
      </c>
      <c r="AC24" t="n">
        <v/>
      </c>
      <c r="AD24" t="n">
        <v/>
      </c>
      <c r="AE24" t="n">
        <v/>
      </c>
    </row>
    <row r="25">
      <c r="A25" s="87" t="n">
        <v>19329</v>
      </c>
      <c r="B25" t="n">
        <v/>
      </c>
      <c r="C25" t="n">
        <v/>
      </c>
      <c r="D25" t="n">
        <v/>
      </c>
      <c r="E25" t="n">
        <v/>
      </c>
      <c r="F25" t="n">
        <v/>
      </c>
      <c r="G25" t="n">
        <v/>
      </c>
      <c r="H25" t="n">
        <v/>
      </c>
      <c r="I25" t="n">
        <v/>
      </c>
      <c r="J25" t="n">
        <v/>
      </c>
      <c r="K25" t="n">
        <v/>
      </c>
      <c r="L25" t="n">
        <v/>
      </c>
      <c r="M25" t="n">
        <v/>
      </c>
      <c r="N25" t="n">
        <v/>
      </c>
      <c r="O25" t="n">
        <v/>
      </c>
      <c r="P25" t="n">
        <v>0.01935452</v>
      </c>
      <c r="Q25" t="n">
        <v/>
      </c>
      <c r="R25" t="n">
        <v/>
      </c>
      <c r="S25" t="n">
        <v/>
      </c>
      <c r="T25" t="n">
        <v/>
      </c>
      <c r="U25" t="n">
        <v/>
      </c>
      <c r="V25" t="n">
        <v/>
      </c>
      <c r="W25" t="n">
        <v/>
      </c>
      <c r="X25" t="n">
        <v/>
      </c>
      <c r="Y25" t="n">
        <v/>
      </c>
      <c r="Z25" t="n">
        <v/>
      </c>
      <c r="AA25" t="n">
        <v/>
      </c>
      <c r="AB25" t="n">
        <v/>
      </c>
      <c r="AC25" t="n">
        <v/>
      </c>
      <c r="AD25" t="n">
        <v/>
      </c>
      <c r="AE25" t="n">
        <v/>
      </c>
    </row>
    <row r="26">
      <c r="A26" s="87" t="n">
        <v>19360</v>
      </c>
      <c r="B26" t="n">
        <v/>
      </c>
      <c r="C26" t="n">
        <v/>
      </c>
      <c r="D26" t="n">
        <v/>
      </c>
      <c r="E26" t="n">
        <v/>
      </c>
      <c r="F26" t="n">
        <v/>
      </c>
      <c r="G26" t="n">
        <v/>
      </c>
      <c r="H26" t="n">
        <v/>
      </c>
      <c r="I26" t="n">
        <v/>
      </c>
      <c r="J26" t="n">
        <v/>
      </c>
      <c r="K26" t="n">
        <v/>
      </c>
      <c r="L26" t="n">
        <v/>
      </c>
      <c r="M26" t="n">
        <v/>
      </c>
      <c r="N26" t="n">
        <v/>
      </c>
      <c r="O26" t="n">
        <v/>
      </c>
      <c r="P26" t="n">
        <v>0.01930703</v>
      </c>
      <c r="Q26" t="n">
        <v/>
      </c>
      <c r="R26" t="n">
        <v/>
      </c>
      <c r="S26" t="n">
        <v/>
      </c>
      <c r="T26" t="n">
        <v/>
      </c>
      <c r="U26" t="n">
        <v/>
      </c>
      <c r="V26" t="n">
        <v/>
      </c>
      <c r="W26" t="n">
        <v/>
      </c>
      <c r="X26" t="n">
        <v/>
      </c>
      <c r="Y26" t="n">
        <v/>
      </c>
      <c r="Z26" t="n">
        <v/>
      </c>
      <c r="AA26" t="n">
        <v/>
      </c>
      <c r="AB26" t="n">
        <v/>
      </c>
      <c r="AC26" t="n">
        <v/>
      </c>
      <c r="AD26" t="n">
        <v/>
      </c>
      <c r="AE26" t="n">
        <v/>
      </c>
    </row>
    <row r="27">
      <c r="A27" s="87" t="n">
        <v>19391</v>
      </c>
      <c r="B27" t="n">
        <v/>
      </c>
      <c r="C27" t="n">
        <v/>
      </c>
      <c r="D27" t="n">
        <v/>
      </c>
      <c r="E27" t="n">
        <v/>
      </c>
      <c r="F27" t="n">
        <v/>
      </c>
      <c r="G27" t="n">
        <v/>
      </c>
      <c r="H27" t="n">
        <v/>
      </c>
      <c r="I27" t="n">
        <v/>
      </c>
      <c r="J27" t="n">
        <v/>
      </c>
      <c r="K27" t="n">
        <v/>
      </c>
      <c r="L27" t="n">
        <v/>
      </c>
      <c r="M27" t="n">
        <v/>
      </c>
      <c r="N27" t="n">
        <v/>
      </c>
      <c r="O27" t="n">
        <v/>
      </c>
      <c r="P27" t="n">
        <v>0.01926565</v>
      </c>
      <c r="Q27" t="n">
        <v/>
      </c>
      <c r="R27" t="n">
        <v/>
      </c>
      <c r="S27" t="n">
        <v/>
      </c>
      <c r="T27" t="n">
        <v/>
      </c>
      <c r="U27" t="n">
        <v/>
      </c>
      <c r="V27" t="n">
        <v/>
      </c>
      <c r="W27" t="n">
        <v/>
      </c>
      <c r="X27" t="n">
        <v/>
      </c>
      <c r="Y27" t="n">
        <v/>
      </c>
      <c r="Z27" t="n">
        <v/>
      </c>
      <c r="AA27" t="n">
        <v/>
      </c>
      <c r="AB27" t="n">
        <v/>
      </c>
      <c r="AC27" t="n">
        <v/>
      </c>
      <c r="AD27" t="n">
        <v/>
      </c>
      <c r="AE27" t="n">
        <v/>
      </c>
    </row>
    <row r="28">
      <c r="A28" s="87" t="n">
        <v>19419</v>
      </c>
      <c r="B28" t="n">
        <v/>
      </c>
      <c r="C28" t="n">
        <v/>
      </c>
      <c r="D28" t="n">
        <v/>
      </c>
      <c r="E28" t="n">
        <v/>
      </c>
      <c r="F28" t="n">
        <v/>
      </c>
      <c r="G28" t="n">
        <v/>
      </c>
      <c r="H28" t="n">
        <v/>
      </c>
      <c r="I28" t="n">
        <v/>
      </c>
      <c r="J28" t="n">
        <v/>
      </c>
      <c r="K28" t="n">
        <v/>
      </c>
      <c r="L28" t="n">
        <v/>
      </c>
      <c r="M28" t="n">
        <v/>
      </c>
      <c r="N28" t="n">
        <v/>
      </c>
      <c r="O28" t="n">
        <v/>
      </c>
      <c r="P28" t="n">
        <v>0.0193019</v>
      </c>
      <c r="Q28" t="n">
        <v/>
      </c>
      <c r="R28" t="n">
        <v/>
      </c>
      <c r="S28" t="n">
        <v/>
      </c>
      <c r="T28" t="n">
        <v/>
      </c>
      <c r="U28" t="n">
        <v/>
      </c>
      <c r="V28" t="n">
        <v/>
      </c>
      <c r="W28" t="n">
        <v/>
      </c>
      <c r="X28" t="n">
        <v/>
      </c>
      <c r="Y28" t="n">
        <v/>
      </c>
      <c r="Z28" t="n">
        <v/>
      </c>
      <c r="AA28" t="n">
        <v/>
      </c>
      <c r="AB28" t="n">
        <v/>
      </c>
      <c r="AC28" t="n">
        <v/>
      </c>
      <c r="AD28" t="n">
        <v/>
      </c>
      <c r="AE28" t="n">
        <v/>
      </c>
    </row>
    <row r="29">
      <c r="A29" s="87" t="n">
        <v>19450</v>
      </c>
      <c r="B29" t="n">
        <v/>
      </c>
      <c r="C29" t="n">
        <v/>
      </c>
      <c r="D29" t="n">
        <v/>
      </c>
      <c r="E29" t="n">
        <v/>
      </c>
      <c r="F29" t="n">
        <v/>
      </c>
      <c r="G29" t="n">
        <v/>
      </c>
      <c r="H29" t="n">
        <v/>
      </c>
      <c r="I29" t="n">
        <v/>
      </c>
      <c r="J29" t="n">
        <v/>
      </c>
      <c r="K29" t="n">
        <v/>
      </c>
      <c r="L29" t="n">
        <v/>
      </c>
      <c r="M29" t="n">
        <v/>
      </c>
      <c r="N29" t="n">
        <v/>
      </c>
      <c r="O29" t="n">
        <v/>
      </c>
      <c r="P29" t="n">
        <v>0.01947389</v>
      </c>
      <c r="Q29" t="n">
        <v/>
      </c>
      <c r="R29" t="n">
        <v/>
      </c>
      <c r="S29" t="n">
        <v/>
      </c>
      <c r="T29" t="n">
        <v/>
      </c>
      <c r="U29" t="n">
        <v/>
      </c>
      <c r="V29" t="n">
        <v/>
      </c>
      <c r="W29" t="n">
        <v/>
      </c>
      <c r="X29" t="n">
        <v/>
      </c>
      <c r="Y29" t="n">
        <v/>
      </c>
      <c r="Z29" t="n">
        <v/>
      </c>
      <c r="AA29" t="n">
        <v/>
      </c>
      <c r="AB29" t="n">
        <v/>
      </c>
      <c r="AC29" t="n">
        <v/>
      </c>
      <c r="AD29" t="n">
        <v/>
      </c>
      <c r="AE29" t="n">
        <v/>
      </c>
    </row>
    <row r="30">
      <c r="A30" s="87" t="n">
        <v>19480</v>
      </c>
      <c r="B30" t="n">
        <v/>
      </c>
      <c r="C30" t="n">
        <v/>
      </c>
      <c r="D30" t="n">
        <v/>
      </c>
      <c r="E30" t="n">
        <v/>
      </c>
      <c r="F30" t="n">
        <v/>
      </c>
      <c r="G30" t="n">
        <v/>
      </c>
      <c r="H30" t="n">
        <v/>
      </c>
      <c r="I30" t="n">
        <v/>
      </c>
      <c r="J30" t="n">
        <v/>
      </c>
      <c r="K30" t="n">
        <v/>
      </c>
      <c r="L30" t="n">
        <v/>
      </c>
      <c r="M30" t="n">
        <v/>
      </c>
      <c r="N30" t="n">
        <v/>
      </c>
      <c r="O30" t="n">
        <v/>
      </c>
      <c r="P30" t="n">
        <v>0.01960435</v>
      </c>
      <c r="Q30" t="n">
        <v/>
      </c>
      <c r="R30" t="n">
        <v/>
      </c>
      <c r="S30" t="n">
        <v/>
      </c>
      <c r="T30" t="n">
        <v/>
      </c>
      <c r="U30" t="n">
        <v/>
      </c>
      <c r="V30" t="n">
        <v/>
      </c>
      <c r="W30" t="n">
        <v/>
      </c>
      <c r="X30" t="n">
        <v/>
      </c>
      <c r="Y30" t="n">
        <v/>
      </c>
      <c r="Z30" t="n">
        <v/>
      </c>
      <c r="AA30" t="n">
        <v/>
      </c>
      <c r="AB30" t="n">
        <v/>
      </c>
      <c r="AC30" t="n">
        <v/>
      </c>
      <c r="AD30" t="n">
        <v/>
      </c>
      <c r="AE30" t="n">
        <v/>
      </c>
    </row>
    <row r="31">
      <c r="A31" s="87" t="n">
        <v>19511</v>
      </c>
      <c r="B31" t="n">
        <v/>
      </c>
      <c r="C31" t="n">
        <v/>
      </c>
      <c r="D31" t="n">
        <v/>
      </c>
      <c r="E31" t="n">
        <v/>
      </c>
      <c r="F31" t="n">
        <v/>
      </c>
      <c r="G31" t="n">
        <v/>
      </c>
      <c r="H31" t="n">
        <v/>
      </c>
      <c r="I31" t="n">
        <v/>
      </c>
      <c r="J31" t="n">
        <v/>
      </c>
      <c r="K31" t="n">
        <v/>
      </c>
      <c r="L31" t="n">
        <v/>
      </c>
      <c r="M31" t="n">
        <v/>
      </c>
      <c r="N31" t="n">
        <v/>
      </c>
      <c r="O31" t="n">
        <v/>
      </c>
      <c r="P31" t="n">
        <v>0.01959453</v>
      </c>
      <c r="Q31" t="n">
        <v/>
      </c>
      <c r="R31" t="n">
        <v/>
      </c>
      <c r="S31" t="n">
        <v/>
      </c>
      <c r="T31" t="n">
        <v/>
      </c>
      <c r="U31" t="n">
        <v/>
      </c>
      <c r="V31" t="n">
        <v/>
      </c>
      <c r="W31" t="n">
        <v/>
      </c>
      <c r="X31" t="n">
        <v/>
      </c>
      <c r="Y31" t="n">
        <v/>
      </c>
      <c r="Z31" t="n">
        <v/>
      </c>
      <c r="AA31" t="n">
        <v/>
      </c>
      <c r="AB31" t="n">
        <v/>
      </c>
      <c r="AC31" t="n">
        <v/>
      </c>
      <c r="AD31" t="n">
        <v/>
      </c>
      <c r="AE31" t="n">
        <v/>
      </c>
    </row>
    <row r="32">
      <c r="A32" s="87" t="n">
        <v>19541</v>
      </c>
      <c r="B32" t="n">
        <v/>
      </c>
      <c r="C32" t="n">
        <v/>
      </c>
      <c r="D32" t="n">
        <v/>
      </c>
      <c r="E32" t="n">
        <v/>
      </c>
      <c r="F32" t="n">
        <v/>
      </c>
      <c r="G32" t="n">
        <v/>
      </c>
      <c r="H32" t="n">
        <v/>
      </c>
      <c r="I32" t="n">
        <v/>
      </c>
      <c r="J32" t="n">
        <v/>
      </c>
      <c r="K32" t="n">
        <v/>
      </c>
      <c r="L32" t="n">
        <v/>
      </c>
      <c r="M32" t="n">
        <v/>
      </c>
      <c r="N32" t="n">
        <v/>
      </c>
      <c r="O32" t="n">
        <v/>
      </c>
      <c r="P32" t="n">
        <v>0.01954588</v>
      </c>
      <c r="Q32" t="n">
        <v/>
      </c>
      <c r="R32" t="n">
        <v/>
      </c>
      <c r="S32" t="n">
        <v/>
      </c>
      <c r="T32" t="n">
        <v/>
      </c>
      <c r="U32" t="n">
        <v/>
      </c>
      <c r="V32" t="n">
        <v/>
      </c>
      <c r="W32" t="n">
        <v/>
      </c>
      <c r="X32" t="n">
        <v/>
      </c>
      <c r="Y32" t="n">
        <v/>
      </c>
      <c r="Z32" t="n">
        <v/>
      </c>
      <c r="AA32" t="n">
        <v/>
      </c>
      <c r="AB32" t="n">
        <v/>
      </c>
      <c r="AC32" t="n">
        <v/>
      </c>
      <c r="AD32" t="n">
        <v/>
      </c>
      <c r="AE32" t="n">
        <v/>
      </c>
    </row>
    <row r="33">
      <c r="A33" s="87" t="n">
        <v>19572</v>
      </c>
      <c r="B33" t="n">
        <v/>
      </c>
      <c r="C33" t="n">
        <v/>
      </c>
      <c r="D33" t="n">
        <v/>
      </c>
      <c r="E33" t="n">
        <v/>
      </c>
      <c r="F33" t="n">
        <v/>
      </c>
      <c r="G33" t="n">
        <v/>
      </c>
      <c r="H33" t="n">
        <v/>
      </c>
      <c r="I33" t="n">
        <v/>
      </c>
      <c r="J33" t="n">
        <v/>
      </c>
      <c r="K33" t="n">
        <v/>
      </c>
      <c r="L33" t="n">
        <v/>
      </c>
      <c r="M33" t="n">
        <v/>
      </c>
      <c r="N33" t="n">
        <v/>
      </c>
      <c r="O33" t="n">
        <v/>
      </c>
      <c r="P33" t="n">
        <v>0.01952202</v>
      </c>
      <c r="Q33" t="n">
        <v/>
      </c>
      <c r="R33" t="n">
        <v/>
      </c>
      <c r="S33" t="n">
        <v/>
      </c>
      <c r="T33" t="n">
        <v/>
      </c>
      <c r="U33" t="n">
        <v/>
      </c>
      <c r="V33" t="n">
        <v/>
      </c>
      <c r="W33" t="n">
        <v/>
      </c>
      <c r="X33" t="n">
        <v/>
      </c>
      <c r="Y33" t="n">
        <v/>
      </c>
      <c r="Z33" t="n">
        <v/>
      </c>
      <c r="AA33" t="n">
        <v/>
      </c>
      <c r="AB33" t="n">
        <v/>
      </c>
      <c r="AC33" t="n">
        <v/>
      </c>
      <c r="AD33" t="n">
        <v/>
      </c>
      <c r="AE33" t="n">
        <v/>
      </c>
    </row>
    <row r="34">
      <c r="A34" s="87" t="n">
        <v>19603</v>
      </c>
      <c r="B34" t="n">
        <v/>
      </c>
      <c r="C34" t="n">
        <v/>
      </c>
      <c r="D34" t="n">
        <v/>
      </c>
      <c r="E34" t="n">
        <v/>
      </c>
      <c r="F34" t="n">
        <v/>
      </c>
      <c r="G34" t="n">
        <v/>
      </c>
      <c r="H34" t="n">
        <v/>
      </c>
      <c r="I34" t="n">
        <v/>
      </c>
      <c r="J34" t="n">
        <v/>
      </c>
      <c r="K34" t="n">
        <v/>
      </c>
      <c r="L34" t="n">
        <v/>
      </c>
      <c r="M34" t="n">
        <v/>
      </c>
      <c r="N34" t="n">
        <v/>
      </c>
      <c r="O34" t="n">
        <v/>
      </c>
      <c r="P34" t="n">
        <v>0.01953336</v>
      </c>
      <c r="Q34" t="n">
        <v/>
      </c>
      <c r="R34" t="n">
        <v/>
      </c>
      <c r="S34" t="n">
        <v/>
      </c>
      <c r="T34" t="n">
        <v/>
      </c>
      <c r="U34" t="n">
        <v/>
      </c>
      <c r="V34" t="n">
        <v/>
      </c>
      <c r="W34" t="n">
        <v/>
      </c>
      <c r="X34" t="n">
        <v/>
      </c>
      <c r="Y34" t="n">
        <v/>
      </c>
      <c r="Z34" t="n">
        <v/>
      </c>
      <c r="AA34" t="n">
        <v/>
      </c>
      <c r="AB34" t="n">
        <v/>
      </c>
      <c r="AC34" t="n">
        <v/>
      </c>
      <c r="AD34" t="n">
        <v/>
      </c>
      <c r="AE34" t="n">
        <v/>
      </c>
    </row>
    <row r="35">
      <c r="A35" s="87" t="n">
        <v>19633</v>
      </c>
      <c r="B35" t="n">
        <v/>
      </c>
      <c r="C35" t="n">
        <v/>
      </c>
      <c r="D35" t="n">
        <v/>
      </c>
      <c r="E35" t="n">
        <v/>
      </c>
      <c r="F35" t="n">
        <v/>
      </c>
      <c r="G35" t="n">
        <v/>
      </c>
      <c r="H35" t="n">
        <v/>
      </c>
      <c r="I35" t="n">
        <v/>
      </c>
      <c r="J35" t="n">
        <v/>
      </c>
      <c r="K35" t="n">
        <v/>
      </c>
      <c r="L35" t="n">
        <v/>
      </c>
      <c r="M35" t="n">
        <v/>
      </c>
      <c r="N35" t="n">
        <v/>
      </c>
      <c r="O35" t="n">
        <v/>
      </c>
      <c r="P35" t="n">
        <v>0.01957957</v>
      </c>
      <c r="Q35" t="n">
        <v/>
      </c>
      <c r="R35" t="n">
        <v/>
      </c>
      <c r="S35" t="n">
        <v/>
      </c>
      <c r="T35" t="n">
        <v/>
      </c>
      <c r="U35" t="n">
        <v/>
      </c>
      <c r="V35" t="n">
        <v/>
      </c>
      <c r="W35" t="n">
        <v/>
      </c>
      <c r="X35" t="n">
        <v/>
      </c>
      <c r="Y35" t="n">
        <v/>
      </c>
      <c r="Z35" t="n">
        <v/>
      </c>
      <c r="AA35" t="n">
        <v/>
      </c>
      <c r="AB35" t="n">
        <v/>
      </c>
      <c r="AC35" t="n">
        <v/>
      </c>
      <c r="AD35" t="n">
        <v/>
      </c>
      <c r="AE35" t="n">
        <v/>
      </c>
    </row>
    <row r="36">
      <c r="A36" s="87" t="n">
        <v>19664</v>
      </c>
      <c r="B36" t="n">
        <v/>
      </c>
      <c r="C36" t="n">
        <v/>
      </c>
      <c r="D36" t="n">
        <v/>
      </c>
      <c r="E36" t="n">
        <v/>
      </c>
      <c r="F36" t="n">
        <v/>
      </c>
      <c r="G36" t="n">
        <v/>
      </c>
      <c r="H36" t="n">
        <v/>
      </c>
      <c r="I36" t="n">
        <v/>
      </c>
      <c r="J36" t="n">
        <v/>
      </c>
      <c r="K36" t="n">
        <v/>
      </c>
      <c r="L36" t="n">
        <v/>
      </c>
      <c r="M36" t="n">
        <v/>
      </c>
      <c r="N36" t="n">
        <v/>
      </c>
      <c r="O36" t="n">
        <v/>
      </c>
      <c r="P36" t="n">
        <v>0.01974556</v>
      </c>
      <c r="Q36" t="n">
        <v/>
      </c>
      <c r="R36" t="n">
        <v/>
      </c>
      <c r="S36" t="n">
        <v/>
      </c>
      <c r="T36" t="n">
        <v/>
      </c>
      <c r="U36" t="n">
        <v/>
      </c>
      <c r="V36" t="n">
        <v/>
      </c>
      <c r="W36" t="n">
        <v/>
      </c>
      <c r="X36" t="n">
        <v/>
      </c>
      <c r="Y36" t="n">
        <v/>
      </c>
      <c r="Z36" t="n">
        <v/>
      </c>
      <c r="AA36" t="n">
        <v/>
      </c>
      <c r="AB36" t="n">
        <v/>
      </c>
      <c r="AC36" t="n">
        <v/>
      </c>
      <c r="AD36" t="n">
        <v/>
      </c>
      <c r="AE36" t="n">
        <v/>
      </c>
    </row>
    <row r="37">
      <c r="A37" s="87" t="n">
        <v>19694</v>
      </c>
      <c r="B37" t="n">
        <v/>
      </c>
      <c r="C37" t="n">
        <v/>
      </c>
      <c r="D37" t="n">
        <v/>
      </c>
      <c r="E37" t="n">
        <v/>
      </c>
      <c r="F37" t="n">
        <v/>
      </c>
      <c r="G37" t="n">
        <v/>
      </c>
      <c r="H37" t="n">
        <v/>
      </c>
      <c r="I37" t="n">
        <v/>
      </c>
      <c r="J37" t="n">
        <v/>
      </c>
      <c r="K37" t="n">
        <v/>
      </c>
      <c r="L37" t="n">
        <v/>
      </c>
      <c r="M37" t="n">
        <v/>
      </c>
      <c r="N37" t="n">
        <v/>
      </c>
      <c r="O37" t="n">
        <v/>
      </c>
      <c r="P37" t="n">
        <v>0.01982211</v>
      </c>
      <c r="Q37" t="n">
        <v/>
      </c>
      <c r="R37" t="n">
        <v/>
      </c>
      <c r="S37" t="n">
        <v/>
      </c>
      <c r="T37" t="n">
        <v/>
      </c>
      <c r="U37" t="n">
        <v/>
      </c>
      <c r="V37" t="n">
        <v/>
      </c>
      <c r="W37" t="n">
        <v/>
      </c>
      <c r="X37" t="n">
        <v/>
      </c>
      <c r="Y37" t="n">
        <v/>
      </c>
      <c r="Z37" t="n">
        <v/>
      </c>
      <c r="AA37" t="n">
        <v/>
      </c>
      <c r="AB37" t="n">
        <v/>
      </c>
      <c r="AC37" t="n">
        <v/>
      </c>
      <c r="AD37" t="n">
        <v/>
      </c>
      <c r="AE37" t="n">
        <v/>
      </c>
    </row>
    <row r="38">
      <c r="A38" s="87" t="n">
        <v>19725</v>
      </c>
      <c r="B38" t="n">
        <v/>
      </c>
      <c r="C38" t="n">
        <v/>
      </c>
      <c r="D38" t="n">
        <v/>
      </c>
      <c r="E38" t="n">
        <v/>
      </c>
      <c r="F38" t="n">
        <v/>
      </c>
      <c r="G38" t="n">
        <v/>
      </c>
      <c r="H38" t="n">
        <v/>
      </c>
      <c r="I38" t="n">
        <v/>
      </c>
      <c r="J38" t="n">
        <v/>
      </c>
      <c r="K38" t="n">
        <v/>
      </c>
      <c r="L38" t="n">
        <v/>
      </c>
      <c r="M38" t="n">
        <v/>
      </c>
      <c r="N38" t="n">
        <v/>
      </c>
      <c r="O38" t="n">
        <v/>
      </c>
      <c r="P38" t="n">
        <v>0.01987448</v>
      </c>
      <c r="Q38" t="n">
        <v/>
      </c>
      <c r="R38" t="n">
        <v/>
      </c>
      <c r="S38" t="n">
        <v/>
      </c>
      <c r="T38" t="n">
        <v/>
      </c>
      <c r="U38" t="n">
        <v/>
      </c>
      <c r="V38" t="n">
        <v/>
      </c>
      <c r="W38" t="n">
        <v/>
      </c>
      <c r="X38" t="n">
        <v/>
      </c>
      <c r="Y38" t="n">
        <v/>
      </c>
      <c r="Z38" t="n">
        <v/>
      </c>
      <c r="AA38" t="n">
        <v/>
      </c>
      <c r="AB38" t="n">
        <v/>
      </c>
      <c r="AC38" t="n">
        <v/>
      </c>
      <c r="AD38" t="n">
        <v/>
      </c>
      <c r="AE38" t="n">
        <v/>
      </c>
    </row>
    <row r="39">
      <c r="A39" s="87" t="n">
        <v>19756</v>
      </c>
      <c r="B39" t="n">
        <v/>
      </c>
      <c r="C39" t="n">
        <v/>
      </c>
      <c r="D39" t="n">
        <v/>
      </c>
      <c r="E39" t="n">
        <v/>
      </c>
      <c r="F39" t="n">
        <v/>
      </c>
      <c r="G39" t="n">
        <v/>
      </c>
      <c r="H39" t="n">
        <v/>
      </c>
      <c r="I39" t="n">
        <v/>
      </c>
      <c r="J39" t="n">
        <v/>
      </c>
      <c r="K39" t="n">
        <v/>
      </c>
      <c r="L39" t="n">
        <v/>
      </c>
      <c r="M39" t="n">
        <v/>
      </c>
      <c r="N39" t="n">
        <v/>
      </c>
      <c r="O39" t="n">
        <v/>
      </c>
      <c r="P39" t="n">
        <v>0.02000351</v>
      </c>
      <c r="Q39" t="n">
        <v/>
      </c>
      <c r="R39" t="n">
        <v/>
      </c>
      <c r="S39" t="n">
        <v/>
      </c>
      <c r="T39" t="n">
        <v/>
      </c>
      <c r="U39" t="n">
        <v/>
      </c>
      <c r="V39" t="n">
        <v/>
      </c>
      <c r="W39" t="n">
        <v/>
      </c>
      <c r="X39" t="n">
        <v/>
      </c>
      <c r="Y39" t="n">
        <v/>
      </c>
      <c r="Z39" t="n">
        <v/>
      </c>
      <c r="AA39" t="n">
        <v/>
      </c>
      <c r="AB39" t="n">
        <v/>
      </c>
      <c r="AC39" t="n">
        <v/>
      </c>
      <c r="AD39" t="n">
        <v/>
      </c>
      <c r="AE39" t="n">
        <v/>
      </c>
    </row>
    <row r="40">
      <c r="A40" s="87" t="n">
        <v>19784</v>
      </c>
      <c r="B40" t="n">
        <v/>
      </c>
      <c r="C40" t="n">
        <v/>
      </c>
      <c r="D40" t="n">
        <v/>
      </c>
      <c r="E40" t="n">
        <v/>
      </c>
      <c r="F40" t="n">
        <v/>
      </c>
      <c r="G40" t="n">
        <v/>
      </c>
      <c r="H40" t="n">
        <v/>
      </c>
      <c r="I40" t="n">
        <v/>
      </c>
      <c r="J40" t="n">
        <v/>
      </c>
      <c r="K40" t="n">
        <v/>
      </c>
      <c r="L40" t="n">
        <v/>
      </c>
      <c r="M40" t="n">
        <v/>
      </c>
      <c r="N40" t="n">
        <v/>
      </c>
      <c r="O40" t="n">
        <v/>
      </c>
      <c r="P40" t="n">
        <v>0.02004592</v>
      </c>
      <c r="Q40" t="n">
        <v/>
      </c>
      <c r="R40" t="n">
        <v/>
      </c>
      <c r="S40" t="n">
        <v/>
      </c>
      <c r="T40" t="n">
        <v/>
      </c>
      <c r="U40" t="n">
        <v/>
      </c>
      <c r="V40" t="n">
        <v/>
      </c>
      <c r="W40" t="n">
        <v/>
      </c>
      <c r="X40" t="n">
        <v/>
      </c>
      <c r="Y40" t="n">
        <v/>
      </c>
      <c r="Z40" t="n">
        <v/>
      </c>
      <c r="AA40" t="n">
        <v/>
      </c>
      <c r="AB40" t="n">
        <v/>
      </c>
      <c r="AC40" t="n">
        <v/>
      </c>
      <c r="AD40" t="n">
        <v/>
      </c>
      <c r="AE40" t="n">
        <v/>
      </c>
    </row>
    <row r="41">
      <c r="A41" s="87" t="n">
        <v>19815</v>
      </c>
      <c r="B41" t="n">
        <v/>
      </c>
      <c r="C41" t="n">
        <v/>
      </c>
      <c r="D41" t="n">
        <v/>
      </c>
      <c r="E41" t="n">
        <v/>
      </c>
      <c r="F41" t="n">
        <v/>
      </c>
      <c r="G41" t="n">
        <v/>
      </c>
      <c r="H41" t="n">
        <v/>
      </c>
      <c r="I41" t="n">
        <v/>
      </c>
      <c r="J41" t="n">
        <v/>
      </c>
      <c r="K41" t="n">
        <v/>
      </c>
      <c r="L41" t="n">
        <v/>
      </c>
      <c r="M41" t="n">
        <v/>
      </c>
      <c r="N41" t="n">
        <v/>
      </c>
      <c r="O41" t="n">
        <v/>
      </c>
      <c r="P41" t="n">
        <v>0.02008025</v>
      </c>
      <c r="Q41" t="n">
        <v/>
      </c>
      <c r="R41" t="n">
        <v/>
      </c>
      <c r="S41" t="n">
        <v/>
      </c>
      <c r="T41" t="n">
        <v/>
      </c>
      <c r="U41" t="n">
        <v/>
      </c>
      <c r="V41" t="n">
        <v/>
      </c>
      <c r="W41" t="n">
        <v/>
      </c>
      <c r="X41" t="n">
        <v/>
      </c>
      <c r="Y41" t="n">
        <v/>
      </c>
      <c r="Z41" t="n">
        <v/>
      </c>
      <c r="AA41" t="n">
        <v/>
      </c>
      <c r="AB41" t="n">
        <v/>
      </c>
      <c r="AC41" t="n">
        <v/>
      </c>
      <c r="AD41" t="n">
        <v/>
      </c>
      <c r="AE41" t="n">
        <v/>
      </c>
    </row>
    <row r="42">
      <c r="A42" s="87" t="n">
        <v>19845</v>
      </c>
      <c r="B42" t="n">
        <v/>
      </c>
      <c r="C42" t="n">
        <v/>
      </c>
      <c r="D42" t="n">
        <v/>
      </c>
      <c r="E42" t="n">
        <v/>
      </c>
      <c r="F42" t="n">
        <v/>
      </c>
      <c r="G42" t="n">
        <v/>
      </c>
      <c r="H42" t="n">
        <v/>
      </c>
      <c r="I42" t="n">
        <v/>
      </c>
      <c r="J42" t="n">
        <v/>
      </c>
      <c r="K42" t="n">
        <v/>
      </c>
      <c r="L42" t="n">
        <v/>
      </c>
      <c r="M42" t="n">
        <v/>
      </c>
      <c r="N42" t="n">
        <v/>
      </c>
      <c r="O42" t="n">
        <v/>
      </c>
      <c r="P42" t="n">
        <v>0.02011755</v>
      </c>
      <c r="Q42" t="n">
        <v/>
      </c>
      <c r="R42" t="n">
        <v/>
      </c>
      <c r="S42" t="n">
        <v/>
      </c>
      <c r="T42" t="n">
        <v/>
      </c>
      <c r="U42" t="n">
        <v/>
      </c>
      <c r="V42" t="n">
        <v/>
      </c>
      <c r="W42" t="n">
        <v/>
      </c>
      <c r="X42" t="n">
        <v/>
      </c>
      <c r="Y42" t="n">
        <v/>
      </c>
      <c r="Z42" t="n">
        <v/>
      </c>
      <c r="AA42" t="n">
        <v/>
      </c>
      <c r="AB42" t="n">
        <v/>
      </c>
      <c r="AC42" t="n">
        <v/>
      </c>
      <c r="AD42" t="n">
        <v/>
      </c>
      <c r="AE42" t="n">
        <v/>
      </c>
    </row>
    <row r="43">
      <c r="A43" s="87" t="n">
        <v>19876</v>
      </c>
      <c r="B43" t="n">
        <v/>
      </c>
      <c r="C43" t="n">
        <v/>
      </c>
      <c r="D43" t="n">
        <v/>
      </c>
      <c r="E43" t="n">
        <v/>
      </c>
      <c r="F43" t="n">
        <v/>
      </c>
      <c r="G43" t="n">
        <v/>
      </c>
      <c r="H43" t="n">
        <v/>
      </c>
      <c r="I43" t="n">
        <v/>
      </c>
      <c r="J43" t="n">
        <v/>
      </c>
      <c r="K43" t="n">
        <v/>
      </c>
      <c r="L43" t="n">
        <v/>
      </c>
      <c r="M43" t="n">
        <v/>
      </c>
      <c r="N43" t="n">
        <v/>
      </c>
      <c r="O43" t="n">
        <v/>
      </c>
      <c r="P43" t="n">
        <v>0.02011572</v>
      </c>
      <c r="Q43" t="n">
        <v/>
      </c>
      <c r="R43" t="n">
        <v/>
      </c>
      <c r="S43" t="n">
        <v/>
      </c>
      <c r="T43" t="n">
        <v/>
      </c>
      <c r="U43" t="n">
        <v/>
      </c>
      <c r="V43" t="n">
        <v/>
      </c>
      <c r="W43" t="n">
        <v/>
      </c>
      <c r="X43" t="n">
        <v/>
      </c>
      <c r="Y43" t="n">
        <v/>
      </c>
      <c r="Z43" t="n">
        <v/>
      </c>
      <c r="AA43" t="n">
        <v/>
      </c>
      <c r="AB43" t="n">
        <v/>
      </c>
      <c r="AC43" t="n">
        <v/>
      </c>
      <c r="AD43" t="n">
        <v/>
      </c>
      <c r="AE43" t="n">
        <v/>
      </c>
    </row>
    <row r="44">
      <c r="A44" s="87" t="n">
        <v>19906</v>
      </c>
      <c r="B44" t="n">
        <v/>
      </c>
      <c r="C44" t="n">
        <v/>
      </c>
      <c r="D44" t="n">
        <v/>
      </c>
      <c r="E44" t="n">
        <v/>
      </c>
      <c r="F44" t="n">
        <v/>
      </c>
      <c r="G44" t="n">
        <v/>
      </c>
      <c r="H44" t="n">
        <v/>
      </c>
      <c r="I44" t="n">
        <v/>
      </c>
      <c r="J44" t="n">
        <v/>
      </c>
      <c r="K44" t="n">
        <v/>
      </c>
      <c r="L44" t="n">
        <v/>
      </c>
      <c r="M44" t="n">
        <v/>
      </c>
      <c r="N44" t="n">
        <v/>
      </c>
      <c r="O44" t="n">
        <v/>
      </c>
      <c r="P44" t="n">
        <v>0.0201541</v>
      </c>
      <c r="Q44" t="n">
        <v/>
      </c>
      <c r="R44" t="n">
        <v/>
      </c>
      <c r="S44" t="n">
        <v/>
      </c>
      <c r="T44" t="n">
        <v/>
      </c>
      <c r="U44" t="n">
        <v/>
      </c>
      <c r="V44" t="n">
        <v/>
      </c>
      <c r="W44" t="n">
        <v/>
      </c>
      <c r="X44" t="n">
        <v/>
      </c>
      <c r="Y44" t="n">
        <v/>
      </c>
      <c r="Z44" t="n">
        <v/>
      </c>
      <c r="AA44" t="n">
        <v/>
      </c>
      <c r="AB44" t="n">
        <v/>
      </c>
      <c r="AC44" t="n">
        <v/>
      </c>
      <c r="AD44" t="n">
        <v/>
      </c>
      <c r="AE44" t="n">
        <v/>
      </c>
    </row>
    <row r="45">
      <c r="A45" s="87" t="n">
        <v>19937</v>
      </c>
      <c r="B45" t="n">
        <v/>
      </c>
      <c r="C45" t="n">
        <v/>
      </c>
      <c r="D45" t="n">
        <v/>
      </c>
      <c r="E45" t="n">
        <v/>
      </c>
      <c r="F45" t="n">
        <v/>
      </c>
      <c r="G45" t="n">
        <v/>
      </c>
      <c r="H45" t="n">
        <v/>
      </c>
      <c r="I45" t="n">
        <v/>
      </c>
      <c r="J45" t="n">
        <v/>
      </c>
      <c r="K45" t="n">
        <v/>
      </c>
      <c r="L45" t="n">
        <v/>
      </c>
      <c r="M45" t="n">
        <v/>
      </c>
      <c r="N45" t="n">
        <v/>
      </c>
      <c r="O45" t="n">
        <v/>
      </c>
      <c r="P45" t="n">
        <v>0.02030169</v>
      </c>
      <c r="Q45" t="n">
        <v/>
      </c>
      <c r="R45" t="n">
        <v/>
      </c>
      <c r="S45" t="n">
        <v/>
      </c>
      <c r="T45" t="n">
        <v/>
      </c>
      <c r="U45" t="n">
        <v/>
      </c>
      <c r="V45" t="n">
        <v/>
      </c>
      <c r="W45" t="n">
        <v/>
      </c>
      <c r="X45" t="n">
        <v/>
      </c>
      <c r="Y45" t="n">
        <v/>
      </c>
      <c r="Z45" t="n">
        <v/>
      </c>
      <c r="AA45" t="n">
        <v/>
      </c>
      <c r="AB45" t="n">
        <v/>
      </c>
      <c r="AC45" t="n">
        <v/>
      </c>
      <c r="AD45" t="n">
        <v/>
      </c>
      <c r="AE45" t="n">
        <v/>
      </c>
    </row>
    <row r="46">
      <c r="A46" s="87" t="n">
        <v>19968</v>
      </c>
      <c r="B46" t="n">
        <v/>
      </c>
      <c r="C46" t="n">
        <v/>
      </c>
      <c r="D46" t="n">
        <v/>
      </c>
      <c r="E46" t="n">
        <v/>
      </c>
      <c r="F46" t="n">
        <v/>
      </c>
      <c r="G46" t="n">
        <v/>
      </c>
      <c r="H46" t="n">
        <v/>
      </c>
      <c r="I46" t="n">
        <v/>
      </c>
      <c r="J46" t="n">
        <v/>
      </c>
      <c r="K46" t="n">
        <v/>
      </c>
      <c r="L46" t="n">
        <v/>
      </c>
      <c r="M46" t="n">
        <v/>
      </c>
      <c r="N46" t="n">
        <v/>
      </c>
      <c r="O46" t="n">
        <v/>
      </c>
      <c r="P46" t="n">
        <v>0.02053089</v>
      </c>
      <c r="Q46" t="n">
        <v/>
      </c>
      <c r="R46" t="n">
        <v/>
      </c>
      <c r="S46" t="n">
        <v/>
      </c>
      <c r="T46" t="n">
        <v/>
      </c>
      <c r="U46" t="n">
        <v/>
      </c>
      <c r="V46" t="n">
        <v/>
      </c>
      <c r="W46" t="n">
        <v/>
      </c>
      <c r="X46" t="n">
        <v/>
      </c>
      <c r="Y46" t="n">
        <v/>
      </c>
      <c r="Z46" t="n">
        <v/>
      </c>
      <c r="AA46" t="n">
        <v/>
      </c>
      <c r="AB46" t="n">
        <v/>
      </c>
      <c r="AC46" t="n">
        <v/>
      </c>
      <c r="AD46" t="n">
        <v/>
      </c>
      <c r="AE46" t="n">
        <v/>
      </c>
    </row>
    <row r="47">
      <c r="A47" s="87" t="n">
        <v>19998</v>
      </c>
      <c r="B47" t="n">
        <v/>
      </c>
      <c r="C47" t="n">
        <v/>
      </c>
      <c r="D47" t="n">
        <v/>
      </c>
      <c r="E47" t="n">
        <v/>
      </c>
      <c r="F47" t="n">
        <v/>
      </c>
      <c r="G47" t="n">
        <v/>
      </c>
      <c r="H47" t="n">
        <v/>
      </c>
      <c r="I47" t="n">
        <v/>
      </c>
      <c r="J47" t="n">
        <v/>
      </c>
      <c r="K47" t="n">
        <v/>
      </c>
      <c r="L47" t="n">
        <v/>
      </c>
      <c r="M47" t="n">
        <v/>
      </c>
      <c r="N47" t="n">
        <v/>
      </c>
      <c r="O47" t="n">
        <v/>
      </c>
      <c r="P47" t="n">
        <v>0.0207297</v>
      </c>
      <c r="Q47" t="n">
        <v/>
      </c>
      <c r="R47" t="n">
        <v/>
      </c>
      <c r="S47" t="n">
        <v/>
      </c>
      <c r="T47" t="n">
        <v/>
      </c>
      <c r="U47" t="n">
        <v/>
      </c>
      <c r="V47" t="n">
        <v/>
      </c>
      <c r="W47" t="n">
        <v/>
      </c>
      <c r="X47" t="n">
        <v/>
      </c>
      <c r="Y47" t="n">
        <v/>
      </c>
      <c r="Z47" t="n">
        <v/>
      </c>
      <c r="AA47" t="n">
        <v/>
      </c>
      <c r="AB47" t="n">
        <v/>
      </c>
      <c r="AC47" t="n">
        <v/>
      </c>
      <c r="AD47" t="n">
        <v/>
      </c>
      <c r="AE47" t="n">
        <v/>
      </c>
    </row>
    <row r="48">
      <c r="A48" s="87" t="n">
        <v>20029</v>
      </c>
      <c r="B48" t="n">
        <v/>
      </c>
      <c r="C48" t="n">
        <v/>
      </c>
      <c r="D48" t="n">
        <v/>
      </c>
      <c r="E48" t="n">
        <v/>
      </c>
      <c r="F48" t="n">
        <v/>
      </c>
      <c r="G48" t="n">
        <v/>
      </c>
      <c r="H48" t="n">
        <v/>
      </c>
      <c r="I48" t="n">
        <v/>
      </c>
      <c r="J48" t="n">
        <v/>
      </c>
      <c r="K48" t="n">
        <v/>
      </c>
      <c r="L48" t="n">
        <v/>
      </c>
      <c r="M48" t="n">
        <v/>
      </c>
      <c r="N48" t="n">
        <v/>
      </c>
      <c r="O48" t="n">
        <v/>
      </c>
      <c r="P48" t="n">
        <v>0.02089457</v>
      </c>
      <c r="Q48" t="n">
        <v/>
      </c>
      <c r="R48" t="n">
        <v/>
      </c>
      <c r="S48" t="n">
        <v/>
      </c>
      <c r="T48" t="n">
        <v/>
      </c>
      <c r="U48" t="n">
        <v/>
      </c>
      <c r="V48" t="n">
        <v/>
      </c>
      <c r="W48" t="n">
        <v/>
      </c>
      <c r="X48" t="n">
        <v/>
      </c>
      <c r="Y48" t="n">
        <v/>
      </c>
      <c r="Z48" t="n">
        <v/>
      </c>
      <c r="AA48" t="n">
        <v/>
      </c>
      <c r="AB48" t="n">
        <v/>
      </c>
      <c r="AC48" t="n">
        <v/>
      </c>
      <c r="AD48" t="n">
        <v/>
      </c>
      <c r="AE48" t="n">
        <v/>
      </c>
    </row>
    <row r="49">
      <c r="A49" s="87" t="n">
        <v>20059</v>
      </c>
      <c r="B49" t="n">
        <v/>
      </c>
      <c r="C49" t="n">
        <v/>
      </c>
      <c r="D49" t="n">
        <v/>
      </c>
      <c r="E49" t="n">
        <v/>
      </c>
      <c r="F49" t="n">
        <v/>
      </c>
      <c r="G49" t="n">
        <v/>
      </c>
      <c r="H49" t="n">
        <v/>
      </c>
      <c r="I49" t="n">
        <v/>
      </c>
      <c r="J49" t="n">
        <v/>
      </c>
      <c r="K49" t="n">
        <v/>
      </c>
      <c r="L49" t="n">
        <v/>
      </c>
      <c r="M49" t="n">
        <v/>
      </c>
      <c r="N49" t="n">
        <v/>
      </c>
      <c r="O49" t="n">
        <v/>
      </c>
      <c r="P49" t="n">
        <v>0.02113452</v>
      </c>
      <c r="Q49" t="n">
        <v/>
      </c>
      <c r="R49" t="n">
        <v/>
      </c>
      <c r="S49" t="n">
        <v/>
      </c>
      <c r="T49" t="n">
        <v/>
      </c>
      <c r="U49" t="n">
        <v/>
      </c>
      <c r="V49" t="n">
        <v/>
      </c>
      <c r="W49" t="n">
        <v/>
      </c>
      <c r="X49" t="n">
        <v/>
      </c>
      <c r="Y49" t="n">
        <v/>
      </c>
      <c r="Z49" t="n">
        <v/>
      </c>
      <c r="AA49" t="n">
        <v/>
      </c>
      <c r="AB49" t="n">
        <v/>
      </c>
      <c r="AC49" t="n">
        <v/>
      </c>
      <c r="AD49" t="n">
        <v/>
      </c>
      <c r="AE49" t="n">
        <v/>
      </c>
    </row>
    <row r="50">
      <c r="A50" s="87" t="n">
        <v>20090</v>
      </c>
      <c r="B50" t="n">
        <v/>
      </c>
      <c r="C50" t="n">
        <v/>
      </c>
      <c r="D50" t="n">
        <v/>
      </c>
      <c r="E50" t="n">
        <v/>
      </c>
      <c r="F50" t="n">
        <v/>
      </c>
      <c r="G50" t="n">
        <v/>
      </c>
      <c r="H50" t="n">
        <v/>
      </c>
      <c r="I50" t="n">
        <v/>
      </c>
      <c r="J50" t="n">
        <v/>
      </c>
      <c r="K50" t="n">
        <v/>
      </c>
      <c r="L50" t="n">
        <v/>
      </c>
      <c r="M50" t="n">
        <v/>
      </c>
      <c r="N50" t="n">
        <v/>
      </c>
      <c r="O50" t="n">
        <v/>
      </c>
      <c r="P50" t="n">
        <v>0.02129337</v>
      </c>
      <c r="Q50" t="n">
        <v/>
      </c>
      <c r="R50" t="n">
        <v/>
      </c>
      <c r="S50" t="n">
        <v/>
      </c>
      <c r="T50" t="n">
        <v/>
      </c>
      <c r="U50" t="n">
        <v/>
      </c>
      <c r="V50" t="n">
        <v/>
      </c>
      <c r="W50" t="n">
        <v/>
      </c>
      <c r="X50" t="n">
        <v/>
      </c>
      <c r="Y50" t="n">
        <v/>
      </c>
      <c r="Z50" t="n">
        <v/>
      </c>
      <c r="AA50" t="n">
        <v/>
      </c>
      <c r="AB50" t="n">
        <v/>
      </c>
      <c r="AC50" t="n">
        <v/>
      </c>
      <c r="AD50" t="n">
        <v/>
      </c>
      <c r="AE50" t="n">
        <v/>
      </c>
    </row>
    <row r="51">
      <c r="A51" s="87" t="n">
        <v>20121</v>
      </c>
      <c r="B51" t="n">
        <v/>
      </c>
      <c r="C51" t="n">
        <v/>
      </c>
      <c r="D51" t="n">
        <v/>
      </c>
      <c r="E51" t="n">
        <v/>
      </c>
      <c r="F51" t="n">
        <v/>
      </c>
      <c r="G51" t="n">
        <v/>
      </c>
      <c r="H51" t="n">
        <v/>
      </c>
      <c r="I51" t="n">
        <v/>
      </c>
      <c r="J51" t="n">
        <v/>
      </c>
      <c r="K51" t="n">
        <v/>
      </c>
      <c r="L51" t="n">
        <v/>
      </c>
      <c r="M51" t="n">
        <v/>
      </c>
      <c r="N51" t="n">
        <v/>
      </c>
      <c r="O51" t="n">
        <v/>
      </c>
      <c r="P51" t="n">
        <v>0.02140614</v>
      </c>
      <c r="Q51" t="n">
        <v/>
      </c>
      <c r="R51" t="n">
        <v/>
      </c>
      <c r="S51" t="n">
        <v/>
      </c>
      <c r="T51" t="n">
        <v/>
      </c>
      <c r="U51" t="n">
        <v/>
      </c>
      <c r="V51" t="n">
        <v/>
      </c>
      <c r="W51" t="n">
        <v/>
      </c>
      <c r="X51" t="n">
        <v/>
      </c>
      <c r="Y51" t="n">
        <v/>
      </c>
      <c r="Z51" t="n">
        <v/>
      </c>
      <c r="AA51" t="n">
        <v/>
      </c>
      <c r="AB51" t="n">
        <v/>
      </c>
      <c r="AC51" t="n">
        <v/>
      </c>
      <c r="AD51" t="n">
        <v/>
      </c>
      <c r="AE51" t="n">
        <v/>
      </c>
    </row>
    <row r="52">
      <c r="A52" s="87" t="n">
        <v>20149</v>
      </c>
      <c r="B52" t="n">
        <v/>
      </c>
      <c r="C52" t="n">
        <v/>
      </c>
      <c r="D52" t="n">
        <v/>
      </c>
      <c r="E52" t="n">
        <v/>
      </c>
      <c r="F52" t="n">
        <v/>
      </c>
      <c r="G52" t="n">
        <v/>
      </c>
      <c r="H52" t="n">
        <v/>
      </c>
      <c r="I52" t="n">
        <v/>
      </c>
      <c r="J52" t="n">
        <v/>
      </c>
      <c r="K52" t="n">
        <v/>
      </c>
      <c r="L52" t="n">
        <v/>
      </c>
      <c r="M52" t="n">
        <v/>
      </c>
      <c r="N52" t="n">
        <v/>
      </c>
      <c r="O52" t="n">
        <v/>
      </c>
      <c r="P52" t="n">
        <v>0.02158276</v>
      </c>
      <c r="Q52" t="n">
        <v/>
      </c>
      <c r="R52" t="n">
        <v/>
      </c>
      <c r="S52" t="n">
        <v/>
      </c>
      <c r="T52" t="n">
        <v/>
      </c>
      <c r="U52" t="n">
        <v/>
      </c>
      <c r="V52" t="n">
        <v/>
      </c>
      <c r="W52" t="n">
        <v/>
      </c>
      <c r="X52" t="n">
        <v/>
      </c>
      <c r="Y52" t="n">
        <v/>
      </c>
      <c r="Z52" t="n">
        <v/>
      </c>
      <c r="AA52" t="n">
        <v/>
      </c>
      <c r="AB52" t="n">
        <v/>
      </c>
      <c r="AC52" t="n">
        <v/>
      </c>
      <c r="AD52" t="n">
        <v/>
      </c>
      <c r="AE52" t="n">
        <v/>
      </c>
    </row>
    <row r="53">
      <c r="A53" s="87" t="n">
        <v>20180</v>
      </c>
      <c r="B53" t="n">
        <v/>
      </c>
      <c r="C53" t="n">
        <v/>
      </c>
      <c r="D53" t="n">
        <v/>
      </c>
      <c r="E53" t="n">
        <v/>
      </c>
      <c r="F53" t="n">
        <v/>
      </c>
      <c r="G53" t="n">
        <v/>
      </c>
      <c r="H53" t="n">
        <v/>
      </c>
      <c r="I53" t="n">
        <v/>
      </c>
      <c r="J53" t="n">
        <v/>
      </c>
      <c r="K53" t="n">
        <v/>
      </c>
      <c r="L53" t="n">
        <v/>
      </c>
      <c r="M53" t="n">
        <v/>
      </c>
      <c r="N53" t="n">
        <v/>
      </c>
      <c r="O53" t="n">
        <v/>
      </c>
      <c r="P53" t="n">
        <v>0.02172137</v>
      </c>
      <c r="Q53" t="n">
        <v/>
      </c>
      <c r="R53" t="n">
        <v/>
      </c>
      <c r="S53" t="n">
        <v/>
      </c>
      <c r="T53" t="n">
        <v/>
      </c>
      <c r="U53" t="n">
        <v/>
      </c>
      <c r="V53" t="n">
        <v/>
      </c>
      <c r="W53" t="n">
        <v/>
      </c>
      <c r="X53" t="n">
        <v/>
      </c>
      <c r="Y53" t="n">
        <v/>
      </c>
      <c r="Z53" t="n">
        <v/>
      </c>
      <c r="AA53" t="n">
        <v/>
      </c>
      <c r="AB53" t="n">
        <v/>
      </c>
      <c r="AC53" t="n">
        <v/>
      </c>
      <c r="AD53" t="n">
        <v/>
      </c>
      <c r="AE53" t="n">
        <v/>
      </c>
    </row>
    <row r="54">
      <c r="A54" s="87" t="n">
        <v>20210</v>
      </c>
      <c r="B54" t="n">
        <v/>
      </c>
      <c r="C54" t="n">
        <v/>
      </c>
      <c r="D54" t="n">
        <v/>
      </c>
      <c r="E54" t="n">
        <v/>
      </c>
      <c r="F54" t="n">
        <v/>
      </c>
      <c r="G54" t="n">
        <v/>
      </c>
      <c r="H54" t="n">
        <v/>
      </c>
      <c r="I54" t="n">
        <v/>
      </c>
      <c r="J54" t="n">
        <v/>
      </c>
      <c r="K54" t="n">
        <v/>
      </c>
      <c r="L54" t="n">
        <v/>
      </c>
      <c r="M54" t="n">
        <v/>
      </c>
      <c r="N54" t="n">
        <v/>
      </c>
      <c r="O54" t="n">
        <v/>
      </c>
      <c r="P54" t="n">
        <v>0.02189018</v>
      </c>
      <c r="Q54" t="n">
        <v/>
      </c>
      <c r="R54" t="n">
        <v/>
      </c>
      <c r="S54" t="n">
        <v/>
      </c>
      <c r="T54" t="n">
        <v/>
      </c>
      <c r="U54" t="n">
        <v/>
      </c>
      <c r="V54" t="n">
        <v/>
      </c>
      <c r="W54" t="n">
        <v/>
      </c>
      <c r="X54" t="n">
        <v/>
      </c>
      <c r="Y54" t="n">
        <v/>
      </c>
      <c r="Z54" t="n">
        <v/>
      </c>
      <c r="AA54" t="n">
        <v/>
      </c>
      <c r="AB54" t="n">
        <v/>
      </c>
      <c r="AC54" t="n">
        <v/>
      </c>
      <c r="AD54" t="n">
        <v/>
      </c>
      <c r="AE54" t="n">
        <v/>
      </c>
    </row>
    <row r="55">
      <c r="A55" s="87" t="n">
        <v>20241</v>
      </c>
      <c r="B55" t="n">
        <v/>
      </c>
      <c r="C55" t="n">
        <v/>
      </c>
      <c r="D55" t="n">
        <v/>
      </c>
      <c r="E55" t="n">
        <v/>
      </c>
      <c r="F55" t="n">
        <v/>
      </c>
      <c r="G55" t="n">
        <v/>
      </c>
      <c r="H55" t="n">
        <v/>
      </c>
      <c r="I55" t="n">
        <v/>
      </c>
      <c r="J55" t="n">
        <v/>
      </c>
      <c r="K55" t="n">
        <v/>
      </c>
      <c r="L55" t="n">
        <v/>
      </c>
      <c r="M55" t="n">
        <v/>
      </c>
      <c r="N55" t="n">
        <v/>
      </c>
      <c r="O55" t="n">
        <v/>
      </c>
      <c r="P55" t="n">
        <v>0.02216841</v>
      </c>
      <c r="Q55" t="n">
        <v/>
      </c>
      <c r="R55" t="n">
        <v/>
      </c>
      <c r="S55" t="n">
        <v/>
      </c>
      <c r="T55" t="n">
        <v/>
      </c>
      <c r="U55" t="n">
        <v/>
      </c>
      <c r="V55" t="n">
        <v/>
      </c>
      <c r="W55" t="n">
        <v/>
      </c>
      <c r="X55" t="n">
        <v/>
      </c>
      <c r="Y55" t="n">
        <v/>
      </c>
      <c r="Z55" t="n">
        <v/>
      </c>
      <c r="AA55" t="n">
        <v/>
      </c>
      <c r="AB55" t="n">
        <v/>
      </c>
      <c r="AC55" t="n">
        <v/>
      </c>
      <c r="AD55" t="n">
        <v/>
      </c>
      <c r="AE55" t="n">
        <v/>
      </c>
    </row>
    <row r="56">
      <c r="A56" s="87" t="n">
        <v>20271</v>
      </c>
      <c r="B56" t="n">
        <v/>
      </c>
      <c r="C56" t="n">
        <v/>
      </c>
      <c r="D56" t="n">
        <v/>
      </c>
      <c r="E56" t="n">
        <v/>
      </c>
      <c r="F56" t="n">
        <v/>
      </c>
      <c r="G56" t="n">
        <v/>
      </c>
      <c r="H56" t="n">
        <v/>
      </c>
      <c r="I56" t="n">
        <v/>
      </c>
      <c r="J56" t="n">
        <v/>
      </c>
      <c r="K56" t="n">
        <v/>
      </c>
      <c r="L56" t="n">
        <v/>
      </c>
      <c r="M56" t="n">
        <v/>
      </c>
      <c r="N56" t="n">
        <v/>
      </c>
      <c r="O56" t="n">
        <v/>
      </c>
      <c r="P56" t="n">
        <v>0.02244945</v>
      </c>
      <c r="Q56" t="n">
        <v/>
      </c>
      <c r="R56" t="n">
        <v/>
      </c>
      <c r="S56" t="n">
        <v/>
      </c>
      <c r="T56" t="n">
        <v/>
      </c>
      <c r="U56" t="n">
        <v/>
      </c>
      <c r="V56" t="n">
        <v/>
      </c>
      <c r="W56" t="n">
        <v/>
      </c>
      <c r="X56" t="n">
        <v/>
      </c>
      <c r="Y56" t="n">
        <v/>
      </c>
      <c r="Z56" t="n">
        <v/>
      </c>
      <c r="AA56" t="n">
        <v/>
      </c>
      <c r="AB56" t="n">
        <v/>
      </c>
      <c r="AC56" t="n">
        <v/>
      </c>
      <c r="AD56" t="n">
        <v/>
      </c>
      <c r="AE56" t="n">
        <v/>
      </c>
    </row>
    <row r="57">
      <c r="A57" s="87" t="n">
        <v>20302</v>
      </c>
      <c r="B57" t="n">
        <v/>
      </c>
      <c r="C57" t="n">
        <v/>
      </c>
      <c r="D57" t="n">
        <v/>
      </c>
      <c r="E57" t="n">
        <v/>
      </c>
      <c r="F57" t="n">
        <v/>
      </c>
      <c r="G57" t="n">
        <v/>
      </c>
      <c r="H57" t="n">
        <v/>
      </c>
      <c r="I57" t="n">
        <v/>
      </c>
      <c r="J57" t="n">
        <v/>
      </c>
      <c r="K57" t="n">
        <v/>
      </c>
      <c r="L57" t="n">
        <v/>
      </c>
      <c r="M57" t="n">
        <v/>
      </c>
      <c r="N57" t="n">
        <v/>
      </c>
      <c r="O57" t="n">
        <v/>
      </c>
      <c r="P57" t="n">
        <v>0.02268808</v>
      </c>
      <c r="Q57" t="n">
        <v/>
      </c>
      <c r="R57" t="n">
        <v/>
      </c>
      <c r="S57" t="n">
        <v/>
      </c>
      <c r="T57" t="n">
        <v/>
      </c>
      <c r="U57" t="n">
        <v/>
      </c>
      <c r="V57" t="n">
        <v/>
      </c>
      <c r="W57" t="n">
        <v/>
      </c>
      <c r="X57" t="n">
        <v/>
      </c>
      <c r="Y57" t="n">
        <v/>
      </c>
      <c r="Z57" t="n">
        <v/>
      </c>
      <c r="AA57" t="n">
        <v/>
      </c>
      <c r="AB57" t="n">
        <v/>
      </c>
      <c r="AC57" t="n">
        <v/>
      </c>
      <c r="AD57" t="n">
        <v/>
      </c>
      <c r="AE57" t="n">
        <v/>
      </c>
    </row>
    <row r="58">
      <c r="A58" s="87" t="n">
        <v>20333</v>
      </c>
      <c r="B58" t="n">
        <v/>
      </c>
      <c r="C58" t="n">
        <v/>
      </c>
      <c r="D58" t="n">
        <v/>
      </c>
      <c r="E58" t="n">
        <v/>
      </c>
      <c r="F58" t="n">
        <v/>
      </c>
      <c r="G58" t="n">
        <v/>
      </c>
      <c r="H58" t="n">
        <v/>
      </c>
      <c r="I58" t="n">
        <v/>
      </c>
      <c r="J58" t="n">
        <v/>
      </c>
      <c r="K58" t="n">
        <v/>
      </c>
      <c r="L58" t="n">
        <v/>
      </c>
      <c r="M58" t="n">
        <v/>
      </c>
      <c r="N58" t="n">
        <v/>
      </c>
      <c r="O58" t="n">
        <v/>
      </c>
      <c r="P58" t="n">
        <v>0.02293799</v>
      </c>
      <c r="Q58" t="n">
        <v/>
      </c>
      <c r="R58" t="n">
        <v/>
      </c>
      <c r="S58" t="n">
        <v/>
      </c>
      <c r="T58" t="n">
        <v/>
      </c>
      <c r="U58" t="n">
        <v/>
      </c>
      <c r="V58" t="n">
        <v/>
      </c>
      <c r="W58" t="n">
        <v/>
      </c>
      <c r="X58" t="n">
        <v/>
      </c>
      <c r="Y58" t="n">
        <v/>
      </c>
      <c r="Z58" t="n">
        <v/>
      </c>
      <c r="AA58" t="n">
        <v/>
      </c>
      <c r="AB58" t="n">
        <v/>
      </c>
      <c r="AC58" t="n">
        <v/>
      </c>
      <c r="AD58" t="n">
        <v/>
      </c>
      <c r="AE58" t="n">
        <v/>
      </c>
    </row>
    <row r="59">
      <c r="A59" s="87" t="n">
        <v>20363</v>
      </c>
      <c r="B59" t="n">
        <v/>
      </c>
      <c r="C59" t="n">
        <v/>
      </c>
      <c r="D59" t="n">
        <v/>
      </c>
      <c r="E59" t="n">
        <v/>
      </c>
      <c r="F59" t="n">
        <v/>
      </c>
      <c r="G59" t="n">
        <v/>
      </c>
      <c r="H59" t="n">
        <v/>
      </c>
      <c r="I59" t="n">
        <v/>
      </c>
      <c r="J59" t="n">
        <v/>
      </c>
      <c r="K59" t="n">
        <v/>
      </c>
      <c r="L59" t="n">
        <v/>
      </c>
      <c r="M59" t="n">
        <v/>
      </c>
      <c r="N59" t="n">
        <v/>
      </c>
      <c r="O59" t="n">
        <v/>
      </c>
      <c r="P59" t="n">
        <v>0.02317361</v>
      </c>
      <c r="Q59" t="n">
        <v/>
      </c>
      <c r="R59" t="n">
        <v/>
      </c>
      <c r="S59" t="n">
        <v/>
      </c>
      <c r="T59" t="n">
        <v/>
      </c>
      <c r="U59" t="n">
        <v/>
      </c>
      <c r="V59" t="n">
        <v/>
      </c>
      <c r="W59" t="n">
        <v/>
      </c>
      <c r="X59" t="n">
        <v/>
      </c>
      <c r="Y59" t="n">
        <v/>
      </c>
      <c r="Z59" t="n">
        <v/>
      </c>
      <c r="AA59" t="n">
        <v/>
      </c>
      <c r="AB59" t="n">
        <v/>
      </c>
      <c r="AC59" t="n">
        <v/>
      </c>
      <c r="AD59" t="n">
        <v/>
      </c>
      <c r="AE59" t="n">
        <v/>
      </c>
    </row>
    <row r="60">
      <c r="A60" s="87" t="n">
        <v>20394</v>
      </c>
      <c r="B60" t="n">
        <v/>
      </c>
      <c r="C60" t="n">
        <v/>
      </c>
      <c r="D60" t="n">
        <v/>
      </c>
      <c r="E60" t="n">
        <v/>
      </c>
      <c r="F60" t="n">
        <v/>
      </c>
      <c r="G60" t="n">
        <v/>
      </c>
      <c r="H60" t="n">
        <v/>
      </c>
      <c r="I60" t="n">
        <v/>
      </c>
      <c r="J60" t="n">
        <v/>
      </c>
      <c r="K60" t="n">
        <v/>
      </c>
      <c r="L60" t="n">
        <v/>
      </c>
      <c r="M60" t="n">
        <v/>
      </c>
      <c r="N60" t="n">
        <v/>
      </c>
      <c r="O60" t="n">
        <v/>
      </c>
      <c r="P60" t="n">
        <v>0.02340135</v>
      </c>
      <c r="Q60" t="n">
        <v/>
      </c>
      <c r="R60" t="n">
        <v/>
      </c>
      <c r="S60" t="n">
        <v/>
      </c>
      <c r="T60" t="n">
        <v/>
      </c>
      <c r="U60" t="n">
        <v/>
      </c>
      <c r="V60" t="n">
        <v/>
      </c>
      <c r="W60" t="n">
        <v/>
      </c>
      <c r="X60" t="n">
        <v/>
      </c>
      <c r="Y60" t="n">
        <v/>
      </c>
      <c r="Z60" t="n">
        <v/>
      </c>
      <c r="AA60" t="n">
        <v/>
      </c>
      <c r="AB60" t="n">
        <v/>
      </c>
      <c r="AC60" t="n">
        <v/>
      </c>
      <c r="AD60" t="n">
        <v/>
      </c>
      <c r="AE60" t="n">
        <v/>
      </c>
    </row>
    <row r="61">
      <c r="A61" s="87" t="n">
        <v>20424</v>
      </c>
      <c r="B61" t="n">
        <v/>
      </c>
      <c r="C61" t="n">
        <v/>
      </c>
      <c r="D61" t="n">
        <v/>
      </c>
      <c r="E61" t="n">
        <v/>
      </c>
      <c r="F61" t="n">
        <v/>
      </c>
      <c r="G61" t="n">
        <v/>
      </c>
      <c r="H61" t="n">
        <v/>
      </c>
      <c r="I61" t="n">
        <v/>
      </c>
      <c r="J61" t="n">
        <v/>
      </c>
      <c r="K61" t="n">
        <v/>
      </c>
      <c r="L61" t="n">
        <v/>
      </c>
      <c r="M61" t="n">
        <v/>
      </c>
      <c r="N61" t="n">
        <v/>
      </c>
      <c r="O61" t="n">
        <v/>
      </c>
      <c r="P61" t="n">
        <v>0.02364683</v>
      </c>
      <c r="Q61" t="n">
        <v/>
      </c>
      <c r="R61" t="n">
        <v/>
      </c>
      <c r="S61" t="n">
        <v/>
      </c>
      <c r="T61" t="n">
        <v/>
      </c>
      <c r="U61" t="n">
        <v/>
      </c>
      <c r="V61" t="n">
        <v/>
      </c>
      <c r="W61" t="n">
        <v/>
      </c>
      <c r="X61" t="n">
        <v/>
      </c>
      <c r="Y61" t="n">
        <v/>
      </c>
      <c r="Z61" t="n">
        <v/>
      </c>
      <c r="AA61" t="n">
        <v/>
      </c>
      <c r="AB61" t="n">
        <v/>
      </c>
      <c r="AC61" t="n">
        <v/>
      </c>
      <c r="AD61" t="n">
        <v/>
      </c>
      <c r="AE61" t="n">
        <v/>
      </c>
    </row>
    <row r="62">
      <c r="A62" s="87" t="n">
        <v>20455</v>
      </c>
      <c r="B62" t="n">
        <v/>
      </c>
      <c r="C62" t="n">
        <v/>
      </c>
      <c r="D62" t="n">
        <v/>
      </c>
      <c r="E62" t="n">
        <v/>
      </c>
      <c r="F62" t="n">
        <v/>
      </c>
      <c r="G62" t="n">
        <v/>
      </c>
      <c r="H62" t="n">
        <v/>
      </c>
      <c r="I62" t="n">
        <v/>
      </c>
      <c r="J62" t="n">
        <v/>
      </c>
      <c r="K62" t="n">
        <v/>
      </c>
      <c r="L62" t="n">
        <v/>
      </c>
      <c r="M62" t="n">
        <v/>
      </c>
      <c r="N62" t="n">
        <v/>
      </c>
      <c r="O62" t="n">
        <v/>
      </c>
      <c r="P62" t="n">
        <v>0.02386169</v>
      </c>
      <c r="Q62" t="n">
        <v/>
      </c>
      <c r="R62" t="n">
        <v/>
      </c>
      <c r="S62" t="n">
        <v/>
      </c>
      <c r="T62" t="n">
        <v/>
      </c>
      <c r="U62" t="n">
        <v/>
      </c>
      <c r="V62" t="n">
        <v/>
      </c>
      <c r="W62" t="n">
        <v/>
      </c>
      <c r="X62" t="n">
        <v/>
      </c>
      <c r="Y62" t="n">
        <v/>
      </c>
      <c r="Z62" t="n">
        <v/>
      </c>
      <c r="AA62" t="n">
        <v/>
      </c>
      <c r="AB62" t="n">
        <v/>
      </c>
      <c r="AC62" t="n">
        <v/>
      </c>
      <c r="AD62" t="n">
        <v/>
      </c>
      <c r="AE62" t="n">
        <v/>
      </c>
    </row>
    <row r="63">
      <c r="A63" s="87" t="n">
        <v>20486</v>
      </c>
      <c r="B63" t="n">
        <v/>
      </c>
      <c r="C63" t="n">
        <v/>
      </c>
      <c r="D63" t="n">
        <v/>
      </c>
      <c r="E63" t="n">
        <v/>
      </c>
      <c r="F63" t="n">
        <v/>
      </c>
      <c r="G63" t="n">
        <v/>
      </c>
      <c r="H63" t="n">
        <v/>
      </c>
      <c r="I63" t="n">
        <v/>
      </c>
      <c r="J63" t="n">
        <v/>
      </c>
      <c r="K63" t="n">
        <v/>
      </c>
      <c r="L63" t="n">
        <v/>
      </c>
      <c r="M63" t="n">
        <v/>
      </c>
      <c r="N63" t="n">
        <v/>
      </c>
      <c r="O63" t="n">
        <v/>
      </c>
      <c r="P63" t="n">
        <v>0.02397555</v>
      </c>
      <c r="Q63" t="n">
        <v/>
      </c>
      <c r="R63" t="n">
        <v/>
      </c>
      <c r="S63" t="n">
        <v/>
      </c>
      <c r="T63" t="n">
        <v/>
      </c>
      <c r="U63" t="n">
        <v/>
      </c>
      <c r="V63" t="n">
        <v/>
      </c>
      <c r="W63" t="n">
        <v/>
      </c>
      <c r="X63" t="n">
        <v/>
      </c>
      <c r="Y63" t="n">
        <v/>
      </c>
      <c r="Z63" t="n">
        <v/>
      </c>
      <c r="AA63" t="n">
        <v/>
      </c>
      <c r="AB63" t="n">
        <v/>
      </c>
      <c r="AC63" t="n">
        <v/>
      </c>
      <c r="AD63" t="n">
        <v/>
      </c>
      <c r="AE63" t="n">
        <v/>
      </c>
    </row>
    <row r="64">
      <c r="A64" s="87" t="n">
        <v>20515</v>
      </c>
      <c r="B64" t="n">
        <v/>
      </c>
      <c r="C64" t="n">
        <v/>
      </c>
      <c r="D64" t="n">
        <v/>
      </c>
      <c r="E64" t="n">
        <v/>
      </c>
      <c r="F64" t="n">
        <v/>
      </c>
      <c r="G64" t="n">
        <v/>
      </c>
      <c r="H64" t="n">
        <v/>
      </c>
      <c r="I64" t="n">
        <v/>
      </c>
      <c r="J64" t="n">
        <v/>
      </c>
      <c r="K64" t="n">
        <v/>
      </c>
      <c r="L64" t="n">
        <v/>
      </c>
      <c r="M64" t="n">
        <v/>
      </c>
      <c r="N64" t="n">
        <v/>
      </c>
      <c r="O64" t="n">
        <v/>
      </c>
      <c r="P64" t="n">
        <v>0.02420798</v>
      </c>
      <c r="Q64" t="n">
        <v/>
      </c>
      <c r="R64" t="n">
        <v/>
      </c>
      <c r="S64" t="n">
        <v/>
      </c>
      <c r="T64" t="n">
        <v/>
      </c>
      <c r="U64" t="n">
        <v/>
      </c>
      <c r="V64" t="n">
        <v/>
      </c>
      <c r="W64" t="n">
        <v/>
      </c>
      <c r="X64" t="n">
        <v/>
      </c>
      <c r="Y64" t="n">
        <v/>
      </c>
      <c r="Z64" t="n">
        <v/>
      </c>
      <c r="AA64" t="n">
        <v/>
      </c>
      <c r="AB64" t="n">
        <v/>
      </c>
      <c r="AC64" t="n">
        <v/>
      </c>
      <c r="AD64" t="n">
        <v/>
      </c>
      <c r="AE64" t="n">
        <v/>
      </c>
    </row>
    <row r="65">
      <c r="A65" s="87" t="n">
        <v>20546</v>
      </c>
      <c r="B65" t="n">
        <v/>
      </c>
      <c r="C65" t="n">
        <v/>
      </c>
      <c r="D65" t="n">
        <v/>
      </c>
      <c r="E65" t="n">
        <v/>
      </c>
      <c r="F65" t="n">
        <v/>
      </c>
      <c r="G65" t="n">
        <v/>
      </c>
      <c r="H65" t="n">
        <v/>
      </c>
      <c r="I65" t="n">
        <v/>
      </c>
      <c r="J65" t="n">
        <v/>
      </c>
      <c r="K65" t="n">
        <v/>
      </c>
      <c r="L65" t="n">
        <v/>
      </c>
      <c r="M65" t="n">
        <v/>
      </c>
      <c r="N65" t="n">
        <v/>
      </c>
      <c r="O65" t="n">
        <v/>
      </c>
      <c r="P65" t="n">
        <v>0.02448121</v>
      </c>
      <c r="Q65" t="n">
        <v/>
      </c>
      <c r="R65" t="n">
        <v/>
      </c>
      <c r="S65" t="n">
        <v/>
      </c>
      <c r="T65" t="n">
        <v/>
      </c>
      <c r="U65" t="n">
        <v/>
      </c>
      <c r="V65" t="n">
        <v/>
      </c>
      <c r="W65" t="n">
        <v/>
      </c>
      <c r="X65" t="n">
        <v/>
      </c>
      <c r="Y65" t="n">
        <v/>
      </c>
      <c r="Z65" t="n">
        <v/>
      </c>
      <c r="AA65" t="n">
        <v/>
      </c>
      <c r="AB65" t="n">
        <v/>
      </c>
      <c r="AC65" t="n">
        <v/>
      </c>
      <c r="AD65" t="n">
        <v/>
      </c>
      <c r="AE65" t="n">
        <v/>
      </c>
    </row>
    <row r="66">
      <c r="A66" s="87" t="n">
        <v>20576</v>
      </c>
      <c r="B66" t="n">
        <v/>
      </c>
      <c r="C66" t="n">
        <v/>
      </c>
      <c r="D66" t="n">
        <v/>
      </c>
      <c r="E66" t="n">
        <v/>
      </c>
      <c r="F66" t="n">
        <v/>
      </c>
      <c r="G66" t="n">
        <v/>
      </c>
      <c r="H66" t="n">
        <v/>
      </c>
      <c r="I66" t="n">
        <v/>
      </c>
      <c r="J66" t="n">
        <v/>
      </c>
      <c r="K66" t="n">
        <v/>
      </c>
      <c r="L66" t="n">
        <v/>
      </c>
      <c r="M66" t="n">
        <v/>
      </c>
      <c r="N66" t="n">
        <v/>
      </c>
      <c r="O66" t="n">
        <v/>
      </c>
      <c r="P66" t="n">
        <v>0.02463705</v>
      </c>
      <c r="Q66" t="n">
        <v/>
      </c>
      <c r="R66" t="n">
        <v/>
      </c>
      <c r="S66" t="n">
        <v/>
      </c>
      <c r="T66" t="n">
        <v/>
      </c>
      <c r="U66" t="n">
        <v/>
      </c>
      <c r="V66" t="n">
        <v/>
      </c>
      <c r="W66" t="n">
        <v/>
      </c>
      <c r="X66" t="n">
        <v/>
      </c>
      <c r="Y66" t="n">
        <v/>
      </c>
      <c r="Z66" t="n">
        <v/>
      </c>
      <c r="AA66" t="n">
        <v/>
      </c>
      <c r="AB66" t="n">
        <v/>
      </c>
      <c r="AC66" t="n">
        <v/>
      </c>
      <c r="AD66" t="n">
        <v/>
      </c>
      <c r="AE66" t="n">
        <v/>
      </c>
    </row>
    <row r="67">
      <c r="A67" s="87" t="n">
        <v>20607</v>
      </c>
      <c r="B67" t="n">
        <v/>
      </c>
      <c r="C67" t="n">
        <v/>
      </c>
      <c r="D67" t="n">
        <v/>
      </c>
      <c r="E67" t="n">
        <v/>
      </c>
      <c r="F67" t="n">
        <v/>
      </c>
      <c r="G67" t="n">
        <v/>
      </c>
      <c r="H67" t="n">
        <v/>
      </c>
      <c r="I67" t="n">
        <v/>
      </c>
      <c r="J67" t="n">
        <v/>
      </c>
      <c r="K67" t="n">
        <v/>
      </c>
      <c r="L67" t="n">
        <v/>
      </c>
      <c r="M67" t="n">
        <v/>
      </c>
      <c r="N67" t="n">
        <v/>
      </c>
      <c r="O67" t="n">
        <v/>
      </c>
      <c r="P67" t="n">
        <v>0.02474315</v>
      </c>
      <c r="Q67" t="n">
        <v/>
      </c>
      <c r="R67" t="n">
        <v/>
      </c>
      <c r="S67" t="n">
        <v/>
      </c>
      <c r="T67" t="n">
        <v/>
      </c>
      <c r="U67" t="n">
        <v/>
      </c>
      <c r="V67" t="n">
        <v/>
      </c>
      <c r="W67" t="n">
        <v/>
      </c>
      <c r="X67" t="n">
        <v/>
      </c>
      <c r="Y67" t="n">
        <v/>
      </c>
      <c r="Z67" t="n">
        <v/>
      </c>
      <c r="AA67" t="n">
        <v/>
      </c>
      <c r="AB67" t="n">
        <v/>
      </c>
      <c r="AC67" t="n">
        <v/>
      </c>
      <c r="AD67" t="n">
        <v/>
      </c>
      <c r="AE67" t="n">
        <v/>
      </c>
    </row>
    <row r="68">
      <c r="A68" s="87" t="n">
        <v>20637</v>
      </c>
      <c r="B68" t="n">
        <v/>
      </c>
      <c r="C68" t="n">
        <v/>
      </c>
      <c r="D68" t="n">
        <v/>
      </c>
      <c r="E68" t="n">
        <v/>
      </c>
      <c r="F68" t="n">
        <v/>
      </c>
      <c r="G68" t="n">
        <v/>
      </c>
      <c r="H68" t="n">
        <v/>
      </c>
      <c r="I68" t="n">
        <v/>
      </c>
      <c r="J68" t="n">
        <v/>
      </c>
      <c r="K68" t="n">
        <v/>
      </c>
      <c r="L68" t="n">
        <v/>
      </c>
      <c r="M68" t="n">
        <v/>
      </c>
      <c r="N68" t="n">
        <v/>
      </c>
      <c r="O68" t="n">
        <v/>
      </c>
      <c r="P68" t="n">
        <v>0.02481187</v>
      </c>
      <c r="Q68" t="n">
        <v/>
      </c>
      <c r="R68" t="n">
        <v/>
      </c>
      <c r="S68" t="n">
        <v/>
      </c>
      <c r="T68" t="n">
        <v/>
      </c>
      <c r="U68" t="n">
        <v/>
      </c>
      <c r="V68" t="n">
        <v/>
      </c>
      <c r="W68" t="n">
        <v/>
      </c>
      <c r="X68" t="n">
        <v/>
      </c>
      <c r="Y68" t="n">
        <v/>
      </c>
      <c r="Z68" t="n">
        <v/>
      </c>
      <c r="AA68" t="n">
        <v/>
      </c>
      <c r="AB68" t="n">
        <v/>
      </c>
      <c r="AC68" t="n">
        <v/>
      </c>
      <c r="AD68" t="n">
        <v/>
      </c>
      <c r="AE68" t="n">
        <v/>
      </c>
    </row>
    <row r="69">
      <c r="A69" s="87" t="n">
        <v>20668</v>
      </c>
      <c r="B69" t="n">
        <v/>
      </c>
      <c r="C69" t="n">
        <v/>
      </c>
      <c r="D69" t="n">
        <v/>
      </c>
      <c r="E69" t="n">
        <v/>
      </c>
      <c r="F69" t="n">
        <v/>
      </c>
      <c r="G69" t="n">
        <v/>
      </c>
      <c r="H69" t="n">
        <v/>
      </c>
      <c r="I69" t="n">
        <v/>
      </c>
      <c r="J69" t="n">
        <v/>
      </c>
      <c r="K69" t="n">
        <v/>
      </c>
      <c r="L69" t="n">
        <v/>
      </c>
      <c r="M69" t="n">
        <v/>
      </c>
      <c r="N69" t="n">
        <v/>
      </c>
      <c r="O69" t="n">
        <v/>
      </c>
      <c r="P69" t="n">
        <v>0.0249367</v>
      </c>
      <c r="Q69" t="n">
        <v/>
      </c>
      <c r="R69" t="n">
        <v/>
      </c>
      <c r="S69" t="n">
        <v/>
      </c>
      <c r="T69" t="n">
        <v/>
      </c>
      <c r="U69" t="n">
        <v/>
      </c>
      <c r="V69" t="n">
        <v/>
      </c>
      <c r="W69" t="n">
        <v/>
      </c>
      <c r="X69" t="n">
        <v/>
      </c>
      <c r="Y69" t="n">
        <v/>
      </c>
      <c r="Z69" t="n">
        <v/>
      </c>
      <c r="AA69" t="n">
        <v/>
      </c>
      <c r="AB69" t="n">
        <v/>
      </c>
      <c r="AC69" t="n">
        <v/>
      </c>
      <c r="AD69" t="n">
        <v/>
      </c>
      <c r="AE69" t="n">
        <v/>
      </c>
    </row>
    <row r="70">
      <c r="A70" s="87" t="n">
        <v>20699</v>
      </c>
      <c r="B70" t="n">
        <v/>
      </c>
      <c r="C70" t="n">
        <v/>
      </c>
      <c r="D70" t="n">
        <v/>
      </c>
      <c r="E70" t="n">
        <v/>
      </c>
      <c r="F70" t="n">
        <v/>
      </c>
      <c r="G70" t="n">
        <v/>
      </c>
      <c r="H70" t="n">
        <v/>
      </c>
      <c r="I70" t="n">
        <v/>
      </c>
      <c r="J70" t="n">
        <v/>
      </c>
      <c r="K70" t="n">
        <v/>
      </c>
      <c r="L70" t="n">
        <v/>
      </c>
      <c r="M70" t="n">
        <v/>
      </c>
      <c r="N70" t="n">
        <v/>
      </c>
      <c r="O70" t="n">
        <v/>
      </c>
      <c r="P70" t="n">
        <v>0.02501603</v>
      </c>
      <c r="Q70" t="n">
        <v/>
      </c>
      <c r="R70" t="n">
        <v/>
      </c>
      <c r="S70" t="n">
        <v/>
      </c>
      <c r="T70" t="n">
        <v/>
      </c>
      <c r="U70" t="n">
        <v/>
      </c>
      <c r="V70" t="n">
        <v/>
      </c>
      <c r="W70" t="n">
        <v/>
      </c>
      <c r="X70" t="n">
        <v/>
      </c>
      <c r="Y70" t="n">
        <v/>
      </c>
      <c r="Z70" t="n">
        <v/>
      </c>
      <c r="AA70" t="n">
        <v/>
      </c>
      <c r="AB70" t="n">
        <v/>
      </c>
      <c r="AC70" t="n">
        <v/>
      </c>
      <c r="AD70" t="n">
        <v/>
      </c>
      <c r="AE70" t="n">
        <v/>
      </c>
    </row>
    <row r="71">
      <c r="A71" s="87" t="n">
        <v>20729</v>
      </c>
      <c r="B71" t="n">
        <v/>
      </c>
      <c r="C71" t="n">
        <v/>
      </c>
      <c r="D71" t="n">
        <v/>
      </c>
      <c r="E71" t="n">
        <v/>
      </c>
      <c r="F71" t="n">
        <v/>
      </c>
      <c r="G71" t="n">
        <v/>
      </c>
      <c r="H71" t="n">
        <v/>
      </c>
      <c r="I71" t="n">
        <v/>
      </c>
      <c r="J71" t="n">
        <v/>
      </c>
      <c r="K71" t="n">
        <v/>
      </c>
      <c r="L71" t="n">
        <v/>
      </c>
      <c r="M71" t="n">
        <v/>
      </c>
      <c r="N71" t="n">
        <v/>
      </c>
      <c r="O71" t="n">
        <v/>
      </c>
      <c r="P71" t="n">
        <v>0.02502405</v>
      </c>
      <c r="Q71" t="n">
        <v/>
      </c>
      <c r="R71" t="n">
        <v/>
      </c>
      <c r="S71" t="n">
        <v/>
      </c>
      <c r="T71" t="n">
        <v/>
      </c>
      <c r="U71" t="n">
        <v/>
      </c>
      <c r="V71" t="n">
        <v/>
      </c>
      <c r="W71" t="n">
        <v/>
      </c>
      <c r="X71" t="n">
        <v/>
      </c>
      <c r="Y71" t="n">
        <v/>
      </c>
      <c r="Z71" t="n">
        <v/>
      </c>
      <c r="AA71" t="n">
        <v/>
      </c>
      <c r="AB71" t="n">
        <v/>
      </c>
      <c r="AC71" t="n">
        <v/>
      </c>
      <c r="AD71" t="n">
        <v/>
      </c>
      <c r="AE71" t="n">
        <v/>
      </c>
    </row>
    <row r="72">
      <c r="A72" s="87" t="n">
        <v>20760</v>
      </c>
      <c r="B72" t="n">
        <v/>
      </c>
      <c r="C72" t="n">
        <v/>
      </c>
      <c r="D72" t="n">
        <v/>
      </c>
      <c r="E72" t="n">
        <v/>
      </c>
      <c r="F72" t="n">
        <v/>
      </c>
      <c r="G72" t="n">
        <v/>
      </c>
      <c r="H72" t="n">
        <v/>
      </c>
      <c r="I72" t="n">
        <v/>
      </c>
      <c r="J72" t="n">
        <v/>
      </c>
      <c r="K72" t="n">
        <v/>
      </c>
      <c r="L72" t="n">
        <v/>
      </c>
      <c r="M72" t="n">
        <v/>
      </c>
      <c r="N72" t="n">
        <v/>
      </c>
      <c r="O72" t="n">
        <v/>
      </c>
      <c r="P72" t="n">
        <v>0.02519036</v>
      </c>
      <c r="Q72" t="n">
        <v/>
      </c>
      <c r="R72" t="n">
        <v/>
      </c>
      <c r="S72" t="n">
        <v/>
      </c>
      <c r="T72" t="n">
        <v/>
      </c>
      <c r="U72" t="n">
        <v/>
      </c>
      <c r="V72" t="n">
        <v/>
      </c>
      <c r="W72" t="n">
        <v/>
      </c>
      <c r="X72" t="n">
        <v/>
      </c>
      <c r="Y72" t="n">
        <v/>
      </c>
      <c r="Z72" t="n">
        <v/>
      </c>
      <c r="AA72" t="n">
        <v/>
      </c>
      <c r="AB72" t="n">
        <v/>
      </c>
      <c r="AC72" t="n">
        <v/>
      </c>
      <c r="AD72" t="n">
        <v/>
      </c>
      <c r="AE72" t="n">
        <v/>
      </c>
    </row>
    <row r="73">
      <c r="A73" s="87" t="n">
        <v>20790</v>
      </c>
      <c r="B73" t="n">
        <v/>
      </c>
      <c r="C73" t="n">
        <v/>
      </c>
      <c r="D73" t="n">
        <v/>
      </c>
      <c r="E73" t="n">
        <v/>
      </c>
      <c r="F73" t="n">
        <v/>
      </c>
      <c r="G73" t="n">
        <v/>
      </c>
      <c r="H73" t="n">
        <v/>
      </c>
      <c r="I73" t="n">
        <v/>
      </c>
      <c r="J73" t="n">
        <v/>
      </c>
      <c r="K73" t="n">
        <v/>
      </c>
      <c r="L73" t="n">
        <v/>
      </c>
      <c r="M73" t="n">
        <v/>
      </c>
      <c r="N73" t="n">
        <v/>
      </c>
      <c r="O73" t="n">
        <v/>
      </c>
      <c r="P73" t="n">
        <v>0.02541433</v>
      </c>
      <c r="Q73" t="n">
        <v/>
      </c>
      <c r="R73" t="n">
        <v/>
      </c>
      <c r="S73" t="n">
        <v/>
      </c>
      <c r="T73" t="n">
        <v/>
      </c>
      <c r="U73" t="n">
        <v/>
      </c>
      <c r="V73" t="n">
        <v/>
      </c>
      <c r="W73" t="n">
        <v/>
      </c>
      <c r="X73" t="n">
        <v/>
      </c>
      <c r="Y73" t="n">
        <v/>
      </c>
      <c r="Z73" t="n">
        <v/>
      </c>
      <c r="AA73" t="n">
        <v/>
      </c>
      <c r="AB73" t="n">
        <v/>
      </c>
      <c r="AC73" t="n">
        <v/>
      </c>
      <c r="AD73" t="n">
        <v/>
      </c>
      <c r="AE73" t="n">
        <v/>
      </c>
    </row>
    <row r="74">
      <c r="A74" s="87" t="n">
        <v>20821</v>
      </c>
      <c r="B74" t="n">
        <v/>
      </c>
      <c r="C74" t="n">
        <v/>
      </c>
      <c r="D74" t="n">
        <v/>
      </c>
      <c r="E74" t="n">
        <v/>
      </c>
      <c r="F74" t="n">
        <v/>
      </c>
      <c r="G74" t="n">
        <v/>
      </c>
      <c r="H74" t="n">
        <v/>
      </c>
      <c r="I74" t="n">
        <v/>
      </c>
      <c r="J74" t="n">
        <v/>
      </c>
      <c r="K74" t="n">
        <v/>
      </c>
      <c r="L74" t="n">
        <v/>
      </c>
      <c r="M74" t="n">
        <v/>
      </c>
      <c r="N74" t="n">
        <v/>
      </c>
      <c r="O74" t="n">
        <v/>
      </c>
      <c r="P74" t="n">
        <v>0.02557109</v>
      </c>
      <c r="Q74" t="n">
        <v/>
      </c>
      <c r="R74" t="n">
        <v/>
      </c>
      <c r="S74" t="n">
        <v/>
      </c>
      <c r="T74" t="n">
        <v/>
      </c>
      <c r="U74" t="n">
        <v/>
      </c>
      <c r="V74" t="n">
        <v/>
      </c>
      <c r="W74" t="n">
        <v/>
      </c>
      <c r="X74" t="n">
        <v/>
      </c>
      <c r="Y74" t="n">
        <v/>
      </c>
      <c r="Z74" t="n">
        <v/>
      </c>
      <c r="AA74" t="n">
        <v/>
      </c>
      <c r="AB74" t="n">
        <v/>
      </c>
      <c r="AC74" t="n">
        <v/>
      </c>
      <c r="AD74" t="n">
        <v/>
      </c>
      <c r="AE74" t="n">
        <v/>
      </c>
    </row>
    <row r="75">
      <c r="A75" s="87" t="n">
        <v>20852</v>
      </c>
      <c r="B75" t="n">
        <v/>
      </c>
      <c r="C75" t="n">
        <v/>
      </c>
      <c r="D75" t="n">
        <v/>
      </c>
      <c r="E75" t="n">
        <v/>
      </c>
      <c r="F75" t="n">
        <v/>
      </c>
      <c r="G75" t="n">
        <v/>
      </c>
      <c r="H75" t="n">
        <v/>
      </c>
      <c r="I75" t="n">
        <v/>
      </c>
      <c r="J75" t="n">
        <v/>
      </c>
      <c r="K75" t="n">
        <v/>
      </c>
      <c r="L75" t="n">
        <v/>
      </c>
      <c r="M75" t="n">
        <v/>
      </c>
      <c r="N75" t="n">
        <v/>
      </c>
      <c r="O75" t="n">
        <v/>
      </c>
      <c r="P75" t="n">
        <v>0.02577497</v>
      </c>
      <c r="Q75" t="n">
        <v/>
      </c>
      <c r="R75" t="n">
        <v/>
      </c>
      <c r="S75" t="n">
        <v/>
      </c>
      <c r="T75" t="n">
        <v/>
      </c>
      <c r="U75" t="n">
        <v/>
      </c>
      <c r="V75" t="n">
        <v/>
      </c>
      <c r="W75" t="n">
        <v/>
      </c>
      <c r="X75" t="n">
        <v/>
      </c>
      <c r="Y75" t="n">
        <v/>
      </c>
      <c r="Z75" t="n">
        <v/>
      </c>
      <c r="AA75" t="n">
        <v/>
      </c>
      <c r="AB75" t="n">
        <v/>
      </c>
      <c r="AC75" t="n">
        <v/>
      </c>
      <c r="AD75" t="n">
        <v/>
      </c>
      <c r="AE75" t="n">
        <v/>
      </c>
    </row>
    <row r="76">
      <c r="A76" s="87" t="n">
        <v>20880</v>
      </c>
      <c r="B76" t="n">
        <v/>
      </c>
      <c r="C76" t="n">
        <v/>
      </c>
      <c r="D76" t="n">
        <v/>
      </c>
      <c r="E76" t="n">
        <v/>
      </c>
      <c r="F76" t="n">
        <v/>
      </c>
      <c r="G76" t="n">
        <v/>
      </c>
      <c r="H76" t="n">
        <v/>
      </c>
      <c r="I76" t="n">
        <v/>
      </c>
      <c r="J76" t="n">
        <v/>
      </c>
      <c r="K76" t="n">
        <v/>
      </c>
      <c r="L76" t="n">
        <v/>
      </c>
      <c r="M76" t="n">
        <v/>
      </c>
      <c r="N76" t="n">
        <v/>
      </c>
      <c r="O76" t="n">
        <v/>
      </c>
      <c r="P76" t="n">
        <v>0.02598824</v>
      </c>
      <c r="Q76" t="n">
        <v/>
      </c>
      <c r="R76" t="n">
        <v/>
      </c>
      <c r="S76" t="n">
        <v/>
      </c>
      <c r="T76" t="n">
        <v/>
      </c>
      <c r="U76" t="n">
        <v/>
      </c>
      <c r="V76" t="n">
        <v/>
      </c>
      <c r="W76" t="n">
        <v/>
      </c>
      <c r="X76" t="n">
        <v/>
      </c>
      <c r="Y76" t="n">
        <v/>
      </c>
      <c r="Z76" t="n">
        <v/>
      </c>
      <c r="AA76" t="n">
        <v/>
      </c>
      <c r="AB76" t="n">
        <v/>
      </c>
      <c r="AC76" t="n">
        <v/>
      </c>
      <c r="AD76" t="n">
        <v/>
      </c>
      <c r="AE76" t="n">
        <v/>
      </c>
    </row>
    <row r="77">
      <c r="A77" s="87" t="n">
        <v>20911</v>
      </c>
      <c r="B77" t="n">
        <v/>
      </c>
      <c r="C77" t="n">
        <v/>
      </c>
      <c r="D77" t="n">
        <v/>
      </c>
      <c r="E77" t="n">
        <v/>
      </c>
      <c r="F77" t="n">
        <v/>
      </c>
      <c r="G77" t="n">
        <v/>
      </c>
      <c r="H77" t="n">
        <v/>
      </c>
      <c r="I77" t="n">
        <v/>
      </c>
      <c r="J77" t="n">
        <v/>
      </c>
      <c r="K77" t="n">
        <v/>
      </c>
      <c r="L77" t="n">
        <v/>
      </c>
      <c r="M77" t="n">
        <v/>
      </c>
      <c r="N77" t="n">
        <v/>
      </c>
      <c r="O77" t="n">
        <v/>
      </c>
      <c r="P77" t="n">
        <v>0.02624388</v>
      </c>
      <c r="Q77" t="n">
        <v/>
      </c>
      <c r="R77" t="n">
        <v/>
      </c>
      <c r="S77" t="n">
        <v/>
      </c>
      <c r="T77" t="n">
        <v/>
      </c>
      <c r="U77" t="n">
        <v/>
      </c>
      <c r="V77" t="n">
        <v/>
      </c>
      <c r="W77" t="n">
        <v/>
      </c>
      <c r="X77" t="n">
        <v/>
      </c>
      <c r="Y77" t="n">
        <v/>
      </c>
      <c r="Z77" t="n">
        <v/>
      </c>
      <c r="AA77" t="n">
        <v/>
      </c>
      <c r="AB77" t="n">
        <v/>
      </c>
      <c r="AC77" t="n">
        <v/>
      </c>
      <c r="AD77" t="n">
        <v/>
      </c>
      <c r="AE77" t="n">
        <v/>
      </c>
    </row>
    <row r="78">
      <c r="A78" s="87" t="n">
        <v>20941</v>
      </c>
      <c r="B78" t="n">
        <v/>
      </c>
      <c r="C78" t="n">
        <v/>
      </c>
      <c r="D78" t="n">
        <v/>
      </c>
      <c r="E78" t="n">
        <v/>
      </c>
      <c r="F78" t="n">
        <v/>
      </c>
      <c r="G78" t="n">
        <v/>
      </c>
      <c r="H78" t="n">
        <v/>
      </c>
      <c r="I78" t="n">
        <v/>
      </c>
      <c r="J78" t="n">
        <v/>
      </c>
      <c r="K78" t="n">
        <v/>
      </c>
      <c r="L78" t="n">
        <v/>
      </c>
      <c r="M78" t="n">
        <v/>
      </c>
      <c r="N78" t="n">
        <v/>
      </c>
      <c r="O78" t="n">
        <v/>
      </c>
      <c r="P78" t="n">
        <v>0.02662859</v>
      </c>
      <c r="Q78" t="n">
        <v/>
      </c>
      <c r="R78" t="n">
        <v/>
      </c>
      <c r="S78" t="n">
        <v/>
      </c>
      <c r="T78" t="n">
        <v/>
      </c>
      <c r="U78" t="n">
        <v/>
      </c>
      <c r="V78" t="n">
        <v/>
      </c>
      <c r="W78" t="n">
        <v/>
      </c>
      <c r="X78" t="n">
        <v/>
      </c>
      <c r="Y78" t="n">
        <v/>
      </c>
      <c r="Z78" t="n">
        <v/>
      </c>
      <c r="AA78" t="n">
        <v/>
      </c>
      <c r="AB78" t="n">
        <v/>
      </c>
      <c r="AC78" t="n">
        <v/>
      </c>
      <c r="AD78" t="n">
        <v/>
      </c>
      <c r="AE78" t="n">
        <v/>
      </c>
    </row>
    <row r="79">
      <c r="A79" s="87" t="n">
        <v>20972</v>
      </c>
      <c r="B79" t="n">
        <v/>
      </c>
      <c r="C79" t="n">
        <v/>
      </c>
      <c r="D79" t="n">
        <v/>
      </c>
      <c r="E79" t="n">
        <v/>
      </c>
      <c r="F79" t="n">
        <v/>
      </c>
      <c r="G79" t="n">
        <v/>
      </c>
      <c r="H79" t="n">
        <v/>
      </c>
      <c r="I79" t="n">
        <v/>
      </c>
      <c r="J79" t="n">
        <v/>
      </c>
      <c r="K79" t="n">
        <v/>
      </c>
      <c r="L79" t="n">
        <v/>
      </c>
      <c r="M79" t="n">
        <v/>
      </c>
      <c r="N79" t="n">
        <v/>
      </c>
      <c r="O79" t="n">
        <v/>
      </c>
      <c r="P79" t="n">
        <v>0.0269542</v>
      </c>
      <c r="Q79" t="n">
        <v/>
      </c>
      <c r="R79" t="n">
        <v/>
      </c>
      <c r="S79" t="n">
        <v/>
      </c>
      <c r="T79" t="n">
        <v/>
      </c>
      <c r="U79" t="n">
        <v/>
      </c>
      <c r="V79" t="n">
        <v/>
      </c>
      <c r="W79" t="n">
        <v/>
      </c>
      <c r="X79" t="n">
        <v/>
      </c>
      <c r="Y79" t="n">
        <v/>
      </c>
      <c r="Z79" t="n">
        <v/>
      </c>
      <c r="AA79" t="n">
        <v/>
      </c>
      <c r="AB79" t="n">
        <v/>
      </c>
      <c r="AC79" t="n">
        <v/>
      </c>
      <c r="AD79" t="n">
        <v/>
      </c>
      <c r="AE79" t="n">
        <v/>
      </c>
    </row>
    <row r="80">
      <c r="A80" s="87" t="n">
        <v>21002</v>
      </c>
      <c r="B80" t="n">
        <v/>
      </c>
      <c r="C80" t="n">
        <v/>
      </c>
      <c r="D80" t="n">
        <v/>
      </c>
      <c r="E80" t="n">
        <v/>
      </c>
      <c r="F80" t="n">
        <v/>
      </c>
      <c r="G80" t="n">
        <v/>
      </c>
      <c r="H80" t="n">
        <v/>
      </c>
      <c r="I80" t="n">
        <v/>
      </c>
      <c r="J80" t="n">
        <v/>
      </c>
      <c r="K80" t="n">
        <v/>
      </c>
      <c r="L80" t="n">
        <v/>
      </c>
      <c r="M80" t="n">
        <v/>
      </c>
      <c r="N80" t="n">
        <v/>
      </c>
      <c r="O80" t="n">
        <v/>
      </c>
      <c r="P80" t="n">
        <v>0.0271161</v>
      </c>
      <c r="Q80" t="n">
        <v/>
      </c>
      <c r="R80" t="n">
        <v/>
      </c>
      <c r="S80" t="n">
        <v/>
      </c>
      <c r="T80" t="n">
        <v/>
      </c>
      <c r="U80" t="n">
        <v/>
      </c>
      <c r="V80" t="n">
        <v/>
      </c>
      <c r="W80" t="n">
        <v/>
      </c>
      <c r="X80" t="n">
        <v/>
      </c>
      <c r="Y80" t="n">
        <v/>
      </c>
      <c r="Z80" t="n">
        <v/>
      </c>
      <c r="AA80" t="n">
        <v/>
      </c>
      <c r="AB80" t="n">
        <v/>
      </c>
      <c r="AC80" t="n">
        <v/>
      </c>
      <c r="AD80" t="n">
        <v/>
      </c>
      <c r="AE80" t="n">
        <v/>
      </c>
    </row>
    <row r="81">
      <c r="A81" s="87" t="n">
        <v>21033</v>
      </c>
      <c r="B81" t="n">
        <v/>
      </c>
      <c r="C81" t="n">
        <v/>
      </c>
      <c r="D81" t="n">
        <v/>
      </c>
      <c r="E81" t="n">
        <v/>
      </c>
      <c r="F81" t="n">
        <v/>
      </c>
      <c r="G81" t="n">
        <v/>
      </c>
      <c r="H81" t="n">
        <v/>
      </c>
      <c r="I81" t="n">
        <v/>
      </c>
      <c r="J81" t="n">
        <v/>
      </c>
      <c r="K81" t="n">
        <v/>
      </c>
      <c r="L81" t="n">
        <v/>
      </c>
      <c r="M81" t="n">
        <v/>
      </c>
      <c r="N81" t="n">
        <v/>
      </c>
      <c r="O81" t="n">
        <v/>
      </c>
      <c r="P81" t="n">
        <v>0.02712583</v>
      </c>
      <c r="Q81" t="n">
        <v/>
      </c>
      <c r="R81" t="n">
        <v/>
      </c>
      <c r="S81" t="n">
        <v/>
      </c>
      <c r="T81" t="n">
        <v/>
      </c>
      <c r="U81" t="n">
        <v/>
      </c>
      <c r="V81" t="n">
        <v/>
      </c>
      <c r="W81" t="n">
        <v/>
      </c>
      <c r="X81" t="n">
        <v/>
      </c>
      <c r="Y81" t="n">
        <v/>
      </c>
      <c r="Z81" t="n">
        <v/>
      </c>
      <c r="AA81" t="n">
        <v/>
      </c>
      <c r="AB81" t="n">
        <v/>
      </c>
      <c r="AC81" t="n">
        <v/>
      </c>
      <c r="AD81" t="n">
        <v/>
      </c>
      <c r="AE81" t="n">
        <v/>
      </c>
    </row>
    <row r="82">
      <c r="A82" s="87" t="n">
        <v>21064</v>
      </c>
      <c r="B82" t="n">
        <v/>
      </c>
      <c r="C82" t="n">
        <v/>
      </c>
      <c r="D82" t="n">
        <v/>
      </c>
      <c r="E82" t="n">
        <v/>
      </c>
      <c r="F82" t="n">
        <v/>
      </c>
      <c r="G82" t="n">
        <v/>
      </c>
      <c r="H82" t="n">
        <v/>
      </c>
      <c r="I82" t="n">
        <v/>
      </c>
      <c r="J82" t="n">
        <v/>
      </c>
      <c r="K82" t="n">
        <v/>
      </c>
      <c r="L82" t="n">
        <v/>
      </c>
      <c r="M82" t="n">
        <v/>
      </c>
      <c r="N82" t="n">
        <v/>
      </c>
      <c r="O82" t="n">
        <v/>
      </c>
      <c r="P82" t="n">
        <v>0.02726255</v>
      </c>
      <c r="Q82" t="n">
        <v/>
      </c>
      <c r="R82" t="n">
        <v/>
      </c>
      <c r="S82" t="n">
        <v/>
      </c>
      <c r="T82" t="n">
        <v/>
      </c>
      <c r="U82" t="n">
        <v/>
      </c>
      <c r="V82" t="n">
        <v/>
      </c>
      <c r="W82" t="n">
        <v/>
      </c>
      <c r="X82" t="n">
        <v/>
      </c>
      <c r="Y82" t="n">
        <v/>
      </c>
      <c r="Z82" t="n">
        <v/>
      </c>
      <c r="AA82" t="n">
        <v/>
      </c>
      <c r="AB82" t="n">
        <v/>
      </c>
      <c r="AC82" t="n">
        <v/>
      </c>
      <c r="AD82" t="n">
        <v/>
      </c>
      <c r="AE82" t="n">
        <v/>
      </c>
    </row>
    <row r="83">
      <c r="A83" s="87" t="n">
        <v>21094</v>
      </c>
      <c r="B83" t="n">
        <v/>
      </c>
      <c r="C83" t="n">
        <v/>
      </c>
      <c r="D83" t="n">
        <v/>
      </c>
      <c r="E83" t="n">
        <v/>
      </c>
      <c r="F83" t="n">
        <v/>
      </c>
      <c r="G83" t="n">
        <v/>
      </c>
      <c r="H83" t="n">
        <v/>
      </c>
      <c r="I83" t="n">
        <v/>
      </c>
      <c r="J83" t="n">
        <v/>
      </c>
      <c r="K83" t="n">
        <v/>
      </c>
      <c r="L83" t="n">
        <v/>
      </c>
      <c r="M83" t="n">
        <v/>
      </c>
      <c r="N83" t="n">
        <v/>
      </c>
      <c r="O83" t="n">
        <v/>
      </c>
      <c r="P83" t="n">
        <v>0.02758421</v>
      </c>
      <c r="Q83" t="n">
        <v/>
      </c>
      <c r="R83" t="n">
        <v/>
      </c>
      <c r="S83" t="n">
        <v/>
      </c>
      <c r="T83" t="n">
        <v/>
      </c>
      <c r="U83" t="n">
        <v/>
      </c>
      <c r="V83" t="n">
        <v/>
      </c>
      <c r="W83" t="n">
        <v/>
      </c>
      <c r="X83" t="n">
        <v/>
      </c>
      <c r="Y83" t="n">
        <v/>
      </c>
      <c r="Z83" t="n">
        <v/>
      </c>
      <c r="AA83" t="n">
        <v/>
      </c>
      <c r="AB83" t="n">
        <v/>
      </c>
      <c r="AC83" t="n">
        <v/>
      </c>
      <c r="AD83" t="n">
        <v/>
      </c>
      <c r="AE83" t="n">
        <v/>
      </c>
    </row>
    <row r="84">
      <c r="A84" s="87" t="n">
        <v>21125</v>
      </c>
      <c r="B84" t="n">
        <v/>
      </c>
      <c r="C84" t="n">
        <v/>
      </c>
      <c r="D84" t="n">
        <v/>
      </c>
      <c r="E84" t="n">
        <v/>
      </c>
      <c r="F84" t="n">
        <v/>
      </c>
      <c r="G84" t="n">
        <v/>
      </c>
      <c r="H84" t="n">
        <v/>
      </c>
      <c r="I84" t="n">
        <v/>
      </c>
      <c r="J84" t="n">
        <v/>
      </c>
      <c r="K84" t="n">
        <v/>
      </c>
      <c r="L84" t="n">
        <v/>
      </c>
      <c r="M84" t="n">
        <v/>
      </c>
      <c r="N84" t="n">
        <v/>
      </c>
      <c r="O84" t="n">
        <v/>
      </c>
      <c r="P84" t="n">
        <v>0.02777503</v>
      </c>
      <c r="Q84" t="n">
        <v/>
      </c>
      <c r="R84" t="n">
        <v/>
      </c>
      <c r="S84" t="n">
        <v/>
      </c>
      <c r="T84" t="n">
        <v/>
      </c>
      <c r="U84" t="n">
        <v/>
      </c>
      <c r="V84" t="n">
        <v/>
      </c>
      <c r="W84" t="n">
        <v/>
      </c>
      <c r="X84" t="n">
        <v/>
      </c>
      <c r="Y84" t="n">
        <v/>
      </c>
      <c r="Z84" t="n">
        <v/>
      </c>
      <c r="AA84" t="n">
        <v/>
      </c>
      <c r="AB84" t="n">
        <v/>
      </c>
      <c r="AC84" t="n">
        <v/>
      </c>
      <c r="AD84" t="n">
        <v/>
      </c>
      <c r="AE84" t="n">
        <v/>
      </c>
    </row>
    <row r="85">
      <c r="A85" s="87" t="n">
        <v>21155</v>
      </c>
      <c r="B85" t="n">
        <v/>
      </c>
      <c r="C85" t="n">
        <v/>
      </c>
      <c r="D85" t="n">
        <v/>
      </c>
      <c r="E85" t="n">
        <v/>
      </c>
      <c r="F85" t="n">
        <v/>
      </c>
      <c r="G85" t="n">
        <v/>
      </c>
      <c r="H85" t="n">
        <v/>
      </c>
      <c r="I85" t="n">
        <v/>
      </c>
      <c r="J85" t="n">
        <v/>
      </c>
      <c r="K85" t="n">
        <v/>
      </c>
      <c r="L85" t="n">
        <v/>
      </c>
      <c r="M85" t="n">
        <v/>
      </c>
      <c r="N85" t="n">
        <v/>
      </c>
      <c r="O85" t="n">
        <v/>
      </c>
      <c r="P85" t="n">
        <v>0.02794308</v>
      </c>
      <c r="Q85" t="n">
        <v/>
      </c>
      <c r="R85" t="n">
        <v/>
      </c>
      <c r="S85" t="n">
        <v/>
      </c>
      <c r="T85" t="n">
        <v/>
      </c>
      <c r="U85" t="n">
        <v/>
      </c>
      <c r="V85" t="n">
        <v/>
      </c>
      <c r="W85" t="n">
        <v/>
      </c>
      <c r="X85" t="n">
        <v/>
      </c>
      <c r="Y85" t="n">
        <v/>
      </c>
      <c r="Z85" t="n">
        <v/>
      </c>
      <c r="AA85" t="n">
        <v/>
      </c>
      <c r="AB85" t="n">
        <v/>
      </c>
      <c r="AC85" t="n">
        <v/>
      </c>
      <c r="AD85" t="n">
        <v/>
      </c>
      <c r="AE85" t="n">
        <v/>
      </c>
    </row>
    <row r="86">
      <c r="A86" s="87" t="n">
        <v>21186</v>
      </c>
      <c r="B86" t="n">
        <v/>
      </c>
      <c r="C86" t="n">
        <v/>
      </c>
      <c r="D86" t="n">
        <v/>
      </c>
      <c r="E86" t="n">
        <v/>
      </c>
      <c r="F86" t="n">
        <v/>
      </c>
      <c r="G86" t="n">
        <v/>
      </c>
      <c r="H86" t="n">
        <v/>
      </c>
      <c r="I86" t="n">
        <v/>
      </c>
      <c r="J86" t="n">
        <v/>
      </c>
      <c r="K86" t="n">
        <v/>
      </c>
      <c r="L86" t="n">
        <v/>
      </c>
      <c r="M86" t="n">
        <v/>
      </c>
      <c r="N86" t="n">
        <v/>
      </c>
      <c r="O86" t="n">
        <v/>
      </c>
      <c r="P86" t="n">
        <v>0.02820776</v>
      </c>
      <c r="Q86" t="n">
        <v/>
      </c>
      <c r="R86" t="n">
        <v/>
      </c>
      <c r="S86" t="n">
        <v/>
      </c>
      <c r="T86" t="n">
        <v/>
      </c>
      <c r="U86" t="n">
        <v/>
      </c>
      <c r="V86" t="n">
        <v/>
      </c>
      <c r="W86" t="n">
        <v/>
      </c>
      <c r="X86" t="n">
        <v/>
      </c>
      <c r="Y86" t="n">
        <v/>
      </c>
      <c r="Z86" t="n">
        <v/>
      </c>
      <c r="AA86" t="n">
        <v/>
      </c>
      <c r="AB86" t="n">
        <v/>
      </c>
      <c r="AC86" t="n">
        <v/>
      </c>
      <c r="AD86" t="n">
        <v/>
      </c>
      <c r="AE86" t="n">
        <v/>
      </c>
    </row>
    <row r="87">
      <c r="A87" s="87" t="n">
        <v>21217</v>
      </c>
      <c r="B87" t="n">
        <v/>
      </c>
      <c r="C87" t="n">
        <v/>
      </c>
      <c r="D87" t="n">
        <v/>
      </c>
      <c r="E87" t="n">
        <v/>
      </c>
      <c r="F87" t="n">
        <v/>
      </c>
      <c r="G87" t="n">
        <v/>
      </c>
      <c r="H87" t="n">
        <v/>
      </c>
      <c r="I87" t="n">
        <v/>
      </c>
      <c r="J87" t="n">
        <v/>
      </c>
      <c r="K87" t="n">
        <v/>
      </c>
      <c r="L87" t="n">
        <v/>
      </c>
      <c r="M87" t="n">
        <v/>
      </c>
      <c r="N87" t="n">
        <v/>
      </c>
      <c r="O87" t="n">
        <v/>
      </c>
      <c r="P87" t="n">
        <v>0.02843766</v>
      </c>
      <c r="Q87" t="n">
        <v/>
      </c>
      <c r="R87" t="n">
        <v/>
      </c>
      <c r="S87" t="n">
        <v/>
      </c>
      <c r="T87" t="n">
        <v/>
      </c>
      <c r="U87" t="n">
        <v/>
      </c>
      <c r="V87" t="n">
        <v/>
      </c>
      <c r="W87" t="n">
        <v/>
      </c>
      <c r="X87" t="n">
        <v/>
      </c>
      <c r="Y87" t="n">
        <v/>
      </c>
      <c r="Z87" t="n">
        <v/>
      </c>
      <c r="AA87" t="n">
        <v/>
      </c>
      <c r="AB87" t="n">
        <v/>
      </c>
      <c r="AC87" t="n">
        <v/>
      </c>
      <c r="AD87" t="n">
        <v/>
      </c>
      <c r="AE87" t="n">
        <v/>
      </c>
    </row>
    <row r="88">
      <c r="A88" s="87" t="n">
        <v>21245</v>
      </c>
      <c r="B88" t="n">
        <v/>
      </c>
      <c r="C88" t="n">
        <v/>
      </c>
      <c r="D88" t="n">
        <v/>
      </c>
      <c r="E88" t="n">
        <v/>
      </c>
      <c r="F88" t="n">
        <v/>
      </c>
      <c r="G88" t="n">
        <v/>
      </c>
      <c r="H88" t="n">
        <v/>
      </c>
      <c r="I88" t="n">
        <v/>
      </c>
      <c r="J88" t="n">
        <v/>
      </c>
      <c r="K88" t="n">
        <v/>
      </c>
      <c r="L88" t="n">
        <v/>
      </c>
      <c r="M88" t="n">
        <v/>
      </c>
      <c r="N88" t="n">
        <v/>
      </c>
      <c r="O88" t="n">
        <v/>
      </c>
      <c r="P88" t="n">
        <v>0.02864417</v>
      </c>
      <c r="Q88" t="n">
        <v/>
      </c>
      <c r="R88" t="n">
        <v/>
      </c>
      <c r="S88" t="n">
        <v/>
      </c>
      <c r="T88" t="n">
        <v/>
      </c>
      <c r="U88" t="n">
        <v/>
      </c>
      <c r="V88" t="n">
        <v/>
      </c>
      <c r="W88" t="n">
        <v/>
      </c>
      <c r="X88" t="n">
        <v/>
      </c>
      <c r="Y88" t="n">
        <v/>
      </c>
      <c r="Z88" t="n">
        <v/>
      </c>
      <c r="AA88" t="n">
        <v/>
      </c>
      <c r="AB88" t="n">
        <v/>
      </c>
      <c r="AC88" t="n">
        <v/>
      </c>
      <c r="AD88" t="n">
        <v/>
      </c>
      <c r="AE88" t="n">
        <v/>
      </c>
    </row>
    <row r="89">
      <c r="A89" s="87" t="n">
        <v>21276</v>
      </c>
      <c r="B89" t="n">
        <v/>
      </c>
      <c r="C89" t="n">
        <v/>
      </c>
      <c r="D89" t="n">
        <v/>
      </c>
      <c r="E89" t="n">
        <v/>
      </c>
      <c r="F89" t="n">
        <v/>
      </c>
      <c r="G89" t="n">
        <v/>
      </c>
      <c r="H89" t="n">
        <v/>
      </c>
      <c r="I89" t="n">
        <v/>
      </c>
      <c r="J89" t="n">
        <v/>
      </c>
      <c r="K89" t="n">
        <v/>
      </c>
      <c r="L89" t="n">
        <v/>
      </c>
      <c r="M89" t="n">
        <v/>
      </c>
      <c r="N89" t="n">
        <v/>
      </c>
      <c r="O89" t="n">
        <v/>
      </c>
      <c r="P89" t="n">
        <v>0.02889908</v>
      </c>
      <c r="Q89" t="n">
        <v/>
      </c>
      <c r="R89" t="n">
        <v/>
      </c>
      <c r="S89" t="n">
        <v/>
      </c>
      <c r="T89" t="n">
        <v/>
      </c>
      <c r="U89" t="n">
        <v/>
      </c>
      <c r="V89" t="n">
        <v/>
      </c>
      <c r="W89" t="n">
        <v/>
      </c>
      <c r="X89" t="n">
        <v/>
      </c>
      <c r="Y89" t="n">
        <v/>
      </c>
      <c r="Z89" t="n">
        <v/>
      </c>
      <c r="AA89" t="n">
        <v/>
      </c>
      <c r="AB89" t="n">
        <v/>
      </c>
      <c r="AC89" t="n">
        <v/>
      </c>
      <c r="AD89" t="n">
        <v/>
      </c>
      <c r="AE89" t="n">
        <v/>
      </c>
    </row>
    <row r="90">
      <c r="A90" s="87" t="n">
        <v>21306</v>
      </c>
      <c r="B90" t="n">
        <v/>
      </c>
      <c r="C90" t="n">
        <v/>
      </c>
      <c r="D90" t="n">
        <v/>
      </c>
      <c r="E90" t="n">
        <v/>
      </c>
      <c r="F90" t="n">
        <v/>
      </c>
      <c r="G90" t="n">
        <v/>
      </c>
      <c r="H90" t="n">
        <v/>
      </c>
      <c r="I90" t="n">
        <v/>
      </c>
      <c r="J90" t="n">
        <v/>
      </c>
      <c r="K90" t="n">
        <v/>
      </c>
      <c r="L90" t="n">
        <v/>
      </c>
      <c r="M90" t="n">
        <v/>
      </c>
      <c r="N90" t="n">
        <v/>
      </c>
      <c r="O90" t="n">
        <v/>
      </c>
      <c r="P90" t="n">
        <v>0.02900126</v>
      </c>
      <c r="Q90" t="n">
        <v/>
      </c>
      <c r="R90" t="n">
        <v/>
      </c>
      <c r="S90" t="n">
        <v/>
      </c>
      <c r="T90" t="n">
        <v/>
      </c>
      <c r="U90" t="n">
        <v/>
      </c>
      <c r="V90" t="n">
        <v/>
      </c>
      <c r="W90" t="n">
        <v/>
      </c>
      <c r="X90" t="n">
        <v/>
      </c>
      <c r="Y90" t="n">
        <v/>
      </c>
      <c r="Z90" t="n">
        <v/>
      </c>
      <c r="AA90" t="n">
        <v/>
      </c>
      <c r="AB90" t="n">
        <v/>
      </c>
      <c r="AC90" t="n">
        <v/>
      </c>
      <c r="AD90" t="n">
        <v/>
      </c>
      <c r="AE90" t="n">
        <v/>
      </c>
    </row>
    <row r="91">
      <c r="A91" s="87" t="n">
        <v>21337</v>
      </c>
      <c r="B91" t="n">
        <v/>
      </c>
      <c r="C91" t="n">
        <v/>
      </c>
      <c r="D91" t="n">
        <v/>
      </c>
      <c r="E91" t="n">
        <v/>
      </c>
      <c r="F91" t="n">
        <v/>
      </c>
      <c r="G91" t="n">
        <v/>
      </c>
      <c r="H91" t="n">
        <v/>
      </c>
      <c r="I91" t="n">
        <v/>
      </c>
      <c r="J91" t="n">
        <v/>
      </c>
      <c r="K91" t="n">
        <v/>
      </c>
      <c r="L91" t="n">
        <v/>
      </c>
      <c r="M91" t="n">
        <v/>
      </c>
      <c r="N91" t="n">
        <v/>
      </c>
      <c r="O91" t="n">
        <v/>
      </c>
      <c r="P91" t="n">
        <v>0.02901862</v>
      </c>
      <c r="Q91" t="n">
        <v/>
      </c>
      <c r="R91" t="n">
        <v/>
      </c>
      <c r="S91" t="n">
        <v/>
      </c>
      <c r="T91" t="n">
        <v/>
      </c>
      <c r="U91" t="n">
        <v/>
      </c>
      <c r="V91" t="n">
        <v/>
      </c>
      <c r="W91" t="n">
        <v/>
      </c>
      <c r="X91" t="n">
        <v/>
      </c>
      <c r="Y91" t="n">
        <v/>
      </c>
      <c r="Z91" t="n">
        <v/>
      </c>
      <c r="AA91" t="n">
        <v/>
      </c>
      <c r="AB91" t="n">
        <v/>
      </c>
      <c r="AC91" t="n">
        <v/>
      </c>
      <c r="AD91" t="n">
        <v/>
      </c>
      <c r="AE91" t="n">
        <v/>
      </c>
    </row>
    <row r="92">
      <c r="A92" s="87" t="n">
        <v>21367</v>
      </c>
      <c r="B92" t="n">
        <v/>
      </c>
      <c r="C92" t="n">
        <v/>
      </c>
      <c r="D92" t="n">
        <v/>
      </c>
      <c r="E92" t="n">
        <v/>
      </c>
      <c r="F92" t="n">
        <v/>
      </c>
      <c r="G92" t="n">
        <v/>
      </c>
      <c r="H92" t="n">
        <v/>
      </c>
      <c r="I92" t="n">
        <v/>
      </c>
      <c r="J92" t="n">
        <v/>
      </c>
      <c r="K92" t="n">
        <v/>
      </c>
      <c r="L92" t="n">
        <v/>
      </c>
      <c r="M92" t="n">
        <v/>
      </c>
      <c r="N92" t="n">
        <v/>
      </c>
      <c r="O92" t="n">
        <v/>
      </c>
      <c r="P92" t="n">
        <v>0.02925667</v>
      </c>
      <c r="Q92" t="n">
        <v/>
      </c>
      <c r="R92" t="n">
        <v/>
      </c>
      <c r="S92" t="n">
        <v/>
      </c>
      <c r="T92" t="n">
        <v/>
      </c>
      <c r="U92" t="n">
        <v/>
      </c>
      <c r="V92" t="n">
        <v/>
      </c>
      <c r="W92" t="n">
        <v/>
      </c>
      <c r="X92" t="n">
        <v/>
      </c>
      <c r="Y92" t="n">
        <v/>
      </c>
      <c r="Z92" t="n">
        <v/>
      </c>
      <c r="AA92" t="n">
        <v/>
      </c>
      <c r="AB92" t="n">
        <v/>
      </c>
      <c r="AC92" t="n">
        <v/>
      </c>
      <c r="AD92" t="n">
        <v/>
      </c>
      <c r="AE92" t="n">
        <v/>
      </c>
    </row>
    <row r="93">
      <c r="A93" s="87" t="n">
        <v>21398</v>
      </c>
      <c r="B93" t="n">
        <v/>
      </c>
      <c r="C93" t="n">
        <v/>
      </c>
      <c r="D93" t="n">
        <v/>
      </c>
      <c r="E93" t="n">
        <v/>
      </c>
      <c r="F93" t="n">
        <v/>
      </c>
      <c r="G93" t="n">
        <v/>
      </c>
      <c r="H93" t="n">
        <v/>
      </c>
      <c r="I93" t="n">
        <v/>
      </c>
      <c r="J93" t="n">
        <v/>
      </c>
      <c r="K93" t="n">
        <v/>
      </c>
      <c r="L93" t="n">
        <v/>
      </c>
      <c r="M93" t="n">
        <v/>
      </c>
      <c r="N93" t="n">
        <v/>
      </c>
      <c r="O93" t="n">
        <v/>
      </c>
      <c r="P93" t="n">
        <v>0.02951354</v>
      </c>
      <c r="Q93" t="n">
        <v/>
      </c>
      <c r="R93" t="n">
        <v/>
      </c>
      <c r="S93" t="n">
        <v/>
      </c>
      <c r="T93" t="n">
        <v/>
      </c>
      <c r="U93" t="n">
        <v/>
      </c>
      <c r="V93" t="n">
        <v/>
      </c>
      <c r="W93" t="n">
        <v/>
      </c>
      <c r="X93" t="n">
        <v/>
      </c>
      <c r="Y93" t="n">
        <v/>
      </c>
      <c r="Z93" t="n">
        <v/>
      </c>
      <c r="AA93" t="n">
        <v/>
      </c>
      <c r="AB93" t="n">
        <v/>
      </c>
      <c r="AC93" t="n">
        <v/>
      </c>
      <c r="AD93" t="n">
        <v/>
      </c>
      <c r="AE93" t="n">
        <v/>
      </c>
    </row>
    <row r="94">
      <c r="A94" s="87" t="n">
        <v>21429</v>
      </c>
      <c r="B94" t="n">
        <v/>
      </c>
      <c r="C94" t="n">
        <v/>
      </c>
      <c r="D94" t="n">
        <v/>
      </c>
      <c r="E94" t="n">
        <v/>
      </c>
      <c r="F94" t="n">
        <v/>
      </c>
      <c r="G94" t="n">
        <v/>
      </c>
      <c r="H94" t="n">
        <v/>
      </c>
      <c r="I94" t="n">
        <v/>
      </c>
      <c r="J94" t="n">
        <v/>
      </c>
      <c r="K94" t="n">
        <v/>
      </c>
      <c r="L94" t="n">
        <v/>
      </c>
      <c r="M94" t="n">
        <v/>
      </c>
      <c r="N94" t="n">
        <v/>
      </c>
      <c r="O94" t="n">
        <v/>
      </c>
      <c r="P94" t="n">
        <v>0.02974491</v>
      </c>
      <c r="Q94" t="n">
        <v/>
      </c>
      <c r="R94" t="n">
        <v/>
      </c>
      <c r="S94" t="n">
        <v/>
      </c>
      <c r="T94" t="n">
        <v/>
      </c>
      <c r="U94" t="n">
        <v/>
      </c>
      <c r="V94" t="n">
        <v/>
      </c>
      <c r="W94" t="n">
        <v/>
      </c>
      <c r="X94" t="n">
        <v/>
      </c>
      <c r="Y94" t="n">
        <v/>
      </c>
      <c r="Z94" t="n">
        <v/>
      </c>
      <c r="AA94" t="n">
        <v/>
      </c>
      <c r="AB94" t="n">
        <v/>
      </c>
      <c r="AC94" t="n">
        <v/>
      </c>
      <c r="AD94" t="n">
        <v/>
      </c>
      <c r="AE94" t="n">
        <v/>
      </c>
    </row>
    <row r="95">
      <c r="A95" s="87" t="n">
        <v>21459</v>
      </c>
      <c r="B95" t="n">
        <v/>
      </c>
      <c r="C95" t="n">
        <v/>
      </c>
      <c r="D95" t="n">
        <v/>
      </c>
      <c r="E95" t="n">
        <v/>
      </c>
      <c r="F95" t="n">
        <v/>
      </c>
      <c r="G95" t="n">
        <v/>
      </c>
      <c r="H95" t="n">
        <v/>
      </c>
      <c r="I95" t="n">
        <v/>
      </c>
      <c r="J95" t="n">
        <v/>
      </c>
      <c r="K95" t="n">
        <v/>
      </c>
      <c r="L95" t="n">
        <v/>
      </c>
      <c r="M95" t="n">
        <v/>
      </c>
      <c r="N95" t="n">
        <v/>
      </c>
      <c r="O95" t="n">
        <v/>
      </c>
      <c r="P95" t="n">
        <v>0.03009202</v>
      </c>
      <c r="Q95" t="n">
        <v/>
      </c>
      <c r="R95" t="n">
        <v/>
      </c>
      <c r="S95" t="n">
        <v/>
      </c>
      <c r="T95" t="n">
        <v/>
      </c>
      <c r="U95" t="n">
        <v/>
      </c>
      <c r="V95" t="n">
        <v/>
      </c>
      <c r="W95" t="n">
        <v/>
      </c>
      <c r="X95" t="n">
        <v/>
      </c>
      <c r="Y95" t="n">
        <v/>
      </c>
      <c r="Z95" t="n">
        <v/>
      </c>
      <c r="AA95" t="n">
        <v/>
      </c>
      <c r="AB95" t="n">
        <v/>
      </c>
      <c r="AC95" t="n">
        <v/>
      </c>
      <c r="AD95" t="n">
        <v/>
      </c>
      <c r="AE95" t="n">
        <v/>
      </c>
    </row>
    <row r="96">
      <c r="A96" s="87" t="n">
        <v>21490</v>
      </c>
      <c r="B96" t="n">
        <v/>
      </c>
      <c r="C96" t="n">
        <v/>
      </c>
      <c r="D96" t="n">
        <v/>
      </c>
      <c r="E96" t="n">
        <v/>
      </c>
      <c r="F96" t="n">
        <v/>
      </c>
      <c r="G96" t="n">
        <v/>
      </c>
      <c r="H96" t="n">
        <v/>
      </c>
      <c r="I96" t="n">
        <v/>
      </c>
      <c r="J96" t="n">
        <v/>
      </c>
      <c r="K96" t="n">
        <v/>
      </c>
      <c r="L96" t="n">
        <v/>
      </c>
      <c r="M96" t="n">
        <v/>
      </c>
      <c r="N96" t="n">
        <v/>
      </c>
      <c r="O96" t="n">
        <v/>
      </c>
      <c r="P96" t="n">
        <v>0.03041643</v>
      </c>
      <c r="Q96" t="n">
        <v/>
      </c>
      <c r="R96" t="n">
        <v/>
      </c>
      <c r="S96" t="n">
        <v/>
      </c>
      <c r="T96" t="n">
        <v/>
      </c>
      <c r="U96" t="n">
        <v/>
      </c>
      <c r="V96" t="n">
        <v/>
      </c>
      <c r="W96" t="n">
        <v/>
      </c>
      <c r="X96" t="n">
        <v/>
      </c>
      <c r="Y96" t="n">
        <v/>
      </c>
      <c r="Z96" t="n">
        <v/>
      </c>
      <c r="AA96" t="n">
        <v/>
      </c>
      <c r="AB96" t="n">
        <v/>
      </c>
      <c r="AC96" t="n">
        <v/>
      </c>
      <c r="AD96" t="n">
        <v/>
      </c>
      <c r="AE96" t="n">
        <v/>
      </c>
    </row>
    <row r="97">
      <c r="A97" s="87" t="n">
        <v>21520</v>
      </c>
      <c r="B97" t="n">
        <v/>
      </c>
      <c r="C97" t="n">
        <v/>
      </c>
      <c r="D97" t="n">
        <v/>
      </c>
      <c r="E97" t="n">
        <v/>
      </c>
      <c r="F97" t="n">
        <v/>
      </c>
      <c r="G97" t="n">
        <v/>
      </c>
      <c r="H97" t="n">
        <v/>
      </c>
      <c r="I97" t="n">
        <v/>
      </c>
      <c r="J97" t="n">
        <v/>
      </c>
      <c r="K97" t="n">
        <v/>
      </c>
      <c r="L97" t="n">
        <v/>
      </c>
      <c r="M97" t="n">
        <v/>
      </c>
      <c r="N97" t="n">
        <v/>
      </c>
      <c r="O97" t="n">
        <v/>
      </c>
      <c r="P97" t="n">
        <v>0.03068341</v>
      </c>
      <c r="Q97" t="n">
        <v/>
      </c>
      <c r="R97" t="n">
        <v/>
      </c>
      <c r="S97" t="n">
        <v/>
      </c>
      <c r="T97" t="n">
        <v/>
      </c>
      <c r="U97" t="n">
        <v/>
      </c>
      <c r="V97" t="n">
        <v/>
      </c>
      <c r="W97" t="n">
        <v/>
      </c>
      <c r="X97" t="n">
        <v/>
      </c>
      <c r="Y97" t="n">
        <v/>
      </c>
      <c r="Z97" t="n">
        <v/>
      </c>
      <c r="AA97" t="n">
        <v/>
      </c>
      <c r="AB97" t="n">
        <v/>
      </c>
      <c r="AC97" t="n">
        <v/>
      </c>
      <c r="AD97" t="n">
        <v/>
      </c>
      <c r="AE97" t="n">
        <v/>
      </c>
    </row>
    <row r="98">
      <c r="A98" s="87" t="n">
        <v>21551</v>
      </c>
      <c r="B98" t="n">
        <v/>
      </c>
      <c r="C98" t="n">
        <v/>
      </c>
      <c r="D98" t="n">
        <v/>
      </c>
      <c r="E98" t="n">
        <v/>
      </c>
      <c r="F98" t="n">
        <v/>
      </c>
      <c r="G98" t="n">
        <v/>
      </c>
      <c r="H98" t="n">
        <v/>
      </c>
      <c r="I98" t="n">
        <v/>
      </c>
      <c r="J98" t="n">
        <v/>
      </c>
      <c r="K98" t="n">
        <v/>
      </c>
      <c r="L98" t="n">
        <v/>
      </c>
      <c r="M98" t="n">
        <v/>
      </c>
      <c r="N98" t="n">
        <v/>
      </c>
      <c r="O98" t="n">
        <v/>
      </c>
      <c r="P98" t="n">
        <v>0.03086665</v>
      </c>
      <c r="Q98" t="n">
        <v/>
      </c>
      <c r="R98" t="n">
        <v/>
      </c>
      <c r="S98" t="n">
        <v/>
      </c>
      <c r="T98" t="n">
        <v/>
      </c>
      <c r="U98" t="n">
        <v/>
      </c>
      <c r="V98" t="n">
        <v/>
      </c>
      <c r="W98" t="n">
        <v/>
      </c>
      <c r="X98" t="n">
        <v/>
      </c>
      <c r="Y98" t="n">
        <v/>
      </c>
      <c r="Z98" t="n">
        <v/>
      </c>
      <c r="AA98" t="n">
        <v/>
      </c>
      <c r="AB98" t="n">
        <v/>
      </c>
      <c r="AC98" t="n">
        <v/>
      </c>
      <c r="AD98" t="n">
        <v>2.379391</v>
      </c>
      <c r="AE98" t="n">
        <v/>
      </c>
    </row>
    <row r="99">
      <c r="A99" s="87" t="n">
        <v>21582</v>
      </c>
      <c r="B99" t="n">
        <v/>
      </c>
      <c r="C99" t="n">
        <v/>
      </c>
      <c r="D99" t="n">
        <v/>
      </c>
      <c r="E99" t="n">
        <v/>
      </c>
      <c r="F99" t="n">
        <v/>
      </c>
      <c r="G99" t="n">
        <v/>
      </c>
      <c r="H99" t="n">
        <v/>
      </c>
      <c r="I99" t="n">
        <v/>
      </c>
      <c r="J99" t="n">
        <v/>
      </c>
      <c r="K99" t="n">
        <v/>
      </c>
      <c r="L99" t="n">
        <v/>
      </c>
      <c r="M99" t="n">
        <v/>
      </c>
      <c r="N99" t="n">
        <v/>
      </c>
      <c r="O99" t="n">
        <v/>
      </c>
      <c r="P99" t="n">
        <v>0.03111897</v>
      </c>
      <c r="Q99" t="n">
        <v/>
      </c>
      <c r="R99" t="n">
        <v/>
      </c>
      <c r="S99" t="n">
        <v/>
      </c>
      <c r="T99" t="n">
        <v/>
      </c>
      <c r="U99" t="n">
        <v/>
      </c>
      <c r="V99" t="n">
        <v/>
      </c>
      <c r="W99" t="n">
        <v/>
      </c>
      <c r="X99" t="n">
        <v/>
      </c>
      <c r="Y99" t="n">
        <v/>
      </c>
      <c r="Z99" t="n">
        <v/>
      </c>
      <c r="AA99" t="n">
        <v/>
      </c>
      <c r="AB99" t="n">
        <v/>
      </c>
      <c r="AC99" t="n">
        <v/>
      </c>
      <c r="AD99" t="n">
        <v>2.388523</v>
      </c>
      <c r="AE99" t="n">
        <v/>
      </c>
    </row>
    <row r="100">
      <c r="A100" s="87" t="n">
        <v>21610</v>
      </c>
      <c r="B100" t="n">
        <v/>
      </c>
      <c r="C100" t="n">
        <v/>
      </c>
      <c r="D100" t="n">
        <v/>
      </c>
      <c r="E100" t="n">
        <v/>
      </c>
      <c r="F100" t="n">
        <v/>
      </c>
      <c r="G100" t="n">
        <v/>
      </c>
      <c r="H100" t="n">
        <v/>
      </c>
      <c r="I100" t="n">
        <v/>
      </c>
      <c r="J100" t="n">
        <v/>
      </c>
      <c r="K100" t="n">
        <v/>
      </c>
      <c r="L100" t="n">
        <v/>
      </c>
      <c r="M100" t="n">
        <v/>
      </c>
      <c r="N100" t="n">
        <v/>
      </c>
      <c r="O100" t="n">
        <v/>
      </c>
      <c r="P100" t="n">
        <v>0.03146537</v>
      </c>
      <c r="Q100" t="n">
        <v/>
      </c>
      <c r="R100" t="n">
        <v/>
      </c>
      <c r="S100" t="n">
        <v/>
      </c>
      <c r="T100" t="n">
        <v/>
      </c>
      <c r="U100" t="n">
        <v/>
      </c>
      <c r="V100" t="n">
        <v/>
      </c>
      <c r="W100" t="n">
        <v/>
      </c>
      <c r="X100" t="n">
        <v/>
      </c>
      <c r="Y100" t="n">
        <v/>
      </c>
      <c r="Z100" t="n">
        <v/>
      </c>
      <c r="AA100" t="n">
        <v/>
      </c>
      <c r="AB100" t="n">
        <v/>
      </c>
      <c r="AC100" t="n">
        <v/>
      </c>
      <c r="AD100" t="n">
        <v>2.400976</v>
      </c>
      <c r="AE100" t="n">
        <v/>
      </c>
    </row>
    <row r="101">
      <c r="A101" s="87" t="n">
        <v>21641</v>
      </c>
      <c r="B101" t="n">
        <v/>
      </c>
      <c r="C101" t="n">
        <v/>
      </c>
      <c r="D101" t="n">
        <v/>
      </c>
      <c r="E101" t="n">
        <v/>
      </c>
      <c r="F101" t="n">
        <v/>
      </c>
      <c r="G101" t="n">
        <v/>
      </c>
      <c r="H101" t="n">
        <v/>
      </c>
      <c r="I101" t="n">
        <v/>
      </c>
      <c r="J101" t="n">
        <v/>
      </c>
      <c r="K101" t="n">
        <v/>
      </c>
      <c r="L101" t="n">
        <v/>
      </c>
      <c r="M101" t="n">
        <v/>
      </c>
      <c r="N101" t="n">
        <v/>
      </c>
      <c r="O101" t="n">
        <v/>
      </c>
      <c r="P101" t="n">
        <v>0.0318509</v>
      </c>
      <c r="Q101" t="n">
        <v/>
      </c>
      <c r="R101" t="n">
        <v/>
      </c>
      <c r="S101" t="n">
        <v/>
      </c>
      <c r="T101" t="n">
        <v/>
      </c>
      <c r="U101" t="n">
        <v/>
      </c>
      <c r="V101" t="n">
        <v/>
      </c>
      <c r="W101" t="n">
        <v/>
      </c>
      <c r="X101" t="n">
        <v/>
      </c>
      <c r="Y101" t="n">
        <v/>
      </c>
      <c r="Z101" t="n">
        <v/>
      </c>
      <c r="AA101" t="n">
        <v/>
      </c>
      <c r="AB101" t="n">
        <v/>
      </c>
      <c r="AC101" t="n">
        <v/>
      </c>
      <c r="AD101" t="n">
        <v>2.408448</v>
      </c>
      <c r="AE101" t="n">
        <v/>
      </c>
    </row>
    <row r="102">
      <c r="A102" s="87" t="n">
        <v>21671</v>
      </c>
      <c r="B102" t="n">
        <v/>
      </c>
      <c r="C102" t="n">
        <v/>
      </c>
      <c r="D102" t="n">
        <v/>
      </c>
      <c r="E102" t="n">
        <v/>
      </c>
      <c r="F102" t="n">
        <v/>
      </c>
      <c r="G102" t="n">
        <v/>
      </c>
      <c r="H102" t="n">
        <v/>
      </c>
      <c r="I102" t="n">
        <v/>
      </c>
      <c r="J102" t="n">
        <v/>
      </c>
      <c r="K102" t="n">
        <v/>
      </c>
      <c r="L102" t="n">
        <v/>
      </c>
      <c r="M102" t="n">
        <v/>
      </c>
      <c r="N102" t="n">
        <v/>
      </c>
      <c r="O102" t="n">
        <v/>
      </c>
      <c r="P102" t="n">
        <v>0.03219203</v>
      </c>
      <c r="Q102" t="n">
        <v/>
      </c>
      <c r="R102" t="n">
        <v/>
      </c>
      <c r="S102" t="n">
        <v/>
      </c>
      <c r="T102" t="n">
        <v/>
      </c>
      <c r="U102" t="n">
        <v/>
      </c>
      <c r="V102" t="n">
        <v/>
      </c>
      <c r="W102" t="n">
        <v/>
      </c>
      <c r="X102" t="n">
        <v/>
      </c>
      <c r="Y102" t="n">
        <v/>
      </c>
      <c r="Z102" t="n">
        <v/>
      </c>
      <c r="AA102" t="n">
        <v/>
      </c>
      <c r="AB102" t="n">
        <v/>
      </c>
      <c r="AC102" t="n">
        <v/>
      </c>
      <c r="AD102" t="n">
        <v>2.425883</v>
      </c>
      <c r="AE102" t="n">
        <v/>
      </c>
    </row>
    <row r="103">
      <c r="A103" s="87" t="n">
        <v>21702</v>
      </c>
      <c r="B103" t="n">
        <v/>
      </c>
      <c r="C103" t="n">
        <v/>
      </c>
      <c r="D103" t="n">
        <v/>
      </c>
      <c r="E103" t="n">
        <v/>
      </c>
      <c r="F103" t="n">
        <v/>
      </c>
      <c r="G103" t="n">
        <v/>
      </c>
      <c r="H103" t="n">
        <v/>
      </c>
      <c r="I103" t="n">
        <v/>
      </c>
      <c r="J103" t="n">
        <v/>
      </c>
      <c r="K103" t="n">
        <v/>
      </c>
      <c r="L103" t="n">
        <v/>
      </c>
      <c r="M103" t="n">
        <v/>
      </c>
      <c r="N103" t="n">
        <v/>
      </c>
      <c r="O103" t="n">
        <v/>
      </c>
      <c r="P103" t="n">
        <v>0.03248151</v>
      </c>
      <c r="Q103" t="n">
        <v/>
      </c>
      <c r="R103" t="n">
        <v/>
      </c>
      <c r="S103" t="n">
        <v/>
      </c>
      <c r="T103" t="n">
        <v/>
      </c>
      <c r="U103" t="n">
        <v/>
      </c>
      <c r="V103" t="n">
        <v/>
      </c>
      <c r="W103" t="n">
        <v/>
      </c>
      <c r="X103" t="n">
        <v/>
      </c>
      <c r="Y103" t="n">
        <v/>
      </c>
      <c r="Z103" t="n">
        <v/>
      </c>
      <c r="AA103" t="n">
        <v/>
      </c>
      <c r="AB103" t="n">
        <v/>
      </c>
      <c r="AC103" t="n">
        <v/>
      </c>
      <c r="AD103" t="n">
        <v>2.441657</v>
      </c>
      <c r="AE103" t="n">
        <v/>
      </c>
    </row>
    <row r="104">
      <c r="A104" s="87" t="n">
        <v>21732</v>
      </c>
      <c r="B104" t="n">
        <v/>
      </c>
      <c r="C104" t="n">
        <v/>
      </c>
      <c r="D104" t="n">
        <v/>
      </c>
      <c r="E104" t="n">
        <v/>
      </c>
      <c r="F104" t="n">
        <v/>
      </c>
      <c r="G104" t="n">
        <v/>
      </c>
      <c r="H104" t="n">
        <v/>
      </c>
      <c r="I104" t="n">
        <v/>
      </c>
      <c r="J104" t="n">
        <v/>
      </c>
      <c r="K104" t="n">
        <v/>
      </c>
      <c r="L104" t="n">
        <v/>
      </c>
      <c r="M104" t="n">
        <v/>
      </c>
      <c r="N104" t="n">
        <v/>
      </c>
      <c r="O104" t="n">
        <v/>
      </c>
      <c r="P104" t="n">
        <v>0.03275714</v>
      </c>
      <c r="Q104" t="n">
        <v/>
      </c>
      <c r="R104" t="n">
        <v/>
      </c>
      <c r="S104" t="n">
        <v/>
      </c>
      <c r="T104" t="n">
        <v/>
      </c>
      <c r="U104" t="n">
        <v/>
      </c>
      <c r="V104" t="n">
        <v/>
      </c>
      <c r="W104" t="n">
        <v/>
      </c>
      <c r="X104" t="n">
        <v/>
      </c>
      <c r="Y104" t="n">
        <v/>
      </c>
      <c r="Z104" t="n">
        <v/>
      </c>
      <c r="AA104" t="n">
        <v/>
      </c>
      <c r="AB104" t="n">
        <v/>
      </c>
      <c r="AC104" t="n">
        <v/>
      </c>
      <c r="AD104" t="n">
        <v>2.450789</v>
      </c>
      <c r="AE104" t="n">
        <v/>
      </c>
    </row>
    <row r="105">
      <c r="A105" s="87" t="n">
        <v>21763</v>
      </c>
      <c r="B105" t="n">
        <v/>
      </c>
      <c r="C105" t="n">
        <v/>
      </c>
      <c r="D105" t="n">
        <v/>
      </c>
      <c r="E105" t="n">
        <v/>
      </c>
      <c r="F105" t="n">
        <v/>
      </c>
      <c r="G105" t="n">
        <v/>
      </c>
      <c r="H105" t="n">
        <v/>
      </c>
      <c r="I105" t="n">
        <v/>
      </c>
      <c r="J105" t="n">
        <v/>
      </c>
      <c r="K105" t="n">
        <v/>
      </c>
      <c r="L105" t="n">
        <v/>
      </c>
      <c r="M105" t="n">
        <v/>
      </c>
      <c r="N105" t="n">
        <v/>
      </c>
      <c r="O105" t="n">
        <v/>
      </c>
      <c r="P105" t="n">
        <v>0.03307686</v>
      </c>
      <c r="Q105" t="n">
        <v/>
      </c>
      <c r="R105" t="n">
        <v/>
      </c>
      <c r="S105" t="n">
        <v/>
      </c>
      <c r="T105" t="n">
        <v/>
      </c>
      <c r="U105" t="n">
        <v/>
      </c>
      <c r="V105" t="n">
        <v/>
      </c>
      <c r="W105" t="n">
        <v/>
      </c>
      <c r="X105" t="n">
        <v/>
      </c>
      <c r="Y105" t="n">
        <v/>
      </c>
      <c r="Z105" t="n">
        <v/>
      </c>
      <c r="AA105" t="n">
        <v/>
      </c>
      <c r="AB105" t="n">
        <v/>
      </c>
      <c r="AC105" t="n">
        <v/>
      </c>
      <c r="AD105" t="n">
        <v>2.460752</v>
      </c>
      <c r="AE105" t="n">
        <v/>
      </c>
    </row>
    <row r="106">
      <c r="A106" s="87" t="n">
        <v>21794</v>
      </c>
      <c r="B106" t="n">
        <v/>
      </c>
      <c r="C106" t="n">
        <v/>
      </c>
      <c r="D106" t="n">
        <v/>
      </c>
      <c r="E106" t="n">
        <v/>
      </c>
      <c r="F106" t="n">
        <v/>
      </c>
      <c r="G106" t="n">
        <v/>
      </c>
      <c r="H106" t="n">
        <v/>
      </c>
      <c r="I106" t="n">
        <v/>
      </c>
      <c r="J106" t="n">
        <v/>
      </c>
      <c r="K106" t="n">
        <v/>
      </c>
      <c r="L106" t="n">
        <v/>
      </c>
      <c r="M106" t="n">
        <v/>
      </c>
      <c r="N106" t="n">
        <v/>
      </c>
      <c r="O106" t="n">
        <v/>
      </c>
      <c r="P106" t="n">
        <v>0.03344864</v>
      </c>
      <c r="Q106" t="n">
        <v/>
      </c>
      <c r="R106" t="n">
        <v/>
      </c>
      <c r="S106" t="n">
        <v/>
      </c>
      <c r="T106" t="n">
        <v/>
      </c>
      <c r="U106" t="n">
        <v/>
      </c>
      <c r="V106" t="n">
        <v/>
      </c>
      <c r="W106" t="n">
        <v/>
      </c>
      <c r="X106" t="n">
        <v/>
      </c>
      <c r="Y106" t="n">
        <v/>
      </c>
      <c r="Z106" t="n">
        <v/>
      </c>
      <c r="AA106" t="n">
        <v/>
      </c>
      <c r="AB106" t="n">
        <v/>
      </c>
      <c r="AC106" t="n">
        <v/>
      </c>
      <c r="AD106" t="n">
        <v>2.463242</v>
      </c>
      <c r="AE106" t="n">
        <v/>
      </c>
    </row>
    <row r="107">
      <c r="A107" s="87" t="n">
        <v>21824</v>
      </c>
      <c r="B107" t="n">
        <v/>
      </c>
      <c r="C107" t="n">
        <v/>
      </c>
      <c r="D107" t="n">
        <v/>
      </c>
      <c r="E107" t="n">
        <v/>
      </c>
      <c r="F107" t="n">
        <v/>
      </c>
      <c r="G107" t="n">
        <v/>
      </c>
      <c r="H107" t="n">
        <v/>
      </c>
      <c r="I107" t="n">
        <v/>
      </c>
      <c r="J107" t="n">
        <v/>
      </c>
      <c r="K107" t="n">
        <v/>
      </c>
      <c r="L107" t="n">
        <v/>
      </c>
      <c r="M107" t="n">
        <v/>
      </c>
      <c r="N107" t="n">
        <v/>
      </c>
      <c r="O107" t="n">
        <v/>
      </c>
      <c r="P107" t="n">
        <v>0.03377498</v>
      </c>
      <c r="Q107" t="n">
        <v/>
      </c>
      <c r="R107" t="n">
        <v/>
      </c>
      <c r="S107" t="n">
        <v/>
      </c>
      <c r="T107" t="n">
        <v/>
      </c>
      <c r="U107" t="n">
        <v/>
      </c>
      <c r="V107" t="n">
        <v/>
      </c>
      <c r="W107" t="n">
        <v/>
      </c>
      <c r="X107" t="n">
        <v/>
      </c>
      <c r="Y107" t="n">
        <v/>
      </c>
      <c r="Z107" t="n">
        <v/>
      </c>
      <c r="AA107" t="n">
        <v/>
      </c>
      <c r="AB107" t="n">
        <v/>
      </c>
      <c r="AC107" t="n">
        <v/>
      </c>
      <c r="AD107" t="n">
        <v>2.461582</v>
      </c>
      <c r="AE107" t="n">
        <v/>
      </c>
    </row>
    <row r="108">
      <c r="A108" s="87" t="n">
        <v>21855</v>
      </c>
      <c r="B108" t="n">
        <v/>
      </c>
      <c r="C108" t="n">
        <v/>
      </c>
      <c r="D108" t="n">
        <v/>
      </c>
      <c r="E108" t="n">
        <v/>
      </c>
      <c r="F108" t="n">
        <v/>
      </c>
      <c r="G108" t="n">
        <v/>
      </c>
      <c r="H108" t="n">
        <v/>
      </c>
      <c r="I108" t="n">
        <v/>
      </c>
      <c r="J108" t="n">
        <v/>
      </c>
      <c r="K108" t="n">
        <v/>
      </c>
      <c r="L108" t="n">
        <v/>
      </c>
      <c r="M108" t="n">
        <v/>
      </c>
      <c r="N108" t="n">
        <v/>
      </c>
      <c r="O108" t="n">
        <v/>
      </c>
      <c r="P108" t="n">
        <v>0.03407843</v>
      </c>
      <c r="Q108" t="n">
        <v/>
      </c>
      <c r="R108" t="n">
        <v/>
      </c>
      <c r="S108" t="n">
        <v/>
      </c>
      <c r="T108" t="n">
        <v/>
      </c>
      <c r="U108" t="n">
        <v/>
      </c>
      <c r="V108" t="n">
        <v/>
      </c>
      <c r="W108" t="n">
        <v/>
      </c>
      <c r="X108" t="n">
        <v/>
      </c>
      <c r="Y108" t="n">
        <v/>
      </c>
      <c r="Z108" t="n">
        <v/>
      </c>
      <c r="AA108" t="n">
        <v/>
      </c>
      <c r="AB108" t="n">
        <v/>
      </c>
      <c r="AC108" t="n">
        <v/>
      </c>
      <c r="AD108" t="n">
        <v>2.466563</v>
      </c>
      <c r="AE108" t="n">
        <v/>
      </c>
    </row>
    <row r="109">
      <c r="A109" s="87" t="n">
        <v>21885</v>
      </c>
      <c r="B109" t="n">
        <v/>
      </c>
      <c r="C109" t="n">
        <v/>
      </c>
      <c r="D109" t="n">
        <v/>
      </c>
      <c r="E109" t="n">
        <v/>
      </c>
      <c r="F109" t="n">
        <v/>
      </c>
      <c r="G109" t="n">
        <v/>
      </c>
      <c r="H109" t="n">
        <v/>
      </c>
      <c r="I109" t="n">
        <v/>
      </c>
      <c r="J109" t="n">
        <v/>
      </c>
      <c r="K109" t="n">
        <v/>
      </c>
      <c r="L109" t="n">
        <v/>
      </c>
      <c r="M109" t="n">
        <v/>
      </c>
      <c r="N109" t="n">
        <v/>
      </c>
      <c r="O109" t="n">
        <v/>
      </c>
      <c r="P109" t="n">
        <v>0.03437842</v>
      </c>
      <c r="Q109" t="n">
        <v/>
      </c>
      <c r="R109" t="n">
        <v/>
      </c>
      <c r="S109" t="n">
        <v/>
      </c>
      <c r="T109" t="n">
        <v/>
      </c>
      <c r="U109" t="n">
        <v/>
      </c>
      <c r="V109" t="n">
        <v/>
      </c>
      <c r="W109" t="n">
        <v/>
      </c>
      <c r="X109" t="n">
        <v/>
      </c>
      <c r="Y109" t="n">
        <v/>
      </c>
      <c r="Z109" t="n">
        <v/>
      </c>
      <c r="AA109" t="n">
        <v/>
      </c>
      <c r="AB109" t="n">
        <v/>
      </c>
      <c r="AC109" t="n">
        <v/>
      </c>
      <c r="AD109" t="n">
        <v>2.472375</v>
      </c>
      <c r="AE109" t="n">
        <v/>
      </c>
    </row>
    <row r="110">
      <c r="A110" s="87" t="n">
        <v>21916</v>
      </c>
      <c r="B110" t="n">
        <v/>
      </c>
      <c r="C110" t="n">
        <v/>
      </c>
      <c r="D110" t="n">
        <v/>
      </c>
      <c r="E110" t="n">
        <v/>
      </c>
      <c r="F110" t="n">
        <v/>
      </c>
      <c r="G110" t="n">
        <v/>
      </c>
      <c r="H110" t="n">
        <v/>
      </c>
      <c r="I110" t="n">
        <v/>
      </c>
      <c r="J110" t="n">
        <v/>
      </c>
      <c r="K110" t="n">
        <v/>
      </c>
      <c r="L110" t="n">
        <v/>
      </c>
      <c r="M110" t="n">
        <v/>
      </c>
      <c r="N110" t="n">
        <v/>
      </c>
      <c r="O110" t="n">
        <v/>
      </c>
      <c r="P110" t="n">
        <v>0.03471427</v>
      </c>
      <c r="Q110" t="n">
        <v/>
      </c>
      <c r="R110" t="n">
        <v/>
      </c>
      <c r="S110" t="n">
        <v/>
      </c>
      <c r="T110" t="n">
        <v/>
      </c>
      <c r="U110" t="n">
        <v/>
      </c>
      <c r="V110" t="n">
        <v/>
      </c>
      <c r="W110" t="n">
        <v/>
      </c>
      <c r="X110" t="n">
        <v/>
      </c>
      <c r="Y110" t="n">
        <v/>
      </c>
      <c r="Z110" t="n">
        <v/>
      </c>
      <c r="AA110" t="n">
        <v/>
      </c>
      <c r="AB110" t="n">
        <v/>
      </c>
      <c r="AC110" t="n">
        <v/>
      </c>
      <c r="AD110" t="n">
        <v>2.475696</v>
      </c>
      <c r="AE110" t="n">
        <v/>
      </c>
    </row>
    <row r="111">
      <c r="A111" s="87" t="n">
        <v>21947</v>
      </c>
      <c r="B111" t="n">
        <v>0.3945881</v>
      </c>
      <c r="C111" t="n">
        <v/>
      </c>
      <c r="D111" t="n">
        <v/>
      </c>
      <c r="E111" t="n">
        <v/>
      </c>
      <c r="F111" t="n">
        <v/>
      </c>
      <c r="G111" t="n">
        <v/>
      </c>
      <c r="H111" t="n">
        <v/>
      </c>
      <c r="I111" t="n">
        <v/>
      </c>
      <c r="J111" t="n">
        <v/>
      </c>
      <c r="K111" t="n">
        <v/>
      </c>
      <c r="L111" t="n">
        <v/>
      </c>
      <c r="M111" t="n">
        <v/>
      </c>
      <c r="N111" t="n">
        <v/>
      </c>
      <c r="O111" t="n">
        <v/>
      </c>
      <c r="P111" t="n">
        <v>0.03502077</v>
      </c>
      <c r="Q111" t="n">
        <v>0.001843192</v>
      </c>
      <c r="R111" t="n">
        <v/>
      </c>
      <c r="S111" t="n">
        <v/>
      </c>
      <c r="T111" t="n">
        <v/>
      </c>
      <c r="U111" t="n">
        <v/>
      </c>
      <c r="V111" t="n">
        <v>0.890502</v>
      </c>
      <c r="W111" t="n">
        <v/>
      </c>
      <c r="X111" t="n">
        <v/>
      </c>
      <c r="Y111" t="n">
        <v/>
      </c>
      <c r="Z111" t="n">
        <v/>
      </c>
      <c r="AA111" t="n">
        <v/>
      </c>
      <c r="AB111" t="n">
        <v>1.717802</v>
      </c>
      <c r="AC111" t="n">
        <v/>
      </c>
      <c r="AD111" t="n">
        <v>2.477356</v>
      </c>
      <c r="AE111" t="n">
        <v/>
      </c>
    </row>
    <row r="112">
      <c r="A112" s="87" t="n">
        <v>21976</v>
      </c>
      <c r="B112" t="n">
        <v>0.397754</v>
      </c>
      <c r="C112" t="n">
        <v/>
      </c>
      <c r="D112" t="n">
        <v/>
      </c>
      <c r="E112" t="n">
        <v/>
      </c>
      <c r="F112" t="n">
        <v/>
      </c>
      <c r="G112" t="n">
        <v/>
      </c>
      <c r="H112" t="n">
        <v/>
      </c>
      <c r="I112" t="n">
        <v/>
      </c>
      <c r="J112" t="n">
        <v/>
      </c>
      <c r="K112" t="n">
        <v/>
      </c>
      <c r="L112" t="n">
        <v/>
      </c>
      <c r="M112" t="n">
        <v/>
      </c>
      <c r="N112" t="n">
        <v/>
      </c>
      <c r="O112" t="n">
        <v/>
      </c>
      <c r="P112" t="n">
        <v>0.03526168</v>
      </c>
      <c r="Q112" t="n">
        <v>0.001862959</v>
      </c>
      <c r="R112" t="n">
        <v/>
      </c>
      <c r="S112" t="n">
        <v/>
      </c>
      <c r="T112" t="n">
        <v/>
      </c>
      <c r="U112" t="n">
        <v/>
      </c>
      <c r="V112" t="n">
        <v>0.8956847999999999</v>
      </c>
      <c r="W112" t="n">
        <v/>
      </c>
      <c r="X112" t="n">
        <v/>
      </c>
      <c r="Y112" t="n">
        <v/>
      </c>
      <c r="Z112" t="n">
        <v/>
      </c>
      <c r="AA112" t="n">
        <v/>
      </c>
      <c r="AB112" t="n">
        <v>1.718916</v>
      </c>
      <c r="AC112" t="n">
        <v/>
      </c>
      <c r="AD112" t="n">
        <v>2.484828</v>
      </c>
      <c r="AE112" t="n">
        <v/>
      </c>
    </row>
    <row r="113">
      <c r="A113" s="87" t="n">
        <v>22007</v>
      </c>
      <c r="B113" t="n">
        <v>0.4003315</v>
      </c>
      <c r="C113" t="n">
        <v/>
      </c>
      <c r="D113" t="n">
        <v/>
      </c>
      <c r="E113" t="n">
        <v/>
      </c>
      <c r="F113" t="n">
        <v/>
      </c>
      <c r="G113" t="n">
        <v/>
      </c>
      <c r="H113" t="n">
        <v/>
      </c>
      <c r="I113" t="n">
        <v/>
      </c>
      <c r="J113" t="n">
        <v/>
      </c>
      <c r="K113" t="n">
        <v/>
      </c>
      <c r="L113" t="n">
        <v/>
      </c>
      <c r="M113" t="n">
        <v/>
      </c>
      <c r="N113" t="n">
        <v/>
      </c>
      <c r="O113" t="n">
        <v/>
      </c>
      <c r="P113" t="n">
        <v>0.03547155</v>
      </c>
      <c r="Q113" t="n">
        <v>0.001897963</v>
      </c>
      <c r="R113" t="n">
        <v/>
      </c>
      <c r="S113" t="n">
        <v/>
      </c>
      <c r="T113" t="n">
        <v/>
      </c>
      <c r="U113" t="n">
        <v/>
      </c>
      <c r="V113" t="n">
        <v>0.8997979</v>
      </c>
      <c r="W113" t="n">
        <v/>
      </c>
      <c r="X113" t="n">
        <v/>
      </c>
      <c r="Y113" t="n">
        <v/>
      </c>
      <c r="Z113" t="n">
        <v/>
      </c>
      <c r="AA113" t="n">
        <v/>
      </c>
      <c r="AB113" t="n">
        <v>1.714388</v>
      </c>
      <c r="AC113" t="n">
        <v/>
      </c>
      <c r="AD113" t="n">
        <v>2.49147</v>
      </c>
      <c r="AE113" t="n">
        <v/>
      </c>
    </row>
    <row r="114">
      <c r="A114" s="87" t="n">
        <v>22037</v>
      </c>
      <c r="B114" t="n">
        <v>0.4047862</v>
      </c>
      <c r="C114" t="n">
        <v/>
      </c>
      <c r="D114" t="n">
        <v/>
      </c>
      <c r="E114" t="n">
        <v/>
      </c>
      <c r="F114" t="n">
        <v/>
      </c>
      <c r="G114" t="n">
        <v/>
      </c>
      <c r="H114" t="n">
        <v/>
      </c>
      <c r="I114" t="n">
        <v/>
      </c>
      <c r="J114" t="n">
        <v/>
      </c>
      <c r="K114" t="n">
        <v/>
      </c>
      <c r="L114" t="n">
        <v/>
      </c>
      <c r="M114" t="n">
        <v/>
      </c>
      <c r="N114" t="n">
        <v/>
      </c>
      <c r="O114" t="n">
        <v/>
      </c>
      <c r="P114" t="n">
        <v>0.03568349</v>
      </c>
      <c r="Q114" t="n">
        <v>0.00193327</v>
      </c>
      <c r="R114" t="n">
        <v/>
      </c>
      <c r="S114" t="n">
        <v/>
      </c>
      <c r="T114" t="n">
        <v/>
      </c>
      <c r="U114" t="n">
        <v/>
      </c>
      <c r="V114" t="n">
        <v>0.9022519</v>
      </c>
      <c r="W114" t="n">
        <v/>
      </c>
      <c r="X114" t="n">
        <v/>
      </c>
      <c r="Y114" t="n">
        <v/>
      </c>
      <c r="Z114" t="n">
        <v/>
      </c>
      <c r="AA114" t="n">
        <v/>
      </c>
      <c r="AB114" t="n">
        <v>1.718725</v>
      </c>
      <c r="AC114" t="n">
        <v/>
      </c>
      <c r="AD114" t="n">
        <v>2.498111</v>
      </c>
      <c r="AE114" t="n">
        <v/>
      </c>
    </row>
    <row r="115">
      <c r="A115" s="87" t="n">
        <v>22068</v>
      </c>
      <c r="B115" t="n">
        <v>0.4070275</v>
      </c>
      <c r="C115" t="n">
        <v/>
      </c>
      <c r="D115" t="n">
        <v/>
      </c>
      <c r="E115" t="n">
        <v/>
      </c>
      <c r="F115" t="n">
        <v/>
      </c>
      <c r="G115" t="n">
        <v/>
      </c>
      <c r="H115" t="n">
        <v/>
      </c>
      <c r="I115" t="n">
        <v/>
      </c>
      <c r="J115" t="n">
        <v/>
      </c>
      <c r="K115" t="n">
        <v/>
      </c>
      <c r="L115" t="n">
        <v/>
      </c>
      <c r="M115" t="n">
        <v/>
      </c>
      <c r="N115" t="n">
        <v/>
      </c>
      <c r="O115" t="n">
        <v/>
      </c>
      <c r="P115" t="n">
        <v>0.03591917</v>
      </c>
      <c r="Q115" t="n">
        <v>0.001970521</v>
      </c>
      <c r="R115" t="n">
        <v/>
      </c>
      <c r="S115" t="n">
        <v/>
      </c>
      <c r="T115" t="n">
        <v/>
      </c>
      <c r="U115" t="n">
        <v/>
      </c>
      <c r="V115" t="n">
        <v>0.9079137</v>
      </c>
      <c r="W115" t="n">
        <v/>
      </c>
      <c r="X115" t="n">
        <v/>
      </c>
      <c r="Y115" t="n">
        <v/>
      </c>
      <c r="Z115" t="n">
        <v/>
      </c>
      <c r="AA115" t="n">
        <v/>
      </c>
      <c r="AB115" t="n">
        <v>1.730103</v>
      </c>
      <c r="AC115" t="n">
        <v/>
      </c>
      <c r="AD115" t="n">
        <v>2.509734</v>
      </c>
      <c r="AE115" t="n">
        <v/>
      </c>
    </row>
    <row r="116">
      <c r="A116" s="87" t="n">
        <v>22098</v>
      </c>
      <c r="B116" t="n">
        <v>0.4082042</v>
      </c>
      <c r="C116" t="n">
        <v/>
      </c>
      <c r="D116" t="n">
        <v/>
      </c>
      <c r="E116" t="n">
        <v/>
      </c>
      <c r="F116" t="n">
        <v/>
      </c>
      <c r="G116" t="n">
        <v/>
      </c>
      <c r="H116" t="n">
        <v/>
      </c>
      <c r="I116" t="n">
        <v/>
      </c>
      <c r="J116" t="n">
        <v/>
      </c>
      <c r="K116" t="n">
        <v/>
      </c>
      <c r="L116" t="n">
        <v/>
      </c>
      <c r="M116" t="n">
        <v/>
      </c>
      <c r="N116" t="n">
        <v/>
      </c>
      <c r="O116" t="n">
        <v/>
      </c>
      <c r="P116" t="n">
        <v>0.03608637</v>
      </c>
      <c r="Q116" t="n">
        <v>0.001997082</v>
      </c>
      <c r="R116" t="n">
        <v/>
      </c>
      <c r="S116" t="n">
        <v/>
      </c>
      <c r="T116" t="n">
        <v/>
      </c>
      <c r="U116" t="n">
        <v/>
      </c>
      <c r="V116" t="n">
        <v>0.9145309</v>
      </c>
      <c r="W116" t="n">
        <v/>
      </c>
      <c r="X116" t="n">
        <v/>
      </c>
      <c r="Y116" t="n">
        <v/>
      </c>
      <c r="Z116" t="n">
        <v/>
      </c>
      <c r="AA116" t="n">
        <v/>
      </c>
      <c r="AB116" t="n">
        <v>1.728862</v>
      </c>
      <c r="AC116" t="n">
        <v/>
      </c>
      <c r="AD116" t="n">
        <v>2.524678</v>
      </c>
      <c r="AE116" t="n">
        <v/>
      </c>
    </row>
    <row r="117">
      <c r="A117" s="87" t="n">
        <v>22129</v>
      </c>
      <c r="B117" t="n">
        <v>0.4096891</v>
      </c>
      <c r="C117" t="n">
        <v/>
      </c>
      <c r="D117" t="n">
        <v/>
      </c>
      <c r="E117" t="n">
        <v/>
      </c>
      <c r="F117" t="n">
        <v/>
      </c>
      <c r="G117" t="n">
        <v/>
      </c>
      <c r="H117" t="n">
        <v/>
      </c>
      <c r="I117" t="n">
        <v/>
      </c>
      <c r="J117" t="n">
        <v/>
      </c>
      <c r="K117" t="n">
        <v/>
      </c>
      <c r="L117" t="n">
        <v/>
      </c>
      <c r="M117" t="n">
        <v/>
      </c>
      <c r="N117" t="n">
        <v/>
      </c>
      <c r="O117" t="n">
        <v/>
      </c>
      <c r="P117" t="n">
        <v>0.03630234</v>
      </c>
      <c r="Q117" t="n">
        <v>0.002012364</v>
      </c>
      <c r="R117" t="n">
        <v/>
      </c>
      <c r="S117" t="n">
        <v/>
      </c>
      <c r="T117" t="n">
        <v/>
      </c>
      <c r="U117" t="n">
        <v/>
      </c>
      <c r="V117" t="n">
        <v>0.9205787</v>
      </c>
      <c r="W117" t="n">
        <v/>
      </c>
      <c r="X117" t="n">
        <v/>
      </c>
      <c r="Y117" t="n">
        <v/>
      </c>
      <c r="Z117" t="n">
        <v/>
      </c>
      <c r="AA117" t="n">
        <v/>
      </c>
      <c r="AB117" t="n">
        <v>1.724072</v>
      </c>
      <c r="AC117" t="n">
        <v/>
      </c>
      <c r="AD117" t="n">
        <v>2.547924</v>
      </c>
      <c r="AE117" t="n">
        <v/>
      </c>
    </row>
    <row r="118">
      <c r="A118" s="87" t="n">
        <v>22160</v>
      </c>
      <c r="B118" t="n">
        <v>0.4099693</v>
      </c>
      <c r="C118" t="n">
        <v/>
      </c>
      <c r="D118" t="n">
        <v/>
      </c>
      <c r="E118" t="n">
        <v/>
      </c>
      <c r="F118" t="n">
        <v/>
      </c>
      <c r="G118" t="n">
        <v/>
      </c>
      <c r="H118" t="n">
        <v/>
      </c>
      <c r="I118" t="n">
        <v/>
      </c>
      <c r="J118" t="n">
        <v/>
      </c>
      <c r="K118" t="n">
        <v/>
      </c>
      <c r="L118" t="n">
        <v/>
      </c>
      <c r="M118" t="n">
        <v/>
      </c>
      <c r="N118" t="n">
        <v/>
      </c>
      <c r="O118" t="n">
        <v/>
      </c>
      <c r="P118" t="n">
        <v>0.03638044</v>
      </c>
      <c r="Q118" t="n">
        <v>0.002021173</v>
      </c>
      <c r="R118" t="n">
        <v/>
      </c>
      <c r="S118" t="n">
        <v/>
      </c>
      <c r="T118" t="n">
        <v/>
      </c>
      <c r="U118" t="n">
        <v/>
      </c>
      <c r="V118" t="n">
        <v>0.9271035</v>
      </c>
      <c r="W118" t="n">
        <v/>
      </c>
      <c r="X118" t="n">
        <v/>
      </c>
      <c r="Y118" t="n">
        <v/>
      </c>
      <c r="Z118" t="n">
        <v/>
      </c>
      <c r="AA118" t="n">
        <v/>
      </c>
      <c r="AB118" t="n">
        <v>1.727856</v>
      </c>
      <c r="AC118" t="n">
        <v/>
      </c>
      <c r="AD118" t="n">
        <v>2.560377</v>
      </c>
      <c r="AE118" t="n">
        <v/>
      </c>
    </row>
    <row r="119">
      <c r="A119" s="87" t="n">
        <v>22190</v>
      </c>
      <c r="B119" t="n">
        <v>0.4107538</v>
      </c>
      <c r="C119" t="n">
        <v/>
      </c>
      <c r="D119" t="n">
        <v/>
      </c>
      <c r="E119" t="n">
        <v/>
      </c>
      <c r="F119" t="n">
        <v/>
      </c>
      <c r="G119" t="n">
        <v/>
      </c>
      <c r="H119" t="n">
        <v/>
      </c>
      <c r="I119" t="n">
        <v/>
      </c>
      <c r="J119" t="n">
        <v/>
      </c>
      <c r="K119" t="n">
        <v/>
      </c>
      <c r="L119" t="n">
        <v/>
      </c>
      <c r="M119" t="n">
        <v/>
      </c>
      <c r="N119" t="n">
        <v/>
      </c>
      <c r="O119" t="n">
        <v/>
      </c>
      <c r="P119" t="n">
        <v>0.03621963</v>
      </c>
      <c r="Q119" t="n">
        <v>0.0020241</v>
      </c>
      <c r="R119" t="n">
        <v/>
      </c>
      <c r="S119" t="n">
        <v/>
      </c>
      <c r="T119" t="n">
        <v/>
      </c>
      <c r="U119" t="n">
        <v/>
      </c>
      <c r="V119" t="n">
        <v>0.9318128</v>
      </c>
      <c r="W119" t="n">
        <v/>
      </c>
      <c r="X119" t="n">
        <v/>
      </c>
      <c r="Y119" t="n">
        <v/>
      </c>
      <c r="Z119" t="n">
        <v/>
      </c>
      <c r="AA119" t="n">
        <v/>
      </c>
      <c r="AB119" t="n">
        <v>1.738775</v>
      </c>
      <c r="AC119" t="n">
        <v/>
      </c>
      <c r="AD119" t="n">
        <v>2.56951</v>
      </c>
      <c r="AE119" t="n">
        <v/>
      </c>
    </row>
    <row r="120">
      <c r="A120" s="87" t="n">
        <v>22221</v>
      </c>
      <c r="B120" t="n">
        <v>0.4103335</v>
      </c>
      <c r="C120" t="n">
        <v/>
      </c>
      <c r="D120" t="n">
        <v/>
      </c>
      <c r="E120" t="n">
        <v/>
      </c>
      <c r="F120" t="n">
        <v/>
      </c>
      <c r="G120" t="n">
        <v/>
      </c>
      <c r="H120" t="n">
        <v/>
      </c>
      <c r="I120" t="n">
        <v/>
      </c>
      <c r="J120" t="n">
        <v/>
      </c>
      <c r="K120" t="n">
        <v/>
      </c>
      <c r="L120" t="n">
        <v/>
      </c>
      <c r="M120" t="n">
        <v/>
      </c>
      <c r="N120" t="n">
        <v/>
      </c>
      <c r="O120" t="n">
        <v/>
      </c>
      <c r="P120" t="n">
        <v>0.03589594</v>
      </c>
      <c r="Q120" t="n">
        <v>0.002033792</v>
      </c>
      <c r="R120" t="n">
        <v/>
      </c>
      <c r="S120" t="n">
        <v/>
      </c>
      <c r="T120" t="n">
        <v/>
      </c>
      <c r="U120" t="n">
        <v/>
      </c>
      <c r="V120" t="n">
        <v>0.9429995</v>
      </c>
      <c r="W120" t="n">
        <v/>
      </c>
      <c r="X120" t="n">
        <v/>
      </c>
      <c r="Y120" t="n">
        <v/>
      </c>
      <c r="Z120" t="n">
        <v/>
      </c>
      <c r="AA120" t="n">
        <v/>
      </c>
      <c r="AB120" t="n">
        <v>1.7441</v>
      </c>
      <c r="AC120" t="n">
        <v/>
      </c>
      <c r="AD120" t="n">
        <v>2.581133</v>
      </c>
      <c r="AE120" t="n">
        <v/>
      </c>
    </row>
    <row r="121">
      <c r="A121" s="87" t="n">
        <v>22251</v>
      </c>
      <c r="B121" t="n">
        <v>0.4091848</v>
      </c>
      <c r="C121" t="n">
        <v/>
      </c>
      <c r="D121" t="n">
        <v/>
      </c>
      <c r="E121" t="n">
        <v/>
      </c>
      <c r="F121" t="n">
        <v/>
      </c>
      <c r="G121" t="n">
        <v/>
      </c>
      <c r="H121" t="n">
        <v/>
      </c>
      <c r="I121" t="n">
        <v/>
      </c>
      <c r="J121" t="n">
        <v/>
      </c>
      <c r="K121" t="n">
        <v/>
      </c>
      <c r="L121" t="n">
        <v/>
      </c>
      <c r="M121" t="n">
        <v/>
      </c>
      <c r="N121" t="n">
        <v/>
      </c>
      <c r="O121" t="n">
        <v/>
      </c>
      <c r="P121" t="n">
        <v>0.03580718</v>
      </c>
      <c r="Q121" t="n">
        <v>0.002081028</v>
      </c>
      <c r="R121" t="n">
        <v/>
      </c>
      <c r="S121" t="n">
        <v/>
      </c>
      <c r="T121" t="n">
        <v/>
      </c>
      <c r="U121" t="n">
        <v/>
      </c>
      <c r="V121" t="n">
        <v>0.9485459000000001</v>
      </c>
      <c r="W121" t="n">
        <v/>
      </c>
      <c r="X121" t="n">
        <v/>
      </c>
      <c r="Y121" t="n">
        <v/>
      </c>
      <c r="Z121" t="n">
        <v/>
      </c>
      <c r="AA121" t="n">
        <v/>
      </c>
      <c r="AB121" t="n">
        <v>1.747584</v>
      </c>
      <c r="AC121" t="n">
        <v/>
      </c>
      <c r="AD121" t="n">
        <v>2.593586</v>
      </c>
      <c r="AE121" t="n">
        <v/>
      </c>
    </row>
    <row r="122">
      <c r="A122" s="87" t="n">
        <v>22282</v>
      </c>
      <c r="B122" t="n">
        <v>0.4078961</v>
      </c>
      <c r="C122" t="n">
        <v/>
      </c>
      <c r="D122" t="n">
        <v/>
      </c>
      <c r="E122" t="n">
        <v/>
      </c>
      <c r="F122" t="n">
        <v/>
      </c>
      <c r="G122" t="n">
        <v/>
      </c>
      <c r="H122" t="n">
        <v/>
      </c>
      <c r="I122" t="n">
        <v/>
      </c>
      <c r="J122" t="n">
        <v/>
      </c>
      <c r="K122" t="n">
        <v/>
      </c>
      <c r="L122" t="n">
        <v/>
      </c>
      <c r="M122" t="n">
        <v/>
      </c>
      <c r="N122" t="n">
        <v/>
      </c>
      <c r="O122" t="n">
        <v/>
      </c>
      <c r="P122" t="n">
        <v>0.03597163</v>
      </c>
      <c r="Q122" t="n">
        <v>0.0021064</v>
      </c>
      <c r="R122" t="n">
        <v/>
      </c>
      <c r="S122" t="n">
        <v/>
      </c>
      <c r="T122" t="n">
        <v/>
      </c>
      <c r="U122" t="n">
        <v/>
      </c>
      <c r="V122" t="n">
        <v>0.9463659</v>
      </c>
      <c r="W122" t="n">
        <v/>
      </c>
      <c r="X122" t="n">
        <v/>
      </c>
      <c r="Y122" t="n">
        <v/>
      </c>
      <c r="Z122" t="n">
        <v/>
      </c>
      <c r="AA122" t="n">
        <v/>
      </c>
      <c r="AB122" t="n">
        <v>1.753003</v>
      </c>
      <c r="AC122" t="n">
        <v/>
      </c>
      <c r="AD122" t="n">
        <v>2.607699</v>
      </c>
      <c r="AE122" t="n">
        <v/>
      </c>
    </row>
    <row r="123">
      <c r="A123" s="87" t="n">
        <v>22313</v>
      </c>
      <c r="B123" t="n">
        <v>0.4071956</v>
      </c>
      <c r="C123" t="n">
        <v/>
      </c>
      <c r="D123" t="n">
        <v/>
      </c>
      <c r="E123" t="n">
        <v/>
      </c>
      <c r="F123" t="n">
        <v/>
      </c>
      <c r="G123" t="n">
        <v/>
      </c>
      <c r="H123" t="n">
        <v/>
      </c>
      <c r="I123" t="n">
        <v/>
      </c>
      <c r="J123" t="n">
        <v/>
      </c>
      <c r="K123" t="n">
        <v/>
      </c>
      <c r="L123" t="n">
        <v/>
      </c>
      <c r="M123" t="n">
        <v/>
      </c>
      <c r="N123" t="n">
        <v/>
      </c>
      <c r="O123" t="n">
        <v/>
      </c>
      <c r="P123" t="n">
        <v>0.03594464</v>
      </c>
      <c r="Q123" t="n">
        <v>0.002100724</v>
      </c>
      <c r="R123" t="n">
        <v/>
      </c>
      <c r="S123" t="n">
        <v/>
      </c>
      <c r="T123" t="n">
        <v/>
      </c>
      <c r="U123" t="n">
        <v/>
      </c>
      <c r="V123" t="n">
        <v>0.951586</v>
      </c>
      <c r="W123" t="n">
        <v/>
      </c>
      <c r="X123" t="n">
        <v/>
      </c>
      <c r="Y123" t="n">
        <v/>
      </c>
      <c r="Z123" t="n">
        <v/>
      </c>
      <c r="AA123" t="n">
        <v/>
      </c>
      <c r="AB123" t="n">
        <v>1.760633</v>
      </c>
      <c r="AC123" t="n">
        <v/>
      </c>
      <c r="AD123" t="n">
        <v>2.627625</v>
      </c>
      <c r="AE123" t="n">
        <v/>
      </c>
    </row>
    <row r="124">
      <c r="A124" s="87" t="n">
        <v>22341</v>
      </c>
      <c r="B124" t="n">
        <v>0.4070275</v>
      </c>
      <c r="C124" t="n">
        <v/>
      </c>
      <c r="D124" t="n">
        <v/>
      </c>
      <c r="E124" t="n">
        <v/>
      </c>
      <c r="F124" t="n">
        <v/>
      </c>
      <c r="G124" t="n">
        <v/>
      </c>
      <c r="H124" t="n">
        <v/>
      </c>
      <c r="I124" t="n">
        <v/>
      </c>
      <c r="J124" t="n">
        <v/>
      </c>
      <c r="K124" t="n">
        <v/>
      </c>
      <c r="L124" t="n">
        <v/>
      </c>
      <c r="M124" t="n">
        <v/>
      </c>
      <c r="N124" t="n">
        <v/>
      </c>
      <c r="O124" t="n">
        <v/>
      </c>
      <c r="P124" t="n">
        <v>0.03603514</v>
      </c>
      <c r="Q124" t="n">
        <v>0.002142441</v>
      </c>
      <c r="R124" t="n">
        <v/>
      </c>
      <c r="S124" t="n">
        <v/>
      </c>
      <c r="T124" t="n">
        <v/>
      </c>
      <c r="U124" t="n">
        <v/>
      </c>
      <c r="V124" t="n">
        <v>0.9568809</v>
      </c>
      <c r="W124" t="n">
        <v/>
      </c>
      <c r="X124" t="n">
        <v/>
      </c>
      <c r="Y124" t="n">
        <v/>
      </c>
      <c r="Z124" t="n">
        <v/>
      </c>
      <c r="AA124" t="n">
        <v/>
      </c>
      <c r="AB124" t="n">
        <v>1.769198</v>
      </c>
      <c r="AC124" t="n">
        <v/>
      </c>
      <c r="AD124" t="n">
        <v>2.642568</v>
      </c>
      <c r="AE124" t="n">
        <v/>
      </c>
    </row>
    <row r="125">
      <c r="A125" s="87" t="n">
        <v>22372</v>
      </c>
      <c r="B125" t="n">
        <v>0.4090728</v>
      </c>
      <c r="C125" t="n">
        <v/>
      </c>
      <c r="D125" t="n">
        <v/>
      </c>
      <c r="E125" t="n">
        <v/>
      </c>
      <c r="F125" t="n">
        <v/>
      </c>
      <c r="G125" t="n">
        <v/>
      </c>
      <c r="H125" t="n">
        <v/>
      </c>
      <c r="I125" t="n">
        <v/>
      </c>
      <c r="J125" t="n">
        <v/>
      </c>
      <c r="K125" t="n">
        <v/>
      </c>
      <c r="L125" t="n">
        <v/>
      </c>
      <c r="M125" t="n">
        <v/>
      </c>
      <c r="N125" t="n">
        <v/>
      </c>
      <c r="O125" t="n">
        <v/>
      </c>
      <c r="P125" t="n">
        <v>0.03600444</v>
      </c>
      <c r="Q125" t="n">
        <v>0.002186957</v>
      </c>
      <c r="R125" t="n">
        <v/>
      </c>
      <c r="S125" t="n">
        <v/>
      </c>
      <c r="T125" t="n">
        <v/>
      </c>
      <c r="U125" t="n">
        <v/>
      </c>
      <c r="V125" t="n">
        <v>0.9612637000000001</v>
      </c>
      <c r="W125" t="n">
        <v/>
      </c>
      <c r="X125" t="n">
        <v/>
      </c>
      <c r="Y125" t="n">
        <v/>
      </c>
      <c r="Z125" t="n">
        <v/>
      </c>
      <c r="AA125" t="n">
        <v/>
      </c>
      <c r="AB125" t="n">
        <v>1.774632</v>
      </c>
      <c r="AC125" t="n">
        <v/>
      </c>
      <c r="AD125" t="n">
        <v>2.655852</v>
      </c>
      <c r="AE125" t="n">
        <v/>
      </c>
    </row>
    <row r="126">
      <c r="A126" s="87" t="n">
        <v>22402</v>
      </c>
      <c r="B126" t="n">
        <v>0.4121826</v>
      </c>
      <c r="C126" t="n">
        <v/>
      </c>
      <c r="D126" t="n">
        <v/>
      </c>
      <c r="E126" t="n">
        <v/>
      </c>
      <c r="F126" t="n">
        <v/>
      </c>
      <c r="G126" t="n">
        <v/>
      </c>
      <c r="H126" t="n">
        <v/>
      </c>
      <c r="I126" t="n">
        <v/>
      </c>
      <c r="J126" t="n">
        <v/>
      </c>
      <c r="K126" t="n">
        <v/>
      </c>
      <c r="L126" t="n">
        <v/>
      </c>
      <c r="M126" t="n">
        <v/>
      </c>
      <c r="N126" t="n">
        <v/>
      </c>
      <c r="O126" t="n">
        <v/>
      </c>
      <c r="P126" t="n">
        <v>0.03588647</v>
      </c>
      <c r="Q126" t="n">
        <v>0.002231146</v>
      </c>
      <c r="R126" t="n">
        <v/>
      </c>
      <c r="S126" t="n">
        <v/>
      </c>
      <c r="T126" t="n">
        <v/>
      </c>
      <c r="U126" t="n">
        <v/>
      </c>
      <c r="V126" t="n">
        <v>0.9653013</v>
      </c>
      <c r="W126" t="n">
        <v/>
      </c>
      <c r="X126" t="n">
        <v/>
      </c>
      <c r="Y126" t="n">
        <v/>
      </c>
      <c r="Z126" t="n">
        <v/>
      </c>
      <c r="AA126" t="n">
        <v/>
      </c>
      <c r="AB126" t="n">
        <v>1.777228</v>
      </c>
      <c r="AC126" t="n">
        <v/>
      </c>
      <c r="AD126" t="n">
        <v>2.674947</v>
      </c>
      <c r="AE126" t="n">
        <v/>
      </c>
    </row>
    <row r="127">
      <c r="A127" s="87" t="n">
        <v>22433</v>
      </c>
      <c r="B127" t="n">
        <v>0.4138076</v>
      </c>
      <c r="C127" t="n">
        <v/>
      </c>
      <c r="D127" t="n">
        <v/>
      </c>
      <c r="E127" t="n">
        <v/>
      </c>
      <c r="F127" t="n">
        <v/>
      </c>
      <c r="G127" t="n">
        <v/>
      </c>
      <c r="H127" t="n">
        <v/>
      </c>
      <c r="I127" t="n">
        <v/>
      </c>
      <c r="J127" t="n">
        <v/>
      </c>
      <c r="K127" t="n">
        <v/>
      </c>
      <c r="L127" t="n">
        <v/>
      </c>
      <c r="M127" t="n">
        <v/>
      </c>
      <c r="N127" t="n">
        <v/>
      </c>
      <c r="O127" t="n">
        <v/>
      </c>
      <c r="P127" t="n">
        <v>0.03596364</v>
      </c>
      <c r="Q127" t="n">
        <v>0.002277118</v>
      </c>
      <c r="R127" t="n">
        <v/>
      </c>
      <c r="S127" t="n">
        <v/>
      </c>
      <c r="T127" t="n">
        <v/>
      </c>
      <c r="U127" t="n">
        <v/>
      </c>
      <c r="V127" t="n">
        <v>0.9691103</v>
      </c>
      <c r="W127" t="n">
        <v/>
      </c>
      <c r="X127" t="n">
        <v/>
      </c>
      <c r="Y127" t="n">
        <v/>
      </c>
      <c r="Z127" t="n">
        <v/>
      </c>
      <c r="AA127" t="n">
        <v/>
      </c>
      <c r="AB127" t="n">
        <v>1.780224</v>
      </c>
      <c r="AC127" t="n">
        <v/>
      </c>
      <c r="AD127" t="n">
        <v>2.692381</v>
      </c>
      <c r="AE127" t="n">
        <v/>
      </c>
    </row>
    <row r="128">
      <c r="A128" s="87" t="n">
        <v>22463</v>
      </c>
      <c r="B128" t="n">
        <v>0.4156287</v>
      </c>
      <c r="C128" t="n">
        <v/>
      </c>
      <c r="D128" t="n">
        <v/>
      </c>
      <c r="E128" t="n">
        <v/>
      </c>
      <c r="F128" t="n">
        <v/>
      </c>
      <c r="G128" t="n">
        <v/>
      </c>
      <c r="H128" t="n">
        <v/>
      </c>
      <c r="I128" t="n">
        <v/>
      </c>
      <c r="J128" t="n">
        <v/>
      </c>
      <c r="K128" t="n">
        <v/>
      </c>
      <c r="L128" t="n">
        <v/>
      </c>
      <c r="M128" t="n">
        <v/>
      </c>
      <c r="N128" t="n">
        <v/>
      </c>
      <c r="O128" t="n">
        <v/>
      </c>
      <c r="P128" t="n">
        <v>0.03608761</v>
      </c>
      <c r="Q128" t="n">
        <v>0.002332871</v>
      </c>
      <c r="R128" t="n">
        <v/>
      </c>
      <c r="S128" t="n">
        <v/>
      </c>
      <c r="T128" t="n">
        <v/>
      </c>
      <c r="U128" t="n">
        <v/>
      </c>
      <c r="V128" t="n">
        <v>0.9724156</v>
      </c>
      <c r="W128" t="n">
        <v/>
      </c>
      <c r="X128" t="n">
        <v/>
      </c>
      <c r="Y128" t="n">
        <v/>
      </c>
      <c r="Z128" t="n">
        <v/>
      </c>
      <c r="AA128" t="n">
        <v/>
      </c>
      <c r="AB128" t="n">
        <v>1.789314</v>
      </c>
      <c r="AC128" t="n">
        <v/>
      </c>
      <c r="AD128" t="n">
        <v>2.703174</v>
      </c>
      <c r="AE128" t="n">
        <v/>
      </c>
    </row>
    <row r="129">
      <c r="A129" s="87" t="n">
        <v>22494</v>
      </c>
      <c r="B129" t="n">
        <v>0.4170575</v>
      </c>
      <c r="C129" t="n">
        <v/>
      </c>
      <c r="D129" t="n">
        <v/>
      </c>
      <c r="E129" t="n">
        <v/>
      </c>
      <c r="F129" t="n">
        <v/>
      </c>
      <c r="G129" t="n">
        <v/>
      </c>
      <c r="H129" t="n">
        <v/>
      </c>
      <c r="I129" t="n">
        <v/>
      </c>
      <c r="J129" t="n">
        <v/>
      </c>
      <c r="K129" t="n">
        <v/>
      </c>
      <c r="L129" t="n">
        <v/>
      </c>
      <c r="M129" t="n">
        <v/>
      </c>
      <c r="N129" t="n">
        <v/>
      </c>
      <c r="O129" t="n">
        <v/>
      </c>
      <c r="P129" t="n">
        <v>0.03635866</v>
      </c>
      <c r="Q129" t="n">
        <v>0.002429978</v>
      </c>
      <c r="R129" t="n">
        <v/>
      </c>
      <c r="S129" t="n">
        <v/>
      </c>
      <c r="T129" t="n">
        <v/>
      </c>
      <c r="U129" t="n">
        <v/>
      </c>
      <c r="V129" t="n">
        <v>0.9738112</v>
      </c>
      <c r="W129" t="n">
        <v/>
      </c>
      <c r="X129" t="n">
        <v/>
      </c>
      <c r="Y129" t="n">
        <v/>
      </c>
      <c r="Z129" t="n">
        <v/>
      </c>
      <c r="AA129" t="n">
        <v/>
      </c>
      <c r="AB129" t="n">
        <v>1.799991</v>
      </c>
      <c r="AC129" t="n">
        <v/>
      </c>
      <c r="AD129" t="n">
        <v>2.719778</v>
      </c>
      <c r="AE129" t="n">
        <v/>
      </c>
    </row>
    <row r="130">
      <c r="A130" s="87" t="n">
        <v>22525</v>
      </c>
      <c r="B130" t="n">
        <v>0.4196911</v>
      </c>
      <c r="C130" t="n">
        <v/>
      </c>
      <c r="D130" t="n">
        <v/>
      </c>
      <c r="E130" t="n">
        <v/>
      </c>
      <c r="F130" t="n">
        <v/>
      </c>
      <c r="G130" t="n">
        <v/>
      </c>
      <c r="H130" t="n">
        <v/>
      </c>
      <c r="I130" t="n">
        <v/>
      </c>
      <c r="J130" t="n">
        <v/>
      </c>
      <c r="K130" t="n">
        <v/>
      </c>
      <c r="L130" t="n">
        <v/>
      </c>
      <c r="M130" t="n">
        <v/>
      </c>
      <c r="N130" t="n">
        <v/>
      </c>
      <c r="O130" t="n">
        <v/>
      </c>
      <c r="P130" t="n">
        <v>0.03652824</v>
      </c>
      <c r="Q130" t="n">
        <v>0.002486077</v>
      </c>
      <c r="R130" t="n">
        <v/>
      </c>
      <c r="S130" t="n">
        <v/>
      </c>
      <c r="T130" t="n">
        <v/>
      </c>
      <c r="U130" t="n">
        <v/>
      </c>
      <c r="V130" t="n">
        <v>0.9776066</v>
      </c>
      <c r="W130" t="n">
        <v/>
      </c>
      <c r="X130" t="n">
        <v/>
      </c>
      <c r="Y130" t="n">
        <v/>
      </c>
      <c r="Z130" t="n">
        <v/>
      </c>
      <c r="AA130" t="n">
        <v/>
      </c>
      <c r="AB130" t="n">
        <v>1.807642</v>
      </c>
      <c r="AC130" t="n">
        <v/>
      </c>
      <c r="AD130" t="n">
        <v>2.735552</v>
      </c>
      <c r="AE130" t="n">
        <v/>
      </c>
    </row>
    <row r="131">
      <c r="A131" s="87" t="n">
        <v>22555</v>
      </c>
      <c r="B131" t="n">
        <v>0.4231372</v>
      </c>
      <c r="C131" t="n">
        <v/>
      </c>
      <c r="D131" t="n">
        <v/>
      </c>
      <c r="E131" t="n">
        <v/>
      </c>
      <c r="F131" t="n">
        <v/>
      </c>
      <c r="G131" t="n">
        <v/>
      </c>
      <c r="H131" t="n">
        <v/>
      </c>
      <c r="I131" t="n">
        <v/>
      </c>
      <c r="J131" t="n">
        <v/>
      </c>
      <c r="K131" t="n">
        <v/>
      </c>
      <c r="L131" t="n">
        <v/>
      </c>
      <c r="M131" t="n">
        <v/>
      </c>
      <c r="N131" t="n">
        <v/>
      </c>
      <c r="O131" t="n">
        <v/>
      </c>
      <c r="P131" t="n">
        <v>0.03659959</v>
      </c>
      <c r="Q131" t="n">
        <v>0.002517434</v>
      </c>
      <c r="R131" t="n">
        <v/>
      </c>
      <c r="S131" t="n">
        <v/>
      </c>
      <c r="T131" t="n">
        <v/>
      </c>
      <c r="U131" t="n">
        <v/>
      </c>
      <c r="V131" t="n">
        <v>0.9811519</v>
      </c>
      <c r="W131" t="n">
        <v/>
      </c>
      <c r="X131" t="n">
        <v/>
      </c>
      <c r="Y131" t="n">
        <v/>
      </c>
      <c r="Z131" t="n">
        <v/>
      </c>
      <c r="AA131" t="n">
        <v/>
      </c>
      <c r="AB131" t="n">
        <v>1.813123</v>
      </c>
      <c r="AC131" t="n">
        <v/>
      </c>
      <c r="AD131" t="n">
        <v>2.748836</v>
      </c>
      <c r="AE131" t="n">
        <v/>
      </c>
    </row>
    <row r="132">
      <c r="A132" s="87" t="n">
        <v>22586</v>
      </c>
      <c r="B132" t="n">
        <v>0.424454</v>
      </c>
      <c r="C132" t="n">
        <v/>
      </c>
      <c r="D132" t="n">
        <v/>
      </c>
      <c r="E132" t="n">
        <v/>
      </c>
      <c r="F132" t="n">
        <v/>
      </c>
      <c r="G132" t="n">
        <v/>
      </c>
      <c r="H132" t="n">
        <v/>
      </c>
      <c r="I132" t="n">
        <v/>
      </c>
      <c r="J132" t="n">
        <v/>
      </c>
      <c r="K132" t="n">
        <v/>
      </c>
      <c r="L132" t="n">
        <v/>
      </c>
      <c r="M132" t="n">
        <v/>
      </c>
      <c r="N132" t="n">
        <v/>
      </c>
      <c r="O132" t="n">
        <v/>
      </c>
      <c r="P132" t="n">
        <v>0.03686361</v>
      </c>
      <c r="Q132" t="n">
        <v>0.002567385</v>
      </c>
      <c r="R132" t="n">
        <v/>
      </c>
      <c r="S132" t="n">
        <v/>
      </c>
      <c r="T132" t="n">
        <v/>
      </c>
      <c r="U132" t="n">
        <v/>
      </c>
      <c r="V132" t="n">
        <v>0.983434</v>
      </c>
      <c r="W132" t="n">
        <v/>
      </c>
      <c r="X132" t="n">
        <v/>
      </c>
      <c r="Y132" t="n">
        <v/>
      </c>
      <c r="Z132" t="n">
        <v/>
      </c>
      <c r="AA132" t="n">
        <v/>
      </c>
      <c r="AB132" t="n">
        <v>1.821079</v>
      </c>
      <c r="AC132" t="n">
        <v/>
      </c>
      <c r="AD132" t="n">
        <v>2.767931</v>
      </c>
      <c r="AE132" t="n">
        <v/>
      </c>
    </row>
    <row r="133">
      <c r="A133" s="87" t="n">
        <v>22616</v>
      </c>
      <c r="B133" t="n">
        <v>0.4264432</v>
      </c>
      <c r="C133" t="n">
        <v/>
      </c>
      <c r="D133" t="n">
        <v/>
      </c>
      <c r="E133" t="n">
        <v/>
      </c>
      <c r="F133" t="n">
        <v/>
      </c>
      <c r="G133" t="n">
        <v/>
      </c>
      <c r="H133" t="n">
        <v/>
      </c>
      <c r="I133" t="n">
        <v/>
      </c>
      <c r="J133" t="n">
        <v/>
      </c>
      <c r="K133" t="n">
        <v/>
      </c>
      <c r="L133" t="n">
        <v/>
      </c>
      <c r="M133" t="n">
        <v/>
      </c>
      <c r="N133" t="n">
        <v/>
      </c>
      <c r="O133" t="n">
        <v/>
      </c>
      <c r="P133" t="n">
        <v>0.03718661</v>
      </c>
      <c r="Q133" t="n">
        <v>0.002625768</v>
      </c>
      <c r="R133" t="n">
        <v/>
      </c>
      <c r="S133" t="n">
        <v/>
      </c>
      <c r="T133" t="n">
        <v/>
      </c>
      <c r="U133" t="n">
        <v/>
      </c>
      <c r="V133" t="n">
        <v>0.9905092</v>
      </c>
      <c r="W133" t="n">
        <v/>
      </c>
      <c r="X133" t="n">
        <v/>
      </c>
      <c r="Y133" t="n">
        <v/>
      </c>
      <c r="Z133" t="n">
        <v/>
      </c>
      <c r="AA133" t="n">
        <v/>
      </c>
      <c r="AB133" t="n">
        <v>1.842865</v>
      </c>
      <c r="AC133" t="n">
        <v/>
      </c>
      <c r="AD133" t="n">
        <v>2.785365</v>
      </c>
      <c r="AE133" t="n">
        <v/>
      </c>
    </row>
    <row r="134">
      <c r="A134" s="87" t="n">
        <v>22647</v>
      </c>
      <c r="B134" t="n">
        <v>0.4296651</v>
      </c>
      <c r="C134" t="n">
        <v/>
      </c>
      <c r="D134" t="n">
        <v/>
      </c>
      <c r="E134" t="n">
        <v/>
      </c>
      <c r="F134" t="n">
        <v/>
      </c>
      <c r="G134" t="n">
        <v/>
      </c>
      <c r="H134" t="n">
        <v/>
      </c>
      <c r="I134" t="n">
        <v/>
      </c>
      <c r="J134" t="n">
        <v/>
      </c>
      <c r="K134" t="n">
        <v/>
      </c>
      <c r="L134" t="n">
        <v/>
      </c>
      <c r="M134" t="n">
        <v/>
      </c>
      <c r="N134" t="n">
        <v/>
      </c>
      <c r="O134" t="n">
        <v/>
      </c>
      <c r="P134" t="n">
        <v>0.0375456</v>
      </c>
      <c r="Q134" t="n">
        <v>0.002684465</v>
      </c>
      <c r="R134" t="n">
        <v/>
      </c>
      <c r="S134" t="n">
        <v/>
      </c>
      <c r="T134" t="n">
        <v/>
      </c>
      <c r="U134" t="n">
        <v/>
      </c>
      <c r="V134" t="n">
        <v>1.001068</v>
      </c>
      <c r="W134" t="n">
        <v/>
      </c>
      <c r="X134" t="n">
        <v/>
      </c>
      <c r="Y134" t="n">
        <v/>
      </c>
      <c r="Z134" t="n">
        <v/>
      </c>
      <c r="AA134" t="n">
        <v/>
      </c>
      <c r="AB134" t="n">
        <v>1.856032</v>
      </c>
      <c r="AC134" t="n">
        <v/>
      </c>
      <c r="AD134" t="n">
        <v>2.801969</v>
      </c>
      <c r="AE134" t="n">
        <v/>
      </c>
    </row>
    <row r="135">
      <c r="A135" s="87" t="n">
        <v>22678</v>
      </c>
      <c r="B135" t="n">
        <v>0.4324387</v>
      </c>
      <c r="C135" t="n">
        <v/>
      </c>
      <c r="D135" t="n">
        <v/>
      </c>
      <c r="E135" t="n">
        <v/>
      </c>
      <c r="F135" t="n">
        <v/>
      </c>
      <c r="G135" t="n">
        <v/>
      </c>
      <c r="H135" t="n">
        <v/>
      </c>
      <c r="I135" t="n">
        <v/>
      </c>
      <c r="J135" t="n">
        <v/>
      </c>
      <c r="K135" t="n">
        <v/>
      </c>
      <c r="L135" t="n">
        <v/>
      </c>
      <c r="M135" t="n">
        <v/>
      </c>
      <c r="N135" t="n">
        <v/>
      </c>
      <c r="O135" t="n">
        <v/>
      </c>
      <c r="P135" t="n">
        <v>0.03798721</v>
      </c>
      <c r="Q135" t="n">
        <v>0.00273865</v>
      </c>
      <c r="R135" t="n">
        <v/>
      </c>
      <c r="S135" t="n">
        <v/>
      </c>
      <c r="T135" t="n">
        <v/>
      </c>
      <c r="U135" t="n">
        <v/>
      </c>
      <c r="V135" t="n">
        <v>1.008293</v>
      </c>
      <c r="W135" t="n">
        <v/>
      </c>
      <c r="X135" t="n">
        <v/>
      </c>
      <c r="Y135" t="n">
        <v/>
      </c>
      <c r="Z135" t="n">
        <v/>
      </c>
      <c r="AA135" t="n">
        <v/>
      </c>
      <c r="AB135" t="n">
        <v>1.857786</v>
      </c>
      <c r="AC135" t="n">
        <v/>
      </c>
      <c r="AD135" t="n">
        <v>2.823555</v>
      </c>
      <c r="AE135" t="n">
        <v/>
      </c>
    </row>
    <row r="136">
      <c r="A136" s="87" t="n">
        <v>22706</v>
      </c>
      <c r="B136" t="n">
        <v>0.4358568</v>
      </c>
      <c r="C136" t="n">
        <v/>
      </c>
      <c r="D136" t="n">
        <v/>
      </c>
      <c r="E136" t="n">
        <v/>
      </c>
      <c r="F136" t="n">
        <v/>
      </c>
      <c r="G136" t="n">
        <v/>
      </c>
      <c r="H136" t="n">
        <v/>
      </c>
      <c r="I136" t="n">
        <v/>
      </c>
      <c r="J136" t="n">
        <v/>
      </c>
      <c r="K136" t="n">
        <v/>
      </c>
      <c r="L136" t="n">
        <v/>
      </c>
      <c r="M136" t="n">
        <v/>
      </c>
      <c r="N136" t="n">
        <v/>
      </c>
      <c r="O136" t="n">
        <v/>
      </c>
      <c r="P136" t="n">
        <v>0.03848709</v>
      </c>
      <c r="Q136" t="n">
        <v>0.002814891</v>
      </c>
      <c r="R136" t="n">
        <v/>
      </c>
      <c r="S136" t="n">
        <v/>
      </c>
      <c r="T136" t="n">
        <v/>
      </c>
      <c r="U136" t="n">
        <v/>
      </c>
      <c r="V136" t="n">
        <v>1.011655</v>
      </c>
      <c r="W136" t="n">
        <v/>
      </c>
      <c r="X136" t="n">
        <v/>
      </c>
      <c r="Y136" t="n">
        <v/>
      </c>
      <c r="Z136" t="n">
        <v/>
      </c>
      <c r="AA136" t="n">
        <v/>
      </c>
      <c r="AB136" t="n">
        <v>1.867006</v>
      </c>
      <c r="AC136" t="n">
        <v/>
      </c>
      <c r="AD136" t="n">
        <v>2.848461</v>
      </c>
      <c r="AE136" t="n">
        <v/>
      </c>
    </row>
    <row r="137">
      <c r="A137" s="87" t="n">
        <v>22737</v>
      </c>
      <c r="B137" t="n">
        <v>0.4392188</v>
      </c>
      <c r="C137" t="n">
        <v/>
      </c>
      <c r="D137" t="n">
        <v/>
      </c>
      <c r="E137" t="n">
        <v/>
      </c>
      <c r="F137" t="n">
        <v/>
      </c>
      <c r="G137" t="n">
        <v/>
      </c>
      <c r="H137" t="n">
        <v/>
      </c>
      <c r="I137" t="n">
        <v/>
      </c>
      <c r="J137" t="n">
        <v/>
      </c>
      <c r="K137" t="n">
        <v/>
      </c>
      <c r="L137" t="n">
        <v/>
      </c>
      <c r="M137" t="n">
        <v/>
      </c>
      <c r="N137" t="n">
        <v/>
      </c>
      <c r="O137" t="n">
        <v/>
      </c>
      <c r="P137" t="n">
        <v>0.03891896</v>
      </c>
      <c r="Q137" t="n">
        <v>0.002758149</v>
      </c>
      <c r="R137" t="n">
        <v/>
      </c>
      <c r="S137" t="n">
        <v/>
      </c>
      <c r="T137" t="n">
        <v/>
      </c>
      <c r="U137" t="n">
        <v/>
      </c>
      <c r="V137" t="n">
        <v>1.019461</v>
      </c>
      <c r="W137" t="n">
        <v/>
      </c>
      <c r="X137" t="n">
        <v/>
      </c>
      <c r="Y137" t="n">
        <v/>
      </c>
      <c r="Z137" t="n">
        <v/>
      </c>
      <c r="AA137" t="n">
        <v/>
      </c>
      <c r="AB137" t="n">
        <v>1.893437</v>
      </c>
      <c r="AC137" t="n">
        <v/>
      </c>
      <c r="AD137" t="n">
        <v>2.868386</v>
      </c>
      <c r="AE137" t="n">
        <v/>
      </c>
    </row>
    <row r="138">
      <c r="A138" s="87" t="n">
        <v>22767</v>
      </c>
      <c r="B138" t="n">
        <v>0.4415442</v>
      </c>
      <c r="C138" t="n">
        <v/>
      </c>
      <c r="D138" t="n">
        <v/>
      </c>
      <c r="E138" t="n">
        <v/>
      </c>
      <c r="F138" t="n">
        <v/>
      </c>
      <c r="G138" t="n">
        <v/>
      </c>
      <c r="H138" t="n">
        <v/>
      </c>
      <c r="I138" t="n">
        <v/>
      </c>
      <c r="J138" t="n">
        <v/>
      </c>
      <c r="K138" t="n">
        <v/>
      </c>
      <c r="L138" t="n">
        <v/>
      </c>
      <c r="M138" t="n">
        <v/>
      </c>
      <c r="N138" t="n">
        <v/>
      </c>
      <c r="O138" t="n">
        <v/>
      </c>
      <c r="P138" t="n">
        <v>0.039304</v>
      </c>
      <c r="Q138" t="n">
        <v>0.002797213</v>
      </c>
      <c r="R138" t="n">
        <v/>
      </c>
      <c r="S138" t="n">
        <v/>
      </c>
      <c r="T138" t="n">
        <v/>
      </c>
      <c r="U138" t="n">
        <v/>
      </c>
      <c r="V138" t="n">
        <v>1.028137</v>
      </c>
      <c r="W138" t="n">
        <v/>
      </c>
      <c r="X138" t="n">
        <v/>
      </c>
      <c r="Y138" t="n">
        <v/>
      </c>
      <c r="Z138" t="n">
        <v/>
      </c>
      <c r="AA138" t="n">
        <v/>
      </c>
      <c r="AB138" t="n">
        <v>1.913723</v>
      </c>
      <c r="AC138" t="n">
        <v/>
      </c>
      <c r="AD138" t="n">
        <v>2.884991</v>
      </c>
      <c r="AE138" t="n">
        <v/>
      </c>
    </row>
    <row r="139">
      <c r="A139" s="87" t="n">
        <v>22798</v>
      </c>
      <c r="B139" t="n">
        <v>0.4440657</v>
      </c>
      <c r="C139" t="n">
        <v/>
      </c>
      <c r="D139" t="n">
        <v/>
      </c>
      <c r="E139" t="n">
        <v/>
      </c>
      <c r="F139" t="n">
        <v/>
      </c>
      <c r="G139" t="n">
        <v/>
      </c>
      <c r="H139" t="n">
        <v/>
      </c>
      <c r="I139" t="n">
        <v/>
      </c>
      <c r="J139" t="n">
        <v/>
      </c>
      <c r="K139" t="n">
        <v/>
      </c>
      <c r="L139" t="n">
        <v/>
      </c>
      <c r="M139" t="n">
        <v/>
      </c>
      <c r="N139" t="n">
        <v/>
      </c>
      <c r="O139" t="n">
        <v/>
      </c>
      <c r="P139" t="n">
        <v>0.03960571</v>
      </c>
      <c r="Q139" t="n">
        <v>0.002954011</v>
      </c>
      <c r="R139" t="n">
        <v/>
      </c>
      <c r="S139" t="n">
        <v/>
      </c>
      <c r="T139" t="n">
        <v/>
      </c>
      <c r="U139" t="n">
        <v/>
      </c>
      <c r="V139" t="n">
        <v>1.033082</v>
      </c>
      <c r="W139" t="n">
        <v/>
      </c>
      <c r="X139" t="n">
        <v/>
      </c>
      <c r="Y139" t="n">
        <v/>
      </c>
      <c r="Z139" t="n">
        <v/>
      </c>
      <c r="AA139" t="n">
        <v/>
      </c>
      <c r="AB139" t="n">
        <v>1.924302</v>
      </c>
      <c r="AC139" t="n">
        <v/>
      </c>
      <c r="AD139" t="n">
        <v>2.899935</v>
      </c>
      <c r="AE139" t="n">
        <v/>
      </c>
    </row>
    <row r="140">
      <c r="A140" s="87" t="n">
        <v>22828</v>
      </c>
      <c r="B140" t="n">
        <v>0.4482122</v>
      </c>
      <c r="C140" t="n">
        <v/>
      </c>
      <c r="D140" t="n">
        <v/>
      </c>
      <c r="E140" t="n">
        <v/>
      </c>
      <c r="F140" t="n">
        <v/>
      </c>
      <c r="G140" t="n">
        <v/>
      </c>
      <c r="H140" t="n">
        <v/>
      </c>
      <c r="I140" t="n">
        <v/>
      </c>
      <c r="J140" t="n">
        <v/>
      </c>
      <c r="K140" t="n">
        <v/>
      </c>
      <c r="L140" t="n">
        <v/>
      </c>
      <c r="M140" t="n">
        <v/>
      </c>
      <c r="N140" t="n">
        <v/>
      </c>
      <c r="O140" t="n">
        <v/>
      </c>
      <c r="P140" t="n">
        <v>0.03986053</v>
      </c>
      <c r="Q140" t="n">
        <v>0.002987695</v>
      </c>
      <c r="R140" t="n">
        <v/>
      </c>
      <c r="S140" t="n">
        <v/>
      </c>
      <c r="T140" t="n">
        <v/>
      </c>
      <c r="U140" t="n">
        <v/>
      </c>
      <c r="V140" t="n">
        <v>1.039522</v>
      </c>
      <c r="W140" t="n">
        <v/>
      </c>
      <c r="X140" t="n">
        <v/>
      </c>
      <c r="Y140" t="n">
        <v/>
      </c>
      <c r="Z140" t="n">
        <v/>
      </c>
      <c r="AA140" t="n">
        <v/>
      </c>
      <c r="AB140" t="n">
        <v>1.945844</v>
      </c>
      <c r="AC140" t="n">
        <v/>
      </c>
      <c r="AD140" t="n">
        <v>2.912388</v>
      </c>
      <c r="AE140" t="n">
        <v/>
      </c>
    </row>
    <row r="141">
      <c r="A141" s="87" t="n">
        <v>22859</v>
      </c>
      <c r="B141" t="n">
        <v>0.4506216</v>
      </c>
      <c r="C141" t="n">
        <v/>
      </c>
      <c r="D141" t="n">
        <v/>
      </c>
      <c r="E141" t="n">
        <v/>
      </c>
      <c r="F141" t="n">
        <v/>
      </c>
      <c r="G141" t="n">
        <v/>
      </c>
      <c r="H141" t="n">
        <v/>
      </c>
      <c r="I141" t="n">
        <v/>
      </c>
      <c r="J141" t="n">
        <v/>
      </c>
      <c r="K141" t="n">
        <v/>
      </c>
      <c r="L141" t="n">
        <v/>
      </c>
      <c r="M141" t="n">
        <v/>
      </c>
      <c r="N141" t="n">
        <v/>
      </c>
      <c r="O141" t="n">
        <v/>
      </c>
      <c r="P141" t="n">
        <v>0.04009338</v>
      </c>
      <c r="Q141" t="n">
        <v>0.00302917</v>
      </c>
      <c r="R141" t="n">
        <v/>
      </c>
      <c r="S141" t="n">
        <v/>
      </c>
      <c r="T141" t="n">
        <v/>
      </c>
      <c r="U141" t="n">
        <v/>
      </c>
      <c r="V141" t="n">
        <v>1.046053</v>
      </c>
      <c r="W141" t="n">
        <v/>
      </c>
      <c r="X141" t="n">
        <v/>
      </c>
      <c r="Y141" t="n">
        <v/>
      </c>
      <c r="Z141" t="n">
        <v/>
      </c>
      <c r="AA141" t="n">
        <v/>
      </c>
      <c r="AB141" t="n">
        <v>1.965975</v>
      </c>
      <c r="AC141" t="n">
        <v/>
      </c>
      <c r="AD141" t="n">
        <v>2.928992</v>
      </c>
      <c r="AE141" t="n">
        <v/>
      </c>
    </row>
    <row r="142">
      <c r="A142" s="87" t="n">
        <v>22890</v>
      </c>
      <c r="B142" t="n">
        <v>0.4527509</v>
      </c>
      <c r="C142" t="n">
        <v/>
      </c>
      <c r="D142" t="n">
        <v/>
      </c>
      <c r="E142" t="n">
        <v/>
      </c>
      <c r="F142" t="n">
        <v/>
      </c>
      <c r="G142" t="n">
        <v/>
      </c>
      <c r="H142" t="n">
        <v/>
      </c>
      <c r="I142" t="n">
        <v/>
      </c>
      <c r="J142" t="n">
        <v/>
      </c>
      <c r="K142" t="n">
        <v/>
      </c>
      <c r="L142" t="n">
        <v/>
      </c>
      <c r="M142" t="n">
        <v/>
      </c>
      <c r="N142" t="n">
        <v/>
      </c>
      <c r="O142" t="n">
        <v/>
      </c>
      <c r="P142" t="n">
        <v>0.04029796</v>
      </c>
      <c r="Q142" t="n">
        <v>0.003097112</v>
      </c>
      <c r="R142" t="n">
        <v/>
      </c>
      <c r="S142" t="n">
        <v/>
      </c>
      <c r="T142" t="n">
        <v/>
      </c>
      <c r="U142" t="n">
        <v/>
      </c>
      <c r="V142" t="n">
        <v>1.051285</v>
      </c>
      <c r="W142" t="n">
        <v/>
      </c>
      <c r="X142" t="n">
        <v/>
      </c>
      <c r="Y142" t="n">
        <v/>
      </c>
      <c r="Z142" t="n">
        <v/>
      </c>
      <c r="AA142" t="n">
        <v/>
      </c>
      <c r="AB142" t="n">
        <v>1.985437</v>
      </c>
      <c r="AC142" t="n">
        <v/>
      </c>
      <c r="AD142" t="n">
        <v>2.946426</v>
      </c>
      <c r="AE142" t="n">
        <v/>
      </c>
    </row>
    <row r="143">
      <c r="A143" s="87" t="n">
        <v>22920</v>
      </c>
      <c r="B143" t="n">
        <v>0.4560008</v>
      </c>
      <c r="C143" t="n">
        <v/>
      </c>
      <c r="D143" t="n">
        <v/>
      </c>
      <c r="E143" t="n">
        <v/>
      </c>
      <c r="F143" t="n">
        <v/>
      </c>
      <c r="G143" t="n">
        <v/>
      </c>
      <c r="H143" t="n">
        <v/>
      </c>
      <c r="I143" t="n">
        <v/>
      </c>
      <c r="J143" t="n">
        <v/>
      </c>
      <c r="K143" t="n">
        <v/>
      </c>
      <c r="L143" t="n">
        <v/>
      </c>
      <c r="M143" t="n">
        <v/>
      </c>
      <c r="N143" t="n">
        <v/>
      </c>
      <c r="O143" t="n">
        <v/>
      </c>
      <c r="P143" t="n">
        <v>0.04061363</v>
      </c>
      <c r="Q143" t="n">
        <v>0.003166546</v>
      </c>
      <c r="R143" t="n">
        <v/>
      </c>
      <c r="S143" t="n">
        <v/>
      </c>
      <c r="T143" t="n">
        <v/>
      </c>
      <c r="U143" t="n">
        <v/>
      </c>
      <c r="V143" t="n">
        <v>1.059606</v>
      </c>
      <c r="W143" t="n">
        <v/>
      </c>
      <c r="X143" t="n">
        <v/>
      </c>
      <c r="Y143" t="n">
        <v/>
      </c>
      <c r="Z143" t="n">
        <v/>
      </c>
      <c r="AA143" t="n">
        <v/>
      </c>
      <c r="AB143" t="n">
        <v>2.003298</v>
      </c>
      <c r="AC143" t="n">
        <v/>
      </c>
      <c r="AD143" t="n">
        <v>2.965521</v>
      </c>
      <c r="AE143" t="n">
        <v/>
      </c>
    </row>
    <row r="144">
      <c r="A144" s="87" t="n">
        <v>22951</v>
      </c>
      <c r="B144" t="n">
        <v>0.4583542</v>
      </c>
      <c r="C144" t="n">
        <v/>
      </c>
      <c r="D144" t="n">
        <v/>
      </c>
      <c r="E144" t="n">
        <v/>
      </c>
      <c r="F144" t="n">
        <v/>
      </c>
      <c r="G144" t="n">
        <v/>
      </c>
      <c r="H144" t="n">
        <v/>
      </c>
      <c r="I144" t="n">
        <v/>
      </c>
      <c r="J144" t="n">
        <v/>
      </c>
      <c r="K144" t="n">
        <v/>
      </c>
      <c r="L144" t="n">
        <v/>
      </c>
      <c r="M144" t="n">
        <v/>
      </c>
      <c r="N144" t="n">
        <v/>
      </c>
      <c r="O144" t="n">
        <v/>
      </c>
      <c r="P144" t="n">
        <v>0.04086407</v>
      </c>
      <c r="Q144" t="n">
        <v>0.003238064</v>
      </c>
      <c r="R144" t="n">
        <v/>
      </c>
      <c r="S144" t="n">
        <v/>
      </c>
      <c r="T144" t="n">
        <v/>
      </c>
      <c r="U144" t="n">
        <v/>
      </c>
      <c r="V144" t="n">
        <v>1.065608</v>
      </c>
      <c r="W144" t="n">
        <v/>
      </c>
      <c r="X144" t="n">
        <v/>
      </c>
      <c r="Y144" t="n">
        <v/>
      </c>
      <c r="Z144" t="n">
        <v/>
      </c>
      <c r="AA144" t="n">
        <v/>
      </c>
      <c r="AB144" t="n">
        <v>2.020294</v>
      </c>
      <c r="AC144" t="n">
        <v/>
      </c>
      <c r="AD144" t="n">
        <v>2.987107</v>
      </c>
      <c r="AE144" t="n">
        <v/>
      </c>
    </row>
    <row r="145">
      <c r="A145" s="87" t="n">
        <v>22981</v>
      </c>
      <c r="B145" t="n">
        <v>0.4611279</v>
      </c>
      <c r="C145" t="n">
        <v/>
      </c>
      <c r="D145" t="n">
        <v/>
      </c>
      <c r="E145" t="n">
        <v/>
      </c>
      <c r="F145" t="n">
        <v/>
      </c>
      <c r="G145" t="n">
        <v/>
      </c>
      <c r="H145" t="n">
        <v/>
      </c>
      <c r="I145" t="n">
        <v/>
      </c>
      <c r="J145" t="n">
        <v/>
      </c>
      <c r="K145" t="n">
        <v/>
      </c>
      <c r="L145" t="n">
        <v/>
      </c>
      <c r="M145" t="n">
        <v/>
      </c>
      <c r="N145" t="n">
        <v/>
      </c>
      <c r="O145" t="n">
        <v/>
      </c>
      <c r="P145" t="n">
        <v>0.04101963</v>
      </c>
      <c r="Q145" t="n">
        <v>0.00329387</v>
      </c>
      <c r="R145" t="n">
        <v/>
      </c>
      <c r="S145" t="n">
        <v/>
      </c>
      <c r="T145" t="n">
        <v/>
      </c>
      <c r="U145" t="n">
        <v/>
      </c>
      <c r="V145" t="n">
        <v>1.066966</v>
      </c>
      <c r="W145" t="n">
        <v/>
      </c>
      <c r="X145" t="n">
        <v/>
      </c>
      <c r="Y145" t="n">
        <v/>
      </c>
      <c r="Z145" t="n">
        <v/>
      </c>
      <c r="AA145" t="n">
        <v/>
      </c>
      <c r="AB145" t="n">
        <v>2.03453</v>
      </c>
      <c r="AC145" t="n">
        <v/>
      </c>
      <c r="AD145" t="n">
        <v>3.011183</v>
      </c>
      <c r="AE145" t="n">
        <v/>
      </c>
    </row>
    <row r="146">
      <c r="A146" s="87" t="n">
        <v>23012</v>
      </c>
      <c r="B146" t="n">
        <v>0.4639856</v>
      </c>
      <c r="C146" t="n">
        <v/>
      </c>
      <c r="D146" t="n">
        <v/>
      </c>
      <c r="E146" t="n">
        <v/>
      </c>
      <c r="F146" t="n">
        <v/>
      </c>
      <c r="G146" t="n">
        <v/>
      </c>
      <c r="H146" t="n">
        <v/>
      </c>
      <c r="I146" t="n">
        <v/>
      </c>
      <c r="J146" t="n">
        <v/>
      </c>
      <c r="K146" t="n">
        <v/>
      </c>
      <c r="L146" t="n">
        <v/>
      </c>
      <c r="M146" t="n">
        <v/>
      </c>
      <c r="N146" t="n">
        <v/>
      </c>
      <c r="O146" t="n">
        <v/>
      </c>
      <c r="P146" t="n">
        <v>0.0412177</v>
      </c>
      <c r="Q146" t="n">
        <v>0.003346611</v>
      </c>
      <c r="R146" t="n">
        <v/>
      </c>
      <c r="S146" t="n">
        <v/>
      </c>
      <c r="T146" t="n">
        <v/>
      </c>
      <c r="U146" t="n">
        <v/>
      </c>
      <c r="V146" t="n">
        <v>1.068685</v>
      </c>
      <c r="W146" t="n">
        <v/>
      </c>
      <c r="X146" t="n">
        <v/>
      </c>
      <c r="Y146" t="n">
        <v/>
      </c>
      <c r="Z146" t="n">
        <v/>
      </c>
      <c r="AA146" t="n">
        <v/>
      </c>
      <c r="AB146" t="n">
        <v>2.045405</v>
      </c>
      <c r="AC146" t="n">
        <v/>
      </c>
      <c r="AD146" t="n">
        <v>3.031938</v>
      </c>
      <c r="AE146" t="n">
        <v/>
      </c>
    </row>
    <row r="147">
      <c r="A147" s="87" t="n">
        <v>23043</v>
      </c>
      <c r="B147" t="n">
        <v>0.4669554</v>
      </c>
      <c r="C147" t="n">
        <v/>
      </c>
      <c r="D147" t="n">
        <v/>
      </c>
      <c r="E147" t="n">
        <v/>
      </c>
      <c r="F147" t="n">
        <v/>
      </c>
      <c r="G147" t="n">
        <v/>
      </c>
      <c r="H147" t="n">
        <v/>
      </c>
      <c r="I147" t="n">
        <v/>
      </c>
      <c r="J147" t="n">
        <v/>
      </c>
      <c r="K147" t="n">
        <v/>
      </c>
      <c r="L147" t="n">
        <v/>
      </c>
      <c r="M147" t="n">
        <v/>
      </c>
      <c r="N147" t="n">
        <v/>
      </c>
      <c r="O147" t="n">
        <v/>
      </c>
      <c r="P147" t="n">
        <v>0.04138835</v>
      </c>
      <c r="Q147" t="n">
        <v>0.003403531</v>
      </c>
      <c r="R147" t="n">
        <v/>
      </c>
      <c r="S147" t="n">
        <v/>
      </c>
      <c r="T147" t="n">
        <v/>
      </c>
      <c r="U147" t="n">
        <v/>
      </c>
      <c r="V147" t="n">
        <v>1.07098</v>
      </c>
      <c r="W147" t="n">
        <v/>
      </c>
      <c r="X147" t="n">
        <v/>
      </c>
      <c r="Y147" t="n">
        <v/>
      </c>
      <c r="Z147" t="n">
        <v/>
      </c>
      <c r="AA147" t="n">
        <v/>
      </c>
      <c r="AB147" t="n">
        <v>2.058144</v>
      </c>
      <c r="AC147" t="n">
        <v/>
      </c>
      <c r="AD147" t="n">
        <v>3.054354</v>
      </c>
      <c r="AE147" t="n">
        <v/>
      </c>
    </row>
    <row r="148">
      <c r="A148" s="87" t="n">
        <v>23071</v>
      </c>
      <c r="B148" t="n">
        <v>0.4707377</v>
      </c>
      <c r="C148" t="n">
        <v/>
      </c>
      <c r="D148" t="n">
        <v/>
      </c>
      <c r="E148" t="n">
        <v/>
      </c>
      <c r="F148" t="n">
        <v/>
      </c>
      <c r="G148" t="n">
        <v/>
      </c>
      <c r="H148" t="n">
        <v/>
      </c>
      <c r="I148" t="n">
        <v/>
      </c>
      <c r="J148" t="n">
        <v/>
      </c>
      <c r="K148" t="n">
        <v/>
      </c>
      <c r="L148" t="n">
        <v/>
      </c>
      <c r="M148" t="n">
        <v/>
      </c>
      <c r="N148" t="n">
        <v/>
      </c>
      <c r="O148" t="n">
        <v/>
      </c>
      <c r="P148" t="n">
        <v>0.04153602</v>
      </c>
      <c r="Q148" t="n">
        <v>0.003445458</v>
      </c>
      <c r="R148" t="n">
        <v/>
      </c>
      <c r="S148" t="n">
        <v/>
      </c>
      <c r="T148" t="n">
        <v/>
      </c>
      <c r="U148" t="n">
        <v/>
      </c>
      <c r="V148" t="n">
        <v>1.076282</v>
      </c>
      <c r="W148" t="n">
        <v/>
      </c>
      <c r="X148" t="n">
        <v/>
      </c>
      <c r="Y148" t="n">
        <v/>
      </c>
      <c r="Z148" t="n">
        <v/>
      </c>
      <c r="AA148" t="n">
        <v/>
      </c>
      <c r="AB148" t="n">
        <v>2.072179</v>
      </c>
      <c r="AC148" t="n">
        <v/>
      </c>
      <c r="AD148" t="n">
        <v>3.0776</v>
      </c>
      <c r="AE148" t="n">
        <v/>
      </c>
    </row>
    <row r="149">
      <c r="A149" s="87" t="n">
        <v>23102</v>
      </c>
      <c r="B149" t="n">
        <v>0.4747721</v>
      </c>
      <c r="C149" t="n">
        <v/>
      </c>
      <c r="D149" t="n">
        <v/>
      </c>
      <c r="E149" t="n">
        <v/>
      </c>
      <c r="F149" t="n">
        <v/>
      </c>
      <c r="G149" t="n">
        <v/>
      </c>
      <c r="H149" t="n">
        <v/>
      </c>
      <c r="I149" t="n">
        <v/>
      </c>
      <c r="J149" t="n">
        <v/>
      </c>
      <c r="K149" t="n">
        <v/>
      </c>
      <c r="L149" t="n">
        <v/>
      </c>
      <c r="M149" t="n">
        <v/>
      </c>
      <c r="N149" t="n">
        <v/>
      </c>
      <c r="O149" t="n">
        <v/>
      </c>
      <c r="P149" t="n">
        <v>0.04183186</v>
      </c>
      <c r="Q149" t="n">
        <v>0.003499581</v>
      </c>
      <c r="R149" t="n">
        <v/>
      </c>
      <c r="S149" t="n">
        <v/>
      </c>
      <c r="T149" t="n">
        <v/>
      </c>
      <c r="U149" t="n">
        <v/>
      </c>
      <c r="V149" t="n">
        <v>1.082124</v>
      </c>
      <c r="W149" t="n">
        <v/>
      </c>
      <c r="X149" t="n">
        <v/>
      </c>
      <c r="Y149" t="n">
        <v/>
      </c>
      <c r="Z149" t="n">
        <v/>
      </c>
      <c r="AA149" t="n">
        <v/>
      </c>
      <c r="AB149" t="n">
        <v>2.085451</v>
      </c>
      <c r="AC149" t="n">
        <v/>
      </c>
      <c r="AD149" t="n">
        <v>3.099185</v>
      </c>
      <c r="AE149" t="n">
        <v/>
      </c>
    </row>
    <row r="150">
      <c r="A150" s="87" t="n">
        <v>23132</v>
      </c>
      <c r="B150" t="n">
        <v>0.4778819</v>
      </c>
      <c r="C150" t="n">
        <v/>
      </c>
      <c r="D150" t="n">
        <v/>
      </c>
      <c r="E150" t="n">
        <v/>
      </c>
      <c r="F150" t="n">
        <v/>
      </c>
      <c r="G150" t="n">
        <v/>
      </c>
      <c r="H150" t="n">
        <v/>
      </c>
      <c r="I150" t="n">
        <v/>
      </c>
      <c r="J150" t="n">
        <v/>
      </c>
      <c r="K150" t="n">
        <v/>
      </c>
      <c r="L150" t="n">
        <v/>
      </c>
      <c r="M150" t="n">
        <v/>
      </c>
      <c r="N150" t="n">
        <v/>
      </c>
      <c r="O150" t="n">
        <v/>
      </c>
      <c r="P150" t="n">
        <v>0.04210004</v>
      </c>
      <c r="Q150" t="n">
        <v>0.003558037</v>
      </c>
      <c r="R150" t="n">
        <v/>
      </c>
      <c r="S150" t="n">
        <v/>
      </c>
      <c r="T150" t="n">
        <v/>
      </c>
      <c r="U150" t="n">
        <v/>
      </c>
      <c r="V150" t="n">
        <v>1.088437</v>
      </c>
      <c r="W150" t="n">
        <v/>
      </c>
      <c r="X150" t="n">
        <v/>
      </c>
      <c r="Y150" t="n">
        <v/>
      </c>
      <c r="Z150" t="n">
        <v/>
      </c>
      <c r="AA150" t="n">
        <v/>
      </c>
      <c r="AB150" t="n">
        <v>2.104062</v>
      </c>
      <c r="AC150" t="n">
        <v/>
      </c>
      <c r="AD150" t="n">
        <v>3.122432</v>
      </c>
      <c r="AE150" t="n">
        <v/>
      </c>
    </row>
    <row r="151">
      <c r="A151" s="87" t="n">
        <v>23163</v>
      </c>
      <c r="B151" t="n">
        <v>0.4817202</v>
      </c>
      <c r="C151" t="n">
        <v/>
      </c>
      <c r="D151" t="n">
        <v/>
      </c>
      <c r="E151" t="n">
        <v/>
      </c>
      <c r="F151" t="n">
        <v/>
      </c>
      <c r="G151" t="n">
        <v/>
      </c>
      <c r="H151" t="n">
        <v/>
      </c>
      <c r="I151" t="n">
        <v/>
      </c>
      <c r="J151" t="n">
        <v/>
      </c>
      <c r="K151" t="n">
        <v/>
      </c>
      <c r="L151" t="n">
        <v/>
      </c>
      <c r="M151" t="n">
        <v/>
      </c>
      <c r="N151" t="n">
        <v/>
      </c>
      <c r="O151" t="n">
        <v/>
      </c>
      <c r="P151" t="n">
        <v>0.04242905</v>
      </c>
      <c r="Q151" t="n">
        <v>0.003583216</v>
      </c>
      <c r="R151" t="n">
        <v/>
      </c>
      <c r="S151" t="n">
        <v/>
      </c>
      <c r="T151" t="n">
        <v/>
      </c>
      <c r="U151" t="n">
        <v/>
      </c>
      <c r="V151" t="n">
        <v>1.094559</v>
      </c>
      <c r="W151" t="n">
        <v/>
      </c>
      <c r="X151" t="n">
        <v/>
      </c>
      <c r="Y151" t="n">
        <v/>
      </c>
      <c r="Z151" t="n">
        <v/>
      </c>
      <c r="AA151" t="n">
        <v/>
      </c>
      <c r="AB151" t="n">
        <v>2.122223</v>
      </c>
      <c r="AC151" t="n">
        <v/>
      </c>
      <c r="AD151" t="n">
        <v>3.141526</v>
      </c>
      <c r="AE151" t="n">
        <v/>
      </c>
    </row>
    <row r="152">
      <c r="A152" s="87" t="n">
        <v>23193</v>
      </c>
      <c r="B152" t="n">
        <v>0.4861469</v>
      </c>
      <c r="C152" t="n">
        <v/>
      </c>
      <c r="D152" t="n">
        <v/>
      </c>
      <c r="E152" t="n">
        <v/>
      </c>
      <c r="F152" t="n">
        <v/>
      </c>
      <c r="G152" t="n">
        <v/>
      </c>
      <c r="H152" t="n">
        <v/>
      </c>
      <c r="I152" t="n">
        <v/>
      </c>
      <c r="J152" t="n">
        <v/>
      </c>
      <c r="K152" t="n">
        <v/>
      </c>
      <c r="L152" t="n">
        <v/>
      </c>
      <c r="M152" t="n">
        <v/>
      </c>
      <c r="N152" t="n">
        <v/>
      </c>
      <c r="O152" t="n">
        <v/>
      </c>
      <c r="P152" t="n">
        <v>0.04289741</v>
      </c>
      <c r="Q152" t="n">
        <v>0.003592824</v>
      </c>
      <c r="R152" t="n">
        <v/>
      </c>
      <c r="S152" t="n">
        <v/>
      </c>
      <c r="T152" t="n">
        <v/>
      </c>
      <c r="U152" t="n">
        <v/>
      </c>
      <c r="V152" t="n">
        <v>1.100182</v>
      </c>
      <c r="W152" t="n">
        <v/>
      </c>
      <c r="X152" t="n">
        <v/>
      </c>
      <c r="Y152" t="n">
        <v/>
      </c>
      <c r="Z152" t="n">
        <v/>
      </c>
      <c r="AA152" t="n">
        <v/>
      </c>
      <c r="AB152" t="n">
        <v>2.137542</v>
      </c>
      <c r="AC152" t="n">
        <v/>
      </c>
      <c r="AD152" t="n">
        <v>3.163942</v>
      </c>
      <c r="AE152" t="n">
        <v/>
      </c>
    </row>
    <row r="153">
      <c r="A153" s="87" t="n">
        <v>23224</v>
      </c>
      <c r="B153" t="n">
        <v>0.4900973</v>
      </c>
      <c r="C153" t="n">
        <v/>
      </c>
      <c r="D153" t="n">
        <v/>
      </c>
      <c r="E153" t="n">
        <v/>
      </c>
      <c r="F153" t="n">
        <v/>
      </c>
      <c r="G153" t="n">
        <v/>
      </c>
      <c r="H153" t="n">
        <v/>
      </c>
      <c r="I153" t="n">
        <v/>
      </c>
      <c r="J153" t="n">
        <v/>
      </c>
      <c r="K153" t="n">
        <v/>
      </c>
      <c r="L153" t="n">
        <v/>
      </c>
      <c r="M153" t="n">
        <v/>
      </c>
      <c r="N153" t="n">
        <v/>
      </c>
      <c r="O153" t="n">
        <v/>
      </c>
      <c r="P153" t="n">
        <v>0.04328494</v>
      </c>
      <c r="Q153" t="n">
        <v>0.003621124</v>
      </c>
      <c r="R153" t="n">
        <v/>
      </c>
      <c r="S153" t="n">
        <v/>
      </c>
      <c r="T153" t="n">
        <v/>
      </c>
      <c r="U153" t="n">
        <v/>
      </c>
      <c r="V153" t="n">
        <v>1.107273</v>
      </c>
      <c r="W153" t="n">
        <v/>
      </c>
      <c r="X153" t="n">
        <v/>
      </c>
      <c r="Y153" t="n">
        <v/>
      </c>
      <c r="Z153" t="n">
        <v/>
      </c>
      <c r="AA153" t="n">
        <v/>
      </c>
      <c r="AB153" t="n">
        <v>2.153035</v>
      </c>
      <c r="AC153" t="n">
        <v/>
      </c>
      <c r="AD153" t="n">
        <v>3.184698</v>
      </c>
      <c r="AE153" t="n">
        <v/>
      </c>
    </row>
    <row r="154">
      <c r="A154" s="87" t="n">
        <v>23255</v>
      </c>
      <c r="B154" t="n">
        <v>0.4941036</v>
      </c>
      <c r="C154" t="n">
        <v/>
      </c>
      <c r="D154" t="n">
        <v/>
      </c>
      <c r="E154" t="n">
        <v/>
      </c>
      <c r="F154" t="n">
        <v/>
      </c>
      <c r="G154" t="n">
        <v/>
      </c>
      <c r="H154" t="n">
        <v/>
      </c>
      <c r="I154" t="n">
        <v/>
      </c>
      <c r="J154" t="n">
        <v/>
      </c>
      <c r="K154" t="n">
        <v/>
      </c>
      <c r="L154" t="n">
        <v/>
      </c>
      <c r="M154" t="n">
        <v/>
      </c>
      <c r="N154" t="n">
        <v/>
      </c>
      <c r="O154" t="n">
        <v/>
      </c>
      <c r="P154" t="n">
        <v>0.04371195</v>
      </c>
      <c r="Q154" t="n">
        <v>0.003664281</v>
      </c>
      <c r="R154" t="n">
        <v/>
      </c>
      <c r="S154" t="n">
        <v/>
      </c>
      <c r="T154" t="n">
        <v/>
      </c>
      <c r="U154" t="n">
        <v/>
      </c>
      <c r="V154" t="n">
        <v>1.112273</v>
      </c>
      <c r="W154" t="n">
        <v/>
      </c>
      <c r="X154" t="n">
        <v/>
      </c>
      <c r="Y154" t="n">
        <v/>
      </c>
      <c r="Z154" t="n">
        <v/>
      </c>
      <c r="AA154" t="n">
        <v/>
      </c>
      <c r="AB154" t="n">
        <v>2.166789</v>
      </c>
      <c r="AC154" t="n">
        <v/>
      </c>
      <c r="AD154" t="n">
        <v>3.204623</v>
      </c>
      <c r="AE154" t="n">
        <v/>
      </c>
    </row>
    <row r="155">
      <c r="A155" s="87" t="n">
        <v>23285</v>
      </c>
      <c r="B155" t="n">
        <v>0.4972695</v>
      </c>
      <c r="C155" t="n">
        <v/>
      </c>
      <c r="D155" t="n">
        <v/>
      </c>
      <c r="E155" t="n">
        <v/>
      </c>
      <c r="F155" t="n">
        <v/>
      </c>
      <c r="G155" t="n">
        <v/>
      </c>
      <c r="H155" t="n">
        <v/>
      </c>
      <c r="I155" t="n">
        <v/>
      </c>
      <c r="J155" t="n">
        <v/>
      </c>
      <c r="K155" t="n">
        <v/>
      </c>
      <c r="L155" t="n">
        <v/>
      </c>
      <c r="M155" t="n">
        <v/>
      </c>
      <c r="N155" t="n">
        <v/>
      </c>
      <c r="O155" t="n">
        <v/>
      </c>
      <c r="P155" t="n">
        <v>0.04431144</v>
      </c>
      <c r="Q155" t="n">
        <v>0.003686385</v>
      </c>
      <c r="R155" t="n">
        <v/>
      </c>
      <c r="S155" t="n">
        <v/>
      </c>
      <c r="T155" t="n">
        <v/>
      </c>
      <c r="U155" t="n">
        <v/>
      </c>
      <c r="V155" t="n">
        <v>1.118515</v>
      </c>
      <c r="W155" t="n">
        <v/>
      </c>
      <c r="X155" t="n">
        <v/>
      </c>
      <c r="Y155" t="n">
        <v/>
      </c>
      <c r="Z155" t="n">
        <v/>
      </c>
      <c r="AA155" t="n">
        <v/>
      </c>
      <c r="AB155" t="n">
        <v>2.181745</v>
      </c>
      <c r="AC155" t="n">
        <v/>
      </c>
      <c r="AD155" t="n">
        <v>3.223717</v>
      </c>
      <c r="AE155" t="n">
        <v/>
      </c>
    </row>
    <row r="156">
      <c r="A156" s="87" t="n">
        <v>23316</v>
      </c>
      <c r="B156" t="n">
        <v>0.5021445</v>
      </c>
      <c r="C156" t="n">
        <v/>
      </c>
      <c r="D156" t="n">
        <v/>
      </c>
      <c r="E156" t="n">
        <v/>
      </c>
      <c r="F156" t="n">
        <v/>
      </c>
      <c r="G156" t="n">
        <v/>
      </c>
      <c r="H156" t="n">
        <v/>
      </c>
      <c r="I156" t="n">
        <v/>
      </c>
      <c r="J156" t="n">
        <v/>
      </c>
      <c r="K156" t="n">
        <v/>
      </c>
      <c r="L156" t="n">
        <v/>
      </c>
      <c r="M156" t="n">
        <v/>
      </c>
      <c r="N156" t="n">
        <v/>
      </c>
      <c r="O156" t="n">
        <v/>
      </c>
      <c r="P156" t="n">
        <v>0.04477851</v>
      </c>
      <c r="Q156" t="n">
        <v>0.003715271</v>
      </c>
      <c r="R156" t="n">
        <v/>
      </c>
      <c r="S156" t="n">
        <v/>
      </c>
      <c r="T156" t="n">
        <v/>
      </c>
      <c r="U156" t="n">
        <v/>
      </c>
      <c r="V156" t="n">
        <v>1.128688</v>
      </c>
      <c r="W156" t="n">
        <v/>
      </c>
      <c r="X156" t="n">
        <v/>
      </c>
      <c r="Y156" t="n">
        <v/>
      </c>
      <c r="Z156" t="n">
        <v/>
      </c>
      <c r="AA156" t="n">
        <v/>
      </c>
      <c r="AB156" t="n">
        <v>2.196186</v>
      </c>
      <c r="AC156" t="n">
        <v/>
      </c>
      <c r="AD156" t="n">
        <v>3.250284</v>
      </c>
      <c r="AE156" t="n">
        <v/>
      </c>
    </row>
    <row r="157">
      <c r="A157" s="87" t="n">
        <v>23346</v>
      </c>
      <c r="B157" t="n">
        <v>0.5085883</v>
      </c>
      <c r="C157" t="n">
        <v/>
      </c>
      <c r="D157" t="n">
        <v/>
      </c>
      <c r="E157" t="n">
        <v/>
      </c>
      <c r="F157" t="n">
        <v/>
      </c>
      <c r="G157" t="n">
        <v/>
      </c>
      <c r="H157" t="n">
        <v/>
      </c>
      <c r="I157" t="n">
        <v/>
      </c>
      <c r="J157" t="n">
        <v/>
      </c>
      <c r="K157" t="n">
        <v/>
      </c>
      <c r="L157" t="n">
        <v/>
      </c>
      <c r="M157" t="n">
        <v/>
      </c>
      <c r="N157" t="n">
        <v/>
      </c>
      <c r="O157" t="n">
        <v/>
      </c>
      <c r="P157" t="n">
        <v>0.0450964</v>
      </c>
      <c r="Q157" t="n">
        <v>0.003750768</v>
      </c>
      <c r="R157" t="n">
        <v/>
      </c>
      <c r="S157" t="n">
        <v/>
      </c>
      <c r="T157" t="n">
        <v/>
      </c>
      <c r="U157" t="n">
        <v/>
      </c>
      <c r="V157" t="n">
        <v>1.136813</v>
      </c>
      <c r="W157" t="n">
        <v/>
      </c>
      <c r="X157" t="n">
        <v/>
      </c>
      <c r="Y157" t="n">
        <v/>
      </c>
      <c r="Z157" t="n">
        <v/>
      </c>
      <c r="AA157" t="n">
        <v/>
      </c>
      <c r="AB157" t="n">
        <v>2.208986</v>
      </c>
      <c r="AC157" t="n">
        <v/>
      </c>
      <c r="AD157" t="n">
        <v>3.264398</v>
      </c>
      <c r="AE157" t="n">
        <v/>
      </c>
    </row>
    <row r="158">
      <c r="A158" s="87" t="n">
        <v>23377</v>
      </c>
      <c r="B158" t="n">
        <v>0.5132671</v>
      </c>
      <c r="C158" t="n">
        <v/>
      </c>
      <c r="D158" t="n">
        <v/>
      </c>
      <c r="E158" t="n">
        <v/>
      </c>
      <c r="F158" t="n">
        <v/>
      </c>
      <c r="G158" t="n">
        <v/>
      </c>
      <c r="H158" t="n">
        <v/>
      </c>
      <c r="I158" t="n">
        <v/>
      </c>
      <c r="J158" t="n">
        <v/>
      </c>
      <c r="K158" t="n">
        <v/>
      </c>
      <c r="L158" t="n">
        <v/>
      </c>
      <c r="M158" t="n">
        <v/>
      </c>
      <c r="N158" t="n">
        <v/>
      </c>
      <c r="O158" t="n">
        <v/>
      </c>
      <c r="P158" t="n">
        <v>0.04561103</v>
      </c>
      <c r="Q158" t="n">
        <v>0.003783741</v>
      </c>
      <c r="R158" t="n">
        <v/>
      </c>
      <c r="S158" t="n">
        <v/>
      </c>
      <c r="T158" t="n">
        <v/>
      </c>
      <c r="U158" t="n">
        <v/>
      </c>
      <c r="V158" t="n">
        <v>1.143606</v>
      </c>
      <c r="W158" t="n">
        <v/>
      </c>
      <c r="X158" t="n">
        <v/>
      </c>
      <c r="Y158" t="n">
        <v/>
      </c>
      <c r="Z158" t="n">
        <v/>
      </c>
      <c r="AA158" t="n">
        <v/>
      </c>
      <c r="AB158" t="n">
        <v>2.225844</v>
      </c>
      <c r="AC158" t="n">
        <v/>
      </c>
      <c r="AD158" t="n">
        <v>3.281002</v>
      </c>
      <c r="AE158" t="n">
        <v/>
      </c>
    </row>
    <row r="159">
      <c r="A159" s="87" t="n">
        <v>23408</v>
      </c>
      <c r="B159" t="n">
        <v>0.5172175</v>
      </c>
      <c r="C159" t="n">
        <v/>
      </c>
      <c r="D159" t="n">
        <v/>
      </c>
      <c r="E159" t="n">
        <v/>
      </c>
      <c r="F159" t="n">
        <v/>
      </c>
      <c r="G159" t="n">
        <v/>
      </c>
      <c r="H159" t="n">
        <v/>
      </c>
      <c r="I159" t="n">
        <v/>
      </c>
      <c r="J159" t="n">
        <v/>
      </c>
      <c r="K159" t="n">
        <v/>
      </c>
      <c r="L159" t="n">
        <v/>
      </c>
      <c r="M159" t="n">
        <v/>
      </c>
      <c r="N159" t="n">
        <v/>
      </c>
      <c r="O159" t="n">
        <v/>
      </c>
      <c r="P159" t="n">
        <v>0.04599327</v>
      </c>
      <c r="Q159" t="n">
        <v>0.003852485</v>
      </c>
      <c r="R159" t="n">
        <v/>
      </c>
      <c r="S159" t="n">
        <v/>
      </c>
      <c r="T159" t="n">
        <v/>
      </c>
      <c r="U159" t="n">
        <v/>
      </c>
      <c r="V159" t="n">
        <v>1.148019</v>
      </c>
      <c r="W159" t="n">
        <v/>
      </c>
      <c r="X159" t="n">
        <v/>
      </c>
      <c r="Y159" t="n">
        <v/>
      </c>
      <c r="Z159" t="n">
        <v/>
      </c>
      <c r="AA159" t="n">
        <v/>
      </c>
      <c r="AB159" t="n">
        <v>2.241879</v>
      </c>
      <c r="AC159" t="n">
        <v/>
      </c>
      <c r="AD159" t="n">
        <v>3.300927</v>
      </c>
      <c r="AE159" t="n">
        <v/>
      </c>
    </row>
    <row r="160">
      <c r="A160" s="87" t="n">
        <v>23437</v>
      </c>
      <c r="B160" t="n">
        <v>0.5236893</v>
      </c>
      <c r="C160" t="n">
        <v/>
      </c>
      <c r="D160" t="n">
        <v/>
      </c>
      <c r="E160" t="n">
        <v/>
      </c>
      <c r="F160" t="n">
        <v/>
      </c>
      <c r="G160" t="n">
        <v/>
      </c>
      <c r="H160" t="n">
        <v/>
      </c>
      <c r="I160" t="n">
        <v/>
      </c>
      <c r="J160" t="n">
        <v/>
      </c>
      <c r="K160" t="n">
        <v/>
      </c>
      <c r="L160" t="n">
        <v/>
      </c>
      <c r="M160" t="n">
        <v/>
      </c>
      <c r="N160" t="n">
        <v/>
      </c>
      <c r="O160" t="n">
        <v/>
      </c>
      <c r="P160" t="n">
        <v>0.0460852</v>
      </c>
      <c r="Q160" t="n">
        <v>0.003916386</v>
      </c>
      <c r="R160" t="n">
        <v/>
      </c>
      <c r="S160" t="n">
        <v/>
      </c>
      <c r="T160" t="n">
        <v/>
      </c>
      <c r="U160" t="n">
        <v/>
      </c>
      <c r="V160" t="n">
        <v>1.156474</v>
      </c>
      <c r="W160" t="n">
        <v/>
      </c>
      <c r="X160" t="n">
        <v/>
      </c>
      <c r="Y160" t="n">
        <v/>
      </c>
      <c r="Z160" t="n">
        <v/>
      </c>
      <c r="AA160" t="n">
        <v/>
      </c>
      <c r="AB160" t="n">
        <v>2.253157</v>
      </c>
      <c r="AC160" t="n">
        <v/>
      </c>
      <c r="AD160" t="n">
        <v>3.319192</v>
      </c>
      <c r="AE160" t="n">
        <v/>
      </c>
    </row>
    <row r="161">
      <c r="A161" s="87" t="n">
        <v>23468</v>
      </c>
      <c r="B161" t="n">
        <v>0.5301332</v>
      </c>
      <c r="C161" t="n">
        <v/>
      </c>
      <c r="D161" t="n">
        <v/>
      </c>
      <c r="E161" t="n">
        <v/>
      </c>
      <c r="F161" t="n">
        <v/>
      </c>
      <c r="G161" t="n">
        <v/>
      </c>
      <c r="H161" t="n">
        <v/>
      </c>
      <c r="I161" t="n">
        <v/>
      </c>
      <c r="J161" t="n">
        <v/>
      </c>
      <c r="K161" t="n">
        <v/>
      </c>
      <c r="L161" t="n">
        <v/>
      </c>
      <c r="M161" t="n">
        <v/>
      </c>
      <c r="N161" t="n">
        <v/>
      </c>
      <c r="O161" t="n">
        <v/>
      </c>
      <c r="P161" t="n">
        <v>0.04630179</v>
      </c>
      <c r="Q161" t="n">
        <v>0.003971961</v>
      </c>
      <c r="R161" t="n">
        <v/>
      </c>
      <c r="S161" t="n">
        <v/>
      </c>
      <c r="T161" t="n">
        <v/>
      </c>
      <c r="U161" t="n">
        <v/>
      </c>
      <c r="V161" t="n">
        <v>1.170414</v>
      </c>
      <c r="W161" t="n">
        <v/>
      </c>
      <c r="X161" t="n">
        <v/>
      </c>
      <c r="Y161" t="n">
        <v/>
      </c>
      <c r="Z161" t="n">
        <v/>
      </c>
      <c r="AA161" t="n">
        <v/>
      </c>
      <c r="AB161" t="n">
        <v>2.264385</v>
      </c>
      <c r="AC161" t="n">
        <v/>
      </c>
      <c r="AD161" t="n">
        <v>3.334966</v>
      </c>
      <c r="AE161" t="n">
        <v/>
      </c>
    </row>
    <row r="162">
      <c r="A162" s="87" t="n">
        <v>23498</v>
      </c>
      <c r="B162" t="n">
        <v>0.5353163</v>
      </c>
      <c r="C162" t="n">
        <v/>
      </c>
      <c r="D162" t="n">
        <v/>
      </c>
      <c r="E162" t="n">
        <v/>
      </c>
      <c r="F162" t="n">
        <v/>
      </c>
      <c r="G162" t="n">
        <v/>
      </c>
      <c r="H162" t="n">
        <v/>
      </c>
      <c r="I162" t="n">
        <v/>
      </c>
      <c r="J162" t="n">
        <v/>
      </c>
      <c r="K162" t="n">
        <v/>
      </c>
      <c r="L162" t="n">
        <v/>
      </c>
      <c r="M162" t="n">
        <v/>
      </c>
      <c r="N162" t="n">
        <v/>
      </c>
      <c r="O162" t="n">
        <v/>
      </c>
      <c r="P162" t="n">
        <v>0.04666068</v>
      </c>
      <c r="Q162" t="n">
        <v>0.004035545</v>
      </c>
      <c r="R162" t="n">
        <v/>
      </c>
      <c r="S162" t="n">
        <v/>
      </c>
      <c r="T162" t="n">
        <v/>
      </c>
      <c r="U162" t="n">
        <v/>
      </c>
      <c r="V162" t="n">
        <v>1.179072</v>
      </c>
      <c r="W162" t="n">
        <v/>
      </c>
      <c r="X162" t="n">
        <v/>
      </c>
      <c r="Y162" t="n">
        <v/>
      </c>
      <c r="Z162" t="n">
        <v/>
      </c>
      <c r="AA162" t="n">
        <v/>
      </c>
      <c r="AB162" t="n">
        <v>2.272663</v>
      </c>
      <c r="AC162" t="n">
        <v/>
      </c>
      <c r="AD162" t="n">
        <v>3.355721</v>
      </c>
      <c r="AE162" t="n">
        <v/>
      </c>
    </row>
    <row r="163">
      <c r="A163" s="87" t="n">
        <v>23529</v>
      </c>
      <c r="B163" t="n">
        <v>0.5410317</v>
      </c>
      <c r="C163" t="n">
        <v/>
      </c>
      <c r="D163" t="n">
        <v/>
      </c>
      <c r="E163" t="n">
        <v/>
      </c>
      <c r="F163" t="n">
        <v/>
      </c>
      <c r="G163" t="n">
        <v/>
      </c>
      <c r="H163" t="n">
        <v/>
      </c>
      <c r="I163" t="n">
        <v/>
      </c>
      <c r="J163" t="n">
        <v/>
      </c>
      <c r="K163" t="n">
        <v/>
      </c>
      <c r="L163" t="n">
        <v/>
      </c>
      <c r="M163" t="n">
        <v/>
      </c>
      <c r="N163" t="n">
        <v/>
      </c>
      <c r="O163" t="n">
        <v/>
      </c>
      <c r="P163" t="n">
        <v>0.04705299</v>
      </c>
      <c r="Q163" t="n">
        <v>0.004090059</v>
      </c>
      <c r="R163" t="n">
        <v/>
      </c>
      <c r="S163" t="n">
        <v/>
      </c>
      <c r="T163" t="n">
        <v/>
      </c>
      <c r="U163" t="n">
        <v/>
      </c>
      <c r="V163" t="n">
        <v>1.182581</v>
      </c>
      <c r="W163" t="n">
        <v/>
      </c>
      <c r="X163" t="n">
        <v/>
      </c>
      <c r="Y163" t="n">
        <v/>
      </c>
      <c r="Z163" t="n">
        <v/>
      </c>
      <c r="AA163" t="n">
        <v/>
      </c>
      <c r="AB163" t="n">
        <v>2.281888</v>
      </c>
      <c r="AC163" t="n">
        <v/>
      </c>
      <c r="AD163" t="n">
        <v>3.379798</v>
      </c>
      <c r="AE163" t="n">
        <v/>
      </c>
    </row>
    <row r="164">
      <c r="A164" s="87" t="n">
        <v>23559</v>
      </c>
      <c r="B164" t="n">
        <v>0.5457105</v>
      </c>
      <c r="C164" t="n">
        <v/>
      </c>
      <c r="D164" t="n">
        <v/>
      </c>
      <c r="E164" t="n">
        <v/>
      </c>
      <c r="F164" t="n">
        <v/>
      </c>
      <c r="G164" t="n">
        <v/>
      </c>
      <c r="H164" t="n">
        <v/>
      </c>
      <c r="I164" t="n">
        <v/>
      </c>
      <c r="J164" t="n">
        <v/>
      </c>
      <c r="K164" t="n">
        <v/>
      </c>
      <c r="L164" t="n">
        <v/>
      </c>
      <c r="M164" t="n">
        <v/>
      </c>
      <c r="N164" t="n">
        <v/>
      </c>
      <c r="O164" t="n">
        <v/>
      </c>
      <c r="P164" t="n">
        <v>0.04749539</v>
      </c>
      <c r="Q164" t="n">
        <v>0.004167799</v>
      </c>
      <c r="R164" t="n">
        <v/>
      </c>
      <c r="S164" t="n">
        <v/>
      </c>
      <c r="T164" t="n">
        <v/>
      </c>
      <c r="U164" t="n">
        <v/>
      </c>
      <c r="V164" t="n">
        <v>1.190034</v>
      </c>
      <c r="W164" t="n">
        <v/>
      </c>
      <c r="X164" t="n">
        <v/>
      </c>
      <c r="Y164" t="n">
        <v/>
      </c>
      <c r="Z164" t="n">
        <v/>
      </c>
      <c r="AA164" t="n">
        <v/>
      </c>
      <c r="AB164" t="n">
        <v>2.294204</v>
      </c>
      <c r="AC164" t="n">
        <v/>
      </c>
      <c r="AD164" t="n">
        <v>3.404704</v>
      </c>
      <c r="AE164" t="n">
        <v/>
      </c>
    </row>
    <row r="165">
      <c r="A165" s="87" t="n">
        <v>23590</v>
      </c>
      <c r="B165" t="n">
        <v>0.5506975</v>
      </c>
      <c r="C165" t="n">
        <v/>
      </c>
      <c r="D165" t="n">
        <v/>
      </c>
      <c r="E165" t="n">
        <v/>
      </c>
      <c r="F165" t="n">
        <v/>
      </c>
      <c r="G165" t="n">
        <v/>
      </c>
      <c r="H165" t="n">
        <v/>
      </c>
      <c r="I165" t="n">
        <v/>
      </c>
      <c r="J165" t="n">
        <v/>
      </c>
      <c r="K165" t="n">
        <v/>
      </c>
      <c r="L165" t="n">
        <v/>
      </c>
      <c r="M165" t="n">
        <v/>
      </c>
      <c r="N165" t="n">
        <v/>
      </c>
      <c r="O165" t="n">
        <v/>
      </c>
      <c r="P165" t="n">
        <v>0.04809618</v>
      </c>
      <c r="Q165" t="n">
        <v>0.004246414</v>
      </c>
      <c r="R165" t="n">
        <v/>
      </c>
      <c r="S165" t="n">
        <v/>
      </c>
      <c r="T165" t="n">
        <v/>
      </c>
      <c r="U165" t="n">
        <v/>
      </c>
      <c r="V165" t="n">
        <v>1.195516</v>
      </c>
      <c r="W165" t="n">
        <v/>
      </c>
      <c r="X165" t="n">
        <v/>
      </c>
      <c r="Y165" t="n">
        <v/>
      </c>
      <c r="Z165" t="n">
        <v/>
      </c>
      <c r="AA165" t="n">
        <v/>
      </c>
      <c r="AB165" t="n">
        <v>2.308902</v>
      </c>
      <c r="AC165" t="n">
        <v/>
      </c>
      <c r="AD165" t="n">
        <v>3.432101</v>
      </c>
      <c r="AE165" t="n">
        <v/>
      </c>
    </row>
    <row r="166">
      <c r="A166" s="87" t="n">
        <v>23621</v>
      </c>
      <c r="B166" t="n">
        <v>0.5552082</v>
      </c>
      <c r="C166" t="n">
        <v/>
      </c>
      <c r="D166" t="n">
        <v/>
      </c>
      <c r="E166" t="n">
        <v/>
      </c>
      <c r="F166" t="n">
        <v/>
      </c>
      <c r="G166" t="n">
        <v/>
      </c>
      <c r="H166" t="n">
        <v/>
      </c>
      <c r="I166" t="n">
        <v/>
      </c>
      <c r="J166" t="n">
        <v/>
      </c>
      <c r="K166" t="n">
        <v/>
      </c>
      <c r="L166" t="n">
        <v/>
      </c>
      <c r="M166" t="n">
        <v/>
      </c>
      <c r="N166" t="n">
        <v/>
      </c>
      <c r="O166" t="n">
        <v/>
      </c>
      <c r="P166" t="n">
        <v>0.04856811</v>
      </c>
      <c r="Q166" t="n">
        <v>0.004304142</v>
      </c>
      <c r="R166" t="n">
        <v/>
      </c>
      <c r="S166" t="n">
        <v/>
      </c>
      <c r="T166" t="n">
        <v/>
      </c>
      <c r="U166" t="n">
        <v/>
      </c>
      <c r="V166" t="n">
        <v>1.20427</v>
      </c>
      <c r="W166" t="n">
        <v/>
      </c>
      <c r="X166" t="n">
        <v/>
      </c>
      <c r="Y166" t="n">
        <v/>
      </c>
      <c r="Z166" t="n">
        <v/>
      </c>
      <c r="AA166" t="n">
        <v/>
      </c>
      <c r="AB166" t="n">
        <v>2.327717</v>
      </c>
      <c r="AC166" t="n">
        <v/>
      </c>
      <c r="AD166" t="n">
        <v>3.461159</v>
      </c>
      <c r="AE166" t="n">
        <v/>
      </c>
    </row>
    <row r="167">
      <c r="A167" s="87" t="n">
        <v>23651</v>
      </c>
      <c r="B167" t="n">
        <v>0.5590465</v>
      </c>
      <c r="C167" t="n">
        <v/>
      </c>
      <c r="D167" t="n">
        <v/>
      </c>
      <c r="E167" t="n">
        <v/>
      </c>
      <c r="F167" t="n">
        <v/>
      </c>
      <c r="G167" t="n">
        <v/>
      </c>
      <c r="H167" t="n">
        <v/>
      </c>
      <c r="I167" t="n">
        <v/>
      </c>
      <c r="J167" t="n">
        <v/>
      </c>
      <c r="K167" t="n">
        <v/>
      </c>
      <c r="L167" t="n">
        <v/>
      </c>
      <c r="M167" t="n">
        <v/>
      </c>
      <c r="N167" t="n">
        <v/>
      </c>
      <c r="O167" t="n">
        <v/>
      </c>
      <c r="P167" t="n">
        <v>0.04875568</v>
      </c>
      <c r="Q167" t="n">
        <v>0.004386568</v>
      </c>
      <c r="R167" t="n">
        <v/>
      </c>
      <c r="S167" t="n">
        <v/>
      </c>
      <c r="T167" t="n">
        <v/>
      </c>
      <c r="U167" t="n">
        <v/>
      </c>
      <c r="V167" t="n">
        <v>1.218447</v>
      </c>
      <c r="W167" t="n">
        <v/>
      </c>
      <c r="X167" t="n">
        <v/>
      </c>
      <c r="Y167" t="n">
        <v/>
      </c>
      <c r="Z167" t="n">
        <v/>
      </c>
      <c r="AA167" t="n">
        <v/>
      </c>
      <c r="AB167" t="n">
        <v>2.347163</v>
      </c>
      <c r="AC167" t="n">
        <v/>
      </c>
      <c r="AD167" t="n">
        <v>3.479423</v>
      </c>
      <c r="AE167" t="n">
        <v/>
      </c>
    </row>
    <row r="168">
      <c r="A168" s="87" t="n">
        <v>23682</v>
      </c>
      <c r="B168" t="n">
        <v>0.5636693</v>
      </c>
      <c r="C168" t="n">
        <v/>
      </c>
      <c r="D168" t="n">
        <v/>
      </c>
      <c r="E168" t="n">
        <v/>
      </c>
      <c r="F168" t="n">
        <v/>
      </c>
      <c r="G168" t="n">
        <v/>
      </c>
      <c r="H168" t="n">
        <v/>
      </c>
      <c r="I168" t="n">
        <v/>
      </c>
      <c r="J168" t="n">
        <v/>
      </c>
      <c r="K168" t="n">
        <v/>
      </c>
      <c r="L168" t="n">
        <v/>
      </c>
      <c r="M168" t="n">
        <v/>
      </c>
      <c r="N168" t="n">
        <v/>
      </c>
      <c r="O168" t="n">
        <v/>
      </c>
      <c r="P168" t="n">
        <v>0.04908777</v>
      </c>
      <c r="Q168" t="n">
        <v>0.004444284</v>
      </c>
      <c r="R168" t="n">
        <v/>
      </c>
      <c r="S168" t="n">
        <v/>
      </c>
      <c r="T168" t="n">
        <v/>
      </c>
      <c r="U168" t="n">
        <v/>
      </c>
      <c r="V168" t="n">
        <v>1.224921</v>
      </c>
      <c r="W168" t="n">
        <v/>
      </c>
      <c r="X168" t="n">
        <v/>
      </c>
      <c r="Y168" t="n">
        <v/>
      </c>
      <c r="Z168" t="n">
        <v/>
      </c>
      <c r="AA168" t="n">
        <v/>
      </c>
      <c r="AB168" t="n">
        <v>2.366935</v>
      </c>
      <c r="AC168" t="n">
        <v/>
      </c>
      <c r="AD168" t="n">
        <v>3.503499</v>
      </c>
      <c r="AE168" t="n">
        <v/>
      </c>
    </row>
    <row r="169">
      <c r="A169" s="87" t="n">
        <v>23712</v>
      </c>
      <c r="B169" t="n">
        <v>0.5669472</v>
      </c>
      <c r="C169" t="n">
        <v/>
      </c>
      <c r="D169" t="n">
        <v/>
      </c>
      <c r="E169" t="n">
        <v/>
      </c>
      <c r="F169" t="n">
        <v/>
      </c>
      <c r="G169" t="n">
        <v/>
      </c>
      <c r="H169" t="n">
        <v/>
      </c>
      <c r="I169" t="n">
        <v/>
      </c>
      <c r="J169" t="n">
        <v/>
      </c>
      <c r="K169" t="n">
        <v/>
      </c>
      <c r="L169" t="n">
        <v/>
      </c>
      <c r="M169" t="n">
        <v/>
      </c>
      <c r="N169" t="n">
        <v/>
      </c>
      <c r="O169" t="n">
        <v/>
      </c>
      <c r="P169" t="n">
        <v>0.0494147</v>
      </c>
      <c r="Q169" t="n">
        <v>0.004471802</v>
      </c>
      <c r="R169" t="n">
        <v/>
      </c>
      <c r="S169" t="n">
        <v/>
      </c>
      <c r="T169" t="n">
        <v/>
      </c>
      <c r="U169" t="n">
        <v/>
      </c>
      <c r="V169" t="n">
        <v>1.227028</v>
      </c>
      <c r="W169" t="n">
        <v/>
      </c>
      <c r="X169" t="n">
        <v/>
      </c>
      <c r="Y169" t="n">
        <v/>
      </c>
      <c r="Z169" t="n">
        <v/>
      </c>
      <c r="AA169" t="n">
        <v/>
      </c>
      <c r="AB169" t="n">
        <v>2.389393</v>
      </c>
      <c r="AC169" t="n">
        <v/>
      </c>
      <c r="AD169" t="n">
        <v>3.525915</v>
      </c>
      <c r="AE169" t="n">
        <v/>
      </c>
    </row>
    <row r="170">
      <c r="A170" s="87" t="n">
        <v>23743</v>
      </c>
      <c r="B170" t="n">
        <v>0.5694127</v>
      </c>
      <c r="C170" t="n">
        <v/>
      </c>
      <c r="D170" t="n">
        <v/>
      </c>
      <c r="E170" t="n">
        <v/>
      </c>
      <c r="F170" t="n">
        <v/>
      </c>
      <c r="G170" t="n">
        <v/>
      </c>
      <c r="H170" t="n">
        <v/>
      </c>
      <c r="I170" t="n">
        <v/>
      </c>
      <c r="J170" t="n">
        <v/>
      </c>
      <c r="K170" t="n">
        <v/>
      </c>
      <c r="L170" t="n">
        <v/>
      </c>
      <c r="M170" t="n">
        <v/>
      </c>
      <c r="N170" t="n">
        <v/>
      </c>
      <c r="O170" t="n">
        <v/>
      </c>
      <c r="P170" t="n">
        <v>0.04968597</v>
      </c>
      <c r="Q170" t="n">
        <v>0.004521915</v>
      </c>
      <c r="R170" t="n">
        <v/>
      </c>
      <c r="S170" t="n">
        <v/>
      </c>
      <c r="T170" t="n">
        <v/>
      </c>
      <c r="U170" t="n">
        <v/>
      </c>
      <c r="V170" t="n">
        <v>1.236521</v>
      </c>
      <c r="W170" t="n">
        <v/>
      </c>
      <c r="X170" t="n">
        <v/>
      </c>
      <c r="Y170" t="n">
        <v/>
      </c>
      <c r="Z170" t="n">
        <v/>
      </c>
      <c r="AA170" t="n">
        <v/>
      </c>
      <c r="AB170" t="n">
        <v>2.408035</v>
      </c>
      <c r="AC170" t="n">
        <v/>
      </c>
      <c r="AD170" t="n">
        <v>3.549161</v>
      </c>
      <c r="AE170" t="n">
        <v/>
      </c>
    </row>
    <row r="171">
      <c r="A171" s="87" t="n">
        <v>23774</v>
      </c>
      <c r="B171" t="n">
        <v>0.573251</v>
      </c>
      <c r="C171" t="n">
        <v/>
      </c>
      <c r="D171" t="n">
        <v/>
      </c>
      <c r="E171" t="n">
        <v/>
      </c>
      <c r="F171" t="n">
        <v/>
      </c>
      <c r="G171" t="n">
        <v/>
      </c>
      <c r="H171" t="n">
        <v/>
      </c>
      <c r="I171" t="n">
        <v/>
      </c>
      <c r="J171" t="n">
        <v/>
      </c>
      <c r="K171" t="n">
        <v/>
      </c>
      <c r="L171" t="n">
        <v/>
      </c>
      <c r="M171" t="n">
        <v/>
      </c>
      <c r="N171" t="n">
        <v/>
      </c>
      <c r="O171" t="n">
        <v/>
      </c>
      <c r="P171" t="n">
        <v>0.05005411</v>
      </c>
      <c r="Q171" t="n">
        <v>0.00457188</v>
      </c>
      <c r="R171" t="n">
        <v/>
      </c>
      <c r="S171" t="n">
        <v/>
      </c>
      <c r="T171" t="n">
        <v/>
      </c>
      <c r="U171" t="n">
        <v/>
      </c>
      <c r="V171" t="n">
        <v>1.250461</v>
      </c>
      <c r="W171" t="n">
        <v/>
      </c>
      <c r="X171" t="n">
        <v/>
      </c>
      <c r="Y171" t="n">
        <v/>
      </c>
      <c r="Z171" t="n">
        <v/>
      </c>
      <c r="AA171" t="n">
        <v/>
      </c>
      <c r="AB171" t="n">
        <v>2.42141</v>
      </c>
      <c r="AC171" t="n">
        <v/>
      </c>
      <c r="AD171" t="n">
        <v>3.573237</v>
      </c>
      <c r="AE171" t="n">
        <v/>
      </c>
    </row>
    <row r="172">
      <c r="A172" s="87" t="n">
        <v>23802</v>
      </c>
      <c r="B172" t="n">
        <v>0.5791906</v>
      </c>
      <c r="C172" t="n">
        <v/>
      </c>
      <c r="D172" t="n">
        <v/>
      </c>
      <c r="E172" t="n">
        <v/>
      </c>
      <c r="F172" t="n">
        <v/>
      </c>
      <c r="G172" t="n">
        <v/>
      </c>
      <c r="H172" t="n">
        <v/>
      </c>
      <c r="I172" t="n">
        <v/>
      </c>
      <c r="J172" t="n">
        <v/>
      </c>
      <c r="K172" t="n">
        <v/>
      </c>
      <c r="L172" t="n">
        <v/>
      </c>
      <c r="M172" t="n">
        <v/>
      </c>
      <c r="N172" t="n">
        <v/>
      </c>
      <c r="O172" t="n">
        <v/>
      </c>
      <c r="P172" t="n">
        <v>0.05030023</v>
      </c>
      <c r="Q172" t="n">
        <v>0.004637344</v>
      </c>
      <c r="R172" t="n">
        <v/>
      </c>
      <c r="S172" t="n">
        <v/>
      </c>
      <c r="T172" t="n">
        <v/>
      </c>
      <c r="U172" t="n">
        <v/>
      </c>
      <c r="V172" t="n">
        <v>1.261934</v>
      </c>
      <c r="W172" t="n">
        <v/>
      </c>
      <c r="X172" t="n">
        <v/>
      </c>
      <c r="Y172" t="n">
        <v/>
      </c>
      <c r="Z172" t="n">
        <v/>
      </c>
      <c r="AA172" t="n">
        <v/>
      </c>
      <c r="AB172" t="n">
        <v>2.434537</v>
      </c>
      <c r="AC172" t="n">
        <v/>
      </c>
      <c r="AD172" t="n">
        <v>3.596483</v>
      </c>
      <c r="AE172" t="n">
        <v/>
      </c>
    </row>
    <row r="173">
      <c r="A173" s="87" t="n">
        <v>23833</v>
      </c>
      <c r="B173" t="n">
        <v>0.5827487</v>
      </c>
      <c r="C173" t="n">
        <v/>
      </c>
      <c r="D173" t="n">
        <v/>
      </c>
      <c r="E173" t="n">
        <v/>
      </c>
      <c r="F173" t="n">
        <v/>
      </c>
      <c r="G173" t="n">
        <v/>
      </c>
      <c r="H173" t="n">
        <v/>
      </c>
      <c r="I173" t="n">
        <v/>
      </c>
      <c r="J173" t="n">
        <v/>
      </c>
      <c r="K173" t="n">
        <v/>
      </c>
      <c r="L173" t="n">
        <v/>
      </c>
      <c r="M173" t="n">
        <v/>
      </c>
      <c r="N173" t="n">
        <v/>
      </c>
      <c r="O173" t="n">
        <v/>
      </c>
      <c r="P173" t="n">
        <v>0.05074587</v>
      </c>
      <c r="Q173" t="n">
        <v>0.004717696</v>
      </c>
      <c r="R173" t="n">
        <v/>
      </c>
      <c r="S173" t="n">
        <v/>
      </c>
      <c r="T173" t="n">
        <v/>
      </c>
      <c r="U173" t="n">
        <v/>
      </c>
      <c r="V173" t="n">
        <v>1.270249</v>
      </c>
      <c r="W173" t="n">
        <v/>
      </c>
      <c r="X173" t="n">
        <v/>
      </c>
      <c r="Y173" t="n">
        <v/>
      </c>
      <c r="Z173" t="n">
        <v/>
      </c>
      <c r="AA173" t="n">
        <v/>
      </c>
      <c r="AB173" t="n">
        <v>2.448971</v>
      </c>
      <c r="AC173" t="n">
        <v/>
      </c>
      <c r="AD173" t="n">
        <v>3.614748</v>
      </c>
      <c r="AE173" t="n">
        <v>0.1689011</v>
      </c>
    </row>
    <row r="174">
      <c r="A174" s="87" t="n">
        <v>23863</v>
      </c>
      <c r="B174" t="n">
        <v>0.5827487</v>
      </c>
      <c r="C174" t="n">
        <v/>
      </c>
      <c r="D174" t="n">
        <v/>
      </c>
      <c r="E174" t="n">
        <v/>
      </c>
      <c r="F174" t="n">
        <v/>
      </c>
      <c r="G174" t="n">
        <v/>
      </c>
      <c r="H174" t="n">
        <v/>
      </c>
      <c r="I174" t="n">
        <v/>
      </c>
      <c r="J174" t="n">
        <v/>
      </c>
      <c r="K174" t="n">
        <v/>
      </c>
      <c r="L174" t="n">
        <v/>
      </c>
      <c r="M174" t="n">
        <v/>
      </c>
      <c r="N174" t="n">
        <v/>
      </c>
      <c r="O174" t="n">
        <v/>
      </c>
      <c r="P174" t="n">
        <v>0.05136997</v>
      </c>
      <c r="Q174" t="n">
        <v>0.004775084</v>
      </c>
      <c r="R174" t="n">
        <v/>
      </c>
      <c r="S174" t="n">
        <v/>
      </c>
      <c r="T174" t="n">
        <v/>
      </c>
      <c r="U174" t="n">
        <v/>
      </c>
      <c r="V174" t="n">
        <v>1.273798</v>
      </c>
      <c r="W174" t="n">
        <v/>
      </c>
      <c r="X174" t="n">
        <v/>
      </c>
      <c r="Y174" t="n">
        <v/>
      </c>
      <c r="Z174" t="n">
        <v/>
      </c>
      <c r="AA174" t="n">
        <v/>
      </c>
      <c r="AB174" t="n">
        <v>2.452554</v>
      </c>
      <c r="AC174" t="n">
        <v/>
      </c>
      <c r="AD174" t="n">
        <v>3.628861</v>
      </c>
      <c r="AE174" t="n">
        <v>0.1700639</v>
      </c>
    </row>
    <row r="175">
      <c r="A175" s="87" t="n">
        <v>23894</v>
      </c>
      <c r="B175" t="n">
        <v>0.5855504</v>
      </c>
      <c r="C175" t="n">
        <v/>
      </c>
      <c r="D175" t="n">
        <v/>
      </c>
      <c r="E175" t="n">
        <v/>
      </c>
      <c r="F175" t="n">
        <v/>
      </c>
      <c r="G175" t="n">
        <v/>
      </c>
      <c r="H175" t="n">
        <v/>
      </c>
      <c r="I175" t="n">
        <v/>
      </c>
      <c r="J175" t="n">
        <v/>
      </c>
      <c r="K175" t="n">
        <v/>
      </c>
      <c r="L175" t="n">
        <v/>
      </c>
      <c r="M175" t="n">
        <v/>
      </c>
      <c r="N175" t="n">
        <v/>
      </c>
      <c r="O175" t="n">
        <v/>
      </c>
      <c r="P175" t="n">
        <v>0.05175373</v>
      </c>
      <c r="Q175" t="n">
        <v>0.004841473</v>
      </c>
      <c r="R175" t="n">
        <v/>
      </c>
      <c r="S175" t="n">
        <v/>
      </c>
      <c r="T175" t="n">
        <v/>
      </c>
      <c r="U175" t="n">
        <v/>
      </c>
      <c r="V175" t="n">
        <v>1.287017</v>
      </c>
      <c r="W175" t="n">
        <v/>
      </c>
      <c r="X175" t="n">
        <v/>
      </c>
      <c r="Y175" t="n">
        <v/>
      </c>
      <c r="Z175" t="n">
        <v/>
      </c>
      <c r="AA175" t="n">
        <v/>
      </c>
      <c r="AB175" t="n">
        <v>2.47366</v>
      </c>
      <c r="AC175" t="n">
        <v/>
      </c>
      <c r="AD175" t="n">
        <v>3.653768</v>
      </c>
      <c r="AE175" t="n">
        <v>0.1692385</v>
      </c>
    </row>
    <row r="176">
      <c r="A176" s="87" t="n">
        <v>23924</v>
      </c>
      <c r="B176" t="n">
        <v>0.588352</v>
      </c>
      <c r="C176" t="n">
        <v/>
      </c>
      <c r="D176" t="n">
        <v/>
      </c>
      <c r="E176" t="n">
        <v/>
      </c>
      <c r="F176" t="n">
        <v/>
      </c>
      <c r="G176" t="n">
        <v/>
      </c>
      <c r="H176" t="n">
        <v/>
      </c>
      <c r="I176" t="n">
        <v/>
      </c>
      <c r="J176" t="n">
        <v/>
      </c>
      <c r="K176" t="n">
        <v/>
      </c>
      <c r="L176" t="n">
        <v/>
      </c>
      <c r="M176" t="n">
        <v/>
      </c>
      <c r="N176" t="n">
        <v/>
      </c>
      <c r="O176" t="n">
        <v/>
      </c>
      <c r="P176" t="n">
        <v>0.05213328</v>
      </c>
      <c r="Q176" t="n">
        <v>0.004923689</v>
      </c>
      <c r="R176" t="n">
        <v/>
      </c>
      <c r="S176" t="n">
        <v/>
      </c>
      <c r="T176" t="n">
        <v/>
      </c>
      <c r="U176" t="n">
        <v/>
      </c>
      <c r="V176" t="n">
        <v>1.302882</v>
      </c>
      <c r="W176" t="n">
        <v/>
      </c>
      <c r="X176" t="n">
        <v/>
      </c>
      <c r="Y176" t="n">
        <v/>
      </c>
      <c r="Z176" t="n">
        <v/>
      </c>
      <c r="AA176" t="n">
        <v/>
      </c>
      <c r="AB176" t="n">
        <v>2.488707</v>
      </c>
      <c r="AC176" t="n">
        <v/>
      </c>
      <c r="AD176" t="n">
        <v>3.677014</v>
      </c>
      <c r="AE176" t="n">
        <v>0.1690081</v>
      </c>
    </row>
    <row r="177">
      <c r="A177" s="87" t="n">
        <v>23955</v>
      </c>
      <c r="B177" t="n">
        <v>0.588352</v>
      </c>
      <c r="C177" t="n">
        <v/>
      </c>
      <c r="D177" t="n">
        <v/>
      </c>
      <c r="E177" t="n">
        <v/>
      </c>
      <c r="F177" t="n">
        <v/>
      </c>
      <c r="G177" t="n">
        <v/>
      </c>
      <c r="H177" t="n">
        <v/>
      </c>
      <c r="I177" t="n">
        <v/>
      </c>
      <c r="J177" t="n">
        <v/>
      </c>
      <c r="K177" t="n">
        <v/>
      </c>
      <c r="L177" t="n">
        <v/>
      </c>
      <c r="M177" t="n">
        <v/>
      </c>
      <c r="N177" t="n">
        <v/>
      </c>
      <c r="O177" t="n">
        <v/>
      </c>
      <c r="P177" t="n">
        <v>0.05263134</v>
      </c>
      <c r="Q177" t="n">
        <v>0.005000126</v>
      </c>
      <c r="R177" t="n">
        <v/>
      </c>
      <c r="S177" t="n">
        <v/>
      </c>
      <c r="T177" t="n">
        <v/>
      </c>
      <c r="U177" t="n">
        <v/>
      </c>
      <c r="V177" t="n">
        <v>1.312065</v>
      </c>
      <c r="W177" t="n">
        <v/>
      </c>
      <c r="X177" t="n">
        <v/>
      </c>
      <c r="Y177" t="n">
        <v/>
      </c>
      <c r="Z177" t="n">
        <v/>
      </c>
      <c r="AA177" t="n">
        <v/>
      </c>
      <c r="AB177" t="n">
        <v>2.484949</v>
      </c>
      <c r="AC177" t="n">
        <v/>
      </c>
      <c r="AD177" t="n">
        <v>3.70109</v>
      </c>
      <c r="AE177" t="n">
        <v>0.169466</v>
      </c>
    </row>
    <row r="178">
      <c r="A178" s="87" t="n">
        <v>23986</v>
      </c>
      <c r="B178" t="n">
        <v>0.588352</v>
      </c>
      <c r="C178" t="n">
        <v/>
      </c>
      <c r="D178" t="n">
        <v/>
      </c>
      <c r="E178" t="n">
        <v/>
      </c>
      <c r="F178" t="n">
        <v/>
      </c>
      <c r="G178" t="n">
        <v/>
      </c>
      <c r="H178" t="n">
        <v/>
      </c>
      <c r="I178" t="n">
        <v/>
      </c>
      <c r="J178" t="n">
        <v/>
      </c>
      <c r="K178" t="n">
        <v/>
      </c>
      <c r="L178" t="n">
        <v/>
      </c>
      <c r="M178" t="n">
        <v/>
      </c>
      <c r="N178" t="n">
        <v/>
      </c>
      <c r="O178" t="n">
        <v/>
      </c>
      <c r="P178" t="n">
        <v>0.05303506</v>
      </c>
      <c r="Q178" t="n">
        <v>0.005067888</v>
      </c>
      <c r="R178" t="n">
        <v/>
      </c>
      <c r="S178" t="n">
        <v/>
      </c>
      <c r="T178" t="n">
        <v/>
      </c>
      <c r="U178" t="n">
        <v/>
      </c>
      <c r="V178" t="n">
        <v>1.318929</v>
      </c>
      <c r="W178" t="n">
        <v/>
      </c>
      <c r="X178" t="n">
        <v/>
      </c>
      <c r="Y178" t="n">
        <v/>
      </c>
      <c r="Z178" t="n">
        <v/>
      </c>
      <c r="AA178" t="n">
        <v/>
      </c>
      <c r="AB178" t="n">
        <v>2.495981</v>
      </c>
      <c r="AC178" t="n">
        <v/>
      </c>
      <c r="AD178" t="n">
        <v>3.731808</v>
      </c>
      <c r="AE178" t="n">
        <v>0.1691621</v>
      </c>
    </row>
    <row r="179">
      <c r="A179" s="87" t="n">
        <v>24016</v>
      </c>
      <c r="B179" t="n">
        <v>0.5911537</v>
      </c>
      <c r="C179" t="n">
        <v/>
      </c>
      <c r="D179" t="n">
        <v/>
      </c>
      <c r="E179" t="n">
        <v/>
      </c>
      <c r="F179" t="n">
        <v/>
      </c>
      <c r="G179" t="n">
        <v/>
      </c>
      <c r="H179" t="n">
        <v/>
      </c>
      <c r="I179" t="n">
        <v/>
      </c>
      <c r="J179" t="n">
        <v/>
      </c>
      <c r="K179" t="n">
        <v/>
      </c>
      <c r="L179" t="n">
        <v/>
      </c>
      <c r="M179" t="n">
        <v/>
      </c>
      <c r="N179" t="n">
        <v/>
      </c>
      <c r="O179" t="n">
        <v/>
      </c>
      <c r="P179" t="n">
        <v>0.05344545</v>
      </c>
      <c r="Q179" t="n">
        <v>0.005170348</v>
      </c>
      <c r="R179" t="n">
        <v/>
      </c>
      <c r="S179" t="n">
        <v/>
      </c>
      <c r="T179" t="n">
        <v/>
      </c>
      <c r="U179" t="n">
        <v/>
      </c>
      <c r="V179" t="n">
        <v>1.324164</v>
      </c>
      <c r="W179" t="n">
        <v/>
      </c>
      <c r="X179" t="n">
        <v/>
      </c>
      <c r="Y179" t="n">
        <v/>
      </c>
      <c r="Z179" t="n">
        <v/>
      </c>
      <c r="AA179" t="n">
        <v/>
      </c>
      <c r="AB179" t="n">
        <v>2.506794</v>
      </c>
      <c r="AC179" t="n">
        <v/>
      </c>
      <c r="AD179" t="n">
        <v>3.757545</v>
      </c>
      <c r="AE179" t="n">
        <v>0.1697875</v>
      </c>
    </row>
    <row r="180">
      <c r="A180" s="87" t="n">
        <v>24047</v>
      </c>
      <c r="B180" t="n">
        <v>0.5939554</v>
      </c>
      <c r="C180" t="n">
        <v/>
      </c>
      <c r="D180" t="n">
        <v/>
      </c>
      <c r="E180" t="n">
        <v/>
      </c>
      <c r="F180" t="n">
        <v/>
      </c>
      <c r="G180" t="n">
        <v/>
      </c>
      <c r="H180" t="n">
        <v/>
      </c>
      <c r="I180" t="n">
        <v/>
      </c>
      <c r="J180" t="n">
        <v/>
      </c>
      <c r="K180" t="n">
        <v/>
      </c>
      <c r="L180" t="n">
        <v/>
      </c>
      <c r="M180" t="n">
        <v/>
      </c>
      <c r="N180" t="n">
        <v/>
      </c>
      <c r="O180" t="n">
        <v/>
      </c>
      <c r="P180" t="n">
        <v>0.05394485</v>
      </c>
      <c r="Q180" t="n">
        <v>0.005299147</v>
      </c>
      <c r="R180" t="n">
        <v/>
      </c>
      <c r="S180" t="n">
        <v/>
      </c>
      <c r="T180" t="n">
        <v/>
      </c>
      <c r="U180" t="n">
        <v/>
      </c>
      <c r="V180" t="n">
        <v>1.333827</v>
      </c>
      <c r="W180" t="n">
        <v/>
      </c>
      <c r="X180" t="n">
        <v/>
      </c>
      <c r="Y180" t="n">
        <v/>
      </c>
      <c r="Z180" t="n">
        <v/>
      </c>
      <c r="AA180" t="n">
        <v/>
      </c>
      <c r="AB180" t="n">
        <v>2.522772</v>
      </c>
      <c r="AC180" t="n">
        <v/>
      </c>
      <c r="AD180" t="n">
        <v>3.783281</v>
      </c>
      <c r="AE180" t="n">
        <v>0.17073</v>
      </c>
    </row>
    <row r="181">
      <c r="A181" s="87" t="n">
        <v>24077</v>
      </c>
      <c r="B181" t="n">
        <v>0.5967571</v>
      </c>
      <c r="C181" t="n">
        <v/>
      </c>
      <c r="D181" t="n">
        <v/>
      </c>
      <c r="E181" t="n">
        <v/>
      </c>
      <c r="F181" t="n">
        <v/>
      </c>
      <c r="G181" t="n">
        <v/>
      </c>
      <c r="H181" t="n">
        <v/>
      </c>
      <c r="I181" t="n">
        <v/>
      </c>
      <c r="J181" t="n">
        <v/>
      </c>
      <c r="K181" t="n">
        <v/>
      </c>
      <c r="L181" t="n">
        <v/>
      </c>
      <c r="M181" t="n">
        <v/>
      </c>
      <c r="N181" t="n">
        <v/>
      </c>
      <c r="O181" t="n">
        <v/>
      </c>
      <c r="P181" t="n">
        <v>0.05449168</v>
      </c>
      <c r="Q181" t="n">
        <v>0.00545454</v>
      </c>
      <c r="R181" t="n">
        <v/>
      </c>
      <c r="S181" t="n">
        <v/>
      </c>
      <c r="T181" t="n">
        <v/>
      </c>
      <c r="U181" t="n">
        <v/>
      </c>
      <c r="V181" t="n">
        <v>1.347904</v>
      </c>
      <c r="W181" t="n">
        <v/>
      </c>
      <c r="X181" t="n">
        <v/>
      </c>
      <c r="Y181" t="n">
        <v/>
      </c>
      <c r="Z181" t="n">
        <v/>
      </c>
      <c r="AA181" t="n">
        <v/>
      </c>
      <c r="AB181" t="n">
        <v>2.539871</v>
      </c>
      <c r="AC181" t="n">
        <v/>
      </c>
      <c r="AD181" t="n">
        <v>3.812339</v>
      </c>
      <c r="AE181" t="n">
        <v>0.1719275</v>
      </c>
    </row>
    <row r="182">
      <c r="A182" s="87" t="n">
        <v>24108</v>
      </c>
      <c r="B182" t="n">
        <v>0.5995587</v>
      </c>
      <c r="C182" t="n">
        <v/>
      </c>
      <c r="D182" t="n">
        <v/>
      </c>
      <c r="E182" t="n">
        <v/>
      </c>
      <c r="F182" t="n">
        <v/>
      </c>
      <c r="G182" t="n">
        <v/>
      </c>
      <c r="H182" t="n">
        <v/>
      </c>
      <c r="I182" t="n">
        <v/>
      </c>
      <c r="J182" t="n">
        <v/>
      </c>
      <c r="K182" t="n">
        <v/>
      </c>
      <c r="L182" t="n">
        <v/>
      </c>
      <c r="M182" t="n">
        <v/>
      </c>
      <c r="N182" t="n">
        <v/>
      </c>
      <c r="O182" t="n">
        <v/>
      </c>
      <c r="P182" t="n">
        <v>0.05507538</v>
      </c>
      <c r="Q182" t="n">
        <v>0.005619522</v>
      </c>
      <c r="R182" t="n">
        <v/>
      </c>
      <c r="S182" t="n">
        <v/>
      </c>
      <c r="T182" t="n">
        <v/>
      </c>
      <c r="U182" t="n">
        <v/>
      </c>
      <c r="V182" t="n">
        <v>1.360171</v>
      </c>
      <c r="W182" t="n">
        <v/>
      </c>
      <c r="X182" t="n">
        <v/>
      </c>
      <c r="Y182" t="n">
        <v/>
      </c>
      <c r="Z182" t="n">
        <v/>
      </c>
      <c r="AA182" t="n">
        <v/>
      </c>
      <c r="AB182" t="n">
        <v>2.553746</v>
      </c>
      <c r="AC182" t="n">
        <v/>
      </c>
      <c r="AD182" t="n">
        <v>3.835585</v>
      </c>
      <c r="AE182" t="n">
        <v>0.1728712</v>
      </c>
    </row>
    <row r="183">
      <c r="A183" s="87" t="n">
        <v>24139</v>
      </c>
      <c r="B183" t="n">
        <v>0.6051621</v>
      </c>
      <c r="C183" t="n">
        <v/>
      </c>
      <c r="D183" t="n">
        <v/>
      </c>
      <c r="E183" t="n">
        <v/>
      </c>
      <c r="F183" t="n">
        <v/>
      </c>
      <c r="G183" t="n">
        <v/>
      </c>
      <c r="H183" t="n">
        <v/>
      </c>
      <c r="I183" t="n">
        <v/>
      </c>
      <c r="J183" t="n">
        <v/>
      </c>
      <c r="K183" t="n">
        <v/>
      </c>
      <c r="L183" t="n">
        <v/>
      </c>
      <c r="M183" t="n">
        <v/>
      </c>
      <c r="N183" t="n">
        <v/>
      </c>
      <c r="O183" t="n">
        <v/>
      </c>
      <c r="P183" t="n">
        <v>0.05555454</v>
      </c>
      <c r="Q183" t="n">
        <v>0.005693945</v>
      </c>
      <c r="R183" t="n">
        <v/>
      </c>
      <c r="S183" t="n">
        <v/>
      </c>
      <c r="T183" t="n">
        <v/>
      </c>
      <c r="U183" t="n">
        <v/>
      </c>
      <c r="V183" t="n">
        <v>1.369746</v>
      </c>
      <c r="W183" t="n">
        <v/>
      </c>
      <c r="X183" t="n">
        <v/>
      </c>
      <c r="Y183" t="n">
        <v/>
      </c>
      <c r="Z183" t="n">
        <v/>
      </c>
      <c r="AA183" t="n">
        <v/>
      </c>
      <c r="AB183" t="n">
        <v>2.570923</v>
      </c>
      <c r="AC183" t="n">
        <v/>
      </c>
      <c r="AD183" t="n">
        <v>3.85717</v>
      </c>
      <c r="AE183" t="n">
        <v>0.1734393</v>
      </c>
    </row>
    <row r="184">
      <c r="A184" s="87" t="n">
        <v>24167</v>
      </c>
      <c r="B184" t="n">
        <v>0.6107655</v>
      </c>
      <c r="C184" t="n">
        <v/>
      </c>
      <c r="D184" t="n">
        <v/>
      </c>
      <c r="E184" t="n">
        <v/>
      </c>
      <c r="F184" t="n">
        <v/>
      </c>
      <c r="G184" t="n">
        <v/>
      </c>
      <c r="H184" t="n">
        <v/>
      </c>
      <c r="I184" t="n">
        <v/>
      </c>
      <c r="J184" t="n">
        <v/>
      </c>
      <c r="K184" t="n">
        <v/>
      </c>
      <c r="L184" t="n">
        <v/>
      </c>
      <c r="M184" t="n">
        <v/>
      </c>
      <c r="N184" t="n">
        <v/>
      </c>
      <c r="O184" t="n">
        <v/>
      </c>
      <c r="P184" t="n">
        <v>0.05597505</v>
      </c>
      <c r="Q184" t="n">
        <v>0.005707911</v>
      </c>
      <c r="R184" t="n">
        <v/>
      </c>
      <c r="S184" t="n">
        <v/>
      </c>
      <c r="T184" t="n">
        <v/>
      </c>
      <c r="U184" t="n">
        <v/>
      </c>
      <c r="V184" t="n">
        <v>1.375109</v>
      </c>
      <c r="W184" t="n">
        <v/>
      </c>
      <c r="X184" t="n">
        <v/>
      </c>
      <c r="Y184" t="n">
        <v/>
      </c>
      <c r="Z184" t="n">
        <v/>
      </c>
      <c r="AA184" t="n">
        <v/>
      </c>
      <c r="AB184" t="n">
        <v>2.591389</v>
      </c>
      <c r="AC184" t="n">
        <v/>
      </c>
      <c r="AD184" t="n">
        <v>3.878756</v>
      </c>
      <c r="AE184" t="n">
        <v>0.1738544</v>
      </c>
    </row>
    <row r="185">
      <c r="A185" s="87" t="n">
        <v>24198</v>
      </c>
      <c r="B185" t="n">
        <v>0.6107655</v>
      </c>
      <c r="C185" t="n">
        <v/>
      </c>
      <c r="D185" t="n">
        <v/>
      </c>
      <c r="E185" t="n">
        <v/>
      </c>
      <c r="F185" t="n">
        <v/>
      </c>
      <c r="G185" t="n">
        <v/>
      </c>
      <c r="H185" t="n">
        <v/>
      </c>
      <c r="I185" t="n">
        <v/>
      </c>
      <c r="J185" t="n">
        <v/>
      </c>
      <c r="K185" t="n">
        <v/>
      </c>
      <c r="L185" t="n">
        <v/>
      </c>
      <c r="M185" t="n">
        <v/>
      </c>
      <c r="N185" t="n">
        <v/>
      </c>
      <c r="O185" t="n">
        <v/>
      </c>
      <c r="P185" t="n">
        <v>0.05660703</v>
      </c>
      <c r="Q185" t="n">
        <v>0.005734433</v>
      </c>
      <c r="R185" t="n">
        <v/>
      </c>
      <c r="S185" t="n">
        <v/>
      </c>
      <c r="T185" t="n">
        <v/>
      </c>
      <c r="U185" t="n">
        <v/>
      </c>
      <c r="V185" t="n">
        <v>1.378681</v>
      </c>
      <c r="W185" t="n">
        <v/>
      </c>
      <c r="X185" t="n">
        <v/>
      </c>
      <c r="Y185" t="n">
        <v/>
      </c>
      <c r="Z185" t="n">
        <v/>
      </c>
      <c r="AA185" t="n">
        <v/>
      </c>
      <c r="AB185" t="n">
        <v>2.611179</v>
      </c>
      <c r="AC185" t="n">
        <v/>
      </c>
      <c r="AD185" t="n">
        <v>3.89619</v>
      </c>
      <c r="AE185" t="n">
        <v>0.1750641</v>
      </c>
    </row>
    <row r="186">
      <c r="A186" s="87" t="n">
        <v>24228</v>
      </c>
      <c r="B186" t="n">
        <v>0.6135671</v>
      </c>
      <c r="C186" t="n">
        <v/>
      </c>
      <c r="D186" t="n">
        <v/>
      </c>
      <c r="E186" t="n">
        <v/>
      </c>
      <c r="F186" t="n">
        <v/>
      </c>
      <c r="G186" t="n">
        <v/>
      </c>
      <c r="H186" t="n">
        <v/>
      </c>
      <c r="I186" t="n">
        <v/>
      </c>
      <c r="J186" t="n">
        <v/>
      </c>
      <c r="K186" t="n">
        <v/>
      </c>
      <c r="L186" t="n">
        <v/>
      </c>
      <c r="M186" t="n">
        <v/>
      </c>
      <c r="N186" t="n">
        <v/>
      </c>
      <c r="O186" t="n">
        <v/>
      </c>
      <c r="P186" t="n">
        <v>0.05726546</v>
      </c>
      <c r="Q186" t="n">
        <v>0.0057693</v>
      </c>
      <c r="R186" t="n">
        <v/>
      </c>
      <c r="S186" t="n">
        <v/>
      </c>
      <c r="T186" t="n">
        <v/>
      </c>
      <c r="U186" t="n">
        <v/>
      </c>
      <c r="V186" t="n">
        <v>1.389405</v>
      </c>
      <c r="W186" t="n">
        <v/>
      </c>
      <c r="X186" t="n">
        <v/>
      </c>
      <c r="Y186" t="n">
        <v/>
      </c>
      <c r="Z186" t="n">
        <v/>
      </c>
      <c r="AA186" t="n">
        <v/>
      </c>
      <c r="AB186" t="n">
        <v>2.632138</v>
      </c>
      <c r="AC186" t="n">
        <v/>
      </c>
      <c r="AD186" t="n">
        <v>3.902832</v>
      </c>
      <c r="AE186" t="n">
        <v>0.1777355</v>
      </c>
    </row>
    <row r="187">
      <c r="A187" s="87" t="n">
        <v>24259</v>
      </c>
      <c r="B187" t="n">
        <v>0.6191705</v>
      </c>
      <c r="C187" t="n">
        <v/>
      </c>
      <c r="D187" t="n">
        <v/>
      </c>
      <c r="E187" t="n">
        <v/>
      </c>
      <c r="F187" t="n">
        <v/>
      </c>
      <c r="G187" t="n">
        <v/>
      </c>
      <c r="H187" t="n">
        <v/>
      </c>
      <c r="I187" t="n">
        <v/>
      </c>
      <c r="J187" t="n">
        <v/>
      </c>
      <c r="K187" t="n">
        <v/>
      </c>
      <c r="L187" t="n">
        <v/>
      </c>
      <c r="M187" t="n">
        <v/>
      </c>
      <c r="N187" t="n">
        <v/>
      </c>
      <c r="O187" t="n">
        <v/>
      </c>
      <c r="P187" t="n">
        <v>0.05770947</v>
      </c>
      <c r="Q187" t="n">
        <v>0.005828875</v>
      </c>
      <c r="R187" t="n">
        <v/>
      </c>
      <c r="S187" t="n">
        <v/>
      </c>
      <c r="T187" t="n">
        <v/>
      </c>
      <c r="U187" t="n">
        <v/>
      </c>
      <c r="V187" t="n">
        <v>1.399194</v>
      </c>
      <c r="W187" t="n">
        <v/>
      </c>
      <c r="X187" t="n">
        <v/>
      </c>
      <c r="Y187" t="n">
        <v/>
      </c>
      <c r="Z187" t="n">
        <v/>
      </c>
      <c r="AA187" t="n">
        <v/>
      </c>
      <c r="AB187" t="n">
        <v>2.663527</v>
      </c>
      <c r="AC187" t="n">
        <v/>
      </c>
      <c r="AD187" t="n">
        <v>3.911964</v>
      </c>
      <c r="AE187" t="n">
        <v>0.1802882</v>
      </c>
    </row>
    <row r="188">
      <c r="A188" s="87" t="n">
        <v>24289</v>
      </c>
      <c r="B188" t="n">
        <v>0.6219721</v>
      </c>
      <c r="C188" t="n">
        <v/>
      </c>
      <c r="D188" t="n">
        <v/>
      </c>
      <c r="E188" t="n">
        <v/>
      </c>
      <c r="F188" t="n">
        <v/>
      </c>
      <c r="G188" t="n">
        <v/>
      </c>
      <c r="H188" t="n">
        <v/>
      </c>
      <c r="I188" t="n">
        <v/>
      </c>
      <c r="J188" t="n">
        <v/>
      </c>
      <c r="K188" t="n">
        <v/>
      </c>
      <c r="L188" t="n">
        <v/>
      </c>
      <c r="M188" t="n">
        <v/>
      </c>
      <c r="N188" t="n">
        <v/>
      </c>
      <c r="O188" t="n">
        <v/>
      </c>
      <c r="P188" t="n">
        <v>0.05827255</v>
      </c>
      <c r="Q188" t="n">
        <v>0.005885704</v>
      </c>
      <c r="R188" t="n">
        <v/>
      </c>
      <c r="S188" t="n">
        <v/>
      </c>
      <c r="T188" t="n">
        <v/>
      </c>
      <c r="U188" t="n">
        <v/>
      </c>
      <c r="V188" t="n">
        <v>1.406604</v>
      </c>
      <c r="W188" t="n">
        <v/>
      </c>
      <c r="X188" t="n">
        <v/>
      </c>
      <c r="Y188" t="n">
        <v/>
      </c>
      <c r="Z188" t="n">
        <v/>
      </c>
      <c r="AA188" t="n">
        <v/>
      </c>
      <c r="AB188" t="n">
        <v>2.687585</v>
      </c>
      <c r="AC188" t="n">
        <v/>
      </c>
      <c r="AD188" t="n">
        <v>3.909474</v>
      </c>
      <c r="AE188" t="n">
        <v>0.1830882</v>
      </c>
    </row>
    <row r="189">
      <c r="A189" s="87" t="n">
        <v>24320</v>
      </c>
      <c r="B189" t="n">
        <v>0.6247738</v>
      </c>
      <c r="C189" t="n">
        <v/>
      </c>
      <c r="D189" t="n">
        <v/>
      </c>
      <c r="E189" t="n">
        <v/>
      </c>
      <c r="F189" t="n">
        <v/>
      </c>
      <c r="G189" t="n">
        <v/>
      </c>
      <c r="H189" t="n">
        <v/>
      </c>
      <c r="I189" t="n">
        <v/>
      </c>
      <c r="J189" t="n">
        <v/>
      </c>
      <c r="K189" t="n">
        <v/>
      </c>
      <c r="L189" t="n">
        <v/>
      </c>
      <c r="M189" t="n">
        <v/>
      </c>
      <c r="N189" t="n">
        <v/>
      </c>
      <c r="O189" t="n">
        <v/>
      </c>
      <c r="P189" t="n">
        <v>0.05882042</v>
      </c>
      <c r="Q189" t="n">
        <v>0.005908799</v>
      </c>
      <c r="R189" t="n">
        <v/>
      </c>
      <c r="S189" t="n">
        <v/>
      </c>
      <c r="T189" t="n">
        <v/>
      </c>
      <c r="U189" t="n">
        <v/>
      </c>
      <c r="V189" t="n">
        <v>1.422022</v>
      </c>
      <c r="W189" t="n">
        <v/>
      </c>
      <c r="X189" t="n">
        <v/>
      </c>
      <c r="Y189" t="n">
        <v/>
      </c>
      <c r="Z189" t="n">
        <v/>
      </c>
      <c r="AA189" t="n">
        <v/>
      </c>
      <c r="AB189" t="n">
        <v>2.699467</v>
      </c>
      <c r="AC189" t="n">
        <v/>
      </c>
      <c r="AD189" t="n">
        <v>3.923587</v>
      </c>
      <c r="AE189" t="n">
        <v>0.1844466</v>
      </c>
    </row>
    <row r="190">
      <c r="A190" s="87" t="n">
        <v>24351</v>
      </c>
      <c r="B190" t="n">
        <v>0.6303772</v>
      </c>
      <c r="C190" t="n">
        <v/>
      </c>
      <c r="D190" t="n">
        <v/>
      </c>
      <c r="E190" t="n">
        <v/>
      </c>
      <c r="F190" t="n">
        <v/>
      </c>
      <c r="G190" t="n">
        <v/>
      </c>
      <c r="H190" t="n">
        <v/>
      </c>
      <c r="I190" t="n">
        <v/>
      </c>
      <c r="J190" t="n">
        <v/>
      </c>
      <c r="K190" t="n">
        <v/>
      </c>
      <c r="L190" t="n">
        <v/>
      </c>
      <c r="M190" t="n">
        <v/>
      </c>
      <c r="N190" t="n">
        <v/>
      </c>
      <c r="O190" t="n">
        <v/>
      </c>
      <c r="P190" t="n">
        <v>0.05904577</v>
      </c>
      <c r="Q190" t="n">
        <v>0.005973013</v>
      </c>
      <c r="R190" t="n">
        <v/>
      </c>
      <c r="S190" t="n">
        <v/>
      </c>
      <c r="T190" t="n">
        <v/>
      </c>
      <c r="U190" t="n">
        <v/>
      </c>
      <c r="V190" t="n">
        <v>1.435712</v>
      </c>
      <c r="W190" t="n">
        <v/>
      </c>
      <c r="X190" t="n">
        <v/>
      </c>
      <c r="Y190" t="n">
        <v/>
      </c>
      <c r="Z190" t="n">
        <v/>
      </c>
      <c r="AA190" t="n">
        <v/>
      </c>
      <c r="AB190" t="n">
        <v>2.71687</v>
      </c>
      <c r="AC190" t="n">
        <v/>
      </c>
      <c r="AD190" t="n">
        <v>3.946833</v>
      </c>
      <c r="AE190" t="n">
        <v>0.1855394</v>
      </c>
    </row>
    <row r="191">
      <c r="A191" s="87" t="n">
        <v>24381</v>
      </c>
      <c r="B191" t="n">
        <v>0.6359804999999999</v>
      </c>
      <c r="C191" t="n">
        <v/>
      </c>
      <c r="D191" t="n">
        <v/>
      </c>
      <c r="E191" t="n">
        <v/>
      </c>
      <c r="F191" t="n">
        <v/>
      </c>
      <c r="G191" t="n">
        <v/>
      </c>
      <c r="H191" t="n">
        <v/>
      </c>
      <c r="I191" t="n">
        <v/>
      </c>
      <c r="J191" t="n">
        <v/>
      </c>
      <c r="K191" t="n">
        <v/>
      </c>
      <c r="L191" t="n">
        <v/>
      </c>
      <c r="M191" t="n">
        <v/>
      </c>
      <c r="N191" t="n">
        <v/>
      </c>
      <c r="O191" t="n">
        <v/>
      </c>
      <c r="P191" t="n">
        <v>0.05940982</v>
      </c>
      <c r="Q191" t="n">
        <v>0.006067999</v>
      </c>
      <c r="R191" t="n">
        <v/>
      </c>
      <c r="S191" t="n">
        <v/>
      </c>
      <c r="T191" t="n">
        <v/>
      </c>
      <c r="U191" t="n">
        <v/>
      </c>
      <c r="V191" t="n">
        <v>1.441357</v>
      </c>
      <c r="W191" t="n">
        <v/>
      </c>
      <c r="X191" t="n">
        <v/>
      </c>
      <c r="Y191" t="n">
        <v/>
      </c>
      <c r="Z191" t="n">
        <v/>
      </c>
      <c r="AA191" t="n">
        <v/>
      </c>
      <c r="AB191" t="n">
        <v>2.73779</v>
      </c>
      <c r="AC191" t="n">
        <v/>
      </c>
      <c r="AD191" t="n">
        <v>3.949324</v>
      </c>
      <c r="AE191" t="n">
        <v>0.1870406</v>
      </c>
    </row>
    <row r="192">
      <c r="A192" s="87" t="n">
        <v>24412</v>
      </c>
      <c r="B192" t="n">
        <v>0.6415839</v>
      </c>
      <c r="C192" t="n">
        <v/>
      </c>
      <c r="D192" t="n">
        <v/>
      </c>
      <c r="E192" t="n">
        <v/>
      </c>
      <c r="F192" t="n">
        <v/>
      </c>
      <c r="G192" t="n">
        <v/>
      </c>
      <c r="H192" t="n">
        <v/>
      </c>
      <c r="I192" t="n">
        <v/>
      </c>
      <c r="J192" t="n">
        <v/>
      </c>
      <c r="K192" t="n">
        <v/>
      </c>
      <c r="L192" t="n">
        <v/>
      </c>
      <c r="M192" t="n">
        <v/>
      </c>
      <c r="N192" t="n">
        <v/>
      </c>
      <c r="O192" t="n">
        <v/>
      </c>
      <c r="P192" t="n">
        <v>0.06007482</v>
      </c>
      <c r="Q192" t="n">
        <v>0.006133731</v>
      </c>
      <c r="R192" t="n">
        <v/>
      </c>
      <c r="S192" t="n">
        <v/>
      </c>
      <c r="T192" t="n">
        <v/>
      </c>
      <c r="U192" t="n">
        <v/>
      </c>
      <c r="V192" t="n">
        <v>1.449661</v>
      </c>
      <c r="W192" t="n">
        <v/>
      </c>
      <c r="X192" t="n">
        <v/>
      </c>
      <c r="Y192" t="n">
        <v/>
      </c>
      <c r="Z192" t="n">
        <v/>
      </c>
      <c r="AA192" t="n">
        <v/>
      </c>
      <c r="AB192" t="n">
        <v>2.758021</v>
      </c>
      <c r="AC192" t="n">
        <v/>
      </c>
      <c r="AD192" t="n">
        <v>3.962607</v>
      </c>
      <c r="AE192" t="n">
        <v>0.1872674</v>
      </c>
    </row>
    <row r="193">
      <c r="A193" s="87" t="n">
        <v>24442</v>
      </c>
      <c r="B193" t="n">
        <v>0.6443856</v>
      </c>
      <c r="C193" t="n">
        <v/>
      </c>
      <c r="D193" t="n">
        <v/>
      </c>
      <c r="E193" t="n">
        <v/>
      </c>
      <c r="F193" t="n">
        <v/>
      </c>
      <c r="G193" t="n">
        <v/>
      </c>
      <c r="H193" t="n">
        <v/>
      </c>
      <c r="I193" t="n">
        <v/>
      </c>
      <c r="J193" t="n">
        <v/>
      </c>
      <c r="K193" t="n">
        <v/>
      </c>
      <c r="L193" t="n">
        <v/>
      </c>
      <c r="M193" t="n">
        <v/>
      </c>
      <c r="N193" t="n">
        <v/>
      </c>
      <c r="O193" t="n">
        <v/>
      </c>
      <c r="P193" t="n">
        <v>0.06067137</v>
      </c>
      <c r="Q193" t="n">
        <v>0.00619916</v>
      </c>
      <c r="R193" t="n">
        <v/>
      </c>
      <c r="S193" t="n">
        <v/>
      </c>
      <c r="T193" t="n">
        <v/>
      </c>
      <c r="U193" t="n">
        <v/>
      </c>
      <c r="V193" t="n">
        <v>1.461916</v>
      </c>
      <c r="W193" t="n">
        <v/>
      </c>
      <c r="X193" t="n">
        <v/>
      </c>
      <c r="Y193" t="n">
        <v/>
      </c>
      <c r="Z193" t="n">
        <v/>
      </c>
      <c r="AA193" t="n">
        <v/>
      </c>
      <c r="AB193" t="n">
        <v>2.773508</v>
      </c>
      <c r="AC193" t="n">
        <v/>
      </c>
      <c r="AD193" t="n">
        <v>3.986683</v>
      </c>
      <c r="AE193" t="n">
        <v>0.1880332</v>
      </c>
    </row>
    <row r="194">
      <c r="A194" s="87" t="n">
        <v>24473</v>
      </c>
      <c r="B194" t="n">
        <v>0.6471872</v>
      </c>
      <c r="C194" t="n">
        <v/>
      </c>
      <c r="D194" t="n">
        <v/>
      </c>
      <c r="E194" t="n">
        <v/>
      </c>
      <c r="F194" t="n">
        <v/>
      </c>
      <c r="G194" t="n">
        <v/>
      </c>
      <c r="H194" t="n">
        <v/>
      </c>
      <c r="I194" t="n">
        <v/>
      </c>
      <c r="J194" t="n">
        <v/>
      </c>
      <c r="K194" t="n">
        <v/>
      </c>
      <c r="L194" t="n">
        <v/>
      </c>
      <c r="M194" t="n">
        <v/>
      </c>
      <c r="N194" t="n">
        <v/>
      </c>
      <c r="O194" t="n">
        <v/>
      </c>
      <c r="P194" t="n">
        <v>0.0611</v>
      </c>
      <c r="Q194" t="n">
        <v>0.006253341</v>
      </c>
      <c r="R194" t="n">
        <v/>
      </c>
      <c r="S194" t="n">
        <v/>
      </c>
      <c r="T194" t="n">
        <v/>
      </c>
      <c r="U194" t="n">
        <v/>
      </c>
      <c r="V194" t="n">
        <v>1.46905</v>
      </c>
      <c r="W194" t="n">
        <v/>
      </c>
      <c r="X194" t="n">
        <v/>
      </c>
      <c r="Y194" t="n">
        <v/>
      </c>
      <c r="Z194" t="n">
        <v/>
      </c>
      <c r="AA194" t="n">
        <v/>
      </c>
      <c r="AB194" t="n">
        <v>2.797889</v>
      </c>
      <c r="AC194" t="n">
        <v/>
      </c>
      <c r="AD194" t="n">
        <v>3.998306</v>
      </c>
      <c r="AE194" t="n">
        <v>0.1895375</v>
      </c>
    </row>
    <row r="195">
      <c r="A195" s="87" t="n">
        <v>24504</v>
      </c>
      <c r="B195" t="n">
        <v>0.6527906</v>
      </c>
      <c r="C195" t="n">
        <v/>
      </c>
      <c r="D195" t="n">
        <v/>
      </c>
      <c r="E195" t="n">
        <v/>
      </c>
      <c r="F195" t="n">
        <v/>
      </c>
      <c r="G195" t="n">
        <v/>
      </c>
      <c r="H195" t="n">
        <v/>
      </c>
      <c r="I195" t="n">
        <v/>
      </c>
      <c r="J195" t="n">
        <v/>
      </c>
      <c r="K195" t="n">
        <v/>
      </c>
      <c r="L195" t="n">
        <v/>
      </c>
      <c r="M195" t="n">
        <v/>
      </c>
      <c r="N195" t="n">
        <v/>
      </c>
      <c r="O195" t="n">
        <v/>
      </c>
      <c r="P195" t="n">
        <v>0.0615376</v>
      </c>
      <c r="Q195" t="n">
        <v>0.006259528</v>
      </c>
      <c r="R195" t="n">
        <v/>
      </c>
      <c r="S195" t="n">
        <v/>
      </c>
      <c r="T195" t="n">
        <v/>
      </c>
      <c r="U195" t="n">
        <v/>
      </c>
      <c r="V195" t="n">
        <v>1.482366</v>
      </c>
      <c r="W195" t="n">
        <v/>
      </c>
      <c r="X195" t="n">
        <v/>
      </c>
      <c r="Y195" t="n">
        <v/>
      </c>
      <c r="Z195" t="n">
        <v/>
      </c>
      <c r="AA195" t="n">
        <v/>
      </c>
      <c r="AB195" t="n">
        <v>2.829052</v>
      </c>
      <c r="AC195" t="n">
        <v/>
      </c>
      <c r="AD195" t="n">
        <v>4.027364</v>
      </c>
      <c r="AE195" t="n">
        <v>0.1901628</v>
      </c>
    </row>
    <row r="196">
      <c r="A196" s="87" t="n">
        <v>24532</v>
      </c>
      <c r="B196" t="n">
        <v>0.6555923</v>
      </c>
      <c r="C196" t="n">
        <v/>
      </c>
      <c r="D196" t="n">
        <v/>
      </c>
      <c r="E196" t="n">
        <v/>
      </c>
      <c r="F196" t="n">
        <v/>
      </c>
      <c r="G196" t="n">
        <v/>
      </c>
      <c r="H196" t="n">
        <v/>
      </c>
      <c r="I196" t="n">
        <v/>
      </c>
      <c r="J196" t="n">
        <v/>
      </c>
      <c r="K196" t="n">
        <v/>
      </c>
      <c r="L196" t="n">
        <v/>
      </c>
      <c r="M196" t="n">
        <v/>
      </c>
      <c r="N196" t="n">
        <v/>
      </c>
      <c r="O196" t="n">
        <v/>
      </c>
      <c r="P196" t="n">
        <v>0.06211763</v>
      </c>
      <c r="Q196" t="n">
        <v>0.006296658</v>
      </c>
      <c r="R196" t="n">
        <v/>
      </c>
      <c r="S196" t="n">
        <v/>
      </c>
      <c r="T196" t="n">
        <v/>
      </c>
      <c r="U196" t="n">
        <v/>
      </c>
      <c r="V196" t="n">
        <v>1.496088</v>
      </c>
      <c r="W196" t="n">
        <v/>
      </c>
      <c r="X196" t="n">
        <v/>
      </c>
      <c r="Y196" t="n">
        <v/>
      </c>
      <c r="Z196" t="n">
        <v/>
      </c>
      <c r="AA196" t="n">
        <v/>
      </c>
      <c r="AB196" t="n">
        <v>2.85219</v>
      </c>
      <c r="AC196" t="n">
        <v/>
      </c>
      <c r="AD196" t="n">
        <v>4.065554</v>
      </c>
      <c r="AE196" t="n">
        <v>0.1909009</v>
      </c>
    </row>
    <row r="197">
      <c r="A197" s="87" t="n">
        <v>24563</v>
      </c>
      <c r="B197" t="n">
        <v>0.6583939</v>
      </c>
      <c r="C197" t="n">
        <v/>
      </c>
      <c r="D197" t="n">
        <v/>
      </c>
      <c r="E197" t="n">
        <v/>
      </c>
      <c r="F197" t="n">
        <v/>
      </c>
      <c r="G197" t="n">
        <v/>
      </c>
      <c r="H197" t="n">
        <v/>
      </c>
      <c r="I197" t="n">
        <v/>
      </c>
      <c r="J197" t="n">
        <v/>
      </c>
      <c r="K197" t="n">
        <v/>
      </c>
      <c r="L197" t="n">
        <v/>
      </c>
      <c r="M197" t="n">
        <v/>
      </c>
      <c r="N197" t="n">
        <v/>
      </c>
      <c r="O197" t="n">
        <v/>
      </c>
      <c r="P197" t="n">
        <v>0.06230864</v>
      </c>
      <c r="Q197" t="n">
        <v>0.006342505</v>
      </c>
      <c r="R197" t="n">
        <v/>
      </c>
      <c r="S197" t="n">
        <v/>
      </c>
      <c r="T197" t="n">
        <v/>
      </c>
      <c r="U197" t="n">
        <v/>
      </c>
      <c r="V197" t="n">
        <v>1.50095</v>
      </c>
      <c r="W197" t="n">
        <v/>
      </c>
      <c r="X197" t="n">
        <v/>
      </c>
      <c r="Y197" t="n">
        <v/>
      </c>
      <c r="Z197" t="n">
        <v/>
      </c>
      <c r="AA197" t="n">
        <v/>
      </c>
      <c r="AB197" t="n">
        <v>2.871472</v>
      </c>
      <c r="AC197" t="n">
        <v/>
      </c>
      <c r="AD197" t="n">
        <v>4.085479</v>
      </c>
      <c r="AE197" t="n">
        <v>0.1920945</v>
      </c>
    </row>
    <row r="198">
      <c r="A198" s="87" t="n">
        <v>24593</v>
      </c>
      <c r="B198" t="n">
        <v>0.6639973</v>
      </c>
      <c r="C198" t="n">
        <v/>
      </c>
      <c r="D198" t="n">
        <v/>
      </c>
      <c r="E198" t="n">
        <v/>
      </c>
      <c r="F198" t="n">
        <v/>
      </c>
      <c r="G198" t="n">
        <v/>
      </c>
      <c r="H198" t="n">
        <v/>
      </c>
      <c r="I198" t="n">
        <v/>
      </c>
      <c r="J198" t="n">
        <v/>
      </c>
      <c r="K198" t="n">
        <v/>
      </c>
      <c r="L198" t="n">
        <v/>
      </c>
      <c r="M198" t="n">
        <v/>
      </c>
      <c r="N198" t="n">
        <v/>
      </c>
      <c r="O198" t="n">
        <v/>
      </c>
      <c r="P198" t="n">
        <v>0.06248513</v>
      </c>
      <c r="Q198" t="n">
        <v>0.00632497</v>
      </c>
      <c r="R198" t="n">
        <v/>
      </c>
      <c r="S198" t="n">
        <v/>
      </c>
      <c r="T198" t="n">
        <v/>
      </c>
      <c r="U198" t="n">
        <v/>
      </c>
      <c r="V198" t="n">
        <v>1.510566</v>
      </c>
      <c r="W198" t="n">
        <v/>
      </c>
      <c r="X198" t="n">
        <v/>
      </c>
      <c r="Y198" t="n">
        <v/>
      </c>
      <c r="Z198" t="n">
        <v/>
      </c>
      <c r="AA198" t="n">
        <v/>
      </c>
      <c r="AB198" t="n">
        <v>2.899246</v>
      </c>
      <c r="AC198" t="n">
        <v/>
      </c>
      <c r="AD198" t="n">
        <v>4.12782</v>
      </c>
      <c r="AE198" t="n">
        <v>0.1927336</v>
      </c>
    </row>
    <row r="199">
      <c r="A199" s="87" t="n">
        <v>24624</v>
      </c>
      <c r="B199" t="n">
        <v>0.6696007</v>
      </c>
      <c r="C199" t="n">
        <v/>
      </c>
      <c r="D199" t="n">
        <v/>
      </c>
      <c r="E199" t="n">
        <v/>
      </c>
      <c r="F199" t="n">
        <v/>
      </c>
      <c r="G199" t="n">
        <v/>
      </c>
      <c r="H199" t="n">
        <v/>
      </c>
      <c r="I199" t="n">
        <v/>
      </c>
      <c r="J199" t="n">
        <v/>
      </c>
      <c r="K199" t="n">
        <v/>
      </c>
      <c r="L199" t="n">
        <v/>
      </c>
      <c r="M199" t="n">
        <v/>
      </c>
      <c r="N199" t="n">
        <v/>
      </c>
      <c r="O199" t="n">
        <v/>
      </c>
      <c r="P199" t="n">
        <v>0.06284434999999999</v>
      </c>
      <c r="Q199" t="n">
        <v>0.006335967</v>
      </c>
      <c r="R199" t="n">
        <v/>
      </c>
      <c r="S199" t="n">
        <v/>
      </c>
      <c r="T199" t="n">
        <v/>
      </c>
      <c r="U199" t="n">
        <v/>
      </c>
      <c r="V199" t="n">
        <v>1.526351</v>
      </c>
      <c r="W199" t="n">
        <v/>
      </c>
      <c r="X199" t="n">
        <v/>
      </c>
      <c r="Y199" t="n">
        <v/>
      </c>
      <c r="Z199" t="n">
        <v/>
      </c>
      <c r="AA199" t="n">
        <v/>
      </c>
      <c r="AB199" t="n">
        <v>2.93272</v>
      </c>
      <c r="AC199" t="n">
        <v/>
      </c>
      <c r="AD199" t="n">
        <v>4.16767</v>
      </c>
      <c r="AE199" t="n">
        <v>0.1942216</v>
      </c>
    </row>
    <row r="200">
      <c r="A200" s="87" t="n">
        <v>24654</v>
      </c>
      <c r="B200" t="n">
        <v>0.675204</v>
      </c>
      <c r="C200" t="n">
        <v/>
      </c>
      <c r="D200" t="n">
        <v/>
      </c>
      <c r="E200" t="n">
        <v/>
      </c>
      <c r="F200" t="n">
        <v/>
      </c>
      <c r="G200" t="n">
        <v/>
      </c>
      <c r="H200" t="n">
        <v/>
      </c>
      <c r="I200" t="n">
        <v/>
      </c>
      <c r="J200" t="n">
        <v/>
      </c>
      <c r="K200" t="n">
        <v/>
      </c>
      <c r="L200" t="n">
        <v/>
      </c>
      <c r="M200" t="n">
        <v/>
      </c>
      <c r="N200" t="n">
        <v/>
      </c>
      <c r="O200" t="n">
        <v/>
      </c>
      <c r="P200" t="n">
        <v>0.06308991</v>
      </c>
      <c r="Q200" t="n">
        <v>0.006362742</v>
      </c>
      <c r="R200" t="n">
        <v/>
      </c>
      <c r="S200" t="n">
        <v/>
      </c>
      <c r="T200" t="n">
        <v/>
      </c>
      <c r="U200" t="n">
        <v/>
      </c>
      <c r="V200" t="n">
        <v>1.536415</v>
      </c>
      <c r="W200" t="n">
        <v/>
      </c>
      <c r="X200" t="n">
        <v/>
      </c>
      <c r="Y200" t="n">
        <v/>
      </c>
      <c r="Z200" t="n">
        <v/>
      </c>
      <c r="AA200" t="n">
        <v/>
      </c>
      <c r="AB200" t="n">
        <v>2.961912</v>
      </c>
      <c r="AC200" t="n">
        <v/>
      </c>
      <c r="AD200" t="n">
        <v>4.203369</v>
      </c>
      <c r="AE200" t="n">
        <v>0.1954997</v>
      </c>
    </row>
    <row r="201">
      <c r="A201" s="87" t="n">
        <v>24685</v>
      </c>
      <c r="B201" t="n">
        <v>0.6808074</v>
      </c>
      <c r="C201" t="n">
        <v/>
      </c>
      <c r="D201" t="n">
        <v/>
      </c>
      <c r="E201" t="n">
        <v/>
      </c>
      <c r="F201" t="n">
        <v/>
      </c>
      <c r="G201" t="n">
        <v/>
      </c>
      <c r="H201" t="n">
        <v/>
      </c>
      <c r="I201" t="n">
        <v/>
      </c>
      <c r="J201" t="n">
        <v/>
      </c>
      <c r="K201" t="n">
        <v/>
      </c>
      <c r="L201" t="n">
        <v/>
      </c>
      <c r="M201" t="n">
        <v/>
      </c>
      <c r="N201" t="n">
        <v/>
      </c>
      <c r="O201" t="n">
        <v/>
      </c>
      <c r="P201" t="n">
        <v>0.06354818</v>
      </c>
      <c r="Q201" t="n">
        <v>0.006384078</v>
      </c>
      <c r="R201" t="n">
        <v/>
      </c>
      <c r="S201" t="n">
        <v/>
      </c>
      <c r="T201" t="n">
        <v/>
      </c>
      <c r="U201" t="n">
        <v/>
      </c>
      <c r="V201" t="n">
        <v>1.546649</v>
      </c>
      <c r="W201" t="n">
        <v/>
      </c>
      <c r="X201" t="n">
        <v/>
      </c>
      <c r="Y201" t="n">
        <v/>
      </c>
      <c r="Z201" t="n">
        <v/>
      </c>
      <c r="AA201" t="n">
        <v/>
      </c>
      <c r="AB201" t="n">
        <v>2.993304</v>
      </c>
      <c r="AC201" t="n">
        <v/>
      </c>
      <c r="AD201" t="n">
        <v>4.240728</v>
      </c>
      <c r="AE201" t="n">
        <v>0.1961848</v>
      </c>
    </row>
    <row r="202">
      <c r="A202" s="87" t="n">
        <v>24716</v>
      </c>
      <c r="B202" t="n">
        <v>0.6864107</v>
      </c>
      <c r="C202" t="n">
        <v/>
      </c>
      <c r="D202" t="n">
        <v/>
      </c>
      <c r="E202" t="n">
        <v/>
      </c>
      <c r="F202" t="n">
        <v/>
      </c>
      <c r="G202" t="n">
        <v/>
      </c>
      <c r="H202" t="n">
        <v/>
      </c>
      <c r="I202" t="n">
        <v/>
      </c>
      <c r="J202" t="n">
        <v/>
      </c>
      <c r="K202" t="n">
        <v/>
      </c>
      <c r="L202" t="n">
        <v/>
      </c>
      <c r="M202" t="n">
        <v/>
      </c>
      <c r="N202" t="n">
        <v/>
      </c>
      <c r="O202" t="n">
        <v/>
      </c>
      <c r="P202" t="n">
        <v>0.06423180000000001</v>
      </c>
      <c r="Q202" t="n">
        <v>0.006427068</v>
      </c>
      <c r="R202" t="n">
        <v/>
      </c>
      <c r="S202" t="n">
        <v/>
      </c>
      <c r="T202" t="n">
        <v/>
      </c>
      <c r="U202" t="n">
        <v/>
      </c>
      <c r="V202" t="n">
        <v>1.56409</v>
      </c>
      <c r="W202" t="n">
        <v/>
      </c>
      <c r="X202" t="n">
        <v/>
      </c>
      <c r="Y202" t="n">
        <v/>
      </c>
      <c r="Z202" t="n">
        <v/>
      </c>
      <c r="AA202" t="n">
        <v/>
      </c>
      <c r="AB202" t="n">
        <v>3.026825</v>
      </c>
      <c r="AC202" t="n">
        <v/>
      </c>
      <c r="AD202" t="n">
        <v>4.273107</v>
      </c>
      <c r="AE202" t="n">
        <v>0.1964858</v>
      </c>
    </row>
    <row r="203">
      <c r="A203" s="87" t="n">
        <v>24746</v>
      </c>
      <c r="B203" t="n">
        <v>0.6892123999999999</v>
      </c>
      <c r="C203" t="n">
        <v/>
      </c>
      <c r="D203" t="n">
        <v/>
      </c>
      <c r="E203" t="n">
        <v/>
      </c>
      <c r="F203" t="n">
        <v/>
      </c>
      <c r="G203" t="n">
        <v/>
      </c>
      <c r="H203" t="n">
        <v/>
      </c>
      <c r="I203" t="n">
        <v/>
      </c>
      <c r="J203" t="n">
        <v/>
      </c>
      <c r="K203" t="n">
        <v/>
      </c>
      <c r="L203" t="n">
        <v/>
      </c>
      <c r="M203" t="n">
        <v/>
      </c>
      <c r="N203" t="n">
        <v/>
      </c>
      <c r="O203" t="n">
        <v/>
      </c>
      <c r="P203" t="n">
        <v>0.06489808</v>
      </c>
      <c r="Q203" t="n">
        <v>0.006449311</v>
      </c>
      <c r="R203" t="n">
        <v/>
      </c>
      <c r="S203" t="n">
        <v/>
      </c>
      <c r="T203" t="n">
        <v/>
      </c>
      <c r="U203" t="n">
        <v/>
      </c>
      <c r="V203" t="n">
        <v>1.578578</v>
      </c>
      <c r="W203" t="n">
        <v/>
      </c>
      <c r="X203" t="n">
        <v/>
      </c>
      <c r="Y203" t="n">
        <v/>
      </c>
      <c r="Z203" t="n">
        <v/>
      </c>
      <c r="AA203" t="n">
        <v/>
      </c>
      <c r="AB203" t="n">
        <v>3.063987</v>
      </c>
      <c r="AC203" t="n">
        <v/>
      </c>
      <c r="AD203" t="n">
        <v>4.302165</v>
      </c>
      <c r="AE203" t="n">
        <v>0.1967327</v>
      </c>
    </row>
    <row r="204">
      <c r="A204" s="87" t="n">
        <v>24777</v>
      </c>
      <c r="B204" t="n">
        <v>0.692014</v>
      </c>
      <c r="C204" t="n">
        <v/>
      </c>
      <c r="D204" t="n">
        <v/>
      </c>
      <c r="E204" t="n">
        <v/>
      </c>
      <c r="F204" t="n">
        <v/>
      </c>
      <c r="G204" t="n">
        <v/>
      </c>
      <c r="H204" t="n">
        <v/>
      </c>
      <c r="I204" t="n">
        <v/>
      </c>
      <c r="J204" t="n">
        <v/>
      </c>
      <c r="K204" t="n">
        <v/>
      </c>
      <c r="L204" t="n">
        <v/>
      </c>
      <c r="M204" t="n">
        <v/>
      </c>
      <c r="N204" t="n">
        <v/>
      </c>
      <c r="O204" t="n">
        <v/>
      </c>
      <c r="P204" t="n">
        <v>0.06545479</v>
      </c>
      <c r="Q204" t="n">
        <v>0.00646943</v>
      </c>
      <c r="R204" t="n">
        <v/>
      </c>
      <c r="S204" t="n">
        <v/>
      </c>
      <c r="T204" t="n">
        <v/>
      </c>
      <c r="U204" t="n">
        <v/>
      </c>
      <c r="V204" t="n">
        <v>1.595676</v>
      </c>
      <c r="W204" t="n">
        <v/>
      </c>
      <c r="X204" t="n">
        <v/>
      </c>
      <c r="Y204" t="n">
        <v/>
      </c>
      <c r="Z204" t="n">
        <v/>
      </c>
      <c r="AA204" t="n">
        <v/>
      </c>
      <c r="AB204" t="n">
        <v>3.095066</v>
      </c>
      <c r="AC204" t="n">
        <v/>
      </c>
      <c r="AD204" t="n">
        <v>4.327071</v>
      </c>
      <c r="AE204" t="n">
        <v>0.1986843</v>
      </c>
    </row>
    <row r="205">
      <c r="A205" s="87" t="n">
        <v>24807</v>
      </c>
      <c r="B205" t="n">
        <v>0.6976174000000001</v>
      </c>
      <c r="C205" t="n">
        <v/>
      </c>
      <c r="D205" t="n">
        <v/>
      </c>
      <c r="E205" t="n">
        <v/>
      </c>
      <c r="F205" t="n">
        <v/>
      </c>
      <c r="G205" t="n">
        <v/>
      </c>
      <c r="H205" t="n">
        <v/>
      </c>
      <c r="I205" t="n">
        <v/>
      </c>
      <c r="J205" t="n">
        <v/>
      </c>
      <c r="K205" t="n">
        <v/>
      </c>
      <c r="L205" t="n">
        <v/>
      </c>
      <c r="M205" t="n">
        <v/>
      </c>
      <c r="N205" t="n">
        <v/>
      </c>
      <c r="O205" t="n">
        <v/>
      </c>
      <c r="P205" t="n">
        <v>0.06618830000000001</v>
      </c>
      <c r="Q205" t="n">
        <v>0.006509473</v>
      </c>
      <c r="R205" t="n">
        <v/>
      </c>
      <c r="S205" t="n">
        <v/>
      </c>
      <c r="T205" t="n">
        <v/>
      </c>
      <c r="U205" t="n">
        <v/>
      </c>
      <c r="V205" t="n">
        <v>1.601347</v>
      </c>
      <c r="W205" t="n">
        <v/>
      </c>
      <c r="X205" t="n">
        <v/>
      </c>
      <c r="Y205" t="n">
        <v/>
      </c>
      <c r="Z205" t="n">
        <v/>
      </c>
      <c r="AA205" t="n">
        <v/>
      </c>
      <c r="AB205" t="n">
        <v>3.120218</v>
      </c>
      <c r="AC205" t="n">
        <v/>
      </c>
      <c r="AD205" t="n">
        <v>4.356958</v>
      </c>
      <c r="AE205" t="n">
        <v>0.2013636</v>
      </c>
    </row>
    <row r="206">
      <c r="A206" s="87" t="n">
        <v>24838</v>
      </c>
      <c r="B206" t="n">
        <v>0.7032208</v>
      </c>
      <c r="C206" t="n">
        <v/>
      </c>
      <c r="D206" t="n">
        <v/>
      </c>
      <c r="E206" t="n">
        <v/>
      </c>
      <c r="F206" t="n">
        <v/>
      </c>
      <c r="G206" t="n">
        <v/>
      </c>
      <c r="H206" t="n">
        <v/>
      </c>
      <c r="I206" t="n">
        <v/>
      </c>
      <c r="J206" t="n">
        <v/>
      </c>
      <c r="K206" t="n">
        <v/>
      </c>
      <c r="L206" t="n">
        <v/>
      </c>
      <c r="M206" t="n">
        <v/>
      </c>
      <c r="N206" t="n">
        <v/>
      </c>
      <c r="O206" t="n">
        <v/>
      </c>
      <c r="P206" t="n">
        <v>0.06681231</v>
      </c>
      <c r="Q206" t="n">
        <v>0.006541683</v>
      </c>
      <c r="R206" t="n">
        <v/>
      </c>
      <c r="S206" t="n">
        <v/>
      </c>
      <c r="T206" t="n">
        <v/>
      </c>
      <c r="U206" t="n">
        <v/>
      </c>
      <c r="V206" t="n">
        <v>1.601484</v>
      </c>
      <c r="W206" t="n">
        <v/>
      </c>
      <c r="X206" t="n">
        <v/>
      </c>
      <c r="Y206" t="n">
        <v/>
      </c>
      <c r="Z206" t="n">
        <v/>
      </c>
      <c r="AA206" t="n">
        <v/>
      </c>
      <c r="AB206" t="n">
        <v>3.142203</v>
      </c>
      <c r="AC206" t="n">
        <v/>
      </c>
      <c r="AD206" t="n">
        <v>4.378544</v>
      </c>
      <c r="AE206" t="n">
        <v>0.2036441</v>
      </c>
    </row>
    <row r="207">
      <c r="A207" s="87" t="n">
        <v>24869</v>
      </c>
      <c r="B207" t="n">
        <v>0.7060224</v>
      </c>
      <c r="C207" t="n">
        <v/>
      </c>
      <c r="D207" t="n">
        <v/>
      </c>
      <c r="E207" t="n">
        <v/>
      </c>
      <c r="F207" t="n">
        <v/>
      </c>
      <c r="G207" t="n">
        <v/>
      </c>
      <c r="H207" t="n">
        <v/>
      </c>
      <c r="I207" t="n">
        <v/>
      </c>
      <c r="J207" t="n">
        <v/>
      </c>
      <c r="K207" t="n">
        <v/>
      </c>
      <c r="L207" t="n">
        <v/>
      </c>
      <c r="M207" t="n">
        <v/>
      </c>
      <c r="N207" t="n">
        <v/>
      </c>
      <c r="O207" t="n">
        <v/>
      </c>
      <c r="P207" t="n">
        <v>0.06721356000000001</v>
      </c>
      <c r="Q207" t="n">
        <v>0.006580962</v>
      </c>
      <c r="R207" t="n">
        <v/>
      </c>
      <c r="S207" t="n">
        <v/>
      </c>
      <c r="T207" t="n">
        <v/>
      </c>
      <c r="U207" t="n">
        <v/>
      </c>
      <c r="V207" t="n">
        <v>1.607993</v>
      </c>
      <c r="W207" t="n">
        <v/>
      </c>
      <c r="X207" t="n">
        <v/>
      </c>
      <c r="Y207" t="n">
        <v/>
      </c>
      <c r="Z207" t="n">
        <v/>
      </c>
      <c r="AA207" t="n">
        <v/>
      </c>
      <c r="AB207" t="n">
        <v>3.164432</v>
      </c>
      <c r="AC207" t="n">
        <v/>
      </c>
      <c r="AD207" t="n">
        <v>4.40345</v>
      </c>
      <c r="AE207" t="n">
        <v>0.204998</v>
      </c>
    </row>
    <row r="208">
      <c r="A208" s="87" t="n">
        <v>24898</v>
      </c>
      <c r="B208" t="n">
        <v>0.7088241</v>
      </c>
      <c r="C208" t="n">
        <v/>
      </c>
      <c r="D208" t="n">
        <v/>
      </c>
      <c r="E208" t="n">
        <v/>
      </c>
      <c r="F208" t="n">
        <v/>
      </c>
      <c r="G208" t="n">
        <v/>
      </c>
      <c r="H208" t="n">
        <v/>
      </c>
      <c r="I208" t="n">
        <v/>
      </c>
      <c r="J208" t="n">
        <v/>
      </c>
      <c r="K208" t="n">
        <v/>
      </c>
      <c r="L208" t="n">
        <v/>
      </c>
      <c r="M208" t="n">
        <v/>
      </c>
      <c r="N208" t="n">
        <v/>
      </c>
      <c r="O208" t="n">
        <v/>
      </c>
      <c r="P208" t="n">
        <v>0.06786702999999999</v>
      </c>
      <c r="Q208" t="n">
        <v>0.006611274</v>
      </c>
      <c r="R208" t="n">
        <v/>
      </c>
      <c r="S208" t="n">
        <v/>
      </c>
      <c r="T208" t="n">
        <v/>
      </c>
      <c r="U208" t="n">
        <v/>
      </c>
      <c r="V208" t="n">
        <v>1.61734</v>
      </c>
      <c r="W208" t="n">
        <v/>
      </c>
      <c r="X208" t="n">
        <v/>
      </c>
      <c r="Y208" t="n">
        <v/>
      </c>
      <c r="Z208" t="n">
        <v/>
      </c>
      <c r="AA208" t="n">
        <v/>
      </c>
      <c r="AB208" t="n">
        <v>3.19469</v>
      </c>
      <c r="AC208" t="n">
        <v/>
      </c>
      <c r="AD208" t="n">
        <v>4.426696</v>
      </c>
      <c r="AE208" t="n">
        <v>0.2060375</v>
      </c>
    </row>
    <row r="209">
      <c r="A209" s="87" t="n">
        <v>24929</v>
      </c>
      <c r="B209" t="n">
        <v>0.7116258</v>
      </c>
      <c r="C209" t="n">
        <v/>
      </c>
      <c r="D209" t="n">
        <v/>
      </c>
      <c r="E209" t="n">
        <v/>
      </c>
      <c r="F209" t="n">
        <v/>
      </c>
      <c r="G209" t="n">
        <v/>
      </c>
      <c r="H209" t="n">
        <v/>
      </c>
      <c r="I209" t="n">
        <v/>
      </c>
      <c r="J209" t="n">
        <v/>
      </c>
      <c r="K209" t="n">
        <v/>
      </c>
      <c r="L209" t="n">
        <v/>
      </c>
      <c r="M209" t="n">
        <v/>
      </c>
      <c r="N209" t="n">
        <v/>
      </c>
      <c r="O209" t="n">
        <v/>
      </c>
      <c r="P209" t="n">
        <v>0.06855526000000001</v>
      </c>
      <c r="Q209" t="n">
        <v>0.00664082</v>
      </c>
      <c r="R209" t="n">
        <v/>
      </c>
      <c r="S209" t="n">
        <v/>
      </c>
      <c r="T209" t="n">
        <v/>
      </c>
      <c r="U209" t="n">
        <v/>
      </c>
      <c r="V209" t="n">
        <v>1.636402</v>
      </c>
      <c r="W209" t="n">
        <v/>
      </c>
      <c r="X209" t="n">
        <v/>
      </c>
      <c r="Y209" t="n">
        <v/>
      </c>
      <c r="Z209" t="n">
        <v/>
      </c>
      <c r="AA209" t="n">
        <v/>
      </c>
      <c r="AB209" t="n">
        <v>3.231398</v>
      </c>
      <c r="AC209" t="n">
        <v/>
      </c>
      <c r="AD209" t="n">
        <v>4.447452</v>
      </c>
      <c r="AE209" t="n">
        <v>0.2081015</v>
      </c>
    </row>
    <row r="210">
      <c r="A210" s="87" t="n">
        <v>24959</v>
      </c>
      <c r="B210" t="n">
        <v>0.7144275</v>
      </c>
      <c r="C210" t="n">
        <v/>
      </c>
      <c r="D210" t="n">
        <v/>
      </c>
      <c r="E210" t="n">
        <v/>
      </c>
      <c r="F210" t="n">
        <v/>
      </c>
      <c r="G210" t="n">
        <v/>
      </c>
      <c r="H210" t="n">
        <v/>
      </c>
      <c r="I210" t="n">
        <v/>
      </c>
      <c r="J210" t="n">
        <v/>
      </c>
      <c r="K210" t="n">
        <v/>
      </c>
      <c r="L210" t="n">
        <v/>
      </c>
      <c r="M210" t="n">
        <v/>
      </c>
      <c r="N210" t="n">
        <v/>
      </c>
      <c r="O210" t="n">
        <v/>
      </c>
      <c r="P210" t="n">
        <v>0.06894931999999999</v>
      </c>
      <c r="Q210" t="n">
        <v>0.006750283</v>
      </c>
      <c r="R210" t="n">
        <v/>
      </c>
      <c r="S210" t="n">
        <v/>
      </c>
      <c r="T210" t="n">
        <v/>
      </c>
      <c r="U210" t="n">
        <v/>
      </c>
      <c r="V210" t="n">
        <v>1.653073</v>
      </c>
      <c r="W210" t="n">
        <v/>
      </c>
      <c r="X210" t="n">
        <v/>
      </c>
      <c r="Y210" t="n">
        <v/>
      </c>
      <c r="Z210" t="n">
        <v/>
      </c>
      <c r="AA210" t="n">
        <v/>
      </c>
      <c r="AB210" t="n">
        <v>3.26562</v>
      </c>
      <c r="AC210" t="n">
        <v/>
      </c>
      <c r="AD210" t="n">
        <v>4.474019</v>
      </c>
      <c r="AE210" t="n">
        <v>0.2107966</v>
      </c>
    </row>
    <row r="211">
      <c r="A211" s="87" t="n">
        <v>24990</v>
      </c>
      <c r="B211" t="n">
        <v>0.7228325</v>
      </c>
      <c r="C211" t="n">
        <v/>
      </c>
      <c r="D211" t="n">
        <v/>
      </c>
      <c r="E211" t="n">
        <v/>
      </c>
      <c r="F211" t="n">
        <v/>
      </c>
      <c r="G211" t="n">
        <v/>
      </c>
      <c r="H211" t="n">
        <v/>
      </c>
      <c r="I211" t="n">
        <v/>
      </c>
      <c r="J211" t="n">
        <v/>
      </c>
      <c r="K211" t="n">
        <v/>
      </c>
      <c r="L211" t="n">
        <v/>
      </c>
      <c r="M211" t="n">
        <v/>
      </c>
      <c r="N211" t="n">
        <v/>
      </c>
      <c r="O211" t="n">
        <v/>
      </c>
      <c r="P211" t="n">
        <v>0.06944974</v>
      </c>
      <c r="Q211" t="n">
        <v>0.006808873</v>
      </c>
      <c r="R211" t="n">
        <v/>
      </c>
      <c r="S211" t="n">
        <v/>
      </c>
      <c r="T211" t="n">
        <v/>
      </c>
      <c r="U211" t="n">
        <v/>
      </c>
      <c r="V211" t="n">
        <v>1.659131</v>
      </c>
      <c r="W211" t="n">
        <v/>
      </c>
      <c r="X211" t="n">
        <v/>
      </c>
      <c r="Y211" t="n">
        <v/>
      </c>
      <c r="Z211" t="n">
        <v/>
      </c>
      <c r="AA211" t="n">
        <v/>
      </c>
      <c r="AB211" t="n">
        <v>3.296097</v>
      </c>
      <c r="AC211" t="n">
        <v/>
      </c>
      <c r="AD211" t="n">
        <v>4.504736</v>
      </c>
      <c r="AE211" t="n">
        <v>0.2133184</v>
      </c>
    </row>
    <row r="212">
      <c r="A212" s="87" t="n">
        <v>25020</v>
      </c>
      <c r="B212" t="n">
        <v>0.7312375</v>
      </c>
      <c r="C212" t="n">
        <v/>
      </c>
      <c r="D212" t="n">
        <v/>
      </c>
      <c r="E212" t="n">
        <v/>
      </c>
      <c r="F212" t="n">
        <v/>
      </c>
      <c r="G212" t="n">
        <v/>
      </c>
      <c r="H212" t="n">
        <v/>
      </c>
      <c r="I212" t="n">
        <v/>
      </c>
      <c r="J212" t="n">
        <v/>
      </c>
      <c r="K212" t="n">
        <v/>
      </c>
      <c r="L212" t="n">
        <v/>
      </c>
      <c r="M212" t="n">
        <v/>
      </c>
      <c r="N212" t="n">
        <v/>
      </c>
      <c r="O212" t="n">
        <v/>
      </c>
      <c r="P212" t="n">
        <v>0.07011223</v>
      </c>
      <c r="Q212" t="n">
        <v>0.006814596</v>
      </c>
      <c r="R212" t="n">
        <v/>
      </c>
      <c r="S212" t="n">
        <v/>
      </c>
      <c r="T212" t="n">
        <v/>
      </c>
      <c r="U212" t="n">
        <v/>
      </c>
      <c r="V212" t="n">
        <v>1.674251</v>
      </c>
      <c r="W212" t="n">
        <v/>
      </c>
      <c r="X212" t="n">
        <v/>
      </c>
      <c r="Y212" t="n">
        <v/>
      </c>
      <c r="Z212" t="n">
        <v/>
      </c>
      <c r="AA212" t="n">
        <v/>
      </c>
      <c r="AB212" t="n">
        <v>3.329255</v>
      </c>
      <c r="AC212" t="n">
        <v/>
      </c>
      <c r="AD212" t="n">
        <v>4.529643</v>
      </c>
      <c r="AE212" t="n">
        <v>0.215802</v>
      </c>
    </row>
    <row r="213">
      <c r="A213" s="87" t="n">
        <v>25051</v>
      </c>
      <c r="B213" t="n">
        <v>0.7340392</v>
      </c>
      <c r="C213" t="n">
        <v/>
      </c>
      <c r="D213" t="n">
        <v/>
      </c>
      <c r="E213" t="n">
        <v/>
      </c>
      <c r="F213" t="n">
        <v/>
      </c>
      <c r="G213" t="n">
        <v/>
      </c>
      <c r="H213" t="n">
        <v/>
      </c>
      <c r="I213" t="n">
        <v/>
      </c>
      <c r="J213" t="n">
        <v/>
      </c>
      <c r="K213" t="n">
        <v/>
      </c>
      <c r="L213" t="n">
        <v/>
      </c>
      <c r="M213" t="n">
        <v/>
      </c>
      <c r="N213" t="n">
        <v/>
      </c>
      <c r="O213" t="n">
        <v/>
      </c>
      <c r="P213" t="n">
        <v>0.07064463</v>
      </c>
      <c r="Q213" t="n">
        <v>0.006863197</v>
      </c>
      <c r="R213" t="n">
        <v/>
      </c>
      <c r="S213" t="n">
        <v/>
      </c>
      <c r="T213" t="n">
        <v/>
      </c>
      <c r="U213" t="n">
        <v/>
      </c>
      <c r="V213" t="n">
        <v>1.695089</v>
      </c>
      <c r="W213" t="n">
        <v/>
      </c>
      <c r="X213" t="n">
        <v/>
      </c>
      <c r="Y213" t="n">
        <v/>
      </c>
      <c r="Z213" t="n">
        <v/>
      </c>
      <c r="AA213" t="n">
        <v/>
      </c>
      <c r="AB213" t="n">
        <v>3.361973</v>
      </c>
      <c r="AC213" t="n">
        <v/>
      </c>
      <c r="AD213" t="n">
        <v>4.561191</v>
      </c>
      <c r="AE213" t="n">
        <v>0.2183992</v>
      </c>
    </row>
    <row r="214">
      <c r="A214" s="87" t="n">
        <v>25082</v>
      </c>
      <c r="B214" t="n">
        <v>0.7368409</v>
      </c>
      <c r="C214" t="n">
        <v/>
      </c>
      <c r="D214" t="n">
        <v/>
      </c>
      <c r="E214" t="n">
        <v/>
      </c>
      <c r="F214" t="n">
        <v/>
      </c>
      <c r="G214" t="n">
        <v/>
      </c>
      <c r="H214" t="n">
        <v/>
      </c>
      <c r="I214" t="n">
        <v/>
      </c>
      <c r="J214" t="n">
        <v/>
      </c>
      <c r="K214" t="n">
        <v/>
      </c>
      <c r="L214" t="n">
        <v/>
      </c>
      <c r="M214" t="n">
        <v/>
      </c>
      <c r="N214" t="n">
        <v/>
      </c>
      <c r="O214" t="n">
        <v/>
      </c>
      <c r="P214" t="n">
        <v>0.07123305000000001</v>
      </c>
      <c r="Q214" t="n">
        <v>0.00686677</v>
      </c>
      <c r="R214" t="n">
        <v/>
      </c>
      <c r="S214" t="n">
        <v/>
      </c>
      <c r="T214" t="n">
        <v/>
      </c>
      <c r="U214" t="n">
        <v/>
      </c>
      <c r="V214" t="n">
        <v>1.706894</v>
      </c>
      <c r="W214" t="n">
        <v/>
      </c>
      <c r="X214" t="n">
        <v/>
      </c>
      <c r="Y214" t="n">
        <v/>
      </c>
      <c r="Z214" t="n">
        <v/>
      </c>
      <c r="AA214" t="n">
        <v/>
      </c>
      <c r="AB214" t="n">
        <v>3.398394</v>
      </c>
      <c r="AC214" t="n">
        <v/>
      </c>
      <c r="AD214" t="n">
        <v>4.59606</v>
      </c>
      <c r="AE214" t="n">
        <v>0.2207133</v>
      </c>
    </row>
    <row r="215">
      <c r="A215" s="87" t="n">
        <v>25112</v>
      </c>
      <c r="B215" t="n">
        <v>0.7424442</v>
      </c>
      <c r="C215" t="n">
        <v/>
      </c>
      <c r="D215" t="n">
        <v/>
      </c>
      <c r="E215" t="n">
        <v/>
      </c>
      <c r="F215" t="n">
        <v/>
      </c>
      <c r="G215" t="n">
        <v/>
      </c>
      <c r="H215" t="n">
        <v/>
      </c>
      <c r="I215" t="n">
        <v/>
      </c>
      <c r="J215" t="n">
        <v/>
      </c>
      <c r="K215" t="n">
        <v/>
      </c>
      <c r="L215" t="n">
        <v/>
      </c>
      <c r="M215" t="n">
        <v/>
      </c>
      <c r="N215" t="n">
        <v/>
      </c>
      <c r="O215" t="n">
        <v/>
      </c>
      <c r="P215" t="n">
        <v>0.07188406999999999</v>
      </c>
      <c r="Q215" t="n">
        <v>0.006824786</v>
      </c>
      <c r="R215" t="n">
        <v/>
      </c>
      <c r="S215" t="n">
        <v/>
      </c>
      <c r="T215" t="n">
        <v/>
      </c>
      <c r="U215" t="n">
        <v/>
      </c>
      <c r="V215" t="n">
        <v>1.72694</v>
      </c>
      <c r="W215" t="n">
        <v/>
      </c>
      <c r="X215" t="n">
        <v/>
      </c>
      <c r="Y215" t="n">
        <v/>
      </c>
      <c r="Z215" t="n">
        <v/>
      </c>
      <c r="AA215" t="n">
        <v/>
      </c>
      <c r="AB215" t="n">
        <v>3.431185</v>
      </c>
      <c r="AC215" t="n">
        <v/>
      </c>
      <c r="AD215" t="n">
        <v>4.629268</v>
      </c>
      <c r="AE215" t="n">
        <v>0.2229626</v>
      </c>
    </row>
    <row r="216">
      <c r="A216" s="87" t="n">
        <v>25143</v>
      </c>
      <c r="B216" t="n">
        <v>0.7452459</v>
      </c>
      <c r="C216" t="n">
        <v/>
      </c>
      <c r="D216" t="n">
        <v/>
      </c>
      <c r="E216" t="n">
        <v/>
      </c>
      <c r="F216" t="n">
        <v/>
      </c>
      <c r="G216" t="n">
        <v/>
      </c>
      <c r="H216" t="n">
        <v/>
      </c>
      <c r="I216" t="n">
        <v/>
      </c>
      <c r="J216" t="n">
        <v/>
      </c>
      <c r="K216" t="n">
        <v/>
      </c>
      <c r="L216" t="n">
        <v/>
      </c>
      <c r="M216" t="n">
        <v/>
      </c>
      <c r="N216" t="n">
        <v/>
      </c>
      <c r="O216" t="n">
        <v/>
      </c>
      <c r="P216" t="n">
        <v>0.07227790000000001</v>
      </c>
      <c r="Q216" t="n">
        <v>0.006798591</v>
      </c>
      <c r="R216" t="n">
        <v/>
      </c>
      <c r="S216" t="n">
        <v/>
      </c>
      <c r="T216" t="n">
        <v/>
      </c>
      <c r="U216" t="n">
        <v/>
      </c>
      <c r="V216" t="n">
        <v>1.747403</v>
      </c>
      <c r="W216" t="n">
        <v/>
      </c>
      <c r="X216" t="n">
        <v/>
      </c>
      <c r="Y216" t="n">
        <v/>
      </c>
      <c r="Z216" t="n">
        <v/>
      </c>
      <c r="AA216" t="n">
        <v/>
      </c>
      <c r="AB216" t="n">
        <v>3.456786</v>
      </c>
      <c r="AC216" t="n">
        <v/>
      </c>
      <c r="AD216" t="n">
        <v>4.669118</v>
      </c>
      <c r="AE216" t="n">
        <v>0.2278049</v>
      </c>
    </row>
    <row r="217">
      <c r="A217" s="87" t="n">
        <v>25173</v>
      </c>
      <c r="B217" t="n">
        <v>0.7480476</v>
      </c>
      <c r="C217" t="n">
        <v/>
      </c>
      <c r="D217" t="n">
        <v/>
      </c>
      <c r="E217" t="n">
        <v/>
      </c>
      <c r="F217" t="n">
        <v/>
      </c>
      <c r="G217" t="n">
        <v/>
      </c>
      <c r="H217" t="n">
        <v/>
      </c>
      <c r="I217" t="n">
        <v/>
      </c>
      <c r="J217" t="n">
        <v/>
      </c>
      <c r="K217" t="n">
        <v/>
      </c>
      <c r="L217" t="n">
        <v/>
      </c>
      <c r="M217" t="n">
        <v/>
      </c>
      <c r="N217" t="n">
        <v/>
      </c>
      <c r="O217" t="n">
        <v/>
      </c>
      <c r="P217" t="n">
        <v>0.07269009</v>
      </c>
      <c r="Q217" t="n">
        <v>0.006943772</v>
      </c>
      <c r="R217" t="n">
        <v/>
      </c>
      <c r="S217" t="n">
        <v/>
      </c>
      <c r="T217" t="n">
        <v/>
      </c>
      <c r="U217" t="n">
        <v/>
      </c>
      <c r="V217" t="n">
        <v>1.766322</v>
      </c>
      <c r="W217" t="n">
        <v/>
      </c>
      <c r="X217" t="n">
        <v/>
      </c>
      <c r="Y217" t="n">
        <v/>
      </c>
      <c r="Z217" t="n">
        <v/>
      </c>
      <c r="AA217" t="n">
        <v/>
      </c>
      <c r="AB217" t="n">
        <v>3.488146</v>
      </c>
      <c r="AC217" t="n">
        <v/>
      </c>
      <c r="AD217" t="n">
        <v>4.705648</v>
      </c>
      <c r="AE217" t="n">
        <v>0.2300133</v>
      </c>
    </row>
    <row r="218">
      <c r="A218" s="87" t="n">
        <v>25204</v>
      </c>
      <c r="B218" t="n">
        <v>0.7564526</v>
      </c>
      <c r="C218" t="n">
        <v/>
      </c>
      <c r="D218" t="n">
        <v/>
      </c>
      <c r="E218" t="n">
        <v/>
      </c>
      <c r="F218" t="n">
        <v/>
      </c>
      <c r="G218" t="n">
        <v/>
      </c>
      <c r="H218" t="n">
        <v/>
      </c>
      <c r="I218" t="n">
        <v/>
      </c>
      <c r="J218" t="n">
        <v/>
      </c>
      <c r="K218" t="n">
        <v/>
      </c>
      <c r="L218" t="n">
        <v/>
      </c>
      <c r="M218" t="n">
        <v/>
      </c>
      <c r="N218" t="n">
        <v/>
      </c>
      <c r="O218" t="n">
        <v/>
      </c>
      <c r="P218" t="n">
        <v>0.07349711</v>
      </c>
      <c r="Q218" t="n">
        <v>0.007123655</v>
      </c>
      <c r="R218" t="n">
        <v/>
      </c>
      <c r="S218" t="n">
        <v/>
      </c>
      <c r="T218" t="n">
        <v/>
      </c>
      <c r="U218" t="n">
        <v/>
      </c>
      <c r="V218" t="n">
        <v>1.789546</v>
      </c>
      <c r="W218" t="n">
        <v/>
      </c>
      <c r="X218" t="n">
        <v/>
      </c>
      <c r="Y218" t="n">
        <v/>
      </c>
      <c r="Z218" t="n">
        <v/>
      </c>
      <c r="AA218" t="n">
        <v/>
      </c>
      <c r="AB218" t="n">
        <v>3.510798</v>
      </c>
      <c r="AC218" t="n">
        <v/>
      </c>
      <c r="AD218" t="n">
        <v>4.726403</v>
      </c>
      <c r="AE218" t="n">
        <v>0.2296112</v>
      </c>
    </row>
    <row r="219">
      <c r="A219" s="87" t="n">
        <v>25235</v>
      </c>
      <c r="B219" t="n">
        <v>0.7648576</v>
      </c>
      <c r="C219" t="n">
        <v/>
      </c>
      <c r="D219" t="n">
        <v/>
      </c>
      <c r="E219" t="n">
        <v/>
      </c>
      <c r="F219" t="n">
        <v/>
      </c>
      <c r="G219" t="n">
        <v/>
      </c>
      <c r="H219" t="n">
        <v/>
      </c>
      <c r="I219" t="n">
        <v/>
      </c>
      <c r="J219" t="n">
        <v/>
      </c>
      <c r="K219" t="n">
        <v/>
      </c>
      <c r="L219" t="n">
        <v/>
      </c>
      <c r="M219" t="n">
        <v/>
      </c>
      <c r="N219" t="n">
        <v/>
      </c>
      <c r="O219" t="n">
        <v/>
      </c>
      <c r="P219" t="n">
        <v>0.0744919</v>
      </c>
      <c r="Q219" t="n">
        <v>0.007216891</v>
      </c>
      <c r="R219" t="n">
        <v/>
      </c>
      <c r="S219" t="n">
        <v/>
      </c>
      <c r="T219" t="n">
        <v/>
      </c>
      <c r="U219" t="n">
        <v/>
      </c>
      <c r="V219" t="n">
        <v>1.809406</v>
      </c>
      <c r="W219" t="n">
        <v/>
      </c>
      <c r="X219" t="n">
        <v/>
      </c>
      <c r="Y219" t="n">
        <v/>
      </c>
      <c r="Z219" t="n">
        <v/>
      </c>
      <c r="AA219" t="n">
        <v/>
      </c>
      <c r="AB219" t="n">
        <v>3.528334</v>
      </c>
      <c r="AC219" t="n">
        <v/>
      </c>
      <c r="AD219" t="n">
        <v>4.747989</v>
      </c>
      <c r="AE219" t="n">
        <v>0.2325165</v>
      </c>
    </row>
    <row r="220">
      <c r="A220" s="87" t="n">
        <v>25263</v>
      </c>
      <c r="B220" t="n">
        <v>0.770461</v>
      </c>
      <c r="C220" t="n">
        <v/>
      </c>
      <c r="D220" t="n">
        <v/>
      </c>
      <c r="E220" t="n">
        <v/>
      </c>
      <c r="F220" t="n">
        <v/>
      </c>
      <c r="G220" t="n">
        <v/>
      </c>
      <c r="H220" t="n">
        <v/>
      </c>
      <c r="I220" t="n">
        <v/>
      </c>
      <c r="J220" t="n">
        <v/>
      </c>
      <c r="K220" t="n">
        <v/>
      </c>
      <c r="L220" t="n">
        <v/>
      </c>
      <c r="M220" t="n">
        <v/>
      </c>
      <c r="N220" t="n">
        <v/>
      </c>
      <c r="O220" t="n">
        <v/>
      </c>
      <c r="P220" t="n">
        <v>0.07552787</v>
      </c>
      <c r="Q220" t="n">
        <v>0.00735185</v>
      </c>
      <c r="R220" t="n">
        <v/>
      </c>
      <c r="S220" t="n">
        <v/>
      </c>
      <c r="T220" t="n">
        <v/>
      </c>
      <c r="U220" t="n">
        <v/>
      </c>
      <c r="V220" t="n">
        <v>1.82064</v>
      </c>
      <c r="W220" t="n">
        <v/>
      </c>
      <c r="X220" t="n">
        <v/>
      </c>
      <c r="Y220" t="n">
        <v/>
      </c>
      <c r="Z220" t="n">
        <v/>
      </c>
      <c r="AA220" t="n">
        <v/>
      </c>
      <c r="AB220" t="n">
        <v>3.557477</v>
      </c>
      <c r="AC220" t="n">
        <v/>
      </c>
      <c r="AD220" t="n">
        <v>4.768744</v>
      </c>
      <c r="AE220" t="n">
        <v>0.2356508</v>
      </c>
    </row>
    <row r="221">
      <c r="A221" s="87" t="n">
        <v>25294</v>
      </c>
      <c r="B221" t="n">
        <v>0.7760643</v>
      </c>
      <c r="C221" t="n">
        <v/>
      </c>
      <c r="D221" t="n">
        <v/>
      </c>
      <c r="E221" t="n">
        <v/>
      </c>
      <c r="F221" t="n">
        <v/>
      </c>
      <c r="G221" t="n">
        <v/>
      </c>
      <c r="H221" t="n">
        <v/>
      </c>
      <c r="I221" t="n">
        <v/>
      </c>
      <c r="J221" t="n">
        <v/>
      </c>
      <c r="K221" t="n">
        <v/>
      </c>
      <c r="L221" t="n">
        <v/>
      </c>
      <c r="M221" t="n">
        <v/>
      </c>
      <c r="N221" t="n">
        <v/>
      </c>
      <c r="O221" t="n">
        <v/>
      </c>
      <c r="P221" t="n">
        <v>0.0765499</v>
      </c>
      <c r="Q221" t="n">
        <v>0.007501977</v>
      </c>
      <c r="R221" t="n">
        <v/>
      </c>
      <c r="S221" t="n">
        <v/>
      </c>
      <c r="T221" t="n">
        <v/>
      </c>
      <c r="U221" t="n">
        <v/>
      </c>
      <c r="V221" t="n">
        <v>1.831628</v>
      </c>
      <c r="W221" t="n">
        <v/>
      </c>
      <c r="X221" t="n">
        <v/>
      </c>
      <c r="Y221" t="n">
        <v/>
      </c>
      <c r="Z221" t="n">
        <v/>
      </c>
      <c r="AA221" t="n">
        <v/>
      </c>
      <c r="AB221" t="n">
        <v>3.580513</v>
      </c>
      <c r="AC221" t="n">
        <v/>
      </c>
      <c r="AD221" t="n">
        <v>4.779537</v>
      </c>
      <c r="AE221" t="n">
        <v>0.2371763</v>
      </c>
    </row>
    <row r="222">
      <c r="A222" s="87" t="n">
        <v>25324</v>
      </c>
      <c r="B222" t="n">
        <v>0.7816677</v>
      </c>
      <c r="C222" t="n">
        <v/>
      </c>
      <c r="D222" t="n">
        <v/>
      </c>
      <c r="E222" t="n">
        <v/>
      </c>
      <c r="F222" t="n">
        <v/>
      </c>
      <c r="G222" t="n">
        <v/>
      </c>
      <c r="H222" t="n">
        <v/>
      </c>
      <c r="I222" t="n">
        <v/>
      </c>
      <c r="J222" t="n">
        <v/>
      </c>
      <c r="K222" t="n">
        <v/>
      </c>
      <c r="L222" t="n">
        <v/>
      </c>
      <c r="M222" t="n">
        <v/>
      </c>
      <c r="N222" t="n">
        <v/>
      </c>
      <c r="O222" t="n">
        <v/>
      </c>
      <c r="P222" t="n">
        <v>0.07749085</v>
      </c>
      <c r="Q222" t="n">
        <v>0.007652416</v>
      </c>
      <c r="R222" t="n">
        <v/>
      </c>
      <c r="S222" t="n">
        <v/>
      </c>
      <c r="T222" t="n">
        <v/>
      </c>
      <c r="U222" t="n">
        <v/>
      </c>
      <c r="V222" t="n">
        <v>1.843027</v>
      </c>
      <c r="W222" t="n">
        <v/>
      </c>
      <c r="X222" t="n">
        <v/>
      </c>
      <c r="Y222" t="n">
        <v/>
      </c>
      <c r="Z222" t="n">
        <v/>
      </c>
      <c r="AA222" t="n">
        <v/>
      </c>
      <c r="AB222" t="n">
        <v>3.602066</v>
      </c>
      <c r="AC222" t="n">
        <v/>
      </c>
      <c r="AD222" t="n">
        <v>4.786179</v>
      </c>
      <c r="AE222" t="n">
        <v>0.2386307</v>
      </c>
    </row>
    <row r="223">
      <c r="A223" s="87" t="n">
        <v>25355</v>
      </c>
      <c r="B223" t="n">
        <v>0.7900727</v>
      </c>
      <c r="C223" t="n">
        <v/>
      </c>
      <c r="D223" t="n">
        <v/>
      </c>
      <c r="E223" t="n">
        <v/>
      </c>
      <c r="F223" t="n">
        <v/>
      </c>
      <c r="G223" t="n">
        <v/>
      </c>
      <c r="H223" t="n">
        <v/>
      </c>
      <c r="I223" t="n">
        <v/>
      </c>
      <c r="J223" t="n">
        <v/>
      </c>
      <c r="K223" t="n">
        <v/>
      </c>
      <c r="L223" t="n">
        <v/>
      </c>
      <c r="M223" t="n">
        <v/>
      </c>
      <c r="N223" t="n">
        <v/>
      </c>
      <c r="O223" t="n">
        <v/>
      </c>
      <c r="P223" t="n">
        <v>0.07854688999999999</v>
      </c>
      <c r="Q223" t="n">
        <v>0.007760061</v>
      </c>
      <c r="R223" t="n">
        <v/>
      </c>
      <c r="S223" t="n">
        <v/>
      </c>
      <c r="T223" t="n">
        <v/>
      </c>
      <c r="U223" t="n">
        <v/>
      </c>
      <c r="V223" t="n">
        <v>1.852315</v>
      </c>
      <c r="W223" t="n">
        <v/>
      </c>
      <c r="X223" t="n">
        <v/>
      </c>
      <c r="Y223" t="n">
        <v/>
      </c>
      <c r="Z223" t="n">
        <v/>
      </c>
      <c r="AA223" t="n">
        <v/>
      </c>
      <c r="AB223" t="n">
        <v>3.610799</v>
      </c>
      <c r="AC223" t="n">
        <v/>
      </c>
      <c r="AD223" t="n">
        <v>4.802783</v>
      </c>
      <c r="AE223" t="n">
        <v>0.238634</v>
      </c>
    </row>
    <row r="224">
      <c r="A224" s="87" t="n">
        <v>25385</v>
      </c>
      <c r="B224" t="n">
        <v>0.7984778</v>
      </c>
      <c r="C224" t="n">
        <v/>
      </c>
      <c r="D224" t="n">
        <v/>
      </c>
      <c r="E224" t="n">
        <v/>
      </c>
      <c r="F224" t="n">
        <v/>
      </c>
      <c r="G224" t="n">
        <v/>
      </c>
      <c r="H224" t="n">
        <v/>
      </c>
      <c r="I224" t="n">
        <v/>
      </c>
      <c r="J224" t="n">
        <v/>
      </c>
      <c r="K224" t="n">
        <v/>
      </c>
      <c r="L224" t="n">
        <v/>
      </c>
      <c r="M224" t="n">
        <v/>
      </c>
      <c r="N224" t="n">
        <v/>
      </c>
      <c r="O224" t="n">
        <v/>
      </c>
      <c r="P224" t="n">
        <v>0.07951722</v>
      </c>
      <c r="Q224" t="n">
        <v>0.007854557</v>
      </c>
      <c r="R224" t="n">
        <v/>
      </c>
      <c r="S224" t="n">
        <v/>
      </c>
      <c r="T224" t="n">
        <v/>
      </c>
      <c r="U224" t="n">
        <v/>
      </c>
      <c r="V224" t="n">
        <v>1.865196</v>
      </c>
      <c r="W224" t="n">
        <v/>
      </c>
      <c r="X224" t="n">
        <v/>
      </c>
      <c r="Y224" t="n">
        <v/>
      </c>
      <c r="Z224" t="n">
        <v/>
      </c>
      <c r="AA224" t="n">
        <v/>
      </c>
      <c r="AB224" t="n">
        <v>3.625434</v>
      </c>
      <c r="AC224" t="n">
        <v/>
      </c>
      <c r="AD224" t="n">
        <v>4.811085</v>
      </c>
      <c r="AE224" t="n">
        <v>0.2374746</v>
      </c>
    </row>
    <row r="225">
      <c r="A225" s="87" t="n">
        <v>25416</v>
      </c>
      <c r="B225" t="n">
        <v>0.8040811</v>
      </c>
      <c r="C225" t="n">
        <v/>
      </c>
      <c r="D225" t="n">
        <v/>
      </c>
      <c r="E225" t="n">
        <v/>
      </c>
      <c r="F225" t="n">
        <v/>
      </c>
      <c r="G225" t="n">
        <v/>
      </c>
      <c r="H225" t="n">
        <v/>
      </c>
      <c r="I225" t="n">
        <v/>
      </c>
      <c r="J225" t="n">
        <v/>
      </c>
      <c r="K225" t="n">
        <v/>
      </c>
      <c r="L225" t="n">
        <v/>
      </c>
      <c r="M225" t="n">
        <v/>
      </c>
      <c r="N225" t="n">
        <v/>
      </c>
      <c r="O225" t="n">
        <v/>
      </c>
      <c r="P225" t="n">
        <v>0.08013824</v>
      </c>
      <c r="Q225" t="n">
        <v>0.007999519</v>
      </c>
      <c r="R225" t="n">
        <v/>
      </c>
      <c r="S225" t="n">
        <v/>
      </c>
      <c r="T225" t="n">
        <v/>
      </c>
      <c r="U225" t="n">
        <v/>
      </c>
      <c r="V225" t="n">
        <v>1.879116</v>
      </c>
      <c r="W225" t="n">
        <v/>
      </c>
      <c r="X225" t="n">
        <v/>
      </c>
      <c r="Y225" t="n">
        <v/>
      </c>
      <c r="Z225" t="n">
        <v/>
      </c>
      <c r="AA225" t="n">
        <v/>
      </c>
      <c r="AB225" t="n">
        <v>3.646855</v>
      </c>
      <c r="AC225" t="n">
        <v/>
      </c>
      <c r="AD225" t="n">
        <v>4.816066</v>
      </c>
      <c r="AE225" t="n">
        <v>0.2387784</v>
      </c>
    </row>
    <row r="226">
      <c r="A226" s="87" t="n">
        <v>25447</v>
      </c>
      <c r="B226" t="n">
        <v>0.8068828</v>
      </c>
      <c r="C226" t="n">
        <v/>
      </c>
      <c r="D226" t="n">
        <v/>
      </c>
      <c r="E226" t="n">
        <v/>
      </c>
      <c r="F226" t="n">
        <v/>
      </c>
      <c r="G226" t="n">
        <v/>
      </c>
      <c r="H226" t="n">
        <v/>
      </c>
      <c r="I226" t="n">
        <v/>
      </c>
      <c r="J226" t="n">
        <v/>
      </c>
      <c r="K226" t="n">
        <v/>
      </c>
      <c r="L226" t="n">
        <v/>
      </c>
      <c r="M226" t="n">
        <v/>
      </c>
      <c r="N226" t="n">
        <v/>
      </c>
      <c r="O226" t="n">
        <v/>
      </c>
      <c r="P226" t="n">
        <v>0.0804216</v>
      </c>
      <c r="Q226" t="n">
        <v>0.008145616</v>
      </c>
      <c r="R226" t="n">
        <v/>
      </c>
      <c r="S226" t="n">
        <v/>
      </c>
      <c r="T226" t="n">
        <v/>
      </c>
      <c r="U226" t="n">
        <v/>
      </c>
      <c r="V226" t="n">
        <v>1.909589</v>
      </c>
      <c r="W226" t="n">
        <v/>
      </c>
      <c r="X226" t="n">
        <v/>
      </c>
      <c r="Y226" t="n">
        <v/>
      </c>
      <c r="Z226" t="n">
        <v/>
      </c>
      <c r="AA226" t="n">
        <v/>
      </c>
      <c r="AB226" t="n">
        <v>3.658989</v>
      </c>
      <c r="AC226" t="n">
        <v/>
      </c>
      <c r="AD226" t="n">
        <v>4.832671</v>
      </c>
      <c r="AE226" t="n">
        <v>0.242866</v>
      </c>
    </row>
    <row r="227">
      <c r="A227" s="87" t="n">
        <v>25477</v>
      </c>
      <c r="B227" t="n">
        <v>0.8096845</v>
      </c>
      <c r="C227" t="n">
        <v/>
      </c>
      <c r="D227" t="n">
        <v/>
      </c>
      <c r="E227" t="n">
        <v/>
      </c>
      <c r="F227" t="n">
        <v/>
      </c>
      <c r="G227" t="n">
        <v/>
      </c>
      <c r="H227" t="n">
        <v/>
      </c>
      <c r="I227" t="n">
        <v/>
      </c>
      <c r="J227" t="n">
        <v/>
      </c>
      <c r="K227" t="n">
        <v/>
      </c>
      <c r="L227" t="n">
        <v/>
      </c>
      <c r="M227" t="n">
        <v/>
      </c>
      <c r="N227" t="n">
        <v/>
      </c>
      <c r="O227" t="n">
        <v/>
      </c>
      <c r="P227" t="n">
        <v>0.08089431</v>
      </c>
      <c r="Q227" t="n">
        <v>0.008298817999999999</v>
      </c>
      <c r="R227" t="n">
        <v/>
      </c>
      <c r="S227" t="n">
        <v/>
      </c>
      <c r="T227" t="n">
        <v/>
      </c>
      <c r="U227" t="n">
        <v/>
      </c>
      <c r="V227" t="n">
        <v>1.929632</v>
      </c>
      <c r="W227" t="n">
        <v/>
      </c>
      <c r="X227" t="n">
        <v/>
      </c>
      <c r="Y227" t="n">
        <v/>
      </c>
      <c r="Z227" t="n">
        <v/>
      </c>
      <c r="AA227" t="n">
        <v/>
      </c>
      <c r="AB227" t="n">
        <v>3.666191</v>
      </c>
      <c r="AC227" t="n">
        <v/>
      </c>
      <c r="AD227" t="n">
        <v>4.843463</v>
      </c>
      <c r="AE227" t="n">
        <v>0.247441</v>
      </c>
    </row>
    <row r="228">
      <c r="A228" s="87" t="n">
        <v>25508</v>
      </c>
      <c r="B228" t="n">
        <v>0.8152878</v>
      </c>
      <c r="C228" t="n">
        <v/>
      </c>
      <c r="D228" t="n">
        <v/>
      </c>
      <c r="E228" t="n">
        <v/>
      </c>
      <c r="F228" t="n">
        <v/>
      </c>
      <c r="G228" t="n">
        <v/>
      </c>
      <c r="H228" t="n">
        <v/>
      </c>
      <c r="I228" t="n">
        <v/>
      </c>
      <c r="J228" t="n">
        <v/>
      </c>
      <c r="K228" t="n">
        <v/>
      </c>
      <c r="L228" t="n">
        <v/>
      </c>
      <c r="M228" t="n">
        <v/>
      </c>
      <c r="N228" t="n">
        <v/>
      </c>
      <c r="O228" t="n">
        <v/>
      </c>
      <c r="P228" t="n">
        <v>0.08195204</v>
      </c>
      <c r="Q228" t="n">
        <v>0.008458448</v>
      </c>
      <c r="R228" t="n">
        <v/>
      </c>
      <c r="S228" t="n">
        <v/>
      </c>
      <c r="T228" t="n">
        <v/>
      </c>
      <c r="U228" t="n">
        <v/>
      </c>
      <c r="V228" t="n">
        <v>1.9315</v>
      </c>
      <c r="W228" t="n">
        <v/>
      </c>
      <c r="X228" t="n">
        <v/>
      </c>
      <c r="Y228" t="n">
        <v/>
      </c>
      <c r="Z228" t="n">
        <v/>
      </c>
      <c r="AA228" t="n">
        <v/>
      </c>
      <c r="AB228" t="n">
        <v>3.667571</v>
      </c>
      <c r="AC228" t="n">
        <v/>
      </c>
      <c r="AD228" t="n">
        <v>4.860067</v>
      </c>
      <c r="AE228" t="n">
        <v>0.2506252</v>
      </c>
    </row>
    <row r="229">
      <c r="A229" s="87" t="n">
        <v>25538</v>
      </c>
      <c r="B229" t="n">
        <v>0.8208911</v>
      </c>
      <c r="C229" t="n">
        <v/>
      </c>
      <c r="D229" t="n">
        <v/>
      </c>
      <c r="E229" t="n">
        <v/>
      </c>
      <c r="F229" t="n">
        <v/>
      </c>
      <c r="G229" t="n">
        <v/>
      </c>
      <c r="H229" t="n">
        <v/>
      </c>
      <c r="I229" t="n">
        <v/>
      </c>
      <c r="J229" t="n">
        <v/>
      </c>
      <c r="K229" t="n">
        <v/>
      </c>
      <c r="L229" t="n">
        <v/>
      </c>
      <c r="M229" t="n">
        <v/>
      </c>
      <c r="N229" t="n">
        <v/>
      </c>
      <c r="O229" t="n">
        <v/>
      </c>
      <c r="P229" t="n">
        <v>0.08270389</v>
      </c>
      <c r="Q229" t="n">
        <v>0.008621729</v>
      </c>
      <c r="R229" t="n">
        <v/>
      </c>
      <c r="S229" t="n">
        <v/>
      </c>
      <c r="T229" t="n">
        <v/>
      </c>
      <c r="U229" t="n">
        <v/>
      </c>
      <c r="V229" t="n">
        <v>1.939566</v>
      </c>
      <c r="W229" t="n">
        <v/>
      </c>
      <c r="X229" t="n">
        <v/>
      </c>
      <c r="Y229" t="n">
        <v/>
      </c>
      <c r="Z229" t="n">
        <v/>
      </c>
      <c r="AA229" t="n">
        <v/>
      </c>
      <c r="AB229" t="n">
        <v>3.66748</v>
      </c>
      <c r="AC229" t="n">
        <v/>
      </c>
      <c r="AD229" t="n">
        <v>4.880823</v>
      </c>
      <c r="AE229" t="n">
        <v>0.253642</v>
      </c>
    </row>
    <row r="230">
      <c r="A230" s="87" t="n">
        <v>25569</v>
      </c>
      <c r="B230" t="n">
        <v>0.8236929</v>
      </c>
      <c r="C230" t="n">
        <v/>
      </c>
      <c r="D230" t="n">
        <v>1.976457</v>
      </c>
      <c r="E230" t="n">
        <v/>
      </c>
      <c r="F230" t="n">
        <v/>
      </c>
      <c r="G230" t="n">
        <v/>
      </c>
      <c r="H230" t="n">
        <v/>
      </c>
      <c r="I230" t="n">
        <v/>
      </c>
      <c r="J230" t="n">
        <v/>
      </c>
      <c r="K230" t="n">
        <v/>
      </c>
      <c r="L230" t="n">
        <v>2.975323</v>
      </c>
      <c r="M230" t="n">
        <v/>
      </c>
      <c r="N230" t="n">
        <v/>
      </c>
      <c r="O230" t="n">
        <v/>
      </c>
      <c r="P230" t="n">
        <v>0.08348867</v>
      </c>
      <c r="Q230" t="n">
        <v>0.008805209</v>
      </c>
      <c r="R230" t="n">
        <v/>
      </c>
      <c r="S230" t="n">
        <v/>
      </c>
      <c r="T230" t="n">
        <v/>
      </c>
      <c r="U230" t="n">
        <v/>
      </c>
      <c r="V230" t="n">
        <v>1.949099</v>
      </c>
      <c r="W230" t="n">
        <v/>
      </c>
      <c r="X230" t="n">
        <v/>
      </c>
      <c r="Y230" t="n">
        <v>0.2638856</v>
      </c>
      <c r="Z230" t="n">
        <v/>
      </c>
      <c r="AA230" t="n">
        <v/>
      </c>
      <c r="AB230" t="n">
        <v>3.682233</v>
      </c>
      <c r="AC230" t="n">
        <v/>
      </c>
      <c r="AD230" t="n">
        <v>4.894937</v>
      </c>
      <c r="AE230" t="n">
        <v>0.254218</v>
      </c>
    </row>
    <row r="231">
      <c r="A231" s="87" t="n">
        <v>25600</v>
      </c>
      <c r="B231" t="n">
        <v>0.8264945</v>
      </c>
      <c r="C231" t="n">
        <v/>
      </c>
      <c r="D231" t="n">
        <v>1.994757</v>
      </c>
      <c r="E231" t="n">
        <v/>
      </c>
      <c r="F231" t="n">
        <v/>
      </c>
      <c r="G231" t="n">
        <v/>
      </c>
      <c r="H231" t="n">
        <v/>
      </c>
      <c r="I231" t="n">
        <v/>
      </c>
      <c r="J231" t="n">
        <v/>
      </c>
      <c r="K231" t="n">
        <v/>
      </c>
      <c r="L231" t="n">
        <v>3.014636</v>
      </c>
      <c r="M231" t="n">
        <v/>
      </c>
      <c r="N231" t="n">
        <v/>
      </c>
      <c r="O231" t="n">
        <v/>
      </c>
      <c r="P231" t="n">
        <v>0.08447129</v>
      </c>
      <c r="Q231" t="n">
        <v>0.009005637</v>
      </c>
      <c r="R231" t="n">
        <v/>
      </c>
      <c r="S231" t="n">
        <v/>
      </c>
      <c r="T231" t="n">
        <v/>
      </c>
      <c r="U231" t="n">
        <v/>
      </c>
      <c r="V231" t="n">
        <v>1.96237</v>
      </c>
      <c r="W231" t="n">
        <v/>
      </c>
      <c r="X231" t="n">
        <v/>
      </c>
      <c r="Y231" t="n">
        <v>0.2698299</v>
      </c>
      <c r="Z231" t="n">
        <v/>
      </c>
      <c r="AA231" t="n">
        <v/>
      </c>
      <c r="AB231" t="n">
        <v>3.703036</v>
      </c>
      <c r="AC231" t="n">
        <v/>
      </c>
      <c r="AD231" t="n">
        <v>4.867539</v>
      </c>
      <c r="AE231" t="n">
        <v>0.2530854</v>
      </c>
    </row>
    <row r="232">
      <c r="A232" s="87" t="n">
        <v>25628</v>
      </c>
      <c r="B232" t="n">
        <v>0.8320978999999999</v>
      </c>
      <c r="C232" t="n">
        <v/>
      </c>
      <c r="D232" t="n">
        <v>2.002563</v>
      </c>
      <c r="E232" t="n">
        <v/>
      </c>
      <c r="F232" t="n">
        <v/>
      </c>
      <c r="G232" t="n">
        <v/>
      </c>
      <c r="H232" t="n">
        <v/>
      </c>
      <c r="I232" t="n">
        <v/>
      </c>
      <c r="J232" t="n">
        <v/>
      </c>
      <c r="K232" t="n">
        <v>3.327022</v>
      </c>
      <c r="L232" t="n">
        <v>3.030669</v>
      </c>
      <c r="M232" t="n">
        <v/>
      </c>
      <c r="N232" t="n">
        <v/>
      </c>
      <c r="O232" t="n">
        <v/>
      </c>
      <c r="P232" t="n">
        <v>0.08517764999999999</v>
      </c>
      <c r="Q232" t="n">
        <v>0.009176049</v>
      </c>
      <c r="R232" t="n">
        <v/>
      </c>
      <c r="S232" t="n">
        <v/>
      </c>
      <c r="T232" t="n">
        <v/>
      </c>
      <c r="U232" t="n">
        <v/>
      </c>
      <c r="V232" t="n">
        <v>1.988613</v>
      </c>
      <c r="W232" t="n">
        <v/>
      </c>
      <c r="X232" t="n">
        <v/>
      </c>
      <c r="Y232" t="n">
        <v>0.2721944</v>
      </c>
      <c r="Z232" t="n">
        <v/>
      </c>
      <c r="AA232" t="n">
        <v/>
      </c>
      <c r="AB232" t="n">
        <v>3.709306</v>
      </c>
      <c r="AC232" t="n">
        <v/>
      </c>
      <c r="AD232" t="n">
        <v>4.875842</v>
      </c>
      <c r="AE232" t="n">
        <v>0.2554737</v>
      </c>
    </row>
    <row r="233">
      <c r="A233" s="87" t="n">
        <v>25659</v>
      </c>
      <c r="B233" t="n">
        <v>0.8377012</v>
      </c>
      <c r="C233" t="n">
        <v/>
      </c>
      <c r="D233" t="n">
        <v>1.994447</v>
      </c>
      <c r="E233" t="n">
        <v/>
      </c>
      <c r="F233" t="n">
        <v/>
      </c>
      <c r="G233" t="n">
        <v/>
      </c>
      <c r="H233" t="n">
        <v/>
      </c>
      <c r="I233" t="n">
        <v/>
      </c>
      <c r="J233" t="n">
        <v/>
      </c>
      <c r="K233" t="n">
        <v>3.349325</v>
      </c>
      <c r="L233" t="n">
        <v>3.048116</v>
      </c>
      <c r="M233" t="n">
        <v/>
      </c>
      <c r="N233" t="n">
        <v/>
      </c>
      <c r="O233" t="n">
        <v/>
      </c>
      <c r="P233" t="n">
        <v>0.08759746</v>
      </c>
      <c r="Q233" t="n">
        <v>0.009359734999999999</v>
      </c>
      <c r="R233" t="n">
        <v/>
      </c>
      <c r="S233" t="n">
        <v/>
      </c>
      <c r="T233" t="n">
        <v/>
      </c>
      <c r="U233" t="n">
        <v/>
      </c>
      <c r="V233" t="n">
        <v>2.017001</v>
      </c>
      <c r="W233" t="n">
        <v/>
      </c>
      <c r="X233" t="n">
        <v/>
      </c>
      <c r="Y233" t="n">
        <v>0.275742</v>
      </c>
      <c r="Z233" t="n">
        <v/>
      </c>
      <c r="AA233" t="n">
        <v/>
      </c>
      <c r="AB233" t="n">
        <v>3.711629</v>
      </c>
      <c r="AC233" t="n">
        <v/>
      </c>
      <c r="AD233" t="n">
        <v>4.884974</v>
      </c>
      <c r="AE233" t="n">
        <v>0.2588155</v>
      </c>
    </row>
    <row r="234">
      <c r="A234" s="87" t="n">
        <v>25689</v>
      </c>
      <c r="B234" t="n">
        <v>0.8405029000000001</v>
      </c>
      <c r="C234" t="n">
        <v/>
      </c>
      <c r="D234" t="n">
        <v>2.020552</v>
      </c>
      <c r="E234" t="n">
        <v/>
      </c>
      <c r="F234" t="n">
        <v/>
      </c>
      <c r="G234" t="n">
        <v/>
      </c>
      <c r="H234" t="n">
        <v/>
      </c>
      <c r="I234" t="n">
        <v/>
      </c>
      <c r="J234" t="n">
        <v/>
      </c>
      <c r="K234" t="n">
        <v>3.341128</v>
      </c>
      <c r="L234" t="n">
        <v>3.072637</v>
      </c>
      <c r="M234" t="n">
        <v/>
      </c>
      <c r="N234" t="n">
        <v/>
      </c>
      <c r="O234" t="n">
        <v/>
      </c>
      <c r="P234" t="n">
        <v>0.09011165</v>
      </c>
      <c r="Q234" t="n">
        <v>0.009682936</v>
      </c>
      <c r="R234" t="n">
        <v/>
      </c>
      <c r="S234" t="n">
        <v/>
      </c>
      <c r="T234" t="n">
        <v/>
      </c>
      <c r="U234" t="n">
        <v/>
      </c>
      <c r="V234" t="n">
        <v>2.043677</v>
      </c>
      <c r="W234" t="n">
        <v/>
      </c>
      <c r="X234" t="n">
        <v/>
      </c>
      <c r="Y234" t="n">
        <v>0.2796369</v>
      </c>
      <c r="Z234" t="n">
        <v/>
      </c>
      <c r="AA234" t="n">
        <v/>
      </c>
      <c r="AB234" t="n">
        <v>3.704743</v>
      </c>
      <c r="AC234" t="n">
        <v/>
      </c>
      <c r="AD234" t="n">
        <v>4.910711</v>
      </c>
      <c r="AE234" t="n">
        <v>0.2605789</v>
      </c>
    </row>
    <row r="235">
      <c r="A235" s="87" t="n">
        <v>25720</v>
      </c>
      <c r="B235" t="n">
        <v>0.8405029000000001</v>
      </c>
      <c r="C235" t="n">
        <v/>
      </c>
      <c r="D235" t="n">
        <v>2.034614</v>
      </c>
      <c r="E235" t="n">
        <v/>
      </c>
      <c r="F235" t="n">
        <v/>
      </c>
      <c r="G235" t="n">
        <v/>
      </c>
      <c r="H235" t="n">
        <v/>
      </c>
      <c r="I235" t="n">
        <v/>
      </c>
      <c r="J235" t="n">
        <v/>
      </c>
      <c r="K235" t="n">
        <v>3.29152</v>
      </c>
      <c r="L235" t="n">
        <v>3.108003</v>
      </c>
      <c r="M235" t="n">
        <v/>
      </c>
      <c r="N235" t="n">
        <v/>
      </c>
      <c r="O235" t="n">
        <v/>
      </c>
      <c r="P235" t="n">
        <v>0.09092955</v>
      </c>
      <c r="Q235" t="n">
        <v>0.009876294000000001</v>
      </c>
      <c r="R235" t="n">
        <v/>
      </c>
      <c r="S235" t="n">
        <v/>
      </c>
      <c r="T235" t="n">
        <v/>
      </c>
      <c r="U235" t="n">
        <v/>
      </c>
      <c r="V235" t="n">
        <v>2.072795</v>
      </c>
      <c r="W235" t="n">
        <v/>
      </c>
      <c r="X235" t="n">
        <v/>
      </c>
      <c r="Y235" t="n">
        <v>0.2832707</v>
      </c>
      <c r="Z235" t="n">
        <v/>
      </c>
      <c r="AA235" t="n">
        <v/>
      </c>
      <c r="AB235" t="n">
        <v>3.715171</v>
      </c>
      <c r="AC235" t="n">
        <v/>
      </c>
      <c r="AD235" t="n">
        <v>4.941429</v>
      </c>
      <c r="AE235" t="n">
        <v>0.2629929</v>
      </c>
    </row>
    <row r="236">
      <c r="A236" s="87" t="n">
        <v>25750</v>
      </c>
      <c r="B236" t="n">
        <v>0.8433046</v>
      </c>
      <c r="C236" t="n">
        <v/>
      </c>
      <c r="D236" t="n">
        <v>2.038025</v>
      </c>
      <c r="E236" t="n">
        <v/>
      </c>
      <c r="F236" t="n">
        <v/>
      </c>
      <c r="G236" t="n">
        <v/>
      </c>
      <c r="H236" t="n">
        <v/>
      </c>
      <c r="I236" t="n">
        <v/>
      </c>
      <c r="J236" t="n">
        <v/>
      </c>
      <c r="K236" t="n">
        <v>3.298657</v>
      </c>
      <c r="L236" t="n">
        <v>3.153273</v>
      </c>
      <c r="M236" t="n">
        <v/>
      </c>
      <c r="N236" t="n">
        <v/>
      </c>
      <c r="O236" t="n">
        <v/>
      </c>
      <c r="P236" t="n">
        <v>0.09190880999999999</v>
      </c>
      <c r="Q236" t="n">
        <v>0.009966355</v>
      </c>
      <c r="R236" t="n">
        <v/>
      </c>
      <c r="S236" t="n">
        <v/>
      </c>
      <c r="T236" t="n">
        <v/>
      </c>
      <c r="U236" t="n">
        <v/>
      </c>
      <c r="V236" t="n">
        <v>2.098274</v>
      </c>
      <c r="W236" t="n">
        <v/>
      </c>
      <c r="X236" t="n">
        <v/>
      </c>
      <c r="Y236" t="n">
        <v>0.294746</v>
      </c>
      <c r="Z236" t="n">
        <v/>
      </c>
      <c r="AA236" t="n">
        <v/>
      </c>
      <c r="AB236" t="n">
        <v>3.72297</v>
      </c>
      <c r="AC236" t="n">
        <v/>
      </c>
      <c r="AD236" t="n">
        <v>4.973807</v>
      </c>
      <c r="AE236" t="n">
        <v>0.265268</v>
      </c>
    </row>
    <row r="237">
      <c r="A237" s="87" t="n">
        <v>25781</v>
      </c>
      <c r="B237" t="n">
        <v>0.8461062</v>
      </c>
      <c r="C237" t="n">
        <v/>
      </c>
      <c r="D237" t="n">
        <v>2.067233</v>
      </c>
      <c r="E237" t="n">
        <v/>
      </c>
      <c r="F237" t="n">
        <v/>
      </c>
      <c r="G237" t="n">
        <v/>
      </c>
      <c r="H237" t="n">
        <v/>
      </c>
      <c r="I237" t="n">
        <v/>
      </c>
      <c r="J237" t="n">
        <v/>
      </c>
      <c r="K237" t="n">
        <v>3.311163</v>
      </c>
      <c r="L237" t="n">
        <v>3.186281</v>
      </c>
      <c r="M237" t="n">
        <v/>
      </c>
      <c r="N237" t="n">
        <v/>
      </c>
      <c r="O237" t="n">
        <v/>
      </c>
      <c r="P237" t="n">
        <v>0.09298286</v>
      </c>
      <c r="Q237" t="n">
        <v>0.01009725</v>
      </c>
      <c r="R237" t="n">
        <v/>
      </c>
      <c r="S237" t="n">
        <v/>
      </c>
      <c r="T237" t="n">
        <v/>
      </c>
      <c r="U237" t="n">
        <v/>
      </c>
      <c r="V237" t="n">
        <v>2.113882</v>
      </c>
      <c r="W237" t="n">
        <v/>
      </c>
      <c r="X237" t="n">
        <v/>
      </c>
      <c r="Y237" t="n">
        <v>0.3069837</v>
      </c>
      <c r="Z237" t="n">
        <v/>
      </c>
      <c r="AA237" t="n">
        <v/>
      </c>
      <c r="AB237" t="n">
        <v>3.734303</v>
      </c>
      <c r="AC237" t="n">
        <v/>
      </c>
      <c r="AD237" t="n">
        <v>5.021959</v>
      </c>
      <c r="AE237" t="n">
        <v>0.266302</v>
      </c>
    </row>
    <row r="238">
      <c r="A238" s="87" t="n">
        <v>25812</v>
      </c>
      <c r="B238" t="n">
        <v>0.8489079</v>
      </c>
      <c r="C238" t="n">
        <v/>
      </c>
      <c r="D238" t="n">
        <v>2.0952</v>
      </c>
      <c r="E238" t="n">
        <v/>
      </c>
      <c r="F238" t="n">
        <v/>
      </c>
      <c r="G238" t="n">
        <v/>
      </c>
      <c r="H238" t="n">
        <v/>
      </c>
      <c r="I238" t="n">
        <v/>
      </c>
      <c r="J238" t="n">
        <v/>
      </c>
      <c r="K238" t="n">
        <v>3.298118</v>
      </c>
      <c r="L238" t="n">
        <v>3.206558</v>
      </c>
      <c r="M238" t="n">
        <v/>
      </c>
      <c r="N238" t="n">
        <v/>
      </c>
      <c r="O238" t="n">
        <v/>
      </c>
      <c r="P238" t="n">
        <v>0.09413236</v>
      </c>
      <c r="Q238" t="n">
        <v>0.01022749</v>
      </c>
      <c r="R238" t="n">
        <v/>
      </c>
      <c r="S238" t="n">
        <v/>
      </c>
      <c r="T238" t="n">
        <v/>
      </c>
      <c r="U238" t="n">
        <v/>
      </c>
      <c r="V238" t="n">
        <v>2.137936</v>
      </c>
      <c r="W238" t="n">
        <v/>
      </c>
      <c r="X238" t="n">
        <v/>
      </c>
      <c r="Y238" t="n">
        <v>0.3145295</v>
      </c>
      <c r="Z238" t="n">
        <v/>
      </c>
      <c r="AA238" t="n">
        <v/>
      </c>
      <c r="AB238" t="n">
        <v>3.757502</v>
      </c>
      <c r="AC238" t="n">
        <v/>
      </c>
      <c r="AD238" t="n">
        <v>5.074263</v>
      </c>
      <c r="AE238" t="n">
        <v>0.2680131</v>
      </c>
    </row>
    <row r="239">
      <c r="A239" s="87" t="n">
        <v>25842</v>
      </c>
      <c r="B239" t="n">
        <v>0.8517096</v>
      </c>
      <c r="C239" t="n">
        <v/>
      </c>
      <c r="D239" t="n">
        <v>2.100628</v>
      </c>
      <c r="E239" t="n">
        <v/>
      </c>
      <c r="F239" t="n">
        <v/>
      </c>
      <c r="G239" t="n">
        <v/>
      </c>
      <c r="H239" t="n">
        <v/>
      </c>
      <c r="I239" t="n">
        <v/>
      </c>
      <c r="J239" t="n">
        <v/>
      </c>
      <c r="K239" t="n">
        <v>3.321889</v>
      </c>
      <c r="L239" t="n">
        <v>3.231079</v>
      </c>
      <c r="M239" t="n">
        <v/>
      </c>
      <c r="N239" t="n">
        <v/>
      </c>
      <c r="O239" t="n">
        <v/>
      </c>
      <c r="P239" t="n">
        <v>0.09562659</v>
      </c>
      <c r="Q239" t="n">
        <v>0.01043359</v>
      </c>
      <c r="R239" t="n">
        <v/>
      </c>
      <c r="S239" t="n">
        <v/>
      </c>
      <c r="T239" t="n">
        <v/>
      </c>
      <c r="U239" t="n">
        <v/>
      </c>
      <c r="V239" t="n">
        <v>2.167026</v>
      </c>
      <c r="W239" t="n">
        <v/>
      </c>
      <c r="X239" t="n">
        <v/>
      </c>
      <c r="Y239" t="n">
        <v>0.3241476</v>
      </c>
      <c r="Z239" t="n">
        <v/>
      </c>
      <c r="AA239" t="n">
        <v/>
      </c>
      <c r="AB239" t="n">
        <v>3.778646</v>
      </c>
      <c r="AC239" t="n">
        <v/>
      </c>
      <c r="AD239" t="n">
        <v>5.117434</v>
      </c>
      <c r="AE239" t="n">
        <v>0.2705621</v>
      </c>
    </row>
    <row r="240">
      <c r="A240" s="87" t="n">
        <v>25873</v>
      </c>
      <c r="B240" t="n">
        <v>0.8545113</v>
      </c>
      <c r="C240" t="n">
        <v/>
      </c>
      <c r="D240" t="n">
        <v>2.14674</v>
      </c>
      <c r="E240" t="n">
        <v/>
      </c>
      <c r="F240" t="n">
        <v/>
      </c>
      <c r="G240" t="n">
        <v/>
      </c>
      <c r="H240" t="n">
        <v/>
      </c>
      <c r="I240" t="n">
        <v/>
      </c>
      <c r="J240" t="n">
        <v/>
      </c>
      <c r="K240" t="n">
        <v>3.320083</v>
      </c>
      <c r="L240" t="n">
        <v>3.260315</v>
      </c>
      <c r="M240" t="n">
        <v/>
      </c>
      <c r="N240" t="n">
        <v/>
      </c>
      <c r="O240" t="n">
        <v/>
      </c>
      <c r="P240" t="n">
        <v>0.09673640999999999</v>
      </c>
      <c r="Q240" t="n">
        <v>0.01066085</v>
      </c>
      <c r="R240" t="n">
        <v/>
      </c>
      <c r="S240" t="n">
        <v/>
      </c>
      <c r="T240" t="n">
        <v/>
      </c>
      <c r="U240" t="n">
        <v/>
      </c>
      <c r="V240" t="n">
        <v>2.191511</v>
      </c>
      <c r="W240" t="n">
        <v/>
      </c>
      <c r="X240" t="n">
        <v/>
      </c>
      <c r="Y240" t="n">
        <v>0.331736</v>
      </c>
      <c r="Z240" t="n">
        <v/>
      </c>
      <c r="AA240" t="n">
        <v/>
      </c>
      <c r="AB240" t="n">
        <v>3.812876</v>
      </c>
      <c r="AC240" t="n">
        <v/>
      </c>
      <c r="AD240" t="n">
        <v>5.156454</v>
      </c>
      <c r="AE240" t="n">
        <v>0.272078</v>
      </c>
    </row>
    <row r="241">
      <c r="A241" s="87" t="n">
        <v>25903</v>
      </c>
      <c r="B241" t="n">
        <v>0.8601146</v>
      </c>
      <c r="C241" t="n">
        <v/>
      </c>
      <c r="D241" t="n">
        <v>2.162662</v>
      </c>
      <c r="E241" t="n">
        <v/>
      </c>
      <c r="F241" t="n">
        <v/>
      </c>
      <c r="G241" t="n">
        <v/>
      </c>
      <c r="H241" t="n">
        <v/>
      </c>
      <c r="I241" t="n">
        <v/>
      </c>
      <c r="J241" t="n">
        <v/>
      </c>
      <c r="K241" t="n">
        <v>3.298218</v>
      </c>
      <c r="L241" t="n">
        <v>3.271632</v>
      </c>
      <c r="M241" t="n">
        <v/>
      </c>
      <c r="N241" t="n">
        <v/>
      </c>
      <c r="O241" t="n">
        <v/>
      </c>
      <c r="P241" t="n">
        <v>0.09725758</v>
      </c>
      <c r="Q241" t="n">
        <v>0.01078239</v>
      </c>
      <c r="R241" t="n">
        <v/>
      </c>
      <c r="S241" t="n">
        <v/>
      </c>
      <c r="T241" t="n">
        <v/>
      </c>
      <c r="U241" t="n">
        <v/>
      </c>
      <c r="V241" t="n">
        <v>2.215648</v>
      </c>
      <c r="W241" t="n">
        <v/>
      </c>
      <c r="X241" t="n">
        <v/>
      </c>
      <c r="Y241" t="n">
        <v>0.3376556</v>
      </c>
      <c r="Z241" t="n">
        <v/>
      </c>
      <c r="AA241" t="n">
        <v/>
      </c>
      <c r="AB241" t="n">
        <v>3.850293</v>
      </c>
      <c r="AC241" t="n">
        <v/>
      </c>
      <c r="AD241" t="n">
        <v>5.201285</v>
      </c>
      <c r="AE241" t="n">
        <v>0.2735551</v>
      </c>
    </row>
    <row r="242">
      <c r="A242" s="87" t="n">
        <v>25934</v>
      </c>
      <c r="B242" t="n">
        <v>0.8629163</v>
      </c>
      <c r="C242" t="n">
        <v/>
      </c>
      <c r="D242" t="n">
        <v>2.193886</v>
      </c>
      <c r="E242" t="n">
        <v/>
      </c>
      <c r="F242" t="n">
        <v/>
      </c>
      <c r="G242" t="n">
        <v/>
      </c>
      <c r="H242" t="n">
        <v/>
      </c>
      <c r="I242" t="n">
        <v/>
      </c>
      <c r="J242" t="n">
        <v/>
      </c>
      <c r="K242" t="n">
        <v>3.328163</v>
      </c>
      <c r="L242" t="n">
        <v>3.293324</v>
      </c>
      <c r="M242" t="n">
        <v/>
      </c>
      <c r="N242" t="n">
        <v/>
      </c>
      <c r="O242" t="n">
        <v/>
      </c>
      <c r="P242" t="n">
        <v>0.09830516</v>
      </c>
      <c r="Q242" t="n">
        <v>0.0109652</v>
      </c>
      <c r="R242" t="n">
        <v/>
      </c>
      <c r="S242" t="n">
        <v/>
      </c>
      <c r="T242" t="n">
        <v/>
      </c>
      <c r="U242" t="n">
        <v/>
      </c>
      <c r="V242" t="n">
        <v>2.267503</v>
      </c>
      <c r="W242" t="n">
        <v/>
      </c>
      <c r="X242" t="n">
        <v/>
      </c>
      <c r="Y242" t="n">
        <v>0.3432385</v>
      </c>
      <c r="Z242" t="n">
        <v/>
      </c>
      <c r="AA242" t="n">
        <v/>
      </c>
      <c r="AB242" t="n">
        <v>3.895688</v>
      </c>
      <c r="AC242" t="n">
        <v/>
      </c>
      <c r="AD242" t="n">
        <v>5.254419</v>
      </c>
      <c r="AE242" t="n">
        <v>0.2765068</v>
      </c>
    </row>
    <row r="243">
      <c r="A243" s="87" t="n">
        <v>25965</v>
      </c>
      <c r="B243" t="n">
        <v>0.8685197</v>
      </c>
      <c r="C243" t="n">
        <v/>
      </c>
      <c r="D243" t="n">
        <v>2.193783</v>
      </c>
      <c r="E243" t="n">
        <v/>
      </c>
      <c r="F243" t="n">
        <v/>
      </c>
      <c r="G243" t="n">
        <v/>
      </c>
      <c r="H243" t="n">
        <v/>
      </c>
      <c r="I243" t="n">
        <v/>
      </c>
      <c r="J243" t="n">
        <v/>
      </c>
      <c r="K243" t="n">
        <v>3.434218</v>
      </c>
      <c r="L243" t="n">
        <v>3.335763</v>
      </c>
      <c r="M243" t="n">
        <v/>
      </c>
      <c r="N243" t="n">
        <v/>
      </c>
      <c r="O243" t="n">
        <v/>
      </c>
      <c r="P243" t="n">
        <v>0.09977453</v>
      </c>
      <c r="Q243" t="n">
        <v>0.01121859</v>
      </c>
      <c r="R243" t="n">
        <v/>
      </c>
      <c r="S243" t="n">
        <v/>
      </c>
      <c r="T243" t="n">
        <v/>
      </c>
      <c r="U243" t="n">
        <v/>
      </c>
      <c r="V243" t="n">
        <v>2.297293</v>
      </c>
      <c r="W243" t="n">
        <v/>
      </c>
      <c r="X243" t="n">
        <v/>
      </c>
      <c r="Y243" t="n">
        <v>0.3482307</v>
      </c>
      <c r="Z243" t="n">
        <v/>
      </c>
      <c r="AA243" t="n">
        <v/>
      </c>
      <c r="AB243" t="n">
        <v>3.922586</v>
      </c>
      <c r="AC243" t="n">
        <v/>
      </c>
      <c r="AD243" t="n">
        <v>5.321666</v>
      </c>
      <c r="AE243" t="n">
        <v>0.278814</v>
      </c>
    </row>
    <row r="244">
      <c r="A244" s="87" t="n">
        <v>25993</v>
      </c>
      <c r="B244" t="n">
        <v>0.8769247</v>
      </c>
      <c r="C244" t="n">
        <v/>
      </c>
      <c r="D244" t="n">
        <v>2.214719</v>
      </c>
      <c r="E244" t="n">
        <v/>
      </c>
      <c r="F244" t="n">
        <v/>
      </c>
      <c r="G244" t="n">
        <v/>
      </c>
      <c r="H244" t="n">
        <v/>
      </c>
      <c r="I244" t="n">
        <v/>
      </c>
      <c r="J244" t="n">
        <v/>
      </c>
      <c r="K244" t="n">
        <v>3.445151</v>
      </c>
      <c r="L244" t="n">
        <v>3.373016</v>
      </c>
      <c r="M244" t="n">
        <v/>
      </c>
      <c r="N244" t="n">
        <v/>
      </c>
      <c r="O244" t="n">
        <v/>
      </c>
      <c r="P244" t="n">
        <v>0.10076</v>
      </c>
      <c r="Q244" t="n">
        <v>0.01137643</v>
      </c>
      <c r="R244" t="n">
        <v/>
      </c>
      <c r="S244" t="n">
        <v/>
      </c>
      <c r="T244" t="n">
        <v/>
      </c>
      <c r="U244" t="n">
        <v/>
      </c>
      <c r="V244" t="n">
        <v>2.297364</v>
      </c>
      <c r="W244" t="n">
        <v/>
      </c>
      <c r="X244" t="n">
        <v/>
      </c>
      <c r="Y244" t="n">
        <v>0.353399</v>
      </c>
      <c r="Z244" t="n">
        <v/>
      </c>
      <c r="AA244" t="n">
        <v/>
      </c>
      <c r="AB244" t="n">
        <v>3.936455</v>
      </c>
      <c r="AC244" t="n">
        <v/>
      </c>
      <c r="AD244" t="n">
        <v>5.395555</v>
      </c>
      <c r="AE244" t="n">
        <v>0.280654</v>
      </c>
    </row>
    <row r="245">
      <c r="A245" s="87" t="n">
        <v>26024</v>
      </c>
      <c r="B245" t="n">
        <v>0.8825281</v>
      </c>
      <c r="C245" t="n">
        <v/>
      </c>
      <c r="D245" t="n">
        <v>2.217924</v>
      </c>
      <c r="E245" t="n">
        <v/>
      </c>
      <c r="F245" t="n">
        <v/>
      </c>
      <c r="G245" t="n">
        <v/>
      </c>
      <c r="H245" t="n">
        <v/>
      </c>
      <c r="I245" t="n">
        <v/>
      </c>
      <c r="J245" t="n">
        <v/>
      </c>
      <c r="K245" t="n">
        <v>3.387892</v>
      </c>
      <c r="L245" t="n">
        <v>3.4197</v>
      </c>
      <c r="M245" t="n">
        <v/>
      </c>
      <c r="N245" t="n">
        <v/>
      </c>
      <c r="O245" t="n">
        <v/>
      </c>
      <c r="P245" t="n">
        <v>0.1014787</v>
      </c>
      <c r="Q245" t="n">
        <v>0.01151388</v>
      </c>
      <c r="R245" t="n">
        <v/>
      </c>
      <c r="S245" t="n">
        <v/>
      </c>
      <c r="T245" t="n">
        <v/>
      </c>
      <c r="U245" t="n">
        <v/>
      </c>
      <c r="V245" t="n">
        <v>2.320847</v>
      </c>
      <c r="W245" t="n">
        <v/>
      </c>
      <c r="X245" t="n">
        <v/>
      </c>
      <c r="Y245" t="n">
        <v>0.3651486</v>
      </c>
      <c r="Z245" t="n">
        <v/>
      </c>
      <c r="AA245" t="n">
        <v/>
      </c>
      <c r="AB245" t="n">
        <v>3.959429</v>
      </c>
      <c r="AC245" t="n">
        <v/>
      </c>
      <c r="AD245" t="n">
        <v>5.466123</v>
      </c>
      <c r="AE245" t="n">
        <v>0.2832132</v>
      </c>
    </row>
    <row r="246">
      <c r="A246" s="87" t="n">
        <v>26054</v>
      </c>
      <c r="B246" t="n">
        <v>0.8909331</v>
      </c>
      <c r="C246" t="n">
        <v/>
      </c>
      <c r="D246" t="n">
        <v>2.233639</v>
      </c>
      <c r="E246" t="n">
        <v/>
      </c>
      <c r="F246" t="n">
        <v/>
      </c>
      <c r="G246" t="n">
        <v/>
      </c>
      <c r="H246" t="n">
        <v/>
      </c>
      <c r="I246" t="n">
        <v/>
      </c>
      <c r="J246" t="n">
        <v/>
      </c>
      <c r="K246" t="n">
        <v>3.412113</v>
      </c>
      <c r="L246" t="n">
        <v>3.470156</v>
      </c>
      <c r="M246" t="n">
        <v/>
      </c>
      <c r="N246" t="n">
        <v/>
      </c>
      <c r="O246" t="n">
        <v/>
      </c>
      <c r="P246" t="n">
        <v>0.1024442</v>
      </c>
      <c r="Q246" t="n">
        <v>0.01170597</v>
      </c>
      <c r="R246" t="n">
        <v/>
      </c>
      <c r="S246" t="n">
        <v/>
      </c>
      <c r="T246" t="n">
        <v/>
      </c>
      <c r="U246" t="n">
        <v/>
      </c>
      <c r="V246" t="n">
        <v>2.335481</v>
      </c>
      <c r="W246" t="n">
        <v/>
      </c>
      <c r="X246" t="n">
        <v/>
      </c>
      <c r="Y246" t="n">
        <v>0.378767</v>
      </c>
      <c r="Z246" t="n">
        <v/>
      </c>
      <c r="AA246" t="n">
        <v/>
      </c>
      <c r="AB246" t="n">
        <v>3.992809</v>
      </c>
      <c r="AC246" t="n">
        <v/>
      </c>
      <c r="AD246" t="n">
        <v>5.535031</v>
      </c>
      <c r="AE246" t="n">
        <v>0.2858628</v>
      </c>
    </row>
    <row r="247">
      <c r="A247" s="87" t="n">
        <v>26085</v>
      </c>
      <c r="B247" t="n">
        <v>0.8993381</v>
      </c>
      <c r="C247" t="n">
        <v/>
      </c>
      <c r="D247" t="n">
        <v>2.239843</v>
      </c>
      <c r="E247" t="n">
        <v/>
      </c>
      <c r="F247" t="n">
        <v/>
      </c>
      <c r="G247" t="n">
        <v/>
      </c>
      <c r="H247" t="n">
        <v/>
      </c>
      <c r="I247" t="n">
        <v/>
      </c>
      <c r="J247" t="n">
        <v/>
      </c>
      <c r="K247" t="n">
        <v>3.46466</v>
      </c>
      <c r="L247" t="n">
        <v>3.509295</v>
      </c>
      <c r="M247" t="n">
        <v/>
      </c>
      <c r="N247" t="n">
        <v/>
      </c>
      <c r="O247" t="n">
        <v/>
      </c>
      <c r="P247" t="n">
        <v>0.103582</v>
      </c>
      <c r="Q247" t="n">
        <v>0.01196572</v>
      </c>
      <c r="R247" t="n">
        <v/>
      </c>
      <c r="S247" t="n">
        <v/>
      </c>
      <c r="T247" t="n">
        <v/>
      </c>
      <c r="U247" t="n">
        <v/>
      </c>
      <c r="V247" t="n">
        <v>2.357951</v>
      </c>
      <c r="W247" t="n">
        <v/>
      </c>
      <c r="X247" t="n">
        <v/>
      </c>
      <c r="Y247" t="n">
        <v>0.3864732</v>
      </c>
      <c r="Z247" t="n">
        <v/>
      </c>
      <c r="AA247" t="n">
        <v/>
      </c>
      <c r="AB247" t="n">
        <v>4.026244</v>
      </c>
      <c r="AC247" t="n">
        <v/>
      </c>
      <c r="AD247" t="n">
        <v>5.587334</v>
      </c>
      <c r="AE247" t="n">
        <v>0.2871199</v>
      </c>
    </row>
    <row r="248">
      <c r="A248" s="87" t="n">
        <v>26115</v>
      </c>
      <c r="B248" t="n">
        <v>0.9021398</v>
      </c>
      <c r="C248" t="n">
        <v/>
      </c>
      <c r="D248" t="n">
        <v>2.263881</v>
      </c>
      <c r="E248" t="n">
        <v/>
      </c>
      <c r="F248" t="n">
        <v/>
      </c>
      <c r="G248" t="n">
        <v/>
      </c>
      <c r="H248" t="n">
        <v/>
      </c>
      <c r="I248" t="n">
        <v/>
      </c>
      <c r="J248" t="n">
        <v/>
      </c>
      <c r="K248" t="n">
        <v>3.534374</v>
      </c>
      <c r="L248" t="n">
        <v>3.546547</v>
      </c>
      <c r="M248" t="n">
        <v/>
      </c>
      <c r="N248" t="n">
        <v/>
      </c>
      <c r="O248" t="n">
        <v/>
      </c>
      <c r="P248" t="n">
        <v>0.1045819</v>
      </c>
      <c r="Q248" t="n">
        <v>0.0121814</v>
      </c>
      <c r="R248" t="n">
        <v/>
      </c>
      <c r="S248" t="n">
        <v/>
      </c>
      <c r="T248" t="n">
        <v/>
      </c>
      <c r="U248" t="n">
        <v/>
      </c>
      <c r="V248" t="n">
        <v>2.380578</v>
      </c>
      <c r="W248" t="n">
        <v/>
      </c>
      <c r="X248" t="n">
        <v/>
      </c>
      <c r="Y248" t="n">
        <v>0.3996906</v>
      </c>
      <c r="Z248" t="n">
        <v/>
      </c>
      <c r="AA248" t="n">
        <v/>
      </c>
      <c r="AB248" t="n">
        <v>4.057608</v>
      </c>
      <c r="AC248" t="n">
        <v/>
      </c>
      <c r="AD248" t="n">
        <v>5.642128</v>
      </c>
      <c r="AE248" t="n">
        <v>0.2871328</v>
      </c>
    </row>
    <row r="249">
      <c r="A249" s="87" t="n">
        <v>26146</v>
      </c>
      <c r="B249" t="n">
        <v>0.9077432</v>
      </c>
      <c r="C249" t="n">
        <v/>
      </c>
      <c r="D249" t="n">
        <v>2.309166</v>
      </c>
      <c r="E249" t="n">
        <v/>
      </c>
      <c r="F249" t="n">
        <v/>
      </c>
      <c r="G249" t="n">
        <v/>
      </c>
      <c r="H249" t="n">
        <v/>
      </c>
      <c r="I249" t="n">
        <v/>
      </c>
      <c r="J249" t="n">
        <v/>
      </c>
      <c r="K249" t="n">
        <v>3.563329</v>
      </c>
      <c r="L249" t="n">
        <v>3.5838</v>
      </c>
      <c r="M249" t="n">
        <v/>
      </c>
      <c r="N249" t="n">
        <v/>
      </c>
      <c r="O249" t="n">
        <v/>
      </c>
      <c r="P249" t="n">
        <v>0.1057668</v>
      </c>
      <c r="Q249" t="n">
        <v>0.01247012</v>
      </c>
      <c r="R249" t="n">
        <v/>
      </c>
      <c r="S249" t="n">
        <v/>
      </c>
      <c r="T249" t="n">
        <v/>
      </c>
      <c r="U249" t="n">
        <v/>
      </c>
      <c r="V249" t="n">
        <v>2.403209</v>
      </c>
      <c r="W249" t="n">
        <v/>
      </c>
      <c r="X249" t="n">
        <v/>
      </c>
      <c r="Y249" t="n">
        <v>0.4117141</v>
      </c>
      <c r="Z249" t="n">
        <v/>
      </c>
      <c r="AA249" t="n">
        <v/>
      </c>
      <c r="AB249" t="n">
        <v>4.097553</v>
      </c>
      <c r="AC249" t="n">
        <v/>
      </c>
      <c r="AD249" t="n">
        <v>5.691111</v>
      </c>
      <c r="AE249" t="n">
        <v>0.2894966</v>
      </c>
    </row>
    <row r="250">
      <c r="A250" s="87" t="n">
        <v>26177</v>
      </c>
      <c r="B250" t="n">
        <v>0.9189498</v>
      </c>
      <c r="C250" t="n">
        <v/>
      </c>
      <c r="D250" t="n">
        <v>2.310562</v>
      </c>
      <c r="E250" t="n">
        <v/>
      </c>
      <c r="F250" t="n">
        <v/>
      </c>
      <c r="G250" t="n">
        <v/>
      </c>
      <c r="H250" t="n">
        <v/>
      </c>
      <c r="I250" t="n">
        <v/>
      </c>
      <c r="J250" t="n">
        <v/>
      </c>
      <c r="K250" t="n">
        <v>3.605431</v>
      </c>
      <c r="L250" t="n">
        <v>3.621524</v>
      </c>
      <c r="M250" t="n">
        <v/>
      </c>
      <c r="N250" t="n">
        <v/>
      </c>
      <c r="O250" t="n">
        <v/>
      </c>
      <c r="P250" t="n">
        <v>0.1072255</v>
      </c>
      <c r="Q250" t="n">
        <v>0.01269386</v>
      </c>
      <c r="R250" t="n">
        <v/>
      </c>
      <c r="S250" t="n">
        <v/>
      </c>
      <c r="T250" t="n">
        <v/>
      </c>
      <c r="U250" t="n">
        <v/>
      </c>
      <c r="V250" t="n">
        <v>2.413347</v>
      </c>
      <c r="W250" t="n">
        <v/>
      </c>
      <c r="X250" t="n">
        <v/>
      </c>
      <c r="Y250" t="n">
        <v>0.416338</v>
      </c>
      <c r="Z250" t="n">
        <v/>
      </c>
      <c r="AA250" t="n">
        <v/>
      </c>
      <c r="AB250" t="n">
        <v>4.140794</v>
      </c>
      <c r="AC250" t="n">
        <v/>
      </c>
      <c r="AD250" t="n">
        <v>5.749226</v>
      </c>
      <c r="AE250" t="n">
        <v>0.2918229</v>
      </c>
    </row>
    <row r="251">
      <c r="A251" s="87" t="n">
        <v>26207</v>
      </c>
      <c r="B251" t="n">
        <v>0.9273549</v>
      </c>
      <c r="C251" t="n">
        <v/>
      </c>
      <c r="D251" t="n">
        <v>2.353469</v>
      </c>
      <c r="E251" t="n">
        <v/>
      </c>
      <c r="F251" t="n">
        <v/>
      </c>
      <c r="G251" t="n">
        <v/>
      </c>
      <c r="H251" t="n">
        <v/>
      </c>
      <c r="I251" t="n">
        <v/>
      </c>
      <c r="J251" t="n">
        <v/>
      </c>
      <c r="K251" t="n">
        <v>3.589122</v>
      </c>
      <c r="L251" t="n">
        <v>3.663021</v>
      </c>
      <c r="M251" t="n">
        <v/>
      </c>
      <c r="N251" t="n">
        <v/>
      </c>
      <c r="O251" t="n">
        <v/>
      </c>
      <c r="P251" t="n">
        <v>0.1086651</v>
      </c>
      <c r="Q251" t="n">
        <v>0.0127959</v>
      </c>
      <c r="R251" t="n">
        <v/>
      </c>
      <c r="S251" t="n">
        <v/>
      </c>
      <c r="T251" t="n">
        <v/>
      </c>
      <c r="U251" t="n">
        <v/>
      </c>
      <c r="V251" t="n">
        <v>2.435499</v>
      </c>
      <c r="W251" t="n">
        <v/>
      </c>
      <c r="X251" t="n">
        <v/>
      </c>
      <c r="Y251" t="n">
        <v>0.430344</v>
      </c>
      <c r="Z251" t="n">
        <v/>
      </c>
      <c r="AA251" t="n">
        <v/>
      </c>
      <c r="AB251" t="n">
        <v>4.179535</v>
      </c>
      <c r="AC251" t="n">
        <v/>
      </c>
      <c r="AD251" t="n">
        <v>5.798208</v>
      </c>
      <c r="AE251" t="n">
        <v>0.2930707</v>
      </c>
    </row>
    <row r="252">
      <c r="A252" s="87" t="n">
        <v>26238</v>
      </c>
      <c r="B252" t="n">
        <v>0.9301565000000001</v>
      </c>
      <c r="C252" t="n">
        <v/>
      </c>
      <c r="D252" t="n">
        <v>2.364325</v>
      </c>
      <c r="E252" t="n">
        <v/>
      </c>
      <c r="F252" t="n">
        <v/>
      </c>
      <c r="G252" t="n">
        <v/>
      </c>
      <c r="H252" t="n">
        <v/>
      </c>
      <c r="I252" t="n">
        <v/>
      </c>
      <c r="J252" t="n">
        <v/>
      </c>
      <c r="K252" t="n">
        <v>3.562968</v>
      </c>
      <c r="L252" t="n">
        <v>3.699331</v>
      </c>
      <c r="M252" t="n">
        <v/>
      </c>
      <c r="N252" t="n">
        <v/>
      </c>
      <c r="O252" t="n">
        <v/>
      </c>
      <c r="P252" t="n">
        <v>0.1101289</v>
      </c>
      <c r="Q252" t="n">
        <v>0.01294403</v>
      </c>
      <c r="R252" t="n">
        <v/>
      </c>
      <c r="S252" t="n">
        <v/>
      </c>
      <c r="T252" t="n">
        <v/>
      </c>
      <c r="U252" t="n">
        <v/>
      </c>
      <c r="V252" t="n">
        <v>2.488004</v>
      </c>
      <c r="W252" t="n">
        <v/>
      </c>
      <c r="X252" t="n">
        <v/>
      </c>
      <c r="Y252" t="n">
        <v>0.4461027</v>
      </c>
      <c r="Z252" t="n">
        <v/>
      </c>
      <c r="AA252" t="n">
        <v/>
      </c>
      <c r="AB252" t="n">
        <v>4.230453</v>
      </c>
      <c r="AC252" t="n">
        <v/>
      </c>
      <c r="AD252" t="n">
        <v>5.849681</v>
      </c>
      <c r="AE252" t="n">
        <v>0.2951781</v>
      </c>
    </row>
    <row r="253">
      <c r="A253" s="87" t="n">
        <v>26268</v>
      </c>
      <c r="B253" t="n">
        <v>0.9357599</v>
      </c>
      <c r="C253" t="n">
        <v/>
      </c>
      <c r="D253" t="n">
        <v>2.373061</v>
      </c>
      <c r="E253" t="n">
        <v/>
      </c>
      <c r="F253" t="n">
        <v/>
      </c>
      <c r="G253" t="n">
        <v/>
      </c>
      <c r="H253" t="n">
        <v/>
      </c>
      <c r="I253" t="n">
        <v/>
      </c>
      <c r="J253" t="n">
        <v/>
      </c>
      <c r="K253" t="n">
        <v>3.592038</v>
      </c>
      <c r="L253" t="n">
        <v>3.736112</v>
      </c>
      <c r="M253" t="n">
        <v/>
      </c>
      <c r="N253" t="n">
        <v/>
      </c>
      <c r="O253" t="n">
        <v/>
      </c>
      <c r="P253" t="n">
        <v>0.1121825</v>
      </c>
      <c r="Q253" t="n">
        <v>0.01299992</v>
      </c>
      <c r="R253" t="n">
        <v/>
      </c>
      <c r="S253" t="n">
        <v/>
      </c>
      <c r="T253" t="n">
        <v/>
      </c>
      <c r="U253" t="n">
        <v/>
      </c>
      <c r="V253" t="n">
        <v>2.498992</v>
      </c>
      <c r="W253" t="n">
        <v/>
      </c>
      <c r="X253" t="n">
        <v/>
      </c>
      <c r="Y253" t="n">
        <v>0.4610511</v>
      </c>
      <c r="Z253" t="n">
        <v/>
      </c>
      <c r="AA253" t="n">
        <v/>
      </c>
      <c r="AB253" t="n">
        <v>4.267671</v>
      </c>
      <c r="AC253" t="n">
        <v/>
      </c>
      <c r="AD253" t="n">
        <v>5.897004</v>
      </c>
      <c r="AE253" t="n">
        <v>0.2974969</v>
      </c>
    </row>
    <row r="254">
      <c r="A254" s="87" t="n">
        <v>26299</v>
      </c>
      <c r="B254" t="n">
        <v>0.9441649</v>
      </c>
      <c r="C254" t="n">
        <v/>
      </c>
      <c r="D254" t="n">
        <v>2.45598</v>
      </c>
      <c r="E254" t="n">
        <v>11.06439</v>
      </c>
      <c r="F254" t="n">
        <v/>
      </c>
      <c r="G254" t="n">
        <v/>
      </c>
      <c r="H254" t="n">
        <v/>
      </c>
      <c r="I254" t="n">
        <v/>
      </c>
      <c r="J254" t="n">
        <v/>
      </c>
      <c r="K254" t="n">
        <v>3.6167</v>
      </c>
      <c r="L254" t="n">
        <v>3.77808</v>
      </c>
      <c r="M254" t="n">
        <v/>
      </c>
      <c r="N254" t="n">
        <v/>
      </c>
      <c r="O254" t="n">
        <v/>
      </c>
      <c r="P254" t="n">
        <v>0.1139502</v>
      </c>
      <c r="Q254" t="n">
        <v>0.01314334</v>
      </c>
      <c r="R254" t="n">
        <v/>
      </c>
      <c r="S254" t="n">
        <v/>
      </c>
      <c r="T254" t="n">
        <v/>
      </c>
      <c r="U254" t="n">
        <v/>
      </c>
      <c r="V254" t="n">
        <v>2.507104</v>
      </c>
      <c r="W254" t="n">
        <v/>
      </c>
      <c r="X254" t="n">
        <v/>
      </c>
      <c r="Y254" t="n">
        <v>0.47401</v>
      </c>
      <c r="Z254" t="n">
        <v/>
      </c>
      <c r="AA254" t="n">
        <v/>
      </c>
      <c r="AB254" t="n">
        <v>4.29956</v>
      </c>
      <c r="AC254" t="n">
        <v/>
      </c>
      <c r="AD254" t="n">
        <v>5.958439</v>
      </c>
      <c r="AE254" t="n">
        <v>0.2997762</v>
      </c>
    </row>
    <row r="255">
      <c r="A255" s="87" t="n">
        <v>26330</v>
      </c>
      <c r="B255" t="n">
        <v>0.95257</v>
      </c>
      <c r="C255" t="n">
        <v/>
      </c>
      <c r="D255" t="n">
        <v>2.454739</v>
      </c>
      <c r="E255" t="n">
        <v>11.26416</v>
      </c>
      <c r="F255" t="n">
        <v/>
      </c>
      <c r="G255" t="n">
        <v/>
      </c>
      <c r="H255" t="n">
        <v/>
      </c>
      <c r="I255" t="n">
        <v/>
      </c>
      <c r="J255" t="n">
        <v/>
      </c>
      <c r="K255" t="n">
        <v>3.659312</v>
      </c>
      <c r="L255" t="n">
        <v>3.822877</v>
      </c>
      <c r="M255" t="n">
        <v/>
      </c>
      <c r="N255" t="n">
        <v/>
      </c>
      <c r="O255" t="n">
        <v/>
      </c>
      <c r="P255" t="n">
        <v>0.1149021</v>
      </c>
      <c r="Q255" t="n">
        <v>0.01336057</v>
      </c>
      <c r="R255" t="n">
        <v/>
      </c>
      <c r="S255" t="n">
        <v/>
      </c>
      <c r="T255" t="n">
        <v/>
      </c>
      <c r="U255" t="n">
        <v/>
      </c>
      <c r="V255" t="n">
        <v>2.543396</v>
      </c>
      <c r="W255" t="n">
        <v/>
      </c>
      <c r="X255" t="n">
        <v/>
      </c>
      <c r="Y255" t="n">
        <v>0.4793717</v>
      </c>
      <c r="Z255" t="n">
        <v/>
      </c>
      <c r="AA255" t="n">
        <v/>
      </c>
      <c r="AB255" t="n">
        <v>4.345613</v>
      </c>
      <c r="AC255" t="n">
        <v/>
      </c>
      <c r="AD255" t="n">
        <v>6.024857</v>
      </c>
      <c r="AE255" t="n">
        <v>0.3028557</v>
      </c>
    </row>
    <row r="256">
      <c r="A256" s="87" t="n">
        <v>26359</v>
      </c>
      <c r="B256" t="n">
        <v>0.960975</v>
      </c>
      <c r="C256" t="n">
        <v/>
      </c>
      <c r="D256" t="n">
        <v>2.484671</v>
      </c>
      <c r="E256" t="n">
        <v>11.43036</v>
      </c>
      <c r="F256" t="n">
        <v/>
      </c>
      <c r="G256" t="n">
        <v/>
      </c>
      <c r="H256" t="n">
        <v/>
      </c>
      <c r="I256" t="n">
        <v/>
      </c>
      <c r="J256" t="n">
        <v/>
      </c>
      <c r="K256" t="n">
        <v>3.709013</v>
      </c>
      <c r="L256" t="n">
        <v>3.867203</v>
      </c>
      <c r="M256" t="n">
        <v/>
      </c>
      <c r="N256" t="n">
        <v/>
      </c>
      <c r="O256" t="n">
        <v/>
      </c>
      <c r="P256" t="n">
        <v>0.116019</v>
      </c>
      <c r="Q256" t="n">
        <v>0.01361252</v>
      </c>
      <c r="R256" t="n">
        <v/>
      </c>
      <c r="S256" t="n">
        <v/>
      </c>
      <c r="T256" t="n">
        <v/>
      </c>
      <c r="U256" t="n">
        <v/>
      </c>
      <c r="V256" t="n">
        <v>2.569508</v>
      </c>
      <c r="W256" t="n">
        <v/>
      </c>
      <c r="X256" t="n">
        <v/>
      </c>
      <c r="Y256" t="n">
        <v>0.4850295</v>
      </c>
      <c r="Z256" t="n">
        <v/>
      </c>
      <c r="AA256" t="n">
        <v/>
      </c>
      <c r="AB256" t="n">
        <v>4.39016</v>
      </c>
      <c r="AC256" t="n">
        <v/>
      </c>
      <c r="AD256" t="n">
        <v>6.089613</v>
      </c>
      <c r="AE256" t="n">
        <v>0.305698</v>
      </c>
    </row>
    <row r="257">
      <c r="A257" s="87" t="n">
        <v>26390</v>
      </c>
      <c r="B257" t="n">
        <v>0.96938</v>
      </c>
      <c r="C257" t="n">
        <v/>
      </c>
      <c r="D257" t="n">
        <v>2.534867</v>
      </c>
      <c r="E257" t="n">
        <v>11.52309</v>
      </c>
      <c r="F257" t="n">
        <v/>
      </c>
      <c r="G257" t="n">
        <v/>
      </c>
      <c r="H257" t="n">
        <v/>
      </c>
      <c r="I257" t="n">
        <v/>
      </c>
      <c r="J257" t="n">
        <v/>
      </c>
      <c r="K257" t="n">
        <v>3.766994</v>
      </c>
      <c r="L257" t="n">
        <v>3.909171</v>
      </c>
      <c r="M257" t="n">
        <v/>
      </c>
      <c r="N257" t="n">
        <v/>
      </c>
      <c r="O257" t="n">
        <v/>
      </c>
      <c r="P257" t="n">
        <v>0.1168959</v>
      </c>
      <c r="Q257" t="n">
        <v>0.01389426</v>
      </c>
      <c r="R257" t="n">
        <v/>
      </c>
      <c r="S257" t="n">
        <v/>
      </c>
      <c r="T257" t="n">
        <v/>
      </c>
      <c r="U257" t="n">
        <v/>
      </c>
      <c r="V257" t="n">
        <v>2.59487</v>
      </c>
      <c r="W257" t="n">
        <v/>
      </c>
      <c r="X257" t="n">
        <v/>
      </c>
      <c r="Y257" t="n">
        <v>0.4941764</v>
      </c>
      <c r="Z257" t="n">
        <v/>
      </c>
      <c r="AA257" t="n">
        <v/>
      </c>
      <c r="AB257" t="n">
        <v>4.440331</v>
      </c>
      <c r="AC257" t="n">
        <v/>
      </c>
      <c r="AD257" t="n">
        <v>6.130294</v>
      </c>
      <c r="AE257" t="n">
        <v>0.3074155</v>
      </c>
    </row>
    <row r="258">
      <c r="A258" s="87" t="n">
        <v>26420</v>
      </c>
      <c r="B258" t="n">
        <v>0.9805867</v>
      </c>
      <c r="C258" t="n">
        <v/>
      </c>
      <c r="D258" t="n">
        <v>2.565935</v>
      </c>
      <c r="E258" t="n">
        <v>11.62555</v>
      </c>
      <c r="F258" t="n">
        <v/>
      </c>
      <c r="G258" t="n">
        <v/>
      </c>
      <c r="H258" t="n">
        <v/>
      </c>
      <c r="I258" t="n">
        <v/>
      </c>
      <c r="J258" t="n">
        <v/>
      </c>
      <c r="K258" t="n">
        <v>3.802093</v>
      </c>
      <c r="L258" t="n">
        <v>3.949725</v>
      </c>
      <c r="M258" t="n">
        <v/>
      </c>
      <c r="N258" t="n">
        <v/>
      </c>
      <c r="O258" t="n">
        <v/>
      </c>
      <c r="P258" t="n">
        <v>0.1181687</v>
      </c>
      <c r="Q258" t="n">
        <v>0.01403145</v>
      </c>
      <c r="R258" t="n">
        <v/>
      </c>
      <c r="S258" t="n">
        <v/>
      </c>
      <c r="T258" t="n">
        <v/>
      </c>
      <c r="U258" t="n">
        <v/>
      </c>
      <c r="V258" t="n">
        <v>2.617378</v>
      </c>
      <c r="W258" t="n">
        <v/>
      </c>
      <c r="X258" t="n">
        <v/>
      </c>
      <c r="Y258" t="n">
        <v>0.5025987</v>
      </c>
      <c r="Z258" t="n">
        <v/>
      </c>
      <c r="AA258" t="n">
        <v/>
      </c>
      <c r="AB258" t="n">
        <v>4.475728</v>
      </c>
      <c r="AC258" t="n">
        <v/>
      </c>
      <c r="AD258" t="n">
        <v>6.170974</v>
      </c>
      <c r="AE258" t="n">
        <v>0.3094497</v>
      </c>
    </row>
    <row r="259">
      <c r="A259" s="87" t="n">
        <v>26451</v>
      </c>
      <c r="B259" t="n">
        <v>0.9917934</v>
      </c>
      <c r="C259" t="n">
        <v/>
      </c>
      <c r="D259" t="n">
        <v>2.609514</v>
      </c>
      <c r="E259" t="n">
        <v>11.74782</v>
      </c>
      <c r="F259" t="n">
        <v/>
      </c>
      <c r="G259" t="n">
        <v/>
      </c>
      <c r="H259" t="n">
        <v/>
      </c>
      <c r="I259" t="n">
        <v/>
      </c>
      <c r="J259" t="n">
        <v/>
      </c>
      <c r="K259" t="n">
        <v>3.82385</v>
      </c>
      <c r="L259" t="n">
        <v>4.021401</v>
      </c>
      <c r="M259" t="n">
        <v/>
      </c>
      <c r="N259" t="n">
        <v/>
      </c>
      <c r="O259" t="n">
        <v/>
      </c>
      <c r="P259" t="n">
        <v>0.120393</v>
      </c>
      <c r="Q259" t="n">
        <v>0.01416705</v>
      </c>
      <c r="R259" t="n">
        <v/>
      </c>
      <c r="S259" t="n">
        <v/>
      </c>
      <c r="T259" t="n">
        <v/>
      </c>
      <c r="U259" t="n">
        <v/>
      </c>
      <c r="V259" t="n">
        <v>2.628216</v>
      </c>
      <c r="W259" t="n">
        <v/>
      </c>
      <c r="X259" t="n">
        <v/>
      </c>
      <c r="Y259" t="n">
        <v>0.5084168</v>
      </c>
      <c r="Z259" t="n">
        <v/>
      </c>
      <c r="AA259" t="n">
        <v/>
      </c>
      <c r="AB259" t="n">
        <v>4.509871</v>
      </c>
      <c r="AC259" t="n">
        <v/>
      </c>
      <c r="AD259" t="n">
        <v>6.224108</v>
      </c>
      <c r="AE259" t="n">
        <v>0.3136298</v>
      </c>
    </row>
    <row r="260">
      <c r="A260" s="87" t="n">
        <v>26481</v>
      </c>
      <c r="B260" t="n">
        <v>1.008603</v>
      </c>
      <c r="C260" t="n">
        <v/>
      </c>
      <c r="D260" t="n">
        <v>2.61975</v>
      </c>
      <c r="E260" t="n">
        <v>11.87706</v>
      </c>
      <c r="F260" t="n">
        <v/>
      </c>
      <c r="G260" t="n">
        <v/>
      </c>
      <c r="H260" t="n">
        <v/>
      </c>
      <c r="I260" t="n">
        <v/>
      </c>
      <c r="J260" t="n">
        <v/>
      </c>
      <c r="K260" t="n">
        <v>3.844202</v>
      </c>
      <c r="L260" t="n">
        <v>4.097793</v>
      </c>
      <c r="M260" t="n">
        <v/>
      </c>
      <c r="N260" t="n">
        <v/>
      </c>
      <c r="O260" t="n">
        <v/>
      </c>
      <c r="P260" t="n">
        <v>0.1220083</v>
      </c>
      <c r="Q260" t="n">
        <v>0.01437343</v>
      </c>
      <c r="R260" t="n">
        <v/>
      </c>
      <c r="S260" t="n">
        <v/>
      </c>
      <c r="T260" t="n">
        <v/>
      </c>
      <c r="U260" t="n">
        <v/>
      </c>
      <c r="V260" t="n">
        <v>2.64685</v>
      </c>
      <c r="W260" t="n">
        <v/>
      </c>
      <c r="X260" t="n">
        <v/>
      </c>
      <c r="Y260" t="n">
        <v>0.5177769</v>
      </c>
      <c r="Z260" t="n">
        <v/>
      </c>
      <c r="AA260" t="n">
        <v/>
      </c>
      <c r="AB260" t="n">
        <v>4.551866</v>
      </c>
      <c r="AC260" t="n">
        <v/>
      </c>
      <c r="AD260" t="n">
        <v>6.305469</v>
      </c>
      <c r="AE260" t="n">
        <v>0.3195812</v>
      </c>
    </row>
    <row r="261">
      <c r="A261" s="87" t="n">
        <v>26512</v>
      </c>
      <c r="B261" t="n">
        <v>1.031017</v>
      </c>
      <c r="C261" t="n">
        <v/>
      </c>
      <c r="D261" t="n">
        <v>2.600364</v>
      </c>
      <c r="E261" t="n">
        <v>12.04228</v>
      </c>
      <c r="F261" t="n">
        <v/>
      </c>
      <c r="G261" t="n">
        <v/>
      </c>
      <c r="H261" t="n">
        <v/>
      </c>
      <c r="I261" t="n">
        <v/>
      </c>
      <c r="J261" t="n">
        <v/>
      </c>
      <c r="K261" t="n">
        <v>3.885637</v>
      </c>
      <c r="L261" t="n">
        <v>4.149192</v>
      </c>
      <c r="M261" t="n">
        <v/>
      </c>
      <c r="N261" t="n">
        <v/>
      </c>
      <c r="O261" t="n">
        <v/>
      </c>
      <c r="P261" t="n">
        <v>0.1234753</v>
      </c>
      <c r="Q261" t="n">
        <v>0.0145375</v>
      </c>
      <c r="R261" t="n">
        <v/>
      </c>
      <c r="S261" t="n">
        <v/>
      </c>
      <c r="T261" t="n">
        <v/>
      </c>
      <c r="U261" t="n">
        <v/>
      </c>
      <c r="V261" t="n">
        <v>2.675565</v>
      </c>
      <c r="W261" t="n">
        <v/>
      </c>
      <c r="X261" t="n">
        <v/>
      </c>
      <c r="Y261" t="n">
        <v>0.5278637</v>
      </c>
      <c r="Z261" t="n">
        <v/>
      </c>
      <c r="AA261" t="n">
        <v/>
      </c>
      <c r="AB261" t="n">
        <v>4.590355</v>
      </c>
      <c r="AC261" t="n">
        <v/>
      </c>
      <c r="AD261" t="n">
        <v>6.381848</v>
      </c>
      <c r="AE261" t="n">
        <v>0.3257847</v>
      </c>
    </row>
    <row r="262">
      <c r="A262" s="87" t="n">
        <v>26543</v>
      </c>
      <c r="B262" t="n">
        <v>1.050629</v>
      </c>
      <c r="C262" t="n">
        <v/>
      </c>
      <c r="D262" t="n">
        <v>2.649319</v>
      </c>
      <c r="E262" t="n">
        <v>12.12711</v>
      </c>
      <c r="F262" t="n">
        <v/>
      </c>
      <c r="G262" t="n">
        <v/>
      </c>
      <c r="H262" t="n">
        <v/>
      </c>
      <c r="I262" t="n">
        <v/>
      </c>
      <c r="J262" t="n">
        <v/>
      </c>
      <c r="K262" t="n">
        <v>3.934174</v>
      </c>
      <c r="L262" t="n">
        <v>4.202477</v>
      </c>
      <c r="M262" t="n">
        <v/>
      </c>
      <c r="N262" t="n">
        <v/>
      </c>
      <c r="O262" t="n">
        <v/>
      </c>
      <c r="P262" t="n">
        <v>0.1246953</v>
      </c>
      <c r="Q262" t="n">
        <v>0.01477635</v>
      </c>
      <c r="R262" t="n">
        <v/>
      </c>
      <c r="S262" t="n">
        <v/>
      </c>
      <c r="T262" t="n">
        <v/>
      </c>
      <c r="U262" t="n">
        <v/>
      </c>
      <c r="V262" t="n">
        <v>2.693528</v>
      </c>
      <c r="W262" t="n">
        <v/>
      </c>
      <c r="X262" t="n">
        <v/>
      </c>
      <c r="Y262" t="n">
        <v>0.537641</v>
      </c>
      <c r="Z262" t="n">
        <v/>
      </c>
      <c r="AA262" t="n">
        <v/>
      </c>
      <c r="AB262" t="n">
        <v>4.627288</v>
      </c>
      <c r="AC262" t="n">
        <v/>
      </c>
      <c r="AD262" t="n">
        <v>6.461549</v>
      </c>
      <c r="AE262" t="n">
        <v>0.3313638</v>
      </c>
    </row>
    <row r="263">
      <c r="A263" s="87" t="n">
        <v>26573</v>
      </c>
      <c r="B263" t="n">
        <v>1.07024</v>
      </c>
      <c r="C263" t="n">
        <v/>
      </c>
      <c r="D263" t="n">
        <v>2.708975</v>
      </c>
      <c r="E263" t="n">
        <v>12.17877</v>
      </c>
      <c r="F263" t="n">
        <v/>
      </c>
      <c r="G263" t="n">
        <v/>
      </c>
      <c r="H263" t="n">
        <v/>
      </c>
      <c r="I263" t="n">
        <v/>
      </c>
      <c r="J263" t="n">
        <v/>
      </c>
      <c r="K263" t="n">
        <v>3.964136</v>
      </c>
      <c r="L263" t="n">
        <v>4.249161</v>
      </c>
      <c r="M263" t="n">
        <v/>
      </c>
      <c r="N263" t="n">
        <v/>
      </c>
      <c r="O263" t="n">
        <v/>
      </c>
      <c r="P263" t="n">
        <v>0.1257896</v>
      </c>
      <c r="Q263" t="n">
        <v>0.01500676</v>
      </c>
      <c r="R263" t="n">
        <v/>
      </c>
      <c r="S263" t="n">
        <v/>
      </c>
      <c r="T263" t="n">
        <v/>
      </c>
      <c r="U263" t="n">
        <v/>
      </c>
      <c r="V263" t="n">
        <v>2.707863</v>
      </c>
      <c r="W263" t="n">
        <v/>
      </c>
      <c r="X263" t="n">
        <v/>
      </c>
      <c r="Y263" t="n">
        <v>0.5463079</v>
      </c>
      <c r="Z263" t="n">
        <v/>
      </c>
      <c r="AA263" t="n">
        <v/>
      </c>
      <c r="AB263" t="n">
        <v>4.681987</v>
      </c>
      <c r="AC263" t="n">
        <v/>
      </c>
      <c r="AD263" t="n">
        <v>6.532947</v>
      </c>
      <c r="AE263" t="n">
        <v>0.3348247</v>
      </c>
    </row>
    <row r="264">
      <c r="A264" s="87" t="n">
        <v>26604</v>
      </c>
      <c r="B264" t="n">
        <v>1.089852</v>
      </c>
      <c r="C264" t="n">
        <v/>
      </c>
      <c r="D264" t="n">
        <v>2.684007</v>
      </c>
      <c r="E264" t="n">
        <v>12.24421</v>
      </c>
      <c r="F264" t="n">
        <v/>
      </c>
      <c r="G264" t="n">
        <v/>
      </c>
      <c r="H264" t="n">
        <v/>
      </c>
      <c r="I264" t="n">
        <v/>
      </c>
      <c r="J264" t="n">
        <v/>
      </c>
      <c r="K264" t="n">
        <v>4.020948</v>
      </c>
      <c r="L264" t="n">
        <v>4.295845</v>
      </c>
      <c r="M264" t="n">
        <v/>
      </c>
      <c r="N264" t="n">
        <v/>
      </c>
      <c r="O264" t="n">
        <v/>
      </c>
      <c r="P264" t="n">
        <v>0.127804</v>
      </c>
      <c r="Q264" t="n">
        <v>0.01510945</v>
      </c>
      <c r="R264" t="n">
        <v/>
      </c>
      <c r="S264" t="n">
        <v/>
      </c>
      <c r="T264" t="n">
        <v/>
      </c>
      <c r="U264" t="n">
        <v/>
      </c>
      <c r="V264" t="n">
        <v>2.732778</v>
      </c>
      <c r="W264" t="n">
        <v/>
      </c>
      <c r="X264" t="n">
        <v/>
      </c>
      <c r="Y264" t="n">
        <v>0.5539931</v>
      </c>
      <c r="Z264" t="n">
        <v/>
      </c>
      <c r="AA264" t="n">
        <v/>
      </c>
      <c r="AB264" t="n">
        <v>4.733354</v>
      </c>
      <c r="AC264" t="n">
        <v/>
      </c>
      <c r="AD264" t="n">
        <v>6.591062</v>
      </c>
      <c r="AE264" t="n">
        <v>0.3393196</v>
      </c>
    </row>
    <row r="265">
      <c r="A265" s="87" t="n">
        <v>26634</v>
      </c>
      <c r="B265" t="n">
        <v>1.112265</v>
      </c>
      <c r="C265" t="n">
        <v/>
      </c>
      <c r="D265" t="n">
        <v>2.746764</v>
      </c>
      <c r="E265" t="n">
        <v>12.31455</v>
      </c>
      <c r="F265" t="n">
        <v/>
      </c>
      <c r="G265" t="n">
        <v/>
      </c>
      <c r="H265" t="n">
        <v/>
      </c>
      <c r="I265" t="n">
        <v/>
      </c>
      <c r="J265" t="n">
        <v/>
      </c>
      <c r="K265" t="n">
        <v>4.093327</v>
      </c>
      <c r="L265" t="n">
        <v>4.34017</v>
      </c>
      <c r="M265" t="n">
        <v/>
      </c>
      <c r="N265" t="n">
        <v/>
      </c>
      <c r="O265" t="n">
        <v/>
      </c>
      <c r="P265" t="n">
        <v>0.1301154</v>
      </c>
      <c r="Q265" t="n">
        <v>0.01527258</v>
      </c>
      <c r="R265" t="n">
        <v/>
      </c>
      <c r="S265" t="n">
        <v/>
      </c>
      <c r="T265" t="n">
        <v/>
      </c>
      <c r="U265" t="n">
        <v/>
      </c>
      <c r="V265" t="n">
        <v>2.762078</v>
      </c>
      <c r="W265" t="n">
        <v/>
      </c>
      <c r="X265" t="n">
        <v/>
      </c>
      <c r="Y265" t="n">
        <v>0.5655365</v>
      </c>
      <c r="Z265" t="n">
        <v/>
      </c>
      <c r="AA265" t="n">
        <v/>
      </c>
      <c r="AB265" t="n">
        <v>4.76987</v>
      </c>
      <c r="AC265" t="n">
        <v/>
      </c>
      <c r="AD265" t="n">
        <v>6.6608</v>
      </c>
      <c r="AE265" t="n">
        <v>0.3462582</v>
      </c>
    </row>
    <row r="266">
      <c r="A266" s="87" t="n">
        <v>26665</v>
      </c>
      <c r="B266" t="n">
        <v>1.134679</v>
      </c>
      <c r="C266" t="n">
        <v/>
      </c>
      <c r="D266" t="n">
        <v>2.783054</v>
      </c>
      <c r="E266" t="n">
        <v>12.39755</v>
      </c>
      <c r="F266" t="n">
        <v/>
      </c>
      <c r="G266" t="n">
        <v/>
      </c>
      <c r="H266" t="n">
        <v/>
      </c>
      <c r="I266" t="n">
        <v/>
      </c>
      <c r="J266" t="n">
        <v/>
      </c>
      <c r="K266" t="n">
        <v>4.148824</v>
      </c>
      <c r="L266" t="n">
        <v>4.372708</v>
      </c>
      <c r="M266" t="n">
        <v/>
      </c>
      <c r="N266" t="n">
        <v/>
      </c>
      <c r="O266" t="n">
        <v/>
      </c>
      <c r="P266" t="n">
        <v>0.1319919</v>
      </c>
      <c r="Q266" t="n">
        <v>0.01547124</v>
      </c>
      <c r="R266" t="n">
        <v/>
      </c>
      <c r="S266" t="n">
        <v/>
      </c>
      <c r="T266" t="n">
        <v/>
      </c>
      <c r="U266" t="n">
        <v/>
      </c>
      <c r="V266" t="n">
        <v>2.788445</v>
      </c>
      <c r="W266" t="n">
        <v/>
      </c>
      <c r="X266" t="n">
        <v/>
      </c>
      <c r="Y266" t="n">
        <v>0.5734665</v>
      </c>
      <c r="Z266" t="n">
        <v/>
      </c>
      <c r="AA266" t="n">
        <v/>
      </c>
      <c r="AB266" t="n">
        <v>4.811443</v>
      </c>
      <c r="AC266" t="n">
        <v/>
      </c>
      <c r="AD266" t="n">
        <v>6.727217</v>
      </c>
      <c r="AE266" t="n">
        <v>0.350232</v>
      </c>
    </row>
    <row r="267">
      <c r="A267" s="87" t="n">
        <v>26696</v>
      </c>
      <c r="B267" t="n">
        <v>1.154291</v>
      </c>
      <c r="C267" t="n">
        <v/>
      </c>
      <c r="D267" t="n">
        <v>2.828132</v>
      </c>
      <c r="E267" t="n">
        <v>12.47949</v>
      </c>
      <c r="F267" t="n">
        <v/>
      </c>
      <c r="G267" t="n">
        <v/>
      </c>
      <c r="H267" t="n">
        <v/>
      </c>
      <c r="I267" t="n">
        <v/>
      </c>
      <c r="J267" t="n">
        <v/>
      </c>
      <c r="K267" t="n">
        <v>4.191144</v>
      </c>
      <c r="L267" t="n">
        <v>4.411847</v>
      </c>
      <c r="M267" t="n">
        <v/>
      </c>
      <c r="N267" t="n">
        <v/>
      </c>
      <c r="O267" t="n">
        <v/>
      </c>
      <c r="P267" t="n">
        <v>0.1339508</v>
      </c>
      <c r="Q267" t="n">
        <v>0.01579079</v>
      </c>
      <c r="R267" t="n">
        <v/>
      </c>
      <c r="S267" t="n">
        <v/>
      </c>
      <c r="T267" t="n">
        <v/>
      </c>
      <c r="U267" t="n">
        <v/>
      </c>
      <c r="V267" t="n">
        <v>2.824085</v>
      </c>
      <c r="W267" t="n">
        <v/>
      </c>
      <c r="X267" t="n">
        <v/>
      </c>
      <c r="Y267" t="n">
        <v>0.5773023</v>
      </c>
      <c r="Z267" t="n">
        <v/>
      </c>
      <c r="AA267" t="n">
        <v/>
      </c>
      <c r="AB267" t="n">
        <v>4.858218</v>
      </c>
      <c r="AC267" t="n">
        <v/>
      </c>
      <c r="AD267" t="n">
        <v>6.758765</v>
      </c>
      <c r="AE267" t="n">
        <v>0.3530811</v>
      </c>
    </row>
    <row r="268">
      <c r="A268" s="87" t="n">
        <v>26724</v>
      </c>
      <c r="B268" t="n">
        <v>1.171101</v>
      </c>
      <c r="C268" t="n">
        <v/>
      </c>
      <c r="D268" t="n">
        <v>2.846898</v>
      </c>
      <c r="E268" t="n">
        <v>12.54769</v>
      </c>
      <c r="F268" t="n">
        <v/>
      </c>
      <c r="G268" t="n">
        <v/>
      </c>
      <c r="H268" t="n">
        <v/>
      </c>
      <c r="I268" t="n">
        <v/>
      </c>
      <c r="J268" t="n">
        <v/>
      </c>
      <c r="K268" t="n">
        <v>4.225288</v>
      </c>
      <c r="L268" t="n">
        <v>4.469376</v>
      </c>
      <c r="M268" t="n">
        <v/>
      </c>
      <c r="N268" t="n">
        <v/>
      </c>
      <c r="O268" t="n">
        <v/>
      </c>
      <c r="P268" t="n">
        <v>0.1367265</v>
      </c>
      <c r="Q268" t="n">
        <v>0.01629114</v>
      </c>
      <c r="R268" t="n">
        <v/>
      </c>
      <c r="S268" t="n">
        <v/>
      </c>
      <c r="T268" t="n">
        <v/>
      </c>
      <c r="U268" t="n">
        <v/>
      </c>
      <c r="V268" t="n">
        <v>2.855846</v>
      </c>
      <c r="W268" t="n">
        <v/>
      </c>
      <c r="X268" t="n">
        <v/>
      </c>
      <c r="Y268" t="n">
        <v>0.5859815</v>
      </c>
      <c r="Z268" t="n">
        <v/>
      </c>
      <c r="AA268" t="n">
        <v/>
      </c>
      <c r="AB268" t="n">
        <v>4.895294</v>
      </c>
      <c r="AC268" t="n">
        <v/>
      </c>
      <c r="AD268" t="n">
        <v>6.768727</v>
      </c>
      <c r="AE268" t="n">
        <v>0.3598951</v>
      </c>
    </row>
    <row r="269">
      <c r="A269" s="87" t="n">
        <v>26755</v>
      </c>
      <c r="B269" t="n">
        <v>1.190712</v>
      </c>
      <c r="C269" t="n">
        <v/>
      </c>
      <c r="D269" t="n">
        <v>2.888047</v>
      </c>
      <c r="E269" t="n">
        <v>12.58752</v>
      </c>
      <c r="F269" t="n">
        <v/>
      </c>
      <c r="G269" t="n">
        <v/>
      </c>
      <c r="H269" t="n">
        <v/>
      </c>
      <c r="I269" t="n">
        <v/>
      </c>
      <c r="J269" t="n">
        <v/>
      </c>
      <c r="K269" t="n">
        <v>4.263882</v>
      </c>
      <c r="L269" t="n">
        <v>4.525019</v>
      </c>
      <c r="M269" t="n">
        <v/>
      </c>
      <c r="N269" t="n">
        <v/>
      </c>
      <c r="O269" t="n">
        <v/>
      </c>
      <c r="P269" t="n">
        <v>0.1394935</v>
      </c>
      <c r="Q269" t="n">
        <v>0.01688806</v>
      </c>
      <c r="R269" t="n">
        <v/>
      </c>
      <c r="S269" t="n">
        <v/>
      </c>
      <c r="T269" t="n">
        <v/>
      </c>
      <c r="U269" t="n">
        <v/>
      </c>
      <c r="V269" t="n">
        <v>2.885447</v>
      </c>
      <c r="W269" t="n">
        <v/>
      </c>
      <c r="X269" t="n">
        <v/>
      </c>
      <c r="Y269" t="n">
        <v>0.5942165</v>
      </c>
      <c r="Z269" t="n">
        <v/>
      </c>
      <c r="AA269" t="n">
        <v/>
      </c>
      <c r="AB269" t="n">
        <v>4.93933</v>
      </c>
      <c r="AC269" t="n">
        <v/>
      </c>
      <c r="AD269" t="n">
        <v>6.805257</v>
      </c>
      <c r="AE269" t="n">
        <v>0.3686755</v>
      </c>
    </row>
    <row r="270">
      <c r="A270" s="87" t="n">
        <v>26785</v>
      </c>
      <c r="B270" t="n">
        <v>1.218729</v>
      </c>
      <c r="C270" t="n">
        <v/>
      </c>
      <c r="D270" t="n">
        <v>2.897611</v>
      </c>
      <c r="E270" t="n">
        <v>12.66934</v>
      </c>
      <c r="F270" t="n">
        <v/>
      </c>
      <c r="G270" t="n">
        <v/>
      </c>
      <c r="H270" t="n">
        <v/>
      </c>
      <c r="I270" t="n">
        <v/>
      </c>
      <c r="J270" t="n">
        <v/>
      </c>
      <c r="K270" t="n">
        <v>4.312827</v>
      </c>
      <c r="L270" t="n">
        <v>4.579719</v>
      </c>
      <c r="M270" t="n">
        <v/>
      </c>
      <c r="N270" t="n">
        <v/>
      </c>
      <c r="O270" t="n">
        <v/>
      </c>
      <c r="P270" t="n">
        <v>0.1418061</v>
      </c>
      <c r="Q270" t="n">
        <v>0.01739779</v>
      </c>
      <c r="R270" t="n">
        <v/>
      </c>
      <c r="S270" t="n">
        <v/>
      </c>
      <c r="T270" t="n">
        <v/>
      </c>
      <c r="U270" t="n">
        <v/>
      </c>
      <c r="V270" t="n">
        <v>2.921668</v>
      </c>
      <c r="W270" t="n">
        <v/>
      </c>
      <c r="X270" t="n">
        <v/>
      </c>
      <c r="Y270" t="n">
        <v>0.6022914</v>
      </c>
      <c r="Z270" t="n">
        <v/>
      </c>
      <c r="AA270" t="n">
        <v/>
      </c>
      <c r="AB270" t="n">
        <v>5.00584</v>
      </c>
      <c r="AC270" t="n">
        <v/>
      </c>
      <c r="AD270" t="n">
        <v>6.864202</v>
      </c>
      <c r="AE270" t="n">
        <v>0.3780339</v>
      </c>
    </row>
    <row r="271">
      <c r="A271" s="87" t="n">
        <v>26816</v>
      </c>
      <c r="B271" t="n">
        <v>1.243944</v>
      </c>
      <c r="C271" t="n">
        <v/>
      </c>
      <c r="D271" t="n">
        <v>2.952821</v>
      </c>
      <c r="E271" t="n">
        <v>12.78576</v>
      </c>
      <c r="F271" t="n">
        <v/>
      </c>
      <c r="G271" t="n">
        <v/>
      </c>
      <c r="H271" t="n">
        <v/>
      </c>
      <c r="I271" t="n">
        <v/>
      </c>
      <c r="J271" t="n">
        <v/>
      </c>
      <c r="K271" t="n">
        <v>4.367211</v>
      </c>
      <c r="L271" t="n">
        <v>4.636306</v>
      </c>
      <c r="M271" t="n">
        <v/>
      </c>
      <c r="N271" t="n">
        <v/>
      </c>
      <c r="O271" t="n">
        <v/>
      </c>
      <c r="P271" t="n">
        <v>0.143895</v>
      </c>
      <c r="Q271" t="n">
        <v>0.01781696</v>
      </c>
      <c r="R271" t="n">
        <v/>
      </c>
      <c r="S271" t="n">
        <v/>
      </c>
      <c r="T271" t="n">
        <v/>
      </c>
      <c r="U271" t="n">
        <v/>
      </c>
      <c r="V271" t="n">
        <v>2.954276</v>
      </c>
      <c r="W271" t="n">
        <v/>
      </c>
      <c r="X271" t="n">
        <v/>
      </c>
      <c r="Y271" t="n">
        <v>0.6122984</v>
      </c>
      <c r="Z271" t="n">
        <v/>
      </c>
      <c r="AA271" t="n">
        <v/>
      </c>
      <c r="AB271" t="n">
        <v>5.069698</v>
      </c>
      <c r="AC271" t="n">
        <v/>
      </c>
      <c r="AD271" t="n">
        <v>6.918166</v>
      </c>
      <c r="AE271" t="n">
        <v>0.3861646</v>
      </c>
    </row>
    <row r="272">
      <c r="A272" s="87" t="n">
        <v>26846</v>
      </c>
      <c r="B272" t="n">
        <v>1.269159</v>
      </c>
      <c r="C272" t="n">
        <v/>
      </c>
      <c r="D272" t="n">
        <v>3.023746</v>
      </c>
      <c r="E272" t="n">
        <v>12.86218</v>
      </c>
      <c r="F272" t="n">
        <v/>
      </c>
      <c r="G272" t="n">
        <v/>
      </c>
      <c r="H272" t="n">
        <v/>
      </c>
      <c r="I272" t="n">
        <v/>
      </c>
      <c r="J272" t="n">
        <v/>
      </c>
      <c r="K272" t="n">
        <v>4.406117</v>
      </c>
      <c r="L272" t="n">
        <v>4.675916</v>
      </c>
      <c r="M272" t="n">
        <v/>
      </c>
      <c r="N272" t="n">
        <v/>
      </c>
      <c r="O272" t="n">
        <v/>
      </c>
      <c r="P272" t="n">
        <v>0.1461768</v>
      </c>
      <c r="Q272" t="n">
        <v>0.01821472</v>
      </c>
      <c r="R272" t="n">
        <v/>
      </c>
      <c r="S272" t="n">
        <v/>
      </c>
      <c r="T272" t="n">
        <v/>
      </c>
      <c r="U272" t="n">
        <v/>
      </c>
      <c r="V272" t="n">
        <v>2.983591</v>
      </c>
      <c r="W272" t="n">
        <v/>
      </c>
      <c r="X272" t="n">
        <v/>
      </c>
      <c r="Y272" t="n">
        <v>0.6215414</v>
      </c>
      <c r="Z272" t="n">
        <v/>
      </c>
      <c r="AA272" t="n">
        <v/>
      </c>
      <c r="AB272" t="n">
        <v>5.133436</v>
      </c>
      <c r="AC272" t="n">
        <v/>
      </c>
      <c r="AD272" t="n">
        <v>6.944733</v>
      </c>
      <c r="AE272" t="n">
        <v>0.393177</v>
      </c>
    </row>
    <row r="273">
      <c r="A273" s="87" t="n">
        <v>26877</v>
      </c>
      <c r="B273" t="n">
        <v>1.294374</v>
      </c>
      <c r="C273" t="n">
        <v/>
      </c>
      <c r="D273" t="n">
        <v>3.029536</v>
      </c>
      <c r="E273" t="n">
        <v>12.93489</v>
      </c>
      <c r="F273" t="n">
        <v/>
      </c>
      <c r="G273" t="n">
        <v/>
      </c>
      <c r="H273" t="n">
        <v/>
      </c>
      <c r="I273" t="n">
        <v/>
      </c>
      <c r="J273" t="n">
        <v/>
      </c>
      <c r="K273" t="n">
        <v>4.454519</v>
      </c>
      <c r="L273" t="n">
        <v>4.71977</v>
      </c>
      <c r="M273" t="n">
        <v/>
      </c>
      <c r="N273" t="n">
        <v/>
      </c>
      <c r="O273" t="n">
        <v/>
      </c>
      <c r="P273" t="n">
        <v>0.1483059</v>
      </c>
      <c r="Q273" t="n">
        <v>0.01867199</v>
      </c>
      <c r="R273" t="n">
        <v/>
      </c>
      <c r="S273" t="n">
        <v/>
      </c>
      <c r="T273" t="n">
        <v/>
      </c>
      <c r="U273" t="n">
        <v/>
      </c>
      <c r="V273" t="n">
        <v>3.002129</v>
      </c>
      <c r="W273" t="n">
        <v/>
      </c>
      <c r="X273" t="n">
        <v/>
      </c>
      <c r="Y273" t="n">
        <v>0.6271634</v>
      </c>
      <c r="Z273" t="n">
        <v/>
      </c>
      <c r="AA273" t="n">
        <v/>
      </c>
      <c r="AB273" t="n">
        <v>5.186229</v>
      </c>
      <c r="AC273" t="n">
        <v/>
      </c>
      <c r="AD273" t="n">
        <v>6.963828</v>
      </c>
      <c r="AE273" t="n">
        <v>0.399902</v>
      </c>
    </row>
    <row r="274">
      <c r="A274" s="87" t="n">
        <v>26908</v>
      </c>
      <c r="B274" t="n">
        <v>1.316788</v>
      </c>
      <c r="C274" t="n">
        <v/>
      </c>
      <c r="D274" t="n">
        <v>3.086918</v>
      </c>
      <c r="E274" t="n">
        <v>13.01934</v>
      </c>
      <c r="F274" t="n">
        <v/>
      </c>
      <c r="G274" t="n">
        <v/>
      </c>
      <c r="H274" t="n">
        <v/>
      </c>
      <c r="I274" t="n">
        <v/>
      </c>
      <c r="J274" t="n">
        <v/>
      </c>
      <c r="K274" t="n">
        <v>4.514557</v>
      </c>
      <c r="L274" t="n">
        <v>4.767869</v>
      </c>
      <c r="M274" t="n">
        <v/>
      </c>
      <c r="N274" t="n">
        <v/>
      </c>
      <c r="O274" t="n">
        <v/>
      </c>
      <c r="P274" t="n">
        <v>0.150606</v>
      </c>
      <c r="Q274" t="n">
        <v>0.01913336</v>
      </c>
      <c r="R274" t="n">
        <v/>
      </c>
      <c r="S274" t="n">
        <v/>
      </c>
      <c r="T274" t="n">
        <v/>
      </c>
      <c r="U274" t="n">
        <v/>
      </c>
      <c r="V274" t="n">
        <v>3.017777</v>
      </c>
      <c r="W274" t="n">
        <v/>
      </c>
      <c r="X274" t="n">
        <v/>
      </c>
      <c r="Y274" t="n">
        <v>0.6320897</v>
      </c>
      <c r="Z274" t="n">
        <v/>
      </c>
      <c r="AA274" t="n">
        <v/>
      </c>
      <c r="AB274" t="n">
        <v>5.239332</v>
      </c>
      <c r="AC274" t="n">
        <v/>
      </c>
      <c r="AD274" t="n">
        <v>6.967978</v>
      </c>
      <c r="AE274" t="n">
        <v>0.40692</v>
      </c>
    </row>
    <row r="275">
      <c r="A275" s="87" t="n">
        <v>26938</v>
      </c>
      <c r="B275" t="n">
        <v>1.333598</v>
      </c>
      <c r="C275" t="n">
        <v/>
      </c>
      <c r="D275" t="n">
        <v>3.153553</v>
      </c>
      <c r="E275" t="n">
        <v>13.10637</v>
      </c>
      <c r="F275" t="n">
        <v/>
      </c>
      <c r="G275" t="n">
        <v/>
      </c>
      <c r="H275" t="n">
        <v/>
      </c>
      <c r="I275" t="n">
        <v/>
      </c>
      <c r="J275" t="n">
        <v/>
      </c>
      <c r="K275" t="n">
        <v>4.565602</v>
      </c>
      <c r="L275" t="n">
        <v>4.815967</v>
      </c>
      <c r="M275" t="n">
        <v/>
      </c>
      <c r="N275" t="n">
        <v/>
      </c>
      <c r="O275" t="n">
        <v/>
      </c>
      <c r="P275" t="n">
        <v>0.1528285</v>
      </c>
      <c r="Q275" t="n">
        <v>0.01946417</v>
      </c>
      <c r="R275" t="n">
        <v/>
      </c>
      <c r="S275" t="n">
        <v/>
      </c>
      <c r="T275" t="n">
        <v/>
      </c>
      <c r="U275" t="n">
        <v/>
      </c>
      <c r="V275" t="n">
        <v>3.027659</v>
      </c>
      <c r="W275" t="n">
        <v/>
      </c>
      <c r="X275" t="n">
        <v/>
      </c>
      <c r="Y275" t="n">
        <v>0.64081</v>
      </c>
      <c r="Z275" t="n">
        <v/>
      </c>
      <c r="AA275" t="n">
        <v/>
      </c>
      <c r="AB275" t="n">
        <v>5.294028</v>
      </c>
      <c r="AC275" t="n">
        <v/>
      </c>
      <c r="AD275" t="n">
        <v>6.995376</v>
      </c>
      <c r="AE275" t="n">
        <v>0.4123809</v>
      </c>
    </row>
    <row r="276">
      <c r="A276" s="87" t="n">
        <v>26969</v>
      </c>
      <c r="B276" t="n">
        <v>1.339201</v>
      </c>
      <c r="C276" t="n">
        <v/>
      </c>
      <c r="D276" t="n">
        <v>3.245053</v>
      </c>
      <c r="E276" t="n">
        <v>13.19097</v>
      </c>
      <c r="F276" t="n">
        <v/>
      </c>
      <c r="G276" t="n">
        <v/>
      </c>
      <c r="H276" t="n">
        <v/>
      </c>
      <c r="I276" t="n">
        <v/>
      </c>
      <c r="J276" t="n">
        <v/>
      </c>
      <c r="K276" t="n">
        <v>4.598406</v>
      </c>
      <c r="L276" t="n">
        <v>4.867366</v>
      </c>
      <c r="M276" t="n">
        <v/>
      </c>
      <c r="N276" t="n">
        <v/>
      </c>
      <c r="O276" t="n">
        <v/>
      </c>
      <c r="P276" t="n">
        <v>0.1545958</v>
      </c>
      <c r="Q276" t="n">
        <v>0.0198725</v>
      </c>
      <c r="R276" t="n">
        <v/>
      </c>
      <c r="S276" t="n">
        <v/>
      </c>
      <c r="T276" t="n">
        <v/>
      </c>
      <c r="U276" t="n">
        <v/>
      </c>
      <c r="V276" t="n">
        <v>3.048865</v>
      </c>
      <c r="W276" t="n">
        <v/>
      </c>
      <c r="X276" t="n">
        <v/>
      </c>
      <c r="Y276" t="n">
        <v>0.6509935</v>
      </c>
      <c r="Z276" t="n">
        <v/>
      </c>
      <c r="AA276" t="n">
        <v/>
      </c>
      <c r="AB276" t="n">
        <v>5.350942</v>
      </c>
      <c r="AC276" t="n">
        <v/>
      </c>
      <c r="AD276" t="n">
        <v>7.047679</v>
      </c>
      <c r="AE276" t="n">
        <v>0.4154501</v>
      </c>
    </row>
    <row r="277">
      <c r="A277" s="87" t="n">
        <v>26999</v>
      </c>
      <c r="B277" t="n">
        <v>1.350408</v>
      </c>
      <c r="C277" t="n">
        <v/>
      </c>
      <c r="D277" t="n">
        <v>3.334641</v>
      </c>
      <c r="E277" t="n">
        <v>13.26308</v>
      </c>
      <c r="F277" t="n">
        <v/>
      </c>
      <c r="G277" t="n">
        <v/>
      </c>
      <c r="H277" t="n">
        <v/>
      </c>
      <c r="I277" t="n">
        <v/>
      </c>
      <c r="J277" t="n">
        <v/>
      </c>
      <c r="K277" t="n">
        <v>4.622355</v>
      </c>
      <c r="L277" t="n">
        <v>4.918294</v>
      </c>
      <c r="M277" t="n">
        <v/>
      </c>
      <c r="N277" t="n">
        <v/>
      </c>
      <c r="O277" t="n">
        <v/>
      </c>
      <c r="P277" t="n">
        <v>0.1560797</v>
      </c>
      <c r="Q277" t="n">
        <v>0.02028365</v>
      </c>
      <c r="R277" t="n">
        <v/>
      </c>
      <c r="S277" t="n">
        <v/>
      </c>
      <c r="T277" t="n">
        <v/>
      </c>
      <c r="U277" t="n">
        <v/>
      </c>
      <c r="V277" t="n">
        <v>3.087185</v>
      </c>
      <c r="W277" t="n">
        <v/>
      </c>
      <c r="X277" t="n">
        <v/>
      </c>
      <c r="Y277" t="n">
        <v>0.6614978</v>
      </c>
      <c r="Z277" t="n">
        <v/>
      </c>
      <c r="AA277" t="n">
        <v/>
      </c>
      <c r="AB277" t="n">
        <v>5.42034</v>
      </c>
      <c r="AC277" t="n">
        <v/>
      </c>
      <c r="AD277" t="n">
        <v>7.102473</v>
      </c>
      <c r="AE277" t="n">
        <v>0.419131</v>
      </c>
    </row>
    <row r="278">
      <c r="A278" s="87" t="n">
        <v>27030</v>
      </c>
      <c r="B278" t="n">
        <v>1.367218</v>
      </c>
      <c r="C278" t="n">
        <v/>
      </c>
      <c r="D278" t="n">
        <v>3.388196</v>
      </c>
      <c r="E278" t="n">
        <v>13.31058</v>
      </c>
      <c r="F278" t="n">
        <v/>
      </c>
      <c r="G278" t="n">
        <v/>
      </c>
      <c r="H278" t="n">
        <v/>
      </c>
      <c r="I278" t="n">
        <v/>
      </c>
      <c r="J278" t="n">
        <v/>
      </c>
      <c r="K278" t="n">
        <v>4.648037</v>
      </c>
      <c r="L278" t="n">
        <v>4.97488</v>
      </c>
      <c r="M278" t="n">
        <v/>
      </c>
      <c r="N278" t="n">
        <v/>
      </c>
      <c r="O278" t="n">
        <v/>
      </c>
      <c r="P278" t="n">
        <v>0.157874</v>
      </c>
      <c r="Q278" t="n">
        <v>0.0206877</v>
      </c>
      <c r="R278" t="n">
        <v/>
      </c>
      <c r="S278" t="n">
        <v/>
      </c>
      <c r="T278" t="n">
        <v/>
      </c>
      <c r="U278" t="n">
        <v/>
      </c>
      <c r="V278" t="n">
        <v>3.122773</v>
      </c>
      <c r="W278" t="n">
        <v/>
      </c>
      <c r="X278" t="n">
        <v/>
      </c>
      <c r="Y278" t="n">
        <v>0.669893</v>
      </c>
      <c r="Z278" t="n">
        <v/>
      </c>
      <c r="AA278" t="n">
        <v/>
      </c>
      <c r="AB278" t="n">
        <v>5.459894</v>
      </c>
      <c r="AC278" t="n">
        <v/>
      </c>
      <c r="AD278" t="n">
        <v>7.137342</v>
      </c>
      <c r="AE278" t="n">
        <v>0.4235964</v>
      </c>
    </row>
    <row r="279">
      <c r="A279" s="87" t="n">
        <v>27061</v>
      </c>
      <c r="B279" t="n">
        <v>1.384028</v>
      </c>
      <c r="C279" t="n">
        <v/>
      </c>
      <c r="D279" t="n">
        <v>3.467238</v>
      </c>
      <c r="E279" t="n">
        <v>13.34513</v>
      </c>
      <c r="F279" t="n">
        <v/>
      </c>
      <c r="G279" t="n">
        <v/>
      </c>
      <c r="H279" t="n">
        <v/>
      </c>
      <c r="I279" t="n">
        <v/>
      </c>
      <c r="J279" t="n">
        <v/>
      </c>
      <c r="K279" t="n">
        <v>4.674071</v>
      </c>
      <c r="L279" t="n">
        <v>5.031938</v>
      </c>
      <c r="M279" t="n">
        <v/>
      </c>
      <c r="N279" t="n">
        <v/>
      </c>
      <c r="O279" t="n">
        <v/>
      </c>
      <c r="P279" t="n">
        <v>0.1598356</v>
      </c>
      <c r="Q279" t="n">
        <v>0.02116817</v>
      </c>
      <c r="R279" t="n">
        <v/>
      </c>
      <c r="S279" t="n">
        <v/>
      </c>
      <c r="T279" t="n">
        <v/>
      </c>
      <c r="U279" t="n">
        <v/>
      </c>
      <c r="V279" t="n">
        <v>3.165494</v>
      </c>
      <c r="W279" t="n">
        <v/>
      </c>
      <c r="X279" t="n">
        <v/>
      </c>
      <c r="Y279" t="n">
        <v>0.6790122</v>
      </c>
      <c r="Z279" t="n">
        <v/>
      </c>
      <c r="AA279" t="n">
        <v/>
      </c>
      <c r="AB279" t="n">
        <v>5.511176</v>
      </c>
      <c r="AC279" t="n">
        <v/>
      </c>
      <c r="AD279" t="n">
        <v>7.174702</v>
      </c>
      <c r="AE279" t="n">
        <v>0.4299194</v>
      </c>
    </row>
    <row r="280">
      <c r="A280" s="87" t="n">
        <v>27089</v>
      </c>
      <c r="B280" t="n">
        <v>1.400838</v>
      </c>
      <c r="C280" t="n">
        <v/>
      </c>
      <c r="D280" t="n">
        <v>3.545194</v>
      </c>
      <c r="E280" t="n">
        <v>13.37108</v>
      </c>
      <c r="F280" t="n">
        <v/>
      </c>
      <c r="G280" t="n">
        <v/>
      </c>
      <c r="H280" t="n">
        <v/>
      </c>
      <c r="I280" t="n">
        <v/>
      </c>
      <c r="J280" t="n">
        <v/>
      </c>
      <c r="K280" t="n">
        <v>4.67714</v>
      </c>
      <c r="L280" t="n">
        <v>5.080037</v>
      </c>
      <c r="M280" t="n">
        <v/>
      </c>
      <c r="N280" t="n">
        <v/>
      </c>
      <c r="O280" t="n">
        <v/>
      </c>
      <c r="P280" t="n">
        <v>0.16147</v>
      </c>
      <c r="Q280" t="n">
        <v>0.02158555</v>
      </c>
      <c r="R280" t="n">
        <v/>
      </c>
      <c r="S280" t="n">
        <v/>
      </c>
      <c r="T280" t="n">
        <v/>
      </c>
      <c r="U280" t="n">
        <v/>
      </c>
      <c r="V280" t="n">
        <v>3.187222</v>
      </c>
      <c r="W280" t="n">
        <v/>
      </c>
      <c r="X280" t="n">
        <v/>
      </c>
      <c r="Y280" t="n">
        <v>0.6929907</v>
      </c>
      <c r="Z280" t="n">
        <v/>
      </c>
      <c r="AA280" t="n">
        <v/>
      </c>
      <c r="AB280" t="n">
        <v>5.582029</v>
      </c>
      <c r="AC280" t="n">
        <v/>
      </c>
      <c r="AD280" t="n">
        <v>7.223684</v>
      </c>
      <c r="AE280" t="n">
        <v>0.4375849</v>
      </c>
    </row>
    <row r="281">
      <c r="A281" s="87" t="n">
        <v>27120</v>
      </c>
      <c r="B281" t="n">
        <v>1.412045</v>
      </c>
      <c r="C281" t="n">
        <v/>
      </c>
      <c r="D281" t="n">
        <v>3.598233</v>
      </c>
      <c r="E281" t="n">
        <v>13.42506</v>
      </c>
      <c r="F281" t="n">
        <v/>
      </c>
      <c r="G281" t="n">
        <v/>
      </c>
      <c r="H281" t="n">
        <v/>
      </c>
      <c r="I281" t="n">
        <v/>
      </c>
      <c r="J281" t="n">
        <v/>
      </c>
      <c r="K281" t="n">
        <v>4.68575</v>
      </c>
      <c r="L281" t="n">
        <v>5.131907</v>
      </c>
      <c r="M281" t="n">
        <v/>
      </c>
      <c r="N281" t="n">
        <v/>
      </c>
      <c r="O281" t="n">
        <v/>
      </c>
      <c r="P281" t="n">
        <v>0.1636292</v>
      </c>
      <c r="Q281" t="n">
        <v>0.02184423</v>
      </c>
      <c r="R281" t="n">
        <v/>
      </c>
      <c r="S281" t="n">
        <v/>
      </c>
      <c r="T281" t="n">
        <v/>
      </c>
      <c r="U281" t="n">
        <v/>
      </c>
      <c r="V281" t="n">
        <v>3.19934</v>
      </c>
      <c r="W281" t="n">
        <v/>
      </c>
      <c r="X281" t="n">
        <v/>
      </c>
      <c r="Y281" t="n">
        <v>0.7053913000000001</v>
      </c>
      <c r="Z281" t="n">
        <v/>
      </c>
      <c r="AA281" t="n">
        <v/>
      </c>
      <c r="AB281" t="n">
        <v>5.631622</v>
      </c>
      <c r="AC281" t="n">
        <v/>
      </c>
      <c r="AD281" t="n">
        <v>7.24693</v>
      </c>
      <c r="AE281" t="n">
        <v>0.4440742</v>
      </c>
    </row>
    <row r="282">
      <c r="A282" s="87" t="n">
        <v>27150</v>
      </c>
      <c r="B282" t="n">
        <v>1.428855</v>
      </c>
      <c r="C282" t="n">
        <v/>
      </c>
      <c r="D282" t="n">
        <v>3.702296</v>
      </c>
      <c r="E282" t="n">
        <v>13.48769</v>
      </c>
      <c r="F282" t="n">
        <v/>
      </c>
      <c r="G282" t="n">
        <v/>
      </c>
      <c r="H282" t="n">
        <v/>
      </c>
      <c r="I282" t="n">
        <v/>
      </c>
      <c r="J282" t="n">
        <v/>
      </c>
      <c r="K282" t="n">
        <v>4.716368</v>
      </c>
      <c r="L282" t="n">
        <v>5.185193</v>
      </c>
      <c r="M282" t="n">
        <v/>
      </c>
      <c r="N282" t="n">
        <v/>
      </c>
      <c r="O282" t="n">
        <v/>
      </c>
      <c r="P282" t="n">
        <v>0.1658867</v>
      </c>
      <c r="Q282" t="n">
        <v>0.02211349</v>
      </c>
      <c r="R282" t="n">
        <v/>
      </c>
      <c r="S282" t="n">
        <v/>
      </c>
      <c r="T282" t="n">
        <v/>
      </c>
      <c r="U282" t="n">
        <v/>
      </c>
      <c r="V282" t="n">
        <v>3.227377</v>
      </c>
      <c r="W282" t="n">
        <v/>
      </c>
      <c r="X282" t="n">
        <v/>
      </c>
      <c r="Y282" t="n">
        <v>0.7157236</v>
      </c>
      <c r="Z282" t="n">
        <v/>
      </c>
      <c r="AA282" t="n">
        <v/>
      </c>
      <c r="AB282" t="n">
        <v>5.687868</v>
      </c>
      <c r="AC282" t="n">
        <v/>
      </c>
      <c r="AD282" t="n">
        <v>7.261044</v>
      </c>
      <c r="AE282" t="n">
        <v>0.4505411</v>
      </c>
    </row>
    <row r="283">
      <c r="A283" s="87" t="n">
        <v>27181</v>
      </c>
      <c r="B283" t="n">
        <v>1.428855</v>
      </c>
      <c r="C283" t="n">
        <v/>
      </c>
      <c r="D283" t="n">
        <v>3.730108</v>
      </c>
      <c r="E283" t="n">
        <v>13.53001</v>
      </c>
      <c r="F283" t="n">
        <v/>
      </c>
      <c r="G283" t="n">
        <v/>
      </c>
      <c r="H283" t="n">
        <v/>
      </c>
      <c r="I283" t="n">
        <v/>
      </c>
      <c r="J283" t="n">
        <v/>
      </c>
      <c r="K283" t="n">
        <v>4.725514</v>
      </c>
      <c r="L283" t="n">
        <v>5.226218</v>
      </c>
      <c r="M283" t="n">
        <v/>
      </c>
      <c r="N283" t="n">
        <v/>
      </c>
      <c r="O283" t="n">
        <v/>
      </c>
      <c r="P283" t="n">
        <v>0.1675214</v>
      </c>
      <c r="Q283" t="n">
        <v>0.02246625</v>
      </c>
      <c r="R283" t="n">
        <v/>
      </c>
      <c r="S283" t="n">
        <v/>
      </c>
      <c r="T283" t="n">
        <v/>
      </c>
      <c r="U283" t="n">
        <v/>
      </c>
      <c r="V283" t="n">
        <v>3.247003</v>
      </c>
      <c r="W283" t="n">
        <v/>
      </c>
      <c r="X283" t="n">
        <v/>
      </c>
      <c r="Y283" t="n">
        <v>0.7300591</v>
      </c>
      <c r="Z283" t="n">
        <v/>
      </c>
      <c r="AA283" t="n">
        <v/>
      </c>
      <c r="AB283" t="n">
        <v>5.757432</v>
      </c>
      <c r="AC283" t="n">
        <v/>
      </c>
      <c r="AD283" t="n">
        <v>7.287611</v>
      </c>
      <c r="AE283" t="n">
        <v>0.4575538</v>
      </c>
    </row>
    <row r="284">
      <c r="A284" s="87" t="n">
        <v>27211</v>
      </c>
      <c r="B284" t="n">
        <v>1.409243</v>
      </c>
      <c r="C284" t="n">
        <v/>
      </c>
      <c r="D284" t="n">
        <v>3.826364</v>
      </c>
      <c r="E284" t="n">
        <v>13.59406</v>
      </c>
      <c r="F284" t="n">
        <v/>
      </c>
      <c r="G284" t="n">
        <v/>
      </c>
      <c r="H284" t="n">
        <v/>
      </c>
      <c r="I284" t="n">
        <v/>
      </c>
      <c r="J284" t="n">
        <v/>
      </c>
      <c r="K284" t="n">
        <v>4.733556</v>
      </c>
      <c r="L284" t="n">
        <v>5.273373</v>
      </c>
      <c r="M284" t="n">
        <v/>
      </c>
      <c r="N284" t="n">
        <v/>
      </c>
      <c r="O284" t="n">
        <v/>
      </c>
      <c r="P284" t="n">
        <v>0.1693591</v>
      </c>
      <c r="Q284" t="n">
        <v>0.02276791</v>
      </c>
      <c r="R284" t="n">
        <v/>
      </c>
      <c r="S284" t="n">
        <v/>
      </c>
      <c r="T284" t="n">
        <v/>
      </c>
      <c r="U284" t="n">
        <v/>
      </c>
      <c r="V284" t="n">
        <v>3.268237</v>
      </c>
      <c r="W284" t="n">
        <v/>
      </c>
      <c r="X284" t="n">
        <v/>
      </c>
      <c r="Y284" t="n">
        <v>0.7414404</v>
      </c>
      <c r="Z284" t="n">
        <v/>
      </c>
      <c r="AA284" t="n">
        <v/>
      </c>
      <c r="AB284" t="n">
        <v>5.790671</v>
      </c>
      <c r="AC284" t="n">
        <v/>
      </c>
      <c r="AD284" t="n">
        <v>7.317498</v>
      </c>
      <c r="AE284" t="n">
        <v>0.4620521</v>
      </c>
    </row>
    <row r="285">
      <c r="A285" s="87" t="n">
        <v>27242</v>
      </c>
      <c r="B285" t="n">
        <v>1.392433</v>
      </c>
      <c r="C285" t="n">
        <v/>
      </c>
      <c r="D285" t="n">
        <v>3.888346</v>
      </c>
      <c r="E285" t="n">
        <v>13.70396</v>
      </c>
      <c r="F285" t="n">
        <v/>
      </c>
      <c r="G285" t="n">
        <v/>
      </c>
      <c r="H285" t="n">
        <v/>
      </c>
      <c r="I285" t="n">
        <v/>
      </c>
      <c r="J285" t="n">
        <v/>
      </c>
      <c r="K285" t="n">
        <v>4.775919</v>
      </c>
      <c r="L285" t="n">
        <v>5.320057</v>
      </c>
      <c r="M285" t="n">
        <v/>
      </c>
      <c r="N285" t="n">
        <v/>
      </c>
      <c r="O285" t="n">
        <v/>
      </c>
      <c r="P285" t="n">
        <v>0.1707219</v>
      </c>
      <c r="Q285" t="n">
        <v>0.02322032</v>
      </c>
      <c r="R285" t="n">
        <v/>
      </c>
      <c r="S285" t="n">
        <v/>
      </c>
      <c r="T285" t="n">
        <v/>
      </c>
      <c r="U285" t="n">
        <v/>
      </c>
      <c r="V285" t="n">
        <v>3.301652</v>
      </c>
      <c r="W285" t="n">
        <v/>
      </c>
      <c r="X285" t="n">
        <v/>
      </c>
      <c r="Y285" t="n">
        <v>0.753118</v>
      </c>
      <c r="Z285" t="n">
        <v/>
      </c>
      <c r="AA285" t="n">
        <v/>
      </c>
      <c r="AB285" t="n">
        <v>5.815934</v>
      </c>
      <c r="AC285" t="n">
        <v/>
      </c>
      <c r="AD285" t="n">
        <v>7.339914</v>
      </c>
      <c r="AE285" t="n">
        <v>0.464581</v>
      </c>
    </row>
    <row r="286">
      <c r="A286" s="87" t="n">
        <v>27273</v>
      </c>
      <c r="B286" t="n">
        <v>1.38683</v>
      </c>
      <c r="C286" t="n">
        <v/>
      </c>
      <c r="D286" t="n">
        <v>3.95343</v>
      </c>
      <c r="E286" t="n">
        <v>13.81699</v>
      </c>
      <c r="F286" t="n">
        <v/>
      </c>
      <c r="G286" t="n">
        <v/>
      </c>
      <c r="H286" t="n">
        <v/>
      </c>
      <c r="I286" t="n">
        <v/>
      </c>
      <c r="J286" t="n">
        <v/>
      </c>
      <c r="K286" t="n">
        <v>4.833502</v>
      </c>
      <c r="L286" t="n">
        <v>5.360139</v>
      </c>
      <c r="M286" t="n">
        <v/>
      </c>
      <c r="N286" t="n">
        <v/>
      </c>
      <c r="O286" t="n">
        <v/>
      </c>
      <c r="P286" t="n">
        <v>0.1714667</v>
      </c>
      <c r="Q286" t="n">
        <v>0.02378082</v>
      </c>
      <c r="R286" t="n">
        <v/>
      </c>
      <c r="S286" t="n">
        <v/>
      </c>
      <c r="T286" t="n">
        <v/>
      </c>
      <c r="U286" t="n">
        <v/>
      </c>
      <c r="V286" t="n">
        <v>3.34018</v>
      </c>
      <c r="W286" t="n">
        <v/>
      </c>
      <c r="X286" t="n">
        <v/>
      </c>
      <c r="Y286" t="n">
        <v>0.7688372</v>
      </c>
      <c r="Z286" t="n">
        <v/>
      </c>
      <c r="AA286" t="n">
        <v/>
      </c>
      <c r="AB286" t="n">
        <v>5.877268</v>
      </c>
      <c r="AC286" t="n">
        <v/>
      </c>
      <c r="AD286" t="n">
        <v>7.371462</v>
      </c>
      <c r="AE286" t="n">
        <v>0.4669874</v>
      </c>
    </row>
    <row r="287">
      <c r="A287" s="87" t="n">
        <v>27303</v>
      </c>
      <c r="B287" t="n">
        <v>1.40364</v>
      </c>
      <c r="C287" t="n">
        <v/>
      </c>
      <c r="D287" t="n">
        <v>3.965113</v>
      </c>
      <c r="E287" t="n">
        <v>13.89799</v>
      </c>
      <c r="F287" t="n">
        <v/>
      </c>
      <c r="G287" t="n">
        <v/>
      </c>
      <c r="H287" t="n">
        <v/>
      </c>
      <c r="I287" t="n">
        <v/>
      </c>
      <c r="J287" t="n">
        <v/>
      </c>
      <c r="K287" t="n">
        <v>4.8822</v>
      </c>
      <c r="L287" t="n">
        <v>5.405879</v>
      </c>
      <c r="M287" t="n">
        <v/>
      </c>
      <c r="N287" t="n">
        <v/>
      </c>
      <c r="O287" t="n">
        <v/>
      </c>
      <c r="P287" t="n">
        <v>0.172511</v>
      </c>
      <c r="Q287" t="n">
        <v>0.02442173</v>
      </c>
      <c r="R287" t="n">
        <v/>
      </c>
      <c r="S287" t="n">
        <v/>
      </c>
      <c r="T287" t="n">
        <v/>
      </c>
      <c r="U287" t="n">
        <v/>
      </c>
      <c r="V287" t="n">
        <v>3.389647</v>
      </c>
      <c r="W287" t="n">
        <v/>
      </c>
      <c r="X287" t="n">
        <v/>
      </c>
      <c r="Y287" t="n">
        <v>0.781552</v>
      </c>
      <c r="Z287" t="n">
        <v/>
      </c>
      <c r="AA287" t="n">
        <v/>
      </c>
      <c r="AB287" t="n">
        <v>5.898004</v>
      </c>
      <c r="AC287" t="n">
        <v/>
      </c>
      <c r="AD287" t="n">
        <v>7.416294</v>
      </c>
      <c r="AE287" t="n">
        <v>0.4738458</v>
      </c>
    </row>
    <row r="288">
      <c r="A288" s="87" t="n">
        <v>27334</v>
      </c>
      <c r="B288" t="n">
        <v>1.428855</v>
      </c>
      <c r="C288" t="n">
        <v/>
      </c>
      <c r="D288" t="n">
        <v>4.00161</v>
      </c>
      <c r="E288" t="n">
        <v>13.99113</v>
      </c>
      <c r="F288" t="n">
        <v/>
      </c>
      <c r="G288" t="n">
        <v/>
      </c>
      <c r="H288" t="n">
        <v/>
      </c>
      <c r="I288" t="n">
        <v/>
      </c>
      <c r="J288" t="n">
        <v/>
      </c>
      <c r="K288" t="n">
        <v>4.9741</v>
      </c>
      <c r="L288" t="n">
        <v>5.463409</v>
      </c>
      <c r="M288" t="n">
        <v/>
      </c>
      <c r="N288" t="n">
        <v/>
      </c>
      <c r="O288" t="n">
        <v/>
      </c>
      <c r="P288" t="n">
        <v>0.1737107</v>
      </c>
      <c r="Q288" t="n">
        <v>0.02519784</v>
      </c>
      <c r="R288" t="n">
        <v/>
      </c>
      <c r="S288" t="n">
        <v/>
      </c>
      <c r="T288" t="n">
        <v/>
      </c>
      <c r="U288" t="n">
        <v/>
      </c>
      <c r="V288" t="n">
        <v>3.430773</v>
      </c>
      <c r="W288" t="n">
        <v/>
      </c>
      <c r="X288" t="n">
        <v/>
      </c>
      <c r="Y288" t="n">
        <v>0.7997776</v>
      </c>
      <c r="Z288" t="n">
        <v/>
      </c>
      <c r="AA288" t="n">
        <v/>
      </c>
      <c r="AB288" t="n">
        <v>5.912143</v>
      </c>
      <c r="AC288" t="n">
        <v/>
      </c>
      <c r="AD288" t="n">
        <v>7.460295</v>
      </c>
      <c r="AE288" t="n">
        <v>0.4841326</v>
      </c>
    </row>
    <row r="289">
      <c r="A289" s="87" t="n">
        <v>27364</v>
      </c>
      <c r="B289" t="n">
        <v>1.448467</v>
      </c>
      <c r="C289" t="n">
        <v/>
      </c>
      <c r="D289" t="n">
        <v>4.039503</v>
      </c>
      <c r="E289" t="n">
        <v>14.07529</v>
      </c>
      <c r="F289" t="n">
        <v/>
      </c>
      <c r="G289" t="n">
        <v/>
      </c>
      <c r="H289" t="n">
        <v/>
      </c>
      <c r="I289" t="n">
        <v/>
      </c>
      <c r="J289" t="n">
        <v/>
      </c>
      <c r="K289" t="n">
        <v>5.035784</v>
      </c>
      <c r="L289" t="n">
        <v>5.526125</v>
      </c>
      <c r="M289" t="n">
        <v/>
      </c>
      <c r="N289" t="n">
        <v/>
      </c>
      <c r="O289" t="n">
        <v/>
      </c>
      <c r="P289" t="n">
        <v>0.1747364</v>
      </c>
      <c r="Q289" t="n">
        <v>0.0258131</v>
      </c>
      <c r="R289" t="n">
        <v/>
      </c>
      <c r="S289" t="n">
        <v/>
      </c>
      <c r="T289" t="n">
        <v/>
      </c>
      <c r="U289" t="n">
        <v/>
      </c>
      <c r="V289" t="n">
        <v>3.450285</v>
      </c>
      <c r="W289" t="n">
        <v/>
      </c>
      <c r="X289" t="n">
        <v/>
      </c>
      <c r="Y289" t="n">
        <v>0.8221433</v>
      </c>
      <c r="Z289" t="n">
        <v/>
      </c>
      <c r="AA289" t="n">
        <v/>
      </c>
      <c r="AB289" t="n">
        <v>5.950416</v>
      </c>
      <c r="AC289" t="n">
        <v/>
      </c>
      <c r="AD289" t="n">
        <v>7.489353</v>
      </c>
      <c r="AE289" t="n">
        <v>0.4919943</v>
      </c>
    </row>
    <row r="290">
      <c r="A290" s="87" t="n">
        <v>27395</v>
      </c>
      <c r="B290" t="n">
        <v>1.473682</v>
      </c>
      <c r="C290" t="n">
        <v/>
      </c>
      <c r="D290" t="n">
        <v>4.093317</v>
      </c>
      <c r="E290" t="n">
        <v>14.14291</v>
      </c>
      <c r="F290" t="n">
        <v/>
      </c>
      <c r="G290" t="n">
        <v/>
      </c>
      <c r="H290" t="n">
        <v/>
      </c>
      <c r="I290" t="n">
        <v/>
      </c>
      <c r="J290" t="n">
        <v/>
      </c>
      <c r="K290" t="n">
        <v>5.045527</v>
      </c>
      <c r="L290" t="n">
        <v>5.587899</v>
      </c>
      <c r="M290" t="n">
        <v/>
      </c>
      <c r="N290" t="n">
        <v/>
      </c>
      <c r="O290" t="n">
        <v/>
      </c>
      <c r="P290" t="n">
        <v>0.1763233</v>
      </c>
      <c r="Q290" t="n">
        <v>0.02637157</v>
      </c>
      <c r="R290" t="n">
        <v/>
      </c>
      <c r="S290" t="n">
        <v/>
      </c>
      <c r="T290" t="n">
        <v/>
      </c>
      <c r="U290" t="n">
        <v/>
      </c>
      <c r="V290" t="n">
        <v>3.46809</v>
      </c>
      <c r="W290" t="n">
        <v/>
      </c>
      <c r="X290" t="n">
        <v/>
      </c>
      <c r="Y290" t="n">
        <v>0.8350281000000001</v>
      </c>
      <c r="Z290" t="n">
        <v/>
      </c>
      <c r="AA290" t="n">
        <v/>
      </c>
      <c r="AB290" t="n">
        <v>5.980357</v>
      </c>
      <c r="AC290" t="n">
        <v/>
      </c>
      <c r="AD290" t="n">
        <v>7.524221</v>
      </c>
      <c r="AE290" t="n">
        <v>0.5023027</v>
      </c>
    </row>
    <row r="291">
      <c r="A291" s="87" t="n">
        <v>27426</v>
      </c>
      <c r="B291" t="n">
        <v>1.507302</v>
      </c>
      <c r="C291" t="n">
        <v/>
      </c>
      <c r="D291" t="n">
        <v>4.138654</v>
      </c>
      <c r="E291" t="n">
        <v>14.2242</v>
      </c>
      <c r="F291" t="n">
        <v/>
      </c>
      <c r="G291" t="n">
        <v/>
      </c>
      <c r="H291" t="n">
        <v/>
      </c>
      <c r="I291" t="n">
        <v/>
      </c>
      <c r="J291" t="n">
        <v/>
      </c>
      <c r="K291" t="n">
        <v>5.101856</v>
      </c>
      <c r="L291" t="n">
        <v>5.647786</v>
      </c>
      <c r="M291" t="n">
        <v/>
      </c>
      <c r="N291" t="n">
        <v/>
      </c>
      <c r="O291" t="n">
        <v/>
      </c>
      <c r="P291" t="n">
        <v>0.1785628</v>
      </c>
      <c r="Q291" t="n">
        <v>0.02684298</v>
      </c>
      <c r="R291" t="n">
        <v/>
      </c>
      <c r="S291" t="n">
        <v/>
      </c>
      <c r="T291" t="n">
        <v/>
      </c>
      <c r="U291" t="n">
        <v/>
      </c>
      <c r="V291" t="n">
        <v>3.513179</v>
      </c>
      <c r="W291" t="n">
        <v/>
      </c>
      <c r="X291" t="n">
        <v/>
      </c>
      <c r="Y291" t="n">
        <v>0.8472639</v>
      </c>
      <c r="Z291" t="n">
        <v/>
      </c>
      <c r="AA291" t="n">
        <v/>
      </c>
      <c r="AB291" t="n">
        <v>6.02155</v>
      </c>
      <c r="AC291" t="n">
        <v/>
      </c>
      <c r="AD291" t="n">
        <v>7.588978</v>
      </c>
      <c r="AE291" t="n">
        <v>0.5112978</v>
      </c>
    </row>
    <row r="292">
      <c r="A292" s="87" t="n">
        <v>27454</v>
      </c>
      <c r="B292" t="n">
        <v>1.540922</v>
      </c>
      <c r="C292" t="n">
        <v/>
      </c>
      <c r="D292" t="n">
        <v>4.173599</v>
      </c>
      <c r="E292" t="n">
        <v>14.30954</v>
      </c>
      <c r="F292" t="n">
        <v/>
      </c>
      <c r="G292" t="n">
        <v/>
      </c>
      <c r="H292" t="n">
        <v/>
      </c>
      <c r="I292" t="n">
        <v/>
      </c>
      <c r="J292" t="n">
        <v/>
      </c>
      <c r="K292" t="n">
        <v>5.186793</v>
      </c>
      <c r="L292" t="n">
        <v>5.693998</v>
      </c>
      <c r="M292" t="n">
        <v/>
      </c>
      <c r="N292" t="n">
        <v/>
      </c>
      <c r="O292" t="n">
        <v/>
      </c>
      <c r="P292" t="n">
        <v>0.1798263</v>
      </c>
      <c r="Q292" t="n">
        <v>0.02710227</v>
      </c>
      <c r="R292" t="n">
        <v/>
      </c>
      <c r="S292" t="n">
        <v/>
      </c>
      <c r="T292" t="n">
        <v/>
      </c>
      <c r="U292" t="n">
        <v/>
      </c>
      <c r="V292" t="n">
        <v>3.549772</v>
      </c>
      <c r="W292" t="n">
        <v/>
      </c>
      <c r="X292" t="n">
        <v/>
      </c>
      <c r="Y292" t="n">
        <v>0.8647422</v>
      </c>
      <c r="Z292" t="n">
        <v/>
      </c>
      <c r="AA292" t="n">
        <v/>
      </c>
      <c r="AB292" t="n">
        <v>6.082075</v>
      </c>
      <c r="AC292" t="n">
        <v/>
      </c>
      <c r="AD292" t="n">
        <v>7.679471</v>
      </c>
      <c r="AE292" t="n">
        <v>0.5191613</v>
      </c>
    </row>
    <row r="293">
      <c r="A293" s="87" t="n">
        <v>27485</v>
      </c>
      <c r="B293" t="n">
        <v>1.574542</v>
      </c>
      <c r="C293" t="n">
        <v/>
      </c>
      <c r="D293" t="n">
        <v>4.186006</v>
      </c>
      <c r="E293" t="n">
        <v>14.37844</v>
      </c>
      <c r="F293" t="n">
        <v/>
      </c>
      <c r="G293" t="n">
        <v/>
      </c>
      <c r="H293" t="n">
        <v/>
      </c>
      <c r="I293" t="n">
        <v/>
      </c>
      <c r="J293" t="n">
        <v/>
      </c>
      <c r="K293" t="n">
        <v>5.262094</v>
      </c>
      <c r="L293" t="n">
        <v>5.732194</v>
      </c>
      <c r="M293" t="n">
        <v/>
      </c>
      <c r="N293" t="n">
        <v/>
      </c>
      <c r="O293" t="n">
        <v/>
      </c>
      <c r="P293" t="n">
        <v>0.1811789</v>
      </c>
      <c r="Q293" t="n">
        <v>0.02748186</v>
      </c>
      <c r="R293" t="n">
        <v/>
      </c>
      <c r="S293" t="n">
        <v/>
      </c>
      <c r="T293" t="n">
        <v/>
      </c>
      <c r="U293" t="n">
        <v/>
      </c>
      <c r="V293" t="n">
        <v>3.565689</v>
      </c>
      <c r="W293" t="n">
        <v/>
      </c>
      <c r="X293" t="n">
        <v/>
      </c>
      <c r="Y293" t="n">
        <v>0.8807598</v>
      </c>
      <c r="Z293" t="n">
        <v/>
      </c>
      <c r="AA293" t="n">
        <v/>
      </c>
      <c r="AB293" t="n">
        <v>6.140782</v>
      </c>
      <c r="AC293" t="n">
        <v/>
      </c>
      <c r="AD293" t="n">
        <v>7.763323</v>
      </c>
      <c r="AE293" t="n">
        <v>0.5267166</v>
      </c>
    </row>
    <row r="294">
      <c r="A294" s="87" t="n">
        <v>27515</v>
      </c>
      <c r="B294" t="n">
        <v>1.602559</v>
      </c>
      <c r="C294" t="n">
        <v/>
      </c>
      <c r="D294" t="n">
        <v>4.200481</v>
      </c>
      <c r="E294" t="n">
        <v>14.47038</v>
      </c>
      <c r="F294" t="n">
        <v/>
      </c>
      <c r="G294" t="n">
        <v/>
      </c>
      <c r="H294" t="n">
        <v/>
      </c>
      <c r="I294" t="n">
        <v/>
      </c>
      <c r="J294" t="n">
        <v/>
      </c>
      <c r="K294" t="n">
        <v>5.340711</v>
      </c>
      <c r="L294" t="n">
        <v>5.778878</v>
      </c>
      <c r="M294" t="n">
        <v/>
      </c>
      <c r="N294" t="n">
        <v/>
      </c>
      <c r="O294" t="n">
        <v/>
      </c>
      <c r="P294" t="n">
        <v>0.1832955</v>
      </c>
      <c r="Q294" t="n">
        <v>0.02793855</v>
      </c>
      <c r="R294" t="n">
        <v/>
      </c>
      <c r="S294" t="n">
        <v/>
      </c>
      <c r="T294" t="n">
        <v/>
      </c>
      <c r="U294" t="n">
        <v/>
      </c>
      <c r="V294" t="n">
        <v>3.604721</v>
      </c>
      <c r="W294" t="n">
        <v/>
      </c>
      <c r="X294" t="n">
        <v/>
      </c>
      <c r="Y294" t="n">
        <v>0.8971989</v>
      </c>
      <c r="Z294" t="n">
        <v/>
      </c>
      <c r="AA294" t="n">
        <v/>
      </c>
      <c r="AB294" t="n">
        <v>6.184965</v>
      </c>
      <c r="AC294" t="n">
        <v/>
      </c>
      <c r="AD294" t="n">
        <v>7.86959</v>
      </c>
      <c r="AE294" t="n">
        <v>0.5304126</v>
      </c>
    </row>
    <row r="295">
      <c r="A295" s="87" t="n">
        <v>27546</v>
      </c>
      <c r="B295" t="n">
        <v>1.624972</v>
      </c>
      <c r="C295" t="n">
        <v/>
      </c>
      <c r="D295" t="n">
        <v>4.283865</v>
      </c>
      <c r="E295" t="n">
        <v>14.21521</v>
      </c>
      <c r="F295" t="n">
        <v/>
      </c>
      <c r="G295" t="n">
        <v/>
      </c>
      <c r="H295" t="n">
        <v/>
      </c>
      <c r="I295" t="n">
        <v/>
      </c>
      <c r="J295" t="n">
        <v/>
      </c>
      <c r="K295" t="n">
        <v>5.469603</v>
      </c>
      <c r="L295" t="n">
        <v>5.843009</v>
      </c>
      <c r="M295" t="n">
        <v/>
      </c>
      <c r="N295" t="n">
        <v/>
      </c>
      <c r="O295" t="n">
        <v/>
      </c>
      <c r="P295" t="n">
        <v>0.1855656</v>
      </c>
      <c r="Q295" t="n">
        <v>0.02854072</v>
      </c>
      <c r="R295" t="n">
        <v/>
      </c>
      <c r="S295" t="n">
        <v/>
      </c>
      <c r="T295" t="n">
        <v/>
      </c>
      <c r="U295" t="n">
        <v/>
      </c>
      <c r="V295" t="n">
        <v>3.664819</v>
      </c>
      <c r="W295" t="n">
        <v/>
      </c>
      <c r="X295" t="n">
        <v/>
      </c>
      <c r="Y295" t="n">
        <v>0.9136684</v>
      </c>
      <c r="Z295" t="n">
        <v/>
      </c>
      <c r="AA295" t="n">
        <v/>
      </c>
      <c r="AB295" t="n">
        <v>6.2599</v>
      </c>
      <c r="AC295" t="n">
        <v/>
      </c>
      <c r="AD295" t="n">
        <v>7.994952</v>
      </c>
      <c r="AE295" t="n">
        <v>0.5372652999999999</v>
      </c>
    </row>
    <row r="296">
      <c r="A296" s="87" t="n">
        <v>27576</v>
      </c>
      <c r="B296" t="n">
        <v>1.655791</v>
      </c>
      <c r="C296" t="n">
        <v/>
      </c>
      <c r="D296" t="n">
        <v>4.3124</v>
      </c>
      <c r="E296" t="n">
        <v>13.91609</v>
      </c>
      <c r="F296" t="n">
        <v/>
      </c>
      <c r="G296" t="n">
        <v/>
      </c>
      <c r="H296" t="n">
        <v/>
      </c>
      <c r="I296" t="n">
        <v/>
      </c>
      <c r="J296" t="n">
        <v/>
      </c>
      <c r="K296" t="n">
        <v>5.60765</v>
      </c>
      <c r="L296" t="n">
        <v>5.924116</v>
      </c>
      <c r="M296" t="n">
        <v/>
      </c>
      <c r="N296" t="n">
        <v/>
      </c>
      <c r="O296" t="n">
        <v/>
      </c>
      <c r="P296" t="n">
        <v>0.1882198</v>
      </c>
      <c r="Q296" t="n">
        <v>0.02930691</v>
      </c>
      <c r="R296" t="n">
        <v/>
      </c>
      <c r="S296" t="n">
        <v/>
      </c>
      <c r="T296" t="n">
        <v/>
      </c>
      <c r="U296" t="n">
        <v/>
      </c>
      <c r="V296" t="n">
        <v>3.724512</v>
      </c>
      <c r="W296" t="n">
        <v/>
      </c>
      <c r="X296" t="n">
        <v/>
      </c>
      <c r="Y296" t="n">
        <v>0.9319525</v>
      </c>
      <c r="Z296" t="n">
        <v/>
      </c>
      <c r="AA296" t="n">
        <v/>
      </c>
      <c r="AB296" t="n">
        <v>6.333976</v>
      </c>
      <c r="AC296" t="n">
        <v/>
      </c>
      <c r="AD296" t="n">
        <v>8.095408000000001</v>
      </c>
      <c r="AE296" t="n">
        <v>0.5478082</v>
      </c>
    </row>
    <row r="297">
      <c r="A297" s="87" t="n">
        <v>27607</v>
      </c>
      <c r="B297" t="n">
        <v>1.686609</v>
      </c>
      <c r="C297" t="n">
        <v/>
      </c>
      <c r="D297" t="n">
        <v>4.37247</v>
      </c>
      <c r="E297" t="n">
        <v>13.96187</v>
      </c>
      <c r="F297" t="n">
        <v/>
      </c>
      <c r="G297" t="n">
        <v/>
      </c>
      <c r="H297" t="n">
        <v/>
      </c>
      <c r="I297" t="n">
        <v/>
      </c>
      <c r="J297" t="n">
        <v/>
      </c>
      <c r="K297" t="n">
        <v>5.71734</v>
      </c>
      <c r="L297" t="n">
        <v>6.002865</v>
      </c>
      <c r="M297" t="n">
        <v/>
      </c>
      <c r="N297" t="n">
        <v/>
      </c>
      <c r="O297" t="n">
        <v/>
      </c>
      <c r="P297" t="n">
        <v>0.1905543</v>
      </c>
      <c r="Q297" t="n">
        <v>0.03035572</v>
      </c>
      <c r="R297" t="n">
        <v/>
      </c>
      <c r="S297" t="n">
        <v/>
      </c>
      <c r="T297" t="n">
        <v/>
      </c>
      <c r="U297" t="n">
        <v/>
      </c>
      <c r="V297" t="n">
        <v>3.779214</v>
      </c>
      <c r="W297" t="n">
        <v/>
      </c>
      <c r="X297" t="n">
        <v/>
      </c>
      <c r="Y297" t="n">
        <v>0.9553970000000001</v>
      </c>
      <c r="Z297" t="n">
        <v/>
      </c>
      <c r="AA297" t="n">
        <v/>
      </c>
      <c r="AB297" t="n">
        <v>6.398395</v>
      </c>
      <c r="AC297" t="n">
        <v/>
      </c>
      <c r="AD297" t="n">
        <v>8.161825</v>
      </c>
      <c r="AE297" t="n">
        <v>0.5581419</v>
      </c>
    </row>
    <row r="298">
      <c r="A298" s="87" t="n">
        <v>27638</v>
      </c>
      <c r="B298" t="n">
        <v>1.706221</v>
      </c>
      <c r="C298" t="n">
        <v/>
      </c>
      <c r="D298" t="n">
        <v>4.446911</v>
      </c>
      <c r="E298" t="n">
        <v>14.03604</v>
      </c>
      <c r="F298" t="n">
        <v/>
      </c>
      <c r="G298" t="n">
        <v/>
      </c>
      <c r="H298" t="n">
        <v/>
      </c>
      <c r="I298" t="n">
        <v/>
      </c>
      <c r="J298" t="n">
        <v/>
      </c>
      <c r="K298" t="n">
        <v>5.79929</v>
      </c>
      <c r="L298" t="n">
        <v>6.078785</v>
      </c>
      <c r="M298" t="n">
        <v/>
      </c>
      <c r="N298" t="n">
        <v/>
      </c>
      <c r="O298" t="n">
        <v/>
      </c>
      <c r="P298" t="n">
        <v>0.1921577</v>
      </c>
      <c r="Q298" t="n">
        <v>0.03122363</v>
      </c>
      <c r="R298" t="n">
        <v/>
      </c>
      <c r="S298" t="n">
        <v/>
      </c>
      <c r="T298" t="n">
        <v/>
      </c>
      <c r="U298" t="n">
        <v/>
      </c>
      <c r="V298" t="n">
        <v>3.847359</v>
      </c>
      <c r="W298" t="n">
        <v/>
      </c>
      <c r="X298" t="n">
        <v/>
      </c>
      <c r="Y298" t="n">
        <v>0.9761226</v>
      </c>
      <c r="Z298" t="n">
        <v/>
      </c>
      <c r="AA298" t="n">
        <v/>
      </c>
      <c r="AB298" t="n">
        <v>6.467146</v>
      </c>
      <c r="AC298" t="n">
        <v/>
      </c>
      <c r="AD298" t="n">
        <v>8.231563</v>
      </c>
      <c r="AE298" t="n">
        <v>0.5654848</v>
      </c>
    </row>
    <row r="299">
      <c r="A299" s="87" t="n">
        <v>27668</v>
      </c>
      <c r="B299" t="n">
        <v>1.725833</v>
      </c>
      <c r="C299" t="n">
        <v/>
      </c>
      <c r="D299" t="n">
        <v>4.498554</v>
      </c>
      <c r="E299" t="n">
        <v>14.1507</v>
      </c>
      <c r="F299" t="n">
        <v/>
      </c>
      <c r="G299" t="n">
        <v/>
      </c>
      <c r="H299" t="n">
        <v/>
      </c>
      <c r="I299" t="n">
        <v/>
      </c>
      <c r="J299" t="n">
        <v/>
      </c>
      <c r="K299" t="n">
        <v>5.965448</v>
      </c>
      <c r="L299" t="n">
        <v>6.162722</v>
      </c>
      <c r="M299" t="n">
        <v/>
      </c>
      <c r="N299" t="n">
        <v/>
      </c>
      <c r="O299" t="n">
        <v/>
      </c>
      <c r="P299" t="n">
        <v>0.1943284</v>
      </c>
      <c r="Q299" t="n">
        <v>0.03171745</v>
      </c>
      <c r="R299" t="n">
        <v/>
      </c>
      <c r="S299" t="n">
        <v/>
      </c>
      <c r="T299" t="n">
        <v/>
      </c>
      <c r="U299" t="n">
        <v/>
      </c>
      <c r="V299" t="n">
        <v>3.897102</v>
      </c>
      <c r="W299" t="n">
        <v/>
      </c>
      <c r="X299" t="n">
        <v/>
      </c>
      <c r="Y299" t="n">
        <v>0.9881427</v>
      </c>
      <c r="Z299" t="n">
        <v/>
      </c>
      <c r="AA299" t="n">
        <v/>
      </c>
      <c r="AB299" t="n">
        <v>6.530608</v>
      </c>
      <c r="AC299" t="n">
        <v/>
      </c>
      <c r="AD299" t="n">
        <v>8.283867000000001</v>
      </c>
      <c r="AE299" t="n">
        <v>0.5720716</v>
      </c>
    </row>
    <row r="300">
      <c r="A300" s="87" t="n">
        <v>27699</v>
      </c>
      <c r="B300" t="n">
        <v>1.745444</v>
      </c>
      <c r="C300" t="n">
        <v/>
      </c>
      <c r="D300" t="n">
        <v>4.505895</v>
      </c>
      <c r="E300" t="n">
        <v>14.27473</v>
      </c>
      <c r="F300" t="n">
        <v/>
      </c>
      <c r="G300" t="n">
        <v/>
      </c>
      <c r="H300" t="n">
        <v/>
      </c>
      <c r="I300" t="n">
        <v/>
      </c>
      <c r="J300" t="n">
        <v/>
      </c>
      <c r="K300" t="n">
        <v>6.168248</v>
      </c>
      <c r="L300" t="n">
        <v>6.233926</v>
      </c>
      <c r="M300" t="n">
        <v/>
      </c>
      <c r="N300" t="n">
        <v/>
      </c>
      <c r="O300" t="n">
        <v/>
      </c>
      <c r="P300" t="n">
        <v>0.1967083</v>
      </c>
      <c r="Q300" t="n">
        <v>0.03229173</v>
      </c>
      <c r="R300" t="n">
        <v/>
      </c>
      <c r="S300" t="n">
        <v/>
      </c>
      <c r="T300" t="n">
        <v/>
      </c>
      <c r="U300" t="n">
        <v/>
      </c>
      <c r="V300" t="n">
        <v>3.929647</v>
      </c>
      <c r="W300" t="n">
        <v/>
      </c>
      <c r="X300" t="n">
        <v/>
      </c>
      <c r="Y300" t="n">
        <v>0.9998487</v>
      </c>
      <c r="Z300" t="n">
        <v/>
      </c>
      <c r="AA300" t="n">
        <v/>
      </c>
      <c r="AB300" t="n">
        <v>6.595116</v>
      </c>
      <c r="AC300" t="n">
        <v/>
      </c>
      <c r="AD300" t="n">
        <v>8.359416</v>
      </c>
      <c r="AE300" t="n">
        <v>0.5820985</v>
      </c>
    </row>
    <row r="301">
      <c r="A301" s="87" t="n">
        <v>27729</v>
      </c>
      <c r="B301" t="n">
        <v>1.765056</v>
      </c>
      <c r="C301" t="n">
        <v/>
      </c>
      <c r="D301" t="n">
        <v>4.615644</v>
      </c>
      <c r="E301" t="n">
        <v>14.42896</v>
      </c>
      <c r="F301" t="n">
        <v/>
      </c>
      <c r="G301" t="n">
        <v/>
      </c>
      <c r="H301" t="n">
        <v/>
      </c>
      <c r="I301" t="n">
        <v/>
      </c>
      <c r="J301" t="n">
        <v/>
      </c>
      <c r="K301" t="n">
        <v>6.260873</v>
      </c>
      <c r="L301" t="n">
        <v>6.311261</v>
      </c>
      <c r="M301" t="n">
        <v/>
      </c>
      <c r="N301" t="n">
        <v/>
      </c>
      <c r="O301" t="n">
        <v/>
      </c>
      <c r="P301" t="n">
        <v>0.1977529</v>
      </c>
      <c r="Q301" t="n">
        <v>0.03304794</v>
      </c>
      <c r="R301" t="n">
        <v/>
      </c>
      <c r="S301" t="n">
        <v/>
      </c>
      <c r="T301" t="n">
        <v/>
      </c>
      <c r="U301" t="n">
        <v/>
      </c>
      <c r="V301" t="n">
        <v>3.957046</v>
      </c>
      <c r="W301" t="n">
        <v/>
      </c>
      <c r="X301" t="n">
        <v/>
      </c>
      <c r="Y301" t="n">
        <v>1.021998</v>
      </c>
      <c r="Z301" t="n">
        <v/>
      </c>
      <c r="AA301" t="n">
        <v/>
      </c>
      <c r="AB301" t="n">
        <v>6.64643</v>
      </c>
      <c r="AC301" t="n">
        <v/>
      </c>
      <c r="AD301" t="n">
        <v>8.436624999999999</v>
      </c>
      <c r="AE301" t="n">
        <v>0.5915943</v>
      </c>
    </row>
    <row r="302">
      <c r="A302" s="87" t="n">
        <v>27760</v>
      </c>
      <c r="B302" t="n">
        <v>1.784668</v>
      </c>
      <c r="C302" t="n">
        <v/>
      </c>
      <c r="D302" t="n">
        <v>4.663979</v>
      </c>
      <c r="E302" t="n">
        <v>14.57349</v>
      </c>
      <c r="F302" t="n">
        <v/>
      </c>
      <c r="G302" t="n">
        <v/>
      </c>
      <c r="H302" t="n">
        <v/>
      </c>
      <c r="I302" t="n">
        <v/>
      </c>
      <c r="J302" t="n">
        <v/>
      </c>
      <c r="K302" t="n">
        <v>6.355097</v>
      </c>
      <c r="L302" t="n">
        <v>6.395197</v>
      </c>
      <c r="M302" t="n">
        <v/>
      </c>
      <c r="N302" t="n">
        <v/>
      </c>
      <c r="O302" t="n">
        <v/>
      </c>
      <c r="P302" t="n">
        <v>0.1996406</v>
      </c>
      <c r="Q302" t="n">
        <v>0.03393688</v>
      </c>
      <c r="R302" t="n">
        <v/>
      </c>
      <c r="S302" t="n">
        <v/>
      </c>
      <c r="T302" t="n">
        <v/>
      </c>
      <c r="U302" t="n">
        <v/>
      </c>
      <c r="V302" t="n">
        <v>4.007399</v>
      </c>
      <c r="W302" t="n">
        <v/>
      </c>
      <c r="X302" t="n">
        <v/>
      </c>
      <c r="Y302" t="n">
        <v>1.046865</v>
      </c>
      <c r="Z302" t="n">
        <v/>
      </c>
      <c r="AA302" t="n">
        <v/>
      </c>
      <c r="AB302" t="n">
        <v>6.703125</v>
      </c>
      <c r="AC302" t="n">
        <v/>
      </c>
      <c r="AD302" t="n">
        <v>8.522968000000001</v>
      </c>
      <c r="AE302" t="n">
        <v>0.5969309</v>
      </c>
    </row>
    <row r="303">
      <c r="A303" s="87" t="n">
        <v>27791</v>
      </c>
      <c r="B303" t="n">
        <v>1.793073</v>
      </c>
      <c r="C303" t="n">
        <v/>
      </c>
      <c r="D303" t="n">
        <v>4.747931</v>
      </c>
      <c r="E303" t="n">
        <v>14.6631</v>
      </c>
      <c r="F303" t="n">
        <v/>
      </c>
      <c r="G303" t="n">
        <v/>
      </c>
      <c r="H303" t="n">
        <v/>
      </c>
      <c r="I303" t="n">
        <v/>
      </c>
      <c r="J303" t="n">
        <v/>
      </c>
      <c r="K303" t="n">
        <v>6.540217</v>
      </c>
      <c r="L303" t="n">
        <v>6.463572</v>
      </c>
      <c r="M303" t="n">
        <v/>
      </c>
      <c r="N303" t="n">
        <v/>
      </c>
      <c r="O303" t="n">
        <v/>
      </c>
      <c r="P303" t="n">
        <v>0.203025</v>
      </c>
      <c r="Q303" t="n">
        <v>0.03481824</v>
      </c>
      <c r="R303" t="n">
        <v/>
      </c>
      <c r="S303" t="n">
        <v/>
      </c>
      <c r="T303" t="n">
        <v/>
      </c>
      <c r="U303" t="n">
        <v/>
      </c>
      <c r="V303" t="n">
        <v>4.07398</v>
      </c>
      <c r="W303" t="n">
        <v/>
      </c>
      <c r="X303" t="n">
        <v/>
      </c>
      <c r="Y303" t="n">
        <v>1.063436</v>
      </c>
      <c r="Z303" t="n">
        <v/>
      </c>
      <c r="AA303" t="n">
        <v/>
      </c>
      <c r="AB303" t="n">
        <v>6.7613</v>
      </c>
      <c r="AC303" t="n">
        <v/>
      </c>
      <c r="AD303" t="n">
        <v>8.636706999999999</v>
      </c>
      <c r="AE303" t="n">
        <v>0.6011030000000001</v>
      </c>
    </row>
    <row r="304">
      <c r="A304" s="87" t="n">
        <v>27820</v>
      </c>
      <c r="B304" t="n">
        <v>1.807081</v>
      </c>
      <c r="C304" t="n">
        <v/>
      </c>
      <c r="D304" t="n">
        <v>4.860523</v>
      </c>
      <c r="E304" t="n">
        <v>14.75816</v>
      </c>
      <c r="F304" t="n">
        <v/>
      </c>
      <c r="G304" t="n">
        <v/>
      </c>
      <c r="H304" t="n">
        <v/>
      </c>
      <c r="I304" t="n">
        <v/>
      </c>
      <c r="J304" t="n">
        <v/>
      </c>
      <c r="K304" t="n">
        <v>6.635415</v>
      </c>
      <c r="L304" t="n">
        <v>6.539021</v>
      </c>
      <c r="M304" t="n">
        <v/>
      </c>
      <c r="N304" t="n">
        <v/>
      </c>
      <c r="O304" t="n">
        <v/>
      </c>
      <c r="P304" t="n">
        <v>0.2057937</v>
      </c>
      <c r="Q304" t="n">
        <v>0.03527416</v>
      </c>
      <c r="R304" t="n">
        <v/>
      </c>
      <c r="S304" t="n">
        <v/>
      </c>
      <c r="T304" t="n">
        <v/>
      </c>
      <c r="U304" t="n">
        <v/>
      </c>
      <c r="V304" t="n">
        <v>4.119127</v>
      </c>
      <c r="W304" t="n">
        <v/>
      </c>
      <c r="X304" t="n">
        <v/>
      </c>
      <c r="Y304" t="n">
        <v>1.089449</v>
      </c>
      <c r="Z304" t="n">
        <v/>
      </c>
      <c r="AA304" t="n">
        <v/>
      </c>
      <c r="AB304" t="n">
        <v>6.803356</v>
      </c>
      <c r="AC304" t="n">
        <v/>
      </c>
      <c r="AD304" t="n">
        <v>8.717237000000001</v>
      </c>
      <c r="AE304" t="n">
        <v>0.6048126</v>
      </c>
    </row>
    <row r="305">
      <c r="A305" s="87" t="n">
        <v>27851</v>
      </c>
      <c r="B305" t="n">
        <v>1.829495</v>
      </c>
      <c r="C305" t="n">
        <v/>
      </c>
      <c r="D305" t="n">
        <v>4.971461</v>
      </c>
      <c r="E305" t="n">
        <v>14.86999</v>
      </c>
      <c r="F305" t="n">
        <v/>
      </c>
      <c r="G305" t="n">
        <v/>
      </c>
      <c r="H305" t="n">
        <v/>
      </c>
      <c r="I305" t="n">
        <v/>
      </c>
      <c r="J305" t="n">
        <v/>
      </c>
      <c r="K305" t="n">
        <v>6.644436</v>
      </c>
      <c r="L305" t="n">
        <v>6.622957</v>
      </c>
      <c r="M305" t="n">
        <v/>
      </c>
      <c r="N305" t="n">
        <v/>
      </c>
      <c r="O305" t="n">
        <v/>
      </c>
      <c r="P305" t="n">
        <v>0.2086842</v>
      </c>
      <c r="Q305" t="n">
        <v>0.03558265</v>
      </c>
      <c r="R305" t="n">
        <v/>
      </c>
      <c r="S305" t="n">
        <v/>
      </c>
      <c r="T305" t="n">
        <v/>
      </c>
      <c r="U305" t="n">
        <v/>
      </c>
      <c r="V305" t="n">
        <v>4.178306</v>
      </c>
      <c r="W305" t="n">
        <v/>
      </c>
      <c r="X305" t="n">
        <v/>
      </c>
      <c r="Y305" t="n">
        <v>1.114598</v>
      </c>
      <c r="Z305" t="n">
        <v/>
      </c>
      <c r="AA305" t="n">
        <v/>
      </c>
      <c r="AB305" t="n">
        <v>6.850328</v>
      </c>
      <c r="AC305" t="n">
        <v/>
      </c>
      <c r="AD305" t="n">
        <v>8.806901</v>
      </c>
      <c r="AE305" t="n">
        <v>0.6095657</v>
      </c>
    </row>
    <row r="306">
      <c r="A306" s="87" t="n">
        <v>27881</v>
      </c>
      <c r="B306" t="n">
        <v>1.849106</v>
      </c>
      <c r="C306" t="n">
        <v/>
      </c>
      <c r="D306" t="n">
        <v>5.061306</v>
      </c>
      <c r="E306" t="n">
        <v>14.97152</v>
      </c>
      <c r="F306" t="n">
        <v/>
      </c>
      <c r="G306" t="n">
        <v/>
      </c>
      <c r="H306" t="n">
        <v/>
      </c>
      <c r="I306" t="n">
        <v/>
      </c>
      <c r="J306" t="n">
        <v/>
      </c>
      <c r="K306" t="n">
        <v>6.719182</v>
      </c>
      <c r="L306" t="n">
        <v>6.69369</v>
      </c>
      <c r="M306" t="n">
        <v/>
      </c>
      <c r="N306" t="n">
        <v/>
      </c>
      <c r="O306" t="n">
        <v/>
      </c>
      <c r="P306" t="n">
        <v>0.2126274</v>
      </c>
      <c r="Q306" t="n">
        <v>0.03660999</v>
      </c>
      <c r="R306" t="n">
        <v/>
      </c>
      <c r="S306" t="n">
        <v/>
      </c>
      <c r="T306" t="n">
        <v/>
      </c>
      <c r="U306" t="n">
        <v/>
      </c>
      <c r="V306" t="n">
        <v>4.240266</v>
      </c>
      <c r="W306" t="n">
        <v/>
      </c>
      <c r="X306" t="n">
        <v/>
      </c>
      <c r="Y306" t="n">
        <v>1.139137</v>
      </c>
      <c r="Z306" t="n">
        <v/>
      </c>
      <c r="AA306" t="n">
        <v/>
      </c>
      <c r="AB306" t="n">
        <v>6.907081</v>
      </c>
      <c r="AC306" t="n">
        <v/>
      </c>
      <c r="AD306" t="n">
        <v>8.900715</v>
      </c>
      <c r="AE306" t="n">
        <v>0.6139775</v>
      </c>
    </row>
    <row r="307">
      <c r="A307" s="87" t="n">
        <v>27912</v>
      </c>
      <c r="B307" t="n">
        <v>1.868718</v>
      </c>
      <c r="C307" t="n">
        <v/>
      </c>
      <c r="D307" t="n">
        <v>5.120446</v>
      </c>
      <c r="E307" t="n">
        <v>15.05297</v>
      </c>
      <c r="F307" t="n">
        <v/>
      </c>
      <c r="G307" t="n">
        <v/>
      </c>
      <c r="H307" t="n">
        <v/>
      </c>
      <c r="I307" t="n">
        <v/>
      </c>
      <c r="J307" t="n">
        <v/>
      </c>
      <c r="K307" t="n">
        <v>6.767349</v>
      </c>
      <c r="L307" t="n">
        <v>6.775269</v>
      </c>
      <c r="M307" t="n">
        <v/>
      </c>
      <c r="N307" t="n">
        <v/>
      </c>
      <c r="O307" t="n">
        <v/>
      </c>
      <c r="P307" t="n">
        <v>0.2164844</v>
      </c>
      <c r="Q307" t="n">
        <v>0.03798544</v>
      </c>
      <c r="R307" t="n">
        <v/>
      </c>
      <c r="S307" t="n">
        <v/>
      </c>
      <c r="T307" t="n">
        <v/>
      </c>
      <c r="U307" t="n">
        <v/>
      </c>
      <c r="V307" t="n">
        <v>4.297476</v>
      </c>
      <c r="W307" t="n">
        <v/>
      </c>
      <c r="X307" t="n">
        <v/>
      </c>
      <c r="Y307" t="n">
        <v>1.165482</v>
      </c>
      <c r="Z307" t="n">
        <v/>
      </c>
      <c r="AA307" t="n">
        <v/>
      </c>
      <c r="AB307" t="n">
        <v>6.953247</v>
      </c>
      <c r="AC307" t="n">
        <v/>
      </c>
      <c r="AD307" t="n">
        <v>8.946377</v>
      </c>
      <c r="AE307" t="n">
        <v>0.6198959000000001</v>
      </c>
    </row>
    <row r="308">
      <c r="A308" s="87" t="n">
        <v>27942</v>
      </c>
      <c r="B308" t="n">
        <v>1.88833</v>
      </c>
      <c r="C308" t="n">
        <v/>
      </c>
      <c r="D308" t="n">
        <v>5.185944</v>
      </c>
      <c r="E308" t="n">
        <v>15.14314</v>
      </c>
      <c r="F308" t="n">
        <v/>
      </c>
      <c r="G308" t="n">
        <v/>
      </c>
      <c r="H308" t="n">
        <v/>
      </c>
      <c r="I308" t="n">
        <v/>
      </c>
      <c r="J308" t="n">
        <v/>
      </c>
      <c r="K308" t="n">
        <v>6.813318</v>
      </c>
      <c r="L308" t="n">
        <v>6.856847</v>
      </c>
      <c r="M308" t="n">
        <v/>
      </c>
      <c r="N308" t="n">
        <v/>
      </c>
      <c r="O308" t="n">
        <v/>
      </c>
      <c r="P308" t="n">
        <v>0.2201387</v>
      </c>
      <c r="Q308" t="n">
        <v>0.03954473</v>
      </c>
      <c r="R308" t="n">
        <v/>
      </c>
      <c r="S308" t="n">
        <v/>
      </c>
      <c r="T308" t="n">
        <v/>
      </c>
      <c r="U308" t="n">
        <v/>
      </c>
      <c r="V308" t="n">
        <v>4.359907</v>
      </c>
      <c r="W308" t="n">
        <v/>
      </c>
      <c r="X308" t="n">
        <v/>
      </c>
      <c r="Y308" t="n">
        <v>1.185736</v>
      </c>
      <c r="Z308" t="n">
        <v/>
      </c>
      <c r="AA308" t="n">
        <v/>
      </c>
      <c r="AB308" t="n">
        <v>6.987827</v>
      </c>
      <c r="AC308" t="n">
        <v/>
      </c>
      <c r="AD308" t="n">
        <v>9.018605000000001</v>
      </c>
      <c r="AE308" t="n">
        <v>0.625509</v>
      </c>
    </row>
    <row r="309">
      <c r="A309" s="87" t="n">
        <v>27973</v>
      </c>
      <c r="B309" t="n">
        <v>2.036819</v>
      </c>
      <c r="C309" t="n">
        <v/>
      </c>
      <c r="D309" t="n">
        <v>5.287007</v>
      </c>
      <c r="E309" t="n">
        <v>15.2397</v>
      </c>
      <c r="F309" t="n">
        <v/>
      </c>
      <c r="G309" t="n">
        <v/>
      </c>
      <c r="H309" t="n">
        <v/>
      </c>
      <c r="I309" t="n">
        <v/>
      </c>
      <c r="J309" t="n">
        <v/>
      </c>
      <c r="K309" t="n">
        <v>6.856611</v>
      </c>
      <c r="L309" t="n">
        <v>6.925222</v>
      </c>
      <c r="M309" t="n">
        <v/>
      </c>
      <c r="N309" t="n">
        <v/>
      </c>
      <c r="O309" t="n">
        <v/>
      </c>
      <c r="P309" t="n">
        <v>0.2243882</v>
      </c>
      <c r="Q309" t="n">
        <v>0.04079017</v>
      </c>
      <c r="R309" t="n">
        <v/>
      </c>
      <c r="S309" t="n">
        <v/>
      </c>
      <c r="T309" t="n">
        <v/>
      </c>
      <c r="U309" t="n">
        <v/>
      </c>
      <c r="V309" t="n">
        <v>4.404839</v>
      </c>
      <c r="W309" t="n">
        <v/>
      </c>
      <c r="X309" t="n">
        <v/>
      </c>
      <c r="Y309" t="n">
        <v>1.202319</v>
      </c>
      <c r="Z309" t="n">
        <v/>
      </c>
      <c r="AA309" t="n">
        <v/>
      </c>
      <c r="AB309" t="n">
        <v>7.028236</v>
      </c>
      <c r="AC309" t="n">
        <v/>
      </c>
      <c r="AD309" t="n">
        <v>9.121551999999999</v>
      </c>
      <c r="AE309" t="n">
        <v>0.6290399</v>
      </c>
    </row>
    <row r="310">
      <c r="A310" s="87" t="n">
        <v>28004</v>
      </c>
      <c r="B310" t="n">
        <v>2.188109</v>
      </c>
      <c r="C310" t="n">
        <v/>
      </c>
      <c r="D310" t="n">
        <v>5.288041</v>
      </c>
      <c r="E310" t="n">
        <v>15.3076</v>
      </c>
      <c r="F310" t="n">
        <v/>
      </c>
      <c r="G310" t="n">
        <v/>
      </c>
      <c r="H310" t="n">
        <v/>
      </c>
      <c r="I310" t="n">
        <v/>
      </c>
      <c r="J310" t="n">
        <v/>
      </c>
      <c r="K310" t="n">
        <v>6.854707</v>
      </c>
      <c r="L310" t="n">
        <v>7.001142</v>
      </c>
      <c r="M310" t="n">
        <v/>
      </c>
      <c r="N310" t="n">
        <v/>
      </c>
      <c r="O310" t="n">
        <v/>
      </c>
      <c r="P310" t="n">
        <v>0.2290839</v>
      </c>
      <c r="Q310" t="n">
        <v>0.04157753</v>
      </c>
      <c r="R310" t="n">
        <v/>
      </c>
      <c r="S310" t="n">
        <v/>
      </c>
      <c r="T310" t="n">
        <v/>
      </c>
      <c r="U310" t="n">
        <v/>
      </c>
      <c r="V310" t="n">
        <v>4.432706</v>
      </c>
      <c r="W310" t="n">
        <v/>
      </c>
      <c r="X310" t="n">
        <v/>
      </c>
      <c r="Y310" t="n">
        <v>1.217214</v>
      </c>
      <c r="Z310" t="n">
        <v/>
      </c>
      <c r="AA310" t="n">
        <v/>
      </c>
      <c r="AB310" t="n">
        <v>7.075679</v>
      </c>
      <c r="AC310" t="n">
        <v/>
      </c>
      <c r="AD310" t="n">
        <v>9.222008000000001</v>
      </c>
      <c r="AE310" t="n">
        <v>0.6350414</v>
      </c>
    </row>
    <row r="311">
      <c r="A311" s="87" t="n">
        <v>28034</v>
      </c>
      <c r="B311" t="n">
        <v>2.207721</v>
      </c>
      <c r="C311" t="n">
        <v/>
      </c>
      <c r="D311" t="n">
        <v>5.396084</v>
      </c>
      <c r="E311" t="n">
        <v>15.36499</v>
      </c>
      <c r="F311" t="n">
        <v/>
      </c>
      <c r="G311" t="n">
        <v/>
      </c>
      <c r="H311" t="n">
        <v/>
      </c>
      <c r="I311" t="n">
        <v/>
      </c>
      <c r="J311" t="n">
        <v/>
      </c>
      <c r="K311" t="n">
        <v>6.864598</v>
      </c>
      <c r="L311" t="n">
        <v>7.075647</v>
      </c>
      <c r="M311" t="n">
        <v/>
      </c>
      <c r="N311" t="n">
        <v/>
      </c>
      <c r="O311" t="n">
        <v/>
      </c>
      <c r="P311" t="n">
        <v>0.2337192</v>
      </c>
      <c r="Q311" t="n">
        <v>0.04239818</v>
      </c>
      <c r="R311" t="n">
        <v/>
      </c>
      <c r="S311" t="n">
        <v/>
      </c>
      <c r="T311" t="n">
        <v/>
      </c>
      <c r="U311" t="n">
        <v/>
      </c>
      <c r="V311" t="n">
        <v>4.486518</v>
      </c>
      <c r="W311" t="n">
        <v/>
      </c>
      <c r="X311" t="n">
        <v/>
      </c>
      <c r="Y311" t="n">
        <v>1.235544</v>
      </c>
      <c r="Z311" t="n">
        <v/>
      </c>
      <c r="AA311" t="n">
        <v/>
      </c>
      <c r="AB311" t="n">
        <v>7.107671</v>
      </c>
      <c r="AC311" t="n">
        <v/>
      </c>
      <c r="AD311" t="n">
        <v>9.339897000000001</v>
      </c>
      <c r="AE311" t="n">
        <v>0.6417485000000001</v>
      </c>
    </row>
    <row r="312">
      <c r="A312" s="87" t="n">
        <v>28065</v>
      </c>
      <c r="B312" t="n">
        <v>2.227333</v>
      </c>
      <c r="C312" t="n">
        <v/>
      </c>
      <c r="D312" t="n">
        <v>5.463029</v>
      </c>
      <c r="E312" t="n">
        <v>15.43212</v>
      </c>
      <c r="F312" t="n">
        <v/>
      </c>
      <c r="G312" t="n">
        <v/>
      </c>
      <c r="H312" t="n">
        <v/>
      </c>
      <c r="I312" t="n">
        <v/>
      </c>
      <c r="J312" t="n">
        <v/>
      </c>
      <c r="K312" t="n">
        <v>6.90483</v>
      </c>
      <c r="L312" t="n">
        <v>7.145909</v>
      </c>
      <c r="M312" t="n">
        <v/>
      </c>
      <c r="N312" t="n">
        <v/>
      </c>
      <c r="O312" t="n">
        <v/>
      </c>
      <c r="P312" t="n">
        <v>0.2374978</v>
      </c>
      <c r="Q312" t="n">
        <v>0.04309634</v>
      </c>
      <c r="R312" t="n">
        <v/>
      </c>
      <c r="S312" t="n">
        <v/>
      </c>
      <c r="T312" t="n">
        <v/>
      </c>
      <c r="U312" t="n">
        <v/>
      </c>
      <c r="V312" t="n">
        <v>4.555447</v>
      </c>
      <c r="W312" t="n">
        <v/>
      </c>
      <c r="X312" t="n">
        <v/>
      </c>
      <c r="Y312" t="n">
        <v>1.256788</v>
      </c>
      <c r="Z312" t="n">
        <v/>
      </c>
      <c r="AA312" t="n">
        <v/>
      </c>
      <c r="AB312" t="n">
        <v>7.11022</v>
      </c>
      <c r="AC312" t="n">
        <v/>
      </c>
      <c r="AD312" t="n">
        <v>9.449486</v>
      </c>
      <c r="AE312" t="n">
        <v>0.6463628</v>
      </c>
    </row>
    <row r="313">
      <c r="A313" s="87" t="n">
        <v>28095</v>
      </c>
      <c r="B313" t="n">
        <v>2.260953</v>
      </c>
      <c r="C313" t="n">
        <v/>
      </c>
      <c r="D313" t="n">
        <v>5.540468</v>
      </c>
      <c r="E313" t="n">
        <v>15.56438</v>
      </c>
      <c r="F313" t="n">
        <v/>
      </c>
      <c r="G313" t="n">
        <v/>
      </c>
      <c r="H313" t="n">
        <v/>
      </c>
      <c r="I313" t="n">
        <v/>
      </c>
      <c r="J313" t="n">
        <v/>
      </c>
      <c r="K313" t="n">
        <v>6.965141</v>
      </c>
      <c r="L313" t="n">
        <v>7.200609</v>
      </c>
      <c r="M313" t="n">
        <v/>
      </c>
      <c r="N313" t="n">
        <v/>
      </c>
      <c r="O313" t="n">
        <v/>
      </c>
      <c r="P313" t="n">
        <v>0.2422626</v>
      </c>
      <c r="Q313" t="n">
        <v>0.04388583</v>
      </c>
      <c r="R313" t="n">
        <v/>
      </c>
      <c r="S313" t="n">
        <v/>
      </c>
      <c r="T313" t="n">
        <v/>
      </c>
      <c r="U313" t="n">
        <v/>
      </c>
      <c r="V313" t="n">
        <v>4.620019</v>
      </c>
      <c r="W313" t="n">
        <v/>
      </c>
      <c r="X313" t="n">
        <v/>
      </c>
      <c r="Y313" t="n">
        <v>1.280648</v>
      </c>
      <c r="Z313" t="n">
        <v/>
      </c>
      <c r="AA313" t="n">
        <v/>
      </c>
      <c r="AB313" t="n">
        <v>7.042789</v>
      </c>
      <c r="AC313" t="n">
        <v/>
      </c>
      <c r="AD313" t="n">
        <v>9.564055</v>
      </c>
      <c r="AE313" t="n">
        <v>0.6489388</v>
      </c>
    </row>
    <row r="314">
      <c r="A314" s="87" t="n">
        <v>28126</v>
      </c>
      <c r="B314" t="n">
        <v>2.291771</v>
      </c>
      <c r="C314" t="n">
        <v/>
      </c>
      <c r="D314" t="n">
        <v>5.612583</v>
      </c>
      <c r="E314" t="n">
        <v>15.72701</v>
      </c>
      <c r="F314" t="n">
        <v/>
      </c>
      <c r="G314" t="n">
        <v/>
      </c>
      <c r="H314" t="n">
        <v/>
      </c>
      <c r="I314" t="n">
        <v/>
      </c>
      <c r="J314" t="n">
        <v/>
      </c>
      <c r="K314" t="n">
        <v>7.042852</v>
      </c>
      <c r="L314" t="n">
        <v>7.262382</v>
      </c>
      <c r="M314" t="n">
        <v/>
      </c>
      <c r="N314" t="n">
        <v/>
      </c>
      <c r="O314" t="n">
        <v/>
      </c>
      <c r="P314" t="n">
        <v>0.2458972</v>
      </c>
      <c r="Q314" t="n">
        <v>0.04504865</v>
      </c>
      <c r="R314" t="n">
        <v/>
      </c>
      <c r="S314" t="n">
        <v/>
      </c>
      <c r="T314" t="n">
        <v/>
      </c>
      <c r="U314" t="n">
        <v/>
      </c>
      <c r="V314" t="n">
        <v>4.692544</v>
      </c>
      <c r="W314" t="n">
        <v/>
      </c>
      <c r="X314" t="n">
        <v/>
      </c>
      <c r="Y314" t="n">
        <v>1.303677</v>
      </c>
      <c r="Z314" t="n">
        <v/>
      </c>
      <c r="AA314" t="n">
        <v/>
      </c>
      <c r="AB314" t="n">
        <v>7.053965</v>
      </c>
      <c r="AC314" t="n">
        <v/>
      </c>
      <c r="AD314" t="n">
        <v>9.673643</v>
      </c>
      <c r="AE314" t="n">
        <v>0.6514621</v>
      </c>
    </row>
    <row r="315">
      <c r="A315" s="87" t="n">
        <v>28157</v>
      </c>
      <c r="B315" t="n">
        <v>2.319788</v>
      </c>
      <c r="C315" t="n">
        <v/>
      </c>
      <c r="D315" t="n">
        <v>5.676633</v>
      </c>
      <c r="E315" t="n">
        <v>15.82846</v>
      </c>
      <c r="F315" t="n">
        <v/>
      </c>
      <c r="G315" t="n">
        <v/>
      </c>
      <c r="H315" t="n">
        <v/>
      </c>
      <c r="I315" t="n">
        <v/>
      </c>
      <c r="J315" t="n">
        <v/>
      </c>
      <c r="K315" t="n">
        <v>7.112787</v>
      </c>
      <c r="L315" t="n">
        <v>7.338302</v>
      </c>
      <c r="M315" t="n">
        <v/>
      </c>
      <c r="N315" t="n">
        <v/>
      </c>
      <c r="O315" t="n">
        <v/>
      </c>
      <c r="P315" t="n">
        <v>0.2478398</v>
      </c>
      <c r="Q315" t="n">
        <v>0.04658079</v>
      </c>
      <c r="R315" t="n">
        <v/>
      </c>
      <c r="S315" t="n">
        <v/>
      </c>
      <c r="T315" t="n">
        <v/>
      </c>
      <c r="U315" t="n">
        <v/>
      </c>
      <c r="V315" t="n">
        <v>4.752344</v>
      </c>
      <c r="W315" t="n">
        <v/>
      </c>
      <c r="X315" t="n">
        <v/>
      </c>
      <c r="Y315" t="n">
        <v>1.448464</v>
      </c>
      <c r="Z315" t="n">
        <v/>
      </c>
      <c r="AA315" t="n">
        <v/>
      </c>
      <c r="AB315" t="n">
        <v>7.143676</v>
      </c>
      <c r="AC315" t="n">
        <v/>
      </c>
      <c r="AD315" t="n">
        <v>9.776589</v>
      </c>
      <c r="AE315" t="n">
        <v>0.6536189</v>
      </c>
    </row>
    <row r="316">
      <c r="A316" s="87" t="n">
        <v>28185</v>
      </c>
      <c r="B316" t="n">
        <v>2.347805</v>
      </c>
      <c r="C316" t="n">
        <v/>
      </c>
      <c r="D316" t="n">
        <v>5.755933</v>
      </c>
      <c r="E316" t="n">
        <v>15.91031</v>
      </c>
      <c r="F316" t="n">
        <v/>
      </c>
      <c r="G316" t="n">
        <v/>
      </c>
      <c r="H316" t="n">
        <v/>
      </c>
      <c r="I316" t="n">
        <v/>
      </c>
      <c r="J316" t="n">
        <v/>
      </c>
      <c r="K316" t="n">
        <v>7.16076</v>
      </c>
      <c r="L316" t="n">
        <v>7.418938</v>
      </c>
      <c r="M316" t="n">
        <v/>
      </c>
      <c r="N316" t="n">
        <v/>
      </c>
      <c r="O316" t="n">
        <v/>
      </c>
      <c r="P316" t="n">
        <v>0.2523594</v>
      </c>
      <c r="Q316" t="n">
        <v>0.04839224</v>
      </c>
      <c r="R316" t="n">
        <v/>
      </c>
      <c r="S316" t="n">
        <v/>
      </c>
      <c r="T316" t="n">
        <v/>
      </c>
      <c r="U316" t="n">
        <v/>
      </c>
      <c r="V316" t="n">
        <v>4.862486</v>
      </c>
      <c r="W316" t="n">
        <v>1.5</v>
      </c>
      <c r="X316" t="n">
        <v/>
      </c>
      <c r="Y316" t="n">
        <v>1.467177</v>
      </c>
      <c r="Z316" t="n">
        <v/>
      </c>
      <c r="AA316" t="n">
        <v/>
      </c>
      <c r="AB316" t="n">
        <v>7.180856</v>
      </c>
      <c r="AC316" t="n">
        <v/>
      </c>
      <c r="AD316" t="n">
        <v>9.867082999999999</v>
      </c>
      <c r="AE316" t="n">
        <v>0.6577518</v>
      </c>
    </row>
    <row r="317">
      <c r="A317" s="87" t="n">
        <v>28216</v>
      </c>
      <c r="B317" t="n">
        <v>2.359011</v>
      </c>
      <c r="C317" t="n">
        <v/>
      </c>
      <c r="D317" t="n">
        <v>5.828823</v>
      </c>
      <c r="E317" t="n">
        <v>16.02247</v>
      </c>
      <c r="F317" t="n">
        <v/>
      </c>
      <c r="G317" t="n">
        <v/>
      </c>
      <c r="H317" t="n">
        <v/>
      </c>
      <c r="I317" t="n">
        <v/>
      </c>
      <c r="J317" t="n">
        <v/>
      </c>
      <c r="K317" t="n">
        <v>7.227644</v>
      </c>
      <c r="L317" t="n">
        <v>7.502403</v>
      </c>
      <c r="M317" t="n">
        <v/>
      </c>
      <c r="N317" t="n">
        <v/>
      </c>
      <c r="O317" t="n">
        <v/>
      </c>
      <c r="P317" t="n">
        <v>0.2569612</v>
      </c>
      <c r="Q317" t="n">
        <v>0.04997462</v>
      </c>
      <c r="R317" t="n">
        <v/>
      </c>
      <c r="S317" t="n">
        <v/>
      </c>
      <c r="T317" t="n">
        <v/>
      </c>
      <c r="U317" t="n">
        <v/>
      </c>
      <c r="V317" t="n">
        <v>4.946805</v>
      </c>
      <c r="W317" t="n">
        <v>1.027579</v>
      </c>
      <c r="X317" t="n">
        <v/>
      </c>
      <c r="Y317" t="n">
        <v>1.491002</v>
      </c>
      <c r="Z317" t="n">
        <v/>
      </c>
      <c r="AA317" t="n">
        <v/>
      </c>
      <c r="AB317" t="n">
        <v>7.216521</v>
      </c>
      <c r="AC317" t="n">
        <v/>
      </c>
      <c r="AD317" t="n">
        <v>9.959236000000001</v>
      </c>
      <c r="AE317" t="n">
        <v>0.6643974</v>
      </c>
    </row>
    <row r="318">
      <c r="A318" s="87" t="n">
        <v>28246</v>
      </c>
      <c r="B318" t="n">
        <v>2.37302</v>
      </c>
      <c r="C318" t="n">
        <v/>
      </c>
      <c r="D318" t="n">
        <v>5.965763</v>
      </c>
      <c r="E318" t="n">
        <v>16.17413</v>
      </c>
      <c r="F318" t="n">
        <v/>
      </c>
      <c r="G318" t="n">
        <v/>
      </c>
      <c r="H318" t="n">
        <v/>
      </c>
      <c r="I318" t="n">
        <v/>
      </c>
      <c r="J318" t="n">
        <v/>
      </c>
      <c r="K318" t="n">
        <v>7.321764</v>
      </c>
      <c r="L318" t="n">
        <v>7.584453</v>
      </c>
      <c r="M318" t="n">
        <v/>
      </c>
      <c r="N318" t="n">
        <v/>
      </c>
      <c r="O318" t="n">
        <v/>
      </c>
      <c r="P318" t="n">
        <v>0.2600694</v>
      </c>
      <c r="Q318" t="n">
        <v>0.05170248</v>
      </c>
      <c r="R318" t="n">
        <v/>
      </c>
      <c r="S318" t="n">
        <v/>
      </c>
      <c r="T318" t="n">
        <v/>
      </c>
      <c r="U318" t="n">
        <v/>
      </c>
      <c r="V318" t="n">
        <v>4.961606</v>
      </c>
      <c r="W318" t="n">
        <v>1.060704</v>
      </c>
      <c r="X318" t="n">
        <v/>
      </c>
      <c r="Y318" t="n">
        <v>1.514839</v>
      </c>
      <c r="Z318" t="n">
        <v/>
      </c>
      <c r="AA318" t="n">
        <v/>
      </c>
      <c r="AB318" t="n">
        <v>7.241634</v>
      </c>
      <c r="AC318" t="n">
        <v/>
      </c>
      <c r="AD318" t="n">
        <v>10.03728</v>
      </c>
      <c r="AE318" t="n">
        <v>0.6734314</v>
      </c>
    </row>
    <row r="319">
      <c r="A319" s="87" t="n">
        <v>28277</v>
      </c>
      <c r="B319" t="n">
        <v>2.395433</v>
      </c>
      <c r="C319" t="n">
        <v/>
      </c>
      <c r="D319" t="n">
        <v>5.961576</v>
      </c>
      <c r="E319" t="n">
        <v>16.3581</v>
      </c>
      <c r="F319" t="n">
        <v/>
      </c>
      <c r="G319" t="n">
        <v/>
      </c>
      <c r="H319" t="n">
        <v/>
      </c>
      <c r="I319" t="n">
        <v/>
      </c>
      <c r="J319" t="n">
        <v/>
      </c>
      <c r="K319" t="n">
        <v>7.369443</v>
      </c>
      <c r="L319" t="n">
        <v>7.657072</v>
      </c>
      <c r="M319" t="n">
        <v/>
      </c>
      <c r="N319" t="n">
        <v/>
      </c>
      <c r="O319" t="n">
        <v/>
      </c>
      <c r="P319" t="n">
        <v>0.2630472</v>
      </c>
      <c r="Q319" t="n">
        <v>0.05294431</v>
      </c>
      <c r="R319" t="n">
        <v/>
      </c>
      <c r="S319" t="n">
        <v/>
      </c>
      <c r="T319" t="n">
        <v/>
      </c>
      <c r="U319" t="n">
        <v/>
      </c>
      <c r="V319" t="n">
        <v>5.030513</v>
      </c>
      <c r="W319" t="n">
        <v>1.06745</v>
      </c>
      <c r="X319" t="n">
        <v/>
      </c>
      <c r="Y319" t="n">
        <v>1.535276</v>
      </c>
      <c r="Z319" t="n">
        <v/>
      </c>
      <c r="AA319" t="n">
        <v/>
      </c>
      <c r="AB319" t="n">
        <v>7.248706</v>
      </c>
      <c r="AC319" t="n">
        <v/>
      </c>
      <c r="AD319" t="n">
        <v>10.11034</v>
      </c>
      <c r="AE319" t="n">
        <v>0.6838273</v>
      </c>
    </row>
    <row r="320">
      <c r="A320" s="87" t="n">
        <v>28307</v>
      </c>
      <c r="B320" t="n">
        <v>2.40664</v>
      </c>
      <c r="C320" t="n">
        <v/>
      </c>
      <c r="D320" t="n">
        <v>6.02971</v>
      </c>
      <c r="E320" t="n">
        <v>16.51679</v>
      </c>
      <c r="F320" t="n">
        <v/>
      </c>
      <c r="G320" t="n">
        <v/>
      </c>
      <c r="H320" t="n">
        <v/>
      </c>
      <c r="I320" t="n">
        <v/>
      </c>
      <c r="J320" t="n">
        <v/>
      </c>
      <c r="K320" t="n">
        <v>7.379846</v>
      </c>
      <c r="L320" t="n">
        <v>7.744309</v>
      </c>
      <c r="M320" t="n">
        <v/>
      </c>
      <c r="N320" t="n">
        <v/>
      </c>
      <c r="O320" t="n">
        <v/>
      </c>
      <c r="P320" t="n">
        <v>0.2662847</v>
      </c>
      <c r="Q320" t="n">
        <v>0.0536682</v>
      </c>
      <c r="R320" t="n">
        <v/>
      </c>
      <c r="S320" t="n">
        <v/>
      </c>
      <c r="T320" t="n">
        <v/>
      </c>
      <c r="U320" t="n">
        <v/>
      </c>
      <c r="V320" t="n">
        <v>5.111448</v>
      </c>
      <c r="W320" t="n">
        <v>1.076854</v>
      </c>
      <c r="X320" t="n">
        <v/>
      </c>
      <c r="Y320" t="n">
        <v>1.563287</v>
      </c>
      <c r="Z320" t="n">
        <v/>
      </c>
      <c r="AA320" t="n">
        <v/>
      </c>
      <c r="AB320" t="n">
        <v>7.294525</v>
      </c>
      <c r="AC320" t="n">
        <v/>
      </c>
      <c r="AD320" t="n">
        <v>10.18422</v>
      </c>
      <c r="AE320" t="n">
        <v>0.6873771</v>
      </c>
    </row>
    <row r="321">
      <c r="A321" s="87" t="n">
        <v>28338</v>
      </c>
      <c r="B321" t="n">
        <v>2.412243</v>
      </c>
      <c r="C321" t="n">
        <v/>
      </c>
      <c r="D321" t="n">
        <v>6.113301</v>
      </c>
      <c r="E321" t="n">
        <v>16.63579</v>
      </c>
      <c r="F321" t="n">
        <v/>
      </c>
      <c r="G321" t="n">
        <v/>
      </c>
      <c r="H321" t="n">
        <v/>
      </c>
      <c r="I321" t="n">
        <v/>
      </c>
      <c r="J321" t="n">
        <v/>
      </c>
      <c r="K321" t="n">
        <v>7.426987</v>
      </c>
      <c r="L321" t="n">
        <v>7.83862</v>
      </c>
      <c r="M321" t="n">
        <v/>
      </c>
      <c r="N321" t="n">
        <v/>
      </c>
      <c r="O321" t="n">
        <v/>
      </c>
      <c r="P321" t="n">
        <v>0.2703209</v>
      </c>
      <c r="Q321" t="n">
        <v>0.0545656</v>
      </c>
      <c r="R321" t="n">
        <v/>
      </c>
      <c r="S321" t="n">
        <v/>
      </c>
      <c r="T321" t="n">
        <v/>
      </c>
      <c r="U321" t="n">
        <v/>
      </c>
      <c r="V321" t="n">
        <v>5.187503</v>
      </c>
      <c r="W321" t="n">
        <v>1.103616</v>
      </c>
      <c r="X321" t="n">
        <v/>
      </c>
      <c r="Y321" t="n">
        <v>1.591933</v>
      </c>
      <c r="Z321" t="n">
        <v/>
      </c>
      <c r="AA321" t="n">
        <v/>
      </c>
      <c r="AB321" t="n">
        <v>7.348556</v>
      </c>
      <c r="AC321" t="n">
        <v/>
      </c>
      <c r="AD321" t="n">
        <v>10.26974</v>
      </c>
      <c r="AE321" t="n">
        <v>0.6887984</v>
      </c>
    </row>
    <row r="322">
      <c r="A322" s="87" t="n">
        <v>28369</v>
      </c>
      <c r="B322" t="n">
        <v>2.417847</v>
      </c>
      <c r="C322" t="n">
        <v/>
      </c>
      <c r="D322" t="n">
        <v>6.209247</v>
      </c>
      <c r="E322" t="n">
        <v>16.75775</v>
      </c>
      <c r="F322" t="n">
        <v/>
      </c>
      <c r="G322" t="n">
        <v/>
      </c>
      <c r="H322" t="n">
        <v/>
      </c>
      <c r="I322" t="n">
        <v/>
      </c>
      <c r="J322" t="n">
        <v/>
      </c>
      <c r="K322" t="n">
        <v>7.503331</v>
      </c>
      <c r="L322" t="n">
        <v>7.918312</v>
      </c>
      <c r="M322" t="n">
        <v/>
      </c>
      <c r="N322" t="n">
        <v/>
      </c>
      <c r="O322" t="n">
        <v/>
      </c>
      <c r="P322" t="n">
        <v>0.2747163</v>
      </c>
      <c r="Q322" t="n">
        <v>0.05596242</v>
      </c>
      <c r="R322" t="n">
        <v/>
      </c>
      <c r="S322" t="n">
        <v/>
      </c>
      <c r="T322" t="n">
        <v/>
      </c>
      <c r="U322" t="n">
        <v/>
      </c>
      <c r="V322" t="n">
        <v>5.262348</v>
      </c>
      <c r="W322" t="n">
        <v>1.120016</v>
      </c>
      <c r="X322" t="n">
        <v/>
      </c>
      <c r="Y322" t="n">
        <v>1.611849</v>
      </c>
      <c r="Z322" t="n">
        <v/>
      </c>
      <c r="AA322" t="n">
        <v/>
      </c>
      <c r="AB322" t="n">
        <v>7.424395</v>
      </c>
      <c r="AC322" t="n">
        <v/>
      </c>
      <c r="AD322" t="n">
        <v>10.34612</v>
      </c>
      <c r="AE322" t="n">
        <v>0.6941239</v>
      </c>
    </row>
    <row r="323">
      <c r="A323" s="87" t="n">
        <v>28399</v>
      </c>
      <c r="B323" t="n">
        <v>2.426252</v>
      </c>
      <c r="C323" t="n">
        <v/>
      </c>
      <c r="D323" t="n">
        <v>6.279346</v>
      </c>
      <c r="E323" t="n">
        <v>16.88192</v>
      </c>
      <c r="F323" t="n">
        <v/>
      </c>
      <c r="G323" t="n">
        <v/>
      </c>
      <c r="H323" t="n">
        <v/>
      </c>
      <c r="I323" t="n">
        <v/>
      </c>
      <c r="J323" t="n">
        <v/>
      </c>
      <c r="K323" t="n">
        <v>7.589255</v>
      </c>
      <c r="L323" t="n">
        <v>7.988574</v>
      </c>
      <c r="M323" t="n">
        <v/>
      </c>
      <c r="N323" t="n">
        <v/>
      </c>
      <c r="O323" t="n">
        <v/>
      </c>
      <c r="P323" t="n">
        <v>0.2785078</v>
      </c>
      <c r="Q323" t="n">
        <v>0.05798067</v>
      </c>
      <c r="R323" t="n">
        <v/>
      </c>
      <c r="S323" t="n">
        <v/>
      </c>
      <c r="T323" t="n">
        <v/>
      </c>
      <c r="U323" t="n">
        <v/>
      </c>
      <c r="V323" t="n">
        <v>5.329422</v>
      </c>
      <c r="W323" t="n">
        <v>1.135453</v>
      </c>
      <c r="X323" t="n">
        <v/>
      </c>
      <c r="Y323" t="n">
        <v>1.637645</v>
      </c>
      <c r="Z323" t="n">
        <v/>
      </c>
      <c r="AA323" t="n">
        <v/>
      </c>
      <c r="AB323" t="n">
        <v>7.552206</v>
      </c>
      <c r="AC323" t="n">
        <v/>
      </c>
      <c r="AD323" t="n">
        <v>10.41087</v>
      </c>
      <c r="AE323" t="n">
        <v>0.6980436</v>
      </c>
    </row>
    <row r="324">
      <c r="A324" s="87" t="n">
        <v>28430</v>
      </c>
      <c r="B324" t="n">
        <v>2.443062</v>
      </c>
      <c r="C324" t="n">
        <v/>
      </c>
      <c r="D324" t="n">
        <v>6.298679</v>
      </c>
      <c r="E324" t="n">
        <v>16.96553</v>
      </c>
      <c r="F324" t="n">
        <v/>
      </c>
      <c r="G324" t="n">
        <v/>
      </c>
      <c r="H324" t="n">
        <v/>
      </c>
      <c r="I324" t="n">
        <v/>
      </c>
      <c r="J324" t="n">
        <v/>
      </c>
      <c r="K324" t="n">
        <v>7.645595</v>
      </c>
      <c r="L324" t="n">
        <v>8.053176000000001</v>
      </c>
      <c r="M324" t="n">
        <v/>
      </c>
      <c r="N324" t="n">
        <v/>
      </c>
      <c r="O324" t="n">
        <v/>
      </c>
      <c r="P324" t="n">
        <v>0.2827985</v>
      </c>
      <c r="Q324" t="n">
        <v>0.0600231</v>
      </c>
      <c r="R324" t="n">
        <v/>
      </c>
      <c r="S324" t="n">
        <v/>
      </c>
      <c r="T324" t="n">
        <v/>
      </c>
      <c r="U324" t="n">
        <v/>
      </c>
      <c r="V324" t="n">
        <v>5.379885</v>
      </c>
      <c r="W324" t="n">
        <v>1.16004</v>
      </c>
      <c r="X324" t="n">
        <v/>
      </c>
      <c r="Y324" t="n">
        <v>1.664218</v>
      </c>
      <c r="Z324" t="n">
        <v/>
      </c>
      <c r="AA324" t="n">
        <v/>
      </c>
      <c r="AB324" t="n">
        <v>7.661088</v>
      </c>
      <c r="AC324" t="n">
        <v/>
      </c>
      <c r="AD324" t="n">
        <v>10.48061</v>
      </c>
      <c r="AE324" t="n">
        <v>0.7027519</v>
      </c>
    </row>
    <row r="325">
      <c r="A325" s="87" t="n">
        <v>28460</v>
      </c>
      <c r="B325" t="n">
        <v>2.465475</v>
      </c>
      <c r="C325" t="n">
        <v/>
      </c>
      <c r="D325" t="n">
        <v>6.37281</v>
      </c>
      <c r="E325" t="n">
        <v>17.03222</v>
      </c>
      <c r="F325" t="n">
        <v/>
      </c>
      <c r="G325" t="n">
        <v/>
      </c>
      <c r="H325" t="n">
        <v/>
      </c>
      <c r="I325" t="n">
        <v/>
      </c>
      <c r="J325" t="n">
        <v/>
      </c>
      <c r="K325" t="n">
        <v>7.661994</v>
      </c>
      <c r="L325" t="n">
        <v>8.141828</v>
      </c>
      <c r="M325" t="n">
        <v/>
      </c>
      <c r="N325" t="n">
        <v/>
      </c>
      <c r="O325" t="n">
        <v/>
      </c>
      <c r="P325" t="n">
        <v>0.2883429</v>
      </c>
      <c r="Q325" t="n">
        <v>0.06248561</v>
      </c>
      <c r="R325" t="n">
        <v/>
      </c>
      <c r="S325" t="n">
        <v/>
      </c>
      <c r="T325" t="n">
        <v/>
      </c>
      <c r="U325" t="n">
        <v/>
      </c>
      <c r="V325" t="n">
        <v>5.423347</v>
      </c>
      <c r="W325" t="n">
        <v>1.194637</v>
      </c>
      <c r="X325" t="n">
        <v/>
      </c>
      <c r="Y325" t="n">
        <v>1.693443</v>
      </c>
      <c r="Z325" t="n">
        <v/>
      </c>
      <c r="AA325" t="n">
        <v/>
      </c>
      <c r="AB325" t="n">
        <v>7.658084</v>
      </c>
      <c r="AC325" t="n">
        <v/>
      </c>
      <c r="AD325" t="n">
        <v>10.5462</v>
      </c>
      <c r="AE325" t="n">
        <v>0.7105621</v>
      </c>
    </row>
    <row r="326">
      <c r="A326" s="87" t="n">
        <v>28491</v>
      </c>
      <c r="B326" t="n">
        <v>2.485087</v>
      </c>
      <c r="C326" t="n">
        <v/>
      </c>
      <c r="D326" t="n">
        <v>6.434586</v>
      </c>
      <c r="E326" t="n">
        <v>17.13036</v>
      </c>
      <c r="F326" t="n">
        <v/>
      </c>
      <c r="G326" t="n">
        <v/>
      </c>
      <c r="H326" t="n">
        <v/>
      </c>
      <c r="I326" t="n">
        <v/>
      </c>
      <c r="J326" t="n">
        <v/>
      </c>
      <c r="K326" t="n">
        <v>7.673442</v>
      </c>
      <c r="L326" t="n">
        <v>8.239439000000001</v>
      </c>
      <c r="M326" t="n">
        <v/>
      </c>
      <c r="N326" t="n">
        <v/>
      </c>
      <c r="O326" t="n">
        <v/>
      </c>
      <c r="P326" t="n">
        <v>0.2922073</v>
      </c>
      <c r="Q326" t="n">
        <v>0.06458746</v>
      </c>
      <c r="R326" t="n">
        <v/>
      </c>
      <c r="S326" t="n">
        <v/>
      </c>
      <c r="T326" t="n">
        <v/>
      </c>
      <c r="U326" t="n">
        <v>0.007082072</v>
      </c>
      <c r="V326" t="n">
        <v>5.476979</v>
      </c>
      <c r="W326" t="n">
        <v>1.232598</v>
      </c>
      <c r="X326" t="n">
        <v/>
      </c>
      <c r="Y326" t="n">
        <v>1.724964</v>
      </c>
      <c r="Z326" t="n">
        <v/>
      </c>
      <c r="AA326" t="n">
        <v/>
      </c>
      <c r="AB326" t="n">
        <v>7.732455</v>
      </c>
      <c r="AC326" t="n">
        <v/>
      </c>
      <c r="AD326" t="n">
        <v>10.62424</v>
      </c>
      <c r="AE326" t="n">
        <v>0.7260501</v>
      </c>
    </row>
    <row r="327">
      <c r="A327" s="87" t="n">
        <v>28522</v>
      </c>
      <c r="B327" t="n">
        <v>2.5075</v>
      </c>
      <c r="C327" t="n">
        <v/>
      </c>
      <c r="D327" t="n">
        <v>6.485092</v>
      </c>
      <c r="E327" t="n">
        <v>17.28828</v>
      </c>
      <c r="F327" t="n">
        <v/>
      </c>
      <c r="G327" t="n">
        <v/>
      </c>
      <c r="H327" t="n">
        <v/>
      </c>
      <c r="I327" t="n">
        <v/>
      </c>
      <c r="J327" t="n">
        <v/>
      </c>
      <c r="K327" t="n">
        <v>7.675124</v>
      </c>
      <c r="L327" t="n">
        <v>8.323847000000001</v>
      </c>
      <c r="M327" t="n">
        <v/>
      </c>
      <c r="N327" t="n">
        <v/>
      </c>
      <c r="O327" t="n">
        <v/>
      </c>
      <c r="P327" t="n">
        <v>0.2952169</v>
      </c>
      <c r="Q327" t="n">
        <v>0.06640247000000001</v>
      </c>
      <c r="R327" t="n">
        <v/>
      </c>
      <c r="S327" t="n">
        <v/>
      </c>
      <c r="T327" t="n">
        <v/>
      </c>
      <c r="U327" t="n">
        <v>0.004017277</v>
      </c>
      <c r="V327" t="n">
        <v>5.502078</v>
      </c>
      <c r="W327" t="n">
        <v>1.264022</v>
      </c>
      <c r="X327" t="n">
        <v/>
      </c>
      <c r="Y327" t="n">
        <v>1.741969</v>
      </c>
      <c r="Z327" t="n">
        <v/>
      </c>
      <c r="AA327" t="n">
        <v/>
      </c>
      <c r="AB327" t="n">
        <v>7.882069</v>
      </c>
      <c r="AC327" t="n">
        <v/>
      </c>
      <c r="AD327" t="n">
        <v>10.67239</v>
      </c>
      <c r="AE327" t="n">
        <v>0.7393022</v>
      </c>
    </row>
    <row r="328">
      <c r="A328" s="87" t="n">
        <v>28550</v>
      </c>
      <c r="B328" t="n">
        <v>2.538319</v>
      </c>
      <c r="C328" t="n">
        <v/>
      </c>
      <c r="D328" t="n">
        <v>6.576695</v>
      </c>
      <c r="E328" t="n">
        <v>17.50409</v>
      </c>
      <c r="F328" t="n">
        <v/>
      </c>
      <c r="G328" t="n">
        <v/>
      </c>
      <c r="H328" t="n">
        <v/>
      </c>
      <c r="I328" t="n">
        <v/>
      </c>
      <c r="J328" t="n">
        <v/>
      </c>
      <c r="K328" t="n">
        <v>7.680691</v>
      </c>
      <c r="L328" t="n">
        <v>8.407783999999999</v>
      </c>
      <c r="M328" t="n">
        <v/>
      </c>
      <c r="N328" t="n">
        <v/>
      </c>
      <c r="O328" t="n">
        <v/>
      </c>
      <c r="P328" t="n">
        <v>0.2996161</v>
      </c>
      <c r="Q328" t="n">
        <v>0.06853542999999999</v>
      </c>
      <c r="R328" t="n">
        <v/>
      </c>
      <c r="S328" t="n">
        <v/>
      </c>
      <c r="T328" t="n">
        <v/>
      </c>
      <c r="U328" t="n">
        <v>0.004104598</v>
      </c>
      <c r="V328" t="n">
        <v>5.547111</v>
      </c>
      <c r="W328" t="n">
        <v>1.296333</v>
      </c>
      <c r="X328" t="n">
        <v/>
      </c>
      <c r="Y328" t="n">
        <v>1.762391</v>
      </c>
      <c r="Z328" t="n">
        <v/>
      </c>
      <c r="AA328" t="n">
        <v/>
      </c>
      <c r="AB328" t="n">
        <v>7.962214</v>
      </c>
      <c r="AC328" t="n">
        <v/>
      </c>
      <c r="AD328" t="n">
        <v>10.72801</v>
      </c>
      <c r="AE328" t="n">
        <v>0.7458967</v>
      </c>
    </row>
    <row r="329">
      <c r="A329" s="87" t="n">
        <v>28581</v>
      </c>
      <c r="B329" t="n">
        <v>2.569137</v>
      </c>
      <c r="C329" t="n">
        <v/>
      </c>
      <c r="D329" t="n">
        <v>6.706708</v>
      </c>
      <c r="E329" t="n">
        <v>17.69395</v>
      </c>
      <c r="F329" t="n">
        <v/>
      </c>
      <c r="G329" t="n">
        <v/>
      </c>
      <c r="H329" t="n">
        <v/>
      </c>
      <c r="I329" t="n">
        <v/>
      </c>
      <c r="J329" t="n">
        <v/>
      </c>
      <c r="K329" t="n">
        <v>7.713516</v>
      </c>
      <c r="L329" t="n">
        <v>8.493607000000001</v>
      </c>
      <c r="M329" t="n">
        <v/>
      </c>
      <c r="N329" t="n">
        <v/>
      </c>
      <c r="O329" t="n">
        <v/>
      </c>
      <c r="P329" t="n">
        <v>0.3048389</v>
      </c>
      <c r="Q329" t="n">
        <v>0.07041714</v>
      </c>
      <c r="R329" t="n">
        <v/>
      </c>
      <c r="S329" t="n">
        <v/>
      </c>
      <c r="T329" t="n">
        <v/>
      </c>
      <c r="U329" t="n">
        <v>0.004200114</v>
      </c>
      <c r="V329" t="n">
        <v>5.597266</v>
      </c>
      <c r="W329" t="n">
        <v>1.332546</v>
      </c>
      <c r="X329" t="n">
        <v/>
      </c>
      <c r="Y329" t="n">
        <v>1.784805</v>
      </c>
      <c r="Z329" t="n">
        <v/>
      </c>
      <c r="AA329" t="n">
        <v/>
      </c>
      <c r="AB329" t="n">
        <v>8.081644000000001</v>
      </c>
      <c r="AC329" t="n">
        <v/>
      </c>
      <c r="AD329" t="n">
        <v>10.79609</v>
      </c>
      <c r="AE329" t="n">
        <v>0.7577389</v>
      </c>
    </row>
    <row r="330">
      <c r="A330" s="87" t="n">
        <v>28611</v>
      </c>
      <c r="B330" t="n">
        <v>2.599956</v>
      </c>
      <c r="C330" t="n">
        <v/>
      </c>
      <c r="D330" t="n">
        <v>6.759799</v>
      </c>
      <c r="E330" t="n">
        <v>17.85549</v>
      </c>
      <c r="F330" t="n">
        <v/>
      </c>
      <c r="G330" t="n">
        <v/>
      </c>
      <c r="H330" t="n">
        <v/>
      </c>
      <c r="I330" t="n">
        <v/>
      </c>
      <c r="J330" t="n">
        <v/>
      </c>
      <c r="K330" t="n">
        <v>7.755785</v>
      </c>
      <c r="L330" t="n">
        <v>8.581785999999999</v>
      </c>
      <c r="M330" t="n">
        <v/>
      </c>
      <c r="N330" t="n">
        <v/>
      </c>
      <c r="O330" t="n">
        <v/>
      </c>
      <c r="P330" t="n">
        <v>0.3096677</v>
      </c>
      <c r="Q330" t="n">
        <v>0.07225739</v>
      </c>
      <c r="R330" t="n">
        <v/>
      </c>
      <c r="S330" t="n">
        <v/>
      </c>
      <c r="T330" t="n">
        <v/>
      </c>
      <c r="U330" t="n">
        <v>0.004306524</v>
      </c>
      <c r="V330" t="n">
        <v>5.679105</v>
      </c>
      <c r="W330" t="n">
        <v>1.377003</v>
      </c>
      <c r="X330" t="n">
        <v/>
      </c>
      <c r="Y330" t="n">
        <v>1.810412</v>
      </c>
      <c r="Z330" t="n">
        <v/>
      </c>
      <c r="AA330" t="n">
        <v/>
      </c>
      <c r="AB330" t="n">
        <v>8.186499</v>
      </c>
      <c r="AC330" t="n">
        <v/>
      </c>
      <c r="AD330" t="n">
        <v>10.87994</v>
      </c>
      <c r="AE330" t="n">
        <v>0.7711066</v>
      </c>
    </row>
    <row r="331">
      <c r="A331" s="87" t="n">
        <v>28642</v>
      </c>
      <c r="B331" t="n">
        <v>2.625171</v>
      </c>
      <c r="C331" t="n">
        <v/>
      </c>
      <c r="D331" t="n">
        <v>6.840133</v>
      </c>
      <c r="E331" t="n">
        <v>18.00475</v>
      </c>
      <c r="F331" t="n">
        <v/>
      </c>
      <c r="G331" t="n">
        <v/>
      </c>
      <c r="H331" t="n">
        <v/>
      </c>
      <c r="I331" t="n">
        <v/>
      </c>
      <c r="J331" t="n">
        <v/>
      </c>
      <c r="K331" t="n">
        <v>7.839728</v>
      </c>
      <c r="L331" t="n">
        <v>8.685528</v>
      </c>
      <c r="M331" t="n">
        <v/>
      </c>
      <c r="N331" t="n">
        <v/>
      </c>
      <c r="O331" t="n">
        <v/>
      </c>
      <c r="P331" t="n">
        <v>0.3142943</v>
      </c>
      <c r="Q331" t="n">
        <v>0.07509231</v>
      </c>
      <c r="R331" t="n">
        <v/>
      </c>
      <c r="S331" t="n">
        <v/>
      </c>
      <c r="T331" t="n">
        <v/>
      </c>
      <c r="U331" t="n">
        <v>0.004418895</v>
      </c>
      <c r="V331" t="n">
        <v>5.729936</v>
      </c>
      <c r="W331" t="n">
        <v>1.429871</v>
      </c>
      <c r="X331" t="n">
        <v/>
      </c>
      <c r="Y331" t="n">
        <v>1.841094</v>
      </c>
      <c r="Z331" t="n">
        <v/>
      </c>
      <c r="AA331" t="n">
        <v/>
      </c>
      <c r="AB331" t="n">
        <v>8.304358000000001</v>
      </c>
      <c r="AC331" t="n">
        <v/>
      </c>
      <c r="AD331" t="n">
        <v>10.94636</v>
      </c>
      <c r="AE331" t="n">
        <v>0.7821346</v>
      </c>
    </row>
    <row r="332">
      <c r="A332" s="87" t="n">
        <v>28672</v>
      </c>
      <c r="B332" t="n">
        <v>2.647584</v>
      </c>
      <c r="C332" t="n">
        <v/>
      </c>
      <c r="D332" t="n">
        <v>6.907957</v>
      </c>
      <c r="E332" t="n">
        <v>18.04216</v>
      </c>
      <c r="F332" t="n">
        <v/>
      </c>
      <c r="G332" t="n">
        <v/>
      </c>
      <c r="H332" t="n">
        <v/>
      </c>
      <c r="I332" t="n">
        <v/>
      </c>
      <c r="J332" t="n">
        <v/>
      </c>
      <c r="K332" t="n">
        <v>7.917566</v>
      </c>
      <c r="L332" t="n">
        <v>8.789742</v>
      </c>
      <c r="M332" t="n">
        <v/>
      </c>
      <c r="N332" t="n">
        <v/>
      </c>
      <c r="O332" t="n">
        <v/>
      </c>
      <c r="P332" t="n">
        <v>0.3184593</v>
      </c>
      <c r="Q332" t="n">
        <v>0.07772059000000001</v>
      </c>
      <c r="R332" t="n">
        <v/>
      </c>
      <c r="S332" t="n">
        <v/>
      </c>
      <c r="T332" t="n">
        <v/>
      </c>
      <c r="U332" t="n">
        <v>0.004529092</v>
      </c>
      <c r="V332" t="n">
        <v>5.732326</v>
      </c>
      <c r="W332" t="n">
        <v>1.469658</v>
      </c>
      <c r="X332" t="n">
        <v/>
      </c>
      <c r="Y332" t="n">
        <v>1.875651</v>
      </c>
      <c r="Z332" t="n">
        <v/>
      </c>
      <c r="AA332" t="n">
        <v/>
      </c>
      <c r="AB332" t="n">
        <v>8.445105</v>
      </c>
      <c r="AC332" t="n">
        <v/>
      </c>
      <c r="AD332" t="n">
        <v>10.99285</v>
      </c>
      <c r="AE332" t="n">
        <v>0.794615</v>
      </c>
    </row>
    <row r="333">
      <c r="A333" s="87" t="n">
        <v>28703</v>
      </c>
      <c r="B333" t="n">
        <v>2.675601</v>
      </c>
      <c r="C333" t="n">
        <v/>
      </c>
      <c r="D333" t="n">
        <v>6.999302</v>
      </c>
      <c r="E333" t="n">
        <v>18.1303</v>
      </c>
      <c r="F333" t="n">
        <v/>
      </c>
      <c r="G333" t="n">
        <v/>
      </c>
      <c r="H333" t="n">
        <v/>
      </c>
      <c r="I333" t="n">
        <v/>
      </c>
      <c r="J333" t="n">
        <v/>
      </c>
      <c r="K333" t="n">
        <v>7.95062</v>
      </c>
      <c r="L333" t="n">
        <v>8.897727</v>
      </c>
      <c r="M333" t="n">
        <v/>
      </c>
      <c r="N333" t="n">
        <v/>
      </c>
      <c r="O333" t="n">
        <v/>
      </c>
      <c r="P333" t="n">
        <v>0.3224828</v>
      </c>
      <c r="Q333" t="n">
        <v>0.07898312</v>
      </c>
      <c r="R333" t="n">
        <v/>
      </c>
      <c r="S333" t="n">
        <v/>
      </c>
      <c r="T333" t="n">
        <v/>
      </c>
      <c r="U333" t="n">
        <v>0.00463854</v>
      </c>
      <c r="V333" t="n">
        <v>5.791</v>
      </c>
      <c r="W333" t="n">
        <v>1.511088</v>
      </c>
      <c r="X333" t="n">
        <v/>
      </c>
      <c r="Y333" t="n">
        <v>1.914446</v>
      </c>
      <c r="Z333" t="n">
        <v/>
      </c>
      <c r="AA333" t="n">
        <v/>
      </c>
      <c r="AB333" t="n">
        <v>8.563223000000001</v>
      </c>
      <c r="AC333" t="n">
        <v/>
      </c>
      <c r="AD333" t="n">
        <v>11.07089</v>
      </c>
      <c r="AE333" t="n">
        <v>0.8113272</v>
      </c>
    </row>
    <row r="334">
      <c r="A334" s="87" t="n">
        <v>28734</v>
      </c>
      <c r="B334" t="n">
        <v>2.703618</v>
      </c>
      <c r="C334" t="n">
        <v/>
      </c>
      <c r="D334" t="n">
        <v>7.138413</v>
      </c>
      <c r="E334" t="n">
        <v>18.27745</v>
      </c>
      <c r="F334" t="n">
        <v/>
      </c>
      <c r="G334" t="n">
        <v/>
      </c>
      <c r="H334" t="n">
        <v/>
      </c>
      <c r="I334" t="n">
        <v/>
      </c>
      <c r="J334" t="n">
        <v/>
      </c>
      <c r="K334" t="n">
        <v>7.995248</v>
      </c>
      <c r="L334" t="n">
        <v>9.012314</v>
      </c>
      <c r="M334" t="n">
        <v/>
      </c>
      <c r="N334" t="n">
        <v/>
      </c>
      <c r="O334" t="n">
        <v/>
      </c>
      <c r="P334" t="n">
        <v>0.3282099</v>
      </c>
      <c r="Q334" t="n">
        <v>0.08160723</v>
      </c>
      <c r="R334" t="n">
        <v/>
      </c>
      <c r="S334" t="n">
        <v/>
      </c>
      <c r="T334" t="n">
        <v/>
      </c>
      <c r="U334" t="n">
        <v>0.004762589</v>
      </c>
      <c r="V334" t="n">
        <v>5.845563</v>
      </c>
      <c r="W334" t="n">
        <v>1.567631</v>
      </c>
      <c r="X334" t="n">
        <v/>
      </c>
      <c r="Y334" t="n">
        <v>1.95249</v>
      </c>
      <c r="Z334" t="n">
        <v/>
      </c>
      <c r="AA334" t="n">
        <v/>
      </c>
      <c r="AB334" t="n">
        <v>8.643022</v>
      </c>
      <c r="AC334" t="n">
        <v/>
      </c>
      <c r="AD334" t="n">
        <v>11.16637</v>
      </c>
      <c r="AE334" t="n">
        <v>0.8056955</v>
      </c>
    </row>
    <row r="335">
      <c r="A335" s="87" t="n">
        <v>28764</v>
      </c>
      <c r="B335" t="n">
        <v>2.726031</v>
      </c>
      <c r="C335" t="n">
        <v/>
      </c>
      <c r="D335" t="n">
        <v>7.218799</v>
      </c>
      <c r="E335" t="n">
        <v>18.43887</v>
      </c>
      <c r="F335" t="n">
        <v/>
      </c>
      <c r="G335" t="n">
        <v/>
      </c>
      <c r="H335" t="n">
        <v/>
      </c>
      <c r="I335" t="n">
        <v/>
      </c>
      <c r="J335" t="n">
        <v/>
      </c>
      <c r="K335" t="n">
        <v>8.015281</v>
      </c>
      <c r="L335" t="n">
        <v>9.120298999999999</v>
      </c>
      <c r="M335" t="n">
        <v/>
      </c>
      <c r="N335" t="n">
        <v/>
      </c>
      <c r="O335" t="n">
        <v/>
      </c>
      <c r="P335" t="n">
        <v>0.3342254</v>
      </c>
      <c r="Q335" t="n">
        <v>0.08558037</v>
      </c>
      <c r="R335" t="n">
        <v/>
      </c>
      <c r="S335" t="n">
        <v/>
      </c>
      <c r="T335" t="n">
        <v/>
      </c>
      <c r="U335" t="n">
        <v>0.004890397</v>
      </c>
      <c r="V335" t="n">
        <v>5.904947</v>
      </c>
      <c r="W335" t="n">
        <v>1.639709</v>
      </c>
      <c r="X335" t="n">
        <v/>
      </c>
      <c r="Y335" t="n">
        <v>1.987836</v>
      </c>
      <c r="Z335" t="n">
        <v/>
      </c>
      <c r="AA335" t="n">
        <v/>
      </c>
      <c r="AB335" t="n">
        <v>8.704250999999999</v>
      </c>
      <c r="AC335" t="n">
        <v/>
      </c>
      <c r="AD335" t="n">
        <v>11.22697</v>
      </c>
      <c r="AE335" t="n">
        <v>0.8108849</v>
      </c>
    </row>
    <row r="336">
      <c r="A336" s="87" t="n">
        <v>28795</v>
      </c>
      <c r="B336" t="n">
        <v>2.748445</v>
      </c>
      <c r="C336" t="n">
        <v/>
      </c>
      <c r="D336" t="n">
        <v>7.419531</v>
      </c>
      <c r="E336" t="n">
        <v>18.6497</v>
      </c>
      <c r="F336" t="n">
        <v/>
      </c>
      <c r="G336" t="n">
        <v/>
      </c>
      <c r="H336" t="n">
        <v/>
      </c>
      <c r="I336" t="n">
        <v/>
      </c>
      <c r="J336" t="n">
        <v/>
      </c>
      <c r="K336" t="n">
        <v>8.03145</v>
      </c>
      <c r="L336" t="n">
        <v>9.227814</v>
      </c>
      <c r="M336" t="n">
        <v/>
      </c>
      <c r="N336" t="n">
        <v/>
      </c>
      <c r="O336" t="n">
        <v/>
      </c>
      <c r="P336" t="n">
        <v>0.3398083</v>
      </c>
      <c r="Q336" t="n">
        <v>0.08947989000000001</v>
      </c>
      <c r="R336" t="n">
        <v/>
      </c>
      <c r="S336" t="n">
        <v/>
      </c>
      <c r="T336" t="n">
        <v/>
      </c>
      <c r="U336" t="n">
        <v>0.005003104</v>
      </c>
      <c r="V336" t="n">
        <v>5.995262</v>
      </c>
      <c r="W336" t="n">
        <v>1.694465</v>
      </c>
      <c r="X336" t="n">
        <v/>
      </c>
      <c r="Y336" t="n">
        <v>2.023226</v>
      </c>
      <c r="Z336" t="n">
        <v/>
      </c>
      <c r="AA336" t="n">
        <v/>
      </c>
      <c r="AB336" t="n">
        <v>8.851471</v>
      </c>
      <c r="AC336" t="n">
        <v/>
      </c>
      <c r="AD336" t="n">
        <v>11.28343</v>
      </c>
      <c r="AE336" t="n">
        <v>0.8378706</v>
      </c>
    </row>
    <row r="337">
      <c r="A337" s="87" t="n">
        <v>28825</v>
      </c>
      <c r="B337" t="n">
        <v>2.773659</v>
      </c>
      <c r="C337" t="n">
        <v/>
      </c>
      <c r="D337" t="n">
        <v>7.50457</v>
      </c>
      <c r="E337" t="n">
        <v>18.78748</v>
      </c>
      <c r="F337" t="n">
        <v/>
      </c>
      <c r="G337" t="n">
        <v/>
      </c>
      <c r="H337" t="n">
        <v/>
      </c>
      <c r="I337" t="n">
        <v/>
      </c>
      <c r="J337" t="n">
        <v/>
      </c>
      <c r="K337" t="n">
        <v>8.104241999999999</v>
      </c>
      <c r="L337" t="n">
        <v>9.304205</v>
      </c>
      <c r="M337" t="n">
        <v/>
      </c>
      <c r="N337" t="n">
        <v/>
      </c>
      <c r="O337" t="n">
        <v/>
      </c>
      <c r="P337" t="n">
        <v>0.3479181</v>
      </c>
      <c r="Q337" t="n">
        <v>0.09329597000000001</v>
      </c>
      <c r="R337" t="n">
        <v/>
      </c>
      <c r="S337" t="n">
        <v/>
      </c>
      <c r="T337" t="n">
        <v/>
      </c>
      <c r="U337" t="n">
        <v>0.005137753</v>
      </c>
      <c r="V337" t="n">
        <v>6.054224</v>
      </c>
      <c r="W337" t="n">
        <v>1.71704</v>
      </c>
      <c r="X337" t="n">
        <v/>
      </c>
      <c r="Y337" t="n">
        <v>2.062169</v>
      </c>
      <c r="Z337" t="n">
        <v/>
      </c>
      <c r="AA337" t="n">
        <v/>
      </c>
      <c r="AB337" t="n">
        <v>8.913691999999999</v>
      </c>
      <c r="AC337" t="n">
        <v/>
      </c>
      <c r="AD337" t="n">
        <v>11.34071</v>
      </c>
      <c r="AE337" t="n">
        <v>0.8464968</v>
      </c>
    </row>
    <row r="338">
      <c r="A338" s="87" t="n">
        <v>28856</v>
      </c>
      <c r="B338" t="n">
        <v>2.80728</v>
      </c>
      <c r="C338" t="n">
        <v/>
      </c>
      <c r="D338" t="n">
        <v>7.633187</v>
      </c>
      <c r="E338" t="n">
        <v>18.90195</v>
      </c>
      <c r="F338" t="n">
        <v/>
      </c>
      <c r="G338" t="n">
        <v/>
      </c>
      <c r="H338" t="n">
        <v/>
      </c>
      <c r="I338" t="n">
        <v/>
      </c>
      <c r="J338" t="n">
        <v/>
      </c>
      <c r="K338" t="n">
        <v>8.182373</v>
      </c>
      <c r="L338" t="n">
        <v>9.371637</v>
      </c>
      <c r="M338" t="n">
        <v/>
      </c>
      <c r="N338" t="n">
        <v/>
      </c>
      <c r="O338" t="n">
        <v/>
      </c>
      <c r="P338" t="n">
        <v>0.356795</v>
      </c>
      <c r="Q338" t="n">
        <v>0.09662783</v>
      </c>
      <c r="R338" t="n">
        <v/>
      </c>
      <c r="S338" t="n">
        <v/>
      </c>
      <c r="T338" t="n">
        <v/>
      </c>
      <c r="U338" t="n">
        <v>0.005306436</v>
      </c>
      <c r="V338" t="n">
        <v>6.090045</v>
      </c>
      <c r="W338" t="n">
        <v>1.750994</v>
      </c>
      <c r="X338" t="n">
        <v/>
      </c>
      <c r="Y338" t="n">
        <v>2.085136</v>
      </c>
      <c r="Z338" t="n">
        <v/>
      </c>
      <c r="AA338" t="n">
        <v/>
      </c>
      <c r="AB338" t="n">
        <v>8.975816999999999</v>
      </c>
      <c r="AC338" t="n">
        <v/>
      </c>
      <c r="AD338" t="n">
        <v>11.3872</v>
      </c>
      <c r="AE338" t="n">
        <v>0.8501735</v>
      </c>
    </row>
    <row r="339">
      <c r="A339" s="87" t="n">
        <v>28887</v>
      </c>
      <c r="B339" t="n">
        <v>2.849305</v>
      </c>
      <c r="C339" t="n">
        <v/>
      </c>
      <c r="D339" t="n">
        <v>7.752551</v>
      </c>
      <c r="E339" t="n">
        <v>19.01124</v>
      </c>
      <c r="F339" t="n">
        <v/>
      </c>
      <c r="G339" t="n">
        <v/>
      </c>
      <c r="H339" t="n">
        <v/>
      </c>
      <c r="I339" t="n">
        <v/>
      </c>
      <c r="J339" t="n">
        <v/>
      </c>
      <c r="K339" t="n">
        <v>8.260353</v>
      </c>
      <c r="L339" t="n">
        <v>9.460761</v>
      </c>
      <c r="M339" t="n">
        <v/>
      </c>
      <c r="N339" t="n">
        <v/>
      </c>
      <c r="O339" t="n">
        <v/>
      </c>
      <c r="P339" t="n">
        <v>0.3608015</v>
      </c>
      <c r="Q339" t="n">
        <v>0.1000326</v>
      </c>
      <c r="R339" t="n">
        <v/>
      </c>
      <c r="S339" t="n">
        <v/>
      </c>
      <c r="T339" t="n">
        <v/>
      </c>
      <c r="U339" t="n">
        <v>0.005460929</v>
      </c>
      <c r="V339" t="n">
        <v>6.15482</v>
      </c>
      <c r="W339" t="n">
        <v>1.797859</v>
      </c>
      <c r="X339" t="n">
        <v/>
      </c>
      <c r="Y339" t="n">
        <v>2.11591</v>
      </c>
      <c r="Z339" t="n">
        <v/>
      </c>
      <c r="AA339" t="n">
        <v/>
      </c>
      <c r="AB339" t="n">
        <v>9.137976</v>
      </c>
      <c r="AC339" t="n">
        <v/>
      </c>
      <c r="AD339" t="n">
        <v>11.43868</v>
      </c>
      <c r="AE339" t="n">
        <v>0.8581127</v>
      </c>
    </row>
    <row r="340">
      <c r="A340" s="87" t="n">
        <v>28915</v>
      </c>
      <c r="B340" t="n">
        <v>2.885727</v>
      </c>
      <c r="C340" t="n">
        <v/>
      </c>
      <c r="D340" t="n">
        <v>7.813809</v>
      </c>
      <c r="E340" t="n">
        <v>19.13985</v>
      </c>
      <c r="F340" t="n">
        <v/>
      </c>
      <c r="G340" t="n">
        <v/>
      </c>
      <c r="H340" t="n">
        <v/>
      </c>
      <c r="I340" t="n">
        <v/>
      </c>
      <c r="J340" t="n">
        <v/>
      </c>
      <c r="K340" t="n">
        <v>8.367699999999999</v>
      </c>
      <c r="L340" t="n">
        <v>9.553184999999999</v>
      </c>
      <c r="M340" t="n">
        <v/>
      </c>
      <c r="N340" t="n">
        <v/>
      </c>
      <c r="O340" t="n">
        <v/>
      </c>
      <c r="P340" t="n">
        <v>0.3645556</v>
      </c>
      <c r="Q340" t="n">
        <v>0.105232</v>
      </c>
      <c r="R340" t="n">
        <v/>
      </c>
      <c r="S340" t="n">
        <v/>
      </c>
      <c r="T340" t="n">
        <v/>
      </c>
      <c r="U340" t="n">
        <v>0.005611058</v>
      </c>
      <c r="V340" t="n">
        <v>6.218841</v>
      </c>
      <c r="W340" t="n">
        <v>1.857762</v>
      </c>
      <c r="X340" t="n">
        <v/>
      </c>
      <c r="Y340" t="n">
        <v>2.160283</v>
      </c>
      <c r="Z340" t="n">
        <v/>
      </c>
      <c r="AA340" t="n">
        <v/>
      </c>
      <c r="AB340" t="n">
        <v>9.226723</v>
      </c>
      <c r="AC340" t="n">
        <v/>
      </c>
      <c r="AD340" t="n">
        <v>11.5217</v>
      </c>
      <c r="AE340" t="n">
        <v>0.8688436</v>
      </c>
    </row>
    <row r="341">
      <c r="A341" s="87" t="n">
        <v>28946</v>
      </c>
      <c r="B341" t="n">
        <v>2.919347</v>
      </c>
      <c r="C341" t="n">
        <v/>
      </c>
      <c r="D341" t="n">
        <v>7.940462</v>
      </c>
      <c r="E341" t="n">
        <v>19.25571</v>
      </c>
      <c r="F341" t="n">
        <v/>
      </c>
      <c r="G341" t="n">
        <v/>
      </c>
      <c r="H341" t="n">
        <v/>
      </c>
      <c r="I341" t="n">
        <v/>
      </c>
      <c r="J341" t="n">
        <v/>
      </c>
      <c r="K341" t="n">
        <v>8.466001</v>
      </c>
      <c r="L341" t="n">
        <v>9.641837000000001</v>
      </c>
      <c r="M341" t="n">
        <v/>
      </c>
      <c r="N341" t="n">
        <v/>
      </c>
      <c r="O341" t="n">
        <v/>
      </c>
      <c r="P341" t="n">
        <v>0.3693098</v>
      </c>
      <c r="Q341" t="n">
        <v>0.109893</v>
      </c>
      <c r="R341" t="n">
        <v/>
      </c>
      <c r="S341" t="n">
        <v/>
      </c>
      <c r="T341" t="n">
        <v/>
      </c>
      <c r="U341" t="n">
        <v>0.005765336</v>
      </c>
      <c r="V341" t="n">
        <v>6.297297</v>
      </c>
      <c r="W341" t="n">
        <v>1.87284</v>
      </c>
      <c r="X341" t="n">
        <v/>
      </c>
      <c r="Y341" t="n">
        <v>2.191645</v>
      </c>
      <c r="Z341" t="n">
        <v/>
      </c>
      <c r="AA341" t="n">
        <v/>
      </c>
      <c r="AB341" t="n">
        <v>9.294090000000001</v>
      </c>
      <c r="AC341" t="n">
        <v/>
      </c>
      <c r="AD341" t="n">
        <v>11.64042</v>
      </c>
      <c r="AE341" t="n">
        <v>0.8765429</v>
      </c>
    </row>
    <row r="342">
      <c r="A342" s="87" t="n">
        <v>28976</v>
      </c>
      <c r="B342" t="n">
        <v>2.950165</v>
      </c>
      <c r="C342" t="n">
        <v/>
      </c>
      <c r="D342" t="n">
        <v>8.075386</v>
      </c>
      <c r="E342" t="n">
        <v>19.36524</v>
      </c>
      <c r="F342" t="n">
        <v/>
      </c>
      <c r="G342" t="n">
        <v/>
      </c>
      <c r="H342" t="n">
        <v/>
      </c>
      <c r="I342" t="n">
        <v/>
      </c>
      <c r="J342" t="n">
        <v/>
      </c>
      <c r="K342" t="n">
        <v>8.557528</v>
      </c>
      <c r="L342" t="n">
        <v>9.734733</v>
      </c>
      <c r="M342" t="n">
        <v/>
      </c>
      <c r="N342" t="n">
        <v/>
      </c>
      <c r="O342" t="n">
        <v/>
      </c>
      <c r="P342" t="n">
        <v>0.3738114</v>
      </c>
      <c r="Q342" t="n">
        <v>0.1132163</v>
      </c>
      <c r="R342" t="n">
        <v/>
      </c>
      <c r="S342" t="n">
        <v/>
      </c>
      <c r="T342" t="n">
        <v/>
      </c>
      <c r="U342" t="n">
        <v>0.005939282</v>
      </c>
      <c r="V342" t="n">
        <v>6.358631</v>
      </c>
      <c r="W342" t="n">
        <v>1.891191</v>
      </c>
      <c r="X342" t="n">
        <v/>
      </c>
      <c r="Y342" t="n">
        <v>2.225406</v>
      </c>
      <c r="Z342" t="n">
        <v/>
      </c>
      <c r="AA342" t="n">
        <v/>
      </c>
      <c r="AB342" t="n">
        <v>9.365287</v>
      </c>
      <c r="AC342" t="n">
        <v/>
      </c>
      <c r="AD342" t="n">
        <v>11.70767</v>
      </c>
      <c r="AE342" t="n">
        <v>0.884212</v>
      </c>
    </row>
    <row r="343">
      <c r="A343" s="87" t="n">
        <v>29007</v>
      </c>
      <c r="B343" t="n">
        <v>2.972579</v>
      </c>
      <c r="C343" t="n">
        <v/>
      </c>
      <c r="D343" t="n">
        <v>8.196095</v>
      </c>
      <c r="E343" t="n">
        <v>19.51539</v>
      </c>
      <c r="F343" t="n">
        <v/>
      </c>
      <c r="G343" t="n">
        <v/>
      </c>
      <c r="H343" t="n">
        <v/>
      </c>
      <c r="I343" t="n">
        <v/>
      </c>
      <c r="J343" t="n">
        <v/>
      </c>
      <c r="K343" t="n">
        <v>8.617751999999999</v>
      </c>
      <c r="L343" t="n">
        <v>9.834702</v>
      </c>
      <c r="M343" t="n">
        <v/>
      </c>
      <c r="N343" t="n">
        <v/>
      </c>
      <c r="O343" t="n">
        <v/>
      </c>
      <c r="P343" t="n">
        <v>0.381866</v>
      </c>
      <c r="Q343" t="n">
        <v>0.11773</v>
      </c>
      <c r="R343" t="n">
        <v/>
      </c>
      <c r="S343" t="n">
        <v/>
      </c>
      <c r="T343" t="n">
        <v/>
      </c>
      <c r="U343" t="n">
        <v>0.006084756</v>
      </c>
      <c r="V343" t="n">
        <v>6.415992</v>
      </c>
      <c r="W343" t="n">
        <v>1.938749</v>
      </c>
      <c r="X343" t="n">
        <v/>
      </c>
      <c r="Y343" t="n">
        <v>2.275133</v>
      </c>
      <c r="Z343" t="n">
        <v/>
      </c>
      <c r="AA343" t="n">
        <v/>
      </c>
      <c r="AB343" t="n">
        <v>9.445976</v>
      </c>
      <c r="AC343" t="n">
        <v/>
      </c>
      <c r="AD343" t="n">
        <v>11.81393</v>
      </c>
      <c r="AE343" t="n">
        <v>0.8909767</v>
      </c>
    </row>
    <row r="344">
      <c r="A344" s="87" t="n">
        <v>29037</v>
      </c>
      <c r="B344" t="n">
        <v>2.989389</v>
      </c>
      <c r="C344" t="n">
        <v/>
      </c>
      <c r="D344" t="n">
        <v>8.354436</v>
      </c>
      <c r="E344" t="n">
        <v>19.72445</v>
      </c>
      <c r="F344" t="n">
        <v/>
      </c>
      <c r="G344" t="n">
        <v/>
      </c>
      <c r="H344" t="n">
        <v/>
      </c>
      <c r="I344" t="n">
        <v/>
      </c>
      <c r="J344" t="n">
        <v/>
      </c>
      <c r="K344" t="n">
        <v>8.674053000000001</v>
      </c>
      <c r="L344" t="n">
        <v>9.917223999999999</v>
      </c>
      <c r="M344" t="n">
        <v/>
      </c>
      <c r="N344" t="n">
        <v/>
      </c>
      <c r="O344" t="n">
        <v/>
      </c>
      <c r="P344" t="n">
        <v>0.3900744</v>
      </c>
      <c r="Q344" t="n">
        <v>0.1216666</v>
      </c>
      <c r="R344" t="n">
        <v/>
      </c>
      <c r="S344" t="n">
        <v/>
      </c>
      <c r="T344" t="n">
        <v/>
      </c>
      <c r="U344" t="n">
        <v>0.006212723</v>
      </c>
      <c r="V344" t="n">
        <v>6.504589</v>
      </c>
      <c r="W344" t="n">
        <v>1.990531</v>
      </c>
      <c r="X344" t="n">
        <v/>
      </c>
      <c r="Y344" t="n">
        <v>2.320544</v>
      </c>
      <c r="Z344" t="n">
        <v/>
      </c>
      <c r="AA344" t="n">
        <v/>
      </c>
      <c r="AB344" t="n">
        <v>9.515933</v>
      </c>
      <c r="AC344" t="n">
        <v/>
      </c>
      <c r="AD344" t="n">
        <v>11.9119</v>
      </c>
      <c r="AE344" t="n">
        <v>0.8980928</v>
      </c>
    </row>
    <row r="345">
      <c r="A345" s="87" t="n">
        <v>29068</v>
      </c>
      <c r="B345" t="n">
        <v>3.011802</v>
      </c>
      <c r="C345" t="n">
        <v/>
      </c>
      <c r="D345" t="n">
        <v>8.429135</v>
      </c>
      <c r="E345" t="n">
        <v>19.89589</v>
      </c>
      <c r="F345" t="n">
        <v/>
      </c>
      <c r="G345" t="n">
        <v/>
      </c>
      <c r="H345" t="n">
        <v/>
      </c>
      <c r="I345" t="n">
        <v/>
      </c>
      <c r="J345" t="n">
        <v/>
      </c>
      <c r="K345" t="n">
        <v>8.731092</v>
      </c>
      <c r="L345" t="n">
        <v>10.0021</v>
      </c>
      <c r="M345" t="n">
        <v/>
      </c>
      <c r="N345" t="n">
        <v/>
      </c>
      <c r="O345" t="n">
        <v/>
      </c>
      <c r="P345" t="n">
        <v>0.3980472</v>
      </c>
      <c r="Q345" t="n">
        <v>0.1254235</v>
      </c>
      <c r="R345" t="n">
        <v/>
      </c>
      <c r="S345" t="n">
        <v/>
      </c>
      <c r="T345" t="n">
        <v/>
      </c>
      <c r="U345" t="n">
        <v>0.006393537</v>
      </c>
      <c r="V345" t="n">
        <v>6.565951</v>
      </c>
      <c r="W345" t="n">
        <v>2.047494</v>
      </c>
      <c r="X345" t="n">
        <v/>
      </c>
      <c r="Y345" t="n">
        <v>2.35619</v>
      </c>
      <c r="Z345" t="n">
        <v/>
      </c>
      <c r="AA345" t="n">
        <v/>
      </c>
      <c r="AB345" t="n">
        <v>9.616871</v>
      </c>
      <c r="AC345" t="n">
        <v/>
      </c>
      <c r="AD345" t="n">
        <v>12.00986</v>
      </c>
      <c r="AE345" t="n">
        <v>0.9114954</v>
      </c>
    </row>
    <row r="346">
      <c r="A346" s="87" t="n">
        <v>29099</v>
      </c>
      <c r="B346" t="n">
        <v>3.037017</v>
      </c>
      <c r="C346" t="n">
        <v/>
      </c>
      <c r="D346" t="n">
        <v>8.514329</v>
      </c>
      <c r="E346" t="n">
        <v>19.9482</v>
      </c>
      <c r="F346" t="n">
        <v/>
      </c>
      <c r="G346" t="n">
        <v/>
      </c>
      <c r="H346" t="n">
        <v/>
      </c>
      <c r="I346" t="n">
        <v/>
      </c>
      <c r="J346" t="n">
        <v/>
      </c>
      <c r="K346" t="n">
        <v>8.766159999999999</v>
      </c>
      <c r="L346" t="n">
        <v>10.0818</v>
      </c>
      <c r="M346" t="n">
        <v/>
      </c>
      <c r="N346" t="n">
        <v/>
      </c>
      <c r="O346" t="n">
        <v/>
      </c>
      <c r="P346" t="n">
        <v>0.4027366</v>
      </c>
      <c r="Q346" t="n">
        <v>0.1297499</v>
      </c>
      <c r="R346" t="n">
        <v/>
      </c>
      <c r="S346" t="n">
        <v/>
      </c>
      <c r="T346" t="n">
        <v/>
      </c>
      <c r="U346" t="n">
        <v>0.006569705</v>
      </c>
      <c r="V346" t="n">
        <v>6.639487</v>
      </c>
      <c r="W346" t="n">
        <v>2.097986</v>
      </c>
      <c r="X346" t="n">
        <v/>
      </c>
      <c r="Y346" t="n">
        <v>2.40081</v>
      </c>
      <c r="Z346" t="n">
        <v/>
      </c>
      <c r="AA346" t="n">
        <v/>
      </c>
      <c r="AB346" t="n">
        <v>9.753304</v>
      </c>
      <c r="AC346" t="n">
        <v/>
      </c>
      <c r="AD346" t="n">
        <v>12.07213</v>
      </c>
      <c r="AE346" t="n">
        <v>0.9245378</v>
      </c>
    </row>
    <row r="347">
      <c r="A347" s="87" t="n">
        <v>29129</v>
      </c>
      <c r="B347" t="n">
        <v>3.062232</v>
      </c>
      <c r="C347" t="n">
        <v/>
      </c>
      <c r="D347" t="n">
        <v>8.619942</v>
      </c>
      <c r="E347" t="n">
        <v>20.06551</v>
      </c>
      <c r="F347" t="n">
        <v/>
      </c>
      <c r="G347" t="n">
        <v/>
      </c>
      <c r="H347" t="n">
        <v/>
      </c>
      <c r="I347" t="n">
        <v/>
      </c>
      <c r="J347" t="n">
        <v/>
      </c>
      <c r="K347" t="n">
        <v>8.841642</v>
      </c>
      <c r="L347" t="n">
        <v>10.1596</v>
      </c>
      <c r="M347" t="n">
        <v/>
      </c>
      <c r="N347" t="n">
        <v/>
      </c>
      <c r="O347" t="n">
        <v/>
      </c>
      <c r="P347" t="n">
        <v>0.4053748</v>
      </c>
      <c r="Q347" t="n">
        <v>0.1342344</v>
      </c>
      <c r="R347" t="n">
        <v/>
      </c>
      <c r="S347" t="n">
        <v/>
      </c>
      <c r="T347" t="n">
        <v/>
      </c>
      <c r="U347" t="n">
        <v>0.006750683</v>
      </c>
      <c r="V347" t="n">
        <v>6.722725</v>
      </c>
      <c r="W347" t="n">
        <v>2.161611</v>
      </c>
      <c r="X347" t="n">
        <v/>
      </c>
      <c r="Y347" t="n">
        <v>2.453603</v>
      </c>
      <c r="Z347" t="n">
        <v/>
      </c>
      <c r="AA347" t="n">
        <v/>
      </c>
      <c r="AB347" t="n">
        <v>9.848148</v>
      </c>
      <c r="AC347" t="n">
        <v/>
      </c>
      <c r="AD347" t="n">
        <v>12.12443</v>
      </c>
      <c r="AE347" t="n">
        <v>0.9387982</v>
      </c>
    </row>
    <row r="348">
      <c r="A348" s="87" t="n">
        <v>29160</v>
      </c>
      <c r="B348" t="n">
        <v>3.098654</v>
      </c>
      <c r="C348" t="n">
        <v/>
      </c>
      <c r="D348" t="n">
        <v>8.818192</v>
      </c>
      <c r="E348" t="n">
        <v>20.23902</v>
      </c>
      <c r="F348" t="n">
        <v/>
      </c>
      <c r="G348" t="n">
        <v/>
      </c>
      <c r="H348" t="n">
        <v/>
      </c>
      <c r="I348" t="n">
        <v/>
      </c>
      <c r="J348" t="n">
        <v/>
      </c>
      <c r="K348" t="n">
        <v>8.915198</v>
      </c>
      <c r="L348" t="n">
        <v>10.2624</v>
      </c>
      <c r="M348" t="n">
        <v/>
      </c>
      <c r="N348" t="n">
        <v/>
      </c>
      <c r="O348" t="n">
        <v/>
      </c>
      <c r="P348" t="n">
        <v>0.4091777</v>
      </c>
      <c r="Q348" t="n">
        <v>0.1396661</v>
      </c>
      <c r="R348" t="n">
        <v/>
      </c>
      <c r="S348" t="n">
        <v/>
      </c>
      <c r="T348" t="n">
        <v/>
      </c>
      <c r="U348" t="n">
        <v>0.006950789</v>
      </c>
      <c r="V348" t="n">
        <v>6.803395</v>
      </c>
      <c r="W348" t="n">
        <v>2.214002</v>
      </c>
      <c r="X348" t="n">
        <v/>
      </c>
      <c r="Y348" t="n">
        <v>2.505679</v>
      </c>
      <c r="Z348" t="n">
        <v/>
      </c>
      <c r="AA348" t="n">
        <v/>
      </c>
      <c r="AB348" t="n">
        <v>9.942406</v>
      </c>
      <c r="AC348" t="n">
        <v/>
      </c>
      <c r="AD348" t="n">
        <v>12.17009</v>
      </c>
      <c r="AE348" t="n">
        <v>0.9564963</v>
      </c>
    </row>
    <row r="349">
      <c r="A349" s="87" t="n">
        <v>29190</v>
      </c>
      <c r="B349" t="n">
        <v>3.137877</v>
      </c>
      <c r="C349" t="n">
        <v/>
      </c>
      <c r="D349" t="n">
        <v>8.924064</v>
      </c>
      <c r="E349" t="n">
        <v>20.37637</v>
      </c>
      <c r="F349" t="n">
        <v/>
      </c>
      <c r="G349" t="n">
        <v/>
      </c>
      <c r="H349" t="n">
        <v/>
      </c>
      <c r="I349" t="n">
        <v/>
      </c>
      <c r="J349" t="n">
        <v/>
      </c>
      <c r="K349" t="n">
        <v>8.936184000000001</v>
      </c>
      <c r="L349" t="n">
        <v>10.34822</v>
      </c>
      <c r="M349" t="n">
        <v/>
      </c>
      <c r="N349" t="n">
        <v/>
      </c>
      <c r="O349" t="n">
        <v/>
      </c>
      <c r="P349" t="n">
        <v>0.412892</v>
      </c>
      <c r="Q349" t="n">
        <v>0.1454236</v>
      </c>
      <c r="R349" t="n">
        <v/>
      </c>
      <c r="S349" t="n">
        <v/>
      </c>
      <c r="T349" t="n">
        <v/>
      </c>
      <c r="U349" t="n">
        <v>0.007128569</v>
      </c>
      <c r="V349" t="n">
        <v>6.850966</v>
      </c>
      <c r="W349" t="n">
        <v>2.275297</v>
      </c>
      <c r="X349" t="n">
        <v/>
      </c>
      <c r="Y349" t="n">
        <v>2.543941</v>
      </c>
      <c r="Z349" t="n">
        <v/>
      </c>
      <c r="AA349" t="n">
        <v/>
      </c>
      <c r="AB349" t="n">
        <v>9.865951000000001</v>
      </c>
      <c r="AC349" t="n">
        <v/>
      </c>
      <c r="AD349" t="n">
        <v>12.23485</v>
      </c>
      <c r="AE349" t="n">
        <v>0.9732311</v>
      </c>
    </row>
    <row r="350">
      <c r="A350" s="87" t="n">
        <v>29221</v>
      </c>
      <c r="B350" t="n">
        <v>3.191109</v>
      </c>
      <c r="C350" t="n">
        <v/>
      </c>
      <c r="D350" t="n">
        <v>9.002846999999999</v>
      </c>
      <c r="E350" t="n">
        <v>20.56557</v>
      </c>
      <c r="F350" t="n">
        <v/>
      </c>
      <c r="G350" t="n">
        <v/>
      </c>
      <c r="H350" t="n">
        <v/>
      </c>
      <c r="I350" t="n">
        <v/>
      </c>
      <c r="J350" t="n">
        <v/>
      </c>
      <c r="K350" t="n">
        <v>8.967541000000001</v>
      </c>
      <c r="L350" t="n">
        <v>10.41</v>
      </c>
      <c r="M350" t="n">
        <v/>
      </c>
      <c r="N350" t="n">
        <v/>
      </c>
      <c r="O350" t="n">
        <v/>
      </c>
      <c r="P350" t="n">
        <v>0.4182861</v>
      </c>
      <c r="Q350" t="n">
        <v>0.1507328</v>
      </c>
      <c r="R350" t="n">
        <v/>
      </c>
      <c r="S350" t="n">
        <v>24.14741</v>
      </c>
      <c r="T350" t="n">
        <v>0.461453</v>
      </c>
      <c r="U350" t="n">
        <v>0.007306386</v>
      </c>
      <c r="V350" t="n">
        <v>6.881392</v>
      </c>
      <c r="W350" t="n">
        <v>2.338407</v>
      </c>
      <c r="X350" t="n">
        <v>3.115716</v>
      </c>
      <c r="Y350" t="n">
        <v>0.2652279</v>
      </c>
      <c r="Z350" t="n">
        <v/>
      </c>
      <c r="AA350" t="n">
        <v/>
      </c>
      <c r="AB350" t="n">
        <v>9.969514</v>
      </c>
      <c r="AC350" t="n">
        <v>6.0787e-05</v>
      </c>
      <c r="AD350" t="n">
        <v>12.30957</v>
      </c>
      <c r="AE350" t="n">
        <v>0.987341</v>
      </c>
    </row>
    <row r="351">
      <c r="A351" s="87" t="n">
        <v>29252</v>
      </c>
      <c r="B351" t="n">
        <v>3.247143</v>
      </c>
      <c r="C351" t="n">
        <v/>
      </c>
      <c r="D351" t="n">
        <v>9.156328999999999</v>
      </c>
      <c r="E351" t="n">
        <v>20.76055</v>
      </c>
      <c r="F351" t="n">
        <v/>
      </c>
      <c r="G351" t="n">
        <v/>
      </c>
      <c r="H351" t="n">
        <v/>
      </c>
      <c r="I351" t="n">
        <v/>
      </c>
      <c r="J351" t="n">
        <v/>
      </c>
      <c r="K351" t="n">
        <v>9.001068999999999</v>
      </c>
      <c r="L351" t="n">
        <v>10.44246</v>
      </c>
      <c r="M351" t="n">
        <v/>
      </c>
      <c r="N351" t="n">
        <v/>
      </c>
      <c r="O351" t="n">
        <v/>
      </c>
      <c r="P351" t="n">
        <v>0.424802</v>
      </c>
      <c r="Q351" t="n">
        <v>0.1568924</v>
      </c>
      <c r="R351" t="n">
        <v/>
      </c>
      <c r="S351" t="n">
        <v>24.29465</v>
      </c>
      <c r="T351" t="n">
        <v>0.4614888</v>
      </c>
      <c r="U351" t="n">
        <v>0.007497021</v>
      </c>
      <c r="V351" t="n">
        <v>6.933142</v>
      </c>
      <c r="W351" t="n">
        <v>2.3681</v>
      </c>
      <c r="X351" t="n">
        <v>3.150425</v>
      </c>
      <c r="Y351" t="n">
        <v>0.2711863</v>
      </c>
      <c r="Z351" t="n">
        <v/>
      </c>
      <c r="AA351" t="n">
        <v/>
      </c>
      <c r="AB351" t="n">
        <v>10.2362</v>
      </c>
      <c r="AC351" t="n">
        <v>6.3339e-05</v>
      </c>
      <c r="AD351" t="n">
        <v>12.40837</v>
      </c>
      <c r="AE351" t="n">
        <v>0.9988517</v>
      </c>
    </row>
    <row r="352">
      <c r="A352" s="87" t="n">
        <v>29281</v>
      </c>
      <c r="B352" t="n">
        <v>3.27516</v>
      </c>
      <c r="C352" t="n">
        <v/>
      </c>
      <c r="D352" t="n">
        <v>9.290582000000001</v>
      </c>
      <c r="E352" t="n">
        <v>20.85986</v>
      </c>
      <c r="F352" t="n">
        <v/>
      </c>
      <c r="G352" t="n">
        <v/>
      </c>
      <c r="H352" t="n">
        <v/>
      </c>
      <c r="I352" t="n">
        <v/>
      </c>
      <c r="J352" t="n">
        <v/>
      </c>
      <c r="K352" t="n">
        <v>9.052892</v>
      </c>
      <c r="L352" t="n">
        <v>10.50105</v>
      </c>
      <c r="M352" t="n">
        <v/>
      </c>
      <c r="N352" t="n">
        <v/>
      </c>
      <c r="O352" t="n">
        <v/>
      </c>
      <c r="P352" t="n">
        <v>0.4308831</v>
      </c>
      <c r="Q352" t="n">
        <v>0.1636134</v>
      </c>
      <c r="R352" t="n">
        <v/>
      </c>
      <c r="S352" t="n">
        <v>24.42553</v>
      </c>
      <c r="T352" t="n">
        <v>0.4768703</v>
      </c>
      <c r="U352" t="n">
        <v>0.007717619</v>
      </c>
      <c r="V352" t="n">
        <v>6.983389</v>
      </c>
      <c r="W352" t="n">
        <v>2.384577</v>
      </c>
      <c r="X352" t="n">
        <v>3.172948</v>
      </c>
      <c r="Y352" t="n">
        <v>0.2735553</v>
      </c>
      <c r="Z352" t="n">
        <v/>
      </c>
      <c r="AA352" t="n">
        <v/>
      </c>
      <c r="AB352" t="n">
        <v>10.31415</v>
      </c>
      <c r="AC352" t="n">
        <v>6.4175e-05</v>
      </c>
      <c r="AD352" t="n">
        <v>12.45154</v>
      </c>
      <c r="AE352" t="n">
        <v>1.018906</v>
      </c>
    </row>
    <row r="353">
      <c r="A353" s="87" t="n">
        <v>29312</v>
      </c>
      <c r="B353" t="n">
        <v>3.294771</v>
      </c>
      <c r="C353" t="n">
        <v/>
      </c>
      <c r="D353" t="n">
        <v>9.409428999999999</v>
      </c>
      <c r="E353" t="n">
        <v>20.85865</v>
      </c>
      <c r="F353" t="n">
        <v/>
      </c>
      <c r="G353" t="n">
        <v/>
      </c>
      <c r="H353" t="n">
        <v/>
      </c>
      <c r="I353" t="n">
        <v/>
      </c>
      <c r="J353" t="n">
        <v/>
      </c>
      <c r="K353" t="n">
        <v>9.087802999999999</v>
      </c>
      <c r="L353" t="n">
        <v>10.56845</v>
      </c>
      <c r="M353" t="n">
        <v/>
      </c>
      <c r="N353" t="n">
        <v/>
      </c>
      <c r="O353" t="n">
        <v/>
      </c>
      <c r="P353" t="n">
        <v>0.4362835</v>
      </c>
      <c r="Q353" t="n">
        <v>0.1715925</v>
      </c>
      <c r="R353" t="n">
        <v/>
      </c>
      <c r="S353" t="n">
        <v>24.59731</v>
      </c>
      <c r="T353" t="n">
        <v>0.4884493</v>
      </c>
      <c r="U353" t="n">
        <v>0.007916764999999999</v>
      </c>
      <c r="V353" t="n">
        <v>7.0443</v>
      </c>
      <c r="W353" t="n">
        <v>2.408262</v>
      </c>
      <c r="X353" t="n">
        <v>3.193445</v>
      </c>
      <c r="Y353" t="n">
        <v>0.2771023</v>
      </c>
      <c r="Z353" t="n">
        <v/>
      </c>
      <c r="AA353" t="n">
        <v/>
      </c>
      <c r="AB353" t="n">
        <v>10.37246</v>
      </c>
      <c r="AC353" t="n">
        <v>6.611200000000001e-05</v>
      </c>
      <c r="AD353" t="n">
        <v>12.47146</v>
      </c>
      <c r="AE353" t="n">
        <v>1.029501</v>
      </c>
    </row>
    <row r="354">
      <c r="A354" s="87" t="n">
        <v>29342</v>
      </c>
      <c r="B354" t="n">
        <v>3.322788</v>
      </c>
      <c r="C354" t="n">
        <v/>
      </c>
      <c r="D354" t="n">
        <v>9.543836000000001</v>
      </c>
      <c r="E354" t="n">
        <v>20.78868</v>
      </c>
      <c r="F354" t="n">
        <v/>
      </c>
      <c r="G354" t="n">
        <v/>
      </c>
      <c r="H354" t="n">
        <v/>
      </c>
      <c r="I354" t="n">
        <v/>
      </c>
      <c r="J354" t="n">
        <v/>
      </c>
      <c r="K354" t="n">
        <v>9.103354</v>
      </c>
      <c r="L354" t="n">
        <v>10.60635</v>
      </c>
      <c r="M354" t="n">
        <v/>
      </c>
      <c r="N354" t="n">
        <v/>
      </c>
      <c r="O354" t="n">
        <v/>
      </c>
      <c r="P354" t="n">
        <v>0.4410809</v>
      </c>
      <c r="Q354" t="n">
        <v>0.1795664</v>
      </c>
      <c r="R354" t="n">
        <v/>
      </c>
      <c r="S354" t="n">
        <v>24.79363</v>
      </c>
      <c r="T354" t="n">
        <v>0.497136</v>
      </c>
      <c r="U354" t="n">
        <v>0.008132708000000001</v>
      </c>
      <c r="V354" t="n">
        <v>7.156661</v>
      </c>
      <c r="W354" t="n">
        <v>2.435349</v>
      </c>
      <c r="X354" t="n">
        <v>3.224794</v>
      </c>
      <c r="Y354" t="n">
        <v>0.2809825</v>
      </c>
      <c r="Z354" t="n">
        <v/>
      </c>
      <c r="AA354" t="n">
        <v/>
      </c>
      <c r="AB354" t="n">
        <v>10.44545</v>
      </c>
      <c r="AC354" t="n">
        <v>6.8255e-05</v>
      </c>
      <c r="AD354" t="n">
        <v>12.55531</v>
      </c>
      <c r="AE354" t="n">
        <v>1.033571</v>
      </c>
    </row>
    <row r="355">
      <c r="A355" s="87" t="n">
        <v>29373</v>
      </c>
      <c r="B355" t="n">
        <v>3.356408</v>
      </c>
      <c r="C355" t="n">
        <v/>
      </c>
      <c r="D355" t="n">
        <v>9.675554</v>
      </c>
      <c r="E355" t="n">
        <v>20.71</v>
      </c>
      <c r="F355" t="n">
        <v/>
      </c>
      <c r="G355" t="n">
        <v/>
      </c>
      <c r="H355" t="n">
        <v/>
      </c>
      <c r="I355" t="n">
        <v/>
      </c>
      <c r="J355" t="n">
        <v/>
      </c>
      <c r="K355" t="n">
        <v>9.169413</v>
      </c>
      <c r="L355" t="n">
        <v>10.70413</v>
      </c>
      <c r="M355" t="n">
        <v/>
      </c>
      <c r="N355" t="n">
        <v/>
      </c>
      <c r="O355" t="n">
        <v/>
      </c>
      <c r="P355" t="n">
        <v>0.4437073</v>
      </c>
      <c r="Q355" t="n">
        <v>0.18501</v>
      </c>
      <c r="R355" t="n">
        <v/>
      </c>
      <c r="S355" t="n">
        <v>24.88361</v>
      </c>
      <c r="T355" t="n">
        <v>0.5087127</v>
      </c>
      <c r="U355" t="n">
        <v>0.008431284000000001</v>
      </c>
      <c r="V355" t="n">
        <v>7.2332</v>
      </c>
      <c r="W355" t="n">
        <v>2.478129</v>
      </c>
      <c r="X355" t="n">
        <v>3.263733</v>
      </c>
      <c r="Y355" t="n">
        <v>0.2846061</v>
      </c>
      <c r="Z355" t="n">
        <v/>
      </c>
      <c r="AA355" t="n">
        <v/>
      </c>
      <c r="AB355" t="n">
        <v>10.53694</v>
      </c>
      <c r="AC355" t="n">
        <v>7.0181e-05</v>
      </c>
      <c r="AD355" t="n">
        <v>12.69562</v>
      </c>
      <c r="AE355" t="n">
        <v>1.053681</v>
      </c>
    </row>
    <row r="356">
      <c r="A356" s="87" t="n">
        <v>29403</v>
      </c>
      <c r="B356" t="n">
        <v>3.398433</v>
      </c>
      <c r="C356" t="n">
        <v/>
      </c>
      <c r="D356" t="n">
        <v>9.791093</v>
      </c>
      <c r="E356" t="n">
        <v>20.67391</v>
      </c>
      <c r="F356" t="n">
        <v/>
      </c>
      <c r="G356" t="n">
        <v/>
      </c>
      <c r="H356" t="n">
        <v/>
      </c>
      <c r="I356" t="n">
        <v/>
      </c>
      <c r="J356" t="n">
        <v/>
      </c>
      <c r="K356" t="n">
        <v>9.21574</v>
      </c>
      <c r="L356" t="n">
        <v>10.80115</v>
      </c>
      <c r="M356" t="n">
        <v/>
      </c>
      <c r="N356" t="n">
        <v/>
      </c>
      <c r="O356" t="n">
        <v/>
      </c>
      <c r="P356" t="n">
        <v>0.4474412</v>
      </c>
      <c r="Q356" t="n">
        <v>0.1914449</v>
      </c>
      <c r="R356" t="n">
        <v/>
      </c>
      <c r="S356" t="n">
        <v>24.98995</v>
      </c>
      <c r="T356" t="n">
        <v>0.5191749</v>
      </c>
      <c r="U356" t="n">
        <v>0.008682034999999999</v>
      </c>
      <c r="V356" t="n">
        <v>7.268801</v>
      </c>
      <c r="W356" t="n">
        <v>2.526233</v>
      </c>
      <c r="X356" t="n">
        <v>3.309321</v>
      </c>
      <c r="Y356" t="n">
        <v>0.2961094</v>
      </c>
      <c r="Z356" t="n">
        <v/>
      </c>
      <c r="AA356" t="n">
        <v/>
      </c>
      <c r="AB356" t="n">
        <v>10.65679</v>
      </c>
      <c r="AC356" t="n">
        <v>7.7606e-05</v>
      </c>
      <c r="AD356" t="n">
        <v>12.83094</v>
      </c>
      <c r="AE356" t="n">
        <v>1.082661</v>
      </c>
    </row>
    <row r="357">
      <c r="A357" s="87" t="n">
        <v>29434</v>
      </c>
      <c r="B357" t="n">
        <v>3.440459</v>
      </c>
      <c r="C357" t="n">
        <v/>
      </c>
      <c r="D357" t="n">
        <v>9.776464000000001</v>
      </c>
      <c r="E357" t="n">
        <v>20.6958</v>
      </c>
      <c r="F357" t="n">
        <v/>
      </c>
      <c r="G357" t="n">
        <v/>
      </c>
      <c r="H357" t="n">
        <v/>
      </c>
      <c r="I357" t="n">
        <v/>
      </c>
      <c r="J357" t="n">
        <v/>
      </c>
      <c r="K357" t="n">
        <v>9.278383</v>
      </c>
      <c r="L357" t="n">
        <v>10.82687</v>
      </c>
      <c r="M357" t="n">
        <v/>
      </c>
      <c r="N357" t="n">
        <v/>
      </c>
      <c r="O357" t="n">
        <v/>
      </c>
      <c r="P357" t="n">
        <v>0.4533649</v>
      </c>
      <c r="Q357" t="n">
        <v>0.1994011</v>
      </c>
      <c r="R357" t="n">
        <v/>
      </c>
      <c r="S357" t="n">
        <v>25.12083</v>
      </c>
      <c r="T357" t="n">
        <v>0.5306684</v>
      </c>
      <c r="U357" t="n">
        <v>0.008893781</v>
      </c>
      <c r="V357" t="n">
        <v>7.373771</v>
      </c>
      <c r="W357" t="n">
        <v>2.565848</v>
      </c>
      <c r="X357" t="n">
        <v>3.352237</v>
      </c>
      <c r="Y357" t="n">
        <v>0.3083749</v>
      </c>
      <c r="Z357" t="n">
        <v/>
      </c>
      <c r="AA357" t="n">
        <v/>
      </c>
      <c r="AB357" t="n">
        <v>10.74394</v>
      </c>
      <c r="AC357" t="n">
        <v>8.5264e-05</v>
      </c>
      <c r="AD357" t="n">
        <v>12.96378</v>
      </c>
      <c r="AE357" t="n">
        <v>1.107053</v>
      </c>
    </row>
    <row r="358">
      <c r="A358" s="87" t="n">
        <v>29465</v>
      </c>
      <c r="B358" t="n">
        <v>3.471277</v>
      </c>
      <c r="C358" t="n">
        <v/>
      </c>
      <c r="D358" t="n">
        <v>9.846251000000001</v>
      </c>
      <c r="E358" t="n">
        <v>20.78334</v>
      </c>
      <c r="F358" t="n">
        <v/>
      </c>
      <c r="G358" t="n">
        <v/>
      </c>
      <c r="H358" t="n">
        <v/>
      </c>
      <c r="I358" t="n">
        <v/>
      </c>
      <c r="J358" t="n">
        <v/>
      </c>
      <c r="K358" t="n">
        <v>9.404995</v>
      </c>
      <c r="L358" t="n">
        <v>10.85962</v>
      </c>
      <c r="M358" t="n">
        <v/>
      </c>
      <c r="N358" t="n">
        <v/>
      </c>
      <c r="O358" t="n">
        <v/>
      </c>
      <c r="P358" t="n">
        <v>0.4598303</v>
      </c>
      <c r="Q358" t="n">
        <v>0.2084551</v>
      </c>
      <c r="R358" t="n">
        <v/>
      </c>
      <c r="S358" t="n">
        <v>25.24353</v>
      </c>
      <c r="T358" t="n">
        <v>0.5452309</v>
      </c>
      <c r="U358" t="n">
        <v>0.009134246</v>
      </c>
      <c r="V358" t="n">
        <v>7.465675</v>
      </c>
      <c r="W358" t="n">
        <v>2.627764</v>
      </c>
      <c r="X358" t="n">
        <v>3.388273</v>
      </c>
      <c r="Y358" t="n">
        <v>0.315942</v>
      </c>
      <c r="Z358" t="n">
        <v/>
      </c>
      <c r="AA358" t="n">
        <v/>
      </c>
      <c r="AB358" t="n">
        <v>10.78914</v>
      </c>
      <c r="AC358" t="n">
        <v>8.9515e-05</v>
      </c>
      <c r="AD358" t="n">
        <v>13.06755</v>
      </c>
      <c r="AE358" t="n">
        <v>1.130301</v>
      </c>
    </row>
    <row r="359">
      <c r="A359" s="87" t="n">
        <v>29495</v>
      </c>
      <c r="B359" t="n">
        <v>3.5105</v>
      </c>
      <c r="C359" t="n">
        <v/>
      </c>
      <c r="D359" t="n">
        <v>9.961687</v>
      </c>
      <c r="E359" t="n">
        <v>20.88386</v>
      </c>
      <c r="F359" t="n">
        <v/>
      </c>
      <c r="G359" t="n">
        <v/>
      </c>
      <c r="H359" t="n">
        <v/>
      </c>
      <c r="I359" t="n">
        <v/>
      </c>
      <c r="J359" t="n">
        <v/>
      </c>
      <c r="K359" t="n">
        <v>9.568272</v>
      </c>
      <c r="L359" t="n">
        <v>10.91513</v>
      </c>
      <c r="M359" t="n">
        <v/>
      </c>
      <c r="N359" t="n">
        <v/>
      </c>
      <c r="O359" t="n">
        <v/>
      </c>
      <c r="P359" t="n">
        <v>0.4672821</v>
      </c>
      <c r="Q359" t="n">
        <v>0.2189587</v>
      </c>
      <c r="R359" t="n">
        <v/>
      </c>
      <c r="S359" t="n">
        <v>25.38259</v>
      </c>
      <c r="T359" t="n">
        <v>0.5536673</v>
      </c>
      <c r="U359" t="n">
        <v>0.009402506999999999</v>
      </c>
      <c r="V359" t="n">
        <v>7.541241</v>
      </c>
      <c r="W359" t="n">
        <v>2.667152</v>
      </c>
      <c r="X359" t="n">
        <v>3.426896</v>
      </c>
      <c r="Y359" t="n">
        <v>0.3255912</v>
      </c>
      <c r="Z359" t="n">
        <v/>
      </c>
      <c r="AA359" t="n">
        <v/>
      </c>
      <c r="AB359" t="n">
        <v>10.86918</v>
      </c>
      <c r="AC359" t="n">
        <v>9.5027e-05</v>
      </c>
      <c r="AD359" t="n">
        <v>13.15722</v>
      </c>
      <c r="AE359" t="n">
        <v>1.158936</v>
      </c>
    </row>
    <row r="360">
      <c r="A360" s="87" t="n">
        <v>29526</v>
      </c>
      <c r="B360" t="n">
        <v>3.555327</v>
      </c>
      <c r="C360" t="n">
        <v/>
      </c>
      <c r="D360" t="n">
        <v>10.07826</v>
      </c>
      <c r="E360" t="n">
        <v>20.96125</v>
      </c>
      <c r="F360" t="n">
        <v/>
      </c>
      <c r="G360" t="n">
        <v/>
      </c>
      <c r="H360" t="n">
        <v/>
      </c>
      <c r="I360" t="n">
        <v/>
      </c>
      <c r="J360" t="n">
        <v/>
      </c>
      <c r="K360" t="n">
        <v>9.753704000000001</v>
      </c>
      <c r="L360" t="n">
        <v>11.06384</v>
      </c>
      <c r="M360" t="n">
        <v/>
      </c>
      <c r="N360" t="n">
        <v/>
      </c>
      <c r="O360" t="n">
        <v/>
      </c>
      <c r="P360" t="n">
        <v>0.4756908</v>
      </c>
      <c r="Q360" t="n">
        <v>0.2298227</v>
      </c>
      <c r="R360" t="n">
        <v/>
      </c>
      <c r="S360" t="n">
        <v>25.58709</v>
      </c>
      <c r="T360" t="n">
        <v>0.559927</v>
      </c>
      <c r="U360" t="n">
        <v>0.009720447</v>
      </c>
      <c r="V360" t="n">
        <v>7.639981</v>
      </c>
      <c r="W360" t="n">
        <v>2.702134</v>
      </c>
      <c r="X360" t="n">
        <v>3.467021</v>
      </c>
      <c r="Y360" t="n">
        <v>0.3331957</v>
      </c>
      <c r="Z360" t="n">
        <v/>
      </c>
      <c r="AA360" t="n">
        <v/>
      </c>
      <c r="AB360" t="n">
        <v>10.98007</v>
      </c>
      <c r="AC360" t="n">
        <v>9.891900000000001e-05</v>
      </c>
      <c r="AD360" t="n">
        <v>13.24854</v>
      </c>
      <c r="AE360" t="n">
        <v>1.180304</v>
      </c>
    </row>
    <row r="361">
      <c r="A361" s="87" t="n">
        <v>29556</v>
      </c>
      <c r="B361" t="n">
        <v>3.594551</v>
      </c>
      <c r="C361" t="n">
        <v/>
      </c>
      <c r="D361" t="n">
        <v>10.19607</v>
      </c>
      <c r="E361" t="n">
        <v>21.08422</v>
      </c>
      <c r="F361" t="n">
        <v/>
      </c>
      <c r="G361" t="n">
        <v/>
      </c>
      <c r="H361" t="n">
        <v/>
      </c>
      <c r="I361" t="n">
        <v/>
      </c>
      <c r="J361" t="n">
        <v/>
      </c>
      <c r="K361" t="n">
        <v>9.862261999999999</v>
      </c>
      <c r="L361" t="n">
        <v>11.39776</v>
      </c>
      <c r="M361" t="n">
        <v/>
      </c>
      <c r="N361" t="n">
        <v/>
      </c>
      <c r="O361" t="n">
        <v/>
      </c>
      <c r="P361" t="n">
        <v>0.4827676</v>
      </c>
      <c r="Q361" t="n">
        <v>0.2401843</v>
      </c>
      <c r="R361" t="n">
        <v/>
      </c>
      <c r="S361" t="n">
        <v>25.75887</v>
      </c>
      <c r="T361" t="n">
        <v>0.5796772</v>
      </c>
      <c r="U361" t="n">
        <v>0.01012419</v>
      </c>
      <c r="V361" t="n">
        <v>7.740711</v>
      </c>
      <c r="W361" t="n">
        <v>2.756258</v>
      </c>
      <c r="X361" t="n">
        <v>3.499332</v>
      </c>
      <c r="Y361" t="n">
        <v>0.3391215</v>
      </c>
      <c r="Z361" t="n">
        <v/>
      </c>
      <c r="AA361" t="n">
        <v/>
      </c>
      <c r="AB361" t="n">
        <v>11.16738</v>
      </c>
      <c r="AC361" t="n">
        <v>0.000101481</v>
      </c>
      <c r="AD361" t="n">
        <v>13.28175</v>
      </c>
      <c r="AE361" t="n">
        <v>1.198539</v>
      </c>
    </row>
    <row r="362">
      <c r="A362" s="87" t="n">
        <v>29587</v>
      </c>
      <c r="B362" t="n">
        <v>3.628171</v>
      </c>
      <c r="C362" t="n">
        <v/>
      </c>
      <c r="D362" t="n">
        <v>10.41298</v>
      </c>
      <c r="E362" t="n">
        <v>21.16707</v>
      </c>
      <c r="F362" t="n">
        <v/>
      </c>
      <c r="G362" t="n">
        <v/>
      </c>
      <c r="H362" t="n">
        <v/>
      </c>
      <c r="I362" t="n">
        <v/>
      </c>
      <c r="J362" t="n">
        <v/>
      </c>
      <c r="K362" t="n">
        <v>9.903942000000001</v>
      </c>
      <c r="L362" t="n">
        <v>11.5548</v>
      </c>
      <c r="M362" t="n">
        <v/>
      </c>
      <c r="N362" t="n">
        <v/>
      </c>
      <c r="O362" t="n">
        <v/>
      </c>
      <c r="P362" t="n">
        <v>0.4905824</v>
      </c>
      <c r="Q362" t="n">
        <v>0.2538308</v>
      </c>
      <c r="R362" t="n">
        <v/>
      </c>
      <c r="S362" t="n">
        <v>25.93065</v>
      </c>
      <c r="T362" t="n">
        <v>0.5970965</v>
      </c>
      <c r="U362" t="n">
        <v>0.01045117</v>
      </c>
      <c r="V362" t="n">
        <v>7.854198</v>
      </c>
      <c r="W362" t="n">
        <v>2.978422</v>
      </c>
      <c r="X362" t="n">
        <v>3.535215</v>
      </c>
      <c r="Y362" t="n">
        <v>0.344708</v>
      </c>
      <c r="Z362" t="n">
        <v/>
      </c>
      <c r="AA362" t="n">
        <v/>
      </c>
      <c r="AB362" t="n">
        <v>11.25028</v>
      </c>
      <c r="AC362" t="n">
        <v>0.000104351</v>
      </c>
      <c r="AD362" t="n">
        <v>13.34069</v>
      </c>
      <c r="AE362" t="n">
        <v>1.220656</v>
      </c>
    </row>
    <row r="363">
      <c r="A363" s="87" t="n">
        <v>29618</v>
      </c>
      <c r="B363" t="n">
        <v>3.656188</v>
      </c>
      <c r="C363" t="n">
        <v/>
      </c>
      <c r="D363" t="n">
        <v>10.65802</v>
      </c>
      <c r="E363" t="n">
        <v>21.19756</v>
      </c>
      <c r="F363" t="n">
        <v/>
      </c>
      <c r="G363" t="n">
        <v/>
      </c>
      <c r="H363" t="n">
        <v/>
      </c>
      <c r="I363" t="n">
        <v/>
      </c>
      <c r="J363" t="n">
        <v/>
      </c>
      <c r="K363" t="n">
        <v>10.00008</v>
      </c>
      <c r="L363" t="n">
        <v>11.53819</v>
      </c>
      <c r="M363" t="n">
        <v/>
      </c>
      <c r="N363" t="n">
        <v/>
      </c>
      <c r="O363" t="n">
        <v/>
      </c>
      <c r="P363" t="n">
        <v>0.4992913</v>
      </c>
      <c r="Q363" t="n">
        <v>0.2695014</v>
      </c>
      <c r="R363" t="n">
        <v/>
      </c>
      <c r="S363" t="n">
        <v>26.12697</v>
      </c>
      <c r="T363" t="n">
        <v>0.6093075999999999</v>
      </c>
      <c r="U363" t="n">
        <v>0.01068727</v>
      </c>
      <c r="V363" t="n">
        <v>7.929842</v>
      </c>
      <c r="W363" t="n">
        <v>3.249067</v>
      </c>
      <c r="X363" t="n">
        <v>3.573079</v>
      </c>
      <c r="Y363" t="n">
        <v>0.3497111</v>
      </c>
      <c r="Z363" t="n">
        <v/>
      </c>
      <c r="AA363" t="n">
        <v/>
      </c>
      <c r="AB363" t="n">
        <v>11.1776</v>
      </c>
      <c r="AC363" t="n">
        <v>0.000108357</v>
      </c>
      <c r="AD363" t="n">
        <v>13.43866</v>
      </c>
      <c r="AE363" t="n">
        <v>1.244737</v>
      </c>
    </row>
    <row r="364">
      <c r="A364" s="87" t="n">
        <v>29646</v>
      </c>
      <c r="B364" t="n">
        <v>3.687006</v>
      </c>
      <c r="C364" t="n">
        <v/>
      </c>
      <c r="D364" t="n">
        <v>10.62111</v>
      </c>
      <c r="E364" t="n">
        <v>21.27675</v>
      </c>
      <c r="F364" t="n">
        <v/>
      </c>
      <c r="G364" t="n">
        <v/>
      </c>
      <c r="H364" t="n">
        <v/>
      </c>
      <c r="I364" t="n">
        <v/>
      </c>
      <c r="J364" t="n">
        <v/>
      </c>
      <c r="K364" t="n">
        <v>10.08456</v>
      </c>
      <c r="L364" t="n">
        <v>11.60947</v>
      </c>
      <c r="M364" t="n">
        <v/>
      </c>
      <c r="N364" t="n">
        <v/>
      </c>
      <c r="O364" t="n">
        <v/>
      </c>
      <c r="P364" t="n">
        <v>0.507641</v>
      </c>
      <c r="Q364" t="n">
        <v>0.2806506</v>
      </c>
      <c r="R364" t="n">
        <v/>
      </c>
      <c r="S364" t="n">
        <v>26.32329</v>
      </c>
      <c r="T364" t="n">
        <v>0.6265978</v>
      </c>
      <c r="U364" t="n">
        <v>0.01108111</v>
      </c>
      <c r="V364" t="n">
        <v>7.914538</v>
      </c>
      <c r="W364" t="n">
        <v>3.241671</v>
      </c>
      <c r="X364" t="n">
        <v>3.615921</v>
      </c>
      <c r="Y364" t="n">
        <v>0.3549025</v>
      </c>
      <c r="Z364" t="n">
        <v/>
      </c>
      <c r="AA364" t="n">
        <v/>
      </c>
      <c r="AB364" t="n">
        <v>11.23761</v>
      </c>
      <c r="AC364" t="n">
        <v>0.000112224</v>
      </c>
      <c r="AD364" t="n">
        <v>13.58727</v>
      </c>
      <c r="AE364" t="n">
        <v>1.272779</v>
      </c>
    </row>
    <row r="365">
      <c r="A365" s="87" t="n">
        <v>29677</v>
      </c>
      <c r="B365" t="n">
        <v>3.720626</v>
      </c>
      <c r="C365" t="n">
        <v/>
      </c>
      <c r="D365" t="n">
        <v>10.68418</v>
      </c>
      <c r="E365" t="n">
        <v>21.3947</v>
      </c>
      <c r="F365" t="n">
        <v/>
      </c>
      <c r="G365" t="n">
        <v/>
      </c>
      <c r="H365" t="n">
        <v/>
      </c>
      <c r="I365" t="n">
        <v/>
      </c>
      <c r="J365" t="n">
        <v/>
      </c>
      <c r="K365" t="n">
        <v>10.18049</v>
      </c>
      <c r="L365" t="n">
        <v>11.68251</v>
      </c>
      <c r="M365" t="n">
        <v/>
      </c>
      <c r="N365" t="n">
        <v/>
      </c>
      <c r="O365" t="n">
        <v/>
      </c>
      <c r="P365" t="n">
        <v>0.5156795</v>
      </c>
      <c r="Q365" t="n">
        <v>0.2951231</v>
      </c>
      <c r="R365" t="n">
        <v/>
      </c>
      <c r="S365" t="n">
        <v>26.59323</v>
      </c>
      <c r="T365" t="n">
        <v>0.6423146</v>
      </c>
      <c r="U365" t="n">
        <v>0.01161029</v>
      </c>
      <c r="V365" t="n">
        <v>7.989538</v>
      </c>
      <c r="W365" t="n">
        <v>3.242064</v>
      </c>
      <c r="X365" t="n">
        <v>3.677611</v>
      </c>
      <c r="Y365" t="n">
        <v>0.366674</v>
      </c>
      <c r="Z365" t="n">
        <v/>
      </c>
      <c r="AA365" t="n">
        <v/>
      </c>
      <c r="AB365" t="n">
        <v>11.43051</v>
      </c>
      <c r="AC365" t="n">
        <v>0.000120819</v>
      </c>
      <c r="AD365" t="n">
        <v>13.7749</v>
      </c>
      <c r="AE365" t="n">
        <v>1.307369</v>
      </c>
    </row>
    <row r="366">
      <c r="A366" s="87" t="n">
        <v>29707</v>
      </c>
      <c r="B366" t="n">
        <v>3.75985</v>
      </c>
      <c r="C366" t="n">
        <v/>
      </c>
      <c r="D366" t="n">
        <v>10.69524</v>
      </c>
      <c r="E366" t="n">
        <v>21.51258</v>
      </c>
      <c r="F366" t="n">
        <v/>
      </c>
      <c r="G366" t="n">
        <v/>
      </c>
      <c r="H366" t="n">
        <v/>
      </c>
      <c r="I366" t="n">
        <v/>
      </c>
      <c r="J366" t="n">
        <v/>
      </c>
      <c r="K366" t="n">
        <v>10.27708</v>
      </c>
      <c r="L366" t="n">
        <v>11.79272</v>
      </c>
      <c r="M366" t="n">
        <v/>
      </c>
      <c r="N366" t="n">
        <v/>
      </c>
      <c r="O366" t="n">
        <v/>
      </c>
      <c r="P366" t="n">
        <v>0.5225905</v>
      </c>
      <c r="Q366" t="n">
        <v>0.3127218</v>
      </c>
      <c r="R366" t="n">
        <v/>
      </c>
      <c r="S366" t="n">
        <v>26.75683</v>
      </c>
      <c r="T366" t="n">
        <v>0.6546888</v>
      </c>
      <c r="U366" t="n">
        <v>0.01210499</v>
      </c>
      <c r="V366" t="n">
        <v>8.102182000000001</v>
      </c>
      <c r="W366" t="n">
        <v>3.406044</v>
      </c>
      <c r="X366" t="n">
        <v>3.716606</v>
      </c>
      <c r="Y366" t="n">
        <v>0.3803182</v>
      </c>
      <c r="Z366" t="n">
        <v/>
      </c>
      <c r="AA366" t="n">
        <v/>
      </c>
      <c r="AB366" t="n">
        <v>11.55608</v>
      </c>
      <c r="AC366" t="n">
        <v>0.000131271</v>
      </c>
      <c r="AD366" t="n">
        <v>13.81641</v>
      </c>
      <c r="AE366" t="n">
        <v>1.334731</v>
      </c>
    </row>
    <row r="367">
      <c r="A367" s="87" t="n">
        <v>29738</v>
      </c>
      <c r="B367" t="n">
        <v>3.804677</v>
      </c>
      <c r="C367" t="n">
        <v/>
      </c>
      <c r="D367" t="n">
        <v>10.89261</v>
      </c>
      <c r="E367" t="n">
        <v>21.65125</v>
      </c>
      <c r="F367" t="n">
        <v/>
      </c>
      <c r="G367" t="n">
        <v/>
      </c>
      <c r="H367" t="n">
        <v/>
      </c>
      <c r="I367" t="n">
        <v/>
      </c>
      <c r="J367" t="n">
        <v/>
      </c>
      <c r="K367" t="n">
        <v>10.3389</v>
      </c>
      <c r="L367" t="n">
        <v>11.91502</v>
      </c>
      <c r="M367" t="n">
        <v/>
      </c>
      <c r="N367" t="n">
        <v/>
      </c>
      <c r="O367" t="n">
        <v/>
      </c>
      <c r="P367" t="n">
        <v>0.5295406</v>
      </c>
      <c r="Q367" t="n">
        <v>0.3237512</v>
      </c>
      <c r="R367" t="n">
        <v/>
      </c>
      <c r="S367" t="n">
        <v>27.04313</v>
      </c>
      <c r="T367" t="n">
        <v>0.6670887</v>
      </c>
      <c r="U367" t="n">
        <v>0.01254493</v>
      </c>
      <c r="V367" t="n">
        <v>8.161056</v>
      </c>
      <c r="W367" t="n">
        <v>3.542017</v>
      </c>
      <c r="X367" t="n">
        <v>3.75673</v>
      </c>
      <c r="Y367" t="n">
        <v>0.3880507</v>
      </c>
      <c r="Z367" t="n">
        <v/>
      </c>
      <c r="AA367" t="n">
        <v/>
      </c>
      <c r="AB367" t="n">
        <v>11.59058</v>
      </c>
      <c r="AC367" t="n">
        <v>0.000137117</v>
      </c>
      <c r="AD367" t="n">
        <v>13.86705</v>
      </c>
      <c r="AE367" t="n">
        <v>1.348952</v>
      </c>
    </row>
    <row r="368">
      <c r="A368" s="87" t="n">
        <v>29768</v>
      </c>
      <c r="B368" t="n">
        <v>3.841098</v>
      </c>
      <c r="C368" t="n">
        <v/>
      </c>
      <c r="D368" t="n">
        <v>11.03715</v>
      </c>
      <c r="E368" t="n">
        <v>21.7928</v>
      </c>
      <c r="F368" t="n">
        <v/>
      </c>
      <c r="G368" t="n">
        <v/>
      </c>
      <c r="H368" t="n">
        <v/>
      </c>
      <c r="I368" t="n">
        <v/>
      </c>
      <c r="J368" t="n">
        <v/>
      </c>
      <c r="K368" t="n">
        <v>10.40407</v>
      </c>
      <c r="L368" t="n">
        <v>11.96699</v>
      </c>
      <c r="M368" t="n">
        <v/>
      </c>
      <c r="N368" t="n">
        <v/>
      </c>
      <c r="O368" t="n">
        <v/>
      </c>
      <c r="P368" t="n">
        <v>0.537683</v>
      </c>
      <c r="Q368" t="n">
        <v>0.3381612</v>
      </c>
      <c r="R368" t="n">
        <v/>
      </c>
      <c r="S368" t="n">
        <v>27.25581</v>
      </c>
      <c r="T368" t="n">
        <v>0.6781814</v>
      </c>
      <c r="U368" t="n">
        <v>0.01296565</v>
      </c>
      <c r="V368" t="n">
        <v>8.246729</v>
      </c>
      <c r="W368" t="n">
        <v>3.634371</v>
      </c>
      <c r="X368" t="n">
        <v>3.804333</v>
      </c>
      <c r="Y368" t="n">
        <v>0.4013133</v>
      </c>
      <c r="Z368" t="n">
        <v/>
      </c>
      <c r="AA368" t="n">
        <v/>
      </c>
      <c r="AB368" t="n">
        <v>11.53765</v>
      </c>
      <c r="AC368" t="n">
        <v>0.000148328</v>
      </c>
      <c r="AD368" t="n">
        <v>13.96335</v>
      </c>
      <c r="AE368" t="n">
        <v>1.366034</v>
      </c>
    </row>
    <row r="369">
      <c r="A369" s="87" t="n">
        <v>29799</v>
      </c>
      <c r="B369" t="n">
        <v>3.869115</v>
      </c>
      <c r="C369" t="n">
        <v/>
      </c>
      <c r="D369" t="n">
        <v>11.272</v>
      </c>
      <c r="E369" t="n">
        <v>21.84563</v>
      </c>
      <c r="F369" t="n">
        <v/>
      </c>
      <c r="G369" t="n">
        <v/>
      </c>
      <c r="H369" t="n">
        <v/>
      </c>
      <c r="I369" t="n">
        <v/>
      </c>
      <c r="J369" t="n">
        <v/>
      </c>
      <c r="K369" t="n">
        <v>10.65027</v>
      </c>
      <c r="L369" t="n">
        <v>11.96821</v>
      </c>
      <c r="M369" t="n">
        <v/>
      </c>
      <c r="N369" t="n">
        <v/>
      </c>
      <c r="O369" t="n">
        <v/>
      </c>
      <c r="P369" t="n">
        <v>0.5424854</v>
      </c>
      <c r="Q369" t="n">
        <v>0.3557804</v>
      </c>
      <c r="R369" t="n">
        <v/>
      </c>
      <c r="S369" t="n">
        <v>27.49303</v>
      </c>
      <c r="T369" t="n">
        <v>0.6905159</v>
      </c>
      <c r="U369" t="n">
        <v>0.01336107</v>
      </c>
      <c r="V369" t="n">
        <v>8.326178000000001</v>
      </c>
      <c r="W369" t="n">
        <v>3.719534</v>
      </c>
      <c r="X369" t="n">
        <v>3.853251</v>
      </c>
      <c r="Y369" t="n">
        <v>0.4133644</v>
      </c>
      <c r="Z369" t="n">
        <v/>
      </c>
      <c r="AA369" t="n">
        <v/>
      </c>
      <c r="AB369" t="n">
        <v>11.61517</v>
      </c>
      <c r="AC369" t="n">
        <v>0.000157352</v>
      </c>
      <c r="AD369" t="n">
        <v>14.0663</v>
      </c>
      <c r="AE369" t="n">
        <v>1.381538</v>
      </c>
    </row>
    <row r="370">
      <c r="A370" s="87" t="n">
        <v>29830</v>
      </c>
      <c r="B370" t="n">
        <v>3.899934</v>
      </c>
      <c r="C370" t="n">
        <v/>
      </c>
      <c r="D370" t="n">
        <v>11.33476</v>
      </c>
      <c r="E370" t="n">
        <v>21.83903</v>
      </c>
      <c r="F370" t="n">
        <v/>
      </c>
      <c r="G370" t="n">
        <v/>
      </c>
      <c r="H370" t="n">
        <v/>
      </c>
      <c r="I370" t="n">
        <v/>
      </c>
      <c r="J370" t="n">
        <v/>
      </c>
      <c r="K370" t="n">
        <v>10.71031</v>
      </c>
      <c r="L370" t="n">
        <v>12.03075</v>
      </c>
      <c r="M370" t="n">
        <v/>
      </c>
      <c r="N370" t="n">
        <v/>
      </c>
      <c r="O370" t="n">
        <v/>
      </c>
      <c r="P370" t="n">
        <v>0.5461467</v>
      </c>
      <c r="Q370" t="n">
        <v>0.3682985</v>
      </c>
      <c r="R370" t="n">
        <v/>
      </c>
      <c r="S370" t="n">
        <v>27.73843</v>
      </c>
      <c r="T370" t="n">
        <v>0.7048416</v>
      </c>
      <c r="U370" t="n">
        <v>0.01380726</v>
      </c>
      <c r="V370" t="n">
        <v>8.44197</v>
      </c>
      <c r="W370" t="n">
        <v>3.783665</v>
      </c>
      <c r="X370" t="n">
        <v>3.892954</v>
      </c>
      <c r="Y370" t="n">
        <v>0.4179671</v>
      </c>
      <c r="Z370" t="n">
        <v/>
      </c>
      <c r="AA370" t="n">
        <v/>
      </c>
      <c r="AB370" t="n">
        <v>11.7979</v>
      </c>
      <c r="AC370" t="n">
        <v>0.000159778</v>
      </c>
      <c r="AD370" t="n">
        <v>14.16344</v>
      </c>
      <c r="AE370" t="n">
        <v>1.381235</v>
      </c>
    </row>
    <row r="371">
      <c r="A371" s="87" t="n">
        <v>29860</v>
      </c>
      <c r="B371" t="n">
        <v>3.936355</v>
      </c>
      <c r="C371" t="n">
        <v/>
      </c>
      <c r="D371" t="n">
        <v>11.32246</v>
      </c>
      <c r="E371" t="n">
        <v>21.8185</v>
      </c>
      <c r="F371" t="n">
        <v/>
      </c>
      <c r="G371" t="n">
        <v/>
      </c>
      <c r="H371" t="n">
        <v/>
      </c>
      <c r="I371" t="n">
        <v/>
      </c>
      <c r="J371" t="n">
        <v/>
      </c>
      <c r="K371" t="n">
        <v>10.61846</v>
      </c>
      <c r="L371" t="n">
        <v>12.11512</v>
      </c>
      <c r="M371" t="n">
        <v/>
      </c>
      <c r="N371" t="n">
        <v/>
      </c>
      <c r="O371" t="n">
        <v/>
      </c>
      <c r="P371" t="n">
        <v>0.5547605</v>
      </c>
      <c r="Q371" t="n">
        <v>0.382011</v>
      </c>
      <c r="R371" t="n">
        <v/>
      </c>
      <c r="S371" t="n">
        <v>28.01655</v>
      </c>
      <c r="T371" t="n">
        <v>0.7212936</v>
      </c>
      <c r="U371" t="n">
        <v>0.01426318</v>
      </c>
      <c r="V371" t="n">
        <v>8.530984999999999</v>
      </c>
      <c r="W371" t="n">
        <v>3.860488</v>
      </c>
      <c r="X371" t="n">
        <v>3.946369</v>
      </c>
      <c r="Y371" t="n">
        <v>0.4319825</v>
      </c>
      <c r="Z371" t="n">
        <v/>
      </c>
      <c r="AA371" t="n">
        <v/>
      </c>
      <c r="AB371" t="n">
        <v>11.94102</v>
      </c>
      <c r="AC371" t="n">
        <v>0.000171874</v>
      </c>
      <c r="AD371" t="n">
        <v>14.29461</v>
      </c>
      <c r="AE371" t="n">
        <v>1.388174</v>
      </c>
    </row>
    <row r="372">
      <c r="A372" s="87" t="n">
        <v>29891</v>
      </c>
      <c r="B372" t="n">
        <v>3.972777</v>
      </c>
      <c r="C372" t="n">
        <v/>
      </c>
      <c r="D372" t="n">
        <v>11.16339</v>
      </c>
      <c r="E372" t="n">
        <v>21.8069</v>
      </c>
      <c r="F372" t="n">
        <v/>
      </c>
      <c r="G372" t="n">
        <v/>
      </c>
      <c r="H372" t="n">
        <v/>
      </c>
      <c r="I372" t="n">
        <v/>
      </c>
      <c r="J372" t="n">
        <v/>
      </c>
      <c r="K372" t="n">
        <v>10.82757</v>
      </c>
      <c r="L372" t="n">
        <v>12.21845</v>
      </c>
      <c r="M372" t="n">
        <v/>
      </c>
      <c r="N372" t="n">
        <v/>
      </c>
      <c r="O372" t="n">
        <v/>
      </c>
      <c r="P372" t="n">
        <v>0.5599707</v>
      </c>
      <c r="Q372" t="n">
        <v>0.4009482</v>
      </c>
      <c r="R372" t="n">
        <v/>
      </c>
      <c r="S372" t="n">
        <v>28.21288</v>
      </c>
      <c r="T372" t="n">
        <v>0.7400307</v>
      </c>
      <c r="U372" t="n">
        <v>0.01465469</v>
      </c>
      <c r="V372" t="n">
        <v>8.560876</v>
      </c>
      <c r="W372" t="n">
        <v>3.926356</v>
      </c>
      <c r="X372" t="n">
        <v>3.993283</v>
      </c>
      <c r="Y372" t="n">
        <v>0.4477813</v>
      </c>
      <c r="Z372" t="n">
        <v/>
      </c>
      <c r="AA372" t="n">
        <v/>
      </c>
      <c r="AB372" t="n">
        <v>12.00661</v>
      </c>
      <c r="AC372" t="n">
        <v>0.000185035</v>
      </c>
      <c r="AD372" t="n">
        <v>14.41333</v>
      </c>
      <c r="AE372" t="n">
        <v>1.40994</v>
      </c>
    </row>
    <row r="373">
      <c r="A373" s="87" t="n">
        <v>29921</v>
      </c>
      <c r="B373" t="n">
        <v>4.003595</v>
      </c>
      <c r="C373" t="n">
        <v/>
      </c>
      <c r="D373" t="n">
        <v>11.31062</v>
      </c>
      <c r="E373" t="n">
        <v>21.7557</v>
      </c>
      <c r="F373" t="n">
        <v/>
      </c>
      <c r="G373" t="n">
        <v/>
      </c>
      <c r="H373" t="n">
        <v/>
      </c>
      <c r="I373" t="n">
        <v/>
      </c>
      <c r="J373" t="n">
        <v/>
      </c>
      <c r="K373" t="n">
        <v>10.91061</v>
      </c>
      <c r="L373" t="n">
        <v>12.55037</v>
      </c>
      <c r="M373" t="n">
        <v/>
      </c>
      <c r="N373" t="n">
        <v/>
      </c>
      <c r="O373" t="n">
        <v/>
      </c>
      <c r="P373" t="n">
        <v>0.5638398999999999</v>
      </c>
      <c r="Q373" t="n">
        <v>0.4145447</v>
      </c>
      <c r="R373" t="n">
        <v/>
      </c>
      <c r="S373" t="n">
        <v>28.41738</v>
      </c>
      <c r="T373" t="n">
        <v>0.7615425</v>
      </c>
      <c r="U373" t="n">
        <v>0.01509401</v>
      </c>
      <c r="V373" t="n">
        <v>8.603138</v>
      </c>
      <c r="W373" t="n">
        <v>3.942002</v>
      </c>
      <c r="X373" t="n">
        <v>4.052195</v>
      </c>
      <c r="Y373" t="n">
        <v>0.4627376</v>
      </c>
      <c r="Z373" t="n">
        <v/>
      </c>
      <c r="AA373" t="n">
        <v/>
      </c>
      <c r="AB373" t="n">
        <v>12.33992</v>
      </c>
      <c r="AC373" t="n">
        <v>0.00019667</v>
      </c>
      <c r="AD373" t="n">
        <v>14.57439</v>
      </c>
      <c r="AE373" t="n">
        <v>1.422759</v>
      </c>
    </row>
    <row r="374">
      <c r="A374" s="87" t="n">
        <v>29952</v>
      </c>
      <c r="B374" t="n">
        <v>4.037216</v>
      </c>
      <c r="C374" t="n">
        <v/>
      </c>
      <c r="D374" t="n">
        <v>11.24098</v>
      </c>
      <c r="E374" t="n">
        <v>21.65178</v>
      </c>
      <c r="F374" t="n">
        <v/>
      </c>
      <c r="G374" t="n">
        <v/>
      </c>
      <c r="H374" t="n">
        <v/>
      </c>
      <c r="I374" t="n">
        <v/>
      </c>
      <c r="J374" t="n">
        <v/>
      </c>
      <c r="K374" t="n">
        <v>10.91096</v>
      </c>
      <c r="L374" t="n">
        <v>12.79003</v>
      </c>
      <c r="M374" t="n">
        <v/>
      </c>
      <c r="N374" t="n">
        <v/>
      </c>
      <c r="O374" t="n">
        <v/>
      </c>
      <c r="P374" t="n">
        <v>0.5683018</v>
      </c>
      <c r="Q374" t="n">
        <v>0.4267665</v>
      </c>
      <c r="R374" t="n">
        <v/>
      </c>
      <c r="S374" t="n">
        <v>28.6546</v>
      </c>
      <c r="T374" t="n">
        <v>0.7826685</v>
      </c>
      <c r="U374" t="n">
        <v>0.01560373</v>
      </c>
      <c r="V374" t="n">
        <v>8.690974000000001</v>
      </c>
      <c r="W374" t="n">
        <v>3.975161</v>
      </c>
      <c r="X374" t="n">
        <v>4.102854</v>
      </c>
      <c r="Y374" t="n">
        <v>0.4756843</v>
      </c>
      <c r="Z374" t="n">
        <v/>
      </c>
      <c r="AA374" t="n">
        <v/>
      </c>
      <c r="AB374" t="n">
        <v>12.64484</v>
      </c>
      <c r="AC374" t="n">
        <v>0.000206895</v>
      </c>
      <c r="AD374" t="n">
        <v>14.69809</v>
      </c>
      <c r="AE374" t="n">
        <v>1.428206</v>
      </c>
    </row>
    <row r="375">
      <c r="A375" s="87" t="n">
        <v>29983</v>
      </c>
      <c r="B375" t="n">
        <v>4.073637</v>
      </c>
      <c r="C375" t="n">
        <v/>
      </c>
      <c r="D375" t="n">
        <v>11.19616</v>
      </c>
      <c r="E375" t="n">
        <v>21.68362</v>
      </c>
      <c r="F375" t="n">
        <v/>
      </c>
      <c r="G375" t="n">
        <v/>
      </c>
      <c r="H375" t="n">
        <v>0.1771608</v>
      </c>
      <c r="I375" t="n">
        <v/>
      </c>
      <c r="J375" t="n">
        <v/>
      </c>
      <c r="K375" t="n">
        <v>11.021</v>
      </c>
      <c r="L375" t="n">
        <v>12.80822</v>
      </c>
      <c r="M375" t="n">
        <v/>
      </c>
      <c r="N375" t="n">
        <v/>
      </c>
      <c r="O375" t="n">
        <v/>
      </c>
      <c r="P375" t="n">
        <v>0.5721776</v>
      </c>
      <c r="Q375" t="n">
        <v>0.4437726</v>
      </c>
      <c r="R375" t="n">
        <v/>
      </c>
      <c r="S375" t="n">
        <v>28.85092</v>
      </c>
      <c r="T375" t="n">
        <v>0.798596</v>
      </c>
      <c r="U375" t="n">
        <v>0.01717754</v>
      </c>
      <c r="V375" t="n">
        <v>8.731602000000001</v>
      </c>
      <c r="W375" t="n">
        <v>4.022623</v>
      </c>
      <c r="X375" t="n">
        <v>4.152098</v>
      </c>
      <c r="Y375" t="n">
        <v>0.4810517</v>
      </c>
      <c r="Z375" t="n">
        <v/>
      </c>
      <c r="AA375" t="n">
        <v/>
      </c>
      <c r="AB375" t="n">
        <v>12.69007</v>
      </c>
      <c r="AC375" t="n">
        <v>0.000212031</v>
      </c>
      <c r="AD375" t="n">
        <v>14.73213</v>
      </c>
      <c r="AE375" t="n">
        <v>1.436037</v>
      </c>
    </row>
    <row r="376">
      <c r="A376" s="87" t="n">
        <v>30011</v>
      </c>
      <c r="B376" t="n">
        <v>4.107257</v>
      </c>
      <c r="C376" t="n">
        <v/>
      </c>
      <c r="D376" t="n">
        <v>11.28642</v>
      </c>
      <c r="E376" t="n">
        <v>21.7442</v>
      </c>
      <c r="F376" t="n">
        <v/>
      </c>
      <c r="G376" t="n">
        <v/>
      </c>
      <c r="H376" t="n">
        <v>0.1804304</v>
      </c>
      <c r="I376" t="n">
        <v/>
      </c>
      <c r="J376" t="n">
        <v/>
      </c>
      <c r="K376" t="n">
        <v>11.11571</v>
      </c>
      <c r="L376" t="n">
        <v>12.86188</v>
      </c>
      <c r="M376" t="n">
        <v/>
      </c>
      <c r="N376" t="n">
        <v/>
      </c>
      <c r="O376" t="n">
        <v/>
      </c>
      <c r="P376" t="n">
        <v>0.576221</v>
      </c>
      <c r="Q376" t="n">
        <v>0.4587705</v>
      </c>
      <c r="R376" t="n">
        <v/>
      </c>
      <c r="S376" t="n">
        <v>29.0227</v>
      </c>
      <c r="T376" t="n">
        <v>0.8166357</v>
      </c>
      <c r="U376" t="n">
        <v>0.01864573</v>
      </c>
      <c r="V376" t="n">
        <v>8.827809</v>
      </c>
      <c r="W376" t="n">
        <v>3.954267</v>
      </c>
      <c r="X376" t="n">
        <v>4.210426</v>
      </c>
      <c r="Y376" t="n">
        <v>0.4867011</v>
      </c>
      <c r="Z376" t="n">
        <v/>
      </c>
      <c r="AA376" t="n">
        <v/>
      </c>
      <c r="AB376" t="n">
        <v>12.80865</v>
      </c>
      <c r="AC376" t="n">
        <v>0.000216311</v>
      </c>
      <c r="AD376" t="n">
        <v>14.83176</v>
      </c>
      <c r="AE376" t="n">
        <v>1.458421</v>
      </c>
    </row>
    <row r="377">
      <c r="A377" s="87" t="n">
        <v>30042</v>
      </c>
      <c r="B377" t="n">
        <v>4.149282</v>
      </c>
      <c r="C377" t="n">
        <v/>
      </c>
      <c r="D377" t="n">
        <v>11.33708</v>
      </c>
      <c r="E377" t="n">
        <v>21.77533</v>
      </c>
      <c r="F377" t="n">
        <v/>
      </c>
      <c r="G377" t="n">
        <v/>
      </c>
      <c r="H377" t="n">
        <v>0.1843368</v>
      </c>
      <c r="I377" t="n">
        <v/>
      </c>
      <c r="J377" t="n">
        <v/>
      </c>
      <c r="K377" t="n">
        <v>11.18365</v>
      </c>
      <c r="L377" t="n">
        <v>12.91419</v>
      </c>
      <c r="M377" t="n">
        <v/>
      </c>
      <c r="N377" t="n">
        <v/>
      </c>
      <c r="O377" t="n">
        <v/>
      </c>
      <c r="P377" t="n">
        <v>0.5826924</v>
      </c>
      <c r="Q377" t="n">
        <v>0.4732257</v>
      </c>
      <c r="R377" t="n">
        <v/>
      </c>
      <c r="S377" t="n">
        <v>29.15358</v>
      </c>
      <c r="T377" t="n">
        <v>0.8392429</v>
      </c>
      <c r="U377" t="n">
        <v>0.01878851</v>
      </c>
      <c r="V377" t="n">
        <v>8.960488</v>
      </c>
      <c r="W377" t="n">
        <v>3.953799</v>
      </c>
      <c r="X377" t="n">
        <v>4.249502</v>
      </c>
      <c r="Y377" t="n">
        <v>0.4958362</v>
      </c>
      <c r="Z377" t="n">
        <v/>
      </c>
      <c r="AA377" t="n">
        <v/>
      </c>
      <c r="AB377" t="n">
        <v>12.91643</v>
      </c>
      <c r="AC377" t="n">
        <v>0.000225299</v>
      </c>
      <c r="AD377" t="n">
        <v>14.97621</v>
      </c>
      <c r="AE377" t="n">
        <v>1.469753</v>
      </c>
    </row>
    <row r="378">
      <c r="A378" s="87" t="n">
        <v>30072</v>
      </c>
      <c r="B378" t="n">
        <v>4.210919</v>
      </c>
      <c r="C378" t="n">
        <v/>
      </c>
      <c r="D378" t="n">
        <v>11.36009</v>
      </c>
      <c r="E378" t="n">
        <v>21.83447</v>
      </c>
      <c r="F378" t="n">
        <v/>
      </c>
      <c r="G378" t="n">
        <v/>
      </c>
      <c r="H378" t="n">
        <v>0.1894801</v>
      </c>
      <c r="I378" t="n">
        <v/>
      </c>
      <c r="J378" t="n">
        <v/>
      </c>
      <c r="K378" t="n">
        <v>11.24003</v>
      </c>
      <c r="L378" t="n">
        <v>12.99659</v>
      </c>
      <c r="M378" t="n">
        <v/>
      </c>
      <c r="N378" t="n">
        <v/>
      </c>
      <c r="O378" t="n">
        <v/>
      </c>
      <c r="P378" t="n">
        <v>0.5916687</v>
      </c>
      <c r="Q378" t="n">
        <v>0.4884466</v>
      </c>
      <c r="R378" t="n">
        <v/>
      </c>
      <c r="S378" t="n">
        <v>29.34172</v>
      </c>
      <c r="T378" t="n">
        <v>0.8623723</v>
      </c>
      <c r="U378" t="n">
        <v>0.01893954</v>
      </c>
      <c r="V378" t="n">
        <v>9.040450999999999</v>
      </c>
      <c r="W378" t="n">
        <v>4.093322</v>
      </c>
      <c r="X378" t="n">
        <v>4.283562</v>
      </c>
      <c r="Y378" t="n">
        <v>0.5042607</v>
      </c>
      <c r="Z378" t="n">
        <v/>
      </c>
      <c r="AA378" t="n">
        <v/>
      </c>
      <c r="AB378" t="n">
        <v>13.01475</v>
      </c>
      <c r="AC378" t="n">
        <v>0.000233798</v>
      </c>
      <c r="AD378" t="n">
        <v>15.07169</v>
      </c>
      <c r="AE378" t="n">
        <v>1.465473</v>
      </c>
    </row>
    <row r="379">
      <c r="A379" s="87" t="n">
        <v>30103</v>
      </c>
      <c r="B379" t="n">
        <v>4.252944</v>
      </c>
      <c r="C379" t="n">
        <v/>
      </c>
      <c r="D379" t="n">
        <v>11.40667</v>
      </c>
      <c r="E379" t="n">
        <v>21.85861</v>
      </c>
      <c r="F379" t="n">
        <v/>
      </c>
      <c r="G379" t="n">
        <v/>
      </c>
      <c r="H379" t="n">
        <v>0.1929931</v>
      </c>
      <c r="I379" t="n">
        <v/>
      </c>
      <c r="J379" t="n">
        <v/>
      </c>
      <c r="K379" t="n">
        <v>11.29443</v>
      </c>
      <c r="L379" t="n">
        <v>13.15205</v>
      </c>
      <c r="M379" t="n">
        <v/>
      </c>
      <c r="N379" t="n">
        <v/>
      </c>
      <c r="O379" t="n">
        <v/>
      </c>
      <c r="P379" t="n">
        <v>0.5992496</v>
      </c>
      <c r="Q379" t="n">
        <v>0.5033117</v>
      </c>
      <c r="R379" t="n">
        <v/>
      </c>
      <c r="S379" t="n">
        <v>29.5135</v>
      </c>
      <c r="T379" t="n">
        <v>0.8859428</v>
      </c>
      <c r="U379" t="n">
        <v>0.01934244</v>
      </c>
      <c r="V379" t="n">
        <v>9.120132</v>
      </c>
      <c r="W379" t="n">
        <v>4.245547</v>
      </c>
      <c r="X379" t="n">
        <v>4.319322</v>
      </c>
      <c r="Y379" t="n">
        <v>0.510058</v>
      </c>
      <c r="Z379" t="n">
        <v/>
      </c>
      <c r="AA379" t="n">
        <v/>
      </c>
      <c r="AB379" t="n">
        <v>13.23277</v>
      </c>
      <c r="AC379" t="n">
        <v>0.000238043</v>
      </c>
      <c r="AD379" t="n">
        <v>15.15969</v>
      </c>
      <c r="AE379" t="n">
        <v>1.478107</v>
      </c>
    </row>
    <row r="380">
      <c r="A380" s="87" t="n">
        <v>30133</v>
      </c>
      <c r="B380" t="n">
        <v>4.269755</v>
      </c>
      <c r="C380" t="n">
        <v/>
      </c>
      <c r="D380" t="n">
        <v>11.42765</v>
      </c>
      <c r="E380" t="n">
        <v>21.92696</v>
      </c>
      <c r="F380" t="n">
        <v/>
      </c>
      <c r="G380" t="n">
        <v/>
      </c>
      <c r="H380" t="n">
        <v>0.1952648</v>
      </c>
      <c r="I380" t="n">
        <v/>
      </c>
      <c r="J380" t="n">
        <v/>
      </c>
      <c r="K380" t="n">
        <v>11.44097</v>
      </c>
      <c r="L380" t="n">
        <v>13.27945</v>
      </c>
      <c r="M380" t="n">
        <v/>
      </c>
      <c r="N380" t="n">
        <v/>
      </c>
      <c r="O380" t="n">
        <v/>
      </c>
      <c r="P380" t="n">
        <v>0.6061147</v>
      </c>
      <c r="Q380" t="n">
        <v>0.519509</v>
      </c>
      <c r="R380" t="n">
        <v/>
      </c>
      <c r="S380" t="n">
        <v>29.79162</v>
      </c>
      <c r="T380" t="n">
        <v>0.9152022</v>
      </c>
      <c r="U380" t="n">
        <v>0.01994151</v>
      </c>
      <c r="V380" t="n">
        <v>9.167441</v>
      </c>
      <c r="W380" t="n">
        <v>4.323359</v>
      </c>
      <c r="X380" t="n">
        <v>4.357478</v>
      </c>
      <c r="Y380" t="n">
        <v>0.5194318999999999</v>
      </c>
      <c r="Z380" t="n">
        <v/>
      </c>
      <c r="AA380" t="n">
        <v/>
      </c>
      <c r="AB380" t="n">
        <v>13.35188</v>
      </c>
      <c r="AC380" t="n">
        <v>0.000247192</v>
      </c>
      <c r="AD380" t="n">
        <v>15.20535</v>
      </c>
      <c r="AE380" t="n">
        <v>1.498143</v>
      </c>
    </row>
    <row r="381">
      <c r="A381" s="87" t="n">
        <v>30164</v>
      </c>
      <c r="B381" t="n">
        <v>4.292168</v>
      </c>
      <c r="C381" t="n">
        <v/>
      </c>
      <c r="D381" t="n">
        <v>11.52427</v>
      </c>
      <c r="E381" t="n">
        <v>22.04142</v>
      </c>
      <c r="F381" t="n">
        <v/>
      </c>
      <c r="G381" t="n">
        <v/>
      </c>
      <c r="H381" t="n">
        <v>0.1968191</v>
      </c>
      <c r="I381" t="n">
        <v/>
      </c>
      <c r="J381" t="n">
        <v/>
      </c>
      <c r="K381" t="n">
        <v>11.59072</v>
      </c>
      <c r="L381" t="n">
        <v>13.33083</v>
      </c>
      <c r="M381" t="n">
        <v/>
      </c>
      <c r="N381" t="n">
        <v/>
      </c>
      <c r="O381" t="n">
        <v/>
      </c>
      <c r="P381" t="n">
        <v>0.6147642</v>
      </c>
      <c r="Q381" t="n">
        <v>0.540496</v>
      </c>
      <c r="R381" t="n">
        <v/>
      </c>
      <c r="S381" t="n">
        <v>29.99612</v>
      </c>
      <c r="T381" t="n">
        <v>0.9389111999999999</v>
      </c>
      <c r="U381" t="n">
        <v>0.02171556</v>
      </c>
      <c r="V381" t="n">
        <v>9.213243</v>
      </c>
      <c r="W381" t="n">
        <v>4.307176</v>
      </c>
      <c r="X381" t="n">
        <v>4.429179</v>
      </c>
      <c r="Y381" t="n">
        <v>0.5295528</v>
      </c>
      <c r="Z381" t="n">
        <v/>
      </c>
      <c r="AA381" t="n">
        <v/>
      </c>
      <c r="AB381" t="n">
        <v>13.34699</v>
      </c>
      <c r="AC381" t="n">
        <v>0.000258082</v>
      </c>
      <c r="AD381" t="n">
        <v>15.31909</v>
      </c>
      <c r="AE381" t="n">
        <v>1.520349</v>
      </c>
    </row>
    <row r="382">
      <c r="A382" s="87" t="n">
        <v>30195</v>
      </c>
      <c r="B382" t="n">
        <v>4.32859</v>
      </c>
      <c r="C382" t="n">
        <v/>
      </c>
      <c r="D382" t="n">
        <v>11.54795</v>
      </c>
      <c r="E382" t="n">
        <v>22.22077</v>
      </c>
      <c r="F382" t="n">
        <v/>
      </c>
      <c r="G382" t="n">
        <v/>
      </c>
      <c r="H382" t="n">
        <v>0.1985216</v>
      </c>
      <c r="I382" t="n">
        <v/>
      </c>
      <c r="J382" t="n">
        <v/>
      </c>
      <c r="K382" t="n">
        <v>11.65027</v>
      </c>
      <c r="L382" t="n">
        <v>13.40988</v>
      </c>
      <c r="M382" t="n">
        <v/>
      </c>
      <c r="N382" t="n">
        <v/>
      </c>
      <c r="O382" t="n">
        <v/>
      </c>
      <c r="P382" t="n">
        <v>0.6241963</v>
      </c>
      <c r="Q382" t="n">
        <v>0.5647579</v>
      </c>
      <c r="R382" t="n">
        <v/>
      </c>
      <c r="S382" t="n">
        <v>30.15154</v>
      </c>
      <c r="T382" t="n">
        <v>0.9620603</v>
      </c>
      <c r="U382" t="n">
        <v>0.02363807</v>
      </c>
      <c r="V382" t="n">
        <v>9.269256</v>
      </c>
      <c r="W382" t="n">
        <v>4.29113</v>
      </c>
      <c r="X382" t="n">
        <v>4.50064</v>
      </c>
      <c r="Y382" t="n">
        <v>0.5393634</v>
      </c>
      <c r="Z382" t="n">
        <v/>
      </c>
      <c r="AA382" t="n">
        <v/>
      </c>
      <c r="AB382" t="n">
        <v>13.37656</v>
      </c>
      <c r="AC382" t="n">
        <v>0.000268331</v>
      </c>
      <c r="AD382" t="n">
        <v>15.42868</v>
      </c>
      <c r="AE382" t="n">
        <v>1.548351</v>
      </c>
    </row>
    <row r="383">
      <c r="A383" s="87" t="n">
        <v>30225</v>
      </c>
      <c r="B383" t="n">
        <v>4.36221</v>
      </c>
      <c r="C383" t="n">
        <v/>
      </c>
      <c r="D383" t="n">
        <v>11.58202</v>
      </c>
      <c r="E383" t="n">
        <v>22.42481</v>
      </c>
      <c r="F383" t="n">
        <v/>
      </c>
      <c r="G383" t="n">
        <v/>
      </c>
      <c r="H383" t="n">
        <v>0.1996787</v>
      </c>
      <c r="I383" t="n">
        <v/>
      </c>
      <c r="J383" t="n">
        <v/>
      </c>
      <c r="K383" t="n">
        <v>11.72598</v>
      </c>
      <c r="L383" t="n">
        <v>13.50671</v>
      </c>
      <c r="M383" t="n">
        <v/>
      </c>
      <c r="N383" t="n">
        <v/>
      </c>
      <c r="O383" t="n">
        <v/>
      </c>
      <c r="P383" t="n">
        <v>0.6309283999999999</v>
      </c>
      <c r="Q383" t="n">
        <v>0.5892789</v>
      </c>
      <c r="R383" t="n">
        <v/>
      </c>
      <c r="S383" t="n">
        <v>30.33968</v>
      </c>
      <c r="T383" t="n">
        <v>0.9910311000000001</v>
      </c>
      <c r="U383" t="n">
        <v>0.0245368</v>
      </c>
      <c r="V383" t="n">
        <v>9.317335</v>
      </c>
      <c r="W383" t="n">
        <v>4.275642</v>
      </c>
      <c r="X383" t="n">
        <v>4.549222</v>
      </c>
      <c r="Y383" t="n">
        <v>0.5480651</v>
      </c>
      <c r="Z383" t="n">
        <v/>
      </c>
      <c r="AA383" t="n">
        <v/>
      </c>
      <c r="AB383" t="n">
        <v>13.42534</v>
      </c>
      <c r="AC383" t="n">
        <v>0.000276752</v>
      </c>
      <c r="AD383" t="n">
        <v>15.52249</v>
      </c>
      <c r="AE383" t="n">
        <v>1.571618</v>
      </c>
    </row>
    <row r="384">
      <c r="A384" s="87" t="n">
        <v>30256</v>
      </c>
      <c r="B384" t="n">
        <v>4.39583</v>
      </c>
      <c r="C384" t="n">
        <v/>
      </c>
      <c r="D384" t="n">
        <v>11.61293</v>
      </c>
      <c r="E384" t="n">
        <v>22.61302</v>
      </c>
      <c r="F384" t="n">
        <v/>
      </c>
      <c r="G384" t="n">
        <v/>
      </c>
      <c r="H384" t="n">
        <v>0.2011376</v>
      </c>
      <c r="I384" t="n">
        <v/>
      </c>
      <c r="J384" t="n">
        <v/>
      </c>
      <c r="K384" t="n">
        <v>11.82584</v>
      </c>
      <c r="L384" t="n">
        <v>13.61329</v>
      </c>
      <c r="M384" t="n">
        <v/>
      </c>
      <c r="N384" t="n">
        <v/>
      </c>
      <c r="O384" t="n">
        <v/>
      </c>
      <c r="P384" t="n">
        <v>0.6387392</v>
      </c>
      <c r="Q384" t="n">
        <v>0.6148934</v>
      </c>
      <c r="R384" t="n">
        <v/>
      </c>
      <c r="S384" t="n">
        <v>30.51964</v>
      </c>
      <c r="T384" t="n">
        <v>1.014143</v>
      </c>
      <c r="U384" t="n">
        <v>0.0254745</v>
      </c>
      <c r="V384" t="n">
        <v>9.352713</v>
      </c>
      <c r="W384" t="n">
        <v>4.358589</v>
      </c>
      <c r="X384" t="n">
        <v>4.600902</v>
      </c>
      <c r="Y384" t="n">
        <v>0.5557845</v>
      </c>
      <c r="Z384" t="n">
        <v/>
      </c>
      <c r="AA384" t="n">
        <v/>
      </c>
      <c r="AB384" t="n">
        <v>13.46736</v>
      </c>
      <c r="AC384" t="n">
        <v>0.000283995</v>
      </c>
      <c r="AD384" t="n">
        <v>15.63872</v>
      </c>
      <c r="AE384" t="n">
        <v>1.59784</v>
      </c>
    </row>
    <row r="385">
      <c r="A385" s="87" t="n">
        <v>30286</v>
      </c>
      <c r="B385" t="n">
        <v>4.449062</v>
      </c>
      <c r="C385" t="n">
        <v/>
      </c>
      <c r="D385" t="n">
        <v>11.59416</v>
      </c>
      <c r="E385" t="n">
        <v>22.70868</v>
      </c>
      <c r="F385" t="n">
        <v/>
      </c>
      <c r="G385" t="n">
        <v/>
      </c>
      <c r="H385" t="n">
        <v>0.2044393</v>
      </c>
      <c r="I385" t="n">
        <v/>
      </c>
      <c r="J385" t="n">
        <v/>
      </c>
      <c r="K385" t="n">
        <v>11.94952</v>
      </c>
      <c r="L385" t="n">
        <v>13.96884</v>
      </c>
      <c r="M385" t="n">
        <v/>
      </c>
      <c r="N385" t="n">
        <v/>
      </c>
      <c r="O385" t="n">
        <v/>
      </c>
      <c r="P385" t="n">
        <v>0.6544532</v>
      </c>
      <c r="Q385" t="n">
        <v>0.6435654</v>
      </c>
      <c r="R385" t="n">
        <v/>
      </c>
      <c r="S385" t="n">
        <v>30.6587</v>
      </c>
      <c r="T385" t="n">
        <v>1.028345</v>
      </c>
      <c r="U385" t="n">
        <v>0.02648265</v>
      </c>
      <c r="V385" t="n">
        <v>9.451589999999999</v>
      </c>
      <c r="W385" t="n">
        <v>4.533742</v>
      </c>
      <c r="X385" t="n">
        <v>4.665218</v>
      </c>
      <c r="Y385" t="n">
        <v>0.5673432</v>
      </c>
      <c r="Z385" t="n">
        <v/>
      </c>
      <c r="AA385" t="n">
        <v/>
      </c>
      <c r="AB385" t="n">
        <v>13.52073</v>
      </c>
      <c r="AC385" t="n">
        <v>0.000296013</v>
      </c>
      <c r="AD385" t="n">
        <v>15.82303</v>
      </c>
      <c r="AE385" t="n">
        <v>1.629446</v>
      </c>
    </row>
    <row r="386">
      <c r="A386" s="87" t="n">
        <v>30317</v>
      </c>
      <c r="B386" t="n">
        <v>4.493889</v>
      </c>
      <c r="C386" t="n">
        <v/>
      </c>
      <c r="D386" t="n">
        <v>11.6701</v>
      </c>
      <c r="E386" t="n">
        <v>22.75071</v>
      </c>
      <c r="F386" t="n">
        <v/>
      </c>
      <c r="G386" t="n">
        <v/>
      </c>
      <c r="H386" t="n">
        <v>0.2080074</v>
      </c>
      <c r="I386" t="n">
        <v/>
      </c>
      <c r="J386" t="n">
        <v/>
      </c>
      <c r="K386" t="n">
        <v>12.12848</v>
      </c>
      <c r="L386" t="n">
        <v>14.2273</v>
      </c>
      <c r="M386" t="n">
        <v/>
      </c>
      <c r="N386" t="n">
        <v/>
      </c>
      <c r="O386" t="n">
        <v/>
      </c>
      <c r="P386" t="n">
        <v>0.6626164</v>
      </c>
      <c r="Q386" t="n">
        <v>0.6710023000000001</v>
      </c>
      <c r="R386" t="n">
        <v>0.02095615</v>
      </c>
      <c r="S386" t="n">
        <v>30.8223</v>
      </c>
      <c r="T386" t="n">
        <v>1.036702</v>
      </c>
      <c r="U386" t="n">
        <v>0.02744468</v>
      </c>
      <c r="V386" t="n">
        <v>9.511203</v>
      </c>
      <c r="W386" t="n">
        <v>4.695979</v>
      </c>
      <c r="X386" t="n">
        <v>4.765753</v>
      </c>
      <c r="Y386" t="n">
        <v>0.5752677</v>
      </c>
      <c r="Z386" t="n">
        <v/>
      </c>
      <c r="AA386" t="n">
        <v/>
      </c>
      <c r="AB386" t="n">
        <v>13.72822</v>
      </c>
      <c r="AC386" t="n">
        <v>0.000302232</v>
      </c>
      <c r="AD386" t="n">
        <v>16.2672</v>
      </c>
      <c r="AE386" t="n">
        <v>1.660487</v>
      </c>
    </row>
    <row r="387">
      <c r="A387" s="87" t="n">
        <v>30348</v>
      </c>
      <c r="B387" t="n">
        <v>4.535914</v>
      </c>
      <c r="C387" t="n">
        <v/>
      </c>
      <c r="D387" t="n">
        <v>11.70009</v>
      </c>
      <c r="E387" t="n">
        <v>22.87022</v>
      </c>
      <c r="F387" t="n">
        <v/>
      </c>
      <c r="G387" t="n">
        <v/>
      </c>
      <c r="H387" t="n">
        <v>0.2107545</v>
      </c>
      <c r="I387" t="n">
        <v/>
      </c>
      <c r="J387" t="n">
        <v/>
      </c>
      <c r="K387" t="n">
        <v>12.31365</v>
      </c>
      <c r="L387" t="n">
        <v>14.20619</v>
      </c>
      <c r="M387" t="n">
        <v/>
      </c>
      <c r="N387" t="n">
        <v/>
      </c>
      <c r="O387" t="n">
        <v/>
      </c>
      <c r="P387" t="n">
        <v>0.6632768999999999</v>
      </c>
      <c r="Q387" t="n">
        <v>0.7008974</v>
      </c>
      <c r="R387" t="n">
        <v>0.02273077</v>
      </c>
      <c r="S387" t="n">
        <v>30.9859</v>
      </c>
      <c r="T387" t="n">
        <v>1.056398</v>
      </c>
      <c r="U387" t="n">
        <v>0.02837446</v>
      </c>
      <c r="V387" t="n">
        <v>9.577389</v>
      </c>
      <c r="W387" t="n">
        <v>4.831162</v>
      </c>
      <c r="X387" t="n">
        <v>4.839661</v>
      </c>
      <c r="Y387" t="n">
        <v>0.579097</v>
      </c>
      <c r="Z387" t="n">
        <v/>
      </c>
      <c r="AA387" t="n">
        <v/>
      </c>
      <c r="AB387" t="n">
        <v>13.93952</v>
      </c>
      <c r="AC387" t="n">
        <v>0.000301942</v>
      </c>
      <c r="AD387" t="n">
        <v>16.5777</v>
      </c>
      <c r="AE387" t="n">
        <v>1.689751</v>
      </c>
    </row>
    <row r="388">
      <c r="A388" s="87" t="n">
        <v>30376</v>
      </c>
      <c r="B388" t="n">
        <v>4.608757</v>
      </c>
      <c r="C388" t="n">
        <v/>
      </c>
      <c r="D388" t="n">
        <v>11.6761</v>
      </c>
      <c r="E388" t="n">
        <v>23.04721</v>
      </c>
      <c r="F388" t="n">
        <v/>
      </c>
      <c r="G388" t="n">
        <v/>
      </c>
      <c r="H388" t="n">
        <v>0.2120941</v>
      </c>
      <c r="I388" t="n">
        <v/>
      </c>
      <c r="J388" t="n">
        <v/>
      </c>
      <c r="K388" t="n">
        <v>12.581</v>
      </c>
      <c r="L388" t="n">
        <v>14.1993</v>
      </c>
      <c r="M388" t="n">
        <v/>
      </c>
      <c r="N388" t="n">
        <v/>
      </c>
      <c r="O388" t="n">
        <v/>
      </c>
      <c r="P388" t="n">
        <v>0.6704164</v>
      </c>
      <c r="Q388" t="n">
        <v>0.7422256</v>
      </c>
      <c r="R388" t="n">
        <v>0.0245659</v>
      </c>
      <c r="S388" t="n">
        <v>31.1495</v>
      </c>
      <c r="T388" t="n">
        <v>1.079296</v>
      </c>
      <c r="U388" t="n">
        <v>0.02923939</v>
      </c>
      <c r="V388" t="n">
        <v>9.659592999999999</v>
      </c>
      <c r="W388" t="n">
        <v>4.734241</v>
      </c>
      <c r="X388" t="n">
        <v>4.891144</v>
      </c>
      <c r="Y388" t="n">
        <v>0.5878003000000001</v>
      </c>
      <c r="Z388" t="n">
        <v/>
      </c>
      <c r="AA388" t="n">
        <v/>
      </c>
      <c r="AB388" t="n">
        <v>14.04092</v>
      </c>
      <c r="AC388" t="n">
        <v>0.000308987</v>
      </c>
      <c r="AD388" t="n">
        <v>16.73046</v>
      </c>
      <c r="AE388" t="n">
        <v>1.720347</v>
      </c>
    </row>
    <row r="389">
      <c r="A389" s="87" t="n">
        <v>30407</v>
      </c>
      <c r="B389" t="n">
        <v>4.670394</v>
      </c>
      <c r="C389" t="n">
        <v/>
      </c>
      <c r="D389" t="n">
        <v>11.63878</v>
      </c>
      <c r="E389" t="n">
        <v>23.20726</v>
      </c>
      <c r="F389" t="n">
        <v/>
      </c>
      <c r="G389" t="n">
        <v/>
      </c>
      <c r="H389" t="n">
        <v>0.2164143</v>
      </c>
      <c r="I389" t="n">
        <v/>
      </c>
      <c r="J389" t="n">
        <v/>
      </c>
      <c r="K389" t="n">
        <v>12.90168</v>
      </c>
      <c r="L389" t="n">
        <v>14.22851</v>
      </c>
      <c r="M389" t="n">
        <v/>
      </c>
      <c r="N389" t="n">
        <v/>
      </c>
      <c r="O389" t="n">
        <v/>
      </c>
      <c r="P389" t="n">
        <v>0.6801361</v>
      </c>
      <c r="Q389" t="n">
        <v>0.7794129</v>
      </c>
      <c r="R389" t="n">
        <v>0.02604917</v>
      </c>
      <c r="S389" t="n">
        <v>31.37854</v>
      </c>
      <c r="T389" t="n">
        <v>1.096327</v>
      </c>
      <c r="U389" t="n">
        <v>0.03025216</v>
      </c>
      <c r="V389" t="n">
        <v>9.706</v>
      </c>
      <c r="W389" t="n">
        <v>4.561956</v>
      </c>
      <c r="X389" t="n">
        <v>4.939407</v>
      </c>
      <c r="Y389" t="n">
        <v>0.5960806</v>
      </c>
      <c r="Z389" t="n">
        <v/>
      </c>
      <c r="AA389" t="n">
        <v/>
      </c>
      <c r="AB389" t="n">
        <v>14.01494</v>
      </c>
      <c r="AC389" t="n">
        <v>0.000316996</v>
      </c>
      <c r="AD389" t="n">
        <v>16.8417</v>
      </c>
      <c r="AE389" t="n">
        <v>1.749402</v>
      </c>
    </row>
    <row r="390">
      <c r="A390" s="87" t="n">
        <v>30437</v>
      </c>
      <c r="B390" t="n">
        <v>4.718023</v>
      </c>
      <c r="C390" t="n">
        <v/>
      </c>
      <c r="D390" t="n">
        <v>11.6043</v>
      </c>
      <c r="E390" t="n">
        <v>23.38325</v>
      </c>
      <c r="F390" t="n">
        <v/>
      </c>
      <c r="G390" t="n">
        <v/>
      </c>
      <c r="H390" t="n">
        <v>0.2240006</v>
      </c>
      <c r="I390" t="n">
        <v/>
      </c>
      <c r="J390" t="n">
        <v/>
      </c>
      <c r="K390" t="n">
        <v>13.16513</v>
      </c>
      <c r="L390" t="n">
        <v>14.32323</v>
      </c>
      <c r="M390" t="n">
        <v/>
      </c>
      <c r="N390" t="n">
        <v/>
      </c>
      <c r="O390" t="n">
        <v/>
      </c>
      <c r="P390" t="n">
        <v>0.691323</v>
      </c>
      <c r="Q390" t="n">
        <v>0.8223155</v>
      </c>
      <c r="R390" t="n">
        <v>0.02811923</v>
      </c>
      <c r="S390" t="n">
        <v>31.57486</v>
      </c>
      <c r="T390" t="n">
        <v>1.117672</v>
      </c>
      <c r="U390" t="n">
        <v>0.03150535</v>
      </c>
      <c r="V390" t="n">
        <v>9.781976</v>
      </c>
      <c r="W390" t="n">
        <v>4.63286</v>
      </c>
      <c r="X390" t="n">
        <v>4.994168</v>
      </c>
      <c r="Y390" t="n">
        <v>0.6041875</v>
      </c>
      <c r="Z390" t="n">
        <v/>
      </c>
      <c r="AA390" t="n">
        <v/>
      </c>
      <c r="AB390" t="n">
        <v>14.03833</v>
      </c>
      <c r="AC390" t="n">
        <v>0.00032415</v>
      </c>
      <c r="AD390" t="n">
        <v>16.96208</v>
      </c>
      <c r="AE390" t="n">
        <v>1.775752</v>
      </c>
    </row>
    <row r="391">
      <c r="A391" s="87" t="n">
        <v>30468</v>
      </c>
      <c r="B391" t="n">
        <v>4.776858</v>
      </c>
      <c r="C391" t="n">
        <v/>
      </c>
      <c r="D391" t="n">
        <v>11.57338</v>
      </c>
      <c r="E391" t="n">
        <v>23.56687</v>
      </c>
      <c r="F391" t="n">
        <v/>
      </c>
      <c r="G391" t="n">
        <v/>
      </c>
      <c r="H391" t="n">
        <v>0.2301087</v>
      </c>
      <c r="I391" t="n">
        <v/>
      </c>
      <c r="J391" t="n">
        <v/>
      </c>
      <c r="K391" t="n">
        <v>13.47718</v>
      </c>
      <c r="L391" t="n">
        <v>14.44253</v>
      </c>
      <c r="M391" t="n">
        <v/>
      </c>
      <c r="N391" t="n">
        <v/>
      </c>
      <c r="O391" t="n">
        <v/>
      </c>
      <c r="P391" t="n">
        <v>0.7014590000000001</v>
      </c>
      <c r="Q391" t="n">
        <v>0.884497</v>
      </c>
      <c r="R391" t="n">
        <v>0.03042459</v>
      </c>
      <c r="S391" t="n">
        <v>31.78754</v>
      </c>
      <c r="T391" t="n">
        <v>1.139173</v>
      </c>
      <c r="U391" t="n">
        <v>0.03301629</v>
      </c>
      <c r="V391" t="n">
        <v>9.873263</v>
      </c>
      <c r="W391" t="n">
        <v>4.756926</v>
      </c>
      <c r="X391" t="n">
        <v>5.049593</v>
      </c>
      <c r="Y391" t="n">
        <v>0.6142175</v>
      </c>
      <c r="Z391" t="n">
        <v/>
      </c>
      <c r="AA391" t="n">
        <v/>
      </c>
      <c r="AB391" t="n">
        <v>14.15845</v>
      </c>
      <c r="AC391" t="n">
        <v>0.000332312</v>
      </c>
      <c r="AD391" t="n">
        <v>17.04843</v>
      </c>
      <c r="AE391" t="n">
        <v>1.803113</v>
      </c>
    </row>
    <row r="392">
      <c r="A392" s="87" t="n">
        <v>30498</v>
      </c>
      <c r="B392" t="n">
        <v>4.824487</v>
      </c>
      <c r="C392" t="n">
        <v/>
      </c>
      <c r="D392" t="n">
        <v>11.59494</v>
      </c>
      <c r="E392" t="n">
        <v>23.69151</v>
      </c>
      <c r="F392" t="n">
        <v/>
      </c>
      <c r="G392" t="n">
        <v/>
      </c>
      <c r="H392" t="n">
        <v>0.2363064</v>
      </c>
      <c r="I392" t="n">
        <v/>
      </c>
      <c r="J392" t="n">
        <v/>
      </c>
      <c r="K392" t="n">
        <v>13.74848</v>
      </c>
      <c r="L392" t="n">
        <v>14.57456</v>
      </c>
      <c r="M392" t="n">
        <v/>
      </c>
      <c r="N392" t="n">
        <v/>
      </c>
      <c r="O392" t="n">
        <v/>
      </c>
      <c r="P392" t="n">
        <v>0.7130629000000001</v>
      </c>
      <c r="Q392" t="n">
        <v>0.9422323</v>
      </c>
      <c r="R392" t="n">
        <v>0.03285151</v>
      </c>
      <c r="S392" t="n">
        <v>31.93478</v>
      </c>
      <c r="T392" t="n">
        <v>1.157869</v>
      </c>
      <c r="U392" t="n">
        <v>0.03484663</v>
      </c>
      <c r="V392" t="n">
        <v>10.03738</v>
      </c>
      <c r="W392" t="n">
        <v>4.855741</v>
      </c>
      <c r="X392" t="n">
        <v>5.108425</v>
      </c>
      <c r="Y392" t="n">
        <v>0.6234502</v>
      </c>
      <c r="Z392" t="n">
        <v/>
      </c>
      <c r="AA392" t="n">
        <v/>
      </c>
      <c r="AB392" t="n">
        <v>14.31264</v>
      </c>
      <c r="AC392" t="n">
        <v>0.000338924</v>
      </c>
      <c r="AD392" t="n">
        <v>17.14224</v>
      </c>
      <c r="AE392" t="n">
        <v>1.815187</v>
      </c>
    </row>
    <row r="393">
      <c r="A393" s="87" t="n">
        <v>30529</v>
      </c>
      <c r="B393" t="n">
        <v>4.872115</v>
      </c>
      <c r="C393" t="n">
        <v/>
      </c>
      <c r="D393" t="n">
        <v>11.6548</v>
      </c>
      <c r="E393" t="n">
        <v>23.83271</v>
      </c>
      <c r="F393" t="n">
        <v/>
      </c>
      <c r="G393" t="n">
        <v/>
      </c>
      <c r="H393" t="n">
        <v>0.2426297</v>
      </c>
      <c r="I393" t="n">
        <v/>
      </c>
      <c r="J393" t="n">
        <v/>
      </c>
      <c r="K393" t="n">
        <v>13.93152</v>
      </c>
      <c r="L393" t="n">
        <v>14.61794</v>
      </c>
      <c r="M393" t="n">
        <v/>
      </c>
      <c r="N393" t="n">
        <v/>
      </c>
      <c r="O393" t="n">
        <v/>
      </c>
      <c r="P393" t="n">
        <v>0.7238493</v>
      </c>
      <c r="Q393" t="n">
        <v>0.9986113</v>
      </c>
      <c r="R393" t="n">
        <v>0.03660548</v>
      </c>
      <c r="S393" t="n">
        <v>32.11474</v>
      </c>
      <c r="T393" t="n">
        <v>1.176128</v>
      </c>
      <c r="U393" t="n">
        <v>0.03670263</v>
      </c>
      <c r="V393" t="n">
        <v>10.14108</v>
      </c>
      <c r="W393" t="n">
        <v>4.96856</v>
      </c>
      <c r="X393" t="n">
        <v>5.165845</v>
      </c>
      <c r="Y393" t="n">
        <v>0.6290712000000001</v>
      </c>
      <c r="Z393" t="n">
        <v/>
      </c>
      <c r="AA393" t="n">
        <v/>
      </c>
      <c r="AB393" t="n">
        <v>14.42652</v>
      </c>
      <c r="AC393" t="n">
        <v>0.00034178</v>
      </c>
      <c r="AD393" t="n">
        <v>17.21862</v>
      </c>
      <c r="AE393" t="n">
        <v>1.826455</v>
      </c>
    </row>
    <row r="394">
      <c r="A394" s="87" t="n">
        <v>30560</v>
      </c>
      <c r="B394" t="n">
        <v>4.922545</v>
      </c>
      <c r="C394" t="n">
        <v/>
      </c>
      <c r="D394" t="n">
        <v>11.70934</v>
      </c>
      <c r="E394" t="n">
        <v>23.95693</v>
      </c>
      <c r="F394" t="n">
        <v/>
      </c>
      <c r="G394" t="n">
        <v/>
      </c>
      <c r="H394" t="n">
        <v>0.2478393</v>
      </c>
      <c r="I394" t="n">
        <v/>
      </c>
      <c r="J394" t="n">
        <v/>
      </c>
      <c r="K394" t="n">
        <v>14.24056</v>
      </c>
      <c r="L394" t="n">
        <v>14.62258</v>
      </c>
      <c r="M394" t="n">
        <v/>
      </c>
      <c r="N394" t="n">
        <v/>
      </c>
      <c r="O394" t="n">
        <v/>
      </c>
      <c r="P394" t="n">
        <v>0.7322921</v>
      </c>
      <c r="Q394" t="n">
        <v>1.049833</v>
      </c>
      <c r="R394" t="n">
        <v>0.04088343</v>
      </c>
      <c r="S394" t="n">
        <v>32.32742</v>
      </c>
      <c r="T394" t="n">
        <v>1.194362</v>
      </c>
      <c r="U394" t="n">
        <v>0.03831557</v>
      </c>
      <c r="V394" t="n">
        <v>10.13828</v>
      </c>
      <c r="W394" t="n">
        <v>5.081468</v>
      </c>
      <c r="X394" t="n">
        <v>5.220783</v>
      </c>
      <c r="Y394" t="n">
        <v>0.6340244</v>
      </c>
      <c r="Z394" t="n">
        <v/>
      </c>
      <c r="AA394" t="n">
        <v/>
      </c>
      <c r="AB394" t="n">
        <v>14.5254</v>
      </c>
      <c r="AC394" t="n">
        <v>0.000344043</v>
      </c>
      <c r="AD394" t="n">
        <v>17.295</v>
      </c>
      <c r="AE394" t="n">
        <v>1.857829</v>
      </c>
    </row>
    <row r="395">
      <c r="A395" s="87" t="n">
        <v>30590</v>
      </c>
      <c r="B395" t="n">
        <v>4.970174</v>
      </c>
      <c r="C395" t="n">
        <v/>
      </c>
      <c r="D395" t="n">
        <v>11.72867</v>
      </c>
      <c r="E395" t="n">
        <v>23.96513</v>
      </c>
      <c r="F395" t="n">
        <v/>
      </c>
      <c r="G395" t="n">
        <v/>
      </c>
      <c r="H395" t="n">
        <v>0.2550706</v>
      </c>
      <c r="I395" t="n">
        <v/>
      </c>
      <c r="J395" t="n">
        <v/>
      </c>
      <c r="K395" t="n">
        <v>14.49575</v>
      </c>
      <c r="L395" t="n">
        <v>14.71523</v>
      </c>
      <c r="M395" t="n">
        <v/>
      </c>
      <c r="N395" t="n">
        <v/>
      </c>
      <c r="O395" t="n">
        <v/>
      </c>
      <c r="P395" t="n">
        <v>0.7427153</v>
      </c>
      <c r="Q395" t="n">
        <v>1.091228</v>
      </c>
      <c r="R395" t="n">
        <v>0.04735044</v>
      </c>
      <c r="S395" t="n">
        <v>32.52374</v>
      </c>
      <c r="T395" t="n">
        <v>1.210164</v>
      </c>
      <c r="U395" t="n">
        <v>0.0400954</v>
      </c>
      <c r="V395" t="n">
        <v>10.17922</v>
      </c>
      <c r="W395" t="n">
        <v>5.1701</v>
      </c>
      <c r="X395" t="n">
        <v>5.29083</v>
      </c>
      <c r="Y395" t="n">
        <v>0.6427588</v>
      </c>
      <c r="Z395" t="n">
        <v/>
      </c>
      <c r="AA395" t="n">
        <v/>
      </c>
      <c r="AB395" t="n">
        <v>14.54648</v>
      </c>
      <c r="AC395" t="n">
        <v>0.000354166</v>
      </c>
      <c r="AD395" t="n">
        <v>17.42783</v>
      </c>
      <c r="AE395" t="n">
        <v>1.873138</v>
      </c>
    </row>
    <row r="396">
      <c r="A396" s="87" t="n">
        <v>30621</v>
      </c>
      <c r="B396" t="n">
        <v>5.020604</v>
      </c>
      <c r="C396" t="n">
        <v/>
      </c>
      <c r="D396" t="n">
        <v>11.72687</v>
      </c>
      <c r="E396" t="n">
        <v>24.04866</v>
      </c>
      <c r="F396" t="n">
        <v/>
      </c>
      <c r="G396" t="n">
        <v/>
      </c>
      <c r="H396" t="n">
        <v>0.2631037</v>
      </c>
      <c r="I396" t="n">
        <v/>
      </c>
      <c r="J396" t="n">
        <v/>
      </c>
      <c r="K396" t="n">
        <v>14.6788</v>
      </c>
      <c r="L396" t="n">
        <v>14.86142</v>
      </c>
      <c r="M396" t="n">
        <v/>
      </c>
      <c r="N396" t="n">
        <v/>
      </c>
      <c r="O396" t="n">
        <v/>
      </c>
      <c r="P396" t="n">
        <v>0.7537034</v>
      </c>
      <c r="Q396" t="n">
        <v>1.129102</v>
      </c>
      <c r="R396" t="n">
        <v>0.05619344</v>
      </c>
      <c r="S396" t="n">
        <v>32.65462</v>
      </c>
      <c r="T396" t="n">
        <v>1.227169</v>
      </c>
      <c r="U396" t="n">
        <v>0.04204137</v>
      </c>
      <c r="V396" t="n">
        <v>10.26783</v>
      </c>
      <c r="W396" t="n">
        <v>5.283453</v>
      </c>
      <c r="X396" t="n">
        <v>5.361562</v>
      </c>
      <c r="Y396" t="n">
        <v>0.6529623</v>
      </c>
      <c r="Z396" t="n">
        <v/>
      </c>
      <c r="AA396" t="n">
        <v/>
      </c>
      <c r="AB396" t="n">
        <v>14.53533</v>
      </c>
      <c r="AC396" t="n">
        <v>0.000366414</v>
      </c>
      <c r="AD396" t="n">
        <v>17.53659</v>
      </c>
      <c r="AE396" t="n">
        <v>1.880028</v>
      </c>
    </row>
    <row r="397">
      <c r="A397" s="87" t="n">
        <v>30651</v>
      </c>
      <c r="B397" t="n">
        <v>5.082241</v>
      </c>
      <c r="C397" t="n">
        <v/>
      </c>
      <c r="D397" t="n">
        <v>11.76745</v>
      </c>
      <c r="E397" t="n">
        <v>24.21868</v>
      </c>
      <c r="F397" t="n">
        <v/>
      </c>
      <c r="G397" t="n">
        <v/>
      </c>
      <c r="H397" t="n">
        <v>0.2669085</v>
      </c>
      <c r="I397" t="n">
        <v/>
      </c>
      <c r="J397" t="n">
        <v/>
      </c>
      <c r="K397" t="n">
        <v>15.03503</v>
      </c>
      <c r="L397" t="n">
        <v>15.23922</v>
      </c>
      <c r="M397" t="n">
        <v/>
      </c>
      <c r="N397" t="n">
        <v/>
      </c>
      <c r="O397" t="n">
        <v/>
      </c>
      <c r="P397" t="n">
        <v>0.7683733</v>
      </c>
      <c r="Q397" t="n">
        <v>1.159382</v>
      </c>
      <c r="R397" t="n">
        <v>0.06447885</v>
      </c>
      <c r="S397" t="n">
        <v>32.96547</v>
      </c>
      <c r="T397" t="n">
        <v>1.247247</v>
      </c>
      <c r="U397" t="n">
        <v>0.04396788</v>
      </c>
      <c r="V397" t="n">
        <v>10.37255</v>
      </c>
      <c r="W397" t="n">
        <v>5.417884</v>
      </c>
      <c r="X397" t="n">
        <v>5.435102</v>
      </c>
      <c r="Y397" t="n">
        <v>0.6635039</v>
      </c>
      <c r="Z397" t="n">
        <v/>
      </c>
      <c r="AA397" t="n">
        <v/>
      </c>
      <c r="AB397" t="n">
        <v>14.54432</v>
      </c>
      <c r="AC397" t="n">
        <v>0.000376476</v>
      </c>
      <c r="AD397" t="n">
        <v>17.62958</v>
      </c>
      <c r="AE397" t="n">
        <v>1.902195</v>
      </c>
    </row>
    <row r="398">
      <c r="A398" s="87" t="n">
        <v>30682</v>
      </c>
      <c r="B398" t="n">
        <v>5.146679</v>
      </c>
      <c r="C398" t="n">
        <v/>
      </c>
      <c r="D398" t="n">
        <v>11.77427</v>
      </c>
      <c r="E398" t="n">
        <v>24.34151</v>
      </c>
      <c r="F398" t="n">
        <v/>
      </c>
      <c r="G398" t="n">
        <v/>
      </c>
      <c r="H398" t="n">
        <v>0.2689415</v>
      </c>
      <c r="I398" t="n">
        <v/>
      </c>
      <c r="J398" t="n">
        <v/>
      </c>
      <c r="K398" t="n">
        <v>15.37568</v>
      </c>
      <c r="L398" t="n">
        <v>15.47452</v>
      </c>
      <c r="M398" t="n">
        <v/>
      </c>
      <c r="N398" t="n">
        <v/>
      </c>
      <c r="O398" t="n">
        <v/>
      </c>
      <c r="P398" t="n">
        <v>0.7782943</v>
      </c>
      <c r="Q398" t="n">
        <v>1.1844</v>
      </c>
      <c r="R398" t="n">
        <v>0.07366731999999999</v>
      </c>
      <c r="S398" t="n">
        <v>33.1536</v>
      </c>
      <c r="T398" t="n">
        <v>1.265955</v>
      </c>
      <c r="U398" t="n">
        <v>0.04600075</v>
      </c>
      <c r="V398" t="n">
        <v>10.4756</v>
      </c>
      <c r="W398" t="n">
        <v>5.528678</v>
      </c>
      <c r="X398" t="n">
        <v>5.508625</v>
      </c>
      <c r="Y398" t="n">
        <v>0.6719263</v>
      </c>
      <c r="Z398" t="n">
        <v/>
      </c>
      <c r="AA398" t="n">
        <v/>
      </c>
      <c r="AB398" t="n">
        <v>14.53624</v>
      </c>
      <c r="AC398" t="n">
        <v>0.000384076</v>
      </c>
      <c r="AD398" t="n">
        <v>17.75162</v>
      </c>
      <c r="AE398" t="n">
        <v>1.932488</v>
      </c>
    </row>
    <row r="399">
      <c r="A399" s="87" t="n">
        <v>30713</v>
      </c>
      <c r="B399" t="n">
        <v>5.21392</v>
      </c>
      <c r="C399" t="n">
        <v/>
      </c>
      <c r="D399" t="n">
        <v>11.77618</v>
      </c>
      <c r="E399" t="n">
        <v>24.47833</v>
      </c>
      <c r="F399" t="n">
        <v/>
      </c>
      <c r="G399" t="n">
        <v/>
      </c>
      <c r="H399" t="n">
        <v>0.2721798</v>
      </c>
      <c r="I399" t="n">
        <v/>
      </c>
      <c r="J399" t="n">
        <v/>
      </c>
      <c r="K399" t="n">
        <v>15.60685</v>
      </c>
      <c r="L399" t="n">
        <v>15.39303</v>
      </c>
      <c r="M399" t="n">
        <v/>
      </c>
      <c r="N399" t="n">
        <v/>
      </c>
      <c r="O399" t="n">
        <v/>
      </c>
      <c r="P399" t="n">
        <v>0.7833513</v>
      </c>
      <c r="Q399" t="n">
        <v>1.210088</v>
      </c>
      <c r="R399" t="n">
        <v>0.08497443</v>
      </c>
      <c r="S399" t="n">
        <v>33.37447</v>
      </c>
      <c r="T399" t="n">
        <v>1.281826</v>
      </c>
      <c r="U399" t="n">
        <v>0.04815287</v>
      </c>
      <c r="V399" t="n">
        <v>10.59868</v>
      </c>
      <c r="W399" t="n">
        <v>5.622452</v>
      </c>
      <c r="X399" t="n">
        <v>5.577002</v>
      </c>
      <c r="Y399" t="n">
        <v>0.6810643</v>
      </c>
      <c r="Z399" t="n">
        <v/>
      </c>
      <c r="AA399" t="n">
        <v/>
      </c>
      <c r="AB399" t="n">
        <v>14.55841</v>
      </c>
      <c r="AC399" t="n">
        <v>0.000393712</v>
      </c>
      <c r="AD399" t="n">
        <v>17.91766</v>
      </c>
      <c r="AE399" t="n">
        <v>1.963846</v>
      </c>
    </row>
    <row r="400">
      <c r="A400" s="87" t="n">
        <v>30742</v>
      </c>
      <c r="B400" t="n">
        <v>5.272755</v>
      </c>
      <c r="C400" t="n">
        <v/>
      </c>
      <c r="D400" t="n">
        <v>11.84494</v>
      </c>
      <c r="E400" t="n">
        <v>24.61187</v>
      </c>
      <c r="F400" t="n">
        <v/>
      </c>
      <c r="G400" t="n">
        <v/>
      </c>
      <c r="H400" t="n">
        <v>0.2759506</v>
      </c>
      <c r="I400" t="n">
        <v/>
      </c>
      <c r="J400" t="n">
        <v/>
      </c>
      <c r="K400" t="n">
        <v>15.80437</v>
      </c>
      <c r="L400" t="n">
        <v>15.37608</v>
      </c>
      <c r="M400" t="n">
        <v/>
      </c>
      <c r="N400" t="n">
        <v/>
      </c>
      <c r="O400" t="n">
        <v/>
      </c>
      <c r="P400" t="n">
        <v>0.7927789</v>
      </c>
      <c r="Q400" t="n">
        <v>1.238413</v>
      </c>
      <c r="R400" t="n">
        <v>0.09761146</v>
      </c>
      <c r="S400" t="n">
        <v>33.66077</v>
      </c>
      <c r="T400" t="n">
        <v>1.297812</v>
      </c>
      <c r="U400" t="n">
        <v>0.05049831</v>
      </c>
      <c r="V400" t="n">
        <v>10.73885</v>
      </c>
      <c r="W400" t="n">
        <v>5.529034</v>
      </c>
      <c r="X400" t="n">
        <v>5.649897</v>
      </c>
      <c r="Y400" t="n">
        <v>0.6950595000000001</v>
      </c>
      <c r="Z400" t="n">
        <v/>
      </c>
      <c r="AA400" t="n">
        <v/>
      </c>
      <c r="AB400" t="n">
        <v>14.6418</v>
      </c>
      <c r="AC400" t="n">
        <v>0.00041063</v>
      </c>
      <c r="AD400" t="n">
        <v>18.0588</v>
      </c>
      <c r="AE400" t="n">
        <v>1.97961</v>
      </c>
    </row>
    <row r="401">
      <c r="A401" s="87" t="n">
        <v>30773</v>
      </c>
      <c r="B401" t="n">
        <v>5.306375</v>
      </c>
      <c r="C401" t="n">
        <v/>
      </c>
      <c r="D401" t="n">
        <v>11.91581</v>
      </c>
      <c r="E401" t="n">
        <v>24.73185</v>
      </c>
      <c r="F401" t="n">
        <v/>
      </c>
      <c r="G401" t="n">
        <v/>
      </c>
      <c r="H401" t="n">
        <v>0.2804759</v>
      </c>
      <c r="I401" t="n">
        <v/>
      </c>
      <c r="J401" t="n">
        <v/>
      </c>
      <c r="K401" t="n">
        <v>15.9664</v>
      </c>
      <c r="L401" t="n">
        <v>15.43884</v>
      </c>
      <c r="M401" t="n">
        <v/>
      </c>
      <c r="N401" t="n">
        <v/>
      </c>
      <c r="O401" t="n">
        <v/>
      </c>
      <c r="P401" t="n">
        <v>0.8029526</v>
      </c>
      <c r="Q401" t="n">
        <v>1.261552</v>
      </c>
      <c r="R401" t="n">
        <v>0.1130165</v>
      </c>
      <c r="S401" t="n">
        <v>33.74257</v>
      </c>
      <c r="T401" t="n">
        <v>1.306741</v>
      </c>
      <c r="U401" t="n">
        <v>0.05289715</v>
      </c>
      <c r="V401" t="n">
        <v>10.87809</v>
      </c>
      <c r="W401" t="n">
        <v>5.535796</v>
      </c>
      <c r="X401" t="n">
        <v>5.71508</v>
      </c>
      <c r="Y401" t="n">
        <v>0.7074687</v>
      </c>
      <c r="Z401" t="n">
        <v/>
      </c>
      <c r="AA401" t="n">
        <v/>
      </c>
      <c r="AB401" t="n">
        <v>14.73688</v>
      </c>
      <c r="AC401" t="n">
        <v>0.000425251</v>
      </c>
      <c r="AD401" t="n">
        <v>18.19578</v>
      </c>
      <c r="AE401" t="n">
        <v>2.003437</v>
      </c>
    </row>
    <row r="402">
      <c r="A402" s="87" t="n">
        <v>30803</v>
      </c>
      <c r="B402" t="n">
        <v>5.337193</v>
      </c>
      <c r="C402" t="n">
        <v/>
      </c>
      <c r="D402" t="n">
        <v>12.0115</v>
      </c>
      <c r="E402" t="n">
        <v>24.86172</v>
      </c>
      <c r="F402" t="n">
        <v/>
      </c>
      <c r="G402" t="n">
        <v/>
      </c>
      <c r="H402" t="n">
        <v>0.2839657</v>
      </c>
      <c r="I402" t="n">
        <v/>
      </c>
      <c r="J402" t="n">
        <v/>
      </c>
      <c r="K402" t="n">
        <v>16.16055</v>
      </c>
      <c r="L402" t="n">
        <v>15.5475</v>
      </c>
      <c r="M402" t="n">
        <v/>
      </c>
      <c r="N402" t="n">
        <v/>
      </c>
      <c r="O402" t="n">
        <v/>
      </c>
      <c r="P402" t="n">
        <v>0.8155017</v>
      </c>
      <c r="Q402" t="n">
        <v>1.282798</v>
      </c>
      <c r="R402" t="n">
        <v>0.1299316</v>
      </c>
      <c r="S402" t="n">
        <v>33.97979</v>
      </c>
      <c r="T402" t="n">
        <v>1.322954</v>
      </c>
      <c r="U402" t="n">
        <v>0.05522592</v>
      </c>
      <c r="V402" t="n">
        <v>11.00437</v>
      </c>
      <c r="W402" t="n">
        <v>5.743718</v>
      </c>
      <c r="X402" t="n">
        <v>5.780411</v>
      </c>
      <c r="Y402" t="n">
        <v>0.7178302</v>
      </c>
      <c r="Z402" t="n">
        <v/>
      </c>
      <c r="AA402" t="n">
        <v/>
      </c>
      <c r="AB402" t="n">
        <v>14.67159</v>
      </c>
      <c r="AC402" t="n">
        <v>0.000438507</v>
      </c>
      <c r="AD402" t="n">
        <v>18.29873</v>
      </c>
      <c r="AE402" t="n">
        <v>2.033954</v>
      </c>
    </row>
    <row r="403">
      <c r="A403" s="87" t="n">
        <v>30834</v>
      </c>
      <c r="B403" t="n">
        <v>5.379219</v>
      </c>
      <c r="C403" t="n">
        <v/>
      </c>
      <c r="D403" t="n">
        <v>12.13097</v>
      </c>
      <c r="E403" t="n">
        <v>24.97878</v>
      </c>
      <c r="F403" t="n">
        <v/>
      </c>
      <c r="G403" t="n">
        <v/>
      </c>
      <c r="H403" t="n">
        <v>0.2875641</v>
      </c>
      <c r="I403" t="n">
        <v/>
      </c>
      <c r="J403" t="n">
        <v/>
      </c>
      <c r="K403" t="n">
        <v>16.39417</v>
      </c>
      <c r="L403" t="n">
        <v>15.66174</v>
      </c>
      <c r="M403" t="n">
        <v/>
      </c>
      <c r="N403" t="n">
        <v/>
      </c>
      <c r="O403" t="n">
        <v/>
      </c>
      <c r="P403" t="n">
        <v>0.8339583</v>
      </c>
      <c r="Q403" t="n">
        <v>1.31664</v>
      </c>
      <c r="R403" t="n">
        <v>0.1477866</v>
      </c>
      <c r="S403" t="n">
        <v>34.20883</v>
      </c>
      <c r="T403" t="n">
        <v>1.354109</v>
      </c>
      <c r="U403" t="n">
        <v>0.05764966</v>
      </c>
      <c r="V403" t="n">
        <v>11.12586</v>
      </c>
      <c r="W403" t="n">
        <v>5.851186</v>
      </c>
      <c r="X403" t="n">
        <v>5.84936</v>
      </c>
      <c r="Y403" t="n">
        <v>0.7322149999999999</v>
      </c>
      <c r="Z403" t="n">
        <v/>
      </c>
      <c r="AA403" t="n">
        <v/>
      </c>
      <c r="AB403" t="n">
        <v>14.50934</v>
      </c>
      <c r="AC403" t="n">
        <v>0.00045955</v>
      </c>
      <c r="AD403" t="n">
        <v>18.39005</v>
      </c>
      <c r="AE403" t="n">
        <v>2.056708</v>
      </c>
    </row>
    <row r="404">
      <c r="A404" s="87" t="n">
        <v>30864</v>
      </c>
      <c r="B404" t="n">
        <v>5.435252</v>
      </c>
      <c r="C404" t="n">
        <v/>
      </c>
      <c r="D404" t="n">
        <v>12.23715</v>
      </c>
      <c r="E404" t="n">
        <v>25.08925</v>
      </c>
      <c r="F404" t="n">
        <v/>
      </c>
      <c r="G404" t="n">
        <v/>
      </c>
      <c r="H404" t="n">
        <v>0.2922301</v>
      </c>
      <c r="I404" t="n">
        <v/>
      </c>
      <c r="J404" t="n">
        <v/>
      </c>
      <c r="K404" t="n">
        <v>16.51702</v>
      </c>
      <c r="L404" t="n">
        <v>15.78797</v>
      </c>
      <c r="M404" t="n">
        <v/>
      </c>
      <c r="N404" t="n">
        <v/>
      </c>
      <c r="O404" t="n">
        <v/>
      </c>
      <c r="P404" t="n">
        <v>0.8455156</v>
      </c>
      <c r="Q404" t="n">
        <v>1.340334</v>
      </c>
      <c r="R404" t="n">
        <v>0.1693409</v>
      </c>
      <c r="S404" t="n">
        <v>34.4215</v>
      </c>
      <c r="T404" t="n">
        <v>1.384063</v>
      </c>
      <c r="U404" t="n">
        <v>0.06000213</v>
      </c>
      <c r="V404" t="n">
        <v>11.26769</v>
      </c>
      <c r="W404" t="n">
        <v>5.984647</v>
      </c>
      <c r="X404" t="n">
        <v>5.913414</v>
      </c>
      <c r="Y404" t="n">
        <v>0.7436054</v>
      </c>
      <c r="Z404" t="n">
        <v/>
      </c>
      <c r="AA404" t="n">
        <v/>
      </c>
      <c r="AB404" t="n">
        <v>14.54618</v>
      </c>
      <c r="AC404" t="n">
        <v>0.000473703</v>
      </c>
      <c r="AD404" t="n">
        <v>18.45979</v>
      </c>
      <c r="AE404" t="n">
        <v>2.087083</v>
      </c>
    </row>
    <row r="405">
      <c r="A405" s="87" t="n">
        <v>30895</v>
      </c>
      <c r="B405" t="n">
        <v>5.508096</v>
      </c>
      <c r="C405" t="n">
        <v/>
      </c>
      <c r="D405" t="n">
        <v>12.24976</v>
      </c>
      <c r="E405" t="n">
        <v>25.2317</v>
      </c>
      <c r="F405" t="n">
        <v/>
      </c>
      <c r="G405" t="n">
        <v/>
      </c>
      <c r="H405" t="n">
        <v>0.2978014</v>
      </c>
      <c r="I405" t="n">
        <v/>
      </c>
      <c r="J405" t="n">
        <v/>
      </c>
      <c r="K405" t="n">
        <v>16.75134</v>
      </c>
      <c r="L405" t="n">
        <v>15.82855</v>
      </c>
      <c r="M405" t="n">
        <v/>
      </c>
      <c r="N405" t="n">
        <v/>
      </c>
      <c r="O405" t="n">
        <v/>
      </c>
      <c r="P405" t="n">
        <v>0.8514036</v>
      </c>
      <c r="Q405" t="n">
        <v>1.350274</v>
      </c>
      <c r="R405" t="n">
        <v>0.197708</v>
      </c>
      <c r="S405" t="n">
        <v>34.64237</v>
      </c>
      <c r="T405" t="n">
        <v>1.415374</v>
      </c>
      <c r="U405" t="n">
        <v>0.06244386</v>
      </c>
      <c r="V405" t="n">
        <v>11.39157</v>
      </c>
      <c r="W405" t="n">
        <v>6.211764</v>
      </c>
      <c r="X405" t="n">
        <v>5.978567</v>
      </c>
      <c r="Y405" t="n">
        <v>0.7552963</v>
      </c>
      <c r="Z405" t="n">
        <v/>
      </c>
      <c r="AA405" t="n">
        <v/>
      </c>
      <c r="AB405" t="n">
        <v>14.68725</v>
      </c>
      <c r="AC405" t="n">
        <v>0.000485887</v>
      </c>
      <c r="AD405" t="n">
        <v>18.51707</v>
      </c>
      <c r="AE405" t="n">
        <v>2.115305</v>
      </c>
    </row>
    <row r="406">
      <c r="A406" s="87" t="n">
        <v>30926</v>
      </c>
      <c r="B406" t="n">
        <v>5.575336</v>
      </c>
      <c r="C406" t="n">
        <v/>
      </c>
      <c r="D406" t="n">
        <v>12.2998</v>
      </c>
      <c r="E406" t="n">
        <v>25.37417</v>
      </c>
      <c r="F406" t="n">
        <v/>
      </c>
      <c r="G406" t="n">
        <v/>
      </c>
      <c r="H406" t="n">
        <v>0.3064982</v>
      </c>
      <c r="I406" t="n">
        <v/>
      </c>
      <c r="J406" t="n">
        <v/>
      </c>
      <c r="K406" t="n">
        <v>17.04036</v>
      </c>
      <c r="L406" t="n">
        <v>15.93709</v>
      </c>
      <c r="M406" t="n">
        <v/>
      </c>
      <c r="N406" t="n">
        <v/>
      </c>
      <c r="O406" t="n">
        <v/>
      </c>
      <c r="P406" t="n">
        <v>0.8630456</v>
      </c>
      <c r="Q406" t="n">
        <v>1.383487</v>
      </c>
      <c r="R406" t="n">
        <v>0.2353649</v>
      </c>
      <c r="S406" t="n">
        <v>34.90413</v>
      </c>
      <c r="T406" t="n">
        <v>1.434484</v>
      </c>
      <c r="U406" t="n">
        <v>0.06494071</v>
      </c>
      <c r="V406" t="n">
        <v>11.59661</v>
      </c>
      <c r="W406" t="n">
        <v>6.415709</v>
      </c>
      <c r="X406" t="n">
        <v>6.062124</v>
      </c>
      <c r="Y406" t="n">
        <v>0.771029</v>
      </c>
      <c r="Z406" t="n">
        <v/>
      </c>
      <c r="AA406" t="n">
        <v/>
      </c>
      <c r="AB406" t="n">
        <v>14.73463</v>
      </c>
      <c r="AC406" t="n">
        <v>0.000504402</v>
      </c>
      <c r="AD406" t="n">
        <v>18.6333</v>
      </c>
      <c r="AE406" t="n">
        <v>2.145564</v>
      </c>
    </row>
    <row r="407">
      <c r="A407" s="87" t="n">
        <v>30956</v>
      </c>
      <c r="B407" t="n">
        <v>5.634171</v>
      </c>
      <c r="C407" t="n">
        <v/>
      </c>
      <c r="D407" t="n">
        <v>12.42925</v>
      </c>
      <c r="E407" t="n">
        <v>25.48549</v>
      </c>
      <c r="F407" t="n">
        <v/>
      </c>
      <c r="G407" t="n">
        <v/>
      </c>
      <c r="H407" t="n">
        <v>0.314414</v>
      </c>
      <c r="I407" t="n">
        <v/>
      </c>
      <c r="J407" t="n">
        <v/>
      </c>
      <c r="K407" t="n">
        <v>17.37403</v>
      </c>
      <c r="L407" t="n">
        <v>16.05753</v>
      </c>
      <c r="M407" t="n">
        <v/>
      </c>
      <c r="N407" t="n">
        <v/>
      </c>
      <c r="O407" t="n">
        <v/>
      </c>
      <c r="P407" t="n">
        <v>0.8761432</v>
      </c>
      <c r="Q407" t="n">
        <v>1.447383</v>
      </c>
      <c r="R407" t="n">
        <v>0.2814254</v>
      </c>
      <c r="S407" t="n">
        <v>35.07591</v>
      </c>
      <c r="T407" t="n">
        <v>1.454072</v>
      </c>
      <c r="U407" t="n">
        <v>0.06739870000000001</v>
      </c>
      <c r="V407" t="n">
        <v>11.79886</v>
      </c>
      <c r="W407" t="n">
        <v>6.567493</v>
      </c>
      <c r="X407" t="n">
        <v>6.14526</v>
      </c>
      <c r="Y407" t="n">
        <v>0.7837378</v>
      </c>
      <c r="Z407" t="n">
        <v/>
      </c>
      <c r="AA407" t="n">
        <v/>
      </c>
      <c r="AB407" t="n">
        <v>14.83623</v>
      </c>
      <c r="AC407" t="n">
        <v>0.000516969</v>
      </c>
      <c r="AD407" t="n">
        <v>18.75368</v>
      </c>
      <c r="AE407" t="n">
        <v>2.185947</v>
      </c>
    </row>
    <row r="408">
      <c r="A408" s="87" t="n">
        <v>30987</v>
      </c>
      <c r="B408" t="n">
        <v>5.709816</v>
      </c>
      <c r="C408" t="n">
        <v/>
      </c>
      <c r="D408" t="n">
        <v>12.38179</v>
      </c>
      <c r="E408" t="n">
        <v>25.55147</v>
      </c>
      <c r="F408" t="n">
        <v/>
      </c>
      <c r="G408" t="n">
        <v/>
      </c>
      <c r="H408" t="n">
        <v>0.3203249</v>
      </c>
      <c r="I408" t="n">
        <v/>
      </c>
      <c r="J408" t="n">
        <v/>
      </c>
      <c r="K408" t="n">
        <v>17.8057</v>
      </c>
      <c r="L408" t="n">
        <v>16.10488</v>
      </c>
      <c r="M408" t="n">
        <v/>
      </c>
      <c r="N408" t="n">
        <v/>
      </c>
      <c r="O408" t="n">
        <v/>
      </c>
      <c r="P408" t="n">
        <v>0.8899835</v>
      </c>
      <c r="Q408" t="n">
        <v>1.492604</v>
      </c>
      <c r="R408" t="n">
        <v>0.3354019</v>
      </c>
      <c r="S408" t="n">
        <v>35.30495</v>
      </c>
      <c r="T408" t="n">
        <v>1.482165</v>
      </c>
      <c r="U408" t="n">
        <v>0.07034174</v>
      </c>
      <c r="V408" t="n">
        <v>11.94015</v>
      </c>
      <c r="W408" t="n">
        <v>6.693426</v>
      </c>
      <c r="X408" t="n">
        <v>6.24855</v>
      </c>
      <c r="Y408" t="n">
        <v>0.8019789000000001</v>
      </c>
      <c r="Z408" t="n">
        <v/>
      </c>
      <c r="AA408" t="n">
        <v/>
      </c>
      <c r="AB408" t="n">
        <v>14.97422</v>
      </c>
      <c r="AC408" t="n">
        <v>0.000538652</v>
      </c>
      <c r="AD408" t="n">
        <v>18.94048</v>
      </c>
      <c r="AE408" t="n">
        <v>2.232666</v>
      </c>
    </row>
    <row r="409">
      <c r="A409" s="87" t="n">
        <v>31017</v>
      </c>
      <c r="B409" t="n">
        <v>5.793867</v>
      </c>
      <c r="C409" t="n">
        <v/>
      </c>
      <c r="D409" t="n">
        <v>12.5423</v>
      </c>
      <c r="E409" t="n">
        <v>25.87343</v>
      </c>
      <c r="F409" t="n">
        <v/>
      </c>
      <c r="G409" t="n">
        <v/>
      </c>
      <c r="H409" t="n">
        <v>0.3286087</v>
      </c>
      <c r="I409" t="n">
        <v/>
      </c>
      <c r="J409" t="n">
        <v/>
      </c>
      <c r="K409" t="n">
        <v>17.90689</v>
      </c>
      <c r="L409" t="n">
        <v>16.51403</v>
      </c>
      <c r="M409" t="n">
        <v/>
      </c>
      <c r="N409" t="n">
        <v/>
      </c>
      <c r="O409" t="n">
        <v/>
      </c>
      <c r="P409" t="n">
        <v>0.9080241</v>
      </c>
      <c r="Q409" t="n">
        <v>1.53026</v>
      </c>
      <c r="R409" t="n">
        <v>0.387103</v>
      </c>
      <c r="S409" t="n">
        <v>35.49309</v>
      </c>
      <c r="T409" t="n">
        <v>1.505045</v>
      </c>
      <c r="U409" t="n">
        <v>0.07434909000000001</v>
      </c>
      <c r="V409" t="n">
        <v>12.2685</v>
      </c>
      <c r="W409" t="n">
        <v>6.804257</v>
      </c>
      <c r="X409" t="n">
        <v>6.370421</v>
      </c>
      <c r="Y409" t="n">
        <v>0.8243384</v>
      </c>
      <c r="Z409" t="n">
        <v/>
      </c>
      <c r="AA409" t="n">
        <v/>
      </c>
      <c r="AB409" t="n">
        <v>15.26634</v>
      </c>
      <c r="AC409" t="n">
        <v>0.000562953</v>
      </c>
      <c r="AD409" t="n">
        <v>19.14804</v>
      </c>
      <c r="AE409" t="n">
        <v>2.256589</v>
      </c>
    </row>
    <row r="410">
      <c r="A410" s="87" t="n">
        <v>31048</v>
      </c>
      <c r="B410" t="n">
        <v>5.886322</v>
      </c>
      <c r="C410" t="n">
        <v/>
      </c>
      <c r="D410" t="n">
        <v>12.59736</v>
      </c>
      <c r="E410" t="n">
        <v>26.22957</v>
      </c>
      <c r="F410" t="n">
        <v/>
      </c>
      <c r="G410" t="n">
        <v/>
      </c>
      <c r="H410" t="n">
        <v>0.3373975</v>
      </c>
      <c r="I410" t="n">
        <v/>
      </c>
      <c r="J410" t="n">
        <v/>
      </c>
      <c r="K410" t="n">
        <v>17.95308</v>
      </c>
      <c r="L410" t="n">
        <v>16.80724</v>
      </c>
      <c r="M410" t="n">
        <v/>
      </c>
      <c r="N410" t="n">
        <v/>
      </c>
      <c r="O410" t="n">
        <v/>
      </c>
      <c r="P410" t="n">
        <v>0.9210614</v>
      </c>
      <c r="Q410" t="n">
        <v>1.591517</v>
      </c>
      <c r="R410" t="n">
        <v>0.4360005</v>
      </c>
      <c r="S410" t="n">
        <v>35.77121</v>
      </c>
      <c r="T410" t="n">
        <v>1.531863</v>
      </c>
      <c r="U410" t="n">
        <v>0.07779700000000001</v>
      </c>
      <c r="V410" t="n">
        <v>12.43956</v>
      </c>
      <c r="W410" t="n">
        <v>6.899369</v>
      </c>
      <c r="X410" t="n">
        <v>6.481975</v>
      </c>
      <c r="Y410" t="n">
        <v>0.8372685</v>
      </c>
      <c r="Z410" t="n">
        <v/>
      </c>
      <c r="AA410" t="n">
        <v/>
      </c>
      <c r="AB410" t="n">
        <v>15.27805</v>
      </c>
      <c r="AC410" t="n">
        <v>0.000577652</v>
      </c>
      <c r="AD410" t="n">
        <v>19.36389</v>
      </c>
      <c r="AE410" t="n">
        <v>2.268608</v>
      </c>
    </row>
    <row r="411">
      <c r="A411" s="87" t="n">
        <v>31079</v>
      </c>
      <c r="B411" t="n">
        <v>5.975976</v>
      </c>
      <c r="C411" t="n">
        <v/>
      </c>
      <c r="D411" t="n">
        <v>12.68333</v>
      </c>
      <c r="E411" t="n">
        <v>26.36054</v>
      </c>
      <c r="F411" t="n">
        <v/>
      </c>
      <c r="G411" t="n">
        <v/>
      </c>
      <c r="H411" t="n">
        <v>0.3438247</v>
      </c>
      <c r="I411" t="n">
        <v/>
      </c>
      <c r="J411" t="n">
        <v/>
      </c>
      <c r="K411" t="n">
        <v>18.19077</v>
      </c>
      <c r="L411" t="n">
        <v>16.77267</v>
      </c>
      <c r="M411" t="n">
        <v/>
      </c>
      <c r="N411" t="n">
        <v/>
      </c>
      <c r="O411" t="n">
        <v/>
      </c>
      <c r="P411" t="n">
        <v>0.9282543</v>
      </c>
      <c r="Q411" t="n">
        <v>1.651867</v>
      </c>
      <c r="R411" t="n">
        <v>0.4852653</v>
      </c>
      <c r="S411" t="n">
        <v>36.01661</v>
      </c>
      <c r="T411" t="n">
        <v>1.56041</v>
      </c>
      <c r="U411" t="n">
        <v>0.07987536000000001</v>
      </c>
      <c r="V411" t="n">
        <v>12.40736</v>
      </c>
      <c r="W411" t="n">
        <v>6.971493</v>
      </c>
      <c r="X411" t="n">
        <v>6.555875</v>
      </c>
      <c r="Y411" t="n">
        <v>0.8496</v>
      </c>
      <c r="Z411" t="n">
        <v/>
      </c>
      <c r="AA411" t="n">
        <v/>
      </c>
      <c r="AB411" t="n">
        <v>15.04765</v>
      </c>
      <c r="AC411" t="n">
        <v>0.000602146</v>
      </c>
      <c r="AD411" t="n">
        <v>19.54405</v>
      </c>
      <c r="AE411" t="n">
        <v>2.293169</v>
      </c>
    </row>
    <row r="412">
      <c r="A412" s="87" t="n">
        <v>31107</v>
      </c>
      <c r="B412" t="n">
        <v>6.051621</v>
      </c>
      <c r="C412" t="n">
        <v/>
      </c>
      <c r="D412" t="n">
        <v>12.70561</v>
      </c>
      <c r="E412" t="n">
        <v>26.52036</v>
      </c>
      <c r="F412" t="n">
        <v/>
      </c>
      <c r="G412" t="n">
        <v/>
      </c>
      <c r="H412" t="n">
        <v>0.3510444</v>
      </c>
      <c r="I412" t="n">
        <v/>
      </c>
      <c r="J412" t="n">
        <v/>
      </c>
      <c r="K412" t="n">
        <v>18.29265</v>
      </c>
      <c r="L412" t="n">
        <v>16.83982</v>
      </c>
      <c r="M412" t="n">
        <v/>
      </c>
      <c r="N412" t="n">
        <v/>
      </c>
      <c r="O412" t="n">
        <v/>
      </c>
      <c r="P412" t="n">
        <v>0.9412262</v>
      </c>
      <c r="Q412" t="n">
        <v>1.703585</v>
      </c>
      <c r="R412" t="n">
        <v>0.5413498</v>
      </c>
      <c r="S412" t="n">
        <v>36.28655</v>
      </c>
      <c r="T412" t="n">
        <v>1.585288</v>
      </c>
      <c r="U412" t="n">
        <v>0.08260018</v>
      </c>
      <c r="V412" t="n">
        <v>12.57775</v>
      </c>
      <c r="W412" t="n">
        <v>7.069933</v>
      </c>
      <c r="X412" t="n">
        <v>6.622671</v>
      </c>
      <c r="Y412" t="n">
        <v>0.8671082</v>
      </c>
      <c r="Z412" t="n">
        <v/>
      </c>
      <c r="AA412" t="n">
        <v/>
      </c>
      <c r="AB412" t="n">
        <v>15.00089</v>
      </c>
      <c r="AC412" t="n">
        <v>0.000631074</v>
      </c>
      <c r="AD412" t="n">
        <v>19.6445</v>
      </c>
      <c r="AE412" t="n">
        <v>2.305591</v>
      </c>
    </row>
    <row r="413">
      <c r="A413" s="87" t="n">
        <v>31138</v>
      </c>
      <c r="B413" t="n">
        <v>6.124465</v>
      </c>
      <c r="C413" t="n">
        <v/>
      </c>
      <c r="D413" t="n">
        <v>12.78915</v>
      </c>
      <c r="E413" t="n">
        <v>26.64732</v>
      </c>
      <c r="F413" t="n">
        <v/>
      </c>
      <c r="G413" t="n">
        <v/>
      </c>
      <c r="H413" t="n">
        <v>0.3577806</v>
      </c>
      <c r="I413" t="n">
        <v/>
      </c>
      <c r="J413" t="n">
        <v/>
      </c>
      <c r="K413" t="n">
        <v>18.44324</v>
      </c>
      <c r="L413" t="n">
        <v>16.90485</v>
      </c>
      <c r="M413" t="n">
        <v/>
      </c>
      <c r="N413" t="n">
        <v/>
      </c>
      <c r="O413" t="n">
        <v/>
      </c>
      <c r="P413" t="n">
        <v>0.9514911</v>
      </c>
      <c r="Q413" t="n">
        <v>1.758884</v>
      </c>
      <c r="R413" t="n">
        <v>0.6177108</v>
      </c>
      <c r="S413" t="n">
        <v>36.58921</v>
      </c>
      <c r="T413" t="n">
        <v>1.612409</v>
      </c>
      <c r="U413" t="n">
        <v>0.08567561</v>
      </c>
      <c r="V413" t="n">
        <v>12.65944</v>
      </c>
      <c r="W413" t="n">
        <v>7.278556</v>
      </c>
      <c r="X413" t="n">
        <v>6.691077</v>
      </c>
      <c r="Y413" t="n">
        <v>0.8831624</v>
      </c>
      <c r="Z413" t="n">
        <v/>
      </c>
      <c r="AA413" t="n">
        <v/>
      </c>
      <c r="AB413" t="n">
        <v>15.01838</v>
      </c>
      <c r="AC413" t="n">
        <v>0.000657241</v>
      </c>
      <c r="AD413" t="n">
        <v>19.72088</v>
      </c>
      <c r="AE413" t="n">
        <v>2.322314</v>
      </c>
    </row>
    <row r="414">
      <c r="A414" s="87" t="n">
        <v>31168</v>
      </c>
      <c r="B414" t="n">
        <v>6.20011</v>
      </c>
      <c r="C414" t="n">
        <v/>
      </c>
      <c r="D414" t="n">
        <v>12.87574</v>
      </c>
      <c r="E414" t="n">
        <v>26.80047</v>
      </c>
      <c r="F414" t="n">
        <v/>
      </c>
      <c r="G414" t="n">
        <v/>
      </c>
      <c r="H414" t="n">
        <v>0.3643523</v>
      </c>
      <c r="I414" t="n">
        <v/>
      </c>
      <c r="J414" t="n">
        <v/>
      </c>
      <c r="K414" t="n">
        <v>18.71522</v>
      </c>
      <c r="L414" t="n">
        <v>16.92256</v>
      </c>
      <c r="M414" t="n">
        <v/>
      </c>
      <c r="N414" t="n">
        <v/>
      </c>
      <c r="O414" t="n">
        <v/>
      </c>
      <c r="P414" t="n">
        <v>0.9604991000000001</v>
      </c>
      <c r="Q414" t="n">
        <v>1.827748</v>
      </c>
      <c r="R414" t="n">
        <v>0.6879159</v>
      </c>
      <c r="S414" t="n">
        <v>36.82643</v>
      </c>
      <c r="T414" t="n">
        <v>1.636843</v>
      </c>
      <c r="U414" t="n">
        <v>0.08909824</v>
      </c>
      <c r="V414" t="n">
        <v>12.72197</v>
      </c>
      <c r="W414" t="n">
        <v>7.52564</v>
      </c>
      <c r="X414" t="n">
        <v>6.766047</v>
      </c>
      <c r="Y414" t="n">
        <v>0.8996556</v>
      </c>
      <c r="Z414" t="n">
        <v/>
      </c>
      <c r="AA414" t="n">
        <v/>
      </c>
      <c r="AB414" t="n">
        <v>15.01582</v>
      </c>
      <c r="AC414" t="n">
        <v>0.000683192</v>
      </c>
      <c r="AD414" t="n">
        <v>19.83794</v>
      </c>
      <c r="AE414" t="n">
        <v>2.353278</v>
      </c>
    </row>
    <row r="415">
      <c r="A415" s="87" t="n">
        <v>31199</v>
      </c>
      <c r="B415" t="n">
        <v>6.244936</v>
      </c>
      <c r="C415" t="n">
        <v/>
      </c>
      <c r="D415" t="n">
        <v>12.91471</v>
      </c>
      <c r="E415" t="n">
        <v>26.91321</v>
      </c>
      <c r="F415" t="n">
        <v/>
      </c>
      <c r="G415" t="n">
        <v/>
      </c>
      <c r="H415" t="n">
        <v>0.3732331</v>
      </c>
      <c r="I415" t="n">
        <v/>
      </c>
      <c r="J415" t="n">
        <v/>
      </c>
      <c r="K415" t="n">
        <v>18.94069</v>
      </c>
      <c r="L415" t="n">
        <v>17.02847</v>
      </c>
      <c r="M415" t="n">
        <v/>
      </c>
      <c r="N415" t="n">
        <v/>
      </c>
      <c r="O415" t="n">
        <v/>
      </c>
      <c r="P415" t="n">
        <v>0.9710152</v>
      </c>
      <c r="Q415" t="n">
        <v>1.892036</v>
      </c>
      <c r="R415" t="n">
        <v>0.7560946</v>
      </c>
      <c r="S415" t="n">
        <v>37.04729</v>
      </c>
      <c r="T415" t="n">
        <v>1.652723</v>
      </c>
      <c r="U415" t="n">
        <v>0.09239435</v>
      </c>
      <c r="V415" t="n">
        <v>12.90263</v>
      </c>
      <c r="W415" t="n">
        <v>7.774296</v>
      </c>
      <c r="X415" t="n">
        <v>6.850359</v>
      </c>
      <c r="Y415" t="n">
        <v>0.9161618</v>
      </c>
      <c r="Z415" t="n">
        <v/>
      </c>
      <c r="AA415" t="n">
        <v/>
      </c>
      <c r="AB415" t="n">
        <v>14.84312</v>
      </c>
      <c r="AC415" t="n">
        <v>0.000711622</v>
      </c>
      <c r="AD415" t="n">
        <v>20.02972</v>
      </c>
      <c r="AE415" t="n">
        <v>2.389041</v>
      </c>
    </row>
    <row r="416">
      <c r="A416" s="87" t="n">
        <v>31229</v>
      </c>
      <c r="B416" t="n">
        <v>6.328987</v>
      </c>
      <c r="C416" t="n">
        <v/>
      </c>
      <c r="D416" t="n">
        <v>12.98011</v>
      </c>
      <c r="E416" t="n">
        <v>26.94251</v>
      </c>
      <c r="F416" t="n">
        <v/>
      </c>
      <c r="G416" t="n">
        <v/>
      </c>
      <c r="H416" t="n">
        <v>0.3834643</v>
      </c>
      <c r="I416" t="n">
        <v/>
      </c>
      <c r="J416" t="n">
        <v/>
      </c>
      <c r="K416" t="n">
        <v>19.23511</v>
      </c>
      <c r="L416" t="n">
        <v>17.16287</v>
      </c>
      <c r="M416" t="n">
        <v/>
      </c>
      <c r="N416" t="n">
        <v/>
      </c>
      <c r="O416" t="n">
        <v/>
      </c>
      <c r="P416" t="n">
        <v>0.9840778999999999</v>
      </c>
      <c r="Q416" t="n">
        <v>1.946736</v>
      </c>
      <c r="R416" t="n">
        <v>0.9078351</v>
      </c>
      <c r="S416" t="n">
        <v>37.29269</v>
      </c>
      <c r="T416" t="n">
        <v>1.674055</v>
      </c>
      <c r="U416" t="n">
        <v>0.09603361000000001</v>
      </c>
      <c r="V416" t="n">
        <v>13.08079</v>
      </c>
      <c r="W416" t="n">
        <v>8.104157000000001</v>
      </c>
      <c r="X416" t="n">
        <v>6.939236</v>
      </c>
      <c r="Y416" t="n">
        <v>0.9344501</v>
      </c>
      <c r="Z416" t="n">
        <v/>
      </c>
      <c r="AA416" t="n">
        <v/>
      </c>
      <c r="AB416" t="n">
        <v>14.84823</v>
      </c>
      <c r="AC416" t="n">
        <v>0.0007405480000000001</v>
      </c>
      <c r="AD416" t="n">
        <v>20.17003</v>
      </c>
      <c r="AE416" t="n">
        <v>2.41753</v>
      </c>
    </row>
    <row r="417">
      <c r="A417" s="87" t="n">
        <v>31260</v>
      </c>
      <c r="B417" t="n">
        <v>6.446657</v>
      </c>
      <c r="C417" t="n">
        <v/>
      </c>
      <c r="D417" t="n">
        <v>13.04788</v>
      </c>
      <c r="E417" t="n">
        <v>26.99517</v>
      </c>
      <c r="F417" t="n">
        <v/>
      </c>
      <c r="G417" t="n">
        <v/>
      </c>
      <c r="H417" t="n">
        <v>0.3955121</v>
      </c>
      <c r="I417" t="n">
        <v/>
      </c>
      <c r="J417" t="n">
        <v/>
      </c>
      <c r="K417" t="n">
        <v>19.68019</v>
      </c>
      <c r="L417" t="n">
        <v>17.14371</v>
      </c>
      <c r="M417" t="n">
        <v/>
      </c>
      <c r="N417" t="n">
        <v/>
      </c>
      <c r="O417" t="n">
        <v/>
      </c>
      <c r="P417" t="n">
        <v>0.999068</v>
      </c>
      <c r="Q417" t="n">
        <v>1.99503</v>
      </c>
      <c r="R417" t="n">
        <v>1.024939</v>
      </c>
      <c r="S417" t="n">
        <v>37.52991</v>
      </c>
      <c r="T417" t="n">
        <v>1.703139</v>
      </c>
      <c r="U417" t="n">
        <v>0.1004015</v>
      </c>
      <c r="V417" t="n">
        <v>13.29608</v>
      </c>
      <c r="W417" t="n">
        <v>8.299205000000001</v>
      </c>
      <c r="X417" t="n">
        <v>7.031057</v>
      </c>
      <c r="Y417" t="n">
        <v>0.9579003</v>
      </c>
      <c r="Z417" t="n">
        <v/>
      </c>
      <c r="AA417" t="n">
        <v/>
      </c>
      <c r="AB417" t="n">
        <v>14.93588</v>
      </c>
      <c r="AC417" t="n">
        <v>0.000775427</v>
      </c>
      <c r="AD417" t="n">
        <v>20.29041</v>
      </c>
      <c r="AE417" t="n">
        <v>2.442</v>
      </c>
    </row>
    <row r="418">
      <c r="A418" s="87" t="n">
        <v>31291</v>
      </c>
      <c r="B418" t="n">
        <v>6.525104</v>
      </c>
      <c r="C418" t="n">
        <v/>
      </c>
      <c r="D418" t="n">
        <v>13.13421</v>
      </c>
      <c r="E418" t="n">
        <v>27.12894</v>
      </c>
      <c r="F418" t="n">
        <v/>
      </c>
      <c r="G418" t="n">
        <v/>
      </c>
      <c r="H418" t="n">
        <v>0.4043917</v>
      </c>
      <c r="I418" t="n">
        <v/>
      </c>
      <c r="J418" t="n">
        <v/>
      </c>
      <c r="K418" t="n">
        <v>19.98777</v>
      </c>
      <c r="L418" t="n">
        <v>17.1856</v>
      </c>
      <c r="M418" t="n">
        <v/>
      </c>
      <c r="N418" t="n">
        <v/>
      </c>
      <c r="O418" t="n">
        <v/>
      </c>
      <c r="P418" t="n">
        <v>1.01169</v>
      </c>
      <c r="Q418" t="n">
        <v>2.055998</v>
      </c>
      <c r="R418" t="n">
        <v>1.047118</v>
      </c>
      <c r="S418" t="n">
        <v>37.79985</v>
      </c>
      <c r="T418" t="n">
        <v>1.737249</v>
      </c>
      <c r="U418" t="n">
        <v>0.1042746</v>
      </c>
      <c r="V418" t="n">
        <v>13.47439</v>
      </c>
      <c r="W418" t="n">
        <v>8.423455000000001</v>
      </c>
      <c r="X418" t="n">
        <v>7.107648</v>
      </c>
      <c r="Y418" t="n">
        <v>0.978666</v>
      </c>
      <c r="Z418" t="n">
        <v/>
      </c>
      <c r="AA418" t="n">
        <v/>
      </c>
      <c r="AB418" t="n">
        <v>14.86674</v>
      </c>
      <c r="AC418" t="n">
        <v>0.000809064</v>
      </c>
      <c r="AD418" t="n">
        <v>20.39335</v>
      </c>
      <c r="AE418" t="n">
        <v>2.448328</v>
      </c>
    </row>
    <row r="419">
      <c r="A419" s="87" t="n">
        <v>31321</v>
      </c>
      <c r="B419" t="n">
        <v>6.586741</v>
      </c>
      <c r="C419" t="n">
        <v/>
      </c>
      <c r="D419" t="n">
        <v>13.21072</v>
      </c>
      <c r="E419" t="n">
        <v>27.31076</v>
      </c>
      <c r="F419" t="n">
        <v/>
      </c>
      <c r="G419" t="n">
        <v/>
      </c>
      <c r="H419" t="n">
        <v>0.4145202</v>
      </c>
      <c r="I419" t="n">
        <v/>
      </c>
      <c r="J419" t="n">
        <v/>
      </c>
      <c r="K419" t="n">
        <v>20.06895</v>
      </c>
      <c r="L419" t="n">
        <v>17.27396</v>
      </c>
      <c r="M419" t="n">
        <v/>
      </c>
      <c r="N419" t="n">
        <v/>
      </c>
      <c r="O419" t="n">
        <v/>
      </c>
      <c r="P419" t="n">
        <v>1.023906</v>
      </c>
      <c r="Q419" t="n">
        <v>2.134644</v>
      </c>
      <c r="R419" t="n">
        <v>1.076957</v>
      </c>
      <c r="S419" t="n">
        <v>38.11887</v>
      </c>
      <c r="T419" t="n">
        <v>1.765805</v>
      </c>
      <c r="U419" t="n">
        <v>0.1070225</v>
      </c>
      <c r="V419" t="n">
        <v>13.57277</v>
      </c>
      <c r="W419" t="n">
        <v>8.562561000000001</v>
      </c>
      <c r="X419" t="n">
        <v>7.172094</v>
      </c>
      <c r="Y419" t="n">
        <v>0.9907142</v>
      </c>
      <c r="Z419" t="n">
        <v/>
      </c>
      <c r="AA419" t="n">
        <v/>
      </c>
      <c r="AB419" t="n">
        <v>14.89697</v>
      </c>
      <c r="AC419" t="n">
        <v>0.00082675</v>
      </c>
      <c r="AD419" t="n">
        <v>20.48966</v>
      </c>
      <c r="AE419" t="n">
        <v>2.461045</v>
      </c>
    </row>
    <row r="420">
      <c r="A420" s="87" t="n">
        <v>31352</v>
      </c>
      <c r="B420" t="n">
        <v>6.634369</v>
      </c>
      <c r="C420" t="n">
        <v/>
      </c>
      <c r="D420" t="n">
        <v>13.30217</v>
      </c>
      <c r="E420" t="n">
        <v>27.43263</v>
      </c>
      <c r="F420" t="n">
        <v/>
      </c>
      <c r="G420" t="n">
        <v/>
      </c>
      <c r="H420" t="n">
        <v>0.4281417</v>
      </c>
      <c r="I420" t="n">
        <v/>
      </c>
      <c r="J420" t="n">
        <v/>
      </c>
      <c r="K420" t="n">
        <v>20.27525</v>
      </c>
      <c r="L420" t="n">
        <v>17.33947</v>
      </c>
      <c r="M420" t="n">
        <v/>
      </c>
      <c r="N420" t="n">
        <v/>
      </c>
      <c r="O420" t="n">
        <v/>
      </c>
      <c r="P420" t="n">
        <v>1.036158</v>
      </c>
      <c r="Q420" t="n">
        <v>2.201579</v>
      </c>
      <c r="R420" t="n">
        <v>1.115026</v>
      </c>
      <c r="S420" t="n">
        <v>38.44608</v>
      </c>
      <c r="T420" t="n">
        <v>1.795212</v>
      </c>
      <c r="U420" t="n">
        <v>0.1095315</v>
      </c>
      <c r="V420" t="n">
        <v>13.68146</v>
      </c>
      <c r="W420" t="n">
        <v>8.717511999999999</v>
      </c>
      <c r="X420" t="n">
        <v>7.234273</v>
      </c>
      <c r="Y420" t="n">
        <v>1.002438</v>
      </c>
      <c r="Z420" t="n">
        <v/>
      </c>
      <c r="AA420" t="n">
        <v/>
      </c>
      <c r="AB420" t="n">
        <v>14.93735</v>
      </c>
      <c r="AC420" t="n">
        <v>0.000842903</v>
      </c>
      <c r="AD420" t="n">
        <v>20.57102</v>
      </c>
      <c r="AE420" t="n">
        <v>2.486035</v>
      </c>
    </row>
    <row r="421">
      <c r="A421" s="87" t="n">
        <v>31382</v>
      </c>
      <c r="B421" t="n">
        <v>6.673593</v>
      </c>
      <c r="C421" t="n">
        <v/>
      </c>
      <c r="D421" t="n">
        <v>13.37899</v>
      </c>
      <c r="E421" t="n">
        <v>27.59688</v>
      </c>
      <c r="F421" t="n">
        <v/>
      </c>
      <c r="G421" t="n">
        <v/>
      </c>
      <c r="H421" t="n">
        <v>0.4399321</v>
      </c>
      <c r="I421" t="n">
        <v/>
      </c>
      <c r="J421" t="n">
        <v/>
      </c>
      <c r="K421" t="n">
        <v>20.68847</v>
      </c>
      <c r="L421" t="n">
        <v>17.79004</v>
      </c>
      <c r="M421" t="n">
        <v/>
      </c>
      <c r="N421" t="n">
        <v/>
      </c>
      <c r="O421" t="n">
        <v/>
      </c>
      <c r="P421" t="n">
        <v>1.047654</v>
      </c>
      <c r="Q421" t="n">
        <v>2.264307</v>
      </c>
      <c r="R421" t="n">
        <v>1.142653</v>
      </c>
      <c r="S421" t="n">
        <v>38.77327</v>
      </c>
      <c r="T421" t="n">
        <v>1.82884</v>
      </c>
      <c r="U421" t="n">
        <v>0.1409878</v>
      </c>
      <c r="V421" t="n">
        <v>14.03137</v>
      </c>
      <c r="W421" t="n">
        <v>8.897497</v>
      </c>
      <c r="X421" t="n">
        <v>7.477833</v>
      </c>
      <c r="Y421" t="n">
        <v>1.024548</v>
      </c>
      <c r="Z421" t="n">
        <v/>
      </c>
      <c r="AA421" t="n">
        <v/>
      </c>
      <c r="AB421" t="n">
        <v>15.21611</v>
      </c>
      <c r="AC421" t="n">
        <v>0.000867983</v>
      </c>
      <c r="AD421" t="n">
        <v>20.68974</v>
      </c>
      <c r="AE421" t="n">
        <v>2.508467</v>
      </c>
    </row>
    <row r="422">
      <c r="A422" s="87" t="n">
        <v>31413</v>
      </c>
      <c r="B422" t="n">
        <v>6.693205</v>
      </c>
      <c r="C422" t="n">
        <v/>
      </c>
      <c r="D422" t="n">
        <v>13.54829</v>
      </c>
      <c r="E422" t="n">
        <v>27.7822</v>
      </c>
      <c r="F422" t="n">
        <v/>
      </c>
      <c r="G422" t="n">
        <v/>
      </c>
      <c r="H422" t="n">
        <v>0.4526633</v>
      </c>
      <c r="I422" t="n">
        <v/>
      </c>
      <c r="J422" t="n">
        <v/>
      </c>
      <c r="K422" t="n">
        <v>21.12677</v>
      </c>
      <c r="L422" t="n">
        <v>18.06919</v>
      </c>
      <c r="M422" t="n">
        <v/>
      </c>
      <c r="N422" t="n">
        <v/>
      </c>
      <c r="O422" t="n">
        <v/>
      </c>
      <c r="P422" t="n">
        <v>1.065353</v>
      </c>
      <c r="Q422" t="n">
        <v>2.341244</v>
      </c>
      <c r="R422" t="n">
        <v>1.149861</v>
      </c>
      <c r="S422" t="n">
        <v>38.9696</v>
      </c>
      <c r="T422" t="n">
        <v>1.876403</v>
      </c>
      <c r="U422" t="n">
        <v>0.1715862</v>
      </c>
      <c r="V422" t="n">
        <v>14.1522</v>
      </c>
      <c r="W422" t="n">
        <v>9.031952</v>
      </c>
      <c r="X422" t="n">
        <v>7.708763</v>
      </c>
      <c r="Y422" t="n">
        <v>1.049454</v>
      </c>
      <c r="Z422" t="n">
        <v/>
      </c>
      <c r="AA422" t="n">
        <v/>
      </c>
      <c r="AB422" t="n">
        <v>15.43827</v>
      </c>
      <c r="AC422" t="n">
        <v>0.000902793</v>
      </c>
      <c r="AD422" t="n">
        <v>20.77276</v>
      </c>
      <c r="AE422" t="n">
        <v>2.52803</v>
      </c>
    </row>
    <row r="423">
      <c r="A423" s="87" t="n">
        <v>31444</v>
      </c>
      <c r="B423" t="n">
        <v>6.707213</v>
      </c>
      <c r="C423" t="n">
        <v/>
      </c>
      <c r="D423" t="n">
        <v>13.62376</v>
      </c>
      <c r="E423" t="n">
        <v>27.91494</v>
      </c>
      <c r="F423" t="n">
        <v>0.7170138</v>
      </c>
      <c r="G423" t="n">
        <v/>
      </c>
      <c r="H423" t="n">
        <v>0.4650056</v>
      </c>
      <c r="I423" t="n">
        <v/>
      </c>
      <c r="J423" t="n">
        <v/>
      </c>
      <c r="K423" t="n">
        <v>21.49007</v>
      </c>
      <c r="L423" t="n">
        <v>17.93594</v>
      </c>
      <c r="M423" t="n">
        <v/>
      </c>
      <c r="N423" t="n">
        <v/>
      </c>
      <c r="O423" t="n">
        <v/>
      </c>
      <c r="P423" t="n">
        <v>1.082783</v>
      </c>
      <c r="Q423" t="n">
        <v>2.42049</v>
      </c>
      <c r="R423" t="n">
        <v>1.172297</v>
      </c>
      <c r="S423" t="n">
        <v>39.22318</v>
      </c>
      <c r="T423" t="n">
        <v>1.927131</v>
      </c>
      <c r="U423" t="n">
        <v>0.1727196</v>
      </c>
      <c r="V423" t="n">
        <v>13.98903</v>
      </c>
      <c r="W423" t="n">
        <v>9.190341</v>
      </c>
      <c r="X423" t="n">
        <v>7.761551</v>
      </c>
      <c r="Y423" t="n">
        <v>1.066153</v>
      </c>
      <c r="Z423" t="n">
        <v/>
      </c>
      <c r="AA423" t="n">
        <v/>
      </c>
      <c r="AB423" t="n">
        <v>15.3806</v>
      </c>
      <c r="AC423" t="n">
        <v>0.000940554</v>
      </c>
      <c r="AD423" t="n">
        <v>20.86242</v>
      </c>
      <c r="AE423" t="n">
        <v>2.566039</v>
      </c>
    </row>
    <row r="424">
      <c r="A424" s="87" t="n">
        <v>31472</v>
      </c>
      <c r="B424" t="n">
        <v>6.760445</v>
      </c>
      <c r="C424" t="n">
        <v/>
      </c>
      <c r="D424" t="n">
        <v>13.78438</v>
      </c>
      <c r="E424" t="n">
        <v>27.91244</v>
      </c>
      <c r="F424" t="n">
        <v>0.7378309</v>
      </c>
      <c r="G424" t="n">
        <v/>
      </c>
      <c r="H424" t="n">
        <v>0.4760368</v>
      </c>
      <c r="I424" t="n">
        <v/>
      </c>
      <c r="J424" t="n">
        <v/>
      </c>
      <c r="K424" t="n">
        <v>21.83648</v>
      </c>
      <c r="L424" t="n">
        <v>17.99923</v>
      </c>
      <c r="M424" t="n">
        <v/>
      </c>
      <c r="N424" t="n">
        <v/>
      </c>
      <c r="O424" t="n">
        <v/>
      </c>
      <c r="P424" t="n">
        <v>1.093785</v>
      </c>
      <c r="Q424" t="n">
        <v>2.494111</v>
      </c>
      <c r="R424" t="n">
        <v>1.195879</v>
      </c>
      <c r="S424" t="n">
        <v>39.49311</v>
      </c>
      <c r="T424" t="n">
        <v>1.964746</v>
      </c>
      <c r="U424" t="n">
        <v>0.1733179</v>
      </c>
      <c r="V424" t="n">
        <v>13.97229</v>
      </c>
      <c r="W424" t="n">
        <v>9.428877</v>
      </c>
      <c r="X424" t="n">
        <v>7.83722</v>
      </c>
      <c r="Y424" t="n">
        <v>1.092214</v>
      </c>
      <c r="Z424" t="n">
        <v/>
      </c>
      <c r="AA424" t="n">
        <v/>
      </c>
      <c r="AB424" t="n">
        <v>15.44312</v>
      </c>
      <c r="AC424" t="n">
        <v>0.0009972500000000001</v>
      </c>
      <c r="AD424" t="n">
        <v>21.03013</v>
      </c>
      <c r="AE424" t="n">
        <v>2.581367</v>
      </c>
    </row>
    <row r="425">
      <c r="A425" s="87" t="n">
        <v>31503</v>
      </c>
      <c r="B425" t="n">
        <v>6.875314</v>
      </c>
      <c r="C425" t="n">
        <v/>
      </c>
      <c r="D425" t="n">
        <v>13.94215</v>
      </c>
      <c r="E425" t="n">
        <v>28.03565</v>
      </c>
      <c r="F425" t="n">
        <v>0.7677375</v>
      </c>
      <c r="G425" t="n">
        <v/>
      </c>
      <c r="H425" t="n">
        <v>0.4847503</v>
      </c>
      <c r="I425" t="n">
        <v/>
      </c>
      <c r="J425" t="n">
        <v/>
      </c>
      <c r="K425" t="n">
        <v>22.05007</v>
      </c>
      <c r="L425" t="n">
        <v>18.06557</v>
      </c>
      <c r="M425" t="n">
        <v/>
      </c>
      <c r="N425" t="n">
        <v/>
      </c>
      <c r="O425" t="n">
        <v/>
      </c>
      <c r="P425" t="n">
        <v>1.107286</v>
      </c>
      <c r="Q425" t="n">
        <v>2.549231</v>
      </c>
      <c r="R425" t="n">
        <v>1.199036</v>
      </c>
      <c r="S425" t="n">
        <v>39.69762</v>
      </c>
      <c r="T425" t="n">
        <v>2.00659</v>
      </c>
      <c r="U425" t="n">
        <v>0.1738291</v>
      </c>
      <c r="V425" t="n">
        <v>14.01908</v>
      </c>
      <c r="W425" t="n">
        <v>9.660170000000001</v>
      </c>
      <c r="X425" t="n">
        <v>7.917449</v>
      </c>
      <c r="Y425" t="n">
        <v>1.117412</v>
      </c>
      <c r="Z425" t="n">
        <v/>
      </c>
      <c r="AA425" t="n">
        <v/>
      </c>
      <c r="AB425" t="n">
        <v>15.54464</v>
      </c>
      <c r="AC425" t="n">
        <v>0.001048793</v>
      </c>
      <c r="AD425" t="n">
        <v>21.23519</v>
      </c>
      <c r="AE425" t="n">
        <v>2.586592</v>
      </c>
    </row>
    <row r="426">
      <c r="A426" s="87" t="n">
        <v>31533</v>
      </c>
      <c r="B426" t="n">
        <v>6.970571</v>
      </c>
      <c r="C426" t="n">
        <v/>
      </c>
      <c r="D426" t="n">
        <v>13.8231</v>
      </c>
      <c r="E426" t="n">
        <v>28.31396</v>
      </c>
      <c r="F426" t="n">
        <v>0.7869343</v>
      </c>
      <c r="G426" t="n">
        <v/>
      </c>
      <c r="H426" t="n">
        <v>0.4945062</v>
      </c>
      <c r="I426" t="n">
        <v/>
      </c>
      <c r="J426" t="n">
        <v/>
      </c>
      <c r="K426" t="n">
        <v>22.20981</v>
      </c>
      <c r="L426" t="n">
        <v>18.0765</v>
      </c>
      <c r="M426" t="n">
        <v/>
      </c>
      <c r="N426" t="n">
        <v/>
      </c>
      <c r="O426" t="n">
        <v/>
      </c>
      <c r="P426" t="n">
        <v>1.123449</v>
      </c>
      <c r="Q426" t="n">
        <v>2.591296</v>
      </c>
      <c r="R426" t="n">
        <v>1.1878</v>
      </c>
      <c r="S426" t="n">
        <v>39.93484</v>
      </c>
      <c r="T426" t="n">
        <v>2.051426</v>
      </c>
      <c r="U426" t="n">
        <v>0.1747761</v>
      </c>
      <c r="V426" t="n">
        <v>14.11022</v>
      </c>
      <c r="W426" t="n">
        <v>9.786033</v>
      </c>
      <c r="X426" t="n">
        <v>7.994519</v>
      </c>
      <c r="Y426" t="n">
        <v>1.141999</v>
      </c>
      <c r="Z426" t="n">
        <v/>
      </c>
      <c r="AA426" t="n">
        <v/>
      </c>
      <c r="AB426" t="n">
        <v>15.78364</v>
      </c>
      <c r="AC426" t="n">
        <v>0.001091547</v>
      </c>
      <c r="AD426" t="n">
        <v>21.45935</v>
      </c>
      <c r="AE426" t="n">
        <v>2.621361</v>
      </c>
    </row>
    <row r="427">
      <c r="A427" s="87" t="n">
        <v>31564</v>
      </c>
      <c r="B427" t="n">
        <v>7.015398</v>
      </c>
      <c r="C427" t="n">
        <v/>
      </c>
      <c r="D427" t="n">
        <v>13.85003</v>
      </c>
      <c r="E427" t="n">
        <v>28.56207</v>
      </c>
      <c r="F427" t="n">
        <v>0.7948619</v>
      </c>
      <c r="G427" t="n">
        <v/>
      </c>
      <c r="H427" t="n">
        <v>0.5069493</v>
      </c>
      <c r="I427" t="n">
        <v/>
      </c>
      <c r="J427" t="n">
        <v/>
      </c>
      <c r="K427" t="n">
        <v>22.23123</v>
      </c>
      <c r="L427" t="n">
        <v>18.20671</v>
      </c>
      <c r="M427" t="n">
        <v/>
      </c>
      <c r="N427" t="n">
        <v/>
      </c>
      <c r="O427" t="n">
        <v/>
      </c>
      <c r="P427" t="n">
        <v>1.139765</v>
      </c>
      <c r="Q427" t="n">
        <v>2.648893</v>
      </c>
      <c r="R427" t="n">
        <v>1.175238</v>
      </c>
      <c r="S427" t="n">
        <v>40.26204</v>
      </c>
      <c r="T427" t="n">
        <v>2.093241</v>
      </c>
      <c r="U427" t="n">
        <v>0.1756083</v>
      </c>
      <c r="V427" t="n">
        <v>14.19369</v>
      </c>
      <c r="W427" t="n">
        <v>9.847531999999999</v>
      </c>
      <c r="X427" t="n">
        <v>8.067940999999999</v>
      </c>
      <c r="Y427" t="n">
        <v>1.168385</v>
      </c>
      <c r="Z427" t="n">
        <v/>
      </c>
      <c r="AA427" t="n">
        <v/>
      </c>
      <c r="AB427" t="n">
        <v>16.00965</v>
      </c>
      <c r="AC427" t="n">
        <v>0.001141825</v>
      </c>
      <c r="AD427" t="n">
        <v>21.62705</v>
      </c>
      <c r="AE427" t="n">
        <v>2.638045</v>
      </c>
    </row>
    <row r="428">
      <c r="A428" s="87" t="n">
        <v>31594</v>
      </c>
      <c r="B428" t="n">
        <v>7.054621</v>
      </c>
      <c r="C428" t="n">
        <v/>
      </c>
      <c r="D428" t="n">
        <v>13.94996</v>
      </c>
      <c r="E428" t="n">
        <v>28.83782</v>
      </c>
      <c r="F428" t="n">
        <v>0.810804</v>
      </c>
      <c r="G428" t="n">
        <v/>
      </c>
      <c r="H428" t="n">
        <v>0.5173867</v>
      </c>
      <c r="I428" t="n">
        <v/>
      </c>
      <c r="J428" t="n">
        <v/>
      </c>
      <c r="K428" t="n">
        <v>22.20123</v>
      </c>
      <c r="L428" t="n">
        <v>18.34067</v>
      </c>
      <c r="M428" t="n">
        <v/>
      </c>
      <c r="N428" t="n">
        <v/>
      </c>
      <c r="O428" t="n">
        <v/>
      </c>
      <c r="P428" t="n">
        <v>1.154279</v>
      </c>
      <c r="Q428" t="n">
        <v>2.719897</v>
      </c>
      <c r="R428" t="n">
        <v>1.184652</v>
      </c>
      <c r="S428" t="n">
        <v>40.55652</v>
      </c>
      <c r="T428" t="n">
        <v>2.13144</v>
      </c>
      <c r="U428" t="n">
        <v>0.176451</v>
      </c>
      <c r="V428" t="n">
        <v>14.2236</v>
      </c>
      <c r="W428" t="n">
        <v>9.905913999999999</v>
      </c>
      <c r="X428" t="n">
        <v>8.140242000000001</v>
      </c>
      <c r="Y428" t="n">
        <v>1.188708</v>
      </c>
      <c r="Z428" t="n">
        <v/>
      </c>
      <c r="AA428" t="n">
        <v/>
      </c>
      <c r="AB428" t="n">
        <v>16.11474</v>
      </c>
      <c r="AC428" t="n">
        <v>0.001182233</v>
      </c>
      <c r="AD428" t="n">
        <v>21.80638</v>
      </c>
      <c r="AE428" t="n">
        <v>2.653097</v>
      </c>
    </row>
    <row r="429">
      <c r="A429" s="87" t="n">
        <v>31625</v>
      </c>
      <c r="B429" t="n">
        <v>7.10225</v>
      </c>
      <c r="C429" t="n">
        <v/>
      </c>
      <c r="D429" t="n">
        <v>14.06839</v>
      </c>
      <c r="E429" t="n">
        <v>28.99685</v>
      </c>
      <c r="F429" t="n">
        <v>0.8301354</v>
      </c>
      <c r="G429" t="n">
        <v/>
      </c>
      <c r="H429" t="n">
        <v>0.5252487</v>
      </c>
      <c r="I429" t="n">
        <v/>
      </c>
      <c r="J429" t="n">
        <v/>
      </c>
      <c r="K429" t="n">
        <v>22.24606</v>
      </c>
      <c r="L429" t="n">
        <v>18.37827</v>
      </c>
      <c r="M429" t="n">
        <v/>
      </c>
      <c r="N429" t="n">
        <v/>
      </c>
      <c r="O429" t="n">
        <v/>
      </c>
      <c r="P429" t="n">
        <v>1.167798</v>
      </c>
      <c r="Q429" t="n">
        <v>2.789308</v>
      </c>
      <c r="R429" t="n">
        <v>1.219645</v>
      </c>
      <c r="S429" t="n">
        <v>40.82646</v>
      </c>
      <c r="T429" t="n">
        <v>2.171464</v>
      </c>
      <c r="U429" t="n">
        <v>0.1834797</v>
      </c>
      <c r="V429" t="n">
        <v>14.26584</v>
      </c>
      <c r="W429" t="n">
        <v>10.02725</v>
      </c>
      <c r="X429" t="n">
        <v>8.22705</v>
      </c>
      <c r="Y429" t="n">
        <v>1.20531</v>
      </c>
      <c r="Z429" t="n">
        <v/>
      </c>
      <c r="AA429" t="n">
        <v/>
      </c>
      <c r="AB429" t="n">
        <v>16.31956</v>
      </c>
      <c r="AC429" t="n">
        <v>0.001211554</v>
      </c>
      <c r="AD429" t="n">
        <v>21.97159</v>
      </c>
      <c r="AE429" t="n">
        <v>2.673688</v>
      </c>
    </row>
    <row r="430">
      <c r="A430" s="87" t="n">
        <v>31656</v>
      </c>
      <c r="B430" t="n">
        <v>7.138671</v>
      </c>
      <c r="C430" t="n">
        <v/>
      </c>
      <c r="D430" t="n">
        <v>14.16599</v>
      </c>
      <c r="E430" t="n">
        <v>29.10774</v>
      </c>
      <c r="F430" t="n">
        <v>0.851989</v>
      </c>
      <c r="G430" t="n">
        <v/>
      </c>
      <c r="H430" t="n">
        <v>0.5320998</v>
      </c>
      <c r="I430" t="n">
        <v/>
      </c>
      <c r="J430" t="n">
        <v/>
      </c>
      <c r="K430" t="n">
        <v>22.33207</v>
      </c>
      <c r="L430" t="n">
        <v>18.45782</v>
      </c>
      <c r="M430" t="n">
        <v/>
      </c>
      <c r="N430" t="n">
        <v/>
      </c>
      <c r="O430" t="n">
        <v/>
      </c>
      <c r="P430" t="n">
        <v>1.185065</v>
      </c>
      <c r="Q430" t="n">
        <v>2.856907</v>
      </c>
      <c r="R430" t="n">
        <v>1.256722</v>
      </c>
      <c r="S430" t="n">
        <v>41.1373</v>
      </c>
      <c r="T430" t="n">
        <v>2.21204</v>
      </c>
      <c r="U430" t="n">
        <v>0.1954433</v>
      </c>
      <c r="V430" t="n">
        <v>14.26829</v>
      </c>
      <c r="W430" t="n">
        <v>10.22722</v>
      </c>
      <c r="X430" t="n">
        <v>8.331127</v>
      </c>
      <c r="Y430" t="n">
        <v>1.220218</v>
      </c>
      <c r="Z430" t="n">
        <v/>
      </c>
      <c r="AA430" t="n">
        <v/>
      </c>
      <c r="AB430" t="n">
        <v>16.54966</v>
      </c>
      <c r="AC430" t="n">
        <v>0.001237263</v>
      </c>
      <c r="AD430" t="n">
        <v>22.14843</v>
      </c>
      <c r="AE430" t="n">
        <v>2.694715</v>
      </c>
    </row>
    <row r="431">
      <c r="A431" s="87" t="n">
        <v>31686</v>
      </c>
      <c r="B431" t="n">
        <v>7.180696</v>
      </c>
      <c r="C431" t="n">
        <v/>
      </c>
      <c r="D431" t="n">
        <v>14.35587</v>
      </c>
      <c r="E431" t="n">
        <v>29.29831</v>
      </c>
      <c r="F431" t="n">
        <v>0.8753348</v>
      </c>
      <c r="G431" t="n">
        <v/>
      </c>
      <c r="H431" t="n">
        <v>0.5419052</v>
      </c>
      <c r="I431" t="n">
        <v/>
      </c>
      <c r="J431" t="n">
        <v/>
      </c>
      <c r="K431" t="n">
        <v>22.47242</v>
      </c>
      <c r="L431" t="n">
        <v>18.57153</v>
      </c>
      <c r="M431" t="n">
        <v/>
      </c>
      <c r="N431" t="n">
        <v/>
      </c>
      <c r="O431" t="n">
        <v/>
      </c>
      <c r="P431" t="n">
        <v>1.200411</v>
      </c>
      <c r="Q431" t="n">
        <v>2.913519</v>
      </c>
      <c r="R431" t="n">
        <v>1.292023</v>
      </c>
      <c r="S431" t="n">
        <v>41.36634</v>
      </c>
      <c r="T431" t="n">
        <v>2.257774</v>
      </c>
      <c r="U431" t="n">
        <v>0.2092311</v>
      </c>
      <c r="V431" t="n">
        <v>14.35822</v>
      </c>
      <c r="W431" t="n">
        <v>10.48647</v>
      </c>
      <c r="X431" t="n">
        <v>8.441240000000001</v>
      </c>
      <c r="Y431" t="n">
        <v>1.238592</v>
      </c>
      <c r="Z431" t="n">
        <v/>
      </c>
      <c r="AA431" t="n">
        <v/>
      </c>
      <c r="AB431" t="n">
        <v>16.60254</v>
      </c>
      <c r="AC431" t="n">
        <v>0.001272326</v>
      </c>
      <c r="AD431" t="n">
        <v>22.31115</v>
      </c>
      <c r="AE431" t="n">
        <v>2.718864</v>
      </c>
    </row>
    <row r="432">
      <c r="A432" s="87" t="n">
        <v>31717</v>
      </c>
      <c r="B432" t="n">
        <v>7.211515</v>
      </c>
      <c r="C432" t="n">
        <v/>
      </c>
      <c r="D432" t="n">
        <v>14.54585</v>
      </c>
      <c r="E432" t="n">
        <v>29.47172</v>
      </c>
      <c r="F432" t="n">
        <v>0.9016253</v>
      </c>
      <c r="G432" t="n">
        <v/>
      </c>
      <c r="H432" t="n">
        <v>0.5543416</v>
      </c>
      <c r="I432" t="n">
        <v/>
      </c>
      <c r="J432" t="n">
        <v/>
      </c>
      <c r="K432" t="n">
        <v>22.55466</v>
      </c>
      <c r="L432" t="n">
        <v>18.73664</v>
      </c>
      <c r="M432" t="n">
        <v/>
      </c>
      <c r="N432" t="n">
        <v/>
      </c>
      <c r="O432" t="n">
        <v/>
      </c>
      <c r="P432" t="n">
        <v>1.216142</v>
      </c>
      <c r="Q432" t="n">
        <v>2.97055</v>
      </c>
      <c r="R432" t="n">
        <v>1.321322</v>
      </c>
      <c r="S432" t="n">
        <v>41.61174</v>
      </c>
      <c r="T432" t="n">
        <v>2.304554</v>
      </c>
      <c r="U432" t="n">
        <v>0.2249735</v>
      </c>
      <c r="V432" t="n">
        <v>14.5099</v>
      </c>
      <c r="W432" t="n">
        <v>10.74393</v>
      </c>
      <c r="X432" t="n">
        <v>8.550921000000001</v>
      </c>
      <c r="Y432" t="n">
        <v>1.25986</v>
      </c>
      <c r="Z432" t="n">
        <v/>
      </c>
      <c r="AA432" t="n">
        <v/>
      </c>
      <c r="AB432" t="n">
        <v>16.65893</v>
      </c>
      <c r="AC432" t="n">
        <v>0.001314138</v>
      </c>
      <c r="AD432" t="n">
        <v>22.42655</v>
      </c>
      <c r="AE432" t="n">
        <v>2.739918</v>
      </c>
    </row>
    <row r="433">
      <c r="A433" s="87" t="n">
        <v>31747</v>
      </c>
      <c r="B433" t="n">
        <v>7.25354</v>
      </c>
      <c r="C433" t="n">
        <v/>
      </c>
      <c r="D433" t="n">
        <v>14.76731</v>
      </c>
      <c r="E433" t="n">
        <v>29.65981</v>
      </c>
      <c r="F433" t="n">
        <v>0.9221378</v>
      </c>
      <c r="G433" t="n">
        <v/>
      </c>
      <c r="H433" t="n">
        <v>0.5672244</v>
      </c>
      <c r="I433" t="n">
        <v/>
      </c>
      <c r="J433" t="n">
        <v/>
      </c>
      <c r="K433" t="n">
        <v>22.65631</v>
      </c>
      <c r="L433" t="n">
        <v>19.13979</v>
      </c>
      <c r="M433" t="n">
        <v/>
      </c>
      <c r="N433" t="n">
        <v/>
      </c>
      <c r="O433" t="n">
        <v/>
      </c>
      <c r="P433" t="n">
        <v>1.237262</v>
      </c>
      <c r="Q433" t="n">
        <v>3.052847</v>
      </c>
      <c r="R433" t="n">
        <v>1.351357</v>
      </c>
      <c r="S433" t="n">
        <v>42.0371</v>
      </c>
      <c r="T433" t="n">
        <v>2.353115</v>
      </c>
      <c r="U433" t="n">
        <v>0.2405682</v>
      </c>
      <c r="V433" t="n">
        <v>14.58352</v>
      </c>
      <c r="W433" t="n">
        <v>10.97117</v>
      </c>
      <c r="X433" t="n">
        <v>8.690901</v>
      </c>
      <c r="Y433" t="n">
        <v>1.283736</v>
      </c>
      <c r="Z433" t="n">
        <v/>
      </c>
      <c r="AA433" t="n">
        <v/>
      </c>
      <c r="AB433" t="n">
        <v>16.95985</v>
      </c>
      <c r="AC433" t="n">
        <v>0.001356173</v>
      </c>
      <c r="AD433" t="n">
        <v>22.64821</v>
      </c>
      <c r="AE433" t="n">
        <v>2.751057</v>
      </c>
    </row>
    <row r="434">
      <c r="A434" s="87" t="n">
        <v>31778</v>
      </c>
      <c r="B434" t="n">
        <v>7.343194</v>
      </c>
      <c r="C434" t="n">
        <v/>
      </c>
      <c r="D434" t="n">
        <v>14.87117</v>
      </c>
      <c r="E434" t="n">
        <v>29.87001</v>
      </c>
      <c r="F434" t="n">
        <v>0.9416072</v>
      </c>
      <c r="G434" t="n">
        <v/>
      </c>
      <c r="H434" t="n">
        <v>0.5793129</v>
      </c>
      <c r="I434" t="n">
        <v/>
      </c>
      <c r="J434" t="n">
        <v/>
      </c>
      <c r="K434" t="n">
        <v>22.63851</v>
      </c>
      <c r="L434" t="n">
        <v>19.34158</v>
      </c>
      <c r="M434" t="n">
        <v>9.223241</v>
      </c>
      <c r="N434" t="n">
        <v/>
      </c>
      <c r="O434" t="n">
        <v/>
      </c>
      <c r="P434" t="n">
        <v>1.260513</v>
      </c>
      <c r="Q434" t="n">
        <v>3.097813</v>
      </c>
      <c r="R434" t="n">
        <v>1.402257</v>
      </c>
      <c r="S434" t="n">
        <v>42.35612</v>
      </c>
      <c r="T434" t="n">
        <v>2.402224</v>
      </c>
      <c r="U434" t="n">
        <v>0.2566681</v>
      </c>
      <c r="V434" t="n">
        <v>14.61435</v>
      </c>
      <c r="W434" t="n">
        <v>11.23449</v>
      </c>
      <c r="X434" t="n">
        <v>8.809278000000001</v>
      </c>
      <c r="Y434" t="n">
        <v>1.306827</v>
      </c>
      <c r="Z434" t="n">
        <v/>
      </c>
      <c r="AA434" t="n">
        <v/>
      </c>
      <c r="AB434" t="n">
        <v>17.04802</v>
      </c>
      <c r="AC434" t="n">
        <v>0.001405086</v>
      </c>
      <c r="AD434" t="n">
        <v>22.78022</v>
      </c>
      <c r="AE434" t="n">
        <v>2.747724</v>
      </c>
    </row>
    <row r="435">
      <c r="A435" s="87" t="n">
        <v>31809</v>
      </c>
      <c r="B435" t="n">
        <v>7.42164</v>
      </c>
      <c r="C435" t="n">
        <v/>
      </c>
      <c r="D435" t="n">
        <v>15.09531</v>
      </c>
      <c r="E435" t="n">
        <v>30.02681</v>
      </c>
      <c r="F435" t="n">
        <v>0.9675662</v>
      </c>
      <c r="G435" t="n">
        <v/>
      </c>
      <c r="H435" t="n">
        <v>0.5926071000000001</v>
      </c>
      <c r="I435" t="n">
        <v/>
      </c>
      <c r="J435" t="n">
        <v/>
      </c>
      <c r="K435" t="n">
        <v>22.56106</v>
      </c>
      <c r="L435" t="n">
        <v>19.25452</v>
      </c>
      <c r="M435" t="n">
        <v>11.16484</v>
      </c>
      <c r="N435" t="n">
        <v/>
      </c>
      <c r="O435" t="n">
        <v/>
      </c>
      <c r="P435" t="n">
        <v>1.280062</v>
      </c>
      <c r="Q435" t="n">
        <v>3.176628</v>
      </c>
      <c r="R435" t="n">
        <v>1.451131</v>
      </c>
      <c r="S435" t="n">
        <v>42.66696</v>
      </c>
      <c r="T435" t="n">
        <v>2.457591</v>
      </c>
      <c r="U435" t="n">
        <v>0.2750925</v>
      </c>
      <c r="V435" t="n">
        <v>14.76739</v>
      </c>
      <c r="W435" t="n">
        <v>11.52059</v>
      </c>
      <c r="X435" t="n">
        <v>9.046168</v>
      </c>
      <c r="Y435" t="n">
        <v>1.454229</v>
      </c>
      <c r="Z435" t="n">
        <v/>
      </c>
      <c r="AA435" t="n">
        <v/>
      </c>
      <c r="AB435" t="n">
        <v>17.00662</v>
      </c>
      <c r="AC435" t="n">
        <v>0.001446076</v>
      </c>
      <c r="AD435" t="n">
        <v>22.81011</v>
      </c>
      <c r="AE435" t="n">
        <v>2.765377</v>
      </c>
    </row>
    <row r="436">
      <c r="A436" s="87" t="n">
        <v>31837</v>
      </c>
      <c r="B436" t="n">
        <v>7.458062</v>
      </c>
      <c r="C436" t="n">
        <v/>
      </c>
      <c r="D436" t="n">
        <v>15.20393</v>
      </c>
      <c r="E436" t="n">
        <v>30.27753</v>
      </c>
      <c r="F436" t="n">
        <v>0.9955277</v>
      </c>
      <c r="G436" t="n">
        <v/>
      </c>
      <c r="H436" t="n">
        <v>0.6074619</v>
      </c>
      <c r="I436" t="n">
        <v/>
      </c>
      <c r="J436" t="n">
        <v/>
      </c>
      <c r="K436" t="n">
        <v>22.76226</v>
      </c>
      <c r="L436" t="n">
        <v>19.28458</v>
      </c>
      <c r="M436" t="n">
        <v>11.32869</v>
      </c>
      <c r="N436" t="n">
        <v/>
      </c>
      <c r="O436" t="n">
        <v/>
      </c>
      <c r="P436" t="n">
        <v>1.295625</v>
      </c>
      <c r="Q436" t="n">
        <v>3.294622</v>
      </c>
      <c r="R436" t="n">
        <v>1.499273</v>
      </c>
      <c r="S436" t="n">
        <v>43.11686</v>
      </c>
      <c r="T436" t="n">
        <v>2.513788</v>
      </c>
      <c r="U436" t="n">
        <v>0.2968611</v>
      </c>
      <c r="V436" t="n">
        <v>14.9351</v>
      </c>
      <c r="W436" t="n">
        <v>11.62466</v>
      </c>
      <c r="X436" t="n">
        <v>9.151965000000001</v>
      </c>
      <c r="Y436" t="n">
        <v>1.473065</v>
      </c>
      <c r="Z436" t="n">
        <v/>
      </c>
      <c r="AA436" t="n">
        <v/>
      </c>
      <c r="AB436" t="n">
        <v>17.01118</v>
      </c>
      <c r="AC436" t="n">
        <v>0.001471114</v>
      </c>
      <c r="AD436" t="n">
        <v>22.86158</v>
      </c>
      <c r="AE436" t="n">
        <v>2.803522</v>
      </c>
    </row>
    <row r="437">
      <c r="A437" s="87" t="n">
        <v>31868</v>
      </c>
      <c r="B437" t="n">
        <v>7.480476</v>
      </c>
      <c r="C437" t="n">
        <v/>
      </c>
      <c r="D437" t="n">
        <v>15.35627</v>
      </c>
      <c r="E437" t="n">
        <v>30.56445</v>
      </c>
      <c r="F437" t="n">
        <v>1.026427</v>
      </c>
      <c r="G437" t="n">
        <v/>
      </c>
      <c r="H437" t="n">
        <v>0.6240943</v>
      </c>
      <c r="I437" t="n">
        <v/>
      </c>
      <c r="J437" t="n">
        <v/>
      </c>
      <c r="K437" t="n">
        <v>22.9657</v>
      </c>
      <c r="L437" t="n">
        <v>19.39494</v>
      </c>
      <c r="M437" t="n">
        <v>11.51279</v>
      </c>
      <c r="N437" t="n">
        <v/>
      </c>
      <c r="O437" t="n">
        <v/>
      </c>
      <c r="P437" t="n">
        <v>1.311164</v>
      </c>
      <c r="Q437" t="n">
        <v>3.401168</v>
      </c>
      <c r="R437" t="n">
        <v>1.557028</v>
      </c>
      <c r="S437" t="n">
        <v>43.58313</v>
      </c>
      <c r="T437" t="n">
        <v>2.594146</v>
      </c>
      <c r="U437" t="n">
        <v>0.3216515</v>
      </c>
      <c r="V437" t="n">
        <v>15.06556</v>
      </c>
      <c r="W437" t="n">
        <v>11.53679</v>
      </c>
      <c r="X437" t="n">
        <v>9.284519</v>
      </c>
      <c r="Y437" t="n">
        <v>1.496987</v>
      </c>
      <c r="Z437" t="n">
        <v/>
      </c>
      <c r="AA437" t="n">
        <v/>
      </c>
      <c r="AB437" t="n">
        <v>17.0949</v>
      </c>
      <c r="AC437" t="n">
        <v>0.001515242</v>
      </c>
      <c r="AD437" t="n">
        <v>22.97781</v>
      </c>
      <c r="AE437" t="n">
        <v>2.843594</v>
      </c>
    </row>
    <row r="438">
      <c r="A438" s="87" t="n">
        <v>31898</v>
      </c>
      <c r="B438" t="n">
        <v>7.558923</v>
      </c>
      <c r="C438" t="n">
        <v/>
      </c>
      <c r="D438" t="n">
        <v>15.5004</v>
      </c>
      <c r="E438" t="n">
        <v>30.75159</v>
      </c>
      <c r="F438" t="n">
        <v>1.058663</v>
      </c>
      <c r="G438" t="n">
        <v/>
      </c>
      <c r="H438" t="n">
        <v>0.6405311</v>
      </c>
      <c r="I438" t="n">
        <v/>
      </c>
      <c r="J438" t="n">
        <v/>
      </c>
      <c r="K438" t="n">
        <v>23.04919</v>
      </c>
      <c r="L438" t="n">
        <v>19.5495</v>
      </c>
      <c r="M438" t="n">
        <v>11.67335</v>
      </c>
      <c r="N438" t="n">
        <v/>
      </c>
      <c r="O438" t="n">
        <v/>
      </c>
      <c r="P438" t="n">
        <v>1.32282</v>
      </c>
      <c r="Q438" t="n">
        <v>3.530192</v>
      </c>
      <c r="R438" t="n">
        <v>1.606639</v>
      </c>
      <c r="S438" t="n">
        <v>44.00031</v>
      </c>
      <c r="T438" t="n">
        <v>2.673805</v>
      </c>
      <c r="U438" t="n">
        <v>0.3485421</v>
      </c>
      <c r="V438" t="n">
        <v>15.08597</v>
      </c>
      <c r="W438" t="n">
        <v>11.53573</v>
      </c>
      <c r="X438" t="n">
        <v>9.407404</v>
      </c>
      <c r="Y438" t="n">
        <v>1.520848</v>
      </c>
      <c r="Z438" t="n">
        <v/>
      </c>
      <c r="AA438" t="n">
        <v/>
      </c>
      <c r="AB438" t="n">
        <v>17.39414</v>
      </c>
      <c r="AC438" t="n">
        <v>0.001569439</v>
      </c>
      <c r="AD438" t="n">
        <v>23.02098</v>
      </c>
      <c r="AE438" t="n">
        <v>2.881439</v>
      </c>
    </row>
    <row r="439">
      <c r="A439" s="87" t="n">
        <v>31929</v>
      </c>
      <c r="B439" t="n">
        <v>7.662585</v>
      </c>
      <c r="C439" t="n">
        <v/>
      </c>
      <c r="D439" t="n">
        <v>15.63961</v>
      </c>
      <c r="E439" t="n">
        <v>30.98769</v>
      </c>
      <c r="F439" t="n">
        <v>1.092345</v>
      </c>
      <c r="G439" t="n">
        <v/>
      </c>
      <c r="H439" t="n">
        <v>0.6531744</v>
      </c>
      <c r="I439" t="n">
        <v/>
      </c>
      <c r="J439" t="n">
        <v/>
      </c>
      <c r="K439" t="n">
        <v>23.31146</v>
      </c>
      <c r="L439" t="n">
        <v>19.7154</v>
      </c>
      <c r="M439" t="n">
        <v>11.78791</v>
      </c>
      <c r="N439" t="n">
        <v/>
      </c>
      <c r="O439" t="n">
        <v/>
      </c>
      <c r="P439" t="n">
        <v>1.336125</v>
      </c>
      <c r="Q439" t="n">
        <v>3.6236</v>
      </c>
      <c r="R439" t="n">
        <v>1.648794</v>
      </c>
      <c r="S439" t="n">
        <v>44.38477</v>
      </c>
      <c r="T439" t="n">
        <v>2.727663</v>
      </c>
      <c r="U439" t="n">
        <v>0.3790073</v>
      </c>
      <c r="V439" t="n">
        <v>15.16761</v>
      </c>
      <c r="W439" t="n">
        <v>11.68109</v>
      </c>
      <c r="X439" t="n">
        <v>9.525581000000001</v>
      </c>
      <c r="Y439" t="n">
        <v>1.541259</v>
      </c>
      <c r="Z439" t="n">
        <v/>
      </c>
      <c r="AA439" t="n">
        <v/>
      </c>
      <c r="AB439" t="n">
        <v>17.54369</v>
      </c>
      <c r="AC439" t="n">
        <v>0.0016218</v>
      </c>
      <c r="AD439" t="n">
        <v>23.03509</v>
      </c>
      <c r="AE439" t="n">
        <v>2.90212</v>
      </c>
    </row>
    <row r="440">
      <c r="A440" s="87" t="n">
        <v>31959</v>
      </c>
      <c r="B440" t="n">
        <v>7.757842</v>
      </c>
      <c r="C440" t="n">
        <v/>
      </c>
      <c r="D440" t="n">
        <v>15.73628</v>
      </c>
      <c r="E440" t="n">
        <v>31.32898</v>
      </c>
      <c r="F440" t="n">
        <v>1.124549</v>
      </c>
      <c r="G440" t="n">
        <v/>
      </c>
      <c r="H440" t="n">
        <v>0.6665553</v>
      </c>
      <c r="I440" t="n">
        <v/>
      </c>
      <c r="J440" t="n">
        <v/>
      </c>
      <c r="K440" t="n">
        <v>23.43208</v>
      </c>
      <c r="L440" t="n">
        <v>19.81458</v>
      </c>
      <c r="M440" t="n">
        <v>11.95047</v>
      </c>
      <c r="N440" t="n">
        <v/>
      </c>
      <c r="O440" t="n">
        <v/>
      </c>
      <c r="P440" t="n">
        <v>1.355901</v>
      </c>
      <c r="Q440" t="n">
        <v>3.749668</v>
      </c>
      <c r="R440" t="n">
        <v>1.683796</v>
      </c>
      <c r="S440" t="n">
        <v>44.79377</v>
      </c>
      <c r="T440" t="n">
        <v>2.782832</v>
      </c>
      <c r="U440" t="n">
        <v>0.4130578</v>
      </c>
      <c r="V440" t="n">
        <v>15.52818</v>
      </c>
      <c r="W440" t="n">
        <v>11.77384</v>
      </c>
      <c r="X440" t="n">
        <v>9.662789999999999</v>
      </c>
      <c r="Y440" t="n">
        <v>1.569219</v>
      </c>
      <c r="Z440" t="n">
        <v/>
      </c>
      <c r="AA440" t="n">
        <v/>
      </c>
      <c r="AB440" t="n">
        <v>17.5537</v>
      </c>
      <c r="AC440" t="n">
        <v>0.001695084</v>
      </c>
      <c r="AD440" t="n">
        <v>23.07162</v>
      </c>
      <c r="AE440" t="n">
        <v>2.9459</v>
      </c>
    </row>
    <row r="441">
      <c r="A441" s="87" t="n">
        <v>31990</v>
      </c>
      <c r="B441" t="n">
        <v>7.847496</v>
      </c>
      <c r="C441" t="n">
        <v/>
      </c>
      <c r="D441" t="n">
        <v>15.7781</v>
      </c>
      <c r="E441" t="n">
        <v>31.66937</v>
      </c>
      <c r="F441" t="n">
        <v>1.151617</v>
      </c>
      <c r="G441" t="n">
        <v/>
      </c>
      <c r="H441" t="n">
        <v>0.6823844</v>
      </c>
      <c r="I441" t="n">
        <v/>
      </c>
      <c r="J441" t="n">
        <v/>
      </c>
      <c r="K441" t="n">
        <v>23.48534</v>
      </c>
      <c r="L441" t="n">
        <v>19.86186</v>
      </c>
      <c r="M441" t="n">
        <v>12.12964</v>
      </c>
      <c r="N441" t="n">
        <v/>
      </c>
      <c r="O441" t="n">
        <v/>
      </c>
      <c r="P441" t="n">
        <v>1.376741</v>
      </c>
      <c r="Q441" t="n">
        <v>3.866318</v>
      </c>
      <c r="R441" t="n">
        <v>1.701828</v>
      </c>
      <c r="S441" t="n">
        <v>45.24367</v>
      </c>
      <c r="T441" t="n">
        <v>2.837162</v>
      </c>
      <c r="U441" t="n">
        <v>0.4472899</v>
      </c>
      <c r="V441" t="n">
        <v>15.73751</v>
      </c>
      <c r="W441" t="n">
        <v>11.84956</v>
      </c>
      <c r="X441" t="n">
        <v>9.807949000000001</v>
      </c>
      <c r="Y441" t="n">
        <v>1.59787</v>
      </c>
      <c r="Z441" t="n">
        <v/>
      </c>
      <c r="AA441" t="n">
        <v/>
      </c>
      <c r="AB441" t="n">
        <v>17.55914</v>
      </c>
      <c r="AC441" t="n">
        <v>0.001772105</v>
      </c>
      <c r="AD441" t="n">
        <v>23.148</v>
      </c>
      <c r="AE441" t="n">
        <v>2.977798</v>
      </c>
    </row>
    <row r="442">
      <c r="A442" s="87" t="n">
        <v>32021</v>
      </c>
      <c r="B442" t="n">
        <v>7.925942</v>
      </c>
      <c r="C442" t="n">
        <v/>
      </c>
      <c r="D442" t="n">
        <v>15.87105</v>
      </c>
      <c r="E442" t="n">
        <v>31.98497</v>
      </c>
      <c r="F442" t="n">
        <v>1.180915</v>
      </c>
      <c r="G442" t="n">
        <v/>
      </c>
      <c r="H442" t="n">
        <v>0.7040832</v>
      </c>
      <c r="I442" t="n">
        <v/>
      </c>
      <c r="J442" t="n">
        <v/>
      </c>
      <c r="K442" t="n">
        <v>23.4671</v>
      </c>
      <c r="L442" t="n">
        <v>19.96626</v>
      </c>
      <c r="M442" t="n">
        <v>12.21352</v>
      </c>
      <c r="N442" t="n">
        <v/>
      </c>
      <c r="O442" t="n">
        <v/>
      </c>
      <c r="P442" t="n">
        <v>1.397702</v>
      </c>
      <c r="Q442" t="n">
        <v>3.924559</v>
      </c>
      <c r="R442" t="n">
        <v>1.710485</v>
      </c>
      <c r="S442" t="n">
        <v>45.70175</v>
      </c>
      <c r="T442" t="n">
        <v>2.895451</v>
      </c>
      <c r="U442" t="n">
        <v>0.4813524</v>
      </c>
      <c r="V442" t="n">
        <v>15.82284</v>
      </c>
      <c r="W442" t="n">
        <v>12.04193</v>
      </c>
      <c r="X442" t="n">
        <v>9.949203000000001</v>
      </c>
      <c r="Y442" t="n">
        <v>1.617702</v>
      </c>
      <c r="Z442" t="n">
        <v/>
      </c>
      <c r="AA442" t="n">
        <v/>
      </c>
      <c r="AB442" t="n">
        <v>17.62576</v>
      </c>
      <c r="AC442" t="n">
        <v>0.001841465</v>
      </c>
      <c r="AD442" t="n">
        <v>23.24182</v>
      </c>
      <c r="AE442" t="n">
        <v>3.026915</v>
      </c>
    </row>
    <row r="443">
      <c r="A443" s="87" t="n">
        <v>32051</v>
      </c>
      <c r="B443" t="n">
        <v>8.015596</v>
      </c>
      <c r="C443" t="n">
        <v/>
      </c>
      <c r="D443" t="n">
        <v>15.99786</v>
      </c>
      <c r="E443" t="n">
        <v>32.32412</v>
      </c>
      <c r="F443" t="n">
        <v>1.21286</v>
      </c>
      <c r="G443" t="n">
        <v/>
      </c>
      <c r="H443" t="n">
        <v>0.7225034</v>
      </c>
      <c r="I443" t="n">
        <v/>
      </c>
      <c r="J443" t="n">
        <v/>
      </c>
      <c r="K443" t="n">
        <v>23.46243</v>
      </c>
      <c r="L443" t="n">
        <v>20.09507</v>
      </c>
      <c r="M443" t="n">
        <v>12.3549</v>
      </c>
      <c r="N443" t="n">
        <v/>
      </c>
      <c r="O443" t="n">
        <v/>
      </c>
      <c r="P443" t="n">
        <v>1.417164</v>
      </c>
      <c r="Q443" t="n">
        <v>3.984225</v>
      </c>
      <c r="R443" t="n">
        <v>1.713313</v>
      </c>
      <c r="S443" t="n">
        <v>46.08621</v>
      </c>
      <c r="T443" t="n">
        <v>2.940802</v>
      </c>
      <c r="U443" t="n">
        <v>0.5169406</v>
      </c>
      <c r="V443" t="n">
        <v>16.16628</v>
      </c>
      <c r="W443" t="n">
        <v>12.34059</v>
      </c>
      <c r="X443" t="n">
        <v>10.10337</v>
      </c>
      <c r="Y443" t="n">
        <v>1.643423</v>
      </c>
      <c r="Z443" t="n">
        <v/>
      </c>
      <c r="AA443" t="n">
        <v/>
      </c>
      <c r="AB443" t="n">
        <v>17.72446</v>
      </c>
      <c r="AC443" t="n">
        <v>0.001910554</v>
      </c>
      <c r="AD443" t="n">
        <v>23.36884</v>
      </c>
      <c r="AE443" t="n">
        <v>3.092947</v>
      </c>
    </row>
    <row r="444">
      <c r="A444" s="87" t="n">
        <v>32082</v>
      </c>
      <c r="B444" t="n">
        <v>8.122059999999999</v>
      </c>
      <c r="C444" t="n">
        <v/>
      </c>
      <c r="D444" t="n">
        <v>15.83517</v>
      </c>
      <c r="E444" t="n">
        <v>32.66397</v>
      </c>
      <c r="F444" t="n">
        <v>1.246058</v>
      </c>
      <c r="G444" t="n">
        <v/>
      </c>
      <c r="H444" t="n">
        <v>0.7300152</v>
      </c>
      <c r="I444" t="n">
        <v/>
      </c>
      <c r="J444" t="n">
        <v/>
      </c>
      <c r="K444" t="n">
        <v>23.59049</v>
      </c>
      <c r="L444" t="n">
        <v>20.2728</v>
      </c>
      <c r="M444" t="n">
        <v>12.50252</v>
      </c>
      <c r="N444" t="n">
        <v/>
      </c>
      <c r="O444" t="n">
        <v/>
      </c>
      <c r="P444" t="n">
        <v>1.432946</v>
      </c>
      <c r="Q444" t="n">
        <v>4.059226</v>
      </c>
      <c r="R444" t="n">
        <v>1.736816</v>
      </c>
      <c r="S444" t="n">
        <v>46.62609</v>
      </c>
      <c r="T444" t="n">
        <v>3.009744</v>
      </c>
      <c r="U444" t="n">
        <v>0.5472872</v>
      </c>
      <c r="V444" t="n">
        <v>16.61929</v>
      </c>
      <c r="W444" t="n">
        <v>12.54499</v>
      </c>
      <c r="X444" t="n">
        <v>10.22921</v>
      </c>
      <c r="Y444" t="n">
        <v>1.669905</v>
      </c>
      <c r="Z444" t="n">
        <v/>
      </c>
      <c r="AA444" t="n">
        <v/>
      </c>
      <c r="AB444" t="n">
        <v>17.85745</v>
      </c>
      <c r="AC444" t="n">
        <v>0.001973561</v>
      </c>
      <c r="AD444" t="n">
        <v>23.40288</v>
      </c>
      <c r="AE444" t="n">
        <v>3.167684</v>
      </c>
    </row>
    <row r="445">
      <c r="A445" s="87" t="n">
        <v>32112</v>
      </c>
      <c r="B445" t="n">
        <v>8.197704999999999</v>
      </c>
      <c r="C445" t="n">
        <v/>
      </c>
      <c r="D445" t="n">
        <v>15.96451</v>
      </c>
      <c r="E445" t="n">
        <v>32.93948</v>
      </c>
      <c r="F445" t="n">
        <v>1.284101</v>
      </c>
      <c r="G445" t="n">
        <v/>
      </c>
      <c r="H445" t="n">
        <v>0.7393217</v>
      </c>
      <c r="I445" t="n">
        <v/>
      </c>
      <c r="J445" t="n">
        <v/>
      </c>
      <c r="K445" t="n">
        <v>23.6166</v>
      </c>
      <c r="L445" t="n">
        <v>20.67437</v>
      </c>
      <c r="M445" t="n">
        <v>12.61738</v>
      </c>
      <c r="N445" t="n">
        <v/>
      </c>
      <c r="O445" t="n">
        <v/>
      </c>
      <c r="P445" t="n">
        <v>1.450064</v>
      </c>
      <c r="Q445" t="n">
        <v>4.14712</v>
      </c>
      <c r="R445" t="n">
        <v>1.769481</v>
      </c>
      <c r="S445" t="n">
        <v>46.91239</v>
      </c>
      <c r="T445" t="n">
        <v>3.085724</v>
      </c>
      <c r="U445" t="n">
        <v>0.5772753</v>
      </c>
      <c r="V445" t="n">
        <v>16.85977</v>
      </c>
      <c r="W445" t="n">
        <v>12.68686</v>
      </c>
      <c r="X445" t="n">
        <v>10.36084</v>
      </c>
      <c r="Y445" t="n">
        <v>1.698947</v>
      </c>
      <c r="Z445" t="n">
        <v/>
      </c>
      <c r="AA445" t="n">
        <v/>
      </c>
      <c r="AB445" t="n">
        <v>17.90208</v>
      </c>
      <c r="AC445" t="n">
        <v>0.002080837</v>
      </c>
      <c r="AD445" t="n">
        <v>23.46514</v>
      </c>
      <c r="AE445" t="n">
        <v>3.231989</v>
      </c>
    </row>
    <row r="446">
      <c r="A446" s="87" t="n">
        <v>32143</v>
      </c>
      <c r="B446" t="n">
        <v>8.234127000000001</v>
      </c>
      <c r="C446" t="n">
        <v/>
      </c>
      <c r="D446" t="n">
        <v>16.02024</v>
      </c>
      <c r="E446" t="n">
        <v>33.17557</v>
      </c>
      <c r="F446" t="n">
        <v>1.322988</v>
      </c>
      <c r="G446" t="n">
        <v/>
      </c>
      <c r="H446" t="n">
        <v>0.7532774</v>
      </c>
      <c r="I446" t="n">
        <v/>
      </c>
      <c r="J446" t="n">
        <v/>
      </c>
      <c r="K446" t="n">
        <v>23.64436</v>
      </c>
      <c r="L446" t="n">
        <v>20.89334</v>
      </c>
      <c r="M446" t="n">
        <v>12.78161</v>
      </c>
      <c r="N446" t="n">
        <v/>
      </c>
      <c r="O446" t="n">
        <v/>
      </c>
      <c r="P446" t="n">
        <v>1.470109</v>
      </c>
      <c r="Q446" t="n">
        <v>4.252719</v>
      </c>
      <c r="R446" t="n">
        <v>1.785409</v>
      </c>
      <c r="S446" t="n">
        <v>47.34593</v>
      </c>
      <c r="T446" t="n">
        <v>3.134476</v>
      </c>
      <c r="U446" t="n">
        <v>0.6119086</v>
      </c>
      <c r="V446" t="n">
        <v>17.2906</v>
      </c>
      <c r="W446" t="n">
        <v>12.772</v>
      </c>
      <c r="X446" t="n">
        <v>10.52584</v>
      </c>
      <c r="Y446" t="n">
        <v>1.730354</v>
      </c>
      <c r="Z446" t="n">
        <v/>
      </c>
      <c r="AA446" t="n">
        <v/>
      </c>
      <c r="AB446" t="n">
        <v>17.71553</v>
      </c>
      <c r="AC446" t="n">
        <v>0.002184756</v>
      </c>
      <c r="AD446" t="n">
        <v>23.63949</v>
      </c>
      <c r="AE446" t="n">
        <v>3.270913</v>
      </c>
    </row>
    <row r="447">
      <c r="A447" s="87" t="n">
        <v>32174</v>
      </c>
      <c r="B447" t="n">
        <v>8.278954000000001</v>
      </c>
      <c r="C447" t="n">
        <v/>
      </c>
      <c r="D447" t="n">
        <v>16.10781</v>
      </c>
      <c r="E447" t="n">
        <v>33.42936</v>
      </c>
      <c r="F447" t="n">
        <v>1.348459</v>
      </c>
      <c r="G447" t="n">
        <v/>
      </c>
      <c r="H447" t="n">
        <v>0.7677751</v>
      </c>
      <c r="I447" t="n">
        <v/>
      </c>
      <c r="J447" t="n">
        <v/>
      </c>
      <c r="K447" t="n">
        <v>23.62288</v>
      </c>
      <c r="L447" t="n">
        <v>20.8135</v>
      </c>
      <c r="M447" t="n">
        <v>12.90552</v>
      </c>
      <c r="N447" t="n">
        <v/>
      </c>
      <c r="O447" t="n">
        <v/>
      </c>
      <c r="P447" t="n">
        <v>1.48905</v>
      </c>
      <c r="Q447" t="n">
        <v>4.319077</v>
      </c>
      <c r="R447" t="n">
        <v>1.811554</v>
      </c>
      <c r="S447" t="n">
        <v>47.84491</v>
      </c>
      <c r="T447" t="n">
        <v>3.190561</v>
      </c>
      <c r="U447" t="n">
        <v>0.6583872</v>
      </c>
      <c r="V447" t="n">
        <v>17.57699</v>
      </c>
      <c r="W447" t="n">
        <v>12.89683</v>
      </c>
      <c r="X447" t="n">
        <v>10.66262</v>
      </c>
      <c r="Y447" t="n">
        <v>1.74739</v>
      </c>
      <c r="Z447" t="n">
        <v/>
      </c>
      <c r="AA447" t="n">
        <v/>
      </c>
      <c r="AB447" t="n">
        <v>17.64827</v>
      </c>
      <c r="AC447" t="n">
        <v>0.002225725</v>
      </c>
      <c r="AD447" t="n">
        <v>23.83044</v>
      </c>
      <c r="AE447" t="n">
        <v>3.330125</v>
      </c>
    </row>
    <row r="448">
      <c r="A448" s="87" t="n">
        <v>32203</v>
      </c>
      <c r="B448" t="n">
        <v>8.360201999999999</v>
      </c>
      <c r="C448" t="n">
        <v/>
      </c>
      <c r="D448" t="n">
        <v>16.28347</v>
      </c>
      <c r="E448" t="n">
        <v>33.63649</v>
      </c>
      <c r="F448" t="n">
        <v>1.377442</v>
      </c>
      <c r="G448" t="n">
        <v/>
      </c>
      <c r="H448" t="n">
        <v>0.7795672</v>
      </c>
      <c r="I448" t="n">
        <v/>
      </c>
      <c r="J448" t="n">
        <v/>
      </c>
      <c r="K448" t="n">
        <v>23.45168</v>
      </c>
      <c r="L448" t="n">
        <v>20.78639</v>
      </c>
      <c r="M448" t="n">
        <v>13.0857</v>
      </c>
      <c r="N448" t="n">
        <v/>
      </c>
      <c r="O448" t="n">
        <v/>
      </c>
      <c r="P448" t="n">
        <v>1.505517</v>
      </c>
      <c r="Q448" t="n">
        <v>4.396917</v>
      </c>
      <c r="R448" t="n">
        <v>1.852929</v>
      </c>
      <c r="S448" t="n">
        <v>48.19665</v>
      </c>
      <c r="T448" t="n">
        <v>3.260644</v>
      </c>
      <c r="U448" t="n">
        <v>0.7171009</v>
      </c>
      <c r="V448" t="n">
        <v>17.69511</v>
      </c>
      <c r="W448" t="n">
        <v>13.92068</v>
      </c>
      <c r="X448" t="n">
        <v>10.8124</v>
      </c>
      <c r="Y448" t="n">
        <v>1.767926</v>
      </c>
      <c r="Z448" t="n">
        <v/>
      </c>
      <c r="AA448" t="n">
        <v/>
      </c>
      <c r="AB448" t="n">
        <v>17.78161</v>
      </c>
      <c r="AC448" t="n">
        <v>0.002265637</v>
      </c>
      <c r="AD448" t="n">
        <v>23.99897</v>
      </c>
      <c r="AE448" t="n">
        <v>3.403881</v>
      </c>
    </row>
    <row r="449">
      <c r="A449" s="87" t="n">
        <v>32234</v>
      </c>
      <c r="B449" t="n">
        <v>8.447054</v>
      </c>
      <c r="C449" t="n">
        <v/>
      </c>
      <c r="D449" t="n">
        <v>16.47195</v>
      </c>
      <c r="E449" t="n">
        <v>33.92612</v>
      </c>
      <c r="F449" t="n">
        <v>1.420816</v>
      </c>
      <c r="G449" t="n">
        <v/>
      </c>
      <c r="H449" t="n">
        <v>0.7908534</v>
      </c>
      <c r="I449" t="n">
        <v/>
      </c>
      <c r="J449" t="n">
        <v/>
      </c>
      <c r="K449" t="n">
        <v>23.48208</v>
      </c>
      <c r="L449" t="n">
        <v>20.90091</v>
      </c>
      <c r="M449" t="n">
        <v>13.25279</v>
      </c>
      <c r="N449" t="n">
        <v/>
      </c>
      <c r="O449" t="n">
        <v/>
      </c>
      <c r="P449" t="n">
        <v>1.522268</v>
      </c>
      <c r="Q449" t="n">
        <v>4.450884</v>
      </c>
      <c r="R449" t="n">
        <v>1.892304</v>
      </c>
      <c r="S449" t="n">
        <v>48.56475</v>
      </c>
      <c r="T449" t="n">
        <v>3.324575</v>
      </c>
      <c r="U449" t="n">
        <v>0.7598406</v>
      </c>
      <c r="V449" t="n">
        <v>17.88847</v>
      </c>
      <c r="W449" t="n">
        <v>14.69014</v>
      </c>
      <c r="X449" t="n">
        <v>10.94837</v>
      </c>
      <c r="Y449" t="n">
        <v>1.790407</v>
      </c>
      <c r="Z449" t="n">
        <v/>
      </c>
      <c r="AA449" t="n">
        <v/>
      </c>
      <c r="AB449" t="n">
        <v>17.82694</v>
      </c>
      <c r="AC449" t="n">
        <v>0.002318184</v>
      </c>
      <c r="AD449" t="n">
        <v>24.16501</v>
      </c>
      <c r="AE449" t="n">
        <v>3.46525</v>
      </c>
    </row>
    <row r="450">
      <c r="A450" s="87" t="n">
        <v>32264</v>
      </c>
      <c r="B450" t="n">
        <v>8.519897</v>
      </c>
      <c r="C450" t="n">
        <v/>
      </c>
      <c r="D450" t="n">
        <v>16.63433</v>
      </c>
      <c r="E450" t="n">
        <v>34.28581</v>
      </c>
      <c r="F450" t="n">
        <v>1.464424</v>
      </c>
      <c r="G450" t="n">
        <v/>
      </c>
      <c r="H450" t="n">
        <v>0.8049708</v>
      </c>
      <c r="I450" t="n">
        <v/>
      </c>
      <c r="J450" t="n">
        <v/>
      </c>
      <c r="K450" t="n">
        <v>23.74325</v>
      </c>
      <c r="L450" t="n">
        <v>21.10526</v>
      </c>
      <c r="M450" t="n">
        <v>13.34968</v>
      </c>
      <c r="N450" t="n">
        <v/>
      </c>
      <c r="O450" t="n">
        <v/>
      </c>
      <c r="P450" t="n">
        <v>1.542621</v>
      </c>
      <c r="Q450" t="n">
        <v>4.491276</v>
      </c>
      <c r="R450" t="n">
        <v>1.918441</v>
      </c>
      <c r="S450" t="n">
        <v>49.07191</v>
      </c>
      <c r="T450" t="n">
        <v>3.399499</v>
      </c>
      <c r="U450" t="n">
        <v>0.7906901</v>
      </c>
      <c r="V450" t="n">
        <v>17.91864</v>
      </c>
      <c r="W450" t="n">
        <v>14.54165</v>
      </c>
      <c r="X450" t="n">
        <v>11.0695</v>
      </c>
      <c r="Y450" t="n">
        <v>1.815918</v>
      </c>
      <c r="Z450" t="n">
        <v/>
      </c>
      <c r="AA450" t="n">
        <v/>
      </c>
      <c r="AB450" t="n">
        <v>17.87968</v>
      </c>
      <c r="AC450" t="n">
        <v>0.00242129</v>
      </c>
      <c r="AD450" t="n">
        <v>24.29204</v>
      </c>
      <c r="AE450" t="n">
        <v>3.521785</v>
      </c>
    </row>
    <row r="451">
      <c r="A451" s="87" t="n">
        <v>32295</v>
      </c>
      <c r="B451" t="n">
        <v>8.629163</v>
      </c>
      <c r="C451" t="n">
        <v/>
      </c>
      <c r="D451" t="n">
        <v>16.90051</v>
      </c>
      <c r="E451" t="n">
        <v>34.40447</v>
      </c>
      <c r="F451" t="n">
        <v>1.496286</v>
      </c>
      <c r="G451" t="n">
        <v/>
      </c>
      <c r="H451" t="n">
        <v>0.8258532</v>
      </c>
      <c r="I451" t="n">
        <v/>
      </c>
      <c r="J451" t="n">
        <v/>
      </c>
      <c r="K451" t="n">
        <v>24.00524</v>
      </c>
      <c r="L451" t="n">
        <v>21.27416</v>
      </c>
      <c r="M451" t="n">
        <v>13.54954</v>
      </c>
      <c r="N451" t="n">
        <v/>
      </c>
      <c r="O451" t="n">
        <v/>
      </c>
      <c r="P451" t="n">
        <v>1.548043</v>
      </c>
      <c r="Q451" t="n">
        <v>4.611727</v>
      </c>
      <c r="R451" t="n">
        <v>1.947152</v>
      </c>
      <c r="S451" t="n">
        <v>49.44001</v>
      </c>
      <c r="T451" t="n">
        <v>3.486741</v>
      </c>
      <c r="U451" t="n">
        <v>0.8149745</v>
      </c>
      <c r="V451" t="n">
        <v>17.97002</v>
      </c>
      <c r="W451" t="n">
        <v>14.63362</v>
      </c>
      <c r="X451" t="n">
        <v>11.18526</v>
      </c>
      <c r="Y451" t="n">
        <v>1.846619</v>
      </c>
      <c r="Z451" t="n">
        <v/>
      </c>
      <c r="AA451" t="n">
        <v/>
      </c>
      <c r="AB451" t="n">
        <v>18.0264</v>
      </c>
      <c r="AC451" t="n">
        <v>0.002513368</v>
      </c>
      <c r="AD451" t="n">
        <v>24.39498</v>
      </c>
      <c r="AE451" t="n">
        <v>3.602152</v>
      </c>
    </row>
    <row r="452">
      <c r="A452" s="87" t="n">
        <v>32325</v>
      </c>
      <c r="B452" t="n">
        <v>8.724421</v>
      </c>
      <c r="C452" t="n">
        <v/>
      </c>
      <c r="D452" t="n">
        <v>17.09669</v>
      </c>
      <c r="E452" t="n">
        <v>34.60027</v>
      </c>
      <c r="F452" t="n">
        <v>1.524239</v>
      </c>
      <c r="G452" t="n">
        <v/>
      </c>
      <c r="H452" t="n">
        <v>0.8416846</v>
      </c>
      <c r="I452" t="n">
        <v/>
      </c>
      <c r="J452" t="n">
        <v/>
      </c>
      <c r="K452" t="n">
        <v>24.33787</v>
      </c>
      <c r="L452" t="n">
        <v>21.45646</v>
      </c>
      <c r="M452" t="n">
        <v>13.82029</v>
      </c>
      <c r="N452" t="n">
        <v/>
      </c>
      <c r="O452" t="n">
        <v/>
      </c>
      <c r="P452" t="n">
        <v>1.580273</v>
      </c>
      <c r="Q452" t="n">
        <v>4.739569</v>
      </c>
      <c r="R452" t="n">
        <v>1.990681</v>
      </c>
      <c r="S452" t="n">
        <v>49.82448</v>
      </c>
      <c r="T452" t="n">
        <v>3.565418</v>
      </c>
      <c r="U452" t="n">
        <v>0.8242766</v>
      </c>
      <c r="V452" t="n">
        <v>17.95637</v>
      </c>
      <c r="W452" t="n">
        <v>14.76795</v>
      </c>
      <c r="X452" t="n">
        <v>11.28109</v>
      </c>
      <c r="Y452" t="n">
        <v>1.881332</v>
      </c>
      <c r="Z452" t="n">
        <v/>
      </c>
      <c r="AA452" t="n">
        <v/>
      </c>
      <c r="AB452" t="n">
        <v>18.16947</v>
      </c>
      <c r="AC452" t="n">
        <v>0.002597631</v>
      </c>
      <c r="AD452" t="n">
        <v>24.46804</v>
      </c>
      <c r="AE452" t="n">
        <v>3.671961</v>
      </c>
    </row>
    <row r="453">
      <c r="A453" s="87" t="n">
        <v>32356</v>
      </c>
      <c r="B453" t="n">
        <v>8.800065</v>
      </c>
      <c r="C453" t="n">
        <v/>
      </c>
      <c r="D453" t="n">
        <v>17.37352</v>
      </c>
      <c r="E453" t="n">
        <v>34.86766</v>
      </c>
      <c r="F453" t="n">
        <v>1.564574</v>
      </c>
      <c r="G453" t="n">
        <v/>
      </c>
      <c r="H453" t="n">
        <v>0.8551196</v>
      </c>
      <c r="I453" t="n">
        <v/>
      </c>
      <c r="J453" t="n">
        <v/>
      </c>
      <c r="K453" t="n">
        <v>24.46678</v>
      </c>
      <c r="L453" t="n">
        <v>21.5388</v>
      </c>
      <c r="M453" t="n">
        <v>14.05575</v>
      </c>
      <c r="N453" t="n">
        <v/>
      </c>
      <c r="O453" t="n">
        <v/>
      </c>
      <c r="P453" t="n">
        <v>1.624457</v>
      </c>
      <c r="Q453" t="n">
        <v>4.820896</v>
      </c>
      <c r="R453" t="n">
        <v>2.034292</v>
      </c>
      <c r="S453" t="n">
        <v>50.25802</v>
      </c>
      <c r="T453" t="n">
        <v>3.644701</v>
      </c>
      <c r="U453" t="n">
        <v>0.8294367</v>
      </c>
      <c r="V453" t="n">
        <v>17.83703</v>
      </c>
      <c r="W453" t="n">
        <v>14.78829</v>
      </c>
      <c r="X453" t="n">
        <v>11.37359</v>
      </c>
      <c r="Y453" t="n">
        <v>1.920167</v>
      </c>
      <c r="Z453" t="n">
        <v/>
      </c>
      <c r="AA453" t="n">
        <v/>
      </c>
      <c r="AB453" t="n">
        <v>18.27527</v>
      </c>
      <c r="AC453" t="n">
        <v>0.002736364</v>
      </c>
      <c r="AD453" t="n">
        <v>24.50789</v>
      </c>
      <c r="AE453" t="n">
        <v>3.750467</v>
      </c>
    </row>
    <row r="454">
      <c r="A454" s="87" t="n">
        <v>32387</v>
      </c>
      <c r="B454" t="n">
        <v>8.917736</v>
      </c>
      <c r="C454" t="n">
        <v/>
      </c>
      <c r="D454" t="n">
        <v>17.49154</v>
      </c>
      <c r="E454" t="n">
        <v>34.94242</v>
      </c>
      <c r="F454" t="n">
        <v>1.604468</v>
      </c>
      <c r="G454" t="n">
        <v/>
      </c>
      <c r="H454" t="n">
        <v>0.8723935</v>
      </c>
      <c r="I454" t="n">
        <v/>
      </c>
      <c r="J454" t="n">
        <v/>
      </c>
      <c r="K454" t="n">
        <v>24.49899</v>
      </c>
      <c r="L454" t="n">
        <v>21.58034</v>
      </c>
      <c r="M454" t="n">
        <v>14.26266</v>
      </c>
      <c r="N454" t="n">
        <v/>
      </c>
      <c r="O454" t="n">
        <v/>
      </c>
      <c r="P454" t="n">
        <v>1.635664</v>
      </c>
      <c r="Q454" t="n">
        <v>4.942592</v>
      </c>
      <c r="R454" t="n">
        <v>2.066078</v>
      </c>
      <c r="S454" t="n">
        <v>50.62612</v>
      </c>
      <c r="T454" t="n">
        <v>3.730263</v>
      </c>
      <c r="U454" t="n">
        <v>0.8445106</v>
      </c>
      <c r="V454" t="n">
        <v>17.84242</v>
      </c>
      <c r="W454" t="n">
        <v>14.66895</v>
      </c>
      <c r="X454" t="n">
        <v>11.46933</v>
      </c>
      <c r="Y454" t="n">
        <v>1.958141</v>
      </c>
      <c r="Z454" t="n">
        <v/>
      </c>
      <c r="AA454" t="n">
        <v/>
      </c>
      <c r="AB454" t="n">
        <v>18.3547</v>
      </c>
      <c r="AC454" t="n">
        <v>0.002888297</v>
      </c>
      <c r="AD454" t="n">
        <v>24.54857</v>
      </c>
      <c r="AE454" t="n">
        <v>3.850092</v>
      </c>
    </row>
    <row r="455">
      <c r="A455" s="87" t="n">
        <v>32417</v>
      </c>
      <c r="B455" t="n">
        <v>9.088638</v>
      </c>
      <c r="C455" t="n">
        <v/>
      </c>
      <c r="D455" t="n">
        <v>17.59172</v>
      </c>
      <c r="E455" t="n">
        <v>34.95313</v>
      </c>
      <c r="F455" t="n">
        <v>1.63967</v>
      </c>
      <c r="G455" t="n">
        <v/>
      </c>
      <c r="H455" t="n">
        <v>0.8864527</v>
      </c>
      <c r="I455" t="n">
        <v/>
      </c>
      <c r="J455" t="n">
        <v/>
      </c>
      <c r="K455" t="n">
        <v>24.56776</v>
      </c>
      <c r="L455" t="n">
        <v>21.7571</v>
      </c>
      <c r="M455" t="n">
        <v>14.42629</v>
      </c>
      <c r="N455" t="n">
        <v/>
      </c>
      <c r="O455" t="n">
        <v/>
      </c>
      <c r="P455" t="n">
        <v>1.650658</v>
      </c>
      <c r="Q455" t="n">
        <v>5.047574</v>
      </c>
      <c r="R455" t="n">
        <v>2.052302</v>
      </c>
      <c r="S455" t="n">
        <v>51.07602</v>
      </c>
      <c r="T455" t="n">
        <v>3.81536</v>
      </c>
      <c r="U455" t="n">
        <v>0.8570874000000001</v>
      </c>
      <c r="V455" t="n">
        <v>17.92791</v>
      </c>
      <c r="W455" t="n">
        <v>14.74822</v>
      </c>
      <c r="X455" t="n">
        <v>11.56908</v>
      </c>
      <c r="Y455" t="n">
        <v>1.993328</v>
      </c>
      <c r="Z455" t="n">
        <v/>
      </c>
      <c r="AA455" t="n">
        <v/>
      </c>
      <c r="AB455" t="n">
        <v>18.47636</v>
      </c>
      <c r="AC455" t="n">
        <v>0.003037207</v>
      </c>
      <c r="AD455" t="n">
        <v>24.61831</v>
      </c>
      <c r="AE455" t="n">
        <v>3.933592</v>
      </c>
    </row>
    <row r="456">
      <c r="A456" s="87" t="n">
        <v>32448</v>
      </c>
      <c r="B456" t="n">
        <v>9.276350000000001</v>
      </c>
      <c r="C456" t="n">
        <v/>
      </c>
      <c r="D456" t="n">
        <v>17.74691</v>
      </c>
      <c r="E456" t="n">
        <v>35.01654</v>
      </c>
      <c r="F456" t="n">
        <v>1.660002</v>
      </c>
      <c r="G456" t="n">
        <v/>
      </c>
      <c r="H456" t="n">
        <v>0.9108425999999999</v>
      </c>
      <c r="I456" t="n">
        <v/>
      </c>
      <c r="J456" t="n">
        <v/>
      </c>
      <c r="K456" t="n">
        <v>24.49643</v>
      </c>
      <c r="L456" t="n">
        <v>21.98185</v>
      </c>
      <c r="M456" t="n">
        <v>14.54284</v>
      </c>
      <c r="N456" t="n">
        <v/>
      </c>
      <c r="O456" t="n">
        <v/>
      </c>
      <c r="P456" t="n">
        <v>1.672618</v>
      </c>
      <c r="Q456" t="n">
        <v>5.072921</v>
      </c>
      <c r="R456" t="n">
        <v>2.003007</v>
      </c>
      <c r="S456" t="n">
        <v>51.44412</v>
      </c>
      <c r="T456" t="n">
        <v>3.901155</v>
      </c>
      <c r="U456" t="n">
        <v>0.8717667</v>
      </c>
      <c r="V456" t="n">
        <v>17.71589</v>
      </c>
      <c r="W456" t="n">
        <v>14.7825</v>
      </c>
      <c r="X456" t="n">
        <v>11.68112</v>
      </c>
      <c r="Y456" t="n">
        <v>2.028506</v>
      </c>
      <c r="Z456" t="n">
        <v/>
      </c>
      <c r="AA456" t="n">
        <v/>
      </c>
      <c r="AB456" t="n">
        <v>18.62122</v>
      </c>
      <c r="AC456" t="n">
        <v>0.003221587</v>
      </c>
      <c r="AD456" t="n">
        <v>24.74201</v>
      </c>
      <c r="AE456" t="n">
        <v>3.994583</v>
      </c>
    </row>
    <row r="457">
      <c r="A457" s="87" t="n">
        <v>32478</v>
      </c>
      <c r="B457" t="n">
        <v>9.475269000000001</v>
      </c>
      <c r="C457" t="n">
        <v/>
      </c>
      <c r="D457" t="n">
        <v>17.85356</v>
      </c>
      <c r="E457" t="n">
        <v>35.0067</v>
      </c>
      <c r="F457" t="n">
        <v>1.69486</v>
      </c>
      <c r="G457" t="n">
        <v/>
      </c>
      <c r="H457" t="n">
        <v>0.9283661</v>
      </c>
      <c r="I457" t="n">
        <v/>
      </c>
      <c r="J457" t="n">
        <v/>
      </c>
      <c r="K457" t="n">
        <v>24.75491</v>
      </c>
      <c r="L457" t="n">
        <v>22.4078</v>
      </c>
      <c r="M457" t="n">
        <v>14.72127</v>
      </c>
      <c r="N457" t="n">
        <v/>
      </c>
      <c r="O457" t="n">
        <v/>
      </c>
      <c r="P457" t="n">
        <v>1.723676</v>
      </c>
      <c r="Q457" t="n">
        <v>5.142262</v>
      </c>
      <c r="R457" t="n">
        <v>1.969078</v>
      </c>
      <c r="S457" t="n">
        <v>51.84494</v>
      </c>
      <c r="T457" t="n">
        <v>3.972349</v>
      </c>
      <c r="U457" t="n">
        <v>0.8925168</v>
      </c>
      <c r="V457" t="n">
        <v>17.66353</v>
      </c>
      <c r="W457" t="n">
        <v>14.66795</v>
      </c>
      <c r="X457" t="n">
        <v>11.78932</v>
      </c>
      <c r="Y457" t="n">
        <v>2.067313</v>
      </c>
      <c r="Z457" t="n">
        <v/>
      </c>
      <c r="AA457" t="n">
        <v/>
      </c>
      <c r="AB457" t="n">
        <v>18.62169</v>
      </c>
      <c r="AC457" t="n">
        <v>0.003396151</v>
      </c>
      <c r="AD457" t="n">
        <v>24.80843</v>
      </c>
      <c r="AE457" t="n">
        <v>4.072427</v>
      </c>
    </row>
    <row r="458">
      <c r="A458" s="87" t="n">
        <v>32509</v>
      </c>
      <c r="B458" t="n">
        <v>9.699403999999999</v>
      </c>
      <c r="C458" t="n">
        <v/>
      </c>
      <c r="D458" t="n">
        <v>18.02043</v>
      </c>
      <c r="E458" t="n">
        <v>35.1681</v>
      </c>
      <c r="F458" t="n">
        <v>1.756355</v>
      </c>
      <c r="G458" t="n">
        <v/>
      </c>
      <c r="H458" t="n">
        <v>0.9395214</v>
      </c>
      <c r="I458" t="n">
        <v/>
      </c>
      <c r="J458" t="n">
        <v/>
      </c>
      <c r="K458" t="n">
        <v>22.49386</v>
      </c>
      <c r="L458" t="n">
        <v>22.64933</v>
      </c>
      <c r="M458" t="n">
        <v>14.93164</v>
      </c>
      <c r="N458" t="n">
        <v/>
      </c>
      <c r="O458" t="n">
        <v/>
      </c>
      <c r="P458" t="n">
        <v>1.751553</v>
      </c>
      <c r="Q458" t="n">
        <v>5.248433</v>
      </c>
      <c r="R458" t="n">
        <v>2.019773</v>
      </c>
      <c r="S458" t="n">
        <v>51.984</v>
      </c>
      <c r="T458" t="n">
        <v>4.036789</v>
      </c>
      <c r="U458" t="n">
        <v>0.9219609</v>
      </c>
      <c r="V458" t="n">
        <v>17.90216</v>
      </c>
      <c r="W458" t="n">
        <v>14.77255</v>
      </c>
      <c r="X458" t="n">
        <v>11.87693</v>
      </c>
      <c r="Y458" t="n">
        <v>2.090349</v>
      </c>
      <c r="Z458" t="n">
        <v/>
      </c>
      <c r="AA458" t="n">
        <v/>
      </c>
      <c r="AB458" t="n">
        <v>18.61817</v>
      </c>
      <c r="AC458" t="n">
        <v>0.003503059</v>
      </c>
      <c r="AD458" t="n">
        <v>24.83749</v>
      </c>
      <c r="AE458" t="n">
        <v>4.157771</v>
      </c>
    </row>
    <row r="459">
      <c r="A459" s="87" t="n">
        <v>32540</v>
      </c>
      <c r="B459" t="n">
        <v>9.915133000000001</v>
      </c>
      <c r="C459" t="n">
        <v/>
      </c>
      <c r="D459" t="n">
        <v>18.11782</v>
      </c>
      <c r="E459" t="n">
        <v>35.55157</v>
      </c>
      <c r="F459" t="n">
        <v>1.810393</v>
      </c>
      <c r="G459" t="n">
        <v/>
      </c>
      <c r="H459" t="n">
        <v>0.9619220000000001</v>
      </c>
      <c r="I459" t="n">
        <v/>
      </c>
      <c r="J459" t="n">
        <v/>
      </c>
      <c r="K459" t="n">
        <v>20.39935</v>
      </c>
      <c r="L459" t="n">
        <v>22.59151</v>
      </c>
      <c r="M459" t="n">
        <v>15.15606</v>
      </c>
      <c r="N459" t="n">
        <v/>
      </c>
      <c r="O459" t="n">
        <v/>
      </c>
      <c r="P459" t="n">
        <v>1.747706</v>
      </c>
      <c r="Q459" t="n">
        <v>5.357343</v>
      </c>
      <c r="R459" t="n">
        <v>2.121225</v>
      </c>
      <c r="S459" t="n">
        <v>52.76928</v>
      </c>
      <c r="T459" t="n">
        <v>4.093583</v>
      </c>
      <c r="U459" t="n">
        <v>0.9565951</v>
      </c>
      <c r="V459" t="n">
        <v>17.94696</v>
      </c>
      <c r="W459" t="n">
        <v>15.0218</v>
      </c>
      <c r="X459" t="n">
        <v>11.98825</v>
      </c>
      <c r="Y459" t="n">
        <v>2.121139</v>
      </c>
      <c r="Z459" t="n">
        <v/>
      </c>
      <c r="AA459" t="n">
        <v/>
      </c>
      <c r="AB459" t="n">
        <v>18.91497</v>
      </c>
      <c r="AC459" t="n">
        <v>0.003685099</v>
      </c>
      <c r="AD459" t="n">
        <v>24.84164</v>
      </c>
      <c r="AE459" t="n">
        <v>4.231204</v>
      </c>
    </row>
    <row r="460">
      <c r="A460" s="87" t="n">
        <v>32568</v>
      </c>
      <c r="B460" t="n">
        <v>10.11125</v>
      </c>
      <c r="C460" t="n">
        <v/>
      </c>
      <c r="D460" t="n">
        <v>18.39496</v>
      </c>
      <c r="E460" t="n">
        <v>35.83735</v>
      </c>
      <c r="F460" t="n">
        <v>1.865373</v>
      </c>
      <c r="G460" t="n">
        <v/>
      </c>
      <c r="H460" t="n">
        <v>0.9873467</v>
      </c>
      <c r="I460" t="n">
        <v/>
      </c>
      <c r="J460" t="n">
        <v/>
      </c>
      <c r="K460" t="n">
        <v>20.56858</v>
      </c>
      <c r="L460" t="n">
        <v>22.67284</v>
      </c>
      <c r="M460" t="n">
        <v>15.40795</v>
      </c>
      <c r="N460" t="n">
        <v/>
      </c>
      <c r="O460" t="n">
        <v/>
      </c>
      <c r="P460" t="n">
        <v>1.769631</v>
      </c>
      <c r="Q460" t="n">
        <v>5.43048</v>
      </c>
      <c r="R460" t="n">
        <v>2.190818</v>
      </c>
      <c r="S460" t="n">
        <v>53.18646</v>
      </c>
      <c r="T460" t="n">
        <v>4.162031</v>
      </c>
      <c r="U460" t="n">
        <v>0.9809871</v>
      </c>
      <c r="V460" t="n">
        <v>17.97729</v>
      </c>
      <c r="W460" t="n">
        <v>15.24085</v>
      </c>
      <c r="X460" t="n">
        <v>12.10714</v>
      </c>
      <c r="Y460" t="n">
        <v>2.165511</v>
      </c>
      <c r="Z460" t="n">
        <v/>
      </c>
      <c r="AA460" t="n">
        <v/>
      </c>
      <c r="AB460" t="n">
        <v>18.96506</v>
      </c>
      <c r="AC460" t="n">
        <v>0.00389367</v>
      </c>
      <c r="AD460" t="n">
        <v>24.9039</v>
      </c>
      <c r="AE460" t="n">
        <v>4.313416</v>
      </c>
    </row>
    <row r="461">
      <c r="A461" s="87" t="n">
        <v>32599</v>
      </c>
      <c r="B461" t="n">
        <v>10.29896</v>
      </c>
      <c r="C461" t="n">
        <v/>
      </c>
      <c r="D461" t="n">
        <v>18.52952</v>
      </c>
      <c r="E461" t="n">
        <v>36.00807</v>
      </c>
      <c r="F461" t="n">
        <v>1.917063</v>
      </c>
      <c r="G461" t="n">
        <v/>
      </c>
      <c r="H461" t="n">
        <v>1.006978</v>
      </c>
      <c r="I461" t="n">
        <v/>
      </c>
      <c r="J461" t="n">
        <v/>
      </c>
      <c r="K461" t="n">
        <v>20.10524</v>
      </c>
      <c r="L461" t="n">
        <v>22.84181</v>
      </c>
      <c r="M461" t="n">
        <v>15.59621</v>
      </c>
      <c r="N461" t="n">
        <v/>
      </c>
      <c r="O461" t="n">
        <v/>
      </c>
      <c r="P461" t="n">
        <v>1.800939</v>
      </c>
      <c r="Q461" t="n">
        <v>5.563546</v>
      </c>
      <c r="R461" t="n">
        <v>2.250217</v>
      </c>
      <c r="S461" t="n">
        <v>53.48094</v>
      </c>
      <c r="T461" t="n">
        <v>4.250572</v>
      </c>
      <c r="U461" t="n">
        <v>1.020793</v>
      </c>
      <c r="V461" t="n">
        <v>18.20759</v>
      </c>
      <c r="W461" t="n">
        <v>15.21931</v>
      </c>
      <c r="X461" t="n">
        <v>12.21188</v>
      </c>
      <c r="Y461" t="n">
        <v>2.196824</v>
      </c>
      <c r="Z461" t="n">
        <v/>
      </c>
      <c r="AA461" t="n">
        <v/>
      </c>
      <c r="AB461" t="n">
        <v>18.95792</v>
      </c>
      <c r="AC461" t="n">
        <v>0.004053218</v>
      </c>
      <c r="AD461" t="n">
        <v>24.95621</v>
      </c>
      <c r="AE461" t="n">
        <v>4.351058</v>
      </c>
    </row>
    <row r="462">
      <c r="A462" s="87" t="n">
        <v>32629</v>
      </c>
      <c r="B462" t="n">
        <v>10.46146</v>
      </c>
      <c r="C462" t="n">
        <v/>
      </c>
      <c r="D462" t="n">
        <v>18.76137</v>
      </c>
      <c r="E462" t="n">
        <v>36.21755</v>
      </c>
      <c r="F462" t="n">
        <v>1.973503</v>
      </c>
      <c r="G462" t="n">
        <v/>
      </c>
      <c r="H462" t="n">
        <v>1.036175</v>
      </c>
      <c r="I462" t="n">
        <v/>
      </c>
      <c r="J462" t="n">
        <v/>
      </c>
      <c r="K462" t="n">
        <v>19.84241</v>
      </c>
      <c r="L462" t="n">
        <v>23.01213</v>
      </c>
      <c r="M462" t="n">
        <v>15.78379</v>
      </c>
      <c r="N462" t="n">
        <v/>
      </c>
      <c r="O462" t="n">
        <v/>
      </c>
      <c r="P462" t="n">
        <v>1.829601</v>
      </c>
      <c r="Q462" t="n">
        <v>5.669227</v>
      </c>
      <c r="R462" t="n">
        <v>2.305681</v>
      </c>
      <c r="S462" t="n">
        <v>53.75089</v>
      </c>
      <c r="T462" t="n">
        <v>4.327132</v>
      </c>
      <c r="U462" t="n">
        <v>1.056403</v>
      </c>
      <c r="V462" t="n">
        <v>18.62574</v>
      </c>
      <c r="W462" t="n">
        <v>15.25783</v>
      </c>
      <c r="X462" t="n">
        <v>12.31665</v>
      </c>
      <c r="Y462" t="n">
        <v>2.230463</v>
      </c>
      <c r="Z462" t="n">
        <v/>
      </c>
      <c r="AA462" t="n">
        <v/>
      </c>
      <c r="AB462" t="n">
        <v>19.10346</v>
      </c>
      <c r="AC462" t="n">
        <v>0.004198329</v>
      </c>
      <c r="AD462" t="n">
        <v>25.0027</v>
      </c>
      <c r="AE462" t="n">
        <v>4.421566</v>
      </c>
    </row>
    <row r="463">
      <c r="A463" s="87" t="n">
        <v>32660</v>
      </c>
      <c r="B463" t="n">
        <v>10.66878</v>
      </c>
      <c r="C463" t="n">
        <v/>
      </c>
      <c r="D463" t="n">
        <v>18.96448</v>
      </c>
      <c r="E463" t="n">
        <v>36.49061</v>
      </c>
      <c r="F463" t="n">
        <v>2.052754</v>
      </c>
      <c r="G463" t="n">
        <v/>
      </c>
      <c r="H463" t="n">
        <v>1.075368</v>
      </c>
      <c r="I463" t="n">
        <v/>
      </c>
      <c r="J463" t="n">
        <v/>
      </c>
      <c r="K463" t="n">
        <v>20.02153</v>
      </c>
      <c r="L463" t="n">
        <v>23.22037</v>
      </c>
      <c r="M463" t="n">
        <v>16.19048</v>
      </c>
      <c r="N463" t="n">
        <v/>
      </c>
      <c r="O463" t="n">
        <v/>
      </c>
      <c r="P463" t="n">
        <v>1.857993</v>
      </c>
      <c r="Q463" t="n">
        <v>5.760977</v>
      </c>
      <c r="R463" t="n">
        <v>2.348814</v>
      </c>
      <c r="S463" t="n">
        <v>54.20897</v>
      </c>
      <c r="T463" t="n">
        <v>4.40799</v>
      </c>
      <c r="U463" t="n">
        <v>1.092513</v>
      </c>
      <c r="V463" t="n">
        <v>18.83692</v>
      </c>
      <c r="W463" t="n">
        <v>15.42736</v>
      </c>
      <c r="X463" t="n">
        <v>12.46856</v>
      </c>
      <c r="Y463" t="n">
        <v>2.280401</v>
      </c>
      <c r="Z463" t="n">
        <v/>
      </c>
      <c r="AA463" t="n">
        <v/>
      </c>
      <c r="AB463" t="n">
        <v>19.16779</v>
      </c>
      <c r="AC463" t="n">
        <v>0.004343258</v>
      </c>
      <c r="AD463" t="n">
        <v>25.13802</v>
      </c>
      <c r="AE463" t="n">
        <v>4.54816</v>
      </c>
    </row>
    <row r="464">
      <c r="A464" s="87" t="n">
        <v>32690</v>
      </c>
      <c r="B464" t="n">
        <v>10.89852</v>
      </c>
      <c r="C464" t="n">
        <v/>
      </c>
      <c r="D464" t="n">
        <v>19.10344</v>
      </c>
      <c r="E464" t="n">
        <v>36.61039</v>
      </c>
      <c r="F464" t="n">
        <v>2.121398</v>
      </c>
      <c r="G464" t="n">
        <v/>
      </c>
      <c r="H464" t="n">
        <v>1.109036</v>
      </c>
      <c r="I464" t="n">
        <v/>
      </c>
      <c r="J464" t="n">
        <v/>
      </c>
      <c r="K464" t="n">
        <v>20.13582</v>
      </c>
      <c r="L464" t="n">
        <v>23.49319</v>
      </c>
      <c r="M464" t="n">
        <v>16.51587</v>
      </c>
      <c r="N464" t="n">
        <v/>
      </c>
      <c r="O464" t="n">
        <v/>
      </c>
      <c r="P464" t="n">
        <v>1.8845</v>
      </c>
      <c r="Q464" t="n">
        <v>5.854302</v>
      </c>
      <c r="R464" t="n">
        <v>2.383174</v>
      </c>
      <c r="S464" t="n">
        <v>54.68341</v>
      </c>
      <c r="T464" t="n">
        <v>4.497608</v>
      </c>
      <c r="U464" t="n">
        <v>1.157504</v>
      </c>
      <c r="V464" t="n">
        <v>18.84729</v>
      </c>
      <c r="W464" t="n">
        <v>15.61483</v>
      </c>
      <c r="X464" t="n">
        <v>12.65083</v>
      </c>
      <c r="Y464" t="n">
        <v>2.325908</v>
      </c>
      <c r="Z464" t="n">
        <v/>
      </c>
      <c r="AA464" t="n">
        <v/>
      </c>
      <c r="AB464" t="n">
        <v>19.35938</v>
      </c>
      <c r="AC464" t="n">
        <v>0.004514189</v>
      </c>
      <c r="AD464" t="n">
        <v>25.34142</v>
      </c>
      <c r="AE464" t="n">
        <v>4.635023</v>
      </c>
    </row>
    <row r="465">
      <c r="A465" s="87" t="n">
        <v>32721</v>
      </c>
      <c r="B465" t="n">
        <v>11.09464</v>
      </c>
      <c r="C465" t="n">
        <v/>
      </c>
      <c r="D465" t="n">
        <v>19.32986</v>
      </c>
      <c r="E465" t="n">
        <v>36.72426</v>
      </c>
      <c r="F465" t="n">
        <v>2.174546</v>
      </c>
      <c r="G465" t="n">
        <v/>
      </c>
      <c r="H465" t="n">
        <v>1.14525</v>
      </c>
      <c r="I465" t="n">
        <v/>
      </c>
      <c r="J465" t="n">
        <v/>
      </c>
      <c r="K465" t="n">
        <v>19.95938</v>
      </c>
      <c r="L465" t="n">
        <v>23.58496</v>
      </c>
      <c r="M465" t="n">
        <v>16.71367</v>
      </c>
      <c r="N465" t="n">
        <v/>
      </c>
      <c r="O465" t="n">
        <v/>
      </c>
      <c r="P465" t="n">
        <v>1.912364</v>
      </c>
      <c r="Q465" t="n">
        <v>5.940197</v>
      </c>
      <c r="R465" t="n">
        <v>2.404593</v>
      </c>
      <c r="S465" t="n">
        <v>55.12513</v>
      </c>
      <c r="T465" t="n">
        <v>4.59507</v>
      </c>
      <c r="U465" t="n">
        <v>1.208756</v>
      </c>
      <c r="V465" t="n">
        <v>19.06669</v>
      </c>
      <c r="W465" t="n">
        <v>15.77112</v>
      </c>
      <c r="X465" t="n">
        <v>12.80934</v>
      </c>
      <c r="Y465" t="n">
        <v>2.361455</v>
      </c>
      <c r="Z465" t="n">
        <v/>
      </c>
      <c r="AA465" t="n">
        <v/>
      </c>
      <c r="AB465" t="n">
        <v>19.53375</v>
      </c>
      <c r="AC465" t="n">
        <v>0.004681063</v>
      </c>
      <c r="AD465" t="n">
        <v>25.52407</v>
      </c>
      <c r="AE465" t="n">
        <v>4.719935</v>
      </c>
    </row>
    <row r="466">
      <c r="A466" s="87" t="n">
        <v>32752</v>
      </c>
      <c r="B466" t="n">
        <v>11.20671</v>
      </c>
      <c r="C466" t="n">
        <v/>
      </c>
      <c r="D466" t="n">
        <v>19.49901</v>
      </c>
      <c r="E466" t="n">
        <v>36.88408</v>
      </c>
      <c r="F466" t="n">
        <v>2.242032</v>
      </c>
      <c r="G466" t="n">
        <v/>
      </c>
      <c r="H466" t="n">
        <v>1.166666</v>
      </c>
      <c r="I466" t="n">
        <v/>
      </c>
      <c r="J466" t="n">
        <v/>
      </c>
      <c r="K466" t="n">
        <v>20.14634</v>
      </c>
      <c r="L466" t="n">
        <v>23.63899</v>
      </c>
      <c r="M466" t="n">
        <v>16.97436</v>
      </c>
      <c r="N466" t="n">
        <v/>
      </c>
      <c r="O466" t="n">
        <v/>
      </c>
      <c r="P466" t="n">
        <v>1.942242</v>
      </c>
      <c r="Q466" t="n">
        <v>6.058738</v>
      </c>
      <c r="R466" t="n">
        <v>2.452002</v>
      </c>
      <c r="S466" t="n">
        <v>55.50141</v>
      </c>
      <c r="T466" t="n">
        <v>4.6836</v>
      </c>
      <c r="U466" t="n">
        <v>1.241866</v>
      </c>
      <c r="V466" t="n">
        <v>19.178</v>
      </c>
      <c r="W466" t="n">
        <v>15.96184</v>
      </c>
      <c r="X466" t="n">
        <v>12.94724</v>
      </c>
      <c r="Y466" t="n">
        <v>2.406039</v>
      </c>
      <c r="Z466" t="n">
        <v/>
      </c>
      <c r="AA466" t="n">
        <v/>
      </c>
      <c r="AB466" t="n">
        <v>19.6761</v>
      </c>
      <c r="AC466" t="n">
        <v>0.004878413</v>
      </c>
      <c r="AD466" t="n">
        <v>25.67434</v>
      </c>
      <c r="AE466" t="n">
        <v>4.778428</v>
      </c>
    </row>
    <row r="467">
      <c r="A467" s="87" t="n">
        <v>32782</v>
      </c>
      <c r="B467" t="n">
        <v>11.26274</v>
      </c>
      <c r="C467" t="n">
        <v/>
      </c>
      <c r="D467" t="n">
        <v>19.6772</v>
      </c>
      <c r="E467" t="n">
        <v>36.96549</v>
      </c>
      <c r="F467" t="n">
        <v>2.306187</v>
      </c>
      <c r="G467" t="n">
        <v/>
      </c>
      <c r="H467" t="n">
        <v>1.180012</v>
      </c>
      <c r="I467" t="n">
        <v/>
      </c>
      <c r="J467" t="n">
        <v/>
      </c>
      <c r="K467" t="n">
        <v>20.29394</v>
      </c>
      <c r="L467" t="n">
        <v>23.79332</v>
      </c>
      <c r="M467" t="n">
        <v>17.22851</v>
      </c>
      <c r="N467" t="n">
        <v/>
      </c>
      <c r="O467" t="n">
        <v/>
      </c>
      <c r="P467" t="n">
        <v>1.97581</v>
      </c>
      <c r="Q467" t="n">
        <v>6.180325</v>
      </c>
      <c r="R467" t="n">
        <v>2.500684</v>
      </c>
      <c r="S467" t="n">
        <v>55.91859</v>
      </c>
      <c r="T467" t="n">
        <v>4.768754</v>
      </c>
      <c r="U467" t="n">
        <v>1.281769</v>
      </c>
      <c r="V467" t="n">
        <v>19.18657</v>
      </c>
      <c r="W467" t="n">
        <v>16.05169</v>
      </c>
      <c r="X467" t="n">
        <v>13.1024</v>
      </c>
      <c r="Y467" t="n">
        <v>2.458683</v>
      </c>
      <c r="Z467" t="n">
        <v/>
      </c>
      <c r="AA467" t="n">
        <v/>
      </c>
      <c r="AB467" t="n">
        <v>19.82582</v>
      </c>
      <c r="AC467" t="n">
        <v>0.00516548</v>
      </c>
      <c r="AD467" t="n">
        <v>25.85367</v>
      </c>
      <c r="AE467" t="n">
        <v>4.861646</v>
      </c>
    </row>
    <row r="468">
      <c r="A468" s="87" t="n">
        <v>32813</v>
      </c>
      <c r="B468" t="n">
        <v>11.35519</v>
      </c>
      <c r="C468" t="n">
        <v/>
      </c>
      <c r="D468" t="n">
        <v>19.95155</v>
      </c>
      <c r="E468" t="n">
        <v>37.03727</v>
      </c>
      <c r="F468" t="n">
        <v>2.367185</v>
      </c>
      <c r="G468" t="n">
        <v/>
      </c>
      <c r="H468" t="n">
        <v>1.2082</v>
      </c>
      <c r="I468" t="n">
        <v/>
      </c>
      <c r="J468" t="n">
        <v/>
      </c>
      <c r="K468" t="n">
        <v>20.40583</v>
      </c>
      <c r="L468" t="n">
        <v>23.99078</v>
      </c>
      <c r="M468" t="n">
        <v>17.43797</v>
      </c>
      <c r="N468" t="n">
        <v/>
      </c>
      <c r="O468" t="n">
        <v/>
      </c>
      <c r="P468" t="n">
        <v>2.008104</v>
      </c>
      <c r="Q468" t="n">
        <v>6.34579</v>
      </c>
      <c r="R468" t="n">
        <v>2.528944</v>
      </c>
      <c r="S468" t="n">
        <v>56.46665</v>
      </c>
      <c r="T468" t="n">
        <v>4.859221</v>
      </c>
      <c r="U468" t="n">
        <v>1.324292</v>
      </c>
      <c r="V468" t="n">
        <v>19.34149</v>
      </c>
      <c r="W468" t="n">
        <v>16.01685</v>
      </c>
      <c r="X468" t="n">
        <v>13.26551</v>
      </c>
      <c r="Y468" t="n">
        <v>2.51049</v>
      </c>
      <c r="Z468" t="n">
        <v/>
      </c>
      <c r="AA468" t="n">
        <v/>
      </c>
      <c r="AB468" t="n">
        <v>19.98211</v>
      </c>
      <c r="AC468" t="n">
        <v>0.005466596</v>
      </c>
      <c r="AD468" t="n">
        <v>26.01307</v>
      </c>
      <c r="AE468" t="n">
        <v>4.952192</v>
      </c>
    </row>
    <row r="469">
      <c r="A469" s="87" t="n">
        <v>32843</v>
      </c>
      <c r="B469" t="n">
        <v>11.44765</v>
      </c>
      <c r="C469" t="n">
        <v/>
      </c>
      <c r="D469" t="n">
        <v>20.16629</v>
      </c>
      <c r="E469" t="n">
        <v>37.07324</v>
      </c>
      <c r="F469" t="n">
        <v>2.460021</v>
      </c>
      <c r="G469" t="n">
        <v/>
      </c>
      <c r="H469" t="n">
        <v>1.23618</v>
      </c>
      <c r="I469" t="n">
        <v/>
      </c>
      <c r="J469" t="n">
        <v/>
      </c>
      <c r="K469" t="n">
        <v>20.75683</v>
      </c>
      <c r="L469" t="n">
        <v>24.60379</v>
      </c>
      <c r="M469" t="n">
        <v>17.65458</v>
      </c>
      <c r="N469" t="n">
        <v/>
      </c>
      <c r="O469" t="n">
        <v/>
      </c>
      <c r="P469" t="n">
        <v>2.035583</v>
      </c>
      <c r="Q469" t="n">
        <v>6.499479</v>
      </c>
      <c r="R469" t="n">
        <v>2.555794</v>
      </c>
      <c r="S469" t="n">
        <v>57.39099</v>
      </c>
      <c r="T469" t="n">
        <v>5.005574</v>
      </c>
      <c r="U469" t="n">
        <v>1.37142</v>
      </c>
      <c r="V469" t="n">
        <v>19.37458</v>
      </c>
      <c r="W469" t="n">
        <v>15.89918</v>
      </c>
      <c r="X469" t="n">
        <v>13.43831</v>
      </c>
      <c r="Y469" t="n">
        <v>2.548693</v>
      </c>
      <c r="Z469" t="n">
        <v/>
      </c>
      <c r="AA469" t="n">
        <v/>
      </c>
      <c r="AB469" t="n">
        <v>20.23717</v>
      </c>
      <c r="AC469" t="n">
        <v>0.00562854</v>
      </c>
      <c r="AD469" t="n">
        <v>26.17247</v>
      </c>
      <c r="AE469" t="n">
        <v>5.006632</v>
      </c>
    </row>
    <row r="470">
      <c r="A470" s="87" t="n">
        <v>32874</v>
      </c>
      <c r="B470" t="n">
        <v>11.55131</v>
      </c>
      <c r="C470" t="n">
        <v/>
      </c>
      <c r="D470" t="n">
        <v>20.33032</v>
      </c>
      <c r="E470" t="n">
        <v>37.04785</v>
      </c>
      <c r="F470" t="n">
        <v>2.537006</v>
      </c>
      <c r="G470" t="n">
        <v/>
      </c>
      <c r="H470" t="n">
        <v>1.262643</v>
      </c>
      <c r="I470" t="n">
        <v/>
      </c>
      <c r="J470" t="n">
        <v>8.706934</v>
      </c>
      <c r="K470" t="n">
        <v>20.81559</v>
      </c>
      <c r="L470" t="n">
        <v>24.98233</v>
      </c>
      <c r="M470" t="n">
        <v>17.93705</v>
      </c>
      <c r="N470" t="n">
        <v>3.722113</v>
      </c>
      <c r="O470" t="n">
        <v/>
      </c>
      <c r="P470" t="n">
        <v>2.062484</v>
      </c>
      <c r="Q470" t="n">
        <v>6.589669</v>
      </c>
      <c r="R470" t="n">
        <v>2.586454</v>
      </c>
      <c r="S470" t="n">
        <v>57.97177</v>
      </c>
      <c r="T470" t="n">
        <v>5.194434</v>
      </c>
      <c r="U470" t="n">
        <v>1.410608</v>
      </c>
      <c r="V470" t="n">
        <v>19.35483</v>
      </c>
      <c r="W470" t="n">
        <v>15.91531</v>
      </c>
      <c r="X470" t="n">
        <v>13.6005</v>
      </c>
      <c r="Y470" t="n">
        <v>2.605832</v>
      </c>
      <c r="Z470" t="n">
        <v>0.9333442</v>
      </c>
      <c r="AA470" t="n">
        <v/>
      </c>
      <c r="AB470" t="n">
        <v>20.59448</v>
      </c>
      <c r="AC470" t="n">
        <v>0.005932116</v>
      </c>
      <c r="AD470" t="n">
        <v>26.29119</v>
      </c>
      <c r="AE470" t="n">
        <v>5.114633</v>
      </c>
    </row>
    <row r="471">
      <c r="A471" s="87" t="n">
        <v>32905</v>
      </c>
      <c r="B471" t="n">
        <v>11.67459</v>
      </c>
      <c r="C471" t="n">
        <v/>
      </c>
      <c r="D471" t="n">
        <v>20.44772</v>
      </c>
      <c r="E471" t="n">
        <v>37.01863</v>
      </c>
      <c r="F471" t="n">
        <v>2.602846</v>
      </c>
      <c r="G471" t="n">
        <v>0.936452</v>
      </c>
      <c r="H471" t="n">
        <v>1.300539</v>
      </c>
      <c r="I471" t="n">
        <v/>
      </c>
      <c r="J471" t="n">
        <v>9.029346</v>
      </c>
      <c r="K471" t="n">
        <v>20.74436</v>
      </c>
      <c r="L471" t="n">
        <v>24.88845</v>
      </c>
      <c r="M471" t="n">
        <v>18.13543</v>
      </c>
      <c r="N471" t="n">
        <v>3.847566</v>
      </c>
      <c r="O471" t="n">
        <v>1.361583</v>
      </c>
      <c r="P471" t="n">
        <v>2.089263</v>
      </c>
      <c r="Q471" t="n">
        <v>6.712185</v>
      </c>
      <c r="R471" t="n">
        <v>2.632544</v>
      </c>
      <c r="S471" t="n">
        <v>59.08426</v>
      </c>
      <c r="T471" t="n">
        <v>5.318003</v>
      </c>
      <c r="U471" t="n">
        <v>1.444117</v>
      </c>
      <c r="V471" t="n">
        <v>19.45727</v>
      </c>
      <c r="W471" t="n">
        <v>15.97168</v>
      </c>
      <c r="X471" t="n">
        <v>13.75162</v>
      </c>
      <c r="Y471" t="n">
        <v>2.646803</v>
      </c>
      <c r="Z471" t="n">
        <v>0.9819432</v>
      </c>
      <c r="AA471" t="n">
        <v/>
      </c>
      <c r="AB471" t="n">
        <v>20.96971</v>
      </c>
      <c r="AC471" t="n">
        <v>0.006207442</v>
      </c>
      <c r="AD471" t="n">
        <v>26.39413</v>
      </c>
      <c r="AE471" t="n">
        <v>5.184311</v>
      </c>
    </row>
    <row r="472">
      <c r="A472" s="87" t="n">
        <v>32933</v>
      </c>
      <c r="B472" t="n">
        <v>11.80346</v>
      </c>
      <c r="C472" t="n">
        <v/>
      </c>
      <c r="D472" t="n">
        <v>20.53741</v>
      </c>
      <c r="E472" t="n">
        <v>36.95263</v>
      </c>
      <c r="F472" t="n">
        <v>2.698117</v>
      </c>
      <c r="G472" t="n">
        <v>0.9548662</v>
      </c>
      <c r="H472" t="n">
        <v>1.337726</v>
      </c>
      <c r="I472" t="n">
        <v/>
      </c>
      <c r="J472" t="n">
        <v>9.351756999999999</v>
      </c>
      <c r="K472" t="n">
        <v>21.07767</v>
      </c>
      <c r="L472" t="n">
        <v>24.88562</v>
      </c>
      <c r="M472" t="n">
        <v>18.36283</v>
      </c>
      <c r="N472" t="n">
        <v>3.973826</v>
      </c>
      <c r="O472" t="n">
        <v>1.438037</v>
      </c>
      <c r="P472" t="n">
        <v>2.118918</v>
      </c>
      <c r="Q472" t="n">
        <v>6.892989</v>
      </c>
      <c r="R472" t="n">
        <v>2.69606</v>
      </c>
      <c r="S472" t="n">
        <v>59.46872</v>
      </c>
      <c r="T472" t="n">
        <v>5.403842</v>
      </c>
      <c r="U472" t="n">
        <v>1.490892</v>
      </c>
      <c r="V472" t="n">
        <v>19.65489</v>
      </c>
      <c r="W472" t="n">
        <v>15.99402</v>
      </c>
      <c r="X472" t="n">
        <v>13.864</v>
      </c>
      <c r="Y472" t="n">
        <v>2.677888</v>
      </c>
      <c r="Z472" t="n">
        <v>1.060034</v>
      </c>
      <c r="AA472" t="n">
        <v/>
      </c>
      <c r="AB472" t="n">
        <v>20.98198</v>
      </c>
      <c r="AC472" t="n">
        <v>0.006337828</v>
      </c>
      <c r="AD472" t="n">
        <v>26.48463</v>
      </c>
      <c r="AE472" t="n">
        <v>5.208068</v>
      </c>
    </row>
    <row r="473">
      <c r="A473" s="87" t="n">
        <v>32964</v>
      </c>
      <c r="B473" t="n">
        <v>11.93234</v>
      </c>
      <c r="C473" t="n">
        <v/>
      </c>
      <c r="D473" t="n">
        <v>20.73095</v>
      </c>
      <c r="E473" t="n">
        <v>36.86057</v>
      </c>
      <c r="F473" t="n">
        <v>2.785278</v>
      </c>
      <c r="G473" t="n">
        <v>0.9743054</v>
      </c>
      <c r="H473" t="n">
        <v>1.371772</v>
      </c>
      <c r="I473" t="n">
        <v/>
      </c>
      <c r="J473" t="n">
        <v>9.67417</v>
      </c>
      <c r="K473" t="n">
        <v>21.33813</v>
      </c>
      <c r="L473" t="n">
        <v>24.96603</v>
      </c>
      <c r="M473" t="n">
        <v>18.58229</v>
      </c>
      <c r="N473" t="n">
        <v>4.100893</v>
      </c>
      <c r="O473" t="n">
        <v>1.5416</v>
      </c>
      <c r="P473" t="n">
        <v>2.155439</v>
      </c>
      <c r="Q473" t="n">
        <v>6.972162</v>
      </c>
      <c r="R473" t="n">
        <v>2.77917</v>
      </c>
      <c r="S473" t="n">
        <v>60.51576</v>
      </c>
      <c r="T473" t="n">
        <v>5.507859</v>
      </c>
      <c r="U473" t="n">
        <v>1.536594</v>
      </c>
      <c r="V473" t="n">
        <v>19.74269</v>
      </c>
      <c r="W473" t="n">
        <v>16.25387</v>
      </c>
      <c r="X473" t="n">
        <v>14.02009</v>
      </c>
      <c r="Y473" t="n">
        <v>2.719096</v>
      </c>
      <c r="Z473" t="n">
        <v>1.145556</v>
      </c>
      <c r="AA473" t="n">
        <v/>
      </c>
      <c r="AB473" t="n">
        <v>20.86262</v>
      </c>
      <c r="AC473" t="n">
        <v>0.006641788</v>
      </c>
      <c r="AD473" t="n">
        <v>26.5801</v>
      </c>
      <c r="AE473" t="n">
        <v>5.270365</v>
      </c>
    </row>
    <row r="474">
      <c r="A474" s="87" t="n">
        <v>32994</v>
      </c>
      <c r="B474" t="n">
        <v>12.02479</v>
      </c>
      <c r="C474" t="n">
        <v/>
      </c>
      <c r="D474" t="n">
        <v>20.89757</v>
      </c>
      <c r="E474" t="n">
        <v>36.81634</v>
      </c>
      <c r="F474" t="n">
        <v>2.868018</v>
      </c>
      <c r="G474" t="n">
        <v>0.99508</v>
      </c>
      <c r="H474" t="n">
        <v>1.387678</v>
      </c>
      <c r="I474" t="n">
        <v/>
      </c>
      <c r="J474" t="n">
        <v>9.996581000000001</v>
      </c>
      <c r="K474" t="n">
        <v>21.33511</v>
      </c>
      <c r="L474" t="n">
        <v>25.09027</v>
      </c>
      <c r="M474" t="n">
        <v>18.71479</v>
      </c>
      <c r="N474" t="n">
        <v>4.228769</v>
      </c>
      <c r="O474" t="n">
        <v>1.569356</v>
      </c>
      <c r="P474" t="n">
        <v>2.18222</v>
      </c>
      <c r="Q474" t="n">
        <v>7.055731</v>
      </c>
      <c r="R474" t="n">
        <v>2.851349</v>
      </c>
      <c r="S474" t="n">
        <v>60.81842</v>
      </c>
      <c r="T474" t="n">
        <v>5.619999</v>
      </c>
      <c r="U474" t="n">
        <v>1.583569</v>
      </c>
      <c r="V474" t="n">
        <v>19.84506</v>
      </c>
      <c r="W474" t="n">
        <v>16.44296</v>
      </c>
      <c r="X474" t="n">
        <v>14.10651</v>
      </c>
      <c r="Y474" t="n">
        <v>2.75174</v>
      </c>
      <c r="Z474" t="n">
        <v>1.229475</v>
      </c>
      <c r="AA474" t="n">
        <v/>
      </c>
      <c r="AB474" t="n">
        <v>20.91052</v>
      </c>
      <c r="AC474" t="n">
        <v>0.006914669</v>
      </c>
      <c r="AD474" t="n">
        <v>26.5718</v>
      </c>
      <c r="AE474" t="n">
        <v>5.337186</v>
      </c>
    </row>
    <row r="475">
      <c r="A475" s="87" t="n">
        <v>33025</v>
      </c>
      <c r="B475" t="n">
        <v>12.09204</v>
      </c>
      <c r="C475" t="n">
        <v/>
      </c>
      <c r="D475" t="n">
        <v>20.97041</v>
      </c>
      <c r="E475" t="n">
        <v>36.87341</v>
      </c>
      <c r="F475" t="n">
        <v>2.951337</v>
      </c>
      <c r="G475" t="n">
        <v>1.016636</v>
      </c>
      <c r="H475" t="n">
        <v>1.406371</v>
      </c>
      <c r="I475" t="n">
        <v/>
      </c>
      <c r="J475" t="n">
        <v>10.31899</v>
      </c>
      <c r="K475" t="n">
        <v>21.43189</v>
      </c>
      <c r="L475" t="n">
        <v>25.71133</v>
      </c>
      <c r="M475" t="n">
        <v>18.87724</v>
      </c>
      <c r="N475" t="n">
        <v>4.357183</v>
      </c>
      <c r="O475" t="n">
        <v>1.590602</v>
      </c>
      <c r="P475" t="n">
        <v>2.198584</v>
      </c>
      <c r="Q475" t="n">
        <v>7.166275</v>
      </c>
      <c r="R475" t="n">
        <v>2.915809</v>
      </c>
      <c r="S475" t="n">
        <v>60.9902</v>
      </c>
      <c r="T475" t="n">
        <v>5.7468</v>
      </c>
      <c r="U475" t="n">
        <v>1.640134</v>
      </c>
      <c r="V475" t="n">
        <v>20.15364</v>
      </c>
      <c r="W475" t="n">
        <v>16.34025</v>
      </c>
      <c r="X475" t="n">
        <v>14.22066</v>
      </c>
      <c r="Y475" t="n">
        <v>2.788466</v>
      </c>
      <c r="Z475" t="n">
        <v>1.321535</v>
      </c>
      <c r="AA475" t="n">
        <v/>
      </c>
      <c r="AB475" t="n">
        <v>20.92306</v>
      </c>
      <c r="AC475" t="n">
        <v>0.007177081</v>
      </c>
      <c r="AD475" t="n">
        <v>26.68056</v>
      </c>
      <c r="AE475" t="n">
        <v>5.361627</v>
      </c>
    </row>
    <row r="476">
      <c r="A476" s="87" t="n">
        <v>33055</v>
      </c>
      <c r="B476" t="n">
        <v>12.14527</v>
      </c>
      <c r="C476" t="n">
        <v/>
      </c>
      <c r="D476" t="n">
        <v>21.12011</v>
      </c>
      <c r="E476" t="n">
        <v>36.90959</v>
      </c>
      <c r="F476" t="n">
        <v>3.032523</v>
      </c>
      <c r="G476" t="n">
        <v>1.042472</v>
      </c>
      <c r="H476" t="n">
        <v>1.44507</v>
      </c>
      <c r="I476" t="n">
        <v/>
      </c>
      <c r="J476" t="n">
        <v>10.64141</v>
      </c>
      <c r="K476" t="n">
        <v>21.47227</v>
      </c>
      <c r="L476" t="n">
        <v>26.36371</v>
      </c>
      <c r="M476" t="n">
        <v>18.98486</v>
      </c>
      <c r="N476" t="n">
        <v>4.486404</v>
      </c>
      <c r="O476" t="n">
        <v>1.648504</v>
      </c>
      <c r="P476" t="n">
        <v>2.222058</v>
      </c>
      <c r="Q476" t="n">
        <v>7.212004</v>
      </c>
      <c r="R476" t="n">
        <v>2.97523</v>
      </c>
      <c r="S476" t="n">
        <v>61.33376</v>
      </c>
      <c r="T476" t="n">
        <v>5.863594</v>
      </c>
      <c r="U476" t="n">
        <v>1.698425</v>
      </c>
      <c r="V476" t="n">
        <v>20.32719</v>
      </c>
      <c r="W476" t="n">
        <v>16.14572</v>
      </c>
      <c r="X476" t="n">
        <v>14.34033</v>
      </c>
      <c r="Y476" t="n">
        <v>2.822892</v>
      </c>
      <c r="Z476" t="n">
        <v>1.430828</v>
      </c>
      <c r="AA476" t="n">
        <v/>
      </c>
      <c r="AB476" t="n">
        <v>20.97004</v>
      </c>
      <c r="AC476" t="n">
        <v>0.007478551</v>
      </c>
      <c r="AD476" t="n">
        <v>26.77022</v>
      </c>
      <c r="AE476" t="n">
        <v>5.374277</v>
      </c>
    </row>
    <row r="477">
      <c r="A477" s="87" t="n">
        <v>33086</v>
      </c>
      <c r="B477" t="n">
        <v>12.21531</v>
      </c>
      <c r="C477" t="n">
        <v/>
      </c>
      <c r="D477" t="n">
        <v>21.25359</v>
      </c>
      <c r="E477" t="n">
        <v>37.02963</v>
      </c>
      <c r="F477" t="n">
        <v>3.123254</v>
      </c>
      <c r="G477" t="n">
        <v>1.0689</v>
      </c>
      <c r="H477" t="n">
        <v>1.48058</v>
      </c>
      <c r="I477" t="n">
        <v/>
      </c>
      <c r="J477" t="n">
        <v>10.96382</v>
      </c>
      <c r="K477" t="n">
        <v>21.49126</v>
      </c>
      <c r="L477" t="n">
        <v>26.38313</v>
      </c>
      <c r="M477" t="n">
        <v>19.07289</v>
      </c>
      <c r="N477" t="n">
        <v>4.616433</v>
      </c>
      <c r="O477" t="n">
        <v>1.686617</v>
      </c>
      <c r="P477" t="n">
        <v>2.241195</v>
      </c>
      <c r="Q477" t="n">
        <v>7.277062</v>
      </c>
      <c r="R477" t="n">
        <v>3.048338</v>
      </c>
      <c r="S477" t="n">
        <v>61.66096</v>
      </c>
      <c r="T477" t="n">
        <v>5.969479</v>
      </c>
      <c r="U477" t="n">
        <v>1.755306</v>
      </c>
      <c r="V477" t="n">
        <v>20.36525</v>
      </c>
      <c r="W477" t="n">
        <v>16.33568</v>
      </c>
      <c r="X477" t="n">
        <v>14.4664</v>
      </c>
      <c r="Y477" t="n">
        <v>2.849591</v>
      </c>
      <c r="Z477" t="n">
        <v>1.552345</v>
      </c>
      <c r="AA477" t="n">
        <v/>
      </c>
      <c r="AB477" t="n">
        <v>21.04338</v>
      </c>
      <c r="AC477" t="n">
        <v>0.007704831</v>
      </c>
      <c r="AD477" t="n">
        <v>26.91551</v>
      </c>
      <c r="AE477" t="n">
        <v>5.405008</v>
      </c>
    </row>
    <row r="478">
      <c r="A478" s="87" t="n">
        <v>33117</v>
      </c>
      <c r="B478" t="n">
        <v>12.34699</v>
      </c>
      <c r="C478" t="n">
        <v/>
      </c>
      <c r="D478" t="n">
        <v>21.39513</v>
      </c>
      <c r="E478" t="n">
        <v>37.39717</v>
      </c>
      <c r="F478" t="n">
        <v>3.217586</v>
      </c>
      <c r="G478" t="n">
        <v>1.092539</v>
      </c>
      <c r="H478" t="n">
        <v>1.520685</v>
      </c>
      <c r="I478" t="n">
        <v/>
      </c>
      <c r="J478" t="n">
        <v>11.28623</v>
      </c>
      <c r="K478" t="n">
        <v>21.80052</v>
      </c>
      <c r="L478" t="n">
        <v>26.53296</v>
      </c>
      <c r="M478" t="n">
        <v>19.25308</v>
      </c>
      <c r="N478" t="n">
        <v>4.74727</v>
      </c>
      <c r="O478" t="n">
        <v>1.730471</v>
      </c>
      <c r="P478" t="n">
        <v>2.266864</v>
      </c>
      <c r="Q478" t="n">
        <v>7.382695</v>
      </c>
      <c r="R478" t="n">
        <v>3.108571</v>
      </c>
      <c r="S478" t="n">
        <v>62.0536</v>
      </c>
      <c r="T478" t="n">
        <v>6.080902</v>
      </c>
      <c r="U478" t="n">
        <v>1.804872</v>
      </c>
      <c r="V478" t="n">
        <v>20.40226</v>
      </c>
      <c r="W478" t="n">
        <v>16.74463</v>
      </c>
      <c r="X478" t="n">
        <v>14.59072</v>
      </c>
      <c r="Y478" t="n">
        <v>2.88279</v>
      </c>
      <c r="Z478" t="n">
        <v>1.660999</v>
      </c>
      <c r="AA478" t="n">
        <v/>
      </c>
      <c r="AB478" t="n">
        <v>21.17764</v>
      </c>
      <c r="AC478" t="n">
        <v>0.007869354</v>
      </c>
      <c r="AD478" t="n">
        <v>27.02012</v>
      </c>
      <c r="AE478" t="n">
        <v>5.4036</v>
      </c>
    </row>
    <row r="479">
      <c r="A479" s="87" t="n">
        <v>33147</v>
      </c>
      <c r="B479" t="n">
        <v>12.45345</v>
      </c>
      <c r="C479" t="n">
        <v/>
      </c>
      <c r="D479" t="n">
        <v>21.51424</v>
      </c>
      <c r="E479" t="n">
        <v>37.57814</v>
      </c>
      <c r="F479" t="n">
        <v>3.325178</v>
      </c>
      <c r="G479" t="n">
        <v>1.118628</v>
      </c>
      <c r="H479" t="n">
        <v>1.563632</v>
      </c>
      <c r="I479" t="n">
        <v/>
      </c>
      <c r="J479" t="n">
        <v>11.60864</v>
      </c>
      <c r="K479" t="n">
        <v>21.9989</v>
      </c>
      <c r="L479" t="n">
        <v>26.76388</v>
      </c>
      <c r="M479" t="n">
        <v>19.38185</v>
      </c>
      <c r="N479" t="n">
        <v>4.879183</v>
      </c>
      <c r="O479" t="n">
        <v>1.766847</v>
      </c>
      <c r="P479" t="n">
        <v>2.295778</v>
      </c>
      <c r="Q479" t="n">
        <v>7.495289</v>
      </c>
      <c r="R479" t="n">
        <v>3.142841</v>
      </c>
      <c r="S479" t="n">
        <v>62.34808</v>
      </c>
      <c r="T479" t="n">
        <v>6.194297</v>
      </c>
      <c r="U479" t="n">
        <v>1.86196</v>
      </c>
      <c r="V479" t="n">
        <v>20.32588</v>
      </c>
      <c r="W479" t="n">
        <v>16.85504</v>
      </c>
      <c r="X479" t="n">
        <v>14.69162</v>
      </c>
      <c r="Y479" t="n">
        <v>2.910112</v>
      </c>
      <c r="Z479" t="n">
        <v>1.746254</v>
      </c>
      <c r="AA479" t="n">
        <v/>
      </c>
      <c r="AB479" t="n">
        <v>21.24396</v>
      </c>
      <c r="AC479" t="n">
        <v>0.008055285000000001</v>
      </c>
      <c r="AD479" t="n">
        <v>27.05914</v>
      </c>
      <c r="AE479" t="n">
        <v>5.411447</v>
      </c>
    </row>
    <row r="480">
      <c r="A480" s="87" t="n">
        <v>33178</v>
      </c>
      <c r="B480" t="n">
        <v>12.55711</v>
      </c>
      <c r="C480" t="n">
        <v/>
      </c>
      <c r="D480" t="n">
        <v>21.63417</v>
      </c>
      <c r="E480" t="n">
        <v>37.57738</v>
      </c>
      <c r="F480" t="n">
        <v>3.441226</v>
      </c>
      <c r="G480" t="n">
        <v>1.144827</v>
      </c>
      <c r="H480" t="n">
        <v>1.595476</v>
      </c>
      <c r="I480" t="n">
        <v/>
      </c>
      <c r="J480" t="n">
        <v>11.93105</v>
      </c>
      <c r="K480" t="n">
        <v>22.1138</v>
      </c>
      <c r="L480" t="n">
        <v>26.91195</v>
      </c>
      <c r="M480" t="n">
        <v>19.50447</v>
      </c>
      <c r="N480" t="n">
        <v>5.011904</v>
      </c>
      <c r="O480" t="n">
        <v>1.810111</v>
      </c>
      <c r="P480" t="n">
        <v>2.324341</v>
      </c>
      <c r="Q480" t="n">
        <v>7.585234</v>
      </c>
      <c r="R480" t="n">
        <v>3.194161</v>
      </c>
      <c r="S480" t="n">
        <v>62.02088</v>
      </c>
      <c r="T480" t="n">
        <v>6.324221</v>
      </c>
      <c r="U480" t="n">
        <v>1.934631</v>
      </c>
      <c r="V480" t="n">
        <v>20.25237</v>
      </c>
      <c r="W480" t="n">
        <v>16.94505</v>
      </c>
      <c r="X480" t="n">
        <v>14.77431</v>
      </c>
      <c r="Y480" t="n">
        <v>2.942399</v>
      </c>
      <c r="Z480" t="n">
        <v>1.834122</v>
      </c>
      <c r="AA480" t="n">
        <v/>
      </c>
      <c r="AB480" t="n">
        <v>21.37452</v>
      </c>
      <c r="AC480" t="n">
        <v>0.008324732</v>
      </c>
      <c r="AD480" t="n">
        <v>27.08653</v>
      </c>
      <c r="AE480" t="n">
        <v>5.523596</v>
      </c>
    </row>
    <row r="481">
      <c r="A481" s="87" t="n">
        <v>33208</v>
      </c>
      <c r="B481" t="n">
        <v>12.67478</v>
      </c>
      <c r="C481" t="n">
        <v/>
      </c>
      <c r="D481" t="n">
        <v>21.79866</v>
      </c>
      <c r="E481" t="n">
        <v>37.79003</v>
      </c>
      <c r="F481" t="n">
        <v>3.553864</v>
      </c>
      <c r="G481" t="n">
        <v>1.169261</v>
      </c>
      <c r="H481" t="n">
        <v>1.627673</v>
      </c>
      <c r="I481" t="n">
        <v/>
      </c>
      <c r="J481" t="n">
        <v>12.25346</v>
      </c>
      <c r="K481" t="n">
        <v>22.46718</v>
      </c>
      <c r="L481" t="n">
        <v>27.56309</v>
      </c>
      <c r="M481" t="n">
        <v>19.60072</v>
      </c>
      <c r="N481" t="n">
        <v>5.160844</v>
      </c>
      <c r="O481" t="n">
        <v>1.869222</v>
      </c>
      <c r="P481" t="n">
        <v>2.354901</v>
      </c>
      <c r="Q481" t="n">
        <v>7.566935</v>
      </c>
      <c r="R481" t="n">
        <v>3.279583</v>
      </c>
      <c r="S481" t="n">
        <v>62.23356</v>
      </c>
      <c r="T481" t="n">
        <v>6.496979</v>
      </c>
      <c r="U481" t="n">
        <v>1.994534</v>
      </c>
      <c r="V481" t="n">
        <v>20.2807</v>
      </c>
      <c r="W481" t="n">
        <v>17.40953</v>
      </c>
      <c r="X481" t="n">
        <v>14.90021</v>
      </c>
      <c r="Y481" t="n">
        <v>2.983381</v>
      </c>
      <c r="Z481" t="n">
        <v>1.869587</v>
      </c>
      <c r="AA481" t="n">
        <v/>
      </c>
      <c r="AB481" t="n">
        <v>22.13248</v>
      </c>
      <c r="AC481" t="n">
        <v>0.008595314999999999</v>
      </c>
      <c r="AD481" t="n">
        <v>27.16291</v>
      </c>
      <c r="AE481" t="n">
        <v>5.62982</v>
      </c>
    </row>
    <row r="482">
      <c r="A482" s="87" t="n">
        <v>33239</v>
      </c>
      <c r="B482" t="n">
        <v>12.66358</v>
      </c>
      <c r="C482" t="n">
        <v/>
      </c>
      <c r="D482" t="n">
        <v>21.95178</v>
      </c>
      <c r="E482" t="n">
        <v>37.89314</v>
      </c>
      <c r="F482" t="n">
        <v>3.655895</v>
      </c>
      <c r="G482" t="n">
        <v>1.194355</v>
      </c>
      <c r="H482" t="n">
        <v>1.660722</v>
      </c>
      <c r="I482" t="n">
        <v/>
      </c>
      <c r="J482" t="n">
        <v>12.57588</v>
      </c>
      <c r="K482" t="n">
        <v>22.48048</v>
      </c>
      <c r="L482" t="n">
        <v>27.90499</v>
      </c>
      <c r="M482" t="n">
        <v>19.65817</v>
      </c>
      <c r="N482" t="n">
        <v>5.27648</v>
      </c>
      <c r="O482" t="n">
        <v>1.913423</v>
      </c>
      <c r="P482" t="n">
        <v>2.378565</v>
      </c>
      <c r="Q482" t="n">
        <v>7.50345</v>
      </c>
      <c r="R482" t="n">
        <v>3.43878</v>
      </c>
      <c r="S482" t="n">
        <v>62.36444</v>
      </c>
      <c r="T482" t="n">
        <v>6.651659</v>
      </c>
      <c r="U482" t="n">
        <v>2.032381</v>
      </c>
      <c r="V482" t="n">
        <v>20.41824</v>
      </c>
      <c r="W482" t="n">
        <v>17.55264</v>
      </c>
      <c r="X482" t="n">
        <v>15.00646</v>
      </c>
      <c r="Y482" t="n">
        <v>3.009215</v>
      </c>
      <c r="Z482" t="n">
        <v>1.884344</v>
      </c>
      <c r="AA482" t="n">
        <v/>
      </c>
      <c r="AB482" t="n">
        <v>22.44964</v>
      </c>
      <c r="AC482" t="n">
        <v>0.008800593000000001</v>
      </c>
      <c r="AD482" t="n">
        <v>27.29492</v>
      </c>
      <c r="AE482" t="n">
        <v>5.667765</v>
      </c>
    </row>
    <row r="483">
      <c r="A483" s="87" t="n">
        <v>33270</v>
      </c>
      <c r="B483" t="n">
        <v>12.59634</v>
      </c>
      <c r="C483" t="n">
        <v/>
      </c>
      <c r="D483" t="n">
        <v>22.08273</v>
      </c>
      <c r="E483" t="n">
        <v>37.82051</v>
      </c>
      <c r="F483" t="n">
        <v>3.747555</v>
      </c>
      <c r="G483" t="n">
        <v>1.219399</v>
      </c>
      <c r="H483" t="n">
        <v>1.684306</v>
      </c>
      <c r="I483" t="n">
        <v/>
      </c>
      <c r="J483" t="n">
        <v>12.89829</v>
      </c>
      <c r="K483" t="n">
        <v>21.8701</v>
      </c>
      <c r="L483" t="n">
        <v>27.75632</v>
      </c>
      <c r="M483" t="n">
        <v>19.72345</v>
      </c>
      <c r="N483" t="n">
        <v>5.371221</v>
      </c>
      <c r="O483" t="n">
        <v>1.934546</v>
      </c>
      <c r="P483" t="n">
        <v>2.411737</v>
      </c>
      <c r="Q483" t="n">
        <v>7.583294</v>
      </c>
      <c r="R483" t="n">
        <v>3.565711</v>
      </c>
      <c r="S483" t="n">
        <v>62.51168</v>
      </c>
      <c r="T483" t="n">
        <v>6.76343</v>
      </c>
      <c r="U483" t="n">
        <v>2.079064</v>
      </c>
      <c r="V483" t="n">
        <v>20.60383</v>
      </c>
      <c r="W483" t="n">
        <v>17.26489</v>
      </c>
      <c r="X483" t="n">
        <v>15.10043</v>
      </c>
      <c r="Y483" t="n">
        <v>3.030099</v>
      </c>
      <c r="Z483" t="n">
        <v>1.948898</v>
      </c>
      <c r="AA483" t="n">
        <v/>
      </c>
      <c r="AB483" t="n">
        <v>22.39408</v>
      </c>
      <c r="AC483" t="n">
        <v>0.009102565999999999</v>
      </c>
      <c r="AD483" t="n">
        <v>27.43439</v>
      </c>
      <c r="AE483" t="n">
        <v>5.837503</v>
      </c>
    </row>
    <row r="484">
      <c r="A484" s="87" t="n">
        <v>33298</v>
      </c>
      <c r="B484" t="n">
        <v>12.61595</v>
      </c>
      <c r="C484" t="n">
        <v/>
      </c>
      <c r="D484" t="n">
        <v>22.20633</v>
      </c>
      <c r="E484" t="n">
        <v>37.83162</v>
      </c>
      <c r="F484" t="n">
        <v>3.833224</v>
      </c>
      <c r="G484" t="n">
        <v>1.243399</v>
      </c>
      <c r="H484" t="n">
        <v>1.704057</v>
      </c>
      <c r="I484" t="n">
        <v/>
      </c>
      <c r="J484" t="n">
        <v>13.2207</v>
      </c>
      <c r="K484" t="n">
        <v>21.94953</v>
      </c>
      <c r="L484" t="n">
        <v>27.85303</v>
      </c>
      <c r="M484" t="n">
        <v>19.79809</v>
      </c>
      <c r="N484" t="n">
        <v>5.488719</v>
      </c>
      <c r="O484" t="n">
        <v>1.911813</v>
      </c>
      <c r="P484" t="n">
        <v>2.445956</v>
      </c>
      <c r="Q484" t="n">
        <v>7.735173</v>
      </c>
      <c r="R484" t="n">
        <v>3.632805</v>
      </c>
      <c r="S484" t="n">
        <v>62.6262</v>
      </c>
      <c r="T484" t="n">
        <v>6.89005</v>
      </c>
      <c r="U484" t="n">
        <v>2.142543</v>
      </c>
      <c r="V484" t="n">
        <v>20.75665</v>
      </c>
      <c r="W484" t="n">
        <v>17.17398</v>
      </c>
      <c r="X484" t="n">
        <v>15.21529</v>
      </c>
      <c r="Y484" t="n">
        <v>3.065921</v>
      </c>
      <c r="Z484" t="n">
        <v>2.032185</v>
      </c>
      <c r="AA484" t="n">
        <v/>
      </c>
      <c r="AB484" t="n">
        <v>22.75279</v>
      </c>
      <c r="AC484" t="n">
        <v>0.009466756999999999</v>
      </c>
      <c r="AD484" t="n">
        <v>27.57885</v>
      </c>
      <c r="AE484" t="n">
        <v>5.97605</v>
      </c>
    </row>
    <row r="485">
      <c r="A485" s="87" t="n">
        <v>33329</v>
      </c>
      <c r="B485" t="n">
        <v>12.65237</v>
      </c>
      <c r="C485" t="n">
        <v/>
      </c>
      <c r="D485" t="n">
        <v>22.28584</v>
      </c>
      <c r="E485" t="n">
        <v>37.86647</v>
      </c>
      <c r="F485" t="n">
        <v>3.922998</v>
      </c>
      <c r="G485" t="n">
        <v>1.264193</v>
      </c>
      <c r="H485" t="n">
        <v>1.740019</v>
      </c>
      <c r="I485" t="n">
        <v/>
      </c>
      <c r="J485" t="n">
        <v>13.54311</v>
      </c>
      <c r="K485" t="n">
        <v>22.59809</v>
      </c>
      <c r="L485" t="n">
        <v>27.95298</v>
      </c>
      <c r="M485" t="n">
        <v>19.91014</v>
      </c>
      <c r="N485" t="n">
        <v>5.5985</v>
      </c>
      <c r="O485" t="n">
        <v>1.918892</v>
      </c>
      <c r="P485" t="n">
        <v>2.474186</v>
      </c>
      <c r="Q485" t="n">
        <v>7.842461</v>
      </c>
      <c r="R485" t="n">
        <v>3.695131</v>
      </c>
      <c r="S485" t="n">
        <v>62.82252</v>
      </c>
      <c r="T485" t="n">
        <v>7.026153</v>
      </c>
      <c r="U485" t="n">
        <v>2.204623</v>
      </c>
      <c r="V485" t="n">
        <v>20.89923</v>
      </c>
      <c r="W485" t="n">
        <v>17.19172</v>
      </c>
      <c r="X485" t="n">
        <v>15.32856</v>
      </c>
      <c r="Y485" t="n">
        <v>3.111488</v>
      </c>
      <c r="Z485" t="n">
        <v>2.121431</v>
      </c>
      <c r="AA485" t="n">
        <v/>
      </c>
      <c r="AB485" t="n">
        <v>22.85525</v>
      </c>
      <c r="AC485" t="n">
        <v>0.009914340000000001</v>
      </c>
      <c r="AD485" t="n">
        <v>27.66602</v>
      </c>
      <c r="AE485" t="n">
        <v>6.004212</v>
      </c>
    </row>
    <row r="486">
      <c r="A486" s="87" t="n">
        <v>33359</v>
      </c>
      <c r="B486" t="n">
        <v>12.7028</v>
      </c>
      <c r="C486" t="n">
        <v/>
      </c>
      <c r="D486" t="n">
        <v>22.43544</v>
      </c>
      <c r="E486" t="n">
        <v>37.95477</v>
      </c>
      <c r="F486" t="n">
        <v>4.016781</v>
      </c>
      <c r="G486" t="n">
        <v>1.286682</v>
      </c>
      <c r="H486" t="n">
        <v>1.786227</v>
      </c>
      <c r="I486" t="n">
        <v/>
      </c>
      <c r="J486" t="n">
        <v>13.86552</v>
      </c>
      <c r="K486" t="n">
        <v>23.10584</v>
      </c>
      <c r="L486" t="n">
        <v>28.03255</v>
      </c>
      <c r="M486" t="n">
        <v>19.98428</v>
      </c>
      <c r="N486" t="n">
        <v>5.755914</v>
      </c>
      <c r="O486" t="n">
        <v>1.973093</v>
      </c>
      <c r="P486" t="n">
        <v>2.513268</v>
      </c>
      <c r="Q486" t="n">
        <v>7.930514</v>
      </c>
      <c r="R486" t="n">
        <v>3.759848</v>
      </c>
      <c r="S486" t="n">
        <v>62.96976</v>
      </c>
      <c r="T486" t="n">
        <v>7.149438</v>
      </c>
      <c r="U486" t="n">
        <v>2.270242</v>
      </c>
      <c r="V486" t="n">
        <v>20.94503</v>
      </c>
      <c r="W486" t="n">
        <v>17.29126</v>
      </c>
      <c r="X486" t="n">
        <v>15.44578</v>
      </c>
      <c r="Y486" t="n">
        <v>3.15848</v>
      </c>
      <c r="Z486" t="n">
        <v>2.241134</v>
      </c>
      <c r="AA486" t="n">
        <v/>
      </c>
      <c r="AB486" t="n">
        <v>23.02577</v>
      </c>
      <c r="AC486" t="n">
        <v>0.01043846</v>
      </c>
      <c r="AD486" t="n">
        <v>27.75402</v>
      </c>
      <c r="AE486" t="n">
        <v>6.117739</v>
      </c>
    </row>
    <row r="487">
      <c r="A487" s="87" t="n">
        <v>33390</v>
      </c>
      <c r="B487" t="n">
        <v>12.76724</v>
      </c>
      <c r="C487" t="n">
        <v/>
      </c>
      <c r="D487" t="n">
        <v>22.41445</v>
      </c>
      <c r="E487" t="n">
        <v>38.06633</v>
      </c>
      <c r="F487" t="n">
        <v>4.119725</v>
      </c>
      <c r="G487" t="n">
        <v>1.314026</v>
      </c>
      <c r="H487" t="n">
        <v>1.814227</v>
      </c>
      <c r="I487" t="n">
        <v/>
      </c>
      <c r="J487" t="n">
        <v>14.18794</v>
      </c>
      <c r="K487" t="n">
        <v>23.30735</v>
      </c>
      <c r="L487" t="n">
        <v>28.24822</v>
      </c>
      <c r="M487" t="n">
        <v>20.02411</v>
      </c>
      <c r="N487" t="n">
        <v>5.897051</v>
      </c>
      <c r="O487" t="n">
        <v>2.016941</v>
      </c>
      <c r="P487" t="n">
        <v>2.543087</v>
      </c>
      <c r="Q487" t="n">
        <v>7.988161</v>
      </c>
      <c r="R487" t="n">
        <v>3.791992</v>
      </c>
      <c r="S487" t="n">
        <v>63.10882</v>
      </c>
      <c r="T487" t="n">
        <v>7.254722</v>
      </c>
      <c r="U487" t="n">
        <v>2.320424</v>
      </c>
      <c r="V487" t="n">
        <v>20.91187</v>
      </c>
      <c r="W487" t="n">
        <v>17.55813</v>
      </c>
      <c r="X487" t="n">
        <v>15.54172</v>
      </c>
      <c r="Y487" t="n">
        <v>3.201671</v>
      </c>
      <c r="Z487" t="n">
        <v>2.369991</v>
      </c>
      <c r="AA487" t="n">
        <v/>
      </c>
      <c r="AB487" t="n">
        <v>23.38599</v>
      </c>
      <c r="AC487" t="n">
        <v>0.01095472</v>
      </c>
      <c r="AD487" t="n">
        <v>27.82791</v>
      </c>
      <c r="AE487" t="n">
        <v>6.196452</v>
      </c>
    </row>
    <row r="488">
      <c r="A488" s="87" t="n">
        <v>33420</v>
      </c>
      <c r="B488" t="n">
        <v>12.80926</v>
      </c>
      <c r="C488" t="n">
        <v/>
      </c>
      <c r="D488" t="n">
        <v>22.39233</v>
      </c>
      <c r="E488" t="n">
        <v>38.17493</v>
      </c>
      <c r="F488" t="n">
        <v>4.247941</v>
      </c>
      <c r="G488" t="n">
        <v>1.342134</v>
      </c>
      <c r="H488" t="n">
        <v>1.814994</v>
      </c>
      <c r="I488" t="n">
        <v/>
      </c>
      <c r="J488" t="n">
        <v>14.51035</v>
      </c>
      <c r="K488" t="n">
        <v>23.86522</v>
      </c>
      <c r="L488" t="n">
        <v>28.46589</v>
      </c>
      <c r="M488" t="n">
        <v>20.03469</v>
      </c>
      <c r="N488" t="n">
        <v>6.010348</v>
      </c>
      <c r="O488" t="n">
        <v>2.091114</v>
      </c>
      <c r="P488" t="n">
        <v>2.562158</v>
      </c>
      <c r="Q488" t="n">
        <v>8.067864</v>
      </c>
      <c r="R488" t="n">
        <v>3.782955</v>
      </c>
      <c r="S488" t="n">
        <v>63.33786</v>
      </c>
      <c r="T488" t="n">
        <v>7.366498</v>
      </c>
      <c r="U488" t="n">
        <v>2.363013</v>
      </c>
      <c r="V488" t="n">
        <v>21.00706</v>
      </c>
      <c r="W488" t="n">
        <v>17.61871</v>
      </c>
      <c r="X488" t="n">
        <v>15.62275</v>
      </c>
      <c r="Y488" t="n">
        <v>3.242962</v>
      </c>
      <c r="Z488" t="n">
        <v>2.444735</v>
      </c>
      <c r="AA488" t="n">
        <v/>
      </c>
      <c r="AB488" t="n">
        <v>23.62144</v>
      </c>
      <c r="AC488" t="n">
        <v>0.01144188</v>
      </c>
      <c r="AD488" t="n">
        <v>27.86278</v>
      </c>
      <c r="AE488" t="n">
        <v>6.178376</v>
      </c>
    </row>
    <row r="489">
      <c r="A489" s="87" t="n">
        <v>33451</v>
      </c>
      <c r="B489" t="n">
        <v>12.84849</v>
      </c>
      <c r="C489" t="n">
        <v/>
      </c>
      <c r="D489" t="n">
        <v>22.34906</v>
      </c>
      <c r="E489" t="n">
        <v>38.27997</v>
      </c>
      <c r="F489" t="n">
        <v>4.39203</v>
      </c>
      <c r="G489" t="n">
        <v>1.371477</v>
      </c>
      <c r="H489" t="n">
        <v>1.812267</v>
      </c>
      <c r="I489" t="n">
        <v/>
      </c>
      <c r="J489" t="n">
        <v>14.83276</v>
      </c>
      <c r="K489" t="n">
        <v>24.35081</v>
      </c>
      <c r="L489" t="n">
        <v>28.50018</v>
      </c>
      <c r="M489" t="n">
        <v>20.04673</v>
      </c>
      <c r="N489" t="n">
        <v>6.135695</v>
      </c>
      <c r="O489" t="n">
        <v>2.120657</v>
      </c>
      <c r="P489" t="n">
        <v>2.593009</v>
      </c>
      <c r="Q489" t="n">
        <v>8.189533000000001</v>
      </c>
      <c r="R489" t="n">
        <v>3.848644</v>
      </c>
      <c r="S489" t="n">
        <v>63.32968</v>
      </c>
      <c r="T489" t="n">
        <v>7.50425</v>
      </c>
      <c r="U489" t="n">
        <v>2.419734</v>
      </c>
      <c r="V489" t="n">
        <v>21.12787</v>
      </c>
      <c r="W489" t="n">
        <v>17.4857</v>
      </c>
      <c r="X489" t="n">
        <v>15.69072</v>
      </c>
      <c r="Y489" t="n">
        <v>3.286284</v>
      </c>
      <c r="Z489" t="n">
        <v>2.504953</v>
      </c>
      <c r="AA489" t="n">
        <v/>
      </c>
      <c r="AB489" t="n">
        <v>23.58144</v>
      </c>
      <c r="AC489" t="n">
        <v>0.01200948</v>
      </c>
      <c r="AD489" t="n">
        <v>27.85365</v>
      </c>
      <c r="AE489" t="n">
        <v>6.189117</v>
      </c>
    </row>
    <row r="490">
      <c r="A490" s="87" t="n">
        <v>33482</v>
      </c>
      <c r="B490" t="n">
        <v>12.91012</v>
      </c>
      <c r="C490" t="n">
        <v/>
      </c>
      <c r="D490" t="n">
        <v>22.47344</v>
      </c>
      <c r="E490" t="n">
        <v>38.32718</v>
      </c>
      <c r="F490" t="n">
        <v>4.538535</v>
      </c>
      <c r="G490" t="n">
        <v>1.40165</v>
      </c>
      <c r="H490" t="n">
        <v>1.865258</v>
      </c>
      <c r="I490" t="n">
        <v/>
      </c>
      <c r="J490" t="n">
        <v>15.15517</v>
      </c>
      <c r="K490" t="n">
        <v>24.15785</v>
      </c>
      <c r="L490" t="n">
        <v>28.62026</v>
      </c>
      <c r="M490" t="n">
        <v>20.08488</v>
      </c>
      <c r="N490" t="n">
        <v>6.266897</v>
      </c>
      <c r="O490" t="n">
        <v>2.114997</v>
      </c>
      <c r="P490" t="n">
        <v>2.631315</v>
      </c>
      <c r="Q490" t="n">
        <v>8.287991</v>
      </c>
      <c r="R490" t="n">
        <v>3.876179</v>
      </c>
      <c r="S490" t="n">
        <v>63.50146</v>
      </c>
      <c r="T490" t="n">
        <v>7.664619</v>
      </c>
      <c r="U490" t="n">
        <v>2.442573</v>
      </c>
      <c r="V490" t="n">
        <v>21.83629</v>
      </c>
      <c r="W490" t="n">
        <v>17.52026</v>
      </c>
      <c r="X490" t="n">
        <v>15.78286</v>
      </c>
      <c r="Y490" t="n">
        <v>3.347841</v>
      </c>
      <c r="Z490" t="n">
        <v>2.581065</v>
      </c>
      <c r="AA490" t="n">
        <v/>
      </c>
      <c r="AB490" t="n">
        <v>23.65626</v>
      </c>
      <c r="AC490" t="n">
        <v>0.01281189</v>
      </c>
      <c r="AD490" t="n">
        <v>27.85282</v>
      </c>
      <c r="AE490" t="n">
        <v>6.246459</v>
      </c>
    </row>
    <row r="491">
      <c r="A491" s="87" t="n">
        <v>33512</v>
      </c>
      <c r="B491" t="n">
        <v>12.93534</v>
      </c>
      <c r="C491" t="n">
        <v/>
      </c>
      <c r="D491" t="n">
        <v>22.6356</v>
      </c>
      <c r="E491" t="n">
        <v>38.42788</v>
      </c>
      <c r="F491" t="n">
        <v>4.671726</v>
      </c>
      <c r="G491" t="n">
        <v>1.424415</v>
      </c>
      <c r="H491" t="n">
        <v>1.966896</v>
      </c>
      <c r="I491" t="n">
        <v/>
      </c>
      <c r="J491" t="n">
        <v>15.47758</v>
      </c>
      <c r="K491" t="n">
        <v>24.2994</v>
      </c>
      <c r="L491" t="n">
        <v>28.77878</v>
      </c>
      <c r="M491" t="n">
        <v>20.11416</v>
      </c>
      <c r="N491" t="n">
        <v>6.415724</v>
      </c>
      <c r="O491" t="n">
        <v>2.149671</v>
      </c>
      <c r="P491" t="n">
        <v>2.680513</v>
      </c>
      <c r="Q491" t="n">
        <v>8.353813000000001</v>
      </c>
      <c r="R491" t="n">
        <v>3.871712</v>
      </c>
      <c r="S491" t="n">
        <v>63.64052</v>
      </c>
      <c r="T491" t="n">
        <v>7.815595</v>
      </c>
      <c r="U491" t="n">
        <v>2.482954</v>
      </c>
      <c r="V491" t="n">
        <v>22.32757</v>
      </c>
      <c r="W491" t="n">
        <v>17.72756</v>
      </c>
      <c r="X491" t="n">
        <v>15.90115</v>
      </c>
      <c r="Y491" t="n">
        <v>3.414805</v>
      </c>
      <c r="Z491" t="n">
        <v>2.650165</v>
      </c>
      <c r="AA491" t="n">
        <v/>
      </c>
      <c r="AB491" t="n">
        <v>23.82929</v>
      </c>
      <c r="AC491" t="n">
        <v>0.01367489</v>
      </c>
      <c r="AD491" t="n">
        <v>27.89599</v>
      </c>
      <c r="AE491" t="n">
        <v>6.298707</v>
      </c>
    </row>
    <row r="492">
      <c r="A492" s="87" t="n">
        <v>33543</v>
      </c>
      <c r="B492" t="n">
        <v>12.91012</v>
      </c>
      <c r="C492" t="n">
        <v/>
      </c>
      <c r="D492" t="n">
        <v>22.70545</v>
      </c>
      <c r="E492" t="n">
        <v>38.47351</v>
      </c>
      <c r="F492" t="n">
        <v>4.80686</v>
      </c>
      <c r="G492" t="n">
        <v>1.447612</v>
      </c>
      <c r="H492" t="n">
        <v>2.067225</v>
      </c>
      <c r="I492" t="n">
        <v/>
      </c>
      <c r="J492" t="n">
        <v>15.8</v>
      </c>
      <c r="K492" t="n">
        <v>24.51388</v>
      </c>
      <c r="L492" t="n">
        <v>29.00022</v>
      </c>
      <c r="M492" t="n">
        <v>20.1349</v>
      </c>
      <c r="N492" t="n">
        <v>6.607944</v>
      </c>
      <c r="O492" t="n">
        <v>2.17834</v>
      </c>
      <c r="P492" t="n">
        <v>2.743272</v>
      </c>
      <c r="Q492" t="n">
        <v>8.412444000000001</v>
      </c>
      <c r="R492" t="n">
        <v>4.015456</v>
      </c>
      <c r="S492" t="n">
        <v>63.61598</v>
      </c>
      <c r="T492" t="n">
        <v>7.900486</v>
      </c>
      <c r="U492" t="n">
        <v>2.561093</v>
      </c>
      <c r="V492" t="n">
        <v>22.29456</v>
      </c>
      <c r="W492" t="n">
        <v>17.82046</v>
      </c>
      <c r="X492" t="n">
        <v>16.01209</v>
      </c>
      <c r="Y492" t="n">
        <v>3.468492</v>
      </c>
      <c r="Z492" t="n">
        <v>2.709859</v>
      </c>
      <c r="AA492" t="n">
        <v/>
      </c>
      <c r="AB492" t="n">
        <v>23.83768</v>
      </c>
      <c r="AC492" t="n">
        <v>0.01443985</v>
      </c>
      <c r="AD492" t="n">
        <v>27.94082</v>
      </c>
      <c r="AE492" t="n">
        <v>6.347534</v>
      </c>
    </row>
    <row r="493">
      <c r="A493" s="87" t="n">
        <v>33573</v>
      </c>
      <c r="B493" t="n">
        <v>12.94094</v>
      </c>
      <c r="C493" t="n">
        <v/>
      </c>
      <c r="D493" t="n">
        <v>22.81406</v>
      </c>
      <c r="E493" t="n">
        <v>38.64835</v>
      </c>
      <c r="F493" t="n">
        <v>4.933028</v>
      </c>
      <c r="G493" t="n">
        <v>1.478785</v>
      </c>
      <c r="H493" t="n">
        <v>2.150625</v>
      </c>
      <c r="I493" t="n">
        <v/>
      </c>
      <c r="J493" t="n">
        <v>16.22708</v>
      </c>
      <c r="K493" t="n">
        <v>24.31369</v>
      </c>
      <c r="L493" t="n">
        <v>29.69997</v>
      </c>
      <c r="M493" t="n">
        <v>20.18328</v>
      </c>
      <c r="N493" t="n">
        <v>6.923089</v>
      </c>
      <c r="O493" t="n">
        <v>2.204942</v>
      </c>
      <c r="P493" t="n">
        <v>2.792468</v>
      </c>
      <c r="Q493" t="n">
        <v>8.500567</v>
      </c>
      <c r="R493" t="n">
        <v>4.476423</v>
      </c>
      <c r="S493" t="n">
        <v>63.61598</v>
      </c>
      <c r="T493" t="n">
        <v>8.036427</v>
      </c>
      <c r="U493" t="n">
        <v>2.593085</v>
      </c>
      <c r="V493" t="n">
        <v>22.62472</v>
      </c>
      <c r="W493" t="n">
        <v>17.90046</v>
      </c>
      <c r="X493" t="n">
        <v>16.11791</v>
      </c>
      <c r="Y493" t="n">
        <v>3.52247</v>
      </c>
      <c r="Z493" t="n">
        <v>2.59394</v>
      </c>
      <c r="AA493" t="n">
        <v/>
      </c>
      <c r="AB493" t="n">
        <v>23.77412</v>
      </c>
      <c r="AC493" t="n">
        <v>0.01517167</v>
      </c>
      <c r="AD493" t="n">
        <v>27.99645</v>
      </c>
      <c r="AE493" t="n">
        <v>6.364502</v>
      </c>
    </row>
    <row r="494">
      <c r="A494" s="87" t="n">
        <v>33604</v>
      </c>
      <c r="B494" t="n">
        <v>12.98857</v>
      </c>
      <c r="C494" t="n">
        <v/>
      </c>
      <c r="D494" t="n">
        <v>22.90912</v>
      </c>
      <c r="E494" t="n">
        <v>38.6584</v>
      </c>
      <c r="F494" t="n">
        <v>5.056484</v>
      </c>
      <c r="G494" t="n">
        <v>1.512678</v>
      </c>
      <c r="H494" t="n">
        <v>2.236671</v>
      </c>
      <c r="I494" t="n">
        <v/>
      </c>
      <c r="J494" t="n">
        <v>13.80709</v>
      </c>
      <c r="K494" t="n">
        <v>24.75193</v>
      </c>
      <c r="L494" t="n">
        <v>29.96666</v>
      </c>
      <c r="M494" t="n">
        <v>20.29447</v>
      </c>
      <c r="N494" t="n">
        <v>7.224724</v>
      </c>
      <c r="O494" t="n">
        <v>2.239434</v>
      </c>
      <c r="P494" t="n">
        <v>2.831384</v>
      </c>
      <c r="Q494" t="n">
        <v>8.575295000000001</v>
      </c>
      <c r="R494" t="n">
        <v>4.984886</v>
      </c>
      <c r="S494" t="n">
        <v>63.62416</v>
      </c>
      <c r="T494" t="n">
        <v>8.243826</v>
      </c>
      <c r="U494" t="n">
        <v>2.599951</v>
      </c>
      <c r="V494" t="n">
        <v>22.76298</v>
      </c>
      <c r="W494" t="n">
        <v>18.21936</v>
      </c>
      <c r="X494" t="n">
        <v>16.23278</v>
      </c>
      <c r="Y494" t="n">
        <v>3.586627</v>
      </c>
      <c r="Z494" t="n">
        <v>2.532147</v>
      </c>
      <c r="AA494" t="n">
        <v/>
      </c>
      <c r="AB494" t="n">
        <v>23.55983</v>
      </c>
      <c r="AC494" t="n">
        <v>0.01598432</v>
      </c>
      <c r="AD494" t="n">
        <v>28.07117</v>
      </c>
      <c r="AE494" t="n">
        <v>6.435836</v>
      </c>
    </row>
    <row r="495">
      <c r="A495" s="87" t="n">
        <v>33635</v>
      </c>
      <c r="B495" t="n">
        <v>13.01939</v>
      </c>
      <c r="C495" t="n">
        <v/>
      </c>
      <c r="D495" t="n">
        <v>23.01986</v>
      </c>
      <c r="E495" t="n">
        <v>38.52818</v>
      </c>
      <c r="F495" t="n">
        <v>5.200384</v>
      </c>
      <c r="G495" t="n">
        <v>1.547107</v>
      </c>
      <c r="H495" t="n">
        <v>2.312161</v>
      </c>
      <c r="I495" t="n">
        <v/>
      </c>
      <c r="J495" t="n">
        <v>14.28967</v>
      </c>
      <c r="K495" t="n">
        <v>25.58785</v>
      </c>
      <c r="L495" t="n">
        <v>29.74235</v>
      </c>
      <c r="M495" t="n">
        <v>20.415</v>
      </c>
      <c r="N495" t="n">
        <v>7.372164</v>
      </c>
      <c r="O495" t="n">
        <v>2.263876</v>
      </c>
      <c r="P495" t="n">
        <v>2.877242</v>
      </c>
      <c r="Q495" t="n">
        <v>8.598919</v>
      </c>
      <c r="R495" t="n">
        <v>5.264225</v>
      </c>
      <c r="S495" t="n">
        <v>63.54236</v>
      </c>
      <c r="T495" t="n">
        <v>8.366861999999999</v>
      </c>
      <c r="U495" t="n">
        <v>2.635613</v>
      </c>
      <c r="V495" t="n">
        <v>22.86904</v>
      </c>
      <c r="W495" t="n">
        <v>18.5097</v>
      </c>
      <c r="X495" t="n">
        <v>16.34765</v>
      </c>
      <c r="Y495" t="n">
        <v>3.639261</v>
      </c>
      <c r="Z495" t="n">
        <v>2.696351</v>
      </c>
      <c r="AA495" t="n">
        <v/>
      </c>
      <c r="AB495" t="n">
        <v>23.38128</v>
      </c>
      <c r="AC495" t="n">
        <v>0.01684528</v>
      </c>
      <c r="AD495" t="n">
        <v>28.22725</v>
      </c>
      <c r="AE495" t="n">
        <v>6.525487</v>
      </c>
    </row>
    <row r="496">
      <c r="A496" s="87" t="n">
        <v>33664</v>
      </c>
      <c r="B496" t="n">
        <v>13.01379</v>
      </c>
      <c r="C496" t="n">
        <v/>
      </c>
      <c r="D496" t="n">
        <v>23.20239</v>
      </c>
      <c r="E496" t="n">
        <v>38.55811</v>
      </c>
      <c r="F496" t="n">
        <v>5.316297</v>
      </c>
      <c r="G496" t="n">
        <v>1.577881</v>
      </c>
      <c r="H496" t="n">
        <v>2.391207</v>
      </c>
      <c r="I496" t="n">
        <v/>
      </c>
      <c r="J496" t="n">
        <v>14.45835</v>
      </c>
      <c r="K496" t="n">
        <v>25.73087</v>
      </c>
      <c r="L496" t="n">
        <v>29.861</v>
      </c>
      <c r="M496" t="n">
        <v>20.49076</v>
      </c>
      <c r="N496" t="n">
        <v>7.508708</v>
      </c>
      <c r="O496" t="n">
        <v>2.305664</v>
      </c>
      <c r="P496" t="n">
        <v>2.916583</v>
      </c>
      <c r="Q496" t="n">
        <v>8.602059000000001</v>
      </c>
      <c r="R496" t="n">
        <v>5.390688</v>
      </c>
      <c r="S496" t="n">
        <v>63.7305</v>
      </c>
      <c r="T496" t="n">
        <v>8.475436</v>
      </c>
      <c r="U496" t="n">
        <v>2.670815</v>
      </c>
      <c r="V496" t="n">
        <v>22.80292</v>
      </c>
      <c r="W496" t="n">
        <v>18.82857</v>
      </c>
      <c r="X496" t="n">
        <v>16.44101</v>
      </c>
      <c r="Y496" t="n">
        <v>3.691917</v>
      </c>
      <c r="Z496" t="n">
        <v>2.820824</v>
      </c>
      <c r="AA496" t="n">
        <v/>
      </c>
      <c r="AB496" t="n">
        <v>23.4768</v>
      </c>
      <c r="AC496" t="n">
        <v>0.01784804</v>
      </c>
      <c r="AD496" t="n">
        <v>28.25962</v>
      </c>
      <c r="AE496" t="n">
        <v>6.527075</v>
      </c>
    </row>
    <row r="497">
      <c r="A497" s="87" t="n">
        <v>33695</v>
      </c>
      <c r="B497" t="n">
        <v>13.0334</v>
      </c>
      <c r="C497" t="n">
        <v/>
      </c>
      <c r="D497" t="n">
        <v>23.21014</v>
      </c>
      <c r="E497" t="n">
        <v>38.68182</v>
      </c>
      <c r="F497" t="n">
        <v>5.422208</v>
      </c>
      <c r="G497" t="n">
        <v>1.622136</v>
      </c>
      <c r="H497" t="n">
        <v>2.478071</v>
      </c>
      <c r="I497" t="n">
        <v/>
      </c>
      <c r="J497" t="n">
        <v>14.50382</v>
      </c>
      <c r="K497" t="n">
        <v>25.86659</v>
      </c>
      <c r="L497" t="n">
        <v>30.09694</v>
      </c>
      <c r="M497" t="n">
        <v>20.53925</v>
      </c>
      <c r="N497" t="n">
        <v>7.758025</v>
      </c>
      <c r="O497" t="n">
        <v>2.370161</v>
      </c>
      <c r="P497" t="n">
        <v>2.947616</v>
      </c>
      <c r="Q497" t="n">
        <v>8.637072</v>
      </c>
      <c r="R497" t="n">
        <v>5.504745</v>
      </c>
      <c r="S497" t="n">
        <v>63.61598</v>
      </c>
      <c r="T497" t="n">
        <v>8.625351999999999</v>
      </c>
      <c r="U497" t="n">
        <v>2.701557</v>
      </c>
      <c r="V497" t="n">
        <v>22.74905</v>
      </c>
      <c r="W497" t="n">
        <v>18.95553</v>
      </c>
      <c r="X497" t="n">
        <v>16.49611</v>
      </c>
      <c r="Y497" t="n">
        <v>3.743836</v>
      </c>
      <c r="Z497" t="n">
        <v>2.917038</v>
      </c>
      <c r="AA497" t="n">
        <v/>
      </c>
      <c r="AB497" t="n">
        <v>23.6404</v>
      </c>
      <c r="AC497" t="n">
        <v>0.01884715</v>
      </c>
      <c r="AD497" t="n">
        <v>28.22476</v>
      </c>
      <c r="AE497" t="n">
        <v>6.571207</v>
      </c>
    </row>
    <row r="498">
      <c r="A498" s="87" t="n">
        <v>33725</v>
      </c>
      <c r="B498" t="n">
        <v>13.11465</v>
      </c>
      <c r="C498" t="n">
        <v/>
      </c>
      <c r="D498" t="n">
        <v>23.24876</v>
      </c>
      <c r="E498" t="n">
        <v>38.91508</v>
      </c>
      <c r="F498" t="n">
        <v>5.534326</v>
      </c>
      <c r="G498" t="n">
        <v>1.669094</v>
      </c>
      <c r="H498" t="n">
        <v>2.542742</v>
      </c>
      <c r="I498" t="n">
        <v/>
      </c>
      <c r="J498" t="n">
        <v>14.69451</v>
      </c>
      <c r="K498" t="n">
        <v>26.031</v>
      </c>
      <c r="L498" t="n">
        <v>30.37684</v>
      </c>
      <c r="M498" t="n">
        <v>20.50224</v>
      </c>
      <c r="N498" t="n">
        <v>7.951848</v>
      </c>
      <c r="O498" t="n">
        <v>2.439597</v>
      </c>
      <c r="P498" t="n">
        <v>2.993605</v>
      </c>
      <c r="Q498" t="n">
        <v>8.687632000000001</v>
      </c>
      <c r="R498" t="n">
        <v>5.59422</v>
      </c>
      <c r="S498" t="n">
        <v>63.45238</v>
      </c>
      <c r="T498" t="n">
        <v>8.779113000000001</v>
      </c>
      <c r="U498" t="n">
        <v>2.745855</v>
      </c>
      <c r="V498" t="n">
        <v>23.04223</v>
      </c>
      <c r="W498" t="n">
        <v>18.83998</v>
      </c>
      <c r="X498" t="n">
        <v>16.55851</v>
      </c>
      <c r="Y498" t="n">
        <v>3.793218</v>
      </c>
      <c r="Z498" t="n">
        <v>3.008138</v>
      </c>
      <c r="AA498" t="n">
        <v/>
      </c>
      <c r="AB498" t="n">
        <v>23.74101</v>
      </c>
      <c r="AC498" t="n">
        <v>0.01987605</v>
      </c>
      <c r="AD498" t="n">
        <v>28.21562</v>
      </c>
      <c r="AE498" t="n">
        <v>6.589915</v>
      </c>
    </row>
    <row r="499">
      <c r="A499" s="87" t="n">
        <v>33756</v>
      </c>
      <c r="B499" t="n">
        <v>13.15387</v>
      </c>
      <c r="C499" t="n">
        <v/>
      </c>
      <c r="D499" t="n">
        <v>23.3764</v>
      </c>
      <c r="E499" t="n">
        <v>39.02899</v>
      </c>
      <c r="F499" t="n">
        <v>5.667751</v>
      </c>
      <c r="G499" t="n">
        <v>1.703734</v>
      </c>
      <c r="H499" t="n">
        <v>2.618704</v>
      </c>
      <c r="I499" t="n">
        <v/>
      </c>
      <c r="J499" t="n">
        <v>14.85439</v>
      </c>
      <c r="K499" t="n">
        <v>26.06194</v>
      </c>
      <c r="L499" t="n">
        <v>30.59925</v>
      </c>
      <c r="M499" t="n">
        <v>20.50633</v>
      </c>
      <c r="N499" t="n">
        <v>8.118217</v>
      </c>
      <c r="O499" t="n">
        <v>2.483678</v>
      </c>
      <c r="P499" t="n">
        <v>3.044239</v>
      </c>
      <c r="Q499" t="n">
        <v>8.666492</v>
      </c>
      <c r="R499" t="n">
        <v>5.671599</v>
      </c>
      <c r="S499" t="n">
        <v>63.526</v>
      </c>
      <c r="T499" t="n">
        <v>8.911339999999999</v>
      </c>
      <c r="U499" t="n">
        <v>2.775203</v>
      </c>
      <c r="V499" t="n">
        <v>23.17638</v>
      </c>
      <c r="W499" t="n">
        <v>18.70082</v>
      </c>
      <c r="X499" t="n">
        <v>16.62311</v>
      </c>
      <c r="Y499" t="n">
        <v>3.846791</v>
      </c>
      <c r="Z499" t="n">
        <v>3.102586</v>
      </c>
      <c r="AA499" t="n">
        <v/>
      </c>
      <c r="AB499" t="n">
        <v>23.77963</v>
      </c>
      <c r="AC499" t="n">
        <v>0.02102138</v>
      </c>
      <c r="AD499" t="n">
        <v>28.17245</v>
      </c>
      <c r="AE499" t="n">
        <v>6.594224</v>
      </c>
    </row>
    <row r="500">
      <c r="A500" s="87" t="n">
        <v>33786</v>
      </c>
      <c r="B500" t="n">
        <v>13.21271</v>
      </c>
      <c r="C500" t="n">
        <v/>
      </c>
      <c r="D500" t="n">
        <v>23.54596</v>
      </c>
      <c r="E500" t="n">
        <v>39.04934</v>
      </c>
      <c r="F500" t="n">
        <v>5.819061</v>
      </c>
      <c r="G500" t="n">
        <v>1.736459</v>
      </c>
      <c r="H500" t="n">
        <v>2.667969</v>
      </c>
      <c r="I500" t="n">
        <v/>
      </c>
      <c r="J500" t="n">
        <v>15.27683</v>
      </c>
      <c r="K500" t="n">
        <v>26.04585</v>
      </c>
      <c r="L500" t="n">
        <v>30.72778</v>
      </c>
      <c r="M500" t="n">
        <v>20.58695</v>
      </c>
      <c r="N500" t="n">
        <v>8.324522</v>
      </c>
      <c r="O500" t="n">
        <v>2.503967</v>
      </c>
      <c r="P500" t="n">
        <v>3.087719</v>
      </c>
      <c r="Q500" t="n">
        <v>8.76732</v>
      </c>
      <c r="R500" t="n">
        <v>5.767799</v>
      </c>
      <c r="S500" t="n">
        <v>63.4033</v>
      </c>
      <c r="T500" t="n">
        <v>9.04256</v>
      </c>
      <c r="U500" t="n">
        <v>2.834255</v>
      </c>
      <c r="V500" t="n">
        <v>23.3115</v>
      </c>
      <c r="W500" t="n">
        <v>18.68005</v>
      </c>
      <c r="X500" t="n">
        <v>16.70249</v>
      </c>
      <c r="Y500" t="n">
        <v>3.901743</v>
      </c>
      <c r="Z500" t="n">
        <v>3.213878</v>
      </c>
      <c r="AA500" t="n">
        <v/>
      </c>
      <c r="AB500" t="n">
        <v>23.73722</v>
      </c>
      <c r="AC500" t="n">
        <v>0.02209267</v>
      </c>
      <c r="AD500" t="n">
        <v>28.1766</v>
      </c>
      <c r="AE500" t="n">
        <v>6.692327</v>
      </c>
    </row>
    <row r="501">
      <c r="A501" s="87" t="n">
        <v>33817</v>
      </c>
      <c r="B501" t="n">
        <v>13.32477</v>
      </c>
      <c r="C501" t="n">
        <v/>
      </c>
      <c r="D501" t="n">
        <v>23.6405</v>
      </c>
      <c r="E501" t="n">
        <v>39.06735</v>
      </c>
      <c r="F501" t="n">
        <v>5.934134</v>
      </c>
      <c r="G501" t="n">
        <v>1.771986</v>
      </c>
      <c r="H501" t="n">
        <v>2.673803</v>
      </c>
      <c r="I501" t="n">
        <v/>
      </c>
      <c r="J501" t="n">
        <v>15.94716</v>
      </c>
      <c r="K501" t="n">
        <v>26.19967</v>
      </c>
      <c r="L501" t="n">
        <v>30.76137</v>
      </c>
      <c r="M501" t="n">
        <v>20.61296</v>
      </c>
      <c r="N501" t="n">
        <v>8.517211</v>
      </c>
      <c r="O501" t="n">
        <v>2.5298</v>
      </c>
      <c r="P501" t="n">
        <v>3.125258</v>
      </c>
      <c r="Q501" t="n">
        <v>8.794103</v>
      </c>
      <c r="R501" t="n">
        <v>5.764985</v>
      </c>
      <c r="S501" t="n">
        <v>63.42784</v>
      </c>
      <c r="T501" t="n">
        <v>9.174828</v>
      </c>
      <c r="U501" t="n">
        <v>2.877285</v>
      </c>
      <c r="V501" t="n">
        <v>23.54208</v>
      </c>
      <c r="W501" t="n">
        <v>18.76402</v>
      </c>
      <c r="X501" t="n">
        <v>16.78713</v>
      </c>
      <c r="Y501" t="n">
        <v>3.957575</v>
      </c>
      <c r="Z501" t="n">
        <v>3.300713</v>
      </c>
      <c r="AA501" t="n">
        <v/>
      </c>
      <c r="AB501" t="n">
        <v>23.71776</v>
      </c>
      <c r="AC501" t="n">
        <v>0.02323866</v>
      </c>
      <c r="AD501" t="n">
        <v>28.21728</v>
      </c>
      <c r="AE501" t="n">
        <v>6.749621</v>
      </c>
    </row>
    <row r="502">
      <c r="A502" s="87" t="n">
        <v>33848</v>
      </c>
      <c r="B502" t="n">
        <v>13.38081</v>
      </c>
      <c r="C502" t="n">
        <v/>
      </c>
      <c r="D502" t="n">
        <v>23.72203</v>
      </c>
      <c r="E502" t="n">
        <v>39.15679</v>
      </c>
      <c r="F502" t="n">
        <v>6.021388</v>
      </c>
      <c r="G502" t="n">
        <v>1.811641</v>
      </c>
      <c r="H502" t="n">
        <v>2.722692</v>
      </c>
      <c r="I502" t="n">
        <v/>
      </c>
      <c r="J502" t="n">
        <v>16.15252</v>
      </c>
      <c r="K502" t="n">
        <v>26.22879</v>
      </c>
      <c r="L502" t="n">
        <v>30.96744</v>
      </c>
      <c r="M502" t="n">
        <v>20.69805</v>
      </c>
      <c r="N502" t="n">
        <v>8.685293</v>
      </c>
      <c r="O502" t="n">
        <v>2.566596</v>
      </c>
      <c r="P502" t="n">
        <v>3.144758</v>
      </c>
      <c r="Q502" t="n">
        <v>8.722004</v>
      </c>
      <c r="R502" t="n">
        <v>5.978218</v>
      </c>
      <c r="S502" t="n">
        <v>63.3215</v>
      </c>
      <c r="T502" t="n">
        <v>9.31188</v>
      </c>
      <c r="U502" t="n">
        <v>2.899365</v>
      </c>
      <c r="V502" t="n">
        <v>23.65923</v>
      </c>
      <c r="W502" t="n">
        <v>18.82891</v>
      </c>
      <c r="X502" t="n">
        <v>16.87627</v>
      </c>
      <c r="Y502" t="n">
        <v>4.012344</v>
      </c>
      <c r="Z502" t="n">
        <v>3.398825</v>
      </c>
      <c r="AA502" t="n">
        <v/>
      </c>
      <c r="AB502" t="n">
        <v>23.26823</v>
      </c>
      <c r="AC502" t="n">
        <v>0.02439806</v>
      </c>
      <c r="AD502" t="n">
        <v>28.31276</v>
      </c>
      <c r="AE502" t="n">
        <v>6.782862</v>
      </c>
    </row>
    <row r="503">
      <c r="A503" s="87" t="n">
        <v>33878</v>
      </c>
      <c r="B503" t="n">
        <v>13.378</v>
      </c>
      <c r="C503" t="n">
        <v/>
      </c>
      <c r="D503" t="n">
        <v>23.86336</v>
      </c>
      <c r="E503" t="n">
        <v>39.13567</v>
      </c>
      <c r="F503" t="n">
        <v>6.115942</v>
      </c>
      <c r="G503" t="n">
        <v>1.854434</v>
      </c>
      <c r="H503" t="n">
        <v>2.81392</v>
      </c>
      <c r="I503" t="n">
        <v/>
      </c>
      <c r="J503" t="n">
        <v>16.23906</v>
      </c>
      <c r="K503" t="n">
        <v>26.23431</v>
      </c>
      <c r="L503" t="n">
        <v>31.19611</v>
      </c>
      <c r="M503" t="n">
        <v>20.91152</v>
      </c>
      <c r="N503" t="n">
        <v>8.804459</v>
      </c>
      <c r="O503" t="n">
        <v>2.618265</v>
      </c>
      <c r="P503" t="n">
        <v>3.181611</v>
      </c>
      <c r="Q503" t="n">
        <v>8.752135000000001</v>
      </c>
      <c r="R503" t="n">
        <v>6.132916</v>
      </c>
      <c r="S503" t="n">
        <v>63.37058</v>
      </c>
      <c r="T503" t="n">
        <v>9.493648</v>
      </c>
      <c r="U503" t="n">
        <v>2.960435</v>
      </c>
      <c r="V503" t="n">
        <v>23.7615</v>
      </c>
      <c r="W503" t="n">
        <v>18.91908</v>
      </c>
      <c r="X503" t="n">
        <v>16.99723</v>
      </c>
      <c r="Y503" t="n">
        <v>4.066289</v>
      </c>
      <c r="Z503" t="n">
        <v>3.54469</v>
      </c>
      <c r="AA503" t="n">
        <v/>
      </c>
      <c r="AB503" t="n">
        <v>22.82112</v>
      </c>
      <c r="AC503" t="n">
        <v>0.02530736</v>
      </c>
      <c r="AD503" t="n">
        <v>28.42484</v>
      </c>
      <c r="AE503" t="n">
        <v>6.843244</v>
      </c>
    </row>
    <row r="504">
      <c r="A504" s="87" t="n">
        <v>33909</v>
      </c>
      <c r="B504" t="n">
        <v>13.41443</v>
      </c>
      <c r="C504" t="n">
        <v/>
      </c>
      <c r="D504" t="n">
        <v>24.09832</v>
      </c>
      <c r="E504" t="n">
        <v>39.23272</v>
      </c>
      <c r="F504" t="n">
        <v>6.227587</v>
      </c>
      <c r="G504" t="n">
        <v>1.898727</v>
      </c>
      <c r="H504" t="n">
        <v>2.893681</v>
      </c>
      <c r="I504" t="n">
        <v/>
      </c>
      <c r="J504" t="n">
        <v>16.55736</v>
      </c>
      <c r="K504" t="n">
        <v>26.39144</v>
      </c>
      <c r="L504" t="n">
        <v>31.39835</v>
      </c>
      <c r="M504" t="n">
        <v>21.02512</v>
      </c>
      <c r="N504" t="n">
        <v>8.926161</v>
      </c>
      <c r="O504" t="n">
        <v>2.674046</v>
      </c>
      <c r="P504" t="n">
        <v>3.22471</v>
      </c>
      <c r="Q504" t="n">
        <v>8.777243</v>
      </c>
      <c r="R504" t="n">
        <v>6.095456</v>
      </c>
      <c r="S504" t="n">
        <v>63.41148</v>
      </c>
      <c r="T504" t="n">
        <v>9.674473000000001</v>
      </c>
      <c r="U504" t="n">
        <v>3.021608</v>
      </c>
      <c r="V504" t="n">
        <v>23.90055</v>
      </c>
      <c r="W504" t="n">
        <v>19.08778</v>
      </c>
      <c r="X504" t="n">
        <v>17.09608</v>
      </c>
      <c r="Y504" t="n">
        <v>4.12259</v>
      </c>
      <c r="Z504" t="n">
        <v>3.686244</v>
      </c>
      <c r="AA504" t="n">
        <v/>
      </c>
      <c r="AB504" t="n">
        <v>23.38539</v>
      </c>
      <c r="AC504" t="n">
        <v>0.02612054</v>
      </c>
      <c r="AD504" t="n">
        <v>28.44725</v>
      </c>
      <c r="AE504" t="n">
        <v>6.898299</v>
      </c>
    </row>
    <row r="505">
      <c r="A505" s="87" t="n">
        <v>33939</v>
      </c>
      <c r="B505" t="n">
        <v>13.47606</v>
      </c>
      <c r="C505" t="n">
        <v/>
      </c>
      <c r="D505" t="n">
        <v>24.10555</v>
      </c>
      <c r="E505" t="n">
        <v>39.48757</v>
      </c>
      <c r="F505" t="n">
        <v>6.335655</v>
      </c>
      <c r="G505" t="n">
        <v>1.940652</v>
      </c>
      <c r="H505" t="n">
        <v>2.98966</v>
      </c>
      <c r="I505" t="n">
        <v/>
      </c>
      <c r="J505" t="n">
        <v>16.86099</v>
      </c>
      <c r="K505" t="n">
        <v>25.96051</v>
      </c>
      <c r="L505" t="n">
        <v>31.97977</v>
      </c>
      <c r="M505" t="n">
        <v>20.98186</v>
      </c>
      <c r="N505" t="n">
        <v>9.020061999999999</v>
      </c>
      <c r="O505" t="n">
        <v>2.690278</v>
      </c>
      <c r="P505" t="n">
        <v>3.246403</v>
      </c>
      <c r="Q505" t="n">
        <v>8.829141999999999</v>
      </c>
      <c r="R505" t="n">
        <v>6.216799</v>
      </c>
      <c r="S505" t="n">
        <v>63.54236</v>
      </c>
      <c r="T505" t="n">
        <v>9.841677000000001</v>
      </c>
      <c r="U505" t="n">
        <v>3.069907</v>
      </c>
      <c r="V505" t="n">
        <v>24.38677</v>
      </c>
      <c r="W505" t="n">
        <v>19.08506</v>
      </c>
      <c r="X505" t="n">
        <v>17.17764</v>
      </c>
      <c r="Y505" t="n">
        <v>4.173537</v>
      </c>
      <c r="Z505" t="n">
        <v>3.804427</v>
      </c>
      <c r="AA505" t="n">
        <v/>
      </c>
      <c r="AB505" t="n">
        <v>24.26369</v>
      </c>
      <c r="AC505" t="n">
        <v>0.02703784</v>
      </c>
      <c r="AD505" t="n">
        <v>28.43231</v>
      </c>
      <c r="AE505" t="n">
        <v>6.895753</v>
      </c>
    </row>
    <row r="506">
      <c r="A506" s="87" t="n">
        <v>33970</v>
      </c>
      <c r="B506" t="n">
        <v>13.55731</v>
      </c>
      <c r="C506" t="n">
        <v/>
      </c>
      <c r="D506" t="n">
        <v>24.18113</v>
      </c>
      <c r="E506" t="n">
        <v>39.57313</v>
      </c>
      <c r="F506" t="n">
        <v>6.501351</v>
      </c>
      <c r="G506" t="n">
        <v>2.074899</v>
      </c>
      <c r="H506" t="n">
        <v>3.070401</v>
      </c>
      <c r="I506" t="n">
        <v/>
      </c>
      <c r="J506" t="n">
        <v>16.91379</v>
      </c>
      <c r="K506" t="n">
        <v>25.64733</v>
      </c>
      <c r="L506" t="n">
        <v>32.21136</v>
      </c>
      <c r="M506" t="n">
        <v>20.95636</v>
      </c>
      <c r="N506" t="n">
        <v>9.139037999999999</v>
      </c>
      <c r="O506" t="n">
        <v>2.701066</v>
      </c>
      <c r="P506" t="n">
        <v>3.275181</v>
      </c>
      <c r="Q506" t="n">
        <v>8.854608000000001</v>
      </c>
      <c r="R506" t="n">
        <v>6.425109</v>
      </c>
      <c r="S506" t="n">
        <v>63.58326</v>
      </c>
      <c r="T506" t="n">
        <v>10.01238</v>
      </c>
      <c r="U506" t="n">
        <v>3.143966</v>
      </c>
      <c r="V506" t="n">
        <v>24.62577</v>
      </c>
      <c r="W506" t="n">
        <v>18.96963</v>
      </c>
      <c r="X506" t="n">
        <v>17.26233</v>
      </c>
      <c r="Y506" t="n">
        <v>4.228663</v>
      </c>
      <c r="Z506" t="n">
        <v>3.933639</v>
      </c>
      <c r="AA506" t="n">
        <v/>
      </c>
      <c r="AB506" t="n">
        <v>24.69536</v>
      </c>
      <c r="AC506" t="n">
        <v>0.02821167</v>
      </c>
      <c r="AD506" t="n">
        <v>28.38582</v>
      </c>
      <c r="AE506" t="n">
        <v>6.865025</v>
      </c>
    </row>
    <row r="507">
      <c r="A507" s="87" t="n">
        <v>34001</v>
      </c>
      <c r="B507" t="n">
        <v>13.65537</v>
      </c>
      <c r="C507" t="n">
        <v/>
      </c>
      <c r="D507" t="n">
        <v>24.3174</v>
      </c>
      <c r="E507" t="n">
        <v>39.65813</v>
      </c>
      <c r="F507" t="n">
        <v>6.633216</v>
      </c>
      <c r="G507" t="n">
        <v>2.211827</v>
      </c>
      <c r="H507" t="n">
        <v>3.140606</v>
      </c>
      <c r="I507" t="n">
        <v/>
      </c>
      <c r="J507" t="n">
        <v>16.69964</v>
      </c>
      <c r="K507" t="n">
        <v>25.91966</v>
      </c>
      <c r="L507" t="n">
        <v>32.07701</v>
      </c>
      <c r="M507" t="n">
        <v>21.0272</v>
      </c>
      <c r="N507" t="n">
        <v>9.307501</v>
      </c>
      <c r="O507" t="n">
        <v>2.753246</v>
      </c>
      <c r="P507" t="n">
        <v>3.306375</v>
      </c>
      <c r="Q507" t="n">
        <v>8.875814</v>
      </c>
      <c r="R507" t="n">
        <v>6.576559</v>
      </c>
      <c r="S507" t="n">
        <v>63.72232</v>
      </c>
      <c r="T507" t="n">
        <v>10.18918</v>
      </c>
      <c r="U507" t="n">
        <v>3.225786</v>
      </c>
      <c r="V507" t="n">
        <v>24.45052</v>
      </c>
      <c r="W507" t="n">
        <v>19.03575</v>
      </c>
      <c r="X507" t="n">
        <v>17.34386</v>
      </c>
      <c r="Y507" t="n">
        <v>4.279137</v>
      </c>
      <c r="Z507" t="n">
        <v>4.063238</v>
      </c>
      <c r="AA507" t="n">
        <v/>
      </c>
      <c r="AB507" t="n">
        <v>24.89933</v>
      </c>
      <c r="AC507" t="n">
        <v>0.02948542</v>
      </c>
      <c r="AD507" t="n">
        <v>28.34763</v>
      </c>
      <c r="AE507" t="n">
        <v>6.868108</v>
      </c>
    </row>
    <row r="508">
      <c r="A508" s="87" t="n">
        <v>34029</v>
      </c>
      <c r="B508" t="n">
        <v>13.73662</v>
      </c>
      <c r="C508" t="n">
        <v/>
      </c>
      <c r="D508" t="n">
        <v>24.41769</v>
      </c>
      <c r="E508" t="n">
        <v>39.94354</v>
      </c>
      <c r="F508" t="n">
        <v>6.68051</v>
      </c>
      <c r="G508" t="n">
        <v>2.256151</v>
      </c>
      <c r="H508" t="n">
        <v>3.226225</v>
      </c>
      <c r="I508" t="n">
        <v/>
      </c>
      <c r="J508" t="n">
        <v>16.57203</v>
      </c>
      <c r="K508" t="n">
        <v>26.23442</v>
      </c>
      <c r="L508" t="n">
        <v>32.2961</v>
      </c>
      <c r="M508" t="n">
        <v>21.10253</v>
      </c>
      <c r="N508" t="n">
        <v>9.434514999999999</v>
      </c>
      <c r="O508" t="n">
        <v>2.818631</v>
      </c>
      <c r="P508" t="n">
        <v>3.342468</v>
      </c>
      <c r="Q508" t="n">
        <v>8.860041000000001</v>
      </c>
      <c r="R508" t="n">
        <v>6.688803</v>
      </c>
      <c r="S508" t="n">
        <v>63.61598</v>
      </c>
      <c r="T508" t="n">
        <v>10.35159</v>
      </c>
      <c r="U508" t="n">
        <v>3.283189</v>
      </c>
      <c r="V508" t="n">
        <v>24.39298</v>
      </c>
      <c r="W508" t="n">
        <v>19.03161</v>
      </c>
      <c r="X508" t="n">
        <v>17.40604</v>
      </c>
      <c r="Y508" t="n">
        <v>4.331017</v>
      </c>
      <c r="Z508" t="n">
        <v>4.175943</v>
      </c>
      <c r="AA508" t="n">
        <v/>
      </c>
      <c r="AB508" t="n">
        <v>24.89593</v>
      </c>
      <c r="AC508" t="n">
        <v>0.03076164</v>
      </c>
      <c r="AD508" t="n">
        <v>28.32438</v>
      </c>
      <c r="AE508" t="n">
        <v>6.876754</v>
      </c>
    </row>
    <row r="509">
      <c r="A509" s="87" t="n">
        <v>34060</v>
      </c>
      <c r="B509" t="n">
        <v>13.77584</v>
      </c>
      <c r="C509" t="n">
        <v/>
      </c>
      <c r="D509" t="n">
        <v>24.41061</v>
      </c>
      <c r="E509" t="n">
        <v>40.14318</v>
      </c>
      <c r="F509" t="n">
        <v>6.822307</v>
      </c>
      <c r="G509" t="n">
        <v>2.291844</v>
      </c>
      <c r="H509" t="n">
        <v>3.300793</v>
      </c>
      <c r="I509" t="n">
        <v/>
      </c>
      <c r="J509" t="n">
        <v>16.79645</v>
      </c>
      <c r="K509" t="n">
        <v>26.63787</v>
      </c>
      <c r="L509" t="n">
        <v>32.51075</v>
      </c>
      <c r="M509" t="n">
        <v>21.11681</v>
      </c>
      <c r="N509" t="n">
        <v>9.563814000000001</v>
      </c>
      <c r="O509" t="n">
        <v>2.844302</v>
      </c>
      <c r="P509" t="n">
        <v>3.411236</v>
      </c>
      <c r="Q509" t="n">
        <v>8.862294</v>
      </c>
      <c r="R509" t="n">
        <v>6.793774</v>
      </c>
      <c r="S509" t="n">
        <v>63.86956</v>
      </c>
      <c r="T509" t="n">
        <v>10.50361</v>
      </c>
      <c r="U509" t="n">
        <v>3.357902</v>
      </c>
      <c r="V509" t="n">
        <v>24.4296</v>
      </c>
      <c r="W509" t="n">
        <v>19.11148</v>
      </c>
      <c r="X509" t="n">
        <v>17.48813</v>
      </c>
      <c r="Y509" t="n">
        <v>4.372872</v>
      </c>
      <c r="Z509" t="n">
        <v>4.282169</v>
      </c>
      <c r="AA509" t="n">
        <v/>
      </c>
      <c r="AB509" t="n">
        <v>24.80884</v>
      </c>
      <c r="AC509" t="n">
        <v>0.0319184</v>
      </c>
      <c r="AD509" t="n">
        <v>28.32106</v>
      </c>
      <c r="AE509" t="n">
        <v>6.868587</v>
      </c>
    </row>
    <row r="510">
      <c r="A510" s="87" t="n">
        <v>34090</v>
      </c>
      <c r="B510" t="n">
        <v>13.79545</v>
      </c>
      <c r="C510" t="n">
        <v/>
      </c>
      <c r="D510" t="n">
        <v>24.44012</v>
      </c>
      <c r="E510" t="n">
        <v>40.08601</v>
      </c>
      <c r="F510" t="n">
        <v>6.998036</v>
      </c>
      <c r="G510" t="n">
        <v>2.330029</v>
      </c>
      <c r="H510" t="n">
        <v>3.395738</v>
      </c>
      <c r="I510" t="n">
        <v/>
      </c>
      <c r="J510" t="n">
        <v>17.11181</v>
      </c>
      <c r="K510" t="n">
        <v>26.93382</v>
      </c>
      <c r="L510" t="n">
        <v>32.64515</v>
      </c>
      <c r="M510" t="n">
        <v>21.13141</v>
      </c>
      <c r="N510" t="n">
        <v>9.679881</v>
      </c>
      <c r="O510" t="n">
        <v>2.843684</v>
      </c>
      <c r="P510" t="n">
        <v>3.466968</v>
      </c>
      <c r="Q510" t="n">
        <v>8.869861999999999</v>
      </c>
      <c r="R510" t="n">
        <v>6.842006</v>
      </c>
      <c r="S510" t="n">
        <v>64.1395</v>
      </c>
      <c r="T510" t="n">
        <v>10.64356</v>
      </c>
      <c r="U510" t="n">
        <v>3.436906</v>
      </c>
      <c r="V510" t="n">
        <v>24.53684</v>
      </c>
      <c r="W510" t="n">
        <v>19.34547</v>
      </c>
      <c r="X510" t="n">
        <v>17.64081</v>
      </c>
      <c r="Y510" t="n">
        <v>4.423724</v>
      </c>
      <c r="Z510" t="n">
        <v>4.375011</v>
      </c>
      <c r="AA510" t="n">
        <v/>
      </c>
      <c r="AB510" t="n">
        <v>24.95734</v>
      </c>
      <c r="AC510" t="n">
        <v>0.03336132</v>
      </c>
      <c r="AD510" t="n">
        <v>28.53359</v>
      </c>
      <c r="AE510" t="n">
        <v>6.856938</v>
      </c>
    </row>
    <row r="511">
      <c r="A511" s="87" t="n">
        <v>34121</v>
      </c>
      <c r="B511" t="n">
        <v>13.90472</v>
      </c>
      <c r="C511" t="n">
        <v/>
      </c>
      <c r="D511" t="n">
        <v>24.4836</v>
      </c>
      <c r="E511" t="n">
        <v>40.11584</v>
      </c>
      <c r="F511" t="n">
        <v>7.127446</v>
      </c>
      <c r="G511" t="n">
        <v>2.376665</v>
      </c>
      <c r="H511" t="n">
        <v>3.521723</v>
      </c>
      <c r="I511" t="n">
        <v/>
      </c>
      <c r="J511" t="n">
        <v>17.3861</v>
      </c>
      <c r="K511" t="n">
        <v>27.1652</v>
      </c>
      <c r="L511" t="n">
        <v>32.80605</v>
      </c>
      <c r="M511" t="n">
        <v>21.20287</v>
      </c>
      <c r="N511" t="n">
        <v>9.747598</v>
      </c>
      <c r="O511" t="n">
        <v>2.875759</v>
      </c>
      <c r="P511" t="n">
        <v>3.490485</v>
      </c>
      <c r="Q511" t="n">
        <v>8.937452</v>
      </c>
      <c r="R511" t="n">
        <v>6.92175</v>
      </c>
      <c r="S511" t="n">
        <v>64.27856</v>
      </c>
      <c r="T511" t="n">
        <v>10.79278</v>
      </c>
      <c r="U511" t="n">
        <v>3.520147</v>
      </c>
      <c r="V511" t="n">
        <v>24.64669</v>
      </c>
      <c r="W511" t="n">
        <v>19.53069</v>
      </c>
      <c r="X511" t="n">
        <v>17.73955</v>
      </c>
      <c r="Y511" t="n">
        <v>4.463678</v>
      </c>
      <c r="Z511" t="n">
        <v>4.464827</v>
      </c>
      <c r="AA511" t="n">
        <v/>
      </c>
      <c r="AB511" t="n">
        <v>25.05954</v>
      </c>
      <c r="AC511" t="n">
        <v>0.03426847</v>
      </c>
      <c r="AD511" t="n">
        <v>28.57926</v>
      </c>
      <c r="AE511" t="n">
        <v>6.854609</v>
      </c>
    </row>
    <row r="512">
      <c r="A512" s="87" t="n">
        <v>34151</v>
      </c>
      <c r="B512" t="n">
        <v>14.02519</v>
      </c>
      <c r="C512" t="n">
        <v/>
      </c>
      <c r="D512" t="n">
        <v>24.5522</v>
      </c>
      <c r="E512" t="n">
        <v>40.37743</v>
      </c>
      <c r="F512" t="n">
        <v>7.262348</v>
      </c>
      <c r="G512" t="n">
        <v>2.38158</v>
      </c>
      <c r="H512" t="n">
        <v>3.673419</v>
      </c>
      <c r="I512" t="n">
        <v/>
      </c>
      <c r="J512" t="n">
        <v>17.82321</v>
      </c>
      <c r="K512" t="n">
        <v>27.43218</v>
      </c>
      <c r="L512" t="n">
        <v>32.84085</v>
      </c>
      <c r="M512" t="n">
        <v>21.34262</v>
      </c>
      <c r="N512" t="n">
        <v>9.881237</v>
      </c>
      <c r="O512" t="n">
        <v>2.93056</v>
      </c>
      <c r="P512" t="n">
        <v>3.526952</v>
      </c>
      <c r="Q512" t="n">
        <v>9.141386000000001</v>
      </c>
      <c r="R512" t="n">
        <v>7.069927</v>
      </c>
      <c r="S512" t="n">
        <v>64.27039000000001</v>
      </c>
      <c r="T512" t="n">
        <v>10.97024</v>
      </c>
      <c r="U512" t="n">
        <v>3.598607</v>
      </c>
      <c r="V512" t="n">
        <v>24.7487</v>
      </c>
      <c r="W512" t="n">
        <v>19.99483</v>
      </c>
      <c r="X512" t="n">
        <v>17.82417</v>
      </c>
      <c r="Y512" t="n">
        <v>4.507889</v>
      </c>
      <c r="Z512" t="n">
        <v>4.55884</v>
      </c>
      <c r="AA512" t="n">
        <v/>
      </c>
      <c r="AB512" t="n">
        <v>25.21445</v>
      </c>
      <c r="AC512" t="n">
        <v>0.03497266</v>
      </c>
      <c r="AD512" t="n">
        <v>28.57594</v>
      </c>
      <c r="AE512" t="n">
        <v>6.868515</v>
      </c>
    </row>
    <row r="513">
      <c r="A513" s="87" t="n">
        <v>34182</v>
      </c>
      <c r="B513" t="n">
        <v>14.0364</v>
      </c>
      <c r="C513" t="n">
        <v/>
      </c>
      <c r="D513" t="n">
        <v>24.55509</v>
      </c>
      <c r="E513" t="n">
        <v>40.65794</v>
      </c>
      <c r="F513" t="n">
        <v>7.391126</v>
      </c>
      <c r="G513" t="n">
        <v>2.391276</v>
      </c>
      <c r="H513" t="n">
        <v>3.809671</v>
      </c>
      <c r="I513" t="n">
        <v/>
      </c>
      <c r="J513" t="n">
        <v>18.26032</v>
      </c>
      <c r="K513" t="n">
        <v>27.75802</v>
      </c>
      <c r="L513" t="n">
        <v>32.80367</v>
      </c>
      <c r="M513" t="n">
        <v>21.45704</v>
      </c>
      <c r="N513" t="n">
        <v>9.994699000000001</v>
      </c>
      <c r="O513" t="n">
        <v>3.009543</v>
      </c>
      <c r="P513" t="n">
        <v>3.577121</v>
      </c>
      <c r="Q513" t="n">
        <v>9.220406000000001</v>
      </c>
      <c r="R513" t="n">
        <v>7.215398</v>
      </c>
      <c r="S513" t="n">
        <v>64.40945000000001</v>
      </c>
      <c r="T513" t="n">
        <v>11.15917</v>
      </c>
      <c r="U513" t="n">
        <v>3.652821</v>
      </c>
      <c r="V513" t="n">
        <v>24.80101</v>
      </c>
      <c r="W513" t="n">
        <v>20.28486</v>
      </c>
      <c r="X513" t="n">
        <v>17.92665</v>
      </c>
      <c r="Y513" t="n">
        <v>4.575682</v>
      </c>
      <c r="Z513" t="n">
        <v>4.695856</v>
      </c>
      <c r="AA513" t="n">
        <v/>
      </c>
      <c r="AB513" t="n">
        <v>25.46311</v>
      </c>
      <c r="AC513" t="n">
        <v>0.03648539</v>
      </c>
      <c r="AD513" t="n">
        <v>28.60665</v>
      </c>
      <c r="AE513" t="n">
        <v>6.964565</v>
      </c>
    </row>
    <row r="514">
      <c r="A514" s="87" t="n">
        <v>34213</v>
      </c>
      <c r="B514" t="n">
        <v>14.07282</v>
      </c>
      <c r="C514" t="n">
        <v/>
      </c>
      <c r="D514" t="n">
        <v>24.65911</v>
      </c>
      <c r="E514" t="n">
        <v>40.80544</v>
      </c>
      <c r="F514" t="n">
        <v>7.53058</v>
      </c>
      <c r="G514" t="n">
        <v>2.44537</v>
      </c>
      <c r="H514" t="n">
        <v>3.906927</v>
      </c>
      <c r="I514" t="n">
        <v/>
      </c>
      <c r="J514" t="n">
        <v>18.45247</v>
      </c>
      <c r="K514" t="n">
        <v>28.19883</v>
      </c>
      <c r="L514" t="n">
        <v>32.84391</v>
      </c>
      <c r="M514" t="n">
        <v>21.50582</v>
      </c>
      <c r="N514" t="n">
        <v>10.0926</v>
      </c>
      <c r="O514" t="n">
        <v>3.087968</v>
      </c>
      <c r="P514" t="n">
        <v>3.615468</v>
      </c>
      <c r="Q514" t="n">
        <v>9.144838</v>
      </c>
      <c r="R514" t="n">
        <v>7.361906</v>
      </c>
      <c r="S514" t="n">
        <v>64.40945000000001</v>
      </c>
      <c r="T514" t="n">
        <v>11.37181</v>
      </c>
      <c r="U514" t="n">
        <v>3.714485</v>
      </c>
      <c r="V514" t="n">
        <v>24.7827</v>
      </c>
      <c r="W514" t="n">
        <v>20.16297</v>
      </c>
      <c r="X514" t="n">
        <v>18.02483</v>
      </c>
      <c r="Y514" t="n">
        <v>4.633021</v>
      </c>
      <c r="Z514" t="n">
        <v>4.82113</v>
      </c>
      <c r="AA514" t="n">
        <v/>
      </c>
      <c r="AB514" t="n">
        <v>25.51521</v>
      </c>
      <c r="AC514" t="n">
        <v>0.03800163</v>
      </c>
      <c r="AD514" t="n">
        <v>28.66062</v>
      </c>
      <c r="AE514" t="n">
        <v>7.072468</v>
      </c>
    </row>
    <row r="515">
      <c r="A515" s="87" t="n">
        <v>34243</v>
      </c>
      <c r="B515" t="n">
        <v>14.16528</v>
      </c>
      <c r="C515" t="n">
        <v/>
      </c>
      <c r="D515" t="n">
        <v>24.76658</v>
      </c>
      <c r="E515" t="n">
        <v>41.05665</v>
      </c>
      <c r="F515" t="n">
        <v>7.692958</v>
      </c>
      <c r="G515" t="n">
        <v>2.523816</v>
      </c>
      <c r="H515" t="n">
        <v>4.022396</v>
      </c>
      <c r="I515" t="n">
        <v/>
      </c>
      <c r="J515" t="n">
        <v>18.54488</v>
      </c>
      <c r="K515" t="n">
        <v>28.64165</v>
      </c>
      <c r="L515" t="n">
        <v>33.02143</v>
      </c>
      <c r="M515" t="n">
        <v>21.60681</v>
      </c>
      <c r="N515" t="n">
        <v>10.19187</v>
      </c>
      <c r="O515" t="n">
        <v>3.138422</v>
      </c>
      <c r="P515" t="n">
        <v>3.646096</v>
      </c>
      <c r="Q515" t="n">
        <v>9.119567</v>
      </c>
      <c r="R515" t="n">
        <v>7.567844</v>
      </c>
      <c r="S515" t="n">
        <v>64.52396</v>
      </c>
      <c r="T515" t="n">
        <v>11.49145</v>
      </c>
      <c r="U515" t="n">
        <v>3.769654</v>
      </c>
      <c r="V515" t="n">
        <v>24.72516</v>
      </c>
      <c r="W515" t="n">
        <v>20.18353</v>
      </c>
      <c r="X515" t="n">
        <v>18.12996</v>
      </c>
      <c r="Y515" t="n">
        <v>4.701818</v>
      </c>
      <c r="Z515" t="n">
        <v>4.930014</v>
      </c>
      <c r="AA515" t="n">
        <v/>
      </c>
      <c r="AB515" t="n">
        <v>25.64697</v>
      </c>
      <c r="AC515" t="n">
        <v>0.03966008</v>
      </c>
      <c r="AD515" t="n">
        <v>28.69798</v>
      </c>
      <c r="AE515" t="n">
        <v>7.151015</v>
      </c>
    </row>
    <row r="516">
      <c r="A516" s="87" t="n">
        <v>34274</v>
      </c>
      <c r="B516" t="n">
        <v>14.23252</v>
      </c>
      <c r="C516" t="n">
        <v/>
      </c>
      <c r="D516" t="n">
        <v>24.73675</v>
      </c>
      <c r="E516" t="n">
        <v>41.35827</v>
      </c>
      <c r="F516" t="n">
        <v>7.829247</v>
      </c>
      <c r="G516" t="n">
        <v>2.605726</v>
      </c>
      <c r="H516" t="n">
        <v>4.176875</v>
      </c>
      <c r="I516" t="n">
        <v/>
      </c>
      <c r="J516" t="n">
        <v>18.84411</v>
      </c>
      <c r="K516" t="n">
        <v>28.92183</v>
      </c>
      <c r="L516" t="n">
        <v>33.29352</v>
      </c>
      <c r="M516" t="n">
        <v>21.77091</v>
      </c>
      <c r="N516" t="n">
        <v>10.26205</v>
      </c>
      <c r="O516" t="n">
        <v>3.190482</v>
      </c>
      <c r="P516" t="n">
        <v>3.698002</v>
      </c>
      <c r="Q516" t="n">
        <v>9.179973</v>
      </c>
      <c r="R516" t="n">
        <v>7.869101</v>
      </c>
      <c r="S516" t="n">
        <v>64.46671000000001</v>
      </c>
      <c r="T516" t="n">
        <v>11.59835</v>
      </c>
      <c r="U516" t="n">
        <v>3.783435</v>
      </c>
      <c r="V516" t="n">
        <v>24.70162</v>
      </c>
      <c r="W516" t="n">
        <v>20.31519</v>
      </c>
      <c r="X516" t="n">
        <v>18.24241</v>
      </c>
      <c r="Y516" t="n">
        <v>4.786939</v>
      </c>
      <c r="Z516" t="n">
        <v>5.053929</v>
      </c>
      <c r="AA516" t="n">
        <v/>
      </c>
      <c r="AB516" t="n">
        <v>25.73375</v>
      </c>
      <c r="AC516" t="n">
        <v>0.04168316</v>
      </c>
      <c r="AD516" t="n">
        <v>28.80923</v>
      </c>
      <c r="AE516" t="n">
        <v>7.262046</v>
      </c>
    </row>
    <row r="517">
      <c r="A517" s="87" t="n">
        <v>34304</v>
      </c>
      <c r="B517" t="n">
        <v>14.29415</v>
      </c>
      <c r="C517" t="n">
        <v/>
      </c>
      <c r="D517" t="n">
        <v>24.79899</v>
      </c>
      <c r="E517" t="n">
        <v>41.52155</v>
      </c>
      <c r="F517" t="n">
        <v>7.971923</v>
      </c>
      <c r="G517" t="n">
        <v>2.6642</v>
      </c>
      <c r="H517" t="n">
        <v>4.319403</v>
      </c>
      <c r="I517" t="n">
        <v/>
      </c>
      <c r="J517" t="n">
        <v>19.36483</v>
      </c>
      <c r="K517" t="n">
        <v>29.07011</v>
      </c>
      <c r="L517" t="n">
        <v>33.94279</v>
      </c>
      <c r="M517" t="n">
        <v>21.94063</v>
      </c>
      <c r="N517" t="n">
        <v>10.39146</v>
      </c>
      <c r="O517" t="n">
        <v>3.248032</v>
      </c>
      <c r="P517" t="n">
        <v>3.765539</v>
      </c>
      <c r="Q517" t="n">
        <v>9.312113999999999</v>
      </c>
      <c r="R517" t="n">
        <v>8.126491</v>
      </c>
      <c r="S517" t="n">
        <v>64.54031999999999</v>
      </c>
      <c r="T517" t="n">
        <v>11.75858</v>
      </c>
      <c r="U517" t="n">
        <v>3.844779</v>
      </c>
      <c r="V517" t="n">
        <v>24.631</v>
      </c>
      <c r="W517" t="n">
        <v>20.45062</v>
      </c>
      <c r="X517" t="n">
        <v>18.35277</v>
      </c>
      <c r="Y517" t="n">
        <v>4.860559</v>
      </c>
      <c r="Z517" t="n">
        <v>5.180573</v>
      </c>
      <c r="AA517" t="n">
        <v/>
      </c>
      <c r="AB517" t="n">
        <v>25.71045</v>
      </c>
      <c r="AC517" t="n">
        <v>0.0434639</v>
      </c>
      <c r="AD517" t="n">
        <v>28.84575</v>
      </c>
      <c r="AE517" t="n">
        <v>7.332573</v>
      </c>
    </row>
    <row r="518">
      <c r="A518" s="87" t="n">
        <v>34335</v>
      </c>
      <c r="B518" t="n">
        <v>14.40622</v>
      </c>
      <c r="C518" t="n">
        <v/>
      </c>
      <c r="D518" t="n">
        <v>24.96447</v>
      </c>
      <c r="E518" t="n">
        <v>41.76244</v>
      </c>
      <c r="F518" t="n">
        <v>8.117302</v>
      </c>
      <c r="G518" t="n">
        <v>2.720741</v>
      </c>
      <c r="H518" t="n">
        <v>4.476171</v>
      </c>
      <c r="I518" t="n">
        <v/>
      </c>
      <c r="J518" t="n">
        <v>19.84448</v>
      </c>
      <c r="K518" t="n">
        <v>29.66182</v>
      </c>
      <c r="L518" t="n">
        <v>34.27484</v>
      </c>
      <c r="M518" t="n">
        <v>22.06268</v>
      </c>
      <c r="N518" t="n">
        <v>10.51908</v>
      </c>
      <c r="O518" t="n">
        <v>3.306293</v>
      </c>
      <c r="P518" t="n">
        <v>3.836406</v>
      </c>
      <c r="Q518" t="n">
        <v>9.396003</v>
      </c>
      <c r="R518" t="n">
        <v>8.250583000000001</v>
      </c>
      <c r="S518" t="n">
        <v>64.61395</v>
      </c>
      <c r="T518" t="n">
        <v>11.91754</v>
      </c>
      <c r="U518" t="n">
        <v>3.94185</v>
      </c>
      <c r="V518" t="n">
        <v>24.65977</v>
      </c>
      <c r="W518" t="n">
        <v>20.23956</v>
      </c>
      <c r="X518" t="n">
        <v>18.49328</v>
      </c>
      <c r="Y518" t="n">
        <v>4.97362</v>
      </c>
      <c r="Z518" t="n">
        <v>5.32178</v>
      </c>
      <c r="AA518" t="n">
        <v/>
      </c>
      <c r="AB518" t="n">
        <v>25.92902</v>
      </c>
      <c r="AC518" t="n">
        <v>0.04638773</v>
      </c>
      <c r="AD518" t="n">
        <v>28.84908</v>
      </c>
      <c r="AE518" t="n">
        <v>7.422632</v>
      </c>
    </row>
    <row r="519">
      <c r="A519" s="87" t="n">
        <v>34366</v>
      </c>
      <c r="B519" t="n">
        <v>14.52389</v>
      </c>
      <c r="C519" t="n">
        <v/>
      </c>
      <c r="D519" t="n">
        <v>24.93309</v>
      </c>
      <c r="E519" t="n">
        <v>42.16406</v>
      </c>
      <c r="F519" t="n">
        <v>8.245856</v>
      </c>
      <c r="G519" t="n">
        <v>2.778686</v>
      </c>
      <c r="H519" t="n">
        <v>4.628323</v>
      </c>
      <c r="I519" t="n">
        <v/>
      </c>
      <c r="J519" t="n">
        <v>20.21705</v>
      </c>
      <c r="K519" t="n">
        <v>30.09851</v>
      </c>
      <c r="L519" t="n">
        <v>34.09097</v>
      </c>
      <c r="M519" t="n">
        <v>22.18186</v>
      </c>
      <c r="N519" t="n">
        <v>10.61078</v>
      </c>
      <c r="O519" t="n">
        <v>3.404782</v>
      </c>
      <c r="P519" t="n">
        <v>3.905887</v>
      </c>
      <c r="Q519" t="n">
        <v>9.383606</v>
      </c>
      <c r="R519" t="n">
        <v>8.442653</v>
      </c>
      <c r="S519" t="n">
        <v>64.70393</v>
      </c>
      <c r="T519" t="n">
        <v>12.14842</v>
      </c>
      <c r="U519" t="n">
        <v>4.043735</v>
      </c>
      <c r="V519" t="n">
        <v>24.69116</v>
      </c>
      <c r="W519" t="n">
        <v>20.24284</v>
      </c>
      <c r="X519" t="n">
        <v>18.62355</v>
      </c>
      <c r="Y519" t="n">
        <v>5.090344</v>
      </c>
      <c r="Z519" t="n">
        <v>5.479477</v>
      </c>
      <c r="AA519" t="n">
        <v/>
      </c>
      <c r="AB519" t="n">
        <v>26.18668</v>
      </c>
      <c r="AC519" t="n">
        <v>0.0503257</v>
      </c>
      <c r="AD519" t="n">
        <v>28.85572</v>
      </c>
      <c r="AE519" t="n">
        <v>7.577426</v>
      </c>
    </row>
    <row r="520">
      <c r="A520" s="87" t="n">
        <v>34394</v>
      </c>
      <c r="B520" t="n">
        <v>14.65277</v>
      </c>
      <c r="C520" t="n">
        <v/>
      </c>
      <c r="D520" t="n">
        <v>24.92435</v>
      </c>
      <c r="E520" t="n">
        <v>42.377</v>
      </c>
      <c r="F520" t="n">
        <v>8.37176</v>
      </c>
      <c r="G520" t="n">
        <v>2.835952</v>
      </c>
      <c r="H520" t="n">
        <v>4.747763</v>
      </c>
      <c r="I520" t="n">
        <v/>
      </c>
      <c r="J520" t="n">
        <v>20.49574</v>
      </c>
      <c r="K520" t="n">
        <v>29.87989</v>
      </c>
      <c r="L520" t="n">
        <v>34.15069</v>
      </c>
      <c r="M520" t="n">
        <v>22.32742</v>
      </c>
      <c r="N520" t="n">
        <v>10.72465</v>
      </c>
      <c r="O520" t="n">
        <v>3.459284</v>
      </c>
      <c r="P520" t="n">
        <v>3.960797</v>
      </c>
      <c r="Q520" t="n">
        <v>9.502678</v>
      </c>
      <c r="R520" t="n">
        <v>8.844893000000001</v>
      </c>
      <c r="S520" t="n">
        <v>64.86752</v>
      </c>
      <c r="T520" t="n">
        <v>12.4085</v>
      </c>
      <c r="U520" t="n">
        <v>4.123775</v>
      </c>
      <c r="V520" t="n">
        <v>24.95533</v>
      </c>
      <c r="W520" t="n">
        <v>20.84425</v>
      </c>
      <c r="X520" t="n">
        <v>18.74994</v>
      </c>
      <c r="Y520" t="n">
        <v>5.180345</v>
      </c>
      <c r="Z520" t="n">
        <v>5.623997</v>
      </c>
      <c r="AA520" t="n">
        <v/>
      </c>
      <c r="AB520" t="n">
        <v>26.31109</v>
      </c>
      <c r="AC520" t="n">
        <v>0.0532868</v>
      </c>
      <c r="AD520" t="n">
        <v>28.89225</v>
      </c>
      <c r="AE520" t="n">
        <v>7.674795</v>
      </c>
    </row>
    <row r="521">
      <c r="A521" s="87" t="n">
        <v>34425</v>
      </c>
      <c r="B521" t="n">
        <v>14.79005</v>
      </c>
      <c r="C521" t="n">
        <v/>
      </c>
      <c r="D521" t="n">
        <v>25.14571</v>
      </c>
      <c r="E521" t="n">
        <v>42.42495</v>
      </c>
      <c r="F521" t="n">
        <v>8.460214000000001</v>
      </c>
      <c r="G521" t="n">
        <v>2.928112</v>
      </c>
      <c r="H521" t="n">
        <v>4.888101</v>
      </c>
      <c r="I521" t="n">
        <v/>
      </c>
      <c r="J521" t="n">
        <v>20.80084</v>
      </c>
      <c r="K521" t="n">
        <v>29.78154</v>
      </c>
      <c r="L521" t="n">
        <v>34.26827</v>
      </c>
      <c r="M521" t="n">
        <v>22.365</v>
      </c>
      <c r="N521" t="n">
        <v>10.89153</v>
      </c>
      <c r="O521" t="n">
        <v>3.476745</v>
      </c>
      <c r="P521" t="n">
        <v>4.026421</v>
      </c>
      <c r="Q521" t="n">
        <v>9.546569999999999</v>
      </c>
      <c r="R521" t="n">
        <v>9.041506</v>
      </c>
      <c r="S521" t="n">
        <v>65.17019000000001</v>
      </c>
      <c r="T521" t="n">
        <v>12.63951</v>
      </c>
      <c r="U521" t="n">
        <v>4.072993</v>
      </c>
      <c r="V521" t="n">
        <v>25.19858</v>
      </c>
      <c r="W521" t="n">
        <v>21.06191</v>
      </c>
      <c r="X521" t="n">
        <v>18.89487</v>
      </c>
      <c r="Y521" t="n">
        <v>5.359723</v>
      </c>
      <c r="Z521" t="n">
        <v>5.729115</v>
      </c>
      <c r="AA521" t="n">
        <v/>
      </c>
      <c r="AB521" t="n">
        <v>26.48783</v>
      </c>
      <c r="AC521" t="n">
        <v>0.06067128</v>
      </c>
      <c r="AD521" t="n">
        <v>28.90221</v>
      </c>
      <c r="AE521" t="n">
        <v>7.74404</v>
      </c>
    </row>
    <row r="522">
      <c r="A522" s="87" t="n">
        <v>34455</v>
      </c>
      <c r="B522" t="n">
        <v>14.89371</v>
      </c>
      <c r="C522" t="n">
        <v/>
      </c>
      <c r="D522" t="n">
        <v>25.23597</v>
      </c>
      <c r="E522" t="n">
        <v>42.49634</v>
      </c>
      <c r="F522" t="n">
        <v>8.552633999999999</v>
      </c>
      <c r="G522" t="n">
        <v>3.023266</v>
      </c>
      <c r="H522" t="n">
        <v>5.068732</v>
      </c>
      <c r="I522" t="n">
        <v/>
      </c>
      <c r="J522" t="n">
        <v>21.24382</v>
      </c>
      <c r="K522" t="n">
        <v>29.62704</v>
      </c>
      <c r="L522" t="n">
        <v>34.29366</v>
      </c>
      <c r="M522" t="n">
        <v>22.43802</v>
      </c>
      <c r="N522" t="n">
        <v>11.04281</v>
      </c>
      <c r="O522" t="n">
        <v>3.518213</v>
      </c>
      <c r="P522" t="n">
        <v>4.093244</v>
      </c>
      <c r="Q522" t="n">
        <v>9.437055000000001</v>
      </c>
      <c r="R522" t="n">
        <v>9.076278</v>
      </c>
      <c r="S522" t="n">
        <v>65.22745</v>
      </c>
      <c r="T522" t="n">
        <v>12.89973</v>
      </c>
      <c r="U522" t="n">
        <v>4.054078</v>
      </c>
      <c r="V522" t="n">
        <v>25.24043</v>
      </c>
      <c r="W522" t="n">
        <v>21.03008</v>
      </c>
      <c r="X522" t="n">
        <v>19.06933</v>
      </c>
      <c r="Y522" t="n">
        <v>5.569676</v>
      </c>
      <c r="Z522" t="n">
        <v>5.853855</v>
      </c>
      <c r="AA522" t="n">
        <v/>
      </c>
      <c r="AB522" t="n">
        <v>26.57979</v>
      </c>
      <c r="AC522" t="n">
        <v>0.06939333</v>
      </c>
      <c r="AD522" t="n">
        <v>28.98108</v>
      </c>
      <c r="AE522" t="n">
        <v>7.865991</v>
      </c>
    </row>
    <row r="523">
      <c r="A523" s="87" t="n">
        <v>34486</v>
      </c>
      <c r="B523" t="n">
        <v>14.97776</v>
      </c>
      <c r="C523" t="n">
        <v/>
      </c>
      <c r="D523" t="n">
        <v>25.43205</v>
      </c>
      <c r="E523" t="n">
        <v>42.56604</v>
      </c>
      <c r="F523" t="n">
        <v>8.653027</v>
      </c>
      <c r="G523" t="n">
        <v>3.083249</v>
      </c>
      <c r="H523" t="n">
        <v>5.21528</v>
      </c>
      <c r="I523" t="n">
        <v/>
      </c>
      <c r="J523" t="n">
        <v>21.53424</v>
      </c>
      <c r="K523" t="n">
        <v>29.34226</v>
      </c>
      <c r="L523" t="n">
        <v>34.35928</v>
      </c>
      <c r="M523" t="n">
        <v>22.52264</v>
      </c>
      <c r="N523" t="n">
        <v>11.18486</v>
      </c>
      <c r="O523" t="n">
        <v>3.540255</v>
      </c>
      <c r="P523" t="n">
        <v>4.142064</v>
      </c>
      <c r="Q523" t="n">
        <v>9.433172000000001</v>
      </c>
      <c r="R523" t="n">
        <v>9.297048</v>
      </c>
      <c r="S523" t="n">
        <v>65.26835</v>
      </c>
      <c r="T523" t="n">
        <v>13.19137</v>
      </c>
      <c r="U523" t="n">
        <v>4.137399</v>
      </c>
      <c r="V523" t="n">
        <v>25.4863</v>
      </c>
      <c r="W523" t="n">
        <v>21.17017</v>
      </c>
      <c r="X523" t="n">
        <v>19.20116</v>
      </c>
      <c r="Y523" t="n">
        <v>5.739293</v>
      </c>
      <c r="Z523" t="n">
        <v>6.01997</v>
      </c>
      <c r="AA523" t="n">
        <v/>
      </c>
      <c r="AB523" t="n">
        <v>26.6215</v>
      </c>
      <c r="AC523" t="n">
        <v>0.07627742</v>
      </c>
      <c r="AD523" t="n">
        <v>28.88727</v>
      </c>
      <c r="AE523" t="n">
        <v>7.90074</v>
      </c>
    </row>
    <row r="524">
      <c r="A524" s="87" t="n">
        <v>34516</v>
      </c>
      <c r="B524" t="n">
        <v>15.0422</v>
      </c>
      <c r="C524" t="n">
        <v/>
      </c>
      <c r="D524" t="n">
        <v>25.62828</v>
      </c>
      <c r="E524" t="n">
        <v>42.56646</v>
      </c>
      <c r="F524" t="n">
        <v>8.771359</v>
      </c>
      <c r="G524" t="n">
        <v>3.174273</v>
      </c>
      <c r="H524" t="n">
        <v>5.348276</v>
      </c>
      <c r="I524" t="n">
        <v/>
      </c>
      <c r="J524" t="n">
        <v>21.77333</v>
      </c>
      <c r="K524" t="n">
        <v>29.29763</v>
      </c>
      <c r="L524" t="n">
        <v>34.43635</v>
      </c>
      <c r="M524" t="n">
        <v>22.52893</v>
      </c>
      <c r="N524" t="n">
        <v>11.27481</v>
      </c>
      <c r="O524" t="n">
        <v>3.572779</v>
      </c>
      <c r="P524" t="n">
        <v>4.208702</v>
      </c>
      <c r="Q524" t="n">
        <v>9.449413</v>
      </c>
      <c r="R524" t="n">
        <v>9.503489</v>
      </c>
      <c r="S524" t="n">
        <v>65.59555</v>
      </c>
      <c r="T524" t="n">
        <v>13.45387</v>
      </c>
      <c r="U524" t="n">
        <v>4.22351</v>
      </c>
      <c r="V524" t="n">
        <v>25.60138</v>
      </c>
      <c r="W524" t="n">
        <v>21.27758</v>
      </c>
      <c r="X524" t="n">
        <v>19.40659</v>
      </c>
      <c r="Y524" t="n">
        <v>5.926256</v>
      </c>
      <c r="Z524" t="n">
        <v>6.207737</v>
      </c>
      <c r="AA524" t="n">
        <v/>
      </c>
      <c r="AB524" t="n">
        <v>26.76819</v>
      </c>
      <c r="AC524" t="n">
        <v>0.08423426000000001</v>
      </c>
      <c r="AD524" t="n">
        <v>28.95949</v>
      </c>
      <c r="AE524" t="n">
        <v>7.940683</v>
      </c>
    </row>
    <row r="525">
      <c r="A525" s="87" t="n">
        <v>34547</v>
      </c>
      <c r="B525" t="n">
        <v>15.14306</v>
      </c>
      <c r="C525" t="n">
        <v>2.731764</v>
      </c>
      <c r="D525" t="n">
        <v>25.81309</v>
      </c>
      <c r="E525" t="n">
        <v>42.51736</v>
      </c>
      <c r="F525" t="n">
        <v>8.935891</v>
      </c>
      <c r="G525" t="n">
        <v>3.272449</v>
      </c>
      <c r="H525" t="n">
        <v>5.51418</v>
      </c>
      <c r="I525" t="n">
        <v/>
      </c>
      <c r="J525" t="n">
        <v>22.00949</v>
      </c>
      <c r="K525" t="n">
        <v>29.14133</v>
      </c>
      <c r="L525" t="n">
        <v>34.32075</v>
      </c>
      <c r="M525" t="n">
        <v>22.586</v>
      </c>
      <c r="N525" t="n">
        <v>11.39006</v>
      </c>
      <c r="O525" t="n">
        <v>3.630134</v>
      </c>
      <c r="P525" t="n">
        <v>4.264457</v>
      </c>
      <c r="Q525" t="n">
        <v>9.451738000000001</v>
      </c>
      <c r="R525" t="n">
        <v>9.721664000000001</v>
      </c>
      <c r="S525" t="n">
        <v>65.71007</v>
      </c>
      <c r="T525" t="n">
        <v>13.66969</v>
      </c>
      <c r="U525" t="n">
        <v>4.327377</v>
      </c>
      <c r="V525" t="n">
        <v>25.60661</v>
      </c>
      <c r="W525" t="n">
        <v>21.37614</v>
      </c>
      <c r="X525" t="n">
        <v>19.54376</v>
      </c>
      <c r="Y525" t="n">
        <v>6.052815</v>
      </c>
      <c r="Z525" t="n">
        <v>6.384131</v>
      </c>
      <c r="AA525" t="n">
        <v/>
      </c>
      <c r="AB525" t="n">
        <v>26.5773</v>
      </c>
      <c r="AC525" t="n">
        <v>0.08966684</v>
      </c>
      <c r="AD525" t="n">
        <v>28.93874</v>
      </c>
      <c r="AE525" t="n">
        <v>8.064133999999999</v>
      </c>
    </row>
    <row r="526">
      <c r="A526" s="87" t="n">
        <v>34578</v>
      </c>
      <c r="B526" t="n">
        <v>15.2019</v>
      </c>
      <c r="C526" t="n">
        <v>2.874224</v>
      </c>
      <c r="D526" t="n">
        <v>25.89425</v>
      </c>
      <c r="E526" t="n">
        <v>42.62466</v>
      </c>
      <c r="F526" t="n">
        <v>9.110007</v>
      </c>
      <c r="G526" t="n">
        <v>3.345148</v>
      </c>
      <c r="H526" t="n">
        <v>5.684241</v>
      </c>
      <c r="I526" t="n">
        <v/>
      </c>
      <c r="J526" t="n">
        <v>22.16497</v>
      </c>
      <c r="K526" t="n">
        <v>28.79664</v>
      </c>
      <c r="L526" t="n">
        <v>34.19672</v>
      </c>
      <c r="M526" t="n">
        <v>22.70069</v>
      </c>
      <c r="N526" t="n">
        <v>11.53669</v>
      </c>
      <c r="O526" t="n">
        <v>3.699441</v>
      </c>
      <c r="P526" t="n">
        <v>4.337437</v>
      </c>
      <c r="Q526" t="n">
        <v>9.486117</v>
      </c>
      <c r="R526" t="n">
        <v>9.902376</v>
      </c>
      <c r="S526" t="n">
        <v>65.98000999999999</v>
      </c>
      <c r="T526" t="n">
        <v>13.88356</v>
      </c>
      <c r="U526" t="n">
        <v>4.437713</v>
      </c>
      <c r="V526" t="n">
        <v>25.75047</v>
      </c>
      <c r="W526" t="n">
        <v>21.47886</v>
      </c>
      <c r="X526" t="n">
        <v>19.68894</v>
      </c>
      <c r="Y526" t="n">
        <v>6.171366</v>
      </c>
      <c r="Z526" t="n">
        <v>6.552513</v>
      </c>
      <c r="AA526" t="n">
        <v/>
      </c>
      <c r="AB526" t="n">
        <v>26.41147</v>
      </c>
      <c r="AC526" t="n">
        <v>0.09437674</v>
      </c>
      <c r="AD526" t="n">
        <v>28.94206</v>
      </c>
      <c r="AE526" t="n">
        <v>8.107493</v>
      </c>
    </row>
    <row r="527">
      <c r="A527" s="87" t="n">
        <v>34608</v>
      </c>
      <c r="B527" t="n">
        <v>15.29995</v>
      </c>
      <c r="C527" t="n">
        <v>3.011426</v>
      </c>
      <c r="D527" t="n">
        <v>25.91845</v>
      </c>
      <c r="E527" t="n">
        <v>42.76406</v>
      </c>
      <c r="F527" t="n">
        <v>9.345655000000001</v>
      </c>
      <c r="G527" t="n">
        <v>3.424112</v>
      </c>
      <c r="H527" t="n">
        <v>5.849631</v>
      </c>
      <c r="I527" t="n">
        <v/>
      </c>
      <c r="J527" t="n">
        <v>22.38793</v>
      </c>
      <c r="K527" t="n">
        <v>28.59555</v>
      </c>
      <c r="L527" t="n">
        <v>34.25485</v>
      </c>
      <c r="M527" t="n">
        <v>22.77069</v>
      </c>
      <c r="N527" t="n">
        <v>11.66618</v>
      </c>
      <c r="O527" t="n">
        <v>3.757281</v>
      </c>
      <c r="P527" t="n">
        <v>4.435031</v>
      </c>
      <c r="Q527" t="n">
        <v>9.530014</v>
      </c>
      <c r="R527" t="n">
        <v>10.01368</v>
      </c>
      <c r="S527" t="n">
        <v>66.10271</v>
      </c>
      <c r="T527" t="n">
        <v>14.13598</v>
      </c>
      <c r="U527" t="n">
        <v>4.515057</v>
      </c>
      <c r="V527" t="n">
        <v>25.78447</v>
      </c>
      <c r="W527" t="n">
        <v>21.58343</v>
      </c>
      <c r="X527" t="n">
        <v>19.82316</v>
      </c>
      <c r="Y527" t="n">
        <v>6.30782</v>
      </c>
      <c r="Z527" t="n">
        <v>6.667527</v>
      </c>
      <c r="AA527" t="n">
        <v/>
      </c>
      <c r="AB527" t="n">
        <v>26.42907</v>
      </c>
      <c r="AC527" t="n">
        <v>0.09994664</v>
      </c>
      <c r="AD527" t="n">
        <v>28.92712</v>
      </c>
      <c r="AE527" t="n">
        <v>8.18741</v>
      </c>
    </row>
    <row r="528">
      <c r="A528" s="87" t="n">
        <v>34639</v>
      </c>
      <c r="B528" t="n">
        <v>15.49047</v>
      </c>
      <c r="C528" t="n">
        <v>3.132388</v>
      </c>
      <c r="D528" t="n">
        <v>25.97733</v>
      </c>
      <c r="E528" t="n">
        <v>42.91057</v>
      </c>
      <c r="F528" t="n">
        <v>9.522462000000001</v>
      </c>
      <c r="G528" t="n">
        <v>3.506343</v>
      </c>
      <c r="H528" t="n">
        <v>6.007671</v>
      </c>
      <c r="I528" t="n">
        <v/>
      </c>
      <c r="J528" t="n">
        <v>22.79864</v>
      </c>
      <c r="K528" t="n">
        <v>28.52394</v>
      </c>
      <c r="L528" t="n">
        <v>34.41824</v>
      </c>
      <c r="M528" t="n">
        <v>22.87184</v>
      </c>
      <c r="N528" t="n">
        <v>11.86819</v>
      </c>
      <c r="O528" t="n">
        <v>3.814572</v>
      </c>
      <c r="P528" t="n">
        <v>4.49903</v>
      </c>
      <c r="Q528" t="n">
        <v>9.559862000000001</v>
      </c>
      <c r="R528" t="n">
        <v>10.15332</v>
      </c>
      <c r="S528" t="n">
        <v>66.19269</v>
      </c>
      <c r="T528" t="n">
        <v>14.35733</v>
      </c>
      <c r="U528" t="n">
        <v>4.539572</v>
      </c>
      <c r="V528" t="n">
        <v>25.81063</v>
      </c>
      <c r="W528" t="n">
        <v>21.71699</v>
      </c>
      <c r="X528" t="n">
        <v>19.94624</v>
      </c>
      <c r="Y528" t="n">
        <v>6.430643</v>
      </c>
      <c r="Z528" t="n">
        <v>6.815454</v>
      </c>
      <c r="AA528" t="n">
        <v/>
      </c>
      <c r="AB528" t="n">
        <v>26.35691</v>
      </c>
      <c r="AC528" t="n">
        <v>0.1047817</v>
      </c>
      <c r="AD528" t="n">
        <v>28.95119</v>
      </c>
      <c r="AE528" t="n">
        <v>8.335099</v>
      </c>
    </row>
    <row r="529">
      <c r="A529" s="87" t="n">
        <v>34669</v>
      </c>
      <c r="B529" t="n">
        <v>15.65016</v>
      </c>
      <c r="C529" t="n">
        <v>3.262094</v>
      </c>
      <c r="D529" t="n">
        <v>26.0649</v>
      </c>
      <c r="E529" t="n">
        <v>43.10955</v>
      </c>
      <c r="F529" t="n">
        <v>9.614050000000001</v>
      </c>
      <c r="G529" t="n">
        <v>3.583316</v>
      </c>
      <c r="H529" t="n">
        <v>6.173755</v>
      </c>
      <c r="I529" t="n">
        <v/>
      </c>
      <c r="J529" t="n">
        <v>23.40736</v>
      </c>
      <c r="K529" t="n">
        <v>28.35513</v>
      </c>
      <c r="L529" t="n">
        <v>34.8726</v>
      </c>
      <c r="M529" t="n">
        <v>23.01151</v>
      </c>
      <c r="N529" t="n">
        <v>11.90038</v>
      </c>
      <c r="O529" t="n">
        <v>3.893908</v>
      </c>
      <c r="P529" t="n">
        <v>4.548928</v>
      </c>
      <c r="Q529" t="n">
        <v>9.590674999999999</v>
      </c>
      <c r="R529" t="n">
        <v>10.22322</v>
      </c>
      <c r="S529" t="n">
        <v>66.38083</v>
      </c>
      <c r="T529" t="n">
        <v>14.59662</v>
      </c>
      <c r="U529" t="n">
        <v>4.643118</v>
      </c>
      <c r="V529" t="n">
        <v>25.85771</v>
      </c>
      <c r="W529" t="n">
        <v>22.03489</v>
      </c>
      <c r="X529" t="n">
        <v>20.07396</v>
      </c>
      <c r="Y529" t="n">
        <v>6.530866</v>
      </c>
      <c r="Z529" t="n">
        <v>7.102392</v>
      </c>
      <c r="AA529" t="n">
        <v/>
      </c>
      <c r="AB529" t="n">
        <v>26.15871</v>
      </c>
      <c r="AC529" t="n">
        <v>0.1085302</v>
      </c>
      <c r="AD529" t="n">
        <v>28.94455</v>
      </c>
      <c r="AE529" t="n">
        <v>8.446875</v>
      </c>
    </row>
    <row r="530">
      <c r="A530" s="87" t="n">
        <v>34700</v>
      </c>
      <c r="B530" t="n">
        <v>15.7174</v>
      </c>
      <c r="C530" t="n">
        <v>3.400568</v>
      </c>
      <c r="D530" t="n">
        <v>26.13629</v>
      </c>
      <c r="E530" t="n">
        <v>43.09647</v>
      </c>
      <c r="F530" t="n">
        <v>9.748739</v>
      </c>
      <c r="G530" t="n">
        <v>3.678381</v>
      </c>
      <c r="H530" t="n">
        <v>6.3326</v>
      </c>
      <c r="I530" t="n">
        <v/>
      </c>
      <c r="J530" t="n">
        <v>23.84007</v>
      </c>
      <c r="K530" t="n">
        <v>28.15312</v>
      </c>
      <c r="L530" t="n">
        <v>35.04473</v>
      </c>
      <c r="M530" t="n">
        <v>23.10754</v>
      </c>
      <c r="N530" t="n">
        <v>11.92511</v>
      </c>
      <c r="O530" t="n">
        <v>3.986418</v>
      </c>
      <c r="P530" t="n">
        <v>4.585485</v>
      </c>
      <c r="Q530" t="n">
        <v>9.585978000000001</v>
      </c>
      <c r="R530" t="n">
        <v>10.23496</v>
      </c>
      <c r="S530" t="n">
        <v>66.57715</v>
      </c>
      <c r="T530" t="n">
        <v>14.89996</v>
      </c>
      <c r="U530" t="n">
        <v>4.750486</v>
      </c>
      <c r="V530" t="n">
        <v>25.77662</v>
      </c>
      <c r="W530" t="n">
        <v>22.39903</v>
      </c>
      <c r="X530" t="n">
        <v>20.23904</v>
      </c>
      <c r="Y530" t="n">
        <v>6.664896</v>
      </c>
      <c r="Z530" t="n">
        <v>7.296115</v>
      </c>
      <c r="AA530" t="n">
        <v/>
      </c>
      <c r="AB530" t="n">
        <v>26.10616</v>
      </c>
      <c r="AC530" t="n">
        <v>0.1140564</v>
      </c>
      <c r="AD530" t="n">
        <v>28.99436</v>
      </c>
      <c r="AE530" t="n">
        <v>8.474339000000001</v>
      </c>
    </row>
    <row r="531">
      <c r="A531" s="87" t="n">
        <v>34731</v>
      </c>
      <c r="B531" t="n">
        <v>15.75102</v>
      </c>
      <c r="C531" t="n">
        <v>3.530016</v>
      </c>
      <c r="D531" t="n">
        <v>26.13784</v>
      </c>
      <c r="E531" t="n">
        <v>42.96119</v>
      </c>
      <c r="F531" t="n">
        <v>9.897829</v>
      </c>
      <c r="G531" t="n">
        <v>3.775278</v>
      </c>
      <c r="H531" t="n">
        <v>6.47821</v>
      </c>
      <c r="I531" t="n">
        <v/>
      </c>
      <c r="J531" t="n">
        <v>24.07183</v>
      </c>
      <c r="K531" t="n">
        <v>28.16104</v>
      </c>
      <c r="L531" t="n">
        <v>34.90718</v>
      </c>
      <c r="M531" t="n">
        <v>23.25331</v>
      </c>
      <c r="N531" t="n">
        <v>12.09265</v>
      </c>
      <c r="O531" t="n">
        <v>4.085904</v>
      </c>
      <c r="P531" t="n">
        <v>4.628234</v>
      </c>
      <c r="Q531" t="n">
        <v>9.587081</v>
      </c>
      <c r="R531" t="n">
        <v>10.3598</v>
      </c>
      <c r="S531" t="n">
        <v>66.87981000000001</v>
      </c>
      <c r="T531" t="n">
        <v>15.02008</v>
      </c>
      <c r="U531" t="n">
        <v>4.76458</v>
      </c>
      <c r="V531" t="n">
        <v>25.8891</v>
      </c>
      <c r="W531" t="n">
        <v>22.74401</v>
      </c>
      <c r="X531" t="n">
        <v>20.3371</v>
      </c>
      <c r="Y531" t="n">
        <v>6.78603</v>
      </c>
      <c r="Z531" t="n">
        <v>7.433502</v>
      </c>
      <c r="AA531" t="n">
        <v/>
      </c>
      <c r="AB531" t="n">
        <v>26.24988</v>
      </c>
      <c r="AC531" t="n">
        <v>0.1227489</v>
      </c>
      <c r="AD531" t="n">
        <v>28.97361</v>
      </c>
      <c r="AE531" t="n">
        <v>8.466618</v>
      </c>
    </row>
    <row r="532">
      <c r="A532" s="87" t="n">
        <v>34759</v>
      </c>
      <c r="B532" t="n">
        <v>15.8827</v>
      </c>
      <c r="C532" t="n">
        <v>3.600063</v>
      </c>
      <c r="D532" t="n">
        <v>26.2922</v>
      </c>
      <c r="E532" t="n">
        <v>42.85817</v>
      </c>
      <c r="F532" t="n">
        <v>10.07043</v>
      </c>
      <c r="G532" t="n">
        <v>3.852797</v>
      </c>
      <c r="H532" t="n">
        <v>6.668751</v>
      </c>
      <c r="I532" t="n">
        <v/>
      </c>
      <c r="J532" t="n">
        <v>24.2009</v>
      </c>
      <c r="K532" t="n">
        <v>28.35784</v>
      </c>
      <c r="L532" t="n">
        <v>34.93977</v>
      </c>
      <c r="M532" t="n">
        <v>23.53111</v>
      </c>
      <c r="N532" t="n">
        <v>12.26564</v>
      </c>
      <c r="O532" t="n">
        <v>4.17741</v>
      </c>
      <c r="P532" t="n">
        <v>4.764046</v>
      </c>
      <c r="Q532" t="n">
        <v>9.615411</v>
      </c>
      <c r="R532" t="n">
        <v>10.5689</v>
      </c>
      <c r="S532" t="n">
        <v>67.02705</v>
      </c>
      <c r="T532" t="n">
        <v>15.09925</v>
      </c>
      <c r="U532" t="n">
        <v>4.850297</v>
      </c>
      <c r="V532" t="n">
        <v>26.07742</v>
      </c>
      <c r="W532" t="n">
        <v>22.99413</v>
      </c>
      <c r="X532" t="n">
        <v>20.4788</v>
      </c>
      <c r="Y532" t="n">
        <v>6.934683</v>
      </c>
      <c r="Z532" t="n">
        <v>7.674423</v>
      </c>
      <c r="AA532" t="n">
        <v/>
      </c>
      <c r="AB532" t="n">
        <v>26.23694</v>
      </c>
      <c r="AC532" t="n">
        <v>0.131757</v>
      </c>
      <c r="AD532" t="n">
        <v>28.98357</v>
      </c>
      <c r="AE532" t="n">
        <v>8.575653000000001</v>
      </c>
    </row>
    <row r="533">
      <c r="A533" s="87" t="n">
        <v>34790</v>
      </c>
      <c r="B533" t="n">
        <v>16.01158</v>
      </c>
      <c r="C533" t="n">
        <v>3.644683</v>
      </c>
      <c r="D533" t="n">
        <v>26.43033</v>
      </c>
      <c r="E533" t="n">
        <v>42.77635</v>
      </c>
      <c r="F533" t="n">
        <v>10.24099</v>
      </c>
      <c r="G533" t="n">
        <v>3.93343</v>
      </c>
      <c r="H533" t="n">
        <v>6.867757</v>
      </c>
      <c r="I533" t="n">
        <v/>
      </c>
      <c r="J533" t="n">
        <v>24.37252</v>
      </c>
      <c r="K533" t="n">
        <v>28.48176</v>
      </c>
      <c r="L533" t="n">
        <v>34.99992</v>
      </c>
      <c r="M533" t="n">
        <v>23.72319</v>
      </c>
      <c r="N533" t="n">
        <v>12.41126</v>
      </c>
      <c r="O533" t="n">
        <v>4.238122</v>
      </c>
      <c r="P533" t="n">
        <v>4.822098</v>
      </c>
      <c r="Q533" t="n">
        <v>9.597218</v>
      </c>
      <c r="R533" t="n">
        <v>10.75514</v>
      </c>
      <c r="S533" t="n">
        <v>67.10885</v>
      </c>
      <c r="T533" t="n">
        <v>15.32482</v>
      </c>
      <c r="U533" t="n">
        <v>4.895271</v>
      </c>
      <c r="V533" t="n">
        <v>26.28928</v>
      </c>
      <c r="W533" t="n">
        <v>23.11274</v>
      </c>
      <c r="X533" t="n">
        <v>20.62379</v>
      </c>
      <c r="Y533" t="n">
        <v>7.072787</v>
      </c>
      <c r="Z533" t="n">
        <v>7.960721</v>
      </c>
      <c r="AA533" t="n">
        <v/>
      </c>
      <c r="AB533" t="n">
        <v>26.31792</v>
      </c>
      <c r="AC533" t="n">
        <v>0.1401493</v>
      </c>
      <c r="AD533" t="n">
        <v>29.05082</v>
      </c>
      <c r="AE533" t="n">
        <v>8.777251</v>
      </c>
    </row>
    <row r="534">
      <c r="A534" s="87" t="n">
        <v>34820</v>
      </c>
      <c r="B534" t="n">
        <v>16.09283</v>
      </c>
      <c r="C534" t="n">
        <v>3.732823</v>
      </c>
      <c r="D534" t="n">
        <v>26.57368</v>
      </c>
      <c r="E534" t="n">
        <v>43.00142</v>
      </c>
      <c r="F534" t="n">
        <v>10.43724</v>
      </c>
      <c r="G534" t="n">
        <v>4.014471</v>
      </c>
      <c r="H534" t="n">
        <v>7.038599</v>
      </c>
      <c r="I534" t="n">
        <v/>
      </c>
      <c r="J534" t="n">
        <v>24.81843</v>
      </c>
      <c r="K534" t="n">
        <v>28.56358</v>
      </c>
      <c r="L534" t="n">
        <v>35.14946</v>
      </c>
      <c r="M534" t="n">
        <v>23.82245</v>
      </c>
      <c r="N534" t="n">
        <v>12.52522</v>
      </c>
      <c r="O534" t="n">
        <v>4.291777</v>
      </c>
      <c r="P534" t="n">
        <v>4.806061</v>
      </c>
      <c r="Q534" t="n">
        <v>9.601129999999999</v>
      </c>
      <c r="R534" t="n">
        <v>11.00675</v>
      </c>
      <c r="S534" t="n">
        <v>67.20701</v>
      </c>
      <c r="T534" t="n">
        <v>15.54126</v>
      </c>
      <c r="U534" t="n">
        <v>4.910354</v>
      </c>
      <c r="V534" t="n">
        <v>26.50376</v>
      </c>
      <c r="W534" t="n">
        <v>23.23631</v>
      </c>
      <c r="X534" t="n">
        <v>20.79603</v>
      </c>
      <c r="Y534" t="n">
        <v>7.195549</v>
      </c>
      <c r="Z534" t="n">
        <v>8.178577000000001</v>
      </c>
      <c r="AA534" t="n">
        <v/>
      </c>
      <c r="AB534" t="n">
        <v>26.34927</v>
      </c>
      <c r="AC534" t="n">
        <v>0.1481249</v>
      </c>
      <c r="AD534" t="n">
        <v>29.25837</v>
      </c>
      <c r="AE534" t="n">
        <v>9.033828</v>
      </c>
    </row>
    <row r="535">
      <c r="A535" s="87" t="n">
        <v>34851</v>
      </c>
      <c r="B535" t="n">
        <v>16.14326</v>
      </c>
      <c r="C535" t="n">
        <v>3.823047</v>
      </c>
      <c r="D535" t="n">
        <v>26.72949</v>
      </c>
      <c r="E535" t="n">
        <v>43.27173</v>
      </c>
      <c r="F535" t="n">
        <v>10.65419</v>
      </c>
      <c r="G535" t="n">
        <v>4.090871</v>
      </c>
      <c r="H535" t="n">
        <v>7.20582</v>
      </c>
      <c r="I535" t="n">
        <v/>
      </c>
      <c r="J535" t="n">
        <v>25.09566</v>
      </c>
      <c r="K535" t="n">
        <v>28.71145</v>
      </c>
      <c r="L535" t="n">
        <v>35.33707</v>
      </c>
      <c r="M535" t="n">
        <v>23.99652</v>
      </c>
      <c r="N535" t="n">
        <v>12.7082</v>
      </c>
      <c r="O535" t="n">
        <v>4.383917</v>
      </c>
      <c r="P535" t="n">
        <v>4.858943</v>
      </c>
      <c r="Q535" t="n">
        <v>9.658422</v>
      </c>
      <c r="R535" t="n">
        <v>11.25351</v>
      </c>
      <c r="S535" t="n">
        <v>67.32153</v>
      </c>
      <c r="T535" t="n">
        <v>15.76464</v>
      </c>
      <c r="U535" t="n">
        <v>4.988491</v>
      </c>
      <c r="V535" t="n">
        <v>26.59792</v>
      </c>
      <c r="W535" t="n">
        <v>23.37521</v>
      </c>
      <c r="X535" t="n">
        <v>20.98502</v>
      </c>
      <c r="Y535" t="n">
        <v>7.319708</v>
      </c>
      <c r="Z535" t="n">
        <v>8.352657000000001</v>
      </c>
      <c r="AA535" t="n">
        <v/>
      </c>
      <c r="AB535" t="n">
        <v>26.43472</v>
      </c>
      <c r="AC535" t="n">
        <v>0.1557636</v>
      </c>
      <c r="AD535" t="n">
        <v>29.46343</v>
      </c>
      <c r="AE535" t="n">
        <v>9.194853</v>
      </c>
    </row>
    <row r="536">
      <c r="A536" s="87" t="n">
        <v>34881</v>
      </c>
      <c r="B536" t="n">
        <v>16.2077</v>
      </c>
      <c r="C536" t="n">
        <v>3.966213</v>
      </c>
      <c r="D536" t="n">
        <v>26.9051</v>
      </c>
      <c r="E536" t="n">
        <v>43.40804</v>
      </c>
      <c r="F536" t="n">
        <v>10.76532</v>
      </c>
      <c r="G536" t="n">
        <v>4.18152</v>
      </c>
      <c r="H536" t="n">
        <v>7.330567</v>
      </c>
      <c r="I536" t="n">
        <v/>
      </c>
      <c r="J536" t="n">
        <v>25.56504</v>
      </c>
      <c r="K536" t="n">
        <v>28.76387</v>
      </c>
      <c r="L536" t="n">
        <v>35.41511</v>
      </c>
      <c r="M536" t="n">
        <v>24.23378</v>
      </c>
      <c r="N536" t="n">
        <v>12.9193</v>
      </c>
      <c r="O536" t="n">
        <v>4.495667</v>
      </c>
      <c r="P536" t="n">
        <v>4.904411</v>
      </c>
      <c r="Q536" t="n">
        <v>9.660066</v>
      </c>
      <c r="R536" t="n">
        <v>11.4159</v>
      </c>
      <c r="S536" t="n">
        <v>67.37879</v>
      </c>
      <c r="T536" t="n">
        <v>16.00284</v>
      </c>
      <c r="U536" t="n">
        <v>5.032389</v>
      </c>
      <c r="V536" t="n">
        <v>26.66854</v>
      </c>
      <c r="W536" t="n">
        <v>23.45288</v>
      </c>
      <c r="X536" t="n">
        <v>21.15475</v>
      </c>
      <c r="Y536" t="n">
        <v>7.464664</v>
      </c>
      <c r="Z536" t="n">
        <v>8.576559</v>
      </c>
      <c r="AA536" t="n">
        <v>0.4704399</v>
      </c>
      <c r="AB536" t="n">
        <v>26.57784</v>
      </c>
      <c r="AC536" t="n">
        <v>0.1642164</v>
      </c>
      <c r="AD536" t="n">
        <v>29.61702</v>
      </c>
      <c r="AE536" t="n">
        <v>9.256536000000001</v>
      </c>
    </row>
    <row r="537">
      <c r="A537" s="87" t="n">
        <v>34912</v>
      </c>
      <c r="B537" t="n">
        <v>16.33938</v>
      </c>
      <c r="C537" t="n">
        <v>4.172592</v>
      </c>
      <c r="D537" t="n">
        <v>27.04142</v>
      </c>
      <c r="E537" t="n">
        <v>43.66949</v>
      </c>
      <c r="F537" t="n">
        <v>10.88548</v>
      </c>
      <c r="G537" t="n">
        <v>4.277171</v>
      </c>
      <c r="H537" t="n">
        <v>7.420568</v>
      </c>
      <c r="I537" t="n">
        <v/>
      </c>
      <c r="J537" t="n">
        <v>26.59181</v>
      </c>
      <c r="K537" t="n">
        <v>28.75043</v>
      </c>
      <c r="L537" t="n">
        <v>35.39522</v>
      </c>
      <c r="M537" t="n">
        <v>24.52631</v>
      </c>
      <c r="N537" t="n">
        <v>13.09732</v>
      </c>
      <c r="O537" t="n">
        <v>4.601474</v>
      </c>
      <c r="P537" t="n">
        <v>4.962574</v>
      </c>
      <c r="Q537" t="n">
        <v>9.686919</v>
      </c>
      <c r="R537" t="n">
        <v>11.61362</v>
      </c>
      <c r="S537" t="n">
        <v>67.55875</v>
      </c>
      <c r="T537" t="n">
        <v>16.2443</v>
      </c>
      <c r="U537" t="n">
        <v>5.095764</v>
      </c>
      <c r="V537" t="n">
        <v>26.84379</v>
      </c>
      <c r="W537" t="n">
        <v>23.55938</v>
      </c>
      <c r="X537" t="n">
        <v>21.35381</v>
      </c>
      <c r="Y537" t="n">
        <v>7.626718</v>
      </c>
      <c r="Z537" t="n">
        <v>8.815132999999999</v>
      </c>
      <c r="AA537" t="n">
        <v>0.4819393</v>
      </c>
      <c r="AB537" t="n">
        <v>26.74956</v>
      </c>
      <c r="AC537" t="n">
        <v>0.1726184</v>
      </c>
      <c r="AD537" t="n">
        <v>29.79635</v>
      </c>
      <c r="AE537" t="n">
        <v>9.321443</v>
      </c>
    </row>
    <row r="538">
      <c r="A538" s="87" t="n">
        <v>34943</v>
      </c>
      <c r="B538" t="n">
        <v>16.50748</v>
      </c>
      <c r="C538" t="n">
        <v>4.321382</v>
      </c>
      <c r="D538" t="n">
        <v>27.16973</v>
      </c>
      <c r="E538" t="n">
        <v>43.90507</v>
      </c>
      <c r="F538" t="n">
        <v>11.11331</v>
      </c>
      <c r="G538" t="n">
        <v>4.363658</v>
      </c>
      <c r="H538" t="n">
        <v>7.613381</v>
      </c>
      <c r="I538" t="n">
        <v/>
      </c>
      <c r="J538" t="n">
        <v>27.18587</v>
      </c>
      <c r="K538" t="n">
        <v>28.82247</v>
      </c>
      <c r="L538" t="n">
        <v>35.51575</v>
      </c>
      <c r="M538" t="n">
        <v>24.7364</v>
      </c>
      <c r="N538" t="n">
        <v>13.34939</v>
      </c>
      <c r="O538" t="n">
        <v>4.694549</v>
      </c>
      <c r="P538" t="n">
        <v>5.037403</v>
      </c>
      <c r="Q538" t="n">
        <v>9.764265</v>
      </c>
      <c r="R538" t="n">
        <v>11.85678</v>
      </c>
      <c r="S538" t="n">
        <v>67.80415000000001</v>
      </c>
      <c r="T538" t="n">
        <v>16.48296</v>
      </c>
      <c r="U538" t="n">
        <v>5.186029</v>
      </c>
      <c r="V538" t="n">
        <v>26.87779</v>
      </c>
      <c r="W538" t="n">
        <v>23.86822</v>
      </c>
      <c r="X538" t="n">
        <v>21.53374</v>
      </c>
      <c r="Y538" t="n">
        <v>7.761532</v>
      </c>
      <c r="Z538" t="n">
        <v>9.037318000000001</v>
      </c>
      <c r="AA538" t="n">
        <v>0.51158</v>
      </c>
      <c r="AB538" t="n">
        <v>26.98697</v>
      </c>
      <c r="AC538" t="n">
        <v>0.1798101</v>
      </c>
      <c r="AD538" t="n">
        <v>29.90511</v>
      </c>
      <c r="AE538" t="n">
        <v>9.364589</v>
      </c>
    </row>
    <row r="539">
      <c r="A539" s="87" t="n">
        <v>34973</v>
      </c>
      <c r="B539" t="n">
        <v>16.68398</v>
      </c>
      <c r="C539" t="n">
        <v>4.439803</v>
      </c>
      <c r="D539" t="n">
        <v>27.15934</v>
      </c>
      <c r="E539" t="n">
        <v>44.08624</v>
      </c>
      <c r="F539" t="n">
        <v>11.24747</v>
      </c>
      <c r="G539" t="n">
        <v>4.451643</v>
      </c>
      <c r="H539" t="n">
        <v>7.881936</v>
      </c>
      <c r="I539" t="n">
        <v/>
      </c>
      <c r="J539" t="n">
        <v>27.51003</v>
      </c>
      <c r="K539" t="n">
        <v>28.95426</v>
      </c>
      <c r="L539" t="n">
        <v>35.65858</v>
      </c>
      <c r="M539" t="n">
        <v>24.93853</v>
      </c>
      <c r="N539" t="n">
        <v>13.593</v>
      </c>
      <c r="O539" t="n">
        <v>4.788361</v>
      </c>
      <c r="P539" t="n">
        <v>5.1109</v>
      </c>
      <c r="Q539" t="n">
        <v>9.77097</v>
      </c>
      <c r="R539" t="n">
        <v>12.05983</v>
      </c>
      <c r="S539" t="n">
        <v>67.88594999999999</v>
      </c>
      <c r="T539" t="n">
        <v>16.75223</v>
      </c>
      <c r="U539" t="n">
        <v>5.294719</v>
      </c>
      <c r="V539" t="n">
        <v>27.34598</v>
      </c>
      <c r="W539" t="n">
        <v>24.20768</v>
      </c>
      <c r="X539" t="n">
        <v>21.69914</v>
      </c>
      <c r="Y539" t="n">
        <v>7.888896</v>
      </c>
      <c r="Z539" t="n">
        <v>9.24896</v>
      </c>
      <c r="AA539" t="n">
        <v>0.533973</v>
      </c>
      <c r="AB539" t="n">
        <v>27.17811</v>
      </c>
      <c r="AC539" t="n">
        <v>0.1863189</v>
      </c>
      <c r="AD539" t="n">
        <v>29.99892</v>
      </c>
      <c r="AE539" t="n">
        <v>9.420667</v>
      </c>
    </row>
    <row r="540">
      <c r="A540" s="87" t="n">
        <v>35004</v>
      </c>
      <c r="B540" t="n">
        <v>16.83247</v>
      </c>
      <c r="C540" t="n">
        <v>4.601034</v>
      </c>
      <c r="D540" t="n">
        <v>27.38886</v>
      </c>
      <c r="E540" t="n">
        <v>44.24665</v>
      </c>
      <c r="F540" t="n">
        <v>11.39327</v>
      </c>
      <c r="G540" t="n">
        <v>4.541477</v>
      </c>
      <c r="H540" t="n">
        <v>7.999478</v>
      </c>
      <c r="I540" t="n">
        <v/>
      </c>
      <c r="J540" t="n">
        <v>28.04542</v>
      </c>
      <c r="K540" t="n">
        <v>29.03315</v>
      </c>
      <c r="L540" t="n">
        <v>35.8789</v>
      </c>
      <c r="M540" t="n">
        <v>25.13854</v>
      </c>
      <c r="N540" t="n">
        <v>13.7856</v>
      </c>
      <c r="O540" t="n">
        <v>4.893164</v>
      </c>
      <c r="P540" t="n">
        <v>5.158834</v>
      </c>
      <c r="Q540" t="n">
        <v>9.727136</v>
      </c>
      <c r="R540" t="n">
        <v>12.26356</v>
      </c>
      <c r="S540" t="n">
        <v>68.31131000000001</v>
      </c>
      <c r="T540" t="n">
        <v>17.05175</v>
      </c>
      <c r="U540" t="n">
        <v>5.448874</v>
      </c>
      <c r="V540" t="n">
        <v>27.92402</v>
      </c>
      <c r="W540" t="n">
        <v>24.56487</v>
      </c>
      <c r="X540" t="n">
        <v>21.91352</v>
      </c>
      <c r="Y540" t="n">
        <v>8.069652</v>
      </c>
      <c r="Z540" t="n">
        <v>9.498862000000001</v>
      </c>
      <c r="AA540" t="n">
        <v>0.5498038</v>
      </c>
      <c r="AB540" t="n">
        <v>27.28294</v>
      </c>
      <c r="AC540" t="n">
        <v>0.1980051</v>
      </c>
      <c r="AD540" t="n">
        <v>30.05289</v>
      </c>
      <c r="AE540" t="n">
        <v>9.505252</v>
      </c>
    </row>
    <row r="541">
      <c r="A541" s="87" t="n">
        <v>35034</v>
      </c>
      <c r="B541" t="n">
        <v>17.02018</v>
      </c>
      <c r="C541" t="n">
        <v>4.775141</v>
      </c>
      <c r="D541" t="n">
        <v>27.45669</v>
      </c>
      <c r="E541" t="n">
        <v>44.40243</v>
      </c>
      <c r="F541" t="n">
        <v>11.58544</v>
      </c>
      <c r="G541" t="n">
        <v>4.630622</v>
      </c>
      <c r="H541" t="n">
        <v>8.049149999999999</v>
      </c>
      <c r="I541" t="n">
        <v/>
      </c>
      <c r="J541" t="n">
        <v>28.83163</v>
      </c>
      <c r="K541" t="n">
        <v>29.11155</v>
      </c>
      <c r="L541" t="n">
        <v>36.59643</v>
      </c>
      <c r="M541" t="n">
        <v>25.62227</v>
      </c>
      <c r="N541" t="n">
        <v>14.04962</v>
      </c>
      <c r="O541" t="n">
        <v>4.987531</v>
      </c>
      <c r="P541" t="n">
        <v>5.206399</v>
      </c>
      <c r="Q541" t="n">
        <v>9.769175000000001</v>
      </c>
      <c r="R541" t="n">
        <v>12.43596</v>
      </c>
      <c r="S541" t="n">
        <v>68.48309</v>
      </c>
      <c r="T541" t="n">
        <v>17.37717</v>
      </c>
      <c r="U541" t="n">
        <v>5.59952</v>
      </c>
      <c r="V541" t="n">
        <v>28.11232</v>
      </c>
      <c r="W541" t="n">
        <v>24.83197</v>
      </c>
      <c r="X541" t="n">
        <v>22.15749</v>
      </c>
      <c r="Y541" t="n">
        <v>8.325754</v>
      </c>
      <c r="Z541" t="n">
        <v>9.720267</v>
      </c>
      <c r="AA541" t="n">
        <v>0.5677816999999999</v>
      </c>
      <c r="AB541" t="n">
        <v>27.32328</v>
      </c>
      <c r="AC541" t="n">
        <v>0.2145036</v>
      </c>
      <c r="AD541" t="n">
        <v>30.13259</v>
      </c>
      <c r="AE541" t="n">
        <v>9.668532000000001</v>
      </c>
    </row>
    <row r="542">
      <c r="A542" s="87" t="n">
        <v>35065</v>
      </c>
      <c r="B542" t="n">
        <v>17.17147</v>
      </c>
      <c r="C542" t="n">
        <v>4.901226</v>
      </c>
      <c r="D542" t="n">
        <v>27.61694</v>
      </c>
      <c r="E542" t="n">
        <v>44.80227</v>
      </c>
      <c r="F542" t="n">
        <v>11.74377</v>
      </c>
      <c r="G542" t="n">
        <v>4.738368</v>
      </c>
      <c r="H542" t="n">
        <v>8.162011</v>
      </c>
      <c r="I542" t="n">
        <v/>
      </c>
      <c r="J542" t="n">
        <v>29.2394</v>
      </c>
      <c r="K542" t="n">
        <v>29.41434</v>
      </c>
      <c r="L542" t="n">
        <v>36.98999</v>
      </c>
      <c r="M542" t="n">
        <v>26.4278</v>
      </c>
      <c r="N542" t="n">
        <v>14.33176</v>
      </c>
      <c r="O542" t="n">
        <v>5.067066</v>
      </c>
      <c r="P542" t="n">
        <v>5.27354</v>
      </c>
      <c r="Q542" t="n">
        <v>9.899778</v>
      </c>
      <c r="R542" t="n">
        <v>12.6614</v>
      </c>
      <c r="S542" t="n">
        <v>68.61398</v>
      </c>
      <c r="T542" t="n">
        <v>17.62449</v>
      </c>
      <c r="U542" t="n">
        <v>5.742058</v>
      </c>
      <c r="V542" t="n">
        <v>28.48972</v>
      </c>
      <c r="W542" t="n">
        <v>24.92008</v>
      </c>
      <c r="X542" t="n">
        <v>22.44822</v>
      </c>
      <c r="Y542" t="n">
        <v>8.630846</v>
      </c>
      <c r="Z542" t="n">
        <v>9.970124</v>
      </c>
      <c r="AA542" t="n">
        <v>0.5897739</v>
      </c>
      <c r="AB542" t="n">
        <v>27.48259</v>
      </c>
      <c r="AC542" t="n">
        <v>0.2313573</v>
      </c>
      <c r="AD542" t="n">
        <v>30.28535</v>
      </c>
      <c r="AE542" t="n">
        <v>9.828851999999999</v>
      </c>
    </row>
    <row r="543">
      <c r="A543" s="87" t="n">
        <v>35096</v>
      </c>
      <c r="B543" t="n">
        <v>17.26393</v>
      </c>
      <c r="C543" t="n">
        <v>4.997753</v>
      </c>
      <c r="D543" t="n">
        <v>27.86973</v>
      </c>
      <c r="E543" t="n">
        <v>45.22582</v>
      </c>
      <c r="F543" t="n">
        <v>11.94461</v>
      </c>
      <c r="G543" t="n">
        <v>4.847794</v>
      </c>
      <c r="H543" t="n">
        <v>8.321199</v>
      </c>
      <c r="I543" t="n">
        <v/>
      </c>
      <c r="J543" t="n">
        <v>29.35234</v>
      </c>
      <c r="K543" t="n">
        <v>29.77568</v>
      </c>
      <c r="L543" t="n">
        <v>36.8917</v>
      </c>
      <c r="M543" t="n">
        <v>26.92226</v>
      </c>
      <c r="N543" t="n">
        <v>14.65185</v>
      </c>
      <c r="O543" t="n">
        <v>5.178958</v>
      </c>
      <c r="P543" t="n">
        <v>5.337564</v>
      </c>
      <c r="Q543" t="n">
        <v>9.973144</v>
      </c>
      <c r="R543" t="n">
        <v>12.96881</v>
      </c>
      <c r="S543" t="n">
        <v>68.73667</v>
      </c>
      <c r="T543" t="n">
        <v>17.78668</v>
      </c>
      <c r="U543" t="n">
        <v>5.871922</v>
      </c>
      <c r="V543" t="n">
        <v>29.01365</v>
      </c>
      <c r="W543" t="n">
        <v>25.05894</v>
      </c>
      <c r="X543" t="n">
        <v>22.65875</v>
      </c>
      <c r="Y543" t="n">
        <v>8.853204</v>
      </c>
      <c r="Z543" t="n">
        <v>10.26811</v>
      </c>
      <c r="AA543" t="n">
        <v>0.6153261</v>
      </c>
      <c r="AB543" t="n">
        <v>27.82173</v>
      </c>
      <c r="AC543" t="n">
        <v>0.2465764</v>
      </c>
      <c r="AD543" t="n">
        <v>30.40074</v>
      </c>
      <c r="AE543" t="n">
        <v>10.02118</v>
      </c>
    </row>
    <row r="544">
      <c r="A544" s="87" t="n">
        <v>35125</v>
      </c>
      <c r="B544" t="n">
        <v>17.3732</v>
      </c>
      <c r="C544" t="n">
        <v>5.113463</v>
      </c>
      <c r="D544" t="n">
        <v>27.91548</v>
      </c>
      <c r="E544" t="n">
        <v>45.61873</v>
      </c>
      <c r="F544" t="n">
        <v>12.15402</v>
      </c>
      <c r="G544" t="n">
        <v>4.938909</v>
      </c>
      <c r="H544" t="n">
        <v>8.510674</v>
      </c>
      <c r="I544" t="n">
        <v/>
      </c>
      <c r="J544" t="n">
        <v>29.50636</v>
      </c>
      <c r="K544" t="n">
        <v>29.87844</v>
      </c>
      <c r="L544" t="n">
        <v>37.00742</v>
      </c>
      <c r="M544" t="n">
        <v>27.12714</v>
      </c>
      <c r="N544" t="n">
        <v>14.93508</v>
      </c>
      <c r="O544" t="n">
        <v>5.332672</v>
      </c>
      <c r="P544" t="n">
        <v>5.44497</v>
      </c>
      <c r="Q544" t="n">
        <v>10.02459</v>
      </c>
      <c r="R544" t="n">
        <v>13.21136</v>
      </c>
      <c r="S544" t="n">
        <v>69.05569</v>
      </c>
      <c r="T544" t="n">
        <v>18.06224</v>
      </c>
      <c r="U544" t="n">
        <v>6.012116</v>
      </c>
      <c r="V544" t="n">
        <v>29.45537</v>
      </c>
      <c r="W544" t="n">
        <v>25.3563</v>
      </c>
      <c r="X544" t="n">
        <v>22.88639</v>
      </c>
      <c r="Y544" t="n">
        <v>9.018433999999999</v>
      </c>
      <c r="Z544" t="n">
        <v>10.51237</v>
      </c>
      <c r="AA544" t="n">
        <v>0.6371531</v>
      </c>
      <c r="AB544" t="n">
        <v>28.34458</v>
      </c>
      <c r="AC544" t="n">
        <v>0.2598142</v>
      </c>
      <c r="AD544" t="n">
        <v>30.60913</v>
      </c>
      <c r="AE544" t="n">
        <v>10.24998</v>
      </c>
    </row>
    <row r="545">
      <c r="A545" s="87" t="n">
        <v>35156</v>
      </c>
      <c r="B545" t="n">
        <v>17.46845</v>
      </c>
      <c r="C545" t="n">
        <v>5.229693</v>
      </c>
      <c r="D545" t="n">
        <v>27.99147</v>
      </c>
      <c r="E545" t="n">
        <v>45.98262</v>
      </c>
      <c r="F545" t="n">
        <v>12.33966</v>
      </c>
      <c r="G545" t="n">
        <v>5.044221</v>
      </c>
      <c r="H545" t="n">
        <v>8.680344</v>
      </c>
      <c r="I545" t="n">
        <v/>
      </c>
      <c r="J545" t="n">
        <v>29.64717</v>
      </c>
      <c r="K545" t="n">
        <v>30.31906</v>
      </c>
      <c r="L545" t="n">
        <v>37.1212</v>
      </c>
      <c r="M545" t="n">
        <v>27.378</v>
      </c>
      <c r="N545" t="n">
        <v>15.16884</v>
      </c>
      <c r="O545" t="n">
        <v>5.475049</v>
      </c>
      <c r="P545" t="n">
        <v>5.532153</v>
      </c>
      <c r="Q545" t="n">
        <v>10.10721</v>
      </c>
      <c r="R545" t="n">
        <v>13.49627</v>
      </c>
      <c r="S545" t="n">
        <v>69.08023</v>
      </c>
      <c r="T545" t="n">
        <v>18.4067</v>
      </c>
      <c r="U545" t="n">
        <v>6.190065</v>
      </c>
      <c r="V545" t="n">
        <v>29.57449</v>
      </c>
      <c r="W545" t="n">
        <v>25.68765</v>
      </c>
      <c r="X545" t="n">
        <v>23.08446</v>
      </c>
      <c r="Y545" t="n">
        <v>9.218946000000001</v>
      </c>
      <c r="Z545" t="n">
        <v>10.78925</v>
      </c>
      <c r="AA545" t="n">
        <v>0.6554799</v>
      </c>
      <c r="AB545" t="n">
        <v>28.80081</v>
      </c>
      <c r="AC545" t="n">
        <v>0.2777974</v>
      </c>
      <c r="AD545" t="n">
        <v>30.69879</v>
      </c>
      <c r="AE545" t="n">
        <v>10.39091</v>
      </c>
    </row>
    <row r="546">
      <c r="A546" s="87" t="n">
        <v>35186</v>
      </c>
      <c r="B546" t="n">
        <v>17.51608</v>
      </c>
      <c r="C546" t="n">
        <v>5.350815</v>
      </c>
      <c r="D546" t="n">
        <v>28.20182</v>
      </c>
      <c r="E546" t="n">
        <v>46.1066</v>
      </c>
      <c r="F546" t="n">
        <v>12.48433</v>
      </c>
      <c r="G546" t="n">
        <v>5.149949</v>
      </c>
      <c r="H546" t="n">
        <v>8.818834000000001</v>
      </c>
      <c r="I546" t="n">
        <v/>
      </c>
      <c r="J546" t="n">
        <v>30.17669</v>
      </c>
      <c r="K546" t="n">
        <v>30.5466</v>
      </c>
      <c r="L546" t="n">
        <v>37.19242</v>
      </c>
      <c r="M546" t="n">
        <v>27.53218</v>
      </c>
      <c r="N546" t="n">
        <v>15.45116</v>
      </c>
      <c r="O546" t="n">
        <v>5.58922</v>
      </c>
      <c r="P546" t="n">
        <v>5.561161</v>
      </c>
      <c r="Q546" t="n">
        <v>10.17305</v>
      </c>
      <c r="R546" t="n">
        <v>13.86339</v>
      </c>
      <c r="S546" t="n">
        <v>69.36653</v>
      </c>
      <c r="T546" t="n">
        <v>18.68559</v>
      </c>
      <c r="U546" t="n">
        <v>6.359149</v>
      </c>
      <c r="V546" t="n">
        <v>29.55785</v>
      </c>
      <c r="W546" t="n">
        <v>26.29074</v>
      </c>
      <c r="X546" t="n">
        <v>23.29986</v>
      </c>
      <c r="Y546" t="n">
        <v>9.420593</v>
      </c>
      <c r="Z546" t="n">
        <v>11.04136</v>
      </c>
      <c r="AA546" t="n">
        <v>0.6705448000000001</v>
      </c>
      <c r="AB546" t="n">
        <v>29.15482</v>
      </c>
      <c r="AC546" t="n">
        <v>0.2990035</v>
      </c>
      <c r="AD546" t="n">
        <v>30.79759</v>
      </c>
      <c r="AE546" t="n">
        <v>10.55751</v>
      </c>
    </row>
    <row r="547">
      <c r="A547" s="87" t="n">
        <v>35217</v>
      </c>
      <c r="B547" t="n">
        <v>17.61134</v>
      </c>
      <c r="C547" t="n">
        <v>5.445518</v>
      </c>
      <c r="D547" t="n">
        <v>28.2821</v>
      </c>
      <c r="E547" t="n">
        <v>46.30076</v>
      </c>
      <c r="F547" t="n">
        <v>12.66634</v>
      </c>
      <c r="G547" t="n">
        <v>5.237608</v>
      </c>
      <c r="H547" t="n">
        <v>8.967684999999999</v>
      </c>
      <c r="I547" t="n">
        <v/>
      </c>
      <c r="J547" t="n">
        <v>30.44512</v>
      </c>
      <c r="K547" t="n">
        <v>30.50965</v>
      </c>
      <c r="L547" t="n">
        <v>37.31187</v>
      </c>
      <c r="M547" t="n">
        <v>27.78506</v>
      </c>
      <c r="N547" t="n">
        <v>15.73572</v>
      </c>
      <c r="O547" t="n">
        <v>5.691286</v>
      </c>
      <c r="P547" t="n">
        <v>5.631154</v>
      </c>
      <c r="Q547" t="n">
        <v>10.18427</v>
      </c>
      <c r="R547" t="n">
        <v>14.12691</v>
      </c>
      <c r="S547" t="n">
        <v>69.67738</v>
      </c>
      <c r="T547" t="n">
        <v>18.92051</v>
      </c>
      <c r="U547" t="n">
        <v>6.48078</v>
      </c>
      <c r="V547" t="n">
        <v>29.52497</v>
      </c>
      <c r="W547" t="n">
        <v>26.82611</v>
      </c>
      <c r="X547" t="n">
        <v>23.49407</v>
      </c>
      <c r="Y547" t="n">
        <v>9.600104999999999</v>
      </c>
      <c r="Z547" t="n">
        <v>11.21425</v>
      </c>
      <c r="AA547" t="n">
        <v>0.6859078</v>
      </c>
      <c r="AB547" t="n">
        <v>29.31986</v>
      </c>
      <c r="AC547" t="n">
        <v>0.3173686</v>
      </c>
      <c r="AD547" t="n">
        <v>30.90468</v>
      </c>
      <c r="AE547" t="n">
        <v>10.81016</v>
      </c>
    </row>
    <row r="548">
      <c r="A548" s="87" t="n">
        <v>35247</v>
      </c>
      <c r="B548" t="n">
        <v>17.80465</v>
      </c>
      <c r="C548" t="n">
        <v>5.533557</v>
      </c>
      <c r="D548" t="n">
        <v>28.29709</v>
      </c>
      <c r="E548" t="n">
        <v>46.5813</v>
      </c>
      <c r="F548" t="n">
        <v>12.92787</v>
      </c>
      <c r="G548" t="n">
        <v>5.333181</v>
      </c>
      <c r="H548" t="n">
        <v>9.163532999999999</v>
      </c>
      <c r="I548" t="n">
        <v/>
      </c>
      <c r="J548" t="n">
        <v>30.52579</v>
      </c>
      <c r="K548" t="n">
        <v>30.51793</v>
      </c>
      <c r="L548" t="n">
        <v>37.34448</v>
      </c>
      <c r="M548" t="n">
        <v>28.16876</v>
      </c>
      <c r="N548" t="n">
        <v>15.98189</v>
      </c>
      <c r="O548" t="n">
        <v>5.784675</v>
      </c>
      <c r="P548" t="n">
        <v>5.713132</v>
      </c>
      <c r="Q548" t="n">
        <v>10.17818</v>
      </c>
      <c r="R548" t="n">
        <v>14.39636</v>
      </c>
      <c r="S548" t="n">
        <v>69.81644</v>
      </c>
      <c r="T548" t="n">
        <v>19.13025</v>
      </c>
      <c r="U548" t="n">
        <v>6.608271</v>
      </c>
      <c r="V548" t="n">
        <v>29.6206</v>
      </c>
      <c r="W548" t="n">
        <v>26.85933</v>
      </c>
      <c r="X548" t="n">
        <v>23.68788</v>
      </c>
      <c r="Y548" t="n">
        <v>9.785092000000001</v>
      </c>
      <c r="Z548" t="n">
        <v>11.39647</v>
      </c>
      <c r="AA548" t="n">
        <v>0.7081496</v>
      </c>
      <c r="AB548" t="n">
        <v>29.48055</v>
      </c>
      <c r="AC548" t="n">
        <v>0.3336817</v>
      </c>
      <c r="AD548" t="n">
        <v>31.02589</v>
      </c>
      <c r="AE548" t="n">
        <v>10.99222</v>
      </c>
    </row>
    <row r="549">
      <c r="A549" s="87" t="n">
        <v>35278</v>
      </c>
      <c r="B549" t="n">
        <v>17.95034</v>
      </c>
      <c r="C549" t="n">
        <v>5.637239</v>
      </c>
      <c r="D549" t="n">
        <v>28.3827</v>
      </c>
      <c r="E549" t="n">
        <v>46.75945</v>
      </c>
      <c r="F549" t="n">
        <v>13.24098</v>
      </c>
      <c r="G549" t="n">
        <v>5.433381</v>
      </c>
      <c r="H549" t="n">
        <v>9.3508</v>
      </c>
      <c r="I549" t="n">
        <v/>
      </c>
      <c r="J549" t="n">
        <v>30.6578</v>
      </c>
      <c r="K549" t="n">
        <v>30.89207</v>
      </c>
      <c r="L549" t="n">
        <v>37.30007</v>
      </c>
      <c r="M549" t="n">
        <v>28.41305</v>
      </c>
      <c r="N549" t="n">
        <v>16.27146</v>
      </c>
      <c r="O549" t="n">
        <v>5.848485</v>
      </c>
      <c r="P549" t="n">
        <v>5.774502</v>
      </c>
      <c r="Q549" t="n">
        <v>10.22822</v>
      </c>
      <c r="R549" t="n">
        <v>14.8024</v>
      </c>
      <c r="S549" t="n">
        <v>69.96368</v>
      </c>
      <c r="T549" t="n">
        <v>19.34138</v>
      </c>
      <c r="U549" t="n">
        <v>6.746043</v>
      </c>
      <c r="V549" t="n">
        <v>29.611</v>
      </c>
      <c r="W549" t="n">
        <v>26.84695</v>
      </c>
      <c r="X549" t="n">
        <v>23.88239</v>
      </c>
      <c r="Y549" t="n">
        <v>10.00552</v>
      </c>
      <c r="Z549" t="n">
        <v>11.57491</v>
      </c>
      <c r="AA549" t="n">
        <v>0.7318664</v>
      </c>
      <c r="AB549" t="n">
        <v>29.68313</v>
      </c>
      <c r="AC549" t="n">
        <v>0.3579074</v>
      </c>
      <c r="AD549" t="n">
        <v>31.08318</v>
      </c>
      <c r="AE549" t="n">
        <v>11.10688</v>
      </c>
    </row>
    <row r="550">
      <c r="A550" s="87" t="n">
        <v>35309</v>
      </c>
      <c r="B550" t="n">
        <v>17.96715</v>
      </c>
      <c r="C550" t="n">
        <v>5.741098</v>
      </c>
      <c r="D550" t="n">
        <v>28.39598</v>
      </c>
      <c r="E550" t="n">
        <v>47.03335</v>
      </c>
      <c r="F550" t="n">
        <v>13.43531</v>
      </c>
      <c r="G550" t="n">
        <v>5.529379</v>
      </c>
      <c r="H550" t="n">
        <v>9.541985</v>
      </c>
      <c r="I550" t="n">
        <v/>
      </c>
      <c r="J550" t="n">
        <v>30.50086</v>
      </c>
      <c r="K550" t="n">
        <v>31.41209</v>
      </c>
      <c r="L550" t="n">
        <v>37.3969</v>
      </c>
      <c r="M550" t="n">
        <v>28.66095</v>
      </c>
      <c r="N550" t="n">
        <v>16.53481</v>
      </c>
      <c r="O550" t="n">
        <v>5.923763</v>
      </c>
      <c r="P550" t="n">
        <v>5.842963</v>
      </c>
      <c r="Q550" t="n">
        <v>10.28307</v>
      </c>
      <c r="R550" t="n">
        <v>15.03619</v>
      </c>
      <c r="S550" t="n">
        <v>70.11909</v>
      </c>
      <c r="T550" t="n">
        <v>19.64301</v>
      </c>
      <c r="U550" t="n">
        <v>6.899707</v>
      </c>
      <c r="V550" t="n">
        <v>29.53881</v>
      </c>
      <c r="W550" t="n">
        <v>27.00853</v>
      </c>
      <c r="X550" t="n">
        <v>24.09939</v>
      </c>
      <c r="Y550" t="n">
        <v>10.2618</v>
      </c>
      <c r="Z550" t="n">
        <v>11.78214</v>
      </c>
      <c r="AA550" t="n">
        <v>0.7501374</v>
      </c>
      <c r="AB550" t="n">
        <v>29.86357</v>
      </c>
      <c r="AC550" t="n">
        <v>0.3877662</v>
      </c>
      <c r="AD550" t="n">
        <v>31.16122</v>
      </c>
      <c r="AE550" t="n">
        <v>11.16728</v>
      </c>
    </row>
    <row r="551">
      <c r="A551" s="87" t="n">
        <v>35339</v>
      </c>
      <c r="B551" t="n">
        <v>18.12404</v>
      </c>
      <c r="C551" t="n">
        <v>5.836198</v>
      </c>
      <c r="D551" t="n">
        <v>28.63383</v>
      </c>
      <c r="E551" t="n">
        <v>47.29422</v>
      </c>
      <c r="F551" t="n">
        <v>13.55807</v>
      </c>
      <c r="G551" t="n">
        <v>5.612128</v>
      </c>
      <c r="H551" t="n">
        <v>9.723128000000001</v>
      </c>
      <c r="I551" t="n">
        <v/>
      </c>
      <c r="J551" t="n">
        <v>30.43632</v>
      </c>
      <c r="K551" t="n">
        <v>31.68658</v>
      </c>
      <c r="L551" t="n">
        <v>37.46374</v>
      </c>
      <c r="M551" t="n">
        <v>28.87092</v>
      </c>
      <c r="N551" t="n">
        <v>16.77673</v>
      </c>
      <c r="O551" t="n">
        <v>6.077827</v>
      </c>
      <c r="P551" t="n">
        <v>5.897906</v>
      </c>
      <c r="Q551" t="n">
        <v>10.27889</v>
      </c>
      <c r="R551" t="n">
        <v>15.25845</v>
      </c>
      <c r="S551" t="n">
        <v>70.38903999999999</v>
      </c>
      <c r="T551" t="n">
        <v>19.8932</v>
      </c>
      <c r="U551" t="n">
        <v>7.080871</v>
      </c>
      <c r="V551" t="n">
        <v>29.73864</v>
      </c>
      <c r="W551" t="n">
        <v>27.66727</v>
      </c>
      <c r="X551" t="n">
        <v>24.3602</v>
      </c>
      <c r="Y551" t="n">
        <v>10.5042</v>
      </c>
      <c r="Z551" t="n">
        <v>12.01356</v>
      </c>
      <c r="AA551" t="n">
        <v>0.7628025</v>
      </c>
      <c r="AB551" t="n">
        <v>29.99244</v>
      </c>
      <c r="AC551" t="n">
        <v>0.4158096</v>
      </c>
      <c r="AD551" t="n">
        <v>31.32228</v>
      </c>
      <c r="AE551" t="n">
        <v>11.28855</v>
      </c>
    </row>
    <row r="552">
      <c r="A552" s="87" t="n">
        <v>35370</v>
      </c>
      <c r="B552" t="n">
        <v>18.40701</v>
      </c>
      <c r="C552" t="n">
        <v>5.956506</v>
      </c>
      <c r="D552" t="n">
        <v>28.72161</v>
      </c>
      <c r="E552" t="n">
        <v>47.54415</v>
      </c>
      <c r="F552" t="n">
        <v>13.70026</v>
      </c>
      <c r="G552" t="n">
        <v>5.692238</v>
      </c>
      <c r="H552" t="n">
        <v>9.843073</v>
      </c>
      <c r="I552" t="n">
        <v/>
      </c>
      <c r="J552" t="n">
        <v>30.84556</v>
      </c>
      <c r="K552" t="n">
        <v>32.00305</v>
      </c>
      <c r="L552" t="n">
        <v>37.57867</v>
      </c>
      <c r="M552" t="n">
        <v>29.27348</v>
      </c>
      <c r="N552" t="n">
        <v>17.05226</v>
      </c>
      <c r="O552" t="n">
        <v>6.27933</v>
      </c>
      <c r="P552" t="n">
        <v>5.962363</v>
      </c>
      <c r="Q552" t="n">
        <v>10.31674</v>
      </c>
      <c r="R552" t="n">
        <v>15.55232</v>
      </c>
      <c r="S552" t="n">
        <v>70.47083000000001</v>
      </c>
      <c r="T552" t="n">
        <v>20.06962</v>
      </c>
      <c r="U552" t="n">
        <v>7.204772</v>
      </c>
      <c r="V552" t="n">
        <v>29.89644</v>
      </c>
      <c r="W552" t="n">
        <v>27.92607</v>
      </c>
      <c r="X552" t="n">
        <v>24.62196</v>
      </c>
      <c r="Y552" t="n">
        <v>10.79386</v>
      </c>
      <c r="Z552" t="n">
        <v>12.23526</v>
      </c>
      <c r="AA552" t="n">
        <v>0.7750647000000001</v>
      </c>
      <c r="AB552" t="n">
        <v>30.18898</v>
      </c>
      <c r="AC552" t="n">
        <v>0.4461176</v>
      </c>
      <c r="AD552" t="n">
        <v>31.50742</v>
      </c>
      <c r="AE552" t="n">
        <v>11.40055</v>
      </c>
    </row>
    <row r="553">
      <c r="A553" s="87" t="n">
        <v>35400</v>
      </c>
      <c r="B553" t="n">
        <v>18.5583</v>
      </c>
      <c r="C553" t="n">
        <v>6.11346</v>
      </c>
      <c r="D553" t="n">
        <v>28.8479</v>
      </c>
      <c r="E553" t="n">
        <v>47.64013</v>
      </c>
      <c r="F553" t="n">
        <v>13.79819</v>
      </c>
      <c r="G553" t="n">
        <v>5.784771</v>
      </c>
      <c r="H553" t="n">
        <v>10.18256</v>
      </c>
      <c r="I553" t="n">
        <v/>
      </c>
      <c r="J553" t="n">
        <v>31.36627</v>
      </c>
      <c r="K553" t="n">
        <v>32.13941</v>
      </c>
      <c r="L553" t="n">
        <v>38.1425</v>
      </c>
      <c r="M553" t="n">
        <v>29.539</v>
      </c>
      <c r="N553" t="n">
        <v>17.27192</v>
      </c>
      <c r="O553" t="n">
        <v>6.4574</v>
      </c>
      <c r="P553" t="n">
        <v>6.050006</v>
      </c>
      <c r="Q553" t="n">
        <v>10.45908</v>
      </c>
      <c r="R553" t="n">
        <v>15.76213</v>
      </c>
      <c r="S553" t="n">
        <v>70.50355999999999</v>
      </c>
      <c r="T553" t="n">
        <v>20.38235</v>
      </c>
      <c r="U553" t="n">
        <v>7.326551</v>
      </c>
      <c r="V553" t="n">
        <v>29.97258</v>
      </c>
      <c r="W553" t="n">
        <v>27.6258</v>
      </c>
      <c r="X553" t="n">
        <v>24.90104</v>
      </c>
      <c r="Y553" t="n">
        <v>11.10389</v>
      </c>
      <c r="Z553" t="n">
        <v>12.51805</v>
      </c>
      <c r="AA553" t="n">
        <v>0.7881101</v>
      </c>
      <c r="AB553" t="n">
        <v>30.45578</v>
      </c>
      <c r="AC553" t="n">
        <v>0.4823274</v>
      </c>
      <c r="AD553" t="n">
        <v>31.70252</v>
      </c>
      <c r="AE553" t="n">
        <v>11.43086</v>
      </c>
    </row>
    <row r="554">
      <c r="A554" s="87" t="n">
        <v>35431</v>
      </c>
      <c r="B554" t="n">
        <v>18.66757</v>
      </c>
      <c r="C554" t="n">
        <v>6.282371</v>
      </c>
      <c r="D554" t="n">
        <v>28.90378</v>
      </c>
      <c r="E554" t="n">
        <v>47.93684</v>
      </c>
      <c r="F554" t="n">
        <v>14.00836</v>
      </c>
      <c r="G554" t="n">
        <v>5.889438</v>
      </c>
      <c r="H554" t="n">
        <v>10.51262</v>
      </c>
      <c r="I554" t="n">
        <v/>
      </c>
      <c r="J554" t="n">
        <v>31.33547</v>
      </c>
      <c r="K554" t="n">
        <v>32.44167</v>
      </c>
      <c r="L554" t="n">
        <v>38.39734</v>
      </c>
      <c r="M554" t="n">
        <v>29.82633</v>
      </c>
      <c r="N554" t="n">
        <v>17.44354</v>
      </c>
      <c r="O554" t="n">
        <v>6.598531</v>
      </c>
      <c r="P554" t="n">
        <v>6.157489</v>
      </c>
      <c r="Q554" t="n">
        <v>10.50854</v>
      </c>
      <c r="R554" t="n">
        <v>16.07555</v>
      </c>
      <c r="S554" t="n">
        <v>70.64261999999999</v>
      </c>
      <c r="T554" t="n">
        <v>20.66908</v>
      </c>
      <c r="U554" t="n">
        <v>7.479947</v>
      </c>
      <c r="V554" t="n">
        <v>29.94015</v>
      </c>
      <c r="W554" t="n">
        <v>27.73085</v>
      </c>
      <c r="X554" t="n">
        <v>25.15675</v>
      </c>
      <c r="Y554" t="n">
        <v>11.38402</v>
      </c>
      <c r="Z554" t="n">
        <v>12.78282</v>
      </c>
      <c r="AA554" t="n">
        <v>0.787336</v>
      </c>
      <c r="AB554" t="n">
        <v>30.09051</v>
      </c>
      <c r="AC554" t="n">
        <v>0.5164651</v>
      </c>
      <c r="AD554" t="n">
        <v>31.83535</v>
      </c>
      <c r="AE554" t="n">
        <v>11.59726</v>
      </c>
    </row>
    <row r="555">
      <c r="A555" s="87" t="n">
        <v>35462</v>
      </c>
      <c r="B555" t="n">
        <v>18.79925</v>
      </c>
      <c r="C555" t="n">
        <v>6.410391</v>
      </c>
      <c r="D555" t="n">
        <v>29.15843</v>
      </c>
      <c r="E555" t="n">
        <v>48.58108</v>
      </c>
      <c r="F555" t="n">
        <v>14.28699</v>
      </c>
      <c r="G555" t="n">
        <v>5.991261</v>
      </c>
      <c r="H555" t="n">
        <v>10.60062</v>
      </c>
      <c r="I555" t="n">
        <v/>
      </c>
      <c r="J555" t="n">
        <v>31.16679</v>
      </c>
      <c r="K555" t="n">
        <v>32.74386</v>
      </c>
      <c r="L555" t="n">
        <v>38.25386</v>
      </c>
      <c r="M555" t="n">
        <v>30.31353</v>
      </c>
      <c r="N555" t="n">
        <v>17.61095</v>
      </c>
      <c r="O555" t="n">
        <v>6.718781</v>
      </c>
      <c r="P555" t="n">
        <v>6.260836</v>
      </c>
      <c r="Q555" t="n">
        <v>10.57753</v>
      </c>
      <c r="R555" t="n">
        <v>16.40443</v>
      </c>
      <c r="S555" t="n">
        <v>70.6917</v>
      </c>
      <c r="T555" t="n">
        <v>20.89647</v>
      </c>
      <c r="U555" t="n">
        <v>7.645288</v>
      </c>
      <c r="V555" t="n">
        <v>29.69232</v>
      </c>
      <c r="W555" t="n">
        <v>27.85063</v>
      </c>
      <c r="X555" t="n">
        <v>25.34501</v>
      </c>
      <c r="Y555" t="n">
        <v>11.59832</v>
      </c>
      <c r="Z555" t="n">
        <v>12.98265</v>
      </c>
      <c r="AA555" t="n">
        <v>0.7975746</v>
      </c>
      <c r="AB555" t="n">
        <v>29.95451</v>
      </c>
      <c r="AC555" t="n">
        <v>0.5456225</v>
      </c>
      <c r="AD555" t="n">
        <v>31.93249</v>
      </c>
      <c r="AE555" t="n">
        <v>11.78414</v>
      </c>
    </row>
    <row r="556">
      <c r="A556" s="87" t="n">
        <v>35490</v>
      </c>
      <c r="B556" t="n">
        <v>18.90291</v>
      </c>
      <c r="C556" t="n">
        <v>6.501035</v>
      </c>
      <c r="D556" t="n">
        <v>29.41634</v>
      </c>
      <c r="E556" t="n">
        <v>48.642</v>
      </c>
      <c r="F556" t="n">
        <v>14.49251</v>
      </c>
      <c r="G556" t="n">
        <v>6.080154</v>
      </c>
      <c r="H556" t="n">
        <v>10.71271</v>
      </c>
      <c r="I556" t="n">
        <v/>
      </c>
      <c r="J556" t="n">
        <v>31.20493</v>
      </c>
      <c r="K556" t="n">
        <v>32.87739</v>
      </c>
      <c r="L556" t="n">
        <v>38.34108</v>
      </c>
      <c r="M556" t="n">
        <v>30.5465</v>
      </c>
      <c r="N556" t="n">
        <v>17.76624</v>
      </c>
      <c r="O556" t="n">
        <v>6.824524</v>
      </c>
      <c r="P556" t="n">
        <v>6.354182</v>
      </c>
      <c r="Q556" t="n">
        <v>10.64474</v>
      </c>
      <c r="R556" t="n">
        <v>16.61377</v>
      </c>
      <c r="S556" t="n">
        <v>70.91256</v>
      </c>
      <c r="T556" t="n">
        <v>21.18862</v>
      </c>
      <c r="U556" t="n">
        <v>7.843302</v>
      </c>
      <c r="V556" t="n">
        <v>29.59722</v>
      </c>
      <c r="W556" t="n">
        <v>27.8828</v>
      </c>
      <c r="X556" t="n">
        <v>25.55153</v>
      </c>
      <c r="Y556" t="n">
        <v>11.79143</v>
      </c>
      <c r="Z556" t="n">
        <v>13.22568</v>
      </c>
      <c r="AA556" t="n">
        <v>0.8230656</v>
      </c>
      <c r="AB556" t="n">
        <v>30.3448</v>
      </c>
      <c r="AC556" t="n">
        <v>0.5767538</v>
      </c>
      <c r="AD556" t="n">
        <v>32.05619</v>
      </c>
      <c r="AE556" t="n">
        <v>11.95954</v>
      </c>
    </row>
    <row r="557">
      <c r="A557" s="87" t="n">
        <v>35521</v>
      </c>
      <c r="B557" t="n">
        <v>19.02899</v>
      </c>
      <c r="C557" t="n">
        <v>6.601151</v>
      </c>
      <c r="D557" t="n">
        <v>29.38351</v>
      </c>
      <c r="E557" t="n">
        <v>48.59583</v>
      </c>
      <c r="F557" t="n">
        <v>14.73913</v>
      </c>
      <c r="G557" t="n">
        <v>6.176091</v>
      </c>
      <c r="H557" t="n">
        <v>10.92684</v>
      </c>
      <c r="I557" t="n">
        <v/>
      </c>
      <c r="J557" t="n">
        <v>31.31494</v>
      </c>
      <c r="K557" t="n">
        <v>32.83972</v>
      </c>
      <c r="L557" t="n">
        <v>38.42094</v>
      </c>
      <c r="M557" t="n">
        <v>30.64983</v>
      </c>
      <c r="N557" t="n">
        <v>17.94163</v>
      </c>
      <c r="O557" t="n">
        <v>6.913844</v>
      </c>
      <c r="P557" t="n">
        <v>6.42922</v>
      </c>
      <c r="Q557" t="n">
        <v>10.74691</v>
      </c>
      <c r="R557" t="n">
        <v>16.84849</v>
      </c>
      <c r="S557" t="n">
        <v>71.33792</v>
      </c>
      <c r="T557" t="n">
        <v>21.40802</v>
      </c>
      <c r="U557" t="n">
        <v>8.059464999999999</v>
      </c>
      <c r="V557" t="n">
        <v>29.69263</v>
      </c>
      <c r="W557" t="n">
        <v>28.16994</v>
      </c>
      <c r="X557" t="n">
        <v>25.75827</v>
      </c>
      <c r="Y557" t="n">
        <v>11.95693</v>
      </c>
      <c r="Z557" t="n">
        <v>13.53003</v>
      </c>
      <c r="AA557" t="n">
        <v>0.8416175</v>
      </c>
      <c r="AB557" t="n">
        <v>30.32062</v>
      </c>
      <c r="AC557" t="n">
        <v>0.606689</v>
      </c>
      <c r="AD557" t="n">
        <v>32.18736</v>
      </c>
      <c r="AE557" t="n">
        <v>12.14758</v>
      </c>
    </row>
    <row r="558">
      <c r="A558" s="87" t="n">
        <v>35551</v>
      </c>
      <c r="B558" t="n">
        <v>19.18868</v>
      </c>
      <c r="C558" t="n">
        <v>6.701097</v>
      </c>
      <c r="D558" t="n">
        <v>29.39566</v>
      </c>
      <c r="E558" t="n">
        <v>48.87206</v>
      </c>
      <c r="F558" t="n">
        <v>15.01555</v>
      </c>
      <c r="G558" t="n">
        <v>6.271111</v>
      </c>
      <c r="H558" t="n">
        <v>11.12395</v>
      </c>
      <c r="I558" t="n">
        <v/>
      </c>
      <c r="J558" t="n">
        <v>31.87966</v>
      </c>
      <c r="K558" t="n">
        <v>32.8327</v>
      </c>
      <c r="L558" t="n">
        <v>38.61496</v>
      </c>
      <c r="M558" t="n">
        <v>30.79809</v>
      </c>
      <c r="N558" t="n">
        <v>18.25872</v>
      </c>
      <c r="O558" t="n">
        <v>6.994459</v>
      </c>
      <c r="P558" t="n">
        <v>6.495253</v>
      </c>
      <c r="Q558" t="n">
        <v>10.86526</v>
      </c>
      <c r="R558" t="n">
        <v>17.11006</v>
      </c>
      <c r="S558" t="n">
        <v>71.45244</v>
      </c>
      <c r="T558" t="n">
        <v>21.61107</v>
      </c>
      <c r="U558" t="n">
        <v>8.253190999999999</v>
      </c>
      <c r="V558" t="n">
        <v>29.81617</v>
      </c>
      <c r="W558" t="n">
        <v>28.37377</v>
      </c>
      <c r="X558" t="n">
        <v>25.93994</v>
      </c>
      <c r="Y558" t="n">
        <v>12.14195</v>
      </c>
      <c r="Z558" t="n">
        <v>13.86675</v>
      </c>
      <c r="AA558" t="n">
        <v>0.8648307</v>
      </c>
      <c r="AB558" t="n">
        <v>30.32071</v>
      </c>
      <c r="AC558" t="n">
        <v>0.6342878</v>
      </c>
      <c r="AD558" t="n">
        <v>32.28865</v>
      </c>
      <c r="AE558" t="n">
        <v>12.33898</v>
      </c>
    </row>
    <row r="559">
      <c r="A559" s="87" t="n">
        <v>35582</v>
      </c>
      <c r="B559" t="n">
        <v>19.29234</v>
      </c>
      <c r="C559" t="n">
        <v>6.814373</v>
      </c>
      <c r="D559" t="n">
        <v>29.45434</v>
      </c>
      <c r="E559" t="n">
        <v>48.99339</v>
      </c>
      <c r="F559" t="n">
        <v>15.23941</v>
      </c>
      <c r="G559" t="n">
        <v>6.350216</v>
      </c>
      <c r="H559" t="n">
        <v>11.35065</v>
      </c>
      <c r="I559" t="n">
        <v/>
      </c>
      <c r="J559" t="n">
        <v>32.17155</v>
      </c>
      <c r="K559" t="n">
        <v>33.10973</v>
      </c>
      <c r="L559" t="n">
        <v>38.91141</v>
      </c>
      <c r="M559" t="n">
        <v>31.35843</v>
      </c>
      <c r="N559" t="n">
        <v>18.56101</v>
      </c>
      <c r="O559" t="n">
        <v>7.104663</v>
      </c>
      <c r="P559" t="n">
        <v>6.591904</v>
      </c>
      <c r="Q559" t="n">
        <v>10.84021</v>
      </c>
      <c r="R559" t="n">
        <v>17.41987</v>
      </c>
      <c r="S559" t="n">
        <v>71.72238</v>
      </c>
      <c r="T559" t="n">
        <v>21.91967</v>
      </c>
      <c r="U559" t="n">
        <v>8.466509</v>
      </c>
      <c r="V559" t="n">
        <v>30.05842</v>
      </c>
      <c r="W559" t="n">
        <v>28.39077</v>
      </c>
      <c r="X559" t="n">
        <v>26.18962</v>
      </c>
      <c r="Y559" t="n">
        <v>12.41655</v>
      </c>
      <c r="Z559" t="n">
        <v>14.18745</v>
      </c>
      <c r="AA559" t="n">
        <v>0.8869085</v>
      </c>
      <c r="AB559" t="n">
        <v>30.60115</v>
      </c>
      <c r="AC559" t="n">
        <v>0.6678741</v>
      </c>
      <c r="AD559" t="n">
        <v>32.42812</v>
      </c>
      <c r="AE559" t="n">
        <v>12.46334</v>
      </c>
    </row>
    <row r="560">
      <c r="A560" s="87" t="n">
        <v>35612</v>
      </c>
      <c r="B560" t="n">
        <v>19.36519</v>
      </c>
      <c r="C560" t="n">
        <v>6.925105</v>
      </c>
      <c r="D560" t="n">
        <v>29.4226</v>
      </c>
      <c r="E560" t="n">
        <v>48.99782</v>
      </c>
      <c r="F560" t="n">
        <v>15.44487</v>
      </c>
      <c r="G560" t="n">
        <v>6.417188</v>
      </c>
      <c r="H560" t="n">
        <v>11.64693</v>
      </c>
      <c r="I560" t="n">
        <v/>
      </c>
      <c r="J560" t="n">
        <v>32.39011</v>
      </c>
      <c r="K560" t="n">
        <v>33.48093</v>
      </c>
      <c r="L560" t="n">
        <v>39.03286</v>
      </c>
      <c r="M560" t="n">
        <v>32.0337</v>
      </c>
      <c r="N560" t="n">
        <v>18.89854</v>
      </c>
      <c r="O560" t="n">
        <v>7.220211</v>
      </c>
      <c r="P560" t="n">
        <v>6.673553</v>
      </c>
      <c r="Q560" t="n">
        <v>10.92542</v>
      </c>
      <c r="R560" t="n">
        <v>17.69016</v>
      </c>
      <c r="S560" t="n">
        <v>71.96778</v>
      </c>
      <c r="T560" t="n">
        <v>22.21608</v>
      </c>
      <c r="U560" t="n">
        <v>8.677898000000001</v>
      </c>
      <c r="V560" t="n">
        <v>30.35822</v>
      </c>
      <c r="W560" t="n">
        <v>28.59347</v>
      </c>
      <c r="X560" t="n">
        <v>26.46357</v>
      </c>
      <c r="Y560" t="n">
        <v>12.7534</v>
      </c>
      <c r="Z560" t="n">
        <v>14.56986</v>
      </c>
      <c r="AA560" t="n">
        <v>0.9112379</v>
      </c>
      <c r="AB560" t="n">
        <v>30.65915</v>
      </c>
      <c r="AC560" t="n">
        <v>0.7129062</v>
      </c>
      <c r="AD560" t="n">
        <v>32.57673</v>
      </c>
      <c r="AE560" t="n">
        <v>12.56517</v>
      </c>
    </row>
    <row r="561">
      <c r="A561" s="87" t="n">
        <v>35643</v>
      </c>
      <c r="B561" t="n">
        <v>19.43243</v>
      </c>
      <c r="C561" t="n">
        <v>7.033722</v>
      </c>
      <c r="D561" t="n">
        <v>29.65926</v>
      </c>
      <c r="E561" t="n">
        <v>48.97443</v>
      </c>
      <c r="F561" t="n">
        <v>15.57421</v>
      </c>
      <c r="G561" t="n">
        <v>6.49408</v>
      </c>
      <c r="H561" t="n">
        <v>11.84507</v>
      </c>
      <c r="I561" t="n">
        <v/>
      </c>
      <c r="J561" t="n">
        <v>32.94163</v>
      </c>
      <c r="K561" t="n">
        <v>33.54644</v>
      </c>
      <c r="L561" t="n">
        <v>38.95157</v>
      </c>
      <c r="M561" t="n">
        <v>32.39668</v>
      </c>
      <c r="N561" t="n">
        <v>19.21536</v>
      </c>
      <c r="O561" t="n">
        <v>7.380085</v>
      </c>
      <c r="P561" t="n">
        <v>6.733028</v>
      </c>
      <c r="Q561" t="n">
        <v>11.01565</v>
      </c>
      <c r="R561" t="n">
        <v>17.8732</v>
      </c>
      <c r="S561" t="n">
        <v>72.205</v>
      </c>
      <c r="T561" t="n">
        <v>22.48274</v>
      </c>
      <c r="U561" t="n">
        <v>8.869699000000001</v>
      </c>
      <c r="V561" t="n">
        <v>30.5852</v>
      </c>
      <c r="W561" t="n">
        <v>29.04001</v>
      </c>
      <c r="X561" t="n">
        <v>26.77344</v>
      </c>
      <c r="Y561" t="n">
        <v>13.06564</v>
      </c>
      <c r="Z561" t="n">
        <v>14.87917</v>
      </c>
      <c r="AA561" t="n">
        <v>0.9424806999999999</v>
      </c>
      <c r="AB561" t="n">
        <v>30.73143</v>
      </c>
      <c r="AC561" t="n">
        <v>0.7659566</v>
      </c>
      <c r="AD561" t="n">
        <v>32.85485</v>
      </c>
      <c r="AE561" t="n">
        <v>12.74658</v>
      </c>
    </row>
    <row r="562">
      <c r="A562" s="87" t="n">
        <v>35674</v>
      </c>
      <c r="B562" t="n">
        <v>19.46605</v>
      </c>
      <c r="C562" t="n">
        <v>7.150209</v>
      </c>
      <c r="D562" t="n">
        <v>29.80214</v>
      </c>
      <c r="E562" t="n">
        <v>49.0022</v>
      </c>
      <c r="F562" t="n">
        <v>15.8124</v>
      </c>
      <c r="G562" t="n">
        <v>6.587339</v>
      </c>
      <c r="H562" t="n">
        <v>12.07893</v>
      </c>
      <c r="I562" t="n">
        <v/>
      </c>
      <c r="J562" t="n">
        <v>32.95923</v>
      </c>
      <c r="K562" t="n">
        <v>33.32341</v>
      </c>
      <c r="L562" t="n">
        <v>38.94899</v>
      </c>
      <c r="M562" t="n">
        <v>31.63585</v>
      </c>
      <c r="N562" t="n">
        <v>19.45367</v>
      </c>
      <c r="O562" t="n">
        <v>7.535261</v>
      </c>
      <c r="P562" t="n">
        <v>6.807507</v>
      </c>
      <c r="Q562" t="n">
        <v>11.09088</v>
      </c>
      <c r="R562" t="n">
        <v>18.14192</v>
      </c>
      <c r="S562" t="n">
        <v>72.34406</v>
      </c>
      <c r="T562" t="n">
        <v>22.74024</v>
      </c>
      <c r="U562" t="n">
        <v>9.039892</v>
      </c>
      <c r="V562" t="n">
        <v>30.93669</v>
      </c>
      <c r="W562" t="n">
        <v>29.58066</v>
      </c>
      <c r="X562" t="n">
        <v>26.94558</v>
      </c>
      <c r="Y562" t="n">
        <v>13.19658</v>
      </c>
      <c r="Z562" t="n">
        <v>15.12022</v>
      </c>
      <c r="AA562" t="n">
        <v>0.9708397</v>
      </c>
      <c r="AB562" t="n">
        <v>30.76234</v>
      </c>
      <c r="AC562" t="n">
        <v>0.8213317</v>
      </c>
      <c r="AD562" t="n">
        <v>32.9852</v>
      </c>
      <c r="AE562" t="n">
        <v>13.00674</v>
      </c>
    </row>
    <row r="563">
      <c r="A563" s="87" t="n">
        <v>35704</v>
      </c>
      <c r="B563" t="n">
        <v>19.5501</v>
      </c>
      <c r="C563" t="n">
        <v>7.269639</v>
      </c>
      <c r="D563" t="n">
        <v>30.00246</v>
      </c>
      <c r="E563" t="n">
        <v>49.14169</v>
      </c>
      <c r="F563" t="n">
        <v>16.13426</v>
      </c>
      <c r="G563" t="n">
        <v>6.707353</v>
      </c>
      <c r="H563" t="n">
        <v>12.39383</v>
      </c>
      <c r="I563" t="n">
        <v/>
      </c>
      <c r="J563" t="n">
        <v>32.86242</v>
      </c>
      <c r="K563" t="n">
        <v>33.88049</v>
      </c>
      <c r="L563" t="n">
        <v>39.06906</v>
      </c>
      <c r="M563" t="n">
        <v>31.33485</v>
      </c>
      <c r="N563" t="n">
        <v>19.87725</v>
      </c>
      <c r="O563" t="n">
        <v>7.729321</v>
      </c>
      <c r="P563" t="n">
        <v>6.900248</v>
      </c>
      <c r="Q563" t="n">
        <v>11.21893</v>
      </c>
      <c r="R563" t="n">
        <v>18.38613</v>
      </c>
      <c r="S563" t="n">
        <v>72.55674</v>
      </c>
      <c r="T563" t="n">
        <v>23.0299</v>
      </c>
      <c r="U563" t="n">
        <v>9.197709</v>
      </c>
      <c r="V563" t="n">
        <v>31.14988</v>
      </c>
      <c r="W563" t="n">
        <v>29.61273</v>
      </c>
      <c r="X563" t="n">
        <v>27.18036</v>
      </c>
      <c r="Y563" t="n">
        <v>13.43364</v>
      </c>
      <c r="Z563" t="n">
        <v>15.49076</v>
      </c>
      <c r="AA563" t="n">
        <v>0.9902109</v>
      </c>
      <c r="AB563" t="n">
        <v>30.71762</v>
      </c>
      <c r="AC563" t="n">
        <v>0.8797743</v>
      </c>
      <c r="AD563" t="n">
        <v>33.1446</v>
      </c>
      <c r="AE563" t="n">
        <v>13.30424</v>
      </c>
    </row>
    <row r="564">
      <c r="A564" s="87" t="n">
        <v>35735</v>
      </c>
      <c r="B564" t="n">
        <v>19.67617</v>
      </c>
      <c r="C564" t="n">
        <v>7.337827</v>
      </c>
      <c r="D564" t="n">
        <v>30.10957</v>
      </c>
      <c r="E564" t="n">
        <v>49.12133</v>
      </c>
      <c r="F564" t="n">
        <v>16.33817</v>
      </c>
      <c r="G564" t="n">
        <v>6.820851</v>
      </c>
      <c r="H564" t="n">
        <v>12.71942</v>
      </c>
      <c r="I564" t="n">
        <v/>
      </c>
      <c r="J564" t="n">
        <v>33.10298</v>
      </c>
      <c r="K564" t="n">
        <v>34.43483</v>
      </c>
      <c r="L564" t="n">
        <v>39.30001</v>
      </c>
      <c r="M564" t="n">
        <v>32.01231</v>
      </c>
      <c r="N564" t="n">
        <v>20.14878</v>
      </c>
      <c r="O564" t="n">
        <v>7.756963</v>
      </c>
      <c r="P564" t="n">
        <v>7.008625</v>
      </c>
      <c r="Q564" t="n">
        <v>11.31841</v>
      </c>
      <c r="R564" t="n">
        <v>18.5992</v>
      </c>
      <c r="S564" t="n">
        <v>72.7367</v>
      </c>
      <c r="T564" t="n">
        <v>23.31915</v>
      </c>
      <c r="U564" t="n">
        <v>9.389153</v>
      </c>
      <c r="V564" t="n">
        <v>31.17156</v>
      </c>
      <c r="W564" t="n">
        <v>29.46295</v>
      </c>
      <c r="X564" t="n">
        <v>27.48164</v>
      </c>
      <c r="Y564" t="n">
        <v>13.81028</v>
      </c>
      <c r="Z564" t="n">
        <v>15.87218</v>
      </c>
      <c r="AA564" t="n">
        <v>1.013775</v>
      </c>
      <c r="AB564" t="n">
        <v>30.77787</v>
      </c>
      <c r="AC564" t="n">
        <v>0.9361539</v>
      </c>
      <c r="AD564" t="n">
        <v>33.3314</v>
      </c>
      <c r="AE564" t="n">
        <v>13.45254</v>
      </c>
    </row>
    <row r="565">
      <c r="A565" s="87" t="n">
        <v>35765</v>
      </c>
      <c r="B565" t="n">
        <v>19.77703</v>
      </c>
      <c r="C565" t="n">
        <v>7.361204</v>
      </c>
      <c r="D565" t="n">
        <v>30.46363</v>
      </c>
      <c r="E565" t="n">
        <v>49.09397</v>
      </c>
      <c r="F565" t="n">
        <v>16.56314</v>
      </c>
      <c r="G565" t="n">
        <v>6.896974</v>
      </c>
      <c r="H565" t="n">
        <v>13.07172</v>
      </c>
      <c r="I565" t="n">
        <v/>
      </c>
      <c r="J565" t="n">
        <v>33.87745</v>
      </c>
      <c r="K565" t="n">
        <v>34.49414</v>
      </c>
      <c r="L565" t="n">
        <v>39.86291</v>
      </c>
      <c r="M565" t="n">
        <v>32.38547</v>
      </c>
      <c r="N565" t="n">
        <v>20.48259</v>
      </c>
      <c r="O565" t="n">
        <v>7.851746</v>
      </c>
      <c r="P565" t="n">
        <v>7.115165</v>
      </c>
      <c r="Q565" t="n">
        <v>11.43372</v>
      </c>
      <c r="R565" t="n">
        <v>18.92644</v>
      </c>
      <c r="S565" t="n">
        <v>73.1866</v>
      </c>
      <c r="T565" t="n">
        <v>23.45733</v>
      </c>
      <c r="U565" t="n">
        <v>9.591018999999999</v>
      </c>
      <c r="V565" t="n">
        <v>31.03409</v>
      </c>
      <c r="W565" t="n">
        <v>29.58231</v>
      </c>
      <c r="X565" t="n">
        <v>27.75378</v>
      </c>
      <c r="Y565" t="n">
        <v>14.08855</v>
      </c>
      <c r="Z565" t="n">
        <v>16.14701</v>
      </c>
      <c r="AA565" t="n">
        <v>1.017778</v>
      </c>
      <c r="AB565" t="n">
        <v>30.84664</v>
      </c>
      <c r="AC565" t="n">
        <v>0.9816454999999999</v>
      </c>
      <c r="AD565" t="n">
        <v>33.48167</v>
      </c>
      <c r="AE565" t="n">
        <v>13.46525</v>
      </c>
    </row>
    <row r="566">
      <c r="A566" s="87" t="n">
        <v>35796</v>
      </c>
      <c r="B566" t="n">
        <v>19.8863</v>
      </c>
      <c r="C566" t="n">
        <v>7.387067</v>
      </c>
      <c r="D566" t="n">
        <v>30.39307</v>
      </c>
      <c r="E566" t="n">
        <v>49.1437</v>
      </c>
      <c r="F566" t="n">
        <v>16.57145</v>
      </c>
      <c r="G566" t="n">
        <v>6.920873</v>
      </c>
      <c r="H566" t="n">
        <v>13.2836</v>
      </c>
      <c r="I566" t="n">
        <v/>
      </c>
      <c r="J566" t="n">
        <v>33.85545</v>
      </c>
      <c r="K566" t="n">
        <v>34.67443</v>
      </c>
      <c r="L566" t="n">
        <v>40.20127</v>
      </c>
      <c r="M566" t="n">
        <v>32.79811</v>
      </c>
      <c r="N566" t="n">
        <v>20.51287</v>
      </c>
      <c r="O566" t="n">
        <v>9.1999</v>
      </c>
      <c r="P566" t="n">
        <v>7.197979</v>
      </c>
      <c r="Q566" t="n">
        <v>11.57543</v>
      </c>
      <c r="R566" t="n">
        <v>19.20503</v>
      </c>
      <c r="S566" t="n">
        <v>73.60378</v>
      </c>
      <c r="T566" t="n">
        <v>23.71819</v>
      </c>
      <c r="U566" t="n">
        <v>9.818723</v>
      </c>
      <c r="V566" t="n">
        <v>31.14287</v>
      </c>
      <c r="W566" t="n">
        <v>29.94646</v>
      </c>
      <c r="X566" t="n">
        <v>28.03015</v>
      </c>
      <c r="Y566" t="n">
        <v>14.37353</v>
      </c>
      <c r="Z566" t="n">
        <v>16.36671</v>
      </c>
      <c r="AA566" t="n">
        <v>1.005227</v>
      </c>
      <c r="AB566" t="n">
        <v>30.87088</v>
      </c>
      <c r="AC566" t="n">
        <v>1.032217</v>
      </c>
      <c r="AD566" t="n">
        <v>33.67511</v>
      </c>
      <c r="AE566" t="n">
        <v>13.59869</v>
      </c>
    </row>
    <row r="567">
      <c r="A567" s="87" t="n">
        <v>35827</v>
      </c>
      <c r="B567" t="n">
        <v>19.98156</v>
      </c>
      <c r="C567" t="n">
        <v>7.451105</v>
      </c>
      <c r="D567" t="n">
        <v>30.32312</v>
      </c>
      <c r="E567" t="n">
        <v>49.22834</v>
      </c>
      <c r="F567" t="n">
        <v>16.51372</v>
      </c>
      <c r="G567" t="n">
        <v>6.944488</v>
      </c>
      <c r="H567" t="n">
        <v>13.38239</v>
      </c>
      <c r="I567" t="n">
        <v/>
      </c>
      <c r="J567" t="n">
        <v>33.08538</v>
      </c>
      <c r="K567" t="n">
        <v>34.63265</v>
      </c>
      <c r="L567" t="n">
        <v>40.19445</v>
      </c>
      <c r="M567" t="n">
        <v>33.08418</v>
      </c>
      <c r="N567" t="n">
        <v>20.42039</v>
      </c>
      <c r="O567" t="n">
        <v>10.13579</v>
      </c>
      <c r="P567" t="n">
        <v>7.301435</v>
      </c>
      <c r="Q567" t="n">
        <v>11.71373</v>
      </c>
      <c r="R567" t="n">
        <v>19.41048</v>
      </c>
      <c r="S567" t="n">
        <v>73.9637</v>
      </c>
      <c r="T567" t="n">
        <v>24.04285</v>
      </c>
      <c r="U567" t="n">
        <v>10.04383</v>
      </c>
      <c r="V567" t="n">
        <v>31.54311</v>
      </c>
      <c r="W567" t="n">
        <v>30.11696</v>
      </c>
      <c r="X567" t="n">
        <v>28.28302</v>
      </c>
      <c r="Y567" t="n">
        <v>14.57251</v>
      </c>
      <c r="Z567" t="n">
        <v>16.59349</v>
      </c>
      <c r="AA567" t="n">
        <v>0.9918360000000001</v>
      </c>
      <c r="AB567" t="n">
        <v>30.91277</v>
      </c>
      <c r="AC567" t="n">
        <v>1.08533</v>
      </c>
      <c r="AD567" t="n">
        <v>33.94658</v>
      </c>
      <c r="AE567" t="n">
        <v>13.90755</v>
      </c>
    </row>
    <row r="568">
      <c r="A568" s="87" t="n">
        <v>35855</v>
      </c>
      <c r="B568" t="n">
        <v>20.06</v>
      </c>
      <c r="C568" t="n">
        <v>7.60801</v>
      </c>
      <c r="D568" t="n">
        <v>30.26952</v>
      </c>
      <c r="E568" t="n">
        <v>49.46467</v>
      </c>
      <c r="F568" t="n">
        <v>16.72823</v>
      </c>
      <c r="G568" t="n">
        <v>7.014352</v>
      </c>
      <c r="H568" t="n">
        <v>13.57977</v>
      </c>
      <c r="I568" t="n">
        <v/>
      </c>
      <c r="J568" t="n">
        <v>33.15432</v>
      </c>
      <c r="K568" t="n">
        <v>34.57023</v>
      </c>
      <c r="L568" t="n">
        <v>40.27737</v>
      </c>
      <c r="M568" t="n">
        <v>33.26102</v>
      </c>
      <c r="N568" t="n">
        <v>20.99277</v>
      </c>
      <c r="O568" t="n">
        <v>10.21984</v>
      </c>
      <c r="P568" t="n">
        <v>7.467092</v>
      </c>
      <c r="Q568" t="n">
        <v>11.86561</v>
      </c>
      <c r="R568" t="n">
        <v>19.38402</v>
      </c>
      <c r="S568" t="n">
        <v>74.06187</v>
      </c>
      <c r="T568" t="n">
        <v>24.25603</v>
      </c>
      <c r="U568" t="n">
        <v>10.25363</v>
      </c>
      <c r="V568" t="n">
        <v>31.65472</v>
      </c>
      <c r="W568" t="n">
        <v>30.05574</v>
      </c>
      <c r="X568" t="n">
        <v>28.50228</v>
      </c>
      <c r="Y568" t="n">
        <v>14.7988</v>
      </c>
      <c r="Z568" t="n">
        <v>16.7987</v>
      </c>
      <c r="AA568" t="n">
        <v>0.9820357</v>
      </c>
      <c r="AB568" t="n">
        <v>30.70568</v>
      </c>
      <c r="AC568" t="n">
        <v>1.149293</v>
      </c>
      <c r="AD568" t="n">
        <v>34.15746</v>
      </c>
      <c r="AE568" t="n">
        <v>14.0296</v>
      </c>
    </row>
    <row r="569">
      <c r="A569" s="87" t="n">
        <v>35886</v>
      </c>
      <c r="B569" t="n">
        <v>20.16086</v>
      </c>
      <c r="C569" t="n">
        <v>7.760133</v>
      </c>
      <c r="D569" t="n">
        <v>30.24915</v>
      </c>
      <c r="E569" t="n">
        <v>49.55296</v>
      </c>
      <c r="F569" t="n">
        <v>16.93982</v>
      </c>
      <c r="G569" t="n">
        <v>7.097529</v>
      </c>
      <c r="H569" t="n">
        <v>13.74272</v>
      </c>
      <c r="I569" t="n">
        <v/>
      </c>
      <c r="J569" t="n">
        <v>33.279</v>
      </c>
      <c r="K569" t="n">
        <v>34.77716</v>
      </c>
      <c r="L569" t="n">
        <v>40.49218</v>
      </c>
      <c r="M569" t="n">
        <v>33.41034</v>
      </c>
      <c r="N569" t="n">
        <v>21.54021</v>
      </c>
      <c r="O569" t="n">
        <v>10.50697</v>
      </c>
      <c r="P569" t="n">
        <v>7.595877</v>
      </c>
      <c r="Q569" t="n">
        <v>12.02549</v>
      </c>
      <c r="R569" t="n">
        <v>19.55745</v>
      </c>
      <c r="S569" t="n">
        <v>74.23363999999999</v>
      </c>
      <c r="T569" t="n">
        <v>24.56082</v>
      </c>
      <c r="U569" t="n">
        <v>10.44661</v>
      </c>
      <c r="V569" t="n">
        <v>31.69126</v>
      </c>
      <c r="W569" t="n">
        <v>30.11765</v>
      </c>
      <c r="X569" t="n">
        <v>28.75471</v>
      </c>
      <c r="Y569" t="n">
        <v>15.08822</v>
      </c>
      <c r="Z569" t="n">
        <v>17.05557</v>
      </c>
      <c r="AA569" t="n">
        <v>0.9895746</v>
      </c>
      <c r="AB569" t="n">
        <v>30.61753</v>
      </c>
      <c r="AC569" t="n">
        <v>1.236946</v>
      </c>
      <c r="AD569" t="n">
        <v>34.37248</v>
      </c>
      <c r="AE569" t="n">
        <v>14.13862</v>
      </c>
    </row>
    <row r="570">
      <c r="A570" s="87" t="n">
        <v>35916</v>
      </c>
      <c r="B570" t="n">
        <v>20.27853</v>
      </c>
      <c r="C570" t="n">
        <v>7.874351</v>
      </c>
      <c r="D570" t="n">
        <v>30.47009</v>
      </c>
      <c r="E570" t="n">
        <v>49.30909</v>
      </c>
      <c r="F570" t="n">
        <v>17.09086</v>
      </c>
      <c r="G570" t="n">
        <v>7.183857</v>
      </c>
      <c r="H570" t="n">
        <v>13.94123</v>
      </c>
      <c r="I570" t="n">
        <v/>
      </c>
      <c r="J570" t="n">
        <v>33.59143</v>
      </c>
      <c r="K570" t="n">
        <v>35.09192</v>
      </c>
      <c r="L570" t="n">
        <v>40.79273</v>
      </c>
      <c r="M570" t="n">
        <v>33.69187</v>
      </c>
      <c r="N570" t="n">
        <v>21.88083</v>
      </c>
      <c r="O570" t="n">
        <v>10.94937</v>
      </c>
      <c r="P570" t="n">
        <v>7.678203</v>
      </c>
      <c r="Q570" t="n">
        <v>12.19087</v>
      </c>
      <c r="R570" t="n">
        <v>19.93372</v>
      </c>
      <c r="S570" t="n">
        <v>74.54449</v>
      </c>
      <c r="T570" t="n">
        <v>24.8321</v>
      </c>
      <c r="U570" t="n">
        <v>10.67014</v>
      </c>
      <c r="V570" t="n">
        <v>31.95716</v>
      </c>
      <c r="W570" t="n">
        <v>30.19068</v>
      </c>
      <c r="X570" t="n">
        <v>29.04582</v>
      </c>
      <c r="Y570" t="n">
        <v>15.4324</v>
      </c>
      <c r="Z570" t="n">
        <v>17.44366</v>
      </c>
      <c r="AA570" t="n">
        <v>1.000055</v>
      </c>
      <c r="AB570" t="n">
        <v>31.0512</v>
      </c>
      <c r="AC570" t="n">
        <v>1.326741</v>
      </c>
      <c r="AD570" t="n">
        <v>34.57339</v>
      </c>
      <c r="AE570" t="n">
        <v>14.32537</v>
      </c>
    </row>
    <row r="571">
      <c r="A571" s="87" t="n">
        <v>35947</v>
      </c>
      <c r="B571" t="n">
        <v>20.42142</v>
      </c>
      <c r="C571" t="n">
        <v>7.993677</v>
      </c>
      <c r="D571" t="n">
        <v>30.71585</v>
      </c>
      <c r="E571" t="n">
        <v>49.26659</v>
      </c>
      <c r="F571" t="n">
        <v>17.20771</v>
      </c>
      <c r="G571" t="n">
        <v>7.236238</v>
      </c>
      <c r="H571" t="n">
        <v>14.14619</v>
      </c>
      <c r="I571" t="n">
        <v/>
      </c>
      <c r="J571" t="n">
        <v>34.16201</v>
      </c>
      <c r="K571" t="n">
        <v>35.10186</v>
      </c>
      <c r="L571" t="n">
        <v>41.02006</v>
      </c>
      <c r="M571" t="n">
        <v>33.97663</v>
      </c>
      <c r="N571" t="n">
        <v>22.18449</v>
      </c>
      <c r="O571" t="n">
        <v>12.16559</v>
      </c>
      <c r="P571" t="n">
        <v>7.781397</v>
      </c>
      <c r="Q571" t="n">
        <v>12.35153</v>
      </c>
      <c r="R571" t="n">
        <v>20.18543</v>
      </c>
      <c r="S571" t="n">
        <v>74.60175</v>
      </c>
      <c r="T571" t="n">
        <v>24.96483</v>
      </c>
      <c r="U571" t="n">
        <v>10.90117</v>
      </c>
      <c r="V571" t="n">
        <v>32.0402</v>
      </c>
      <c r="W571" t="n">
        <v>30.31744</v>
      </c>
      <c r="X571" t="n">
        <v>29.3052</v>
      </c>
      <c r="Y571" t="n">
        <v>15.78412</v>
      </c>
      <c r="Z571" t="n">
        <v>17.88143</v>
      </c>
      <c r="AA571" t="n">
        <v>1.013684</v>
      </c>
      <c r="AB571" t="n">
        <v>31.50948</v>
      </c>
      <c r="AC571" t="n">
        <v>1.417856</v>
      </c>
      <c r="AD571" t="n">
        <v>34.73695</v>
      </c>
      <c r="AE571" t="n">
        <v>14.4754</v>
      </c>
    </row>
    <row r="572">
      <c r="A572" s="87" t="n">
        <v>35977</v>
      </c>
      <c r="B572" t="n">
        <v>20.65676</v>
      </c>
      <c r="C572" t="n">
        <v>8.110134</v>
      </c>
      <c r="D572" t="n">
        <v>30.71518</v>
      </c>
      <c r="E572" t="n">
        <v>49.50355</v>
      </c>
      <c r="F572" t="n">
        <v>17.26659</v>
      </c>
      <c r="G572" t="n">
        <v>7.387268</v>
      </c>
      <c r="H572" t="n">
        <v>14.22248</v>
      </c>
      <c r="I572" t="n">
        <v/>
      </c>
      <c r="J572" t="n">
        <v>34.46564</v>
      </c>
      <c r="K572" t="n">
        <v>35.29499</v>
      </c>
      <c r="L572" t="n">
        <v>41.08394</v>
      </c>
      <c r="M572" t="n">
        <v>34.30363</v>
      </c>
      <c r="N572" t="n">
        <v>22.52037</v>
      </c>
      <c r="O572" t="n">
        <v>12.83269</v>
      </c>
      <c r="P572" t="n">
        <v>7.901356</v>
      </c>
      <c r="Q572" t="n">
        <v>12.49437</v>
      </c>
      <c r="R572" t="n">
        <v>20.5611</v>
      </c>
      <c r="S572" t="n">
        <v>74.96984999999999</v>
      </c>
      <c r="T572" t="n">
        <v>25.27797</v>
      </c>
      <c r="U572" t="n">
        <v>11.10265</v>
      </c>
      <c r="V572" t="n">
        <v>31.96642</v>
      </c>
      <c r="W572" t="n">
        <v>30.32456</v>
      </c>
      <c r="X572" t="n">
        <v>29.58212</v>
      </c>
      <c r="Y572" t="n">
        <v>16.14737</v>
      </c>
      <c r="Z572" t="n">
        <v>18.25863</v>
      </c>
      <c r="AA572" t="n">
        <v>1.007954</v>
      </c>
      <c r="AB572" t="n">
        <v>32.07583</v>
      </c>
      <c r="AC572" t="n">
        <v>1.511153</v>
      </c>
      <c r="AD572" t="n">
        <v>34.9005</v>
      </c>
      <c r="AE572" t="n">
        <v>14.60595</v>
      </c>
    </row>
    <row r="573">
      <c r="A573" s="87" t="n">
        <v>36008</v>
      </c>
      <c r="B573" t="n">
        <v>20.87249</v>
      </c>
      <c r="C573" t="n">
        <v>8.196434</v>
      </c>
      <c r="D573" t="n">
        <v>30.74253</v>
      </c>
      <c r="E573" t="n">
        <v>49.6279</v>
      </c>
      <c r="F573" t="n">
        <v>17.35775</v>
      </c>
      <c r="G573" t="n">
        <v>7.561605</v>
      </c>
      <c r="H573" t="n">
        <v>14.33681</v>
      </c>
      <c r="I573" t="n">
        <v/>
      </c>
      <c r="J573" t="n">
        <v>34.85875</v>
      </c>
      <c r="K573" t="n">
        <v>35.48505</v>
      </c>
      <c r="L573" t="n">
        <v>40.99917</v>
      </c>
      <c r="M573" t="n">
        <v>34.56396</v>
      </c>
      <c r="N573" t="n">
        <v>22.89438</v>
      </c>
      <c r="O573" t="n">
        <v>12.58121</v>
      </c>
      <c r="P573" t="n">
        <v>8.079919</v>
      </c>
      <c r="Q573" t="n">
        <v>12.626</v>
      </c>
      <c r="R573" t="n">
        <v>20.86251</v>
      </c>
      <c r="S573" t="n">
        <v>75.30522999999999</v>
      </c>
      <c r="T573" t="n">
        <v>25.68536</v>
      </c>
      <c r="U573" t="n">
        <v>11.2934</v>
      </c>
      <c r="V573" t="n">
        <v>32.04104</v>
      </c>
      <c r="W573" t="n">
        <v>30.12686</v>
      </c>
      <c r="X573" t="n">
        <v>29.83859</v>
      </c>
      <c r="Y573" t="n">
        <v>16.40772</v>
      </c>
      <c r="Z573" t="n">
        <v>18.67018</v>
      </c>
      <c r="AA573" t="n">
        <v>0.9935238</v>
      </c>
      <c r="AB573" t="n">
        <v>32.28146</v>
      </c>
      <c r="AC573" t="n">
        <v>1.569285</v>
      </c>
      <c r="AD573" t="n">
        <v>35.10722</v>
      </c>
      <c r="AE573" t="n">
        <v>14.72964</v>
      </c>
    </row>
    <row r="574">
      <c r="A574" s="87" t="n">
        <v>36039</v>
      </c>
      <c r="B574" t="n">
        <v>21.01538</v>
      </c>
      <c r="C574" t="n">
        <v>8.091495999999999</v>
      </c>
      <c r="D574" t="n">
        <v>30.79283</v>
      </c>
      <c r="E574" t="n">
        <v>49.53616</v>
      </c>
      <c r="F574" t="n">
        <v>17.44327</v>
      </c>
      <c r="G574" t="n">
        <v>7.640779</v>
      </c>
      <c r="H574" t="n">
        <v>14.3412</v>
      </c>
      <c r="I574" t="n">
        <v/>
      </c>
      <c r="J574" t="n">
        <v>35.12571</v>
      </c>
      <c r="K574" t="n">
        <v>35.68389</v>
      </c>
      <c r="L574" t="n">
        <v>40.92289</v>
      </c>
      <c r="M574" t="n">
        <v>34.71717</v>
      </c>
      <c r="N574" t="n">
        <v>23.13186</v>
      </c>
      <c r="O574" t="n">
        <v>12.57286</v>
      </c>
      <c r="P574" t="n">
        <v>8.246589</v>
      </c>
      <c r="Q574" t="n">
        <v>12.78166</v>
      </c>
      <c r="R574" t="n">
        <v>21.15338</v>
      </c>
      <c r="S574" t="n">
        <v>75.56699</v>
      </c>
      <c r="T574" t="n">
        <v>25.88502</v>
      </c>
      <c r="U574" t="n">
        <v>11.46706</v>
      </c>
      <c r="V574" t="n">
        <v>32.06657</v>
      </c>
      <c r="W574" t="n">
        <v>29.84823</v>
      </c>
      <c r="X574" t="n">
        <v>30.17262</v>
      </c>
      <c r="Y574" t="n">
        <v>16.82092</v>
      </c>
      <c r="Z574" t="n">
        <v>19.01336</v>
      </c>
      <c r="AA574" t="n">
        <v>0.9971863</v>
      </c>
      <c r="AB574" t="n">
        <v>32.20287</v>
      </c>
      <c r="AC574" t="n">
        <v>1.706612</v>
      </c>
      <c r="AD574" t="n">
        <v>35.43018</v>
      </c>
      <c r="AE574" t="n">
        <v>14.85268</v>
      </c>
    </row>
    <row r="575">
      <c r="A575" s="87" t="n">
        <v>36069</v>
      </c>
      <c r="B575" t="n">
        <v>21.12184</v>
      </c>
      <c r="C575" t="n">
        <v>7.957313</v>
      </c>
      <c r="D575" t="n">
        <v>31.04608</v>
      </c>
      <c r="E575" t="n">
        <v>49.47072</v>
      </c>
      <c r="F575" t="n">
        <v>17.5113</v>
      </c>
      <c r="G575" t="n">
        <v>7.760871</v>
      </c>
      <c r="H575" t="n">
        <v>14.24602</v>
      </c>
      <c r="I575" t="n">
        <v/>
      </c>
      <c r="J575" t="n">
        <v>34.94823</v>
      </c>
      <c r="K575" t="n">
        <v>36.02051</v>
      </c>
      <c r="L575" t="n">
        <v>41.04991</v>
      </c>
      <c r="M575" t="n">
        <v>34.88242</v>
      </c>
      <c r="N575" t="n">
        <v>23.27008</v>
      </c>
      <c r="O575" t="n">
        <v>12.519</v>
      </c>
      <c r="P575" t="n">
        <v>8.376474999999999</v>
      </c>
      <c r="Q575" t="n">
        <v>12.97385</v>
      </c>
      <c r="R575" t="n">
        <v>21.6157</v>
      </c>
      <c r="S575" t="n">
        <v>75.69786999999999</v>
      </c>
      <c r="T575" t="n">
        <v>26.08717</v>
      </c>
      <c r="U575" t="n">
        <v>11.65709</v>
      </c>
      <c r="V575" t="n">
        <v>32.03026</v>
      </c>
      <c r="W575" t="n">
        <v>29.87235</v>
      </c>
      <c r="X575" t="n">
        <v>30.4388</v>
      </c>
      <c r="Y575" t="n">
        <v>17.03577</v>
      </c>
      <c r="Z575" t="n">
        <v>19.11622</v>
      </c>
      <c r="AA575" t="n">
        <v>1.106459</v>
      </c>
      <c r="AB575" t="n">
        <v>32.41929</v>
      </c>
      <c r="AC575" t="n">
        <v>1.77298</v>
      </c>
      <c r="AD575" t="n">
        <v>35.76309</v>
      </c>
      <c r="AE575" t="n">
        <v>14.87623</v>
      </c>
    </row>
    <row r="576">
      <c r="A576" s="87" t="n">
        <v>36100</v>
      </c>
      <c r="B576" t="n">
        <v>21.19468</v>
      </c>
      <c r="C576" t="n">
        <v>8.025218000000001</v>
      </c>
      <c r="D576" t="n">
        <v>30.8896</v>
      </c>
      <c r="E576" t="n">
        <v>49.74793</v>
      </c>
      <c r="F576" t="n">
        <v>17.61495</v>
      </c>
      <c r="G576" t="n">
        <v>7.871076</v>
      </c>
      <c r="H576" t="n">
        <v>14.23282</v>
      </c>
      <c r="I576" t="n">
        <v/>
      </c>
      <c r="J576" t="n">
        <v>34.95849</v>
      </c>
      <c r="K576" t="n">
        <v>35.92303</v>
      </c>
      <c r="L576" t="n">
        <v>41.34289</v>
      </c>
      <c r="M576" t="n">
        <v>34.9509</v>
      </c>
      <c r="N576" t="n">
        <v>23.52859</v>
      </c>
      <c r="O576" t="n">
        <v>12.54263</v>
      </c>
      <c r="P576" t="n">
        <v>8.477225000000001</v>
      </c>
      <c r="Q576" t="n">
        <v>13.17164</v>
      </c>
      <c r="R576" t="n">
        <v>21.93455</v>
      </c>
      <c r="S576" t="n">
        <v>76.17231</v>
      </c>
      <c r="T576" t="n">
        <v>26.3376</v>
      </c>
      <c r="U576" t="n">
        <v>11.88545</v>
      </c>
      <c r="V576" t="n">
        <v>32.04324</v>
      </c>
      <c r="W576" t="n">
        <v>30.2343</v>
      </c>
      <c r="X576" t="n">
        <v>30.64216</v>
      </c>
      <c r="Y576" t="n">
        <v>17.04061</v>
      </c>
      <c r="Z576" t="n">
        <v>19.29577</v>
      </c>
      <c r="AA576" t="n">
        <v>1.21459</v>
      </c>
      <c r="AB576" t="n">
        <v>32.5724</v>
      </c>
      <c r="AC576" t="n">
        <v>1.756922</v>
      </c>
      <c r="AD576" t="n">
        <v>36.08438</v>
      </c>
      <c r="AE576" t="n">
        <v>15.02681</v>
      </c>
    </row>
    <row r="577">
      <c r="A577" s="87" t="n">
        <v>36130</v>
      </c>
      <c r="B577" t="n">
        <v>21.31796</v>
      </c>
      <c r="C577" t="n">
        <v>8.129832</v>
      </c>
      <c r="D577" t="n">
        <v>31.40303</v>
      </c>
      <c r="E577" t="n">
        <v>49.65469</v>
      </c>
      <c r="F577" t="n">
        <v>17.71566</v>
      </c>
      <c r="G577" t="n">
        <v>7.913418</v>
      </c>
      <c r="H577" t="n">
        <v>14.25692</v>
      </c>
      <c r="I577" t="n">
        <v/>
      </c>
      <c r="J577" t="n">
        <v>35.75057</v>
      </c>
      <c r="K577" t="n">
        <v>35.9018</v>
      </c>
      <c r="L577" t="n">
        <v>41.83035</v>
      </c>
      <c r="M577" t="n">
        <v>35.10251</v>
      </c>
      <c r="N577" t="n">
        <v>23.83733</v>
      </c>
      <c r="O577" t="n">
        <v>12.93419</v>
      </c>
      <c r="P577" t="n">
        <v>8.552349</v>
      </c>
      <c r="Q577" t="n">
        <v>13.36471</v>
      </c>
      <c r="R577" t="n">
        <v>22.16375</v>
      </c>
      <c r="S577" t="n">
        <v>76.42589</v>
      </c>
      <c r="T577" t="n">
        <v>26.44364</v>
      </c>
      <c r="U577" t="n">
        <v>12.15017</v>
      </c>
      <c r="V577" t="n">
        <v>32.19729</v>
      </c>
      <c r="W577" t="n">
        <v>30.17796</v>
      </c>
      <c r="X577" t="n">
        <v>30.93175</v>
      </c>
      <c r="Y577" t="n">
        <v>17.34087</v>
      </c>
      <c r="Z577" t="n">
        <v>19.88132</v>
      </c>
      <c r="AA577" t="n">
        <v>1.256823</v>
      </c>
      <c r="AB577" t="n">
        <v>32.1797</v>
      </c>
      <c r="AC577" t="n">
        <v>1.83922</v>
      </c>
      <c r="AD577" t="n">
        <v>36.32348</v>
      </c>
      <c r="AE577" t="n">
        <v>15.21245</v>
      </c>
    </row>
    <row r="578">
      <c r="A578" s="87" t="n">
        <v>36161</v>
      </c>
      <c r="B578" t="n">
        <v>21.49446</v>
      </c>
      <c r="C578" t="n">
        <v>8.226063</v>
      </c>
      <c r="D578" t="n">
        <v>30.95815</v>
      </c>
      <c r="E578" t="n">
        <v>49.45835</v>
      </c>
      <c r="F578" t="n">
        <v>17.86307</v>
      </c>
      <c r="G578" t="n">
        <v>7.931219</v>
      </c>
      <c r="H578" t="n">
        <v>14.37073</v>
      </c>
      <c r="I578" t="n">
        <v/>
      </c>
      <c r="J578" t="n">
        <v>36.24635</v>
      </c>
      <c r="K578" t="n">
        <v>36.04954</v>
      </c>
      <c r="L578" t="n">
        <v>42.13577</v>
      </c>
      <c r="M578" t="n">
        <v>35.12076</v>
      </c>
      <c r="N578" t="n">
        <v>24.15314</v>
      </c>
      <c r="O578" t="n">
        <v>13.39988</v>
      </c>
      <c r="P578" t="n">
        <v>8.667878999999999</v>
      </c>
      <c r="Q578" t="n">
        <v>13.55872</v>
      </c>
      <c r="R578" t="n">
        <v>22.50597</v>
      </c>
      <c r="S578" t="n">
        <v>76.61403</v>
      </c>
      <c r="T578" t="n">
        <v>26.80129</v>
      </c>
      <c r="U578" t="n">
        <v>12.39581</v>
      </c>
      <c r="V578" t="n">
        <v>32.56162</v>
      </c>
      <c r="W578" t="n">
        <v>30.2201</v>
      </c>
      <c r="X578" t="n">
        <v>31.21996</v>
      </c>
      <c r="Y578" t="n">
        <v>17.72254</v>
      </c>
      <c r="Z578" t="n">
        <v>20.62853</v>
      </c>
      <c r="AA578" t="n">
        <v>1.33908</v>
      </c>
      <c r="AB578" t="n">
        <v>34.83103</v>
      </c>
      <c r="AC578" t="n">
        <v>1.921589</v>
      </c>
      <c r="AD578" t="n">
        <v>36.55096</v>
      </c>
      <c r="AE578" t="n">
        <v>15.26565</v>
      </c>
    </row>
    <row r="579">
      <c r="A579" s="87" t="n">
        <v>36192</v>
      </c>
      <c r="B579" t="n">
        <v>21.64575</v>
      </c>
      <c r="C579" t="n">
        <v>8.372356999999999</v>
      </c>
      <c r="D579" t="n">
        <v>30.97221</v>
      </c>
      <c r="E579" t="n">
        <v>49.82161</v>
      </c>
      <c r="F579" t="n">
        <v>18.01229</v>
      </c>
      <c r="G579" t="n">
        <v>8.053982</v>
      </c>
      <c r="H579" t="n">
        <v>14.56328</v>
      </c>
      <c r="I579" t="n">
        <v/>
      </c>
      <c r="J579" t="n">
        <v>36.33436</v>
      </c>
      <c r="K579" t="n">
        <v>36.00417</v>
      </c>
      <c r="L579" t="n">
        <v>42.02086</v>
      </c>
      <c r="M579" t="n">
        <v>35.01479</v>
      </c>
      <c r="N579" t="n">
        <v>24.5353</v>
      </c>
      <c r="O579" t="n">
        <v>13.79843</v>
      </c>
      <c r="P579" t="n">
        <v>8.793066</v>
      </c>
      <c r="Q579" t="n">
        <v>13.74295</v>
      </c>
      <c r="R579" t="n">
        <v>22.75402</v>
      </c>
      <c r="S579" t="n">
        <v>76.79398999999999</v>
      </c>
      <c r="T579" t="n">
        <v>27.30093</v>
      </c>
      <c r="U579" t="n">
        <v>12.67777</v>
      </c>
      <c r="V579" t="n">
        <v>32.813</v>
      </c>
      <c r="W579" t="n">
        <v>30.89733</v>
      </c>
      <c r="X579" t="n">
        <v>31.49345</v>
      </c>
      <c r="Y579" t="n">
        <v>18.05595</v>
      </c>
      <c r="Z579" t="n">
        <v>21.26293</v>
      </c>
      <c r="AA579" t="n">
        <v>1.420597</v>
      </c>
      <c r="AB579" t="n">
        <v>37.86425</v>
      </c>
      <c r="AC579" t="n">
        <v>2.024119</v>
      </c>
      <c r="AD579" t="n">
        <v>36.73942</v>
      </c>
      <c r="AE579" t="n">
        <v>15.08</v>
      </c>
    </row>
    <row r="580">
      <c r="A580" s="87" t="n">
        <v>36220</v>
      </c>
      <c r="B580" t="n">
        <v>21.82506</v>
      </c>
      <c r="C580" t="n">
        <v>8.528294000000001</v>
      </c>
      <c r="D580" t="n">
        <v>31.10155</v>
      </c>
      <c r="E580" t="n">
        <v>50.04057</v>
      </c>
      <c r="F580" t="n">
        <v>18.07036</v>
      </c>
      <c r="G580" t="n">
        <v>8.214312</v>
      </c>
      <c r="H580" t="n">
        <v>14.6343</v>
      </c>
      <c r="I580" t="n">
        <v/>
      </c>
      <c r="J580" t="n">
        <v>36.60132</v>
      </c>
      <c r="K580" t="n">
        <v>36.06924</v>
      </c>
      <c r="L580" t="n">
        <v>42.00204</v>
      </c>
      <c r="M580" t="n">
        <v>35.01575</v>
      </c>
      <c r="N580" t="n">
        <v>24.72077</v>
      </c>
      <c r="O580" t="n">
        <v>13.98854</v>
      </c>
      <c r="P580" t="n">
        <v>8.949646</v>
      </c>
      <c r="Q580" t="n">
        <v>13.91555</v>
      </c>
      <c r="R580" t="n">
        <v>23.095</v>
      </c>
      <c r="S580" t="n">
        <v>77.11301</v>
      </c>
      <c r="T580" t="n">
        <v>27.50686</v>
      </c>
      <c r="U580" t="n">
        <v>12.99342</v>
      </c>
      <c r="V580" t="n">
        <v>32.93926</v>
      </c>
      <c r="W580" t="n">
        <v>31.05005</v>
      </c>
      <c r="X580" t="n">
        <v>31.7033</v>
      </c>
      <c r="Y580" t="n">
        <v>18.34504</v>
      </c>
      <c r="Z580" t="n">
        <v>21.69757</v>
      </c>
      <c r="AA580" t="n">
        <v>1.474063</v>
      </c>
      <c r="AB580" t="n">
        <v>37.776</v>
      </c>
      <c r="AC580" t="n">
        <v>2.162853</v>
      </c>
      <c r="AD580" t="n">
        <v>36.79588</v>
      </c>
      <c r="AE580" t="n">
        <v>15.07491</v>
      </c>
    </row>
    <row r="581">
      <c r="A581" s="87" t="n">
        <v>36251</v>
      </c>
      <c r="B581" t="n">
        <v>22.0576</v>
      </c>
      <c r="C581" t="n">
        <v>8.671156999999999</v>
      </c>
      <c r="D581" t="n">
        <v>31.35568</v>
      </c>
      <c r="E581" t="n">
        <v>50.03762</v>
      </c>
      <c r="F581" t="n">
        <v>18.15389</v>
      </c>
      <c r="G581" t="n">
        <v>8.263121</v>
      </c>
      <c r="H581" t="n">
        <v>14.70117</v>
      </c>
      <c r="I581" t="n">
        <v/>
      </c>
      <c r="J581" t="n">
        <v>36.80814</v>
      </c>
      <c r="K581" t="n">
        <v>36.30642</v>
      </c>
      <c r="L581" t="n">
        <v>42.23045</v>
      </c>
      <c r="M581" t="n">
        <v>35.07219</v>
      </c>
      <c r="N581" t="n">
        <v>24.7347</v>
      </c>
      <c r="O581" t="n">
        <v>14.12927</v>
      </c>
      <c r="P581" t="n">
        <v>9.056244</v>
      </c>
      <c r="Q581" t="n">
        <v>14.08532</v>
      </c>
      <c r="R581" t="n">
        <v>23.55482</v>
      </c>
      <c r="S581" t="n">
        <v>77.20299</v>
      </c>
      <c r="T581" t="n">
        <v>27.66664</v>
      </c>
      <c r="U581" t="n">
        <v>13.18569</v>
      </c>
      <c r="V581" t="n">
        <v>33.18238</v>
      </c>
      <c r="W581" t="n">
        <v>30.69409</v>
      </c>
      <c r="X581" t="n">
        <v>31.95413</v>
      </c>
      <c r="Y581" t="n">
        <v>18.62832</v>
      </c>
      <c r="Z581" t="n">
        <v>21.89099</v>
      </c>
      <c r="AA581" t="n">
        <v>1.516542</v>
      </c>
      <c r="AB581" t="n">
        <v>38.03074</v>
      </c>
      <c r="AC581" t="n">
        <v>2.301165</v>
      </c>
      <c r="AD581" t="n">
        <v>37.03332</v>
      </c>
      <c r="AE581" t="n">
        <v>15.32684</v>
      </c>
    </row>
    <row r="582">
      <c r="A582" s="87" t="n">
        <v>36281</v>
      </c>
      <c r="B582" t="n">
        <v>22.29294</v>
      </c>
      <c r="C582" t="n">
        <v>8.798527</v>
      </c>
      <c r="D582" t="n">
        <v>31.49474</v>
      </c>
      <c r="E582" t="n">
        <v>50.08251</v>
      </c>
      <c r="F582" t="n">
        <v>18.48404</v>
      </c>
      <c r="G582" t="n">
        <v>8.333735000000001</v>
      </c>
      <c r="H582" t="n">
        <v>14.78389</v>
      </c>
      <c r="I582" t="n">
        <v/>
      </c>
      <c r="J582" t="n">
        <v>37.16018</v>
      </c>
      <c r="K582" t="n">
        <v>36.57549</v>
      </c>
      <c r="L582" t="n">
        <v>42.55934</v>
      </c>
      <c r="M582" t="n">
        <v>35.16401</v>
      </c>
      <c r="N582" t="n">
        <v>24.97642</v>
      </c>
      <c r="O582" t="n">
        <v>14.31181</v>
      </c>
      <c r="P582" t="n">
        <v>9.122043</v>
      </c>
      <c r="Q582" t="n">
        <v>14.26329</v>
      </c>
      <c r="R582" t="n">
        <v>23.8289</v>
      </c>
      <c r="S582" t="n">
        <v>77.48111</v>
      </c>
      <c r="T582" t="n">
        <v>27.88689</v>
      </c>
      <c r="U582" t="n">
        <v>13.38374</v>
      </c>
      <c r="V582" t="n">
        <v>33.20445</v>
      </c>
      <c r="W582" t="n">
        <v>30.27276</v>
      </c>
      <c r="X582" t="n">
        <v>32.22791</v>
      </c>
      <c r="Y582" t="n">
        <v>18.98112</v>
      </c>
      <c r="Z582" t="n">
        <v>22.07282</v>
      </c>
      <c r="AA582" t="n">
        <v>1.58744</v>
      </c>
      <c r="AB582" t="n">
        <v>39.18481</v>
      </c>
      <c r="AC582" t="n">
        <v>2.457563</v>
      </c>
      <c r="AD582" t="n">
        <v>37.23755</v>
      </c>
      <c r="AE582" t="n">
        <v>15.41034</v>
      </c>
    </row>
    <row r="583">
      <c r="A583" s="87" t="n">
        <v>36312</v>
      </c>
      <c r="B583" t="n">
        <v>22.49746</v>
      </c>
      <c r="C583" t="n">
        <v>8.933215000000001</v>
      </c>
      <c r="D583" t="n">
        <v>31.70276</v>
      </c>
      <c r="E583" t="n">
        <v>50.13233</v>
      </c>
      <c r="F583" t="n">
        <v>18.89281</v>
      </c>
      <c r="G583" t="n">
        <v>8.436983</v>
      </c>
      <c r="H583" t="n">
        <v>14.82195</v>
      </c>
      <c r="I583" t="n">
        <v/>
      </c>
      <c r="J583" t="n">
        <v>37.32006</v>
      </c>
      <c r="K583" t="n">
        <v>36.65437</v>
      </c>
      <c r="L583" t="n">
        <v>42.84182</v>
      </c>
      <c r="M583" t="n">
        <v>35.24475</v>
      </c>
      <c r="N583" t="n">
        <v>25.17154</v>
      </c>
      <c r="O583" t="n">
        <v>14.2508</v>
      </c>
      <c r="P583" t="n">
        <v>9.221332</v>
      </c>
      <c r="Q583" t="n">
        <v>14.45124</v>
      </c>
      <c r="R583" t="n">
        <v>24.02974</v>
      </c>
      <c r="S583" t="n">
        <v>77.77558999999999</v>
      </c>
      <c r="T583" t="n">
        <v>28.00818</v>
      </c>
      <c r="U583" t="n">
        <v>13.60325</v>
      </c>
      <c r="V583" t="n">
        <v>33.53511</v>
      </c>
      <c r="W583" t="n">
        <v>30.28488</v>
      </c>
      <c r="X583" t="n">
        <v>32.48441</v>
      </c>
      <c r="Y583" t="n">
        <v>19.29987</v>
      </c>
      <c r="Z583" t="n">
        <v>22.32683</v>
      </c>
      <c r="AA583" t="n">
        <v>1.675915</v>
      </c>
      <c r="AB583" t="n">
        <v>39.97429</v>
      </c>
      <c r="AC583" t="n">
        <v>2.598006</v>
      </c>
      <c r="AD583" t="n">
        <v>37.41936</v>
      </c>
      <c r="AE583" t="n">
        <v>15.61409</v>
      </c>
    </row>
    <row r="584">
      <c r="A584" s="87" t="n">
        <v>36342</v>
      </c>
      <c r="B584" t="n">
        <v>22.65435</v>
      </c>
      <c r="C584" t="n">
        <v>9.085259000000001</v>
      </c>
      <c r="D584" t="n">
        <v>31.85014</v>
      </c>
      <c r="E584" t="n">
        <v>50.23537</v>
      </c>
      <c r="F584" t="n">
        <v>19.02491</v>
      </c>
      <c r="G584" t="n">
        <v>8.455183</v>
      </c>
      <c r="H584" t="n">
        <v>14.83729</v>
      </c>
      <c r="I584" t="n">
        <v/>
      </c>
      <c r="J584" t="n">
        <v>37.27899</v>
      </c>
      <c r="K584" t="n">
        <v>36.70057</v>
      </c>
      <c r="L584" t="n">
        <v>43.00114</v>
      </c>
      <c r="M584" t="n">
        <v>35.31655</v>
      </c>
      <c r="N584" t="n">
        <v>25.29402</v>
      </c>
      <c r="O584" t="n">
        <v>14.20318</v>
      </c>
      <c r="P584" t="n">
        <v>9.353161999999999</v>
      </c>
      <c r="Q584" t="n">
        <v>14.64447</v>
      </c>
      <c r="R584" t="n">
        <v>24.42604</v>
      </c>
      <c r="S584" t="n">
        <v>77.91464999999999</v>
      </c>
      <c r="T584" t="n">
        <v>28.17506</v>
      </c>
      <c r="U584" t="n">
        <v>13.83837</v>
      </c>
      <c r="V584" t="n">
        <v>34.19626</v>
      </c>
      <c r="W584" t="n">
        <v>30.85591</v>
      </c>
      <c r="X584" t="n">
        <v>32.71904</v>
      </c>
      <c r="Y584" t="n">
        <v>19.53213</v>
      </c>
      <c r="Z584" t="n">
        <v>22.48635</v>
      </c>
      <c r="AA584" t="n">
        <v>1.737837</v>
      </c>
      <c r="AB584" t="n">
        <v>40.1792</v>
      </c>
      <c r="AC584" t="n">
        <v>2.701561</v>
      </c>
      <c r="AD584" t="n">
        <v>37.64602</v>
      </c>
      <c r="AE584" t="n">
        <v>15.79737</v>
      </c>
    </row>
    <row r="585">
      <c r="A585" s="87" t="n">
        <v>36373</v>
      </c>
      <c r="B585" t="n">
        <v>22.78884</v>
      </c>
      <c r="C585" t="n">
        <v>9.215401</v>
      </c>
      <c r="D585" t="n">
        <v>32.02813</v>
      </c>
      <c r="E585" t="n">
        <v>50.30575</v>
      </c>
      <c r="F585" t="n">
        <v>19.01729</v>
      </c>
      <c r="G585" t="n">
        <v>8.513522999999999</v>
      </c>
      <c r="H585" t="n">
        <v>14.89204</v>
      </c>
      <c r="I585" t="n">
        <v/>
      </c>
      <c r="J585" t="n">
        <v>37.44327</v>
      </c>
      <c r="K585" t="n">
        <v>36.98897</v>
      </c>
      <c r="L585" t="n">
        <v>42.92963</v>
      </c>
      <c r="M585" t="n">
        <v>35.42185</v>
      </c>
      <c r="N585" t="n">
        <v>25.60971</v>
      </c>
      <c r="O585" t="n">
        <v>14.50525</v>
      </c>
      <c r="P585" t="n">
        <v>9.500515</v>
      </c>
      <c r="Q585" t="n">
        <v>14.83462</v>
      </c>
      <c r="R585" t="n">
        <v>24.86758</v>
      </c>
      <c r="S585" t="n">
        <v>78.00463000000001</v>
      </c>
      <c r="T585" t="n">
        <v>28.29458</v>
      </c>
      <c r="U585" t="n">
        <v>14.11893</v>
      </c>
      <c r="V585" t="n">
        <v>34.53746</v>
      </c>
      <c r="W585" t="n">
        <v>31.23355</v>
      </c>
      <c r="X585" t="n">
        <v>32.95041</v>
      </c>
      <c r="Y585" t="n">
        <v>19.85325</v>
      </c>
      <c r="Z585" t="n">
        <v>22.67171</v>
      </c>
      <c r="AA585" t="n">
        <v>1.773913</v>
      </c>
      <c r="AB585" t="n">
        <v>40.64315</v>
      </c>
      <c r="AC585" t="n">
        <v>2.845474</v>
      </c>
      <c r="AD585" t="n">
        <v>37.78881</v>
      </c>
      <c r="AE585" t="n">
        <v>15.79073</v>
      </c>
    </row>
    <row r="586">
      <c r="A586" s="87" t="n">
        <v>36404</v>
      </c>
      <c r="B586" t="n">
        <v>22.94293</v>
      </c>
      <c r="C586" t="n">
        <v>9.365049000000001</v>
      </c>
      <c r="D586" t="n">
        <v>32.0059</v>
      </c>
      <c r="E586" t="n">
        <v>50.34494</v>
      </c>
      <c r="F586" t="n">
        <v>19.17825</v>
      </c>
      <c r="G586" t="n">
        <v>8.703583</v>
      </c>
      <c r="H586" t="n">
        <v>14.9809</v>
      </c>
      <c r="I586" t="n">
        <v/>
      </c>
      <c r="J586" t="n">
        <v>37.72783</v>
      </c>
      <c r="K586" t="n">
        <v>36.85941</v>
      </c>
      <c r="L586" t="n">
        <v>42.92128</v>
      </c>
      <c r="M586" t="n">
        <v>35.42428</v>
      </c>
      <c r="N586" t="n">
        <v>25.90888</v>
      </c>
      <c r="O586" t="n">
        <v>14.88413</v>
      </c>
      <c r="P586" t="n">
        <v>9.623896999999999</v>
      </c>
      <c r="Q586" t="n">
        <v>15.01057</v>
      </c>
      <c r="R586" t="n">
        <v>25.18709</v>
      </c>
      <c r="S586" t="n">
        <v>78.02099</v>
      </c>
      <c r="T586" t="n">
        <v>28.28809</v>
      </c>
      <c r="U586" t="n">
        <v>14.37713</v>
      </c>
      <c r="V586" t="n">
        <v>34.53555</v>
      </c>
      <c r="W586" t="n">
        <v>31.38915</v>
      </c>
      <c r="X586" t="n">
        <v>33.15971</v>
      </c>
      <c r="Y586" t="n">
        <v>20.17682</v>
      </c>
      <c r="Z586" t="n">
        <v>23.05414</v>
      </c>
      <c r="AA586" t="n">
        <v>1.833639</v>
      </c>
      <c r="AB586" t="n">
        <v>40.8618</v>
      </c>
      <c r="AC586" t="n">
        <v>3.007553</v>
      </c>
      <c r="AD586" t="n">
        <v>37.92165</v>
      </c>
      <c r="AE586" t="n">
        <v>15.98156</v>
      </c>
    </row>
    <row r="587">
      <c r="A587" s="87" t="n">
        <v>36434</v>
      </c>
      <c r="B587" t="n">
        <v>23.12784</v>
      </c>
      <c r="C587" t="n">
        <v>9.544271</v>
      </c>
      <c r="D587" t="n">
        <v>32.4527</v>
      </c>
      <c r="E587" t="n">
        <v>50.25423</v>
      </c>
      <c r="F587" t="n">
        <v>19.38785</v>
      </c>
      <c r="G587" t="n">
        <v>8.776474</v>
      </c>
      <c r="H587" t="n">
        <v>15.02845</v>
      </c>
      <c r="I587" t="n">
        <v/>
      </c>
      <c r="J587" t="n">
        <v>37.95079</v>
      </c>
      <c r="K587" t="n">
        <v>36.57449</v>
      </c>
      <c r="L587" t="n">
        <v>43.09991</v>
      </c>
      <c r="M587" t="n">
        <v>35.37761</v>
      </c>
      <c r="N587" t="n">
        <v>26.12512</v>
      </c>
      <c r="O587" t="n">
        <v>14.84825</v>
      </c>
      <c r="P587" t="n">
        <v>9.752648000000001</v>
      </c>
      <c r="Q587" t="n">
        <v>15.17673</v>
      </c>
      <c r="R587" t="n">
        <v>25.50738</v>
      </c>
      <c r="S587" t="n">
        <v>78.27457</v>
      </c>
      <c r="T587" t="n">
        <v>28.31615</v>
      </c>
      <c r="U587" t="n">
        <v>14.57652</v>
      </c>
      <c r="V587" t="n">
        <v>34.90571</v>
      </c>
      <c r="W587" t="n">
        <v>31.41692</v>
      </c>
      <c r="X587" t="n">
        <v>33.42818</v>
      </c>
      <c r="Y587" t="n">
        <v>20.51705</v>
      </c>
      <c r="Z587" t="n">
        <v>23.45243</v>
      </c>
      <c r="AA587" t="n">
        <v>1.891345</v>
      </c>
      <c r="AB587" t="n">
        <v>41.27076</v>
      </c>
      <c r="AC587" t="n">
        <v>3.180906</v>
      </c>
      <c r="AD587" t="n">
        <v>38.11924</v>
      </c>
      <c r="AE587" t="n">
        <v>16.2601</v>
      </c>
    </row>
    <row r="588">
      <c r="A588" s="87" t="n">
        <v>36465</v>
      </c>
      <c r="B588" t="n">
        <v>23.31835</v>
      </c>
      <c r="C588" t="n">
        <v>9.695145</v>
      </c>
      <c r="D588" t="n">
        <v>32.6783</v>
      </c>
      <c r="E588" t="n">
        <v>50.11546</v>
      </c>
      <c r="F588" t="n">
        <v>19.57263</v>
      </c>
      <c r="G588" t="n">
        <v>8.795945</v>
      </c>
      <c r="H588" t="n">
        <v>15.08515</v>
      </c>
      <c r="I588" t="n">
        <v/>
      </c>
      <c r="J588" t="n">
        <v>38.17961</v>
      </c>
      <c r="K588" t="n">
        <v>37.1091</v>
      </c>
      <c r="L588" t="n">
        <v>43.40089</v>
      </c>
      <c r="M588" t="n">
        <v>35.70189</v>
      </c>
      <c r="N588" t="n">
        <v>26.39346</v>
      </c>
      <c r="O588" t="n">
        <v>14.70467</v>
      </c>
      <c r="P588" t="n">
        <v>9.855180000000001</v>
      </c>
      <c r="Q588" t="n">
        <v>15.34073</v>
      </c>
      <c r="R588" t="n">
        <v>25.84289</v>
      </c>
      <c r="S588" t="n">
        <v>78.34001000000001</v>
      </c>
      <c r="T588" t="n">
        <v>28.46693</v>
      </c>
      <c r="U588" t="n">
        <v>14.77014</v>
      </c>
      <c r="V588" t="n">
        <v>35.30903</v>
      </c>
      <c r="W588" t="n">
        <v>31.33285</v>
      </c>
      <c r="X588" t="n">
        <v>33.71678</v>
      </c>
      <c r="Y588" t="n">
        <v>21.02299</v>
      </c>
      <c r="Z588" t="n">
        <v>23.88944</v>
      </c>
      <c r="AA588" t="n">
        <v>1.965064</v>
      </c>
      <c r="AB588" t="n">
        <v>41.62099</v>
      </c>
      <c r="AC588" t="n">
        <v>3.397039</v>
      </c>
      <c r="AD588" t="n">
        <v>38.27698</v>
      </c>
      <c r="AE588" t="n">
        <v>16.52213</v>
      </c>
    </row>
    <row r="589">
      <c r="A589" s="87" t="n">
        <v>36495</v>
      </c>
      <c r="B589" t="n">
        <v>23.41081</v>
      </c>
      <c r="C589" t="n">
        <v>9.969006</v>
      </c>
      <c r="D589" t="n">
        <v>32.89997</v>
      </c>
      <c r="E589" t="n">
        <v>50.06215</v>
      </c>
      <c r="F589" t="n">
        <v>19.77931</v>
      </c>
      <c r="G589" t="n">
        <v>8.952579</v>
      </c>
      <c r="H589" t="n">
        <v>15.1712</v>
      </c>
      <c r="I589" t="n">
        <v/>
      </c>
      <c r="J589" t="n">
        <v>38.74726</v>
      </c>
      <c r="K589" t="n">
        <v>37.40745</v>
      </c>
      <c r="L589" t="n">
        <v>44.0153</v>
      </c>
      <c r="M589" t="n">
        <v>35.98962</v>
      </c>
      <c r="N589" t="n">
        <v>26.8559</v>
      </c>
      <c r="O589" t="n">
        <v>14.74371</v>
      </c>
      <c r="P589" t="n">
        <v>10.04146</v>
      </c>
      <c r="Q589" t="n">
        <v>15.50191</v>
      </c>
      <c r="R589" t="n">
        <v>26.16298</v>
      </c>
      <c r="S589" t="n">
        <v>78.60177</v>
      </c>
      <c r="T589" t="n">
        <v>28.61957</v>
      </c>
      <c r="U589" t="n">
        <v>14.90413</v>
      </c>
      <c r="V589" t="n">
        <v>35.53172</v>
      </c>
      <c r="W589" t="n">
        <v>31.46424</v>
      </c>
      <c r="X589" t="n">
        <v>34.03662</v>
      </c>
      <c r="Y589" t="n">
        <v>21.53068</v>
      </c>
      <c r="Z589" t="n">
        <v>24.29217</v>
      </c>
      <c r="AA589" t="n">
        <v>2.070705</v>
      </c>
      <c r="AB589" t="n">
        <v>41.1742</v>
      </c>
      <c r="AC589" t="n">
        <v>3.633562</v>
      </c>
      <c r="AD589" t="n">
        <v>38.50528</v>
      </c>
      <c r="AE589" t="n">
        <v>16.78071</v>
      </c>
    </row>
    <row r="590">
      <c r="A590" s="87" t="n">
        <v>36526</v>
      </c>
      <c r="B590" t="n">
        <v>23.43882</v>
      </c>
      <c r="C590" t="n">
        <v>10.24938</v>
      </c>
      <c r="D590" t="n">
        <v>33.02388</v>
      </c>
      <c r="E590" t="n">
        <v>49.93422</v>
      </c>
      <c r="F590" t="n">
        <v>19.88669</v>
      </c>
      <c r="G590" t="n">
        <v>9.088729000000001</v>
      </c>
      <c r="H590" t="n">
        <v>15.33675</v>
      </c>
      <c r="I590" t="n">
        <v/>
      </c>
      <c r="J590" t="n">
        <v>39.01423</v>
      </c>
      <c r="K590" t="n">
        <v>37.16794</v>
      </c>
      <c r="L590" t="n">
        <v>44.47797</v>
      </c>
      <c r="M590" t="n">
        <v>35.93129</v>
      </c>
      <c r="N590" t="n">
        <v>27.25669</v>
      </c>
      <c r="O590" t="n">
        <v>14.80523</v>
      </c>
      <c r="P590" t="n">
        <v>10.1776</v>
      </c>
      <c r="Q590" t="n">
        <v>15.6591</v>
      </c>
      <c r="R590" t="n">
        <v>26.58307</v>
      </c>
      <c r="S590" t="n">
        <v>78.62631</v>
      </c>
      <c r="T590" t="n">
        <v>28.62196</v>
      </c>
      <c r="U590" t="n">
        <v>15.12249</v>
      </c>
      <c r="V590" t="n">
        <v>35.72271</v>
      </c>
      <c r="W590" t="n">
        <v>31.50834</v>
      </c>
      <c r="X590" t="n">
        <v>34.30573</v>
      </c>
      <c r="Y590" t="n">
        <v>21.9204</v>
      </c>
      <c r="Z590" t="n">
        <v>24.32207</v>
      </c>
      <c r="AA590" t="n">
        <v>2.142437</v>
      </c>
      <c r="AB590" t="n">
        <v>41.58322</v>
      </c>
      <c r="AC590" t="n">
        <v>3.858876</v>
      </c>
      <c r="AD590" t="n">
        <v>38.7394</v>
      </c>
      <c r="AE590" t="n">
        <v>16.80905</v>
      </c>
    </row>
    <row r="591">
      <c r="A591" s="87" t="n">
        <v>36557</v>
      </c>
      <c r="B591" t="n">
        <v>23.51727</v>
      </c>
      <c r="C591" t="n">
        <v>10.41877</v>
      </c>
      <c r="D591" t="n">
        <v>33.32624</v>
      </c>
      <c r="E591" t="n">
        <v>49.6822</v>
      </c>
      <c r="F591" t="n">
        <v>19.98463</v>
      </c>
      <c r="G591" t="n">
        <v>9.173444</v>
      </c>
      <c r="H591" t="n">
        <v>15.20108</v>
      </c>
      <c r="I591" t="n">
        <v/>
      </c>
      <c r="J591" t="n">
        <v>39.06703</v>
      </c>
      <c r="K591" t="n">
        <v>37.22279</v>
      </c>
      <c r="L591" t="n">
        <v>44.6172</v>
      </c>
      <c r="M591" t="n">
        <v>36.16423</v>
      </c>
      <c r="N591" t="n">
        <v>27.64017</v>
      </c>
      <c r="O591" t="n">
        <v>14.98777</v>
      </c>
      <c r="P591" t="n">
        <v>10.25099</v>
      </c>
      <c r="Q591" t="n">
        <v>15.81323</v>
      </c>
      <c r="R591" t="n">
        <v>27.00943</v>
      </c>
      <c r="S591" t="n">
        <v>78.77355</v>
      </c>
      <c r="T591" t="n">
        <v>28.73204</v>
      </c>
      <c r="U591" t="n">
        <v>15.44941</v>
      </c>
      <c r="V591" t="n">
        <v>35.90107</v>
      </c>
      <c r="W591" t="n">
        <v>31.50061</v>
      </c>
      <c r="X591" t="n">
        <v>34.50951</v>
      </c>
      <c r="Y591" t="n">
        <v>22.21456</v>
      </c>
      <c r="Z591" t="n">
        <v>24.3294</v>
      </c>
      <c r="AA591" t="n">
        <v>2.228619</v>
      </c>
      <c r="AB591" t="n">
        <v>42.87687</v>
      </c>
      <c r="AC591" t="n">
        <v>4.045871</v>
      </c>
      <c r="AD591" t="n">
        <v>38.84899</v>
      </c>
      <c r="AE591" t="n">
        <v>16.79707</v>
      </c>
    </row>
    <row r="592">
      <c r="A592" s="87" t="n">
        <v>36586</v>
      </c>
      <c r="B592" t="n">
        <v>23.62654</v>
      </c>
      <c r="C592" t="n">
        <v>10.5752</v>
      </c>
      <c r="D592" t="n">
        <v>33.65058</v>
      </c>
      <c r="E592" t="n">
        <v>49.44775</v>
      </c>
      <c r="F592" t="n">
        <v>20.13134</v>
      </c>
      <c r="G592" t="n">
        <v>9.256809000000001</v>
      </c>
      <c r="H592" t="n">
        <v>15.01359</v>
      </c>
      <c r="I592" t="n">
        <v/>
      </c>
      <c r="J592" t="n">
        <v>39.33252</v>
      </c>
      <c r="K592" t="n">
        <v>37.55172</v>
      </c>
      <c r="L592" t="n">
        <v>44.83219</v>
      </c>
      <c r="M592" t="n">
        <v>36.82615</v>
      </c>
      <c r="N592" t="n">
        <v>28.24555</v>
      </c>
      <c r="O592" t="n">
        <v>15.15074</v>
      </c>
      <c r="P592" t="n">
        <v>10.35824</v>
      </c>
      <c r="Q592" t="n">
        <v>15.96292</v>
      </c>
      <c r="R592" t="n">
        <v>27.48771</v>
      </c>
      <c r="S592" t="n">
        <v>78.83899</v>
      </c>
      <c r="T592" t="n">
        <v>28.9308</v>
      </c>
      <c r="U592" t="n">
        <v>15.66273</v>
      </c>
      <c r="V592" t="n">
        <v>36.33215</v>
      </c>
      <c r="W592" t="n">
        <v>31.46038</v>
      </c>
      <c r="X592" t="n">
        <v>34.78593</v>
      </c>
      <c r="Y592" t="n">
        <v>22.60396</v>
      </c>
      <c r="Z592" t="n">
        <v>24.66117</v>
      </c>
      <c r="AA592" t="n">
        <v>2.350161</v>
      </c>
      <c r="AB592" t="n">
        <v>43.52835</v>
      </c>
      <c r="AC592" t="n">
        <v>4.182989</v>
      </c>
      <c r="AD592" t="n">
        <v>39.1047</v>
      </c>
      <c r="AE592" t="n">
        <v>16.77214</v>
      </c>
    </row>
    <row r="593">
      <c r="A593" s="87" t="n">
        <v>36617</v>
      </c>
      <c r="B593" t="n">
        <v>23.78903</v>
      </c>
      <c r="C593" t="n">
        <v>10.71917</v>
      </c>
      <c r="D593" t="n">
        <v>33.81078</v>
      </c>
      <c r="E593" t="n">
        <v>49.30782</v>
      </c>
      <c r="F593" t="n">
        <v>20.28727</v>
      </c>
      <c r="G593" t="n">
        <v>9.347498999999999</v>
      </c>
      <c r="H593" t="n">
        <v>15.07332</v>
      </c>
      <c r="I593" t="n">
        <v/>
      </c>
      <c r="J593" t="n">
        <v>39.34132</v>
      </c>
      <c r="K593" t="n">
        <v>37.10207</v>
      </c>
      <c r="L593" t="n">
        <v>45.24625</v>
      </c>
      <c r="M593" t="n">
        <v>37.29212</v>
      </c>
      <c r="N593" t="n">
        <v>28.83485</v>
      </c>
      <c r="O593" t="n">
        <v>15.32567</v>
      </c>
      <c r="P593" t="n">
        <v>10.45477</v>
      </c>
      <c r="Q593" t="n">
        <v>16.10706</v>
      </c>
      <c r="R593" t="n">
        <v>27.85231</v>
      </c>
      <c r="S593" t="n">
        <v>79.02713</v>
      </c>
      <c r="T593" t="n">
        <v>29.17218</v>
      </c>
      <c r="U593" t="n">
        <v>15.90492</v>
      </c>
      <c r="V593" t="n">
        <v>36.78896</v>
      </c>
      <c r="W593" t="n">
        <v>31.44389</v>
      </c>
      <c r="X593" t="n">
        <v>35.14066</v>
      </c>
      <c r="Y593" t="n">
        <v>22.91309</v>
      </c>
      <c r="Z593" t="n">
        <v>25.1083</v>
      </c>
      <c r="AA593" t="n">
        <v>2.447945</v>
      </c>
      <c r="AB593" t="n">
        <v>43.80904</v>
      </c>
      <c r="AC593" t="n">
        <v>4.311923</v>
      </c>
      <c r="AD593" t="n">
        <v>39.56879</v>
      </c>
      <c r="AE593" t="n">
        <v>16.7872</v>
      </c>
    </row>
    <row r="594">
      <c r="A594" s="87" t="n">
        <v>36647</v>
      </c>
      <c r="B594" t="n">
        <v>23.98235</v>
      </c>
      <c r="C594" t="n">
        <v>10.89985</v>
      </c>
      <c r="D594" t="n">
        <v>33.69101</v>
      </c>
      <c r="E594" t="n">
        <v>49.33899</v>
      </c>
      <c r="F594" t="n">
        <v>20.48655</v>
      </c>
      <c r="G594" t="n">
        <v>9.437249</v>
      </c>
      <c r="H594" t="n">
        <v>15.11664</v>
      </c>
      <c r="I594" t="n">
        <v/>
      </c>
      <c r="J594" t="n">
        <v>39.54521</v>
      </c>
      <c r="K594" t="n">
        <v>37.20005</v>
      </c>
      <c r="L594" t="n">
        <v>45.48732</v>
      </c>
      <c r="M594" t="n">
        <v>37.7521</v>
      </c>
      <c r="N594" t="n">
        <v>29.25961</v>
      </c>
      <c r="O594" t="n">
        <v>15.53429</v>
      </c>
      <c r="P594" t="n">
        <v>10.57086</v>
      </c>
      <c r="Q594" t="n">
        <v>16.24347</v>
      </c>
      <c r="R594" t="n">
        <v>28.13363</v>
      </c>
      <c r="S594" t="n">
        <v>79.04349999999999</v>
      </c>
      <c r="T594" t="n">
        <v>29.34984</v>
      </c>
      <c r="U594" t="n">
        <v>16.15365</v>
      </c>
      <c r="V594" t="n">
        <v>37.14052</v>
      </c>
      <c r="W594" t="n">
        <v>31.6638</v>
      </c>
      <c r="X594" t="n">
        <v>35.24551</v>
      </c>
      <c r="Y594" t="n">
        <v>23.25199</v>
      </c>
      <c r="Z594" t="n">
        <v>25.4723</v>
      </c>
      <c r="AA594" t="n">
        <v>2.519451</v>
      </c>
      <c r="AB594" t="n">
        <v>43.85705</v>
      </c>
      <c r="AC594" t="n">
        <v>4.472923</v>
      </c>
      <c r="AD594" t="n">
        <v>39.4675</v>
      </c>
      <c r="AE594" t="n">
        <v>16.86239</v>
      </c>
    </row>
    <row r="595">
      <c r="A595" s="87" t="n">
        <v>36678</v>
      </c>
      <c r="B595" t="n">
        <v>24.13924</v>
      </c>
      <c r="C595" t="n">
        <v>11.23231</v>
      </c>
      <c r="D595" t="n">
        <v>33.74601</v>
      </c>
      <c r="E595" t="n">
        <v>49.18898</v>
      </c>
      <c r="F595" t="n">
        <v>20.71616</v>
      </c>
      <c r="G595" t="n">
        <v>9.532495000000001</v>
      </c>
      <c r="H595" t="n">
        <v>15.14025</v>
      </c>
      <c r="I595" t="n">
        <v/>
      </c>
      <c r="J595" t="n">
        <v>39.47187</v>
      </c>
      <c r="K595" t="n">
        <v>37.89515</v>
      </c>
      <c r="L595" t="n">
        <v>45.38879</v>
      </c>
      <c r="M595" t="n">
        <v>38.31719</v>
      </c>
      <c r="N595" t="n">
        <v>29.55673</v>
      </c>
      <c r="O595" t="n">
        <v>15.67749</v>
      </c>
      <c r="P595" t="n">
        <v>10.70087</v>
      </c>
      <c r="Q595" t="n">
        <v>16.37674</v>
      </c>
      <c r="R595" t="n">
        <v>28.48268</v>
      </c>
      <c r="S595" t="n">
        <v>79.12529000000001</v>
      </c>
      <c r="T595" t="n">
        <v>29.47004</v>
      </c>
      <c r="U595" t="n">
        <v>16.37621</v>
      </c>
      <c r="V595" t="n">
        <v>37.46064</v>
      </c>
      <c r="W595" t="n">
        <v>31.58727</v>
      </c>
      <c r="X595" t="n">
        <v>35.47342</v>
      </c>
      <c r="Y595" t="n">
        <v>23.64406</v>
      </c>
      <c r="Z595" t="n">
        <v>26.30262</v>
      </c>
      <c r="AA595" t="n">
        <v>2.604003</v>
      </c>
      <c r="AB595" t="n">
        <v>43.66156</v>
      </c>
      <c r="AC595" t="n">
        <v>4.62368</v>
      </c>
      <c r="AD595" t="n">
        <v>39.61611</v>
      </c>
      <c r="AE595" t="n">
        <v>16.92791</v>
      </c>
    </row>
    <row r="596">
      <c r="A596" s="87" t="n">
        <v>36708</v>
      </c>
      <c r="B596" t="n">
        <v>24.29053</v>
      </c>
      <c r="C596" t="n">
        <v>11.48851</v>
      </c>
      <c r="D596" t="n">
        <v>34.24042</v>
      </c>
      <c r="E596" t="n">
        <v>49.051</v>
      </c>
      <c r="F596" t="n">
        <v>20.93748</v>
      </c>
      <c r="G596" t="n">
        <v>9.590356999999999</v>
      </c>
      <c r="H596" t="n">
        <v>15.24124</v>
      </c>
      <c r="I596" t="n">
        <v/>
      </c>
      <c r="J596" t="n">
        <v>39.35452</v>
      </c>
      <c r="K596" t="n">
        <v>36.34673</v>
      </c>
      <c r="L596" t="n">
        <v>45.30563</v>
      </c>
      <c r="M596" t="n">
        <v>38.47406</v>
      </c>
      <c r="N596" t="n">
        <v>29.84227</v>
      </c>
      <c r="O596" t="n">
        <v>15.74661</v>
      </c>
      <c r="P596" t="n">
        <v>10.82681</v>
      </c>
      <c r="Q596" t="n">
        <v>16.5167</v>
      </c>
      <c r="R596" t="n">
        <v>28.79638</v>
      </c>
      <c r="S596" t="n">
        <v>79.14165</v>
      </c>
      <c r="T596" t="n">
        <v>29.64851</v>
      </c>
      <c r="U596" t="n">
        <v>16.63985</v>
      </c>
      <c r="V596" t="n">
        <v>37.82044</v>
      </c>
      <c r="W596" t="n">
        <v>31.61743</v>
      </c>
      <c r="X596" t="n">
        <v>35.66998</v>
      </c>
      <c r="Y596" t="n">
        <v>23.84677</v>
      </c>
      <c r="Z596" t="n">
        <v>26.60752</v>
      </c>
      <c r="AA596" t="n">
        <v>2.714357</v>
      </c>
      <c r="AB596" t="n">
        <v>43.49865</v>
      </c>
      <c r="AC596" t="n">
        <v>4.796945</v>
      </c>
      <c r="AD596" t="n">
        <v>39.76223</v>
      </c>
      <c r="AE596" t="n">
        <v>16.90158</v>
      </c>
    </row>
    <row r="597">
      <c r="A597" s="87" t="n">
        <v>36739</v>
      </c>
      <c r="B597" t="n">
        <v>24.46704</v>
      </c>
      <c r="C597" t="n">
        <v>11.55662</v>
      </c>
      <c r="D597" t="n">
        <v>34.71808</v>
      </c>
      <c r="E597" t="n">
        <v>49.27182</v>
      </c>
      <c r="F597" t="n">
        <v>21.15743</v>
      </c>
      <c r="G597" t="n">
        <v>9.658023999999999</v>
      </c>
      <c r="H597" t="n">
        <v>15.29615</v>
      </c>
      <c r="I597" t="n">
        <v/>
      </c>
      <c r="J597" t="n">
        <v>39.82097</v>
      </c>
      <c r="K597" t="n">
        <v>35.48494</v>
      </c>
      <c r="L597" t="n">
        <v>45.2725</v>
      </c>
      <c r="M597" t="n">
        <v>38.6362</v>
      </c>
      <c r="N597" t="n">
        <v>30.48002</v>
      </c>
      <c r="O597" t="n">
        <v>15.82709</v>
      </c>
      <c r="P597" t="n">
        <v>10.91949</v>
      </c>
      <c r="Q597" t="n">
        <v>16.66068</v>
      </c>
      <c r="R597" t="n">
        <v>29.11205</v>
      </c>
      <c r="S597" t="n">
        <v>79.28072</v>
      </c>
      <c r="T597" t="n">
        <v>29.86609</v>
      </c>
      <c r="U597" t="n">
        <v>16.83659</v>
      </c>
      <c r="V597" t="n">
        <v>38.16745</v>
      </c>
      <c r="W597" t="n">
        <v>31.88256</v>
      </c>
      <c r="X597" t="n">
        <v>35.88289</v>
      </c>
      <c r="Y597" t="n">
        <v>23.97542</v>
      </c>
      <c r="Z597" t="n">
        <v>26.25238</v>
      </c>
      <c r="AA597" t="n">
        <v>2.852457</v>
      </c>
      <c r="AB597" t="n">
        <v>43.4716</v>
      </c>
      <c r="AC597" t="n">
        <v>4.900766</v>
      </c>
      <c r="AD597" t="n">
        <v>39.99552</v>
      </c>
      <c r="AE597" t="n">
        <v>16.96479</v>
      </c>
    </row>
    <row r="598">
      <c r="A598" s="87" t="n">
        <v>36770</v>
      </c>
      <c r="B598" t="n">
        <v>24.60432</v>
      </c>
      <c r="C598" t="n">
        <v>11.64507</v>
      </c>
      <c r="D598" t="n">
        <v>34.87865</v>
      </c>
      <c r="E598" t="n">
        <v>49.28114</v>
      </c>
      <c r="F598" t="n">
        <v>21.32627</v>
      </c>
      <c r="G598" t="n">
        <v>9.836717999999999</v>
      </c>
      <c r="H598" t="n">
        <v>15.34712</v>
      </c>
      <c r="I598" t="n">
        <v/>
      </c>
      <c r="J598" t="n">
        <v>40.1598</v>
      </c>
      <c r="K598" t="n">
        <v>35.84048</v>
      </c>
      <c r="L598" t="n">
        <v>45.23717</v>
      </c>
      <c r="M598" t="n">
        <v>38.77407</v>
      </c>
      <c r="N598" t="n">
        <v>31.28368</v>
      </c>
      <c r="O598" t="n">
        <v>15.87884</v>
      </c>
      <c r="P598" t="n">
        <v>11.04442</v>
      </c>
      <c r="Q598" t="n">
        <v>16.81042</v>
      </c>
      <c r="R598" t="n">
        <v>29.39406</v>
      </c>
      <c r="S598" t="n">
        <v>79.46066999999999</v>
      </c>
      <c r="T598" t="n">
        <v>30.0334</v>
      </c>
      <c r="U598" t="n">
        <v>17.04598</v>
      </c>
      <c r="V598" t="n">
        <v>38.81308</v>
      </c>
      <c r="W598" t="n">
        <v>32.12715</v>
      </c>
      <c r="X598" t="n">
        <v>36.1198</v>
      </c>
      <c r="Y598" t="n">
        <v>24.14468</v>
      </c>
      <c r="Z598" t="n">
        <v>26.47404</v>
      </c>
      <c r="AA598" t="n">
        <v>2.98524</v>
      </c>
      <c r="AB598" t="n">
        <v>43.46398</v>
      </c>
      <c r="AC598" t="n">
        <v>4.953609</v>
      </c>
      <c r="AD598" t="n">
        <v>40.2919</v>
      </c>
      <c r="AE598" t="n">
        <v>17.29513</v>
      </c>
    </row>
    <row r="599">
      <c r="A599" s="87" t="n">
        <v>36800</v>
      </c>
      <c r="B599" t="n">
        <v>24.71639</v>
      </c>
      <c r="C599" t="n">
        <v>11.77426</v>
      </c>
      <c r="D599" t="n">
        <v>34.91581</v>
      </c>
      <c r="E599" t="n">
        <v>49.19314</v>
      </c>
      <c r="F599" t="n">
        <v>21.46337</v>
      </c>
      <c r="G599" t="n">
        <v>9.914134000000001</v>
      </c>
      <c r="H599" t="n">
        <v>15.54092</v>
      </c>
      <c r="I599" t="n">
        <v/>
      </c>
      <c r="J599" t="n">
        <v>40.22874</v>
      </c>
      <c r="K599" t="n">
        <v>35.57204</v>
      </c>
      <c r="L599" t="n">
        <v>45.26704</v>
      </c>
      <c r="M599" t="n">
        <v>38.99107</v>
      </c>
      <c r="N599" t="n">
        <v>31.75672</v>
      </c>
      <c r="O599" t="n">
        <v>16.16258</v>
      </c>
      <c r="P599" t="n">
        <v>11.21075</v>
      </c>
      <c r="Q599" t="n">
        <v>16.98198</v>
      </c>
      <c r="R599" t="n">
        <v>29.64789</v>
      </c>
      <c r="S599" t="n">
        <v>79.62428</v>
      </c>
      <c r="T599" t="n">
        <v>30.17164</v>
      </c>
      <c r="U599" t="n">
        <v>17.30095</v>
      </c>
      <c r="V599" t="n">
        <v>38.98443</v>
      </c>
      <c r="W599" t="n">
        <v>32.2446</v>
      </c>
      <c r="X599" t="n">
        <v>36.29638</v>
      </c>
      <c r="Y599" t="n">
        <v>24.33963</v>
      </c>
      <c r="Z599" t="n">
        <v>26.90085</v>
      </c>
      <c r="AA599" t="n">
        <v>3.110443</v>
      </c>
      <c r="AB599" t="n">
        <v>43.27105</v>
      </c>
      <c r="AC599" t="n">
        <v>5.050842</v>
      </c>
      <c r="AD599" t="n">
        <v>40.42474</v>
      </c>
      <c r="AE599" t="n">
        <v>17.51264</v>
      </c>
    </row>
    <row r="600">
      <c r="A600" s="87" t="n">
        <v>36831</v>
      </c>
      <c r="B600" t="n">
        <v>24.62393</v>
      </c>
      <c r="C600" t="n">
        <v>11.93291</v>
      </c>
      <c r="D600" t="n">
        <v>35.00835</v>
      </c>
      <c r="E600" t="n">
        <v>49.30806</v>
      </c>
      <c r="F600" t="n">
        <v>21.68741</v>
      </c>
      <c r="G600" t="n">
        <v>9.937536</v>
      </c>
      <c r="H600" t="n">
        <v>15.73147</v>
      </c>
      <c r="I600" t="n">
        <v/>
      </c>
      <c r="J600" t="n">
        <v>40.54998</v>
      </c>
      <c r="K600" t="n">
        <v>35.52816</v>
      </c>
      <c r="L600" t="n">
        <v>45.44405</v>
      </c>
      <c r="M600" t="n">
        <v>39.43373</v>
      </c>
      <c r="N600" t="n">
        <v>32.08627</v>
      </c>
      <c r="O600" t="n">
        <v>16.52472</v>
      </c>
      <c r="P600" t="n">
        <v>11.44868</v>
      </c>
      <c r="Q600" t="n">
        <v>17.17207</v>
      </c>
      <c r="R600" t="n">
        <v>30.12926</v>
      </c>
      <c r="S600" t="n">
        <v>79.657</v>
      </c>
      <c r="T600" t="n">
        <v>30.35191</v>
      </c>
      <c r="U600" t="n">
        <v>17.45423</v>
      </c>
      <c r="V600" t="n">
        <v>39.06706</v>
      </c>
      <c r="W600" t="n">
        <v>32.16275</v>
      </c>
      <c r="X600" t="n">
        <v>36.45855</v>
      </c>
      <c r="Y600" t="n">
        <v>24.62692</v>
      </c>
      <c r="Z600" t="n">
        <v>27.37924</v>
      </c>
      <c r="AA600" t="n">
        <v>3.227492</v>
      </c>
      <c r="AB600" t="n">
        <v>43.38767</v>
      </c>
      <c r="AC600" t="n">
        <v>5.158082</v>
      </c>
      <c r="AD600" t="n">
        <v>40.51689</v>
      </c>
      <c r="AE600" t="n">
        <v>17.61206</v>
      </c>
    </row>
    <row r="601">
      <c r="A601" s="87" t="n">
        <v>36861</v>
      </c>
      <c r="B601" t="n">
        <v>24.51467</v>
      </c>
      <c r="C601" t="n">
        <v>12.03767</v>
      </c>
      <c r="D601" t="n">
        <v>35.53879</v>
      </c>
      <c r="E601" t="n">
        <v>49.44107</v>
      </c>
      <c r="F601" t="n">
        <v>22.01447</v>
      </c>
      <c r="G601" t="n">
        <v>10.06958</v>
      </c>
      <c r="H601" t="n">
        <v>15.79494</v>
      </c>
      <c r="I601" t="n">
        <v/>
      </c>
      <c r="J601" t="n">
        <v>41.1235</v>
      </c>
      <c r="K601" t="n">
        <v>35.46302</v>
      </c>
      <c r="L601" t="n">
        <v>45.94219</v>
      </c>
      <c r="M601" t="n">
        <v>39.83659</v>
      </c>
      <c r="N601" t="n">
        <v>32.16821</v>
      </c>
      <c r="O601" t="n">
        <v>16.79229</v>
      </c>
      <c r="P601" t="n">
        <v>11.70729</v>
      </c>
      <c r="Q601" t="n">
        <v>17.35549</v>
      </c>
      <c r="R601" t="n">
        <v>30.67107</v>
      </c>
      <c r="S601" t="n">
        <v>79.6161</v>
      </c>
      <c r="T601" t="n">
        <v>30.51723</v>
      </c>
      <c r="U601" t="n">
        <v>18.81943</v>
      </c>
      <c r="V601" t="n">
        <v>39.40491</v>
      </c>
      <c r="W601" t="n">
        <v>32.23411</v>
      </c>
      <c r="X601" t="n">
        <v>36.89388</v>
      </c>
      <c r="Y601" t="n">
        <v>24.8737</v>
      </c>
      <c r="Z601" t="n">
        <v>27.5067</v>
      </c>
      <c r="AA601" t="n">
        <v>3.318487</v>
      </c>
      <c r="AB601" t="n">
        <v>43.33724</v>
      </c>
      <c r="AC601" t="n">
        <v>5.268686</v>
      </c>
      <c r="AD601" t="n">
        <v>40.888</v>
      </c>
      <c r="AE601" t="n">
        <v>17.87616</v>
      </c>
    </row>
    <row r="602">
      <c r="A602" s="87" t="n">
        <v>36892</v>
      </c>
      <c r="B602" t="n">
        <v>24.70238</v>
      </c>
      <c r="C602" t="n">
        <v>12.14762</v>
      </c>
      <c r="D602" t="n">
        <v>35.59762</v>
      </c>
      <c r="E602" t="n">
        <v>49.7107</v>
      </c>
      <c r="F602" t="n">
        <v>22.31392</v>
      </c>
      <c r="G602" t="n">
        <v>10.25101</v>
      </c>
      <c r="H602" t="n">
        <v>15.82286</v>
      </c>
      <c r="I602" t="n">
        <v/>
      </c>
      <c r="J602" t="n">
        <v>41.72195</v>
      </c>
      <c r="K602" t="n">
        <v>35.88235</v>
      </c>
      <c r="L602" t="n">
        <v>46.85896</v>
      </c>
      <c r="M602" t="n">
        <v>40.34137</v>
      </c>
      <c r="N602" t="n">
        <v>32.30016</v>
      </c>
      <c r="O602" t="n">
        <v>16.95087</v>
      </c>
      <c r="P602" t="n">
        <v>11.84291</v>
      </c>
      <c r="Q602" t="n">
        <v>17.52728</v>
      </c>
      <c r="R602" t="n">
        <v>31.09495</v>
      </c>
      <c r="S602" t="n">
        <v>79.75516</v>
      </c>
      <c r="T602" t="n">
        <v>30.72741</v>
      </c>
      <c r="U602" t="n">
        <v>20.08912</v>
      </c>
      <c r="V602" t="n">
        <v>39.65475</v>
      </c>
      <c r="W602" t="n">
        <v>32.42273</v>
      </c>
      <c r="X602" t="n">
        <v>37.35342</v>
      </c>
      <c r="Y602" t="n">
        <v>25.16395</v>
      </c>
      <c r="Z602" t="n">
        <v>27.60328</v>
      </c>
      <c r="AA602" t="n">
        <v>3.397425</v>
      </c>
      <c r="AB602" t="n">
        <v>43.14142</v>
      </c>
      <c r="AC602" t="n">
        <v>5.389837</v>
      </c>
      <c r="AD602" t="n">
        <v>41.30891</v>
      </c>
      <c r="AE602" t="n">
        <v>18.21089</v>
      </c>
    </row>
    <row r="603">
      <c r="A603" s="87" t="n">
        <v>36923</v>
      </c>
      <c r="B603" t="n">
        <v>24.99095</v>
      </c>
      <c r="C603" t="n">
        <v>12.28403</v>
      </c>
      <c r="D603" t="n">
        <v>35.56929</v>
      </c>
      <c r="E603" t="n">
        <v>50.00655</v>
      </c>
      <c r="F603" t="n">
        <v>22.43443</v>
      </c>
      <c r="G603" t="n">
        <v>10.34532</v>
      </c>
      <c r="H603" t="n">
        <v>15.95625</v>
      </c>
      <c r="I603" t="n">
        <v>12.03445</v>
      </c>
      <c r="J603" t="n">
        <v>42.09893</v>
      </c>
      <c r="K603" t="n">
        <v>36.69334</v>
      </c>
      <c r="L603" t="n">
        <v>47.50601</v>
      </c>
      <c r="M603" t="n">
        <v>40.51051</v>
      </c>
      <c r="N603" t="n">
        <v>32.7826</v>
      </c>
      <c r="O603" t="n">
        <v>17.17239</v>
      </c>
      <c r="P603" t="n">
        <v>11.93126</v>
      </c>
      <c r="Q603" t="n">
        <v>17.70635</v>
      </c>
      <c r="R603" t="n">
        <v>31.86089</v>
      </c>
      <c r="S603" t="n">
        <v>79.9024</v>
      </c>
      <c r="T603" t="n">
        <v>31.00329</v>
      </c>
      <c r="U603" t="n">
        <v>20.20574</v>
      </c>
      <c r="V603" t="n">
        <v>40.14575</v>
      </c>
      <c r="W603" t="n">
        <v>32.57542</v>
      </c>
      <c r="X603" t="n">
        <v>37.68678</v>
      </c>
      <c r="Y603" t="n">
        <v>25.68368</v>
      </c>
      <c r="Z603" t="n">
        <v>27.94683</v>
      </c>
      <c r="AA603" t="n">
        <v>3.473005</v>
      </c>
      <c r="AB603" t="n">
        <v>42.77682</v>
      </c>
      <c r="AC603" t="n">
        <v>5.858421</v>
      </c>
      <c r="AD603" t="n">
        <v>41.62772</v>
      </c>
      <c r="AE603" t="n">
        <v>18.42745</v>
      </c>
    </row>
    <row r="604">
      <c r="A604" s="87" t="n">
        <v>36951</v>
      </c>
      <c r="B604" t="n">
        <v>25.27672</v>
      </c>
      <c r="C604" t="n">
        <v>12.39118</v>
      </c>
      <c r="D604" t="n">
        <v>35.73911</v>
      </c>
      <c r="E604" t="n">
        <v>50.03435</v>
      </c>
      <c r="F604" t="n">
        <v>22.51456</v>
      </c>
      <c r="G604" t="n">
        <v>10.40606</v>
      </c>
      <c r="H604" t="n">
        <v>16.03368</v>
      </c>
      <c r="I604" t="n">
        <v>12.41529</v>
      </c>
      <c r="J604" t="n">
        <v>42.22361</v>
      </c>
      <c r="K604" t="n">
        <v>37.14583</v>
      </c>
      <c r="L604" t="n">
        <v>47.80643</v>
      </c>
      <c r="M604" t="n">
        <v>40.86177</v>
      </c>
      <c r="N604" t="n">
        <v>33.27043</v>
      </c>
      <c r="O604" t="n">
        <v>17.58521</v>
      </c>
      <c r="P604" t="n">
        <v>12.06677</v>
      </c>
      <c r="Q604" t="n">
        <v>17.90319</v>
      </c>
      <c r="R604" t="n">
        <v>32.4217</v>
      </c>
      <c r="S604" t="n">
        <v>79.96783000000001</v>
      </c>
      <c r="T604" t="n">
        <v>31.19406</v>
      </c>
      <c r="U604" t="n">
        <v>20.45307</v>
      </c>
      <c r="V604" t="n">
        <v>40.44921</v>
      </c>
      <c r="W604" t="n">
        <v>32.93687</v>
      </c>
      <c r="X604" t="n">
        <v>38.17474</v>
      </c>
      <c r="Y604" t="n">
        <v>26.48195</v>
      </c>
      <c r="Z604" t="n">
        <v>28.32005</v>
      </c>
      <c r="AA604" t="n">
        <v>3.585397</v>
      </c>
      <c r="AB604" t="n">
        <v>42.64083</v>
      </c>
      <c r="AC604" t="n">
        <v>6.641609</v>
      </c>
      <c r="AD604" t="n">
        <v>42.10841</v>
      </c>
      <c r="AE604" t="n">
        <v>18.68356</v>
      </c>
    </row>
    <row r="605">
      <c r="A605" s="87" t="n">
        <v>36982</v>
      </c>
      <c r="B605" t="n">
        <v>25.54008</v>
      </c>
      <c r="C605" t="n">
        <v>12.51655</v>
      </c>
      <c r="D605" t="n">
        <v>35.60424</v>
      </c>
      <c r="E605" t="n">
        <v>50.23734</v>
      </c>
      <c r="F605" t="n">
        <v>22.72969</v>
      </c>
      <c r="G605" t="n">
        <v>10.53976</v>
      </c>
      <c r="H605" t="n">
        <v>16.0356</v>
      </c>
      <c r="I605" t="n">
        <v>12.47046</v>
      </c>
      <c r="J605" t="n">
        <v>42.64311</v>
      </c>
      <c r="K605" t="n">
        <v>37.22532</v>
      </c>
      <c r="L605" t="n">
        <v>48.22163</v>
      </c>
      <c r="M605" t="n">
        <v>41.39579</v>
      </c>
      <c r="N605" t="n">
        <v>33.69883</v>
      </c>
      <c r="O605" t="n">
        <v>18.05528</v>
      </c>
      <c r="P605" t="n">
        <v>12.22381</v>
      </c>
      <c r="Q605" t="n">
        <v>18.10699</v>
      </c>
      <c r="R605" t="n">
        <v>32.53022</v>
      </c>
      <c r="S605" t="n">
        <v>80.1069</v>
      </c>
      <c r="T605" t="n">
        <v>31.3532</v>
      </c>
      <c r="U605" t="n">
        <v>20.71972</v>
      </c>
      <c r="V605" t="n">
        <v>40.52355</v>
      </c>
      <c r="W605" t="n">
        <v>33.28064</v>
      </c>
      <c r="X605" t="n">
        <v>38.64114</v>
      </c>
      <c r="Y605" t="n">
        <v>27.16822</v>
      </c>
      <c r="Z605" t="n">
        <v>28.68064</v>
      </c>
      <c r="AA605" t="n">
        <v>3.691727</v>
      </c>
      <c r="AB605" t="n">
        <v>43.09443</v>
      </c>
      <c r="AC605" t="n">
        <v>7.212993</v>
      </c>
      <c r="AD605" t="n">
        <v>42.63892</v>
      </c>
      <c r="AE605" t="n">
        <v>18.89667</v>
      </c>
    </row>
    <row r="606">
      <c r="A606" s="87" t="n">
        <v>37012</v>
      </c>
      <c r="B606" t="n">
        <v>25.82305</v>
      </c>
      <c r="C606" t="n">
        <v>12.69376</v>
      </c>
      <c r="D606" t="n">
        <v>35.79391</v>
      </c>
      <c r="E606" t="n">
        <v>50.6591</v>
      </c>
      <c r="F606" t="n">
        <v>22.94073</v>
      </c>
      <c r="G606" t="n">
        <v>10.60825</v>
      </c>
      <c r="H606" t="n">
        <v>16.11862</v>
      </c>
      <c r="I606" t="n">
        <v>12.50006</v>
      </c>
      <c r="J606" t="n">
        <v>43.69921</v>
      </c>
      <c r="K606" t="n">
        <v>37.1704</v>
      </c>
      <c r="L606" t="n">
        <v>48.61637</v>
      </c>
      <c r="M606" t="n">
        <v>41.45965</v>
      </c>
      <c r="N606" t="n">
        <v>34.19048</v>
      </c>
      <c r="O606" t="n">
        <v>18.21256</v>
      </c>
      <c r="P606" t="n">
        <v>12.41516</v>
      </c>
      <c r="Q606" t="n">
        <v>18.31321</v>
      </c>
      <c r="R606" t="n">
        <v>32.81353</v>
      </c>
      <c r="S606" t="n">
        <v>80.26231</v>
      </c>
      <c r="T606" t="n">
        <v>31.6367</v>
      </c>
      <c r="U606" t="n">
        <v>21.00297</v>
      </c>
      <c r="V606" t="n">
        <v>40.86562</v>
      </c>
      <c r="W606" t="n">
        <v>33.48443</v>
      </c>
      <c r="X606" t="n">
        <v>38.81935</v>
      </c>
      <c r="Y606" t="n">
        <v>27.56018</v>
      </c>
      <c r="Z606" t="n">
        <v>28.87013</v>
      </c>
      <c r="AA606" t="n">
        <v>3.78532</v>
      </c>
      <c r="AB606" t="n">
        <v>43.39737</v>
      </c>
      <c r="AC606" t="n">
        <v>7.556115</v>
      </c>
      <c r="AD606" t="n">
        <v>42.61484</v>
      </c>
      <c r="AE606" t="n">
        <v>19.06473</v>
      </c>
    </row>
    <row r="607">
      <c r="A607" s="87" t="n">
        <v>37043</v>
      </c>
      <c r="B607" t="n">
        <v>26.11443</v>
      </c>
      <c r="C607" t="n">
        <v>12.90087</v>
      </c>
      <c r="D607" t="n">
        <v>35.77985</v>
      </c>
      <c r="E607" t="n">
        <v>50.8836</v>
      </c>
      <c r="F607" t="n">
        <v>23.14607</v>
      </c>
      <c r="G607" t="n">
        <v>10.89423</v>
      </c>
      <c r="H607" t="n">
        <v>16.26774</v>
      </c>
      <c r="I607" t="n">
        <v>12.60948</v>
      </c>
      <c r="J607" t="n">
        <v>44.39595</v>
      </c>
      <c r="K607" t="n">
        <v>37.57505</v>
      </c>
      <c r="L607" t="n">
        <v>48.9962</v>
      </c>
      <c r="M607" t="n">
        <v>41.56867</v>
      </c>
      <c r="N607" t="n">
        <v>34.52161</v>
      </c>
      <c r="O607" t="n">
        <v>18.19463</v>
      </c>
      <c r="P607" t="n">
        <v>12.59801</v>
      </c>
      <c r="Q607" t="n">
        <v>18.52725</v>
      </c>
      <c r="R607" t="n">
        <v>33.19007</v>
      </c>
      <c r="S607" t="n">
        <v>80.41773000000001</v>
      </c>
      <c r="T607" t="n">
        <v>32.0428</v>
      </c>
      <c r="U607" t="n">
        <v>21.23309</v>
      </c>
      <c r="V607" t="n">
        <v>41.18037</v>
      </c>
      <c r="W607" t="n">
        <v>33.70679</v>
      </c>
      <c r="X607" t="n">
        <v>39.15495</v>
      </c>
      <c r="Y607" t="n">
        <v>27.99373</v>
      </c>
      <c r="Z607" t="n">
        <v>29.0166</v>
      </c>
      <c r="AA607" t="n">
        <v>3.885534</v>
      </c>
      <c r="AB607" t="n">
        <v>44.47362</v>
      </c>
      <c r="AC607" t="n">
        <v>7.915514</v>
      </c>
      <c r="AD607" t="n">
        <v>42.95108</v>
      </c>
      <c r="AE607" t="n">
        <v>19.31937</v>
      </c>
    </row>
    <row r="608">
      <c r="A608" s="87" t="n">
        <v>37073</v>
      </c>
      <c r="B608" t="n">
        <v>26.20408</v>
      </c>
      <c r="C608" t="n">
        <v>13.10984</v>
      </c>
      <c r="D608" t="n">
        <v>35.86008</v>
      </c>
      <c r="E608" t="n">
        <v>50.85458</v>
      </c>
      <c r="F608" t="n">
        <v>23.4532</v>
      </c>
      <c r="G608" t="n">
        <v>11.25603</v>
      </c>
      <c r="H608" t="n">
        <v>16.37711</v>
      </c>
      <c r="I608" t="n">
        <v>12.68934</v>
      </c>
      <c r="J608" t="n">
        <v>44.63211</v>
      </c>
      <c r="K608" t="n">
        <v>37.82822</v>
      </c>
      <c r="L608" t="n">
        <v>49.16439</v>
      </c>
      <c r="M608" t="n">
        <v>41.96219</v>
      </c>
      <c r="N608" t="n">
        <v>34.71271</v>
      </c>
      <c r="O608" t="n">
        <v>18.00674</v>
      </c>
      <c r="P608" t="n">
        <v>12.73767</v>
      </c>
      <c r="Q608" t="n">
        <v>18.74914</v>
      </c>
      <c r="R608" t="n">
        <v>33.43306</v>
      </c>
      <c r="S608" t="n">
        <v>80.54044</v>
      </c>
      <c r="T608" t="n">
        <v>32.43216</v>
      </c>
      <c r="U608" t="n">
        <v>21.44032</v>
      </c>
      <c r="V608" t="n">
        <v>41.28309</v>
      </c>
      <c r="W608" t="n">
        <v>33.91681</v>
      </c>
      <c r="X608" t="n">
        <v>39.43114</v>
      </c>
      <c r="Y608" t="n">
        <v>28.38295</v>
      </c>
      <c r="Z608" t="n">
        <v>29.33099</v>
      </c>
      <c r="AA608" t="n">
        <v>3.972849</v>
      </c>
      <c r="AB608" t="n">
        <v>44.76649</v>
      </c>
      <c r="AC608" t="n">
        <v>8.193991</v>
      </c>
      <c r="AD608" t="n">
        <v>43.19931</v>
      </c>
      <c r="AE608" t="n">
        <v>19.63999</v>
      </c>
    </row>
    <row r="609">
      <c r="A609" s="87" t="n">
        <v>37104</v>
      </c>
      <c r="B609" t="n">
        <v>26.36658</v>
      </c>
      <c r="C609" t="n">
        <v>13.28222</v>
      </c>
      <c r="D609" t="n">
        <v>36.05383</v>
      </c>
      <c r="E609" t="n">
        <v>50.81048</v>
      </c>
      <c r="F609" t="n">
        <v>23.76042</v>
      </c>
      <c r="G609" t="n">
        <v>11.37259</v>
      </c>
      <c r="H609" t="n">
        <v>16.50528</v>
      </c>
      <c r="I609" t="n">
        <v>12.82336</v>
      </c>
      <c r="J609" t="n">
        <v>45.12789</v>
      </c>
      <c r="K609" t="n">
        <v>38.18191</v>
      </c>
      <c r="L609" t="n">
        <v>49.14432</v>
      </c>
      <c r="M609" t="n">
        <v>42.45688</v>
      </c>
      <c r="N609" t="n">
        <v>35.27436</v>
      </c>
      <c r="O609" t="n">
        <v>17.81949</v>
      </c>
      <c r="P609" t="n">
        <v>12.86392</v>
      </c>
      <c r="Q609" t="n">
        <v>18.98635</v>
      </c>
      <c r="R609" t="n">
        <v>33.70879</v>
      </c>
      <c r="S609" t="n">
        <v>80.6386</v>
      </c>
      <c r="T609" t="n">
        <v>32.76596</v>
      </c>
      <c r="U609" t="n">
        <v>21.78383</v>
      </c>
      <c r="V609" t="n">
        <v>41.58705</v>
      </c>
      <c r="W609" t="n">
        <v>34.07694</v>
      </c>
      <c r="X609" t="n">
        <v>39.78888</v>
      </c>
      <c r="Y609" t="n">
        <v>28.95251</v>
      </c>
      <c r="Z609" t="n">
        <v>29.75009</v>
      </c>
      <c r="AA609" t="n">
        <v>4.085083</v>
      </c>
      <c r="AB609" t="n">
        <v>44.34686</v>
      </c>
      <c r="AC609" t="n">
        <v>8.651270999999999</v>
      </c>
      <c r="AD609" t="n">
        <v>43.47992</v>
      </c>
      <c r="AE609" t="n">
        <v>20.06904</v>
      </c>
    </row>
    <row r="610">
      <c r="A610" s="87" t="n">
        <v>37135</v>
      </c>
      <c r="B610" t="n">
        <v>26.76441</v>
      </c>
      <c r="C610" t="n">
        <v>13.3756</v>
      </c>
      <c r="D610" t="n">
        <v>36.64093</v>
      </c>
      <c r="E610" t="n">
        <v>50.93173</v>
      </c>
      <c r="F610" t="n">
        <v>23.98676</v>
      </c>
      <c r="G610" t="n">
        <v>11.46328</v>
      </c>
      <c r="H610" t="n">
        <v>16.64548</v>
      </c>
      <c r="I610" t="n">
        <v>13.32547</v>
      </c>
      <c r="J610" t="n">
        <v>45.18363</v>
      </c>
      <c r="K610" t="n">
        <v>38.84314</v>
      </c>
      <c r="L610" t="n">
        <v>49.39537</v>
      </c>
      <c r="M610" t="n">
        <v>42.75708</v>
      </c>
      <c r="N610" t="n">
        <v>35.87232</v>
      </c>
      <c r="O610" t="n">
        <v>18.04943</v>
      </c>
      <c r="P610" t="n">
        <v>12.97775</v>
      </c>
      <c r="Q610" t="n">
        <v>19.23208</v>
      </c>
      <c r="R610" t="n">
        <v>34.19341</v>
      </c>
      <c r="S610" t="n">
        <v>80.81037999999999</v>
      </c>
      <c r="T610" t="n">
        <v>33.31082</v>
      </c>
      <c r="U610" t="n">
        <v>22.15535</v>
      </c>
      <c r="V610" t="n">
        <v>41.94164</v>
      </c>
      <c r="W610" t="n">
        <v>34.46535</v>
      </c>
      <c r="X610" t="n">
        <v>40.50267</v>
      </c>
      <c r="Y610" t="n">
        <v>29.66439</v>
      </c>
      <c r="Z610" t="n">
        <v>30.04326</v>
      </c>
      <c r="AA610" t="n">
        <v>4.218204</v>
      </c>
      <c r="AB610" t="n">
        <v>45.01808</v>
      </c>
      <c r="AC610" t="n">
        <v>9.299973</v>
      </c>
      <c r="AD610" t="n">
        <v>44.40312</v>
      </c>
      <c r="AE610" t="n">
        <v>20.20996</v>
      </c>
    </row>
    <row r="611">
      <c r="A611" s="87" t="n">
        <v>37165</v>
      </c>
      <c r="B611" t="n">
        <v>27.15665</v>
      </c>
      <c r="C611" t="n">
        <v>13.42283</v>
      </c>
      <c r="D611" t="n">
        <v>36.66957</v>
      </c>
      <c r="E611" t="n">
        <v>51.35509</v>
      </c>
      <c r="F611" t="n">
        <v>24.25337</v>
      </c>
      <c r="G611" t="n">
        <v>11.56228</v>
      </c>
      <c r="H611" t="n">
        <v>16.8953</v>
      </c>
      <c r="I611" t="n">
        <v>13.83928</v>
      </c>
      <c r="J611" t="n">
        <v>45.07508</v>
      </c>
      <c r="K611" t="n">
        <v>39.073</v>
      </c>
      <c r="L611" t="n">
        <v>49.76244</v>
      </c>
      <c r="M611" t="n">
        <v>43.10472</v>
      </c>
      <c r="N611" t="n">
        <v>36.39011</v>
      </c>
      <c r="O611" t="n">
        <v>18.43945</v>
      </c>
      <c r="P611" t="n">
        <v>13.08113</v>
      </c>
      <c r="Q611" t="n">
        <v>19.45749</v>
      </c>
      <c r="R611" t="n">
        <v>34.56203</v>
      </c>
      <c r="S611" t="n">
        <v>80.89216999999999</v>
      </c>
      <c r="T611" t="n">
        <v>33.68596</v>
      </c>
      <c r="U611" t="n">
        <v>22.4266</v>
      </c>
      <c r="V611" t="n">
        <v>42.14647</v>
      </c>
      <c r="W611" t="n">
        <v>34.82935</v>
      </c>
      <c r="X611" t="n">
        <v>40.68361</v>
      </c>
      <c r="Y611" t="n">
        <v>30.16959</v>
      </c>
      <c r="Z611" t="n">
        <v>30.26114</v>
      </c>
      <c r="AA611" t="n">
        <v>4.347396</v>
      </c>
      <c r="AB611" t="n">
        <v>45.61308</v>
      </c>
      <c r="AC611" t="n">
        <v>9.709228</v>
      </c>
      <c r="AD611" t="n">
        <v>44.3093</v>
      </c>
      <c r="AE611" t="n">
        <v>20.2001</v>
      </c>
    </row>
    <row r="612">
      <c r="A612" s="87" t="n">
        <v>37196</v>
      </c>
      <c r="B612" t="n">
        <v>27.52087</v>
      </c>
      <c r="C612" t="n">
        <v>13.44038</v>
      </c>
      <c r="D612" t="n">
        <v>36.85267</v>
      </c>
      <c r="E612" t="n">
        <v>51.9205</v>
      </c>
      <c r="F612" t="n">
        <v>24.46409</v>
      </c>
      <c r="G612" t="n">
        <v>11.69509</v>
      </c>
      <c r="H612" t="n">
        <v>17.08321</v>
      </c>
      <c r="I612" t="n">
        <v>14.12185</v>
      </c>
      <c r="J612" t="n">
        <v>45.54887</v>
      </c>
      <c r="K612" t="n">
        <v>39.37552</v>
      </c>
      <c r="L612" t="n">
        <v>50.14284</v>
      </c>
      <c r="M612" t="n">
        <v>43.52894</v>
      </c>
      <c r="N612" t="n">
        <v>36.705</v>
      </c>
      <c r="O612" t="n">
        <v>18.80783</v>
      </c>
      <c r="P612" t="n">
        <v>13.23063</v>
      </c>
      <c r="Q612" t="n">
        <v>19.65967</v>
      </c>
      <c r="R612" t="n">
        <v>34.74421</v>
      </c>
      <c r="S612" t="n">
        <v>81.03122999999999</v>
      </c>
      <c r="T612" t="n">
        <v>33.7134</v>
      </c>
      <c r="U612" t="n">
        <v>22.76315</v>
      </c>
      <c r="V612" t="n">
        <v>42.34332</v>
      </c>
      <c r="W612" t="n">
        <v>34.62373</v>
      </c>
      <c r="X612" t="n">
        <v>40.98</v>
      </c>
      <c r="Y612" t="n">
        <v>30.40786</v>
      </c>
      <c r="Z612" t="n">
        <v>30.09591</v>
      </c>
      <c r="AA612" t="n">
        <v>4.489439</v>
      </c>
      <c r="AB612" t="n">
        <v>45.84876</v>
      </c>
      <c r="AC612" t="n">
        <v>9.810295</v>
      </c>
      <c r="AD612" t="n">
        <v>44.67211</v>
      </c>
      <c r="AE612" t="n">
        <v>20.48095</v>
      </c>
    </row>
    <row r="613">
      <c r="A613" s="87" t="n">
        <v>37226</v>
      </c>
      <c r="B613" t="n">
        <v>27.80664</v>
      </c>
      <c r="C613" t="n">
        <v>13.51516</v>
      </c>
      <c r="D613" t="n">
        <v>37.06855</v>
      </c>
      <c r="E613" t="n">
        <v>52.22868</v>
      </c>
      <c r="F613" t="n">
        <v>24.50289</v>
      </c>
      <c r="G613" t="n">
        <v>11.86114</v>
      </c>
      <c r="H613" t="n">
        <v>17.13863</v>
      </c>
      <c r="I613" t="n">
        <v>14.40581</v>
      </c>
      <c r="J613" t="n">
        <v>46.36295</v>
      </c>
      <c r="K613" t="n">
        <v>38.89782</v>
      </c>
      <c r="L613" t="n">
        <v>50.88321</v>
      </c>
      <c r="M613" t="n">
        <v>43.70327</v>
      </c>
      <c r="N613" t="n">
        <v>37.13832</v>
      </c>
      <c r="O613" t="n">
        <v>19.00094</v>
      </c>
      <c r="P613" t="n">
        <v>13.40002</v>
      </c>
      <c r="Q613" t="n">
        <v>19.863</v>
      </c>
      <c r="R613" t="n">
        <v>34.84579</v>
      </c>
      <c r="S613" t="n">
        <v>81.19484</v>
      </c>
      <c r="T613" t="n">
        <v>33.87769</v>
      </c>
      <c r="U613" t="n">
        <v>22.75622</v>
      </c>
      <c r="V613" t="n">
        <v>42.65719</v>
      </c>
      <c r="W613" t="n">
        <v>34.44542</v>
      </c>
      <c r="X613" t="n">
        <v>41.21834</v>
      </c>
      <c r="Y613" t="n">
        <v>30.44991</v>
      </c>
      <c r="Z613" t="n">
        <v>29.9631</v>
      </c>
      <c r="AA613" t="n">
        <v>4.582249</v>
      </c>
      <c r="AB613" t="n">
        <v>44.45295</v>
      </c>
      <c r="AC613" t="n">
        <v>9.840127000000001</v>
      </c>
      <c r="AD613" t="n">
        <v>45.11212</v>
      </c>
      <c r="AE613" t="n">
        <v>20.87076</v>
      </c>
    </row>
    <row r="614">
      <c r="A614" s="87" t="n">
        <v>37257</v>
      </c>
      <c r="B614" t="n">
        <v>28.07</v>
      </c>
      <c r="C614" t="n">
        <v>13.62537</v>
      </c>
      <c r="D614" t="n">
        <v>37.34414</v>
      </c>
      <c r="E614" t="n">
        <v>52.03862</v>
      </c>
      <c r="F614" t="n">
        <v>24.63652</v>
      </c>
      <c r="G614" t="n">
        <v>11.98398</v>
      </c>
      <c r="H614" t="n">
        <v>17.14341</v>
      </c>
      <c r="I614" t="n">
        <v>14.61105</v>
      </c>
      <c r="J614" t="n">
        <v>43.05083</v>
      </c>
      <c r="K614" t="n">
        <v>37.96696</v>
      </c>
      <c r="L614" t="n">
        <v>51.29074</v>
      </c>
      <c r="M614" t="n">
        <v>43.44398</v>
      </c>
      <c r="N614" t="n">
        <v>37.61065</v>
      </c>
      <c r="O614" t="n">
        <v>19.16421</v>
      </c>
      <c r="P614" t="n">
        <v>13.51709</v>
      </c>
      <c r="Q614" t="n">
        <v>20.07222</v>
      </c>
      <c r="R614" t="n">
        <v>34.68095</v>
      </c>
      <c r="S614" t="n">
        <v>81.40752000000001</v>
      </c>
      <c r="T614" t="n">
        <v>34.34463</v>
      </c>
      <c r="U614" t="n">
        <v>22.5799</v>
      </c>
      <c r="V614" t="n">
        <v>43.27732</v>
      </c>
      <c r="W614" t="n">
        <v>34.597</v>
      </c>
      <c r="X614" t="n">
        <v>41.23537</v>
      </c>
      <c r="Y614" t="n">
        <v>30.10138</v>
      </c>
      <c r="Z614" t="n">
        <v>30.11077</v>
      </c>
      <c r="AA614" t="n">
        <v>4.626132</v>
      </c>
      <c r="AB614" t="n">
        <v>43.03252</v>
      </c>
      <c r="AC614" t="n">
        <v>9.646126000000001</v>
      </c>
      <c r="AD614" t="n">
        <v>45.28065</v>
      </c>
      <c r="AE614" t="n">
        <v>21.56531</v>
      </c>
    </row>
    <row r="615">
      <c r="A615" s="87" t="n">
        <v>37288</v>
      </c>
      <c r="B615" t="n">
        <v>28.28853</v>
      </c>
      <c r="C615" t="n">
        <v>13.65496</v>
      </c>
      <c r="D615" t="n">
        <v>37.54259</v>
      </c>
      <c r="E615" t="n">
        <v>51.87458</v>
      </c>
      <c r="F615" t="n">
        <v>24.84077</v>
      </c>
      <c r="G615" t="n">
        <v>12.12253</v>
      </c>
      <c r="H615" t="n">
        <v>17.14562</v>
      </c>
      <c r="I615" t="n">
        <v>14.82296</v>
      </c>
      <c r="J615" t="n">
        <v>39.34455</v>
      </c>
      <c r="K615" t="n">
        <v>37.72788</v>
      </c>
      <c r="L615" t="n">
        <v>51.21761</v>
      </c>
      <c r="M615" t="n">
        <v>43.28243</v>
      </c>
      <c r="N615" t="n">
        <v>37.22705</v>
      </c>
      <c r="O615" t="n">
        <v>19.25138</v>
      </c>
      <c r="P615" t="n">
        <v>13.6293</v>
      </c>
      <c r="Q615" t="n">
        <v>20.27951</v>
      </c>
      <c r="R615" t="n">
        <v>34.49248</v>
      </c>
      <c r="S615" t="n">
        <v>81.51385000000001</v>
      </c>
      <c r="T615" t="n">
        <v>34.8883</v>
      </c>
      <c r="U615" t="n">
        <v>22.69387</v>
      </c>
      <c r="V615" t="n">
        <v>43.64259</v>
      </c>
      <c r="W615" t="n">
        <v>34.79866</v>
      </c>
      <c r="X615" t="n">
        <v>41.37335</v>
      </c>
      <c r="Y615" t="n">
        <v>29.97879</v>
      </c>
      <c r="Z615" t="n">
        <v>30.14452</v>
      </c>
      <c r="AA615" t="n">
        <v>4.685273</v>
      </c>
      <c r="AB615" t="n">
        <v>42.95807</v>
      </c>
      <c r="AC615" t="n">
        <v>9.743899000000001</v>
      </c>
      <c r="AD615" t="n">
        <v>45.52391</v>
      </c>
      <c r="AE615" t="n">
        <v>22.21117</v>
      </c>
    </row>
    <row r="616">
      <c r="A616" s="87" t="n">
        <v>37316</v>
      </c>
      <c r="B616" t="n">
        <v>28.54348</v>
      </c>
      <c r="C616" t="n">
        <v>13.82331</v>
      </c>
      <c r="D616" t="n">
        <v>37.66599</v>
      </c>
      <c r="E616" t="n">
        <v>52.11823</v>
      </c>
      <c r="F616" t="n">
        <v>24.93953</v>
      </c>
      <c r="G616" t="n">
        <v>12.29036</v>
      </c>
      <c r="H616" t="n">
        <v>17.25211</v>
      </c>
      <c r="I616" t="n">
        <v>15.02401</v>
      </c>
      <c r="J616" t="n">
        <v>39.22802</v>
      </c>
      <c r="K616" t="n">
        <v>37.69255</v>
      </c>
      <c r="L616" t="n">
        <v>51.39721</v>
      </c>
      <c r="M616" t="n">
        <v>43.54385</v>
      </c>
      <c r="N616" t="n">
        <v>36.79223</v>
      </c>
      <c r="O616" t="n">
        <v>19.26405</v>
      </c>
      <c r="P616" t="n">
        <v>13.76843</v>
      </c>
      <c r="Q616" t="n">
        <v>20.49522</v>
      </c>
      <c r="R616" t="n">
        <v>34.60147</v>
      </c>
      <c r="S616" t="n">
        <v>81.67746</v>
      </c>
      <c r="T616" t="n">
        <v>35.43617</v>
      </c>
      <c r="U616" t="n">
        <v>22.89443</v>
      </c>
      <c r="V616" t="n">
        <v>43.66885</v>
      </c>
      <c r="W616" t="n">
        <v>35.49131</v>
      </c>
      <c r="X616" t="n">
        <v>41.55411</v>
      </c>
      <c r="Y616" t="n">
        <v>30.20326</v>
      </c>
      <c r="Z616" t="n">
        <v>29.91855</v>
      </c>
      <c r="AA616" t="n">
        <v>4.741383</v>
      </c>
      <c r="AB616" t="n">
        <v>43.35147</v>
      </c>
      <c r="AC616" t="n">
        <v>10.06746</v>
      </c>
      <c r="AD616" t="n">
        <v>45.62187</v>
      </c>
      <c r="AE616" t="n">
        <v>22.47052</v>
      </c>
    </row>
    <row r="617">
      <c r="A617" s="87" t="n">
        <v>37347</v>
      </c>
      <c r="B617" t="n">
        <v>28.37538</v>
      </c>
      <c r="C617" t="n">
        <v>14.0436</v>
      </c>
      <c r="D617" t="n">
        <v>37.77217</v>
      </c>
      <c r="E617" t="n">
        <v>52.27591</v>
      </c>
      <c r="F617" t="n">
        <v>24.96644</v>
      </c>
      <c r="G617" t="n">
        <v>12.41944</v>
      </c>
      <c r="H617" t="n">
        <v>17.41848</v>
      </c>
      <c r="I617" t="n">
        <v>15.15079</v>
      </c>
      <c r="J617" t="n">
        <v>39.3511</v>
      </c>
      <c r="K617" t="n">
        <v>37.92851</v>
      </c>
      <c r="L617" t="n">
        <v>51.7527</v>
      </c>
      <c r="M617" t="n">
        <v>43.66688</v>
      </c>
      <c r="N617" t="n">
        <v>37.14218</v>
      </c>
      <c r="O617" t="n">
        <v>19.22424</v>
      </c>
      <c r="P617" t="n">
        <v>13.94097</v>
      </c>
      <c r="Q617" t="n">
        <v>20.7202</v>
      </c>
      <c r="R617" t="n">
        <v>34.93028</v>
      </c>
      <c r="S617" t="n">
        <v>81.79198</v>
      </c>
      <c r="T617" t="n">
        <v>35.93548</v>
      </c>
      <c r="U617" t="n">
        <v>23.06218</v>
      </c>
      <c r="V617" t="n">
        <v>43.81077</v>
      </c>
      <c r="W617" t="n">
        <v>35.93718</v>
      </c>
      <c r="X617" t="n">
        <v>41.64621</v>
      </c>
      <c r="Y617" t="n">
        <v>30.33807</v>
      </c>
      <c r="Z617" t="n">
        <v>29.65802</v>
      </c>
      <c r="AA617" t="n">
        <v>4.823772</v>
      </c>
      <c r="AB617" t="n">
        <v>44.17275</v>
      </c>
      <c r="AC617" t="n">
        <v>10.1795</v>
      </c>
      <c r="AD617" t="n">
        <v>45.62353</v>
      </c>
      <c r="AE617" t="n">
        <v>22.73351</v>
      </c>
    </row>
    <row r="618">
      <c r="A618" s="87" t="n">
        <v>37377</v>
      </c>
      <c r="B618" t="n">
        <v>28.10361</v>
      </c>
      <c r="C618" t="n">
        <v>14.10855</v>
      </c>
      <c r="D618" t="n">
        <v>37.77383</v>
      </c>
      <c r="E618" t="n">
        <v>52.28846</v>
      </c>
      <c r="F618" t="n">
        <v>24.99984</v>
      </c>
      <c r="G618" t="n">
        <v>12.56541</v>
      </c>
      <c r="H618" t="n">
        <v>17.58126</v>
      </c>
      <c r="I618" t="n">
        <v>15.33913</v>
      </c>
      <c r="J618" t="n">
        <v>39.91948</v>
      </c>
      <c r="K618" t="n">
        <v>38.17521</v>
      </c>
      <c r="L618" t="n">
        <v>52.13582</v>
      </c>
      <c r="M618" t="n">
        <v>43.86509</v>
      </c>
      <c r="N618" t="n">
        <v>37.54769</v>
      </c>
      <c r="O618" t="n">
        <v>19.1845</v>
      </c>
      <c r="P618" t="n">
        <v>14.35914</v>
      </c>
      <c r="Q618" t="n">
        <v>20.94656</v>
      </c>
      <c r="R618" t="n">
        <v>35.28696</v>
      </c>
      <c r="S618" t="n">
        <v>81.90649999999999</v>
      </c>
      <c r="T618" t="n">
        <v>36.25738</v>
      </c>
      <c r="U618" t="n">
        <v>23.16734</v>
      </c>
      <c r="V618" t="n">
        <v>43.89497</v>
      </c>
      <c r="W618" t="n">
        <v>35.85844</v>
      </c>
      <c r="X618" t="n">
        <v>41.85238</v>
      </c>
      <c r="Y618" t="n">
        <v>30.66412</v>
      </c>
      <c r="Z618" t="n">
        <v>29.83765</v>
      </c>
      <c r="AA618" t="n">
        <v>4.959792</v>
      </c>
      <c r="AB618" t="n">
        <v>44.46016</v>
      </c>
      <c r="AC618" t="n">
        <v>10.56251</v>
      </c>
      <c r="AD618" t="n">
        <v>45.84022</v>
      </c>
      <c r="AE618" t="n">
        <v>23.25074</v>
      </c>
    </row>
    <row r="619">
      <c r="A619" s="87" t="n">
        <v>37408</v>
      </c>
      <c r="B619" t="n">
        <v>27.98875</v>
      </c>
      <c r="C619" t="n">
        <v>14.12953</v>
      </c>
      <c r="D619" t="n">
        <v>37.8843</v>
      </c>
      <c r="E619" t="n">
        <v>52.5764</v>
      </c>
      <c r="F619" t="n">
        <v>25.11459</v>
      </c>
      <c r="G619" t="n">
        <v>12.73287</v>
      </c>
      <c r="H619" t="n">
        <v>17.62741</v>
      </c>
      <c r="I619" t="n">
        <v>15.39465</v>
      </c>
      <c r="J619" t="n">
        <v>39.55446</v>
      </c>
      <c r="K619" t="n">
        <v>38.42575</v>
      </c>
      <c r="L619" t="n">
        <v>52.43296</v>
      </c>
      <c r="M619" t="n">
        <v>43.99221</v>
      </c>
      <c r="N619" t="n">
        <v>37.6499</v>
      </c>
      <c r="O619" t="n">
        <v>19.24552</v>
      </c>
      <c r="P619" t="n">
        <v>14.70696</v>
      </c>
      <c r="Q619" t="n">
        <v>21.18389</v>
      </c>
      <c r="R619" t="n">
        <v>35.42871</v>
      </c>
      <c r="S619" t="n">
        <v>81.97194</v>
      </c>
      <c r="T619" t="n">
        <v>36.45958</v>
      </c>
      <c r="U619" t="n">
        <v>23.28827</v>
      </c>
      <c r="V619" t="n">
        <v>44.43647</v>
      </c>
      <c r="W619" t="n">
        <v>36.35333</v>
      </c>
      <c r="X619" t="n">
        <v>42.06355</v>
      </c>
      <c r="Y619" t="n">
        <v>31.0188</v>
      </c>
      <c r="Z619" t="n">
        <v>30.00146</v>
      </c>
      <c r="AA619" t="n">
        <v>5.116887</v>
      </c>
      <c r="AB619" t="n">
        <v>44.82401</v>
      </c>
      <c r="AC619" t="n">
        <v>11.05595</v>
      </c>
      <c r="AD619" t="n">
        <v>46.04777</v>
      </c>
      <c r="AE619" t="n">
        <v>23.46191</v>
      </c>
    </row>
    <row r="620">
      <c r="A620" s="87" t="n">
        <v>37438</v>
      </c>
      <c r="B620" t="n">
        <v>28.084</v>
      </c>
      <c r="C620" t="n">
        <v>14.15167</v>
      </c>
      <c r="D620" t="n">
        <v>38.33947</v>
      </c>
      <c r="E620" t="n">
        <v>53.15153</v>
      </c>
      <c r="F620" t="n">
        <v>25.25047</v>
      </c>
      <c r="G620" t="n">
        <v>12.8969</v>
      </c>
      <c r="H620" t="n">
        <v>17.72619</v>
      </c>
      <c r="I620" t="n">
        <v>15.51399</v>
      </c>
      <c r="J620" t="n">
        <v>39.25058</v>
      </c>
      <c r="K620" t="n">
        <v>38.91029</v>
      </c>
      <c r="L620" t="n">
        <v>52.49494</v>
      </c>
      <c r="M620" t="n">
        <v>43.96491</v>
      </c>
      <c r="N620" t="n">
        <v>37.86032</v>
      </c>
      <c r="O620" t="n">
        <v>19.48093</v>
      </c>
      <c r="P620" t="n">
        <v>14.81467</v>
      </c>
      <c r="Q620" t="n">
        <v>21.42385</v>
      </c>
      <c r="R620" t="n">
        <v>35.24445</v>
      </c>
      <c r="S620" t="n">
        <v>82.08646</v>
      </c>
      <c r="T620" t="n">
        <v>36.67141</v>
      </c>
      <c r="U620" t="n">
        <v>23.44107</v>
      </c>
      <c r="V620" t="n">
        <v>44.86679</v>
      </c>
      <c r="W620" t="n">
        <v>36.74871</v>
      </c>
      <c r="X620" t="n">
        <v>42.37173</v>
      </c>
      <c r="Y620" t="n">
        <v>31.39022</v>
      </c>
      <c r="Z620" t="n">
        <v>30.06733</v>
      </c>
      <c r="AA620" t="n">
        <v>5.229801</v>
      </c>
      <c r="AB620" t="n">
        <v>45.34597</v>
      </c>
      <c r="AC620" t="n">
        <v>11.63259</v>
      </c>
      <c r="AD620" t="n">
        <v>46.40144</v>
      </c>
      <c r="AE620" t="n">
        <v>23.42545</v>
      </c>
    </row>
    <row r="621">
      <c r="A621" s="87" t="n">
        <v>37469</v>
      </c>
      <c r="B621" t="n">
        <v>28.55749</v>
      </c>
      <c r="C621" t="n">
        <v>14.24639</v>
      </c>
      <c r="D621" t="n">
        <v>38.61056</v>
      </c>
      <c r="E621" t="n">
        <v>53.44439</v>
      </c>
      <c r="F621" t="n">
        <v>25.37091</v>
      </c>
      <c r="G621" t="n">
        <v>13.08132</v>
      </c>
      <c r="H621" t="n">
        <v>17.87834</v>
      </c>
      <c r="I621" t="n">
        <v>15.91778</v>
      </c>
      <c r="J621" t="n">
        <v>39.98293</v>
      </c>
      <c r="K621" t="n">
        <v>39.31642</v>
      </c>
      <c r="L621" t="n">
        <v>52.52822</v>
      </c>
      <c r="M621" t="n">
        <v>44.24273</v>
      </c>
      <c r="N621" t="n">
        <v>38.40482</v>
      </c>
      <c r="O621" t="n">
        <v>19.75081</v>
      </c>
      <c r="P621" t="n">
        <v>14.97889</v>
      </c>
      <c r="Q621" t="n">
        <v>21.64597</v>
      </c>
      <c r="R621" t="n">
        <v>35.28083</v>
      </c>
      <c r="S621" t="n">
        <v>82.19280000000001</v>
      </c>
      <c r="T621" t="n">
        <v>37.01773</v>
      </c>
      <c r="U621" t="n">
        <v>23.53311</v>
      </c>
      <c r="V621" t="n">
        <v>44.80066</v>
      </c>
      <c r="W621" t="n">
        <v>36.96954</v>
      </c>
      <c r="X621" t="n">
        <v>42.67358</v>
      </c>
      <c r="Y621" t="n">
        <v>31.7056</v>
      </c>
      <c r="Z621" t="n">
        <v>30.10386</v>
      </c>
      <c r="AA621" t="n">
        <v>5.339338</v>
      </c>
      <c r="AB621" t="n">
        <v>46.31201</v>
      </c>
      <c r="AC621" t="n">
        <v>11.87934</v>
      </c>
      <c r="AD621" t="n">
        <v>46.75428</v>
      </c>
      <c r="AE621" t="n">
        <v>23.71426</v>
      </c>
    </row>
    <row r="622">
      <c r="A622" s="87" t="n">
        <v>37500</v>
      </c>
      <c r="B622" t="n">
        <v>28.82925</v>
      </c>
      <c r="C622" t="n">
        <v>14.42759</v>
      </c>
      <c r="D622" t="n">
        <v>38.90093</v>
      </c>
      <c r="E622" t="n">
        <v>53.605</v>
      </c>
      <c r="F622" t="n">
        <v>25.52034</v>
      </c>
      <c r="G622" t="n">
        <v>13.29609</v>
      </c>
      <c r="H622" t="n">
        <v>18.05279</v>
      </c>
      <c r="I622" t="n">
        <v>16.32825</v>
      </c>
      <c r="J622" t="n">
        <v>40.28891</v>
      </c>
      <c r="K622" t="n">
        <v>39.81149</v>
      </c>
      <c r="L622" t="n">
        <v>52.81079</v>
      </c>
      <c r="M622" t="n">
        <v>44.66925</v>
      </c>
      <c r="N622" t="n">
        <v>38.71177</v>
      </c>
      <c r="O622" t="n">
        <v>19.89742</v>
      </c>
      <c r="P622" t="n">
        <v>15.12812</v>
      </c>
      <c r="Q622" t="n">
        <v>21.85909</v>
      </c>
      <c r="R622" t="n">
        <v>35.6279</v>
      </c>
      <c r="S622" t="n">
        <v>82.27460000000001</v>
      </c>
      <c r="T622" t="n">
        <v>37.43818</v>
      </c>
      <c r="U622" t="n">
        <v>23.52755</v>
      </c>
      <c r="V622" t="n">
        <v>44.66327</v>
      </c>
      <c r="W622" t="n">
        <v>37.20802</v>
      </c>
      <c r="X622" t="n">
        <v>42.85769</v>
      </c>
      <c r="Y622" t="n">
        <v>31.85408</v>
      </c>
      <c r="Z622" t="n">
        <v>29.9701</v>
      </c>
      <c r="AA622" t="n">
        <v>5.494406</v>
      </c>
      <c r="AB622" t="n">
        <v>46.52808</v>
      </c>
      <c r="AC622" t="n">
        <v>11.87021</v>
      </c>
      <c r="AD622" t="n">
        <v>46.95685</v>
      </c>
      <c r="AE622" t="n">
        <v>23.86353</v>
      </c>
    </row>
    <row r="623">
      <c r="A623" s="87" t="n">
        <v>37530</v>
      </c>
      <c r="B623" t="n">
        <v>29.00295</v>
      </c>
      <c r="C623" t="n">
        <v>14.61328</v>
      </c>
      <c r="D623" t="n">
        <v>38.91799</v>
      </c>
      <c r="E623" t="n">
        <v>53.7952</v>
      </c>
      <c r="F623" t="n">
        <v>25.64198</v>
      </c>
      <c r="G623" t="n">
        <v>13.50192</v>
      </c>
      <c r="H623" t="n">
        <v>18.20353</v>
      </c>
      <c r="I623" t="n">
        <v>16.69768</v>
      </c>
      <c r="J623" t="n">
        <v>40.7126</v>
      </c>
      <c r="K623" t="n">
        <v>40.35091</v>
      </c>
      <c r="L623" t="n">
        <v>53.12784</v>
      </c>
      <c r="M623" t="n">
        <v>45.03878</v>
      </c>
      <c r="N623" t="n">
        <v>39.11818</v>
      </c>
      <c r="O623" t="n">
        <v>19.90388</v>
      </c>
      <c r="P623" t="n">
        <v>15.26559</v>
      </c>
      <c r="Q623" t="n">
        <v>22.08961</v>
      </c>
      <c r="R623" t="n">
        <v>35.88998</v>
      </c>
      <c r="S623" t="n">
        <v>82.38094</v>
      </c>
      <c r="T623" t="n">
        <v>37.93062</v>
      </c>
      <c r="U623" t="n">
        <v>23.57153</v>
      </c>
      <c r="V623" t="n">
        <v>45.10368</v>
      </c>
      <c r="W623" t="n">
        <v>37.31771</v>
      </c>
      <c r="X623" t="n">
        <v>43.12018</v>
      </c>
      <c r="Y623" t="n">
        <v>32.06797</v>
      </c>
      <c r="Z623" t="n">
        <v>29.83474</v>
      </c>
      <c r="AA623" t="n">
        <v>5.633696</v>
      </c>
      <c r="AB623" t="n">
        <v>46.15462</v>
      </c>
      <c r="AC623" t="n">
        <v>12.01448</v>
      </c>
      <c r="AD623" t="n">
        <v>47.32547</v>
      </c>
      <c r="AE623" t="n">
        <v>24.15259</v>
      </c>
    </row>
    <row r="624">
      <c r="A624" s="87" t="n">
        <v>37561</v>
      </c>
      <c r="B624" t="n">
        <v>29.29153</v>
      </c>
      <c r="C624" t="n">
        <v>14.76997</v>
      </c>
      <c r="D624" t="n">
        <v>39.11195</v>
      </c>
      <c r="E624" t="n">
        <v>53.99553</v>
      </c>
      <c r="F624" t="n">
        <v>25.90485</v>
      </c>
      <c r="G624" t="n">
        <v>13.67663</v>
      </c>
      <c r="H624" t="n">
        <v>18.30553</v>
      </c>
      <c r="I624" t="n">
        <v>17.01278</v>
      </c>
      <c r="J624" t="n">
        <v>41.34471</v>
      </c>
      <c r="K624" t="n">
        <v>41.04187</v>
      </c>
      <c r="L624" t="n">
        <v>53.56094</v>
      </c>
      <c r="M624" t="n">
        <v>45.33481</v>
      </c>
      <c r="N624" t="n">
        <v>39.9607</v>
      </c>
      <c r="O624" t="n">
        <v>19.9094</v>
      </c>
      <c r="P624" t="n">
        <v>15.42774</v>
      </c>
      <c r="Q624" t="n">
        <v>22.36234</v>
      </c>
      <c r="R624" t="n">
        <v>36.05498</v>
      </c>
      <c r="S624" t="n">
        <v>82.44638</v>
      </c>
      <c r="T624" t="n">
        <v>38.34205</v>
      </c>
      <c r="U624" t="n">
        <v>24.17541</v>
      </c>
      <c r="V624" t="n">
        <v>45.59497</v>
      </c>
      <c r="W624" t="n">
        <v>37.81037</v>
      </c>
      <c r="X624" t="n">
        <v>43.46316</v>
      </c>
      <c r="Y624" t="n">
        <v>32.26162</v>
      </c>
      <c r="Z624" t="n">
        <v>29.79882</v>
      </c>
      <c r="AA624" t="n">
        <v>5.776511</v>
      </c>
      <c r="AB624" t="n">
        <v>46.08729</v>
      </c>
      <c r="AC624" t="n">
        <v>12.05636</v>
      </c>
      <c r="AD624" t="n">
        <v>47.74224</v>
      </c>
      <c r="AE624" t="n">
        <v>24.6135</v>
      </c>
    </row>
    <row r="625">
      <c r="A625" s="87" t="n">
        <v>37591</v>
      </c>
      <c r="B625" t="n">
        <v>29.63333</v>
      </c>
      <c r="C625" t="n">
        <v>14.89646</v>
      </c>
      <c r="D625" t="n">
        <v>39.11542</v>
      </c>
      <c r="E625" t="n">
        <v>54.49144</v>
      </c>
      <c r="F625" t="n">
        <v>26.09511</v>
      </c>
      <c r="G625" t="n">
        <v>13.87623</v>
      </c>
      <c r="H625" t="n">
        <v>18.4812</v>
      </c>
      <c r="I625" t="n">
        <v>17.2567</v>
      </c>
      <c r="J625" t="n">
        <v>41.41206</v>
      </c>
      <c r="K625" t="n">
        <v>42.05749</v>
      </c>
      <c r="L625" t="n">
        <v>54.33383</v>
      </c>
      <c r="M625" t="n">
        <v>45.44874</v>
      </c>
      <c r="N625" t="n">
        <v>40.74395</v>
      </c>
      <c r="O625" t="n">
        <v>19.9397</v>
      </c>
      <c r="P625" t="n">
        <v>15.57108</v>
      </c>
      <c r="Q625" t="n">
        <v>22.68001</v>
      </c>
      <c r="R625" t="n">
        <v>36.35768</v>
      </c>
      <c r="S625" t="n">
        <v>82.34822</v>
      </c>
      <c r="T625" t="n">
        <v>38.58829</v>
      </c>
      <c r="U625" t="n">
        <v>24.5085</v>
      </c>
      <c r="V625" t="n">
        <v>45.82195</v>
      </c>
      <c r="W625" t="n">
        <v>38.43751</v>
      </c>
      <c r="X625" t="n">
        <v>43.65902</v>
      </c>
      <c r="Y625" t="n">
        <v>32.4841</v>
      </c>
      <c r="Z625" t="n">
        <v>29.822</v>
      </c>
      <c r="AA625" t="n">
        <v>5.940101</v>
      </c>
      <c r="AB625" t="n">
        <v>46.08027</v>
      </c>
      <c r="AC625" t="n">
        <v>12.24594</v>
      </c>
      <c r="AD625" t="n">
        <v>47.9199</v>
      </c>
      <c r="AE625" t="n">
        <v>24.82866</v>
      </c>
    </row>
    <row r="626">
      <c r="A626" s="87" t="n">
        <v>37622</v>
      </c>
      <c r="B626" t="n">
        <v>29.94992</v>
      </c>
      <c r="C626" t="n">
        <v>15.0383</v>
      </c>
      <c r="D626" t="n">
        <v>39.23514</v>
      </c>
      <c r="E626" t="n">
        <v>54.91286</v>
      </c>
      <c r="F626" t="n">
        <v>26.2291</v>
      </c>
      <c r="G626" t="n">
        <v>14.17564</v>
      </c>
      <c r="H626" t="n">
        <v>18.67057</v>
      </c>
      <c r="I626" t="n">
        <v>17.63534</v>
      </c>
      <c r="J626" t="n">
        <v>41.43931</v>
      </c>
      <c r="K626" t="n">
        <v>47.4008</v>
      </c>
      <c r="L626" t="n">
        <v>54.76493</v>
      </c>
      <c r="M626" t="n">
        <v>45.36908</v>
      </c>
      <c r="N626" t="n">
        <v>41.50976</v>
      </c>
      <c r="O626" t="n">
        <v>19.98559</v>
      </c>
      <c r="P626" t="n">
        <v>15.69335</v>
      </c>
      <c r="Q626" t="n">
        <v>22.99959</v>
      </c>
      <c r="R626" t="n">
        <v>36.80242</v>
      </c>
      <c r="S626" t="n">
        <v>82.3973</v>
      </c>
      <c r="T626" t="n">
        <v>38.89969</v>
      </c>
      <c r="U626" t="n">
        <v>24.50071</v>
      </c>
      <c r="V626" t="n">
        <v>46.23803</v>
      </c>
      <c r="W626" t="n">
        <v>38.67625</v>
      </c>
      <c r="X626" t="n">
        <v>43.89501</v>
      </c>
      <c r="Y626" t="n">
        <v>32.77638</v>
      </c>
      <c r="Z626" t="n">
        <v>29.90573</v>
      </c>
      <c r="AA626" t="n">
        <v>6.118178</v>
      </c>
      <c r="AB626" t="n">
        <v>46.36288</v>
      </c>
      <c r="AC626" t="n">
        <v>12.61259</v>
      </c>
      <c r="AD626" t="n">
        <v>48.19055</v>
      </c>
      <c r="AE626" t="n">
        <v>25.11057</v>
      </c>
    </row>
    <row r="627">
      <c r="A627" s="87" t="n">
        <v>37653</v>
      </c>
      <c r="B627" t="n">
        <v>30.20487</v>
      </c>
      <c r="C627" t="n">
        <v>15.22538</v>
      </c>
      <c r="D627" t="n">
        <v>38.96493</v>
      </c>
      <c r="E627" t="n">
        <v>55.3592</v>
      </c>
      <c r="F627" t="n">
        <v>26.6062</v>
      </c>
      <c r="G627" t="n">
        <v>14.39742</v>
      </c>
      <c r="H627" t="n">
        <v>18.89324</v>
      </c>
      <c r="I627" t="n">
        <v>18.0091</v>
      </c>
      <c r="J627" t="n">
        <v>41.54031</v>
      </c>
      <c r="K627" t="n">
        <v>52.93908</v>
      </c>
      <c r="L627" t="n">
        <v>54.94232</v>
      </c>
      <c r="M627" t="n">
        <v>45.65563</v>
      </c>
      <c r="N627" t="n">
        <v>41.98993</v>
      </c>
      <c r="O627" t="n">
        <v>20.18415</v>
      </c>
      <c r="P627" t="n">
        <v>15.80506</v>
      </c>
      <c r="Q627" t="n">
        <v>23.30667</v>
      </c>
      <c r="R627" t="n">
        <v>37.2362</v>
      </c>
      <c r="S627" t="n">
        <v>82.45456</v>
      </c>
      <c r="T627" t="n">
        <v>39.17622</v>
      </c>
      <c r="U627" t="n">
        <v>24.64912</v>
      </c>
      <c r="V627" t="n">
        <v>46.29919</v>
      </c>
      <c r="W627" t="n">
        <v>38.85704</v>
      </c>
      <c r="X627" t="n">
        <v>44.14207</v>
      </c>
      <c r="Y627" t="n">
        <v>33.07822</v>
      </c>
      <c r="Z627" t="n">
        <v>30.04069</v>
      </c>
      <c r="AA627" t="n">
        <v>6.272844</v>
      </c>
      <c r="AB627" t="n">
        <v>46.68241</v>
      </c>
      <c r="AC627" t="n">
        <v>12.84485</v>
      </c>
      <c r="AD627" t="n">
        <v>48.49026</v>
      </c>
      <c r="AE627" t="n">
        <v>25.39423</v>
      </c>
    </row>
    <row r="628">
      <c r="A628" s="87" t="n">
        <v>37681</v>
      </c>
      <c r="B628" t="n">
        <v>30.49064</v>
      </c>
      <c r="C628" t="n">
        <v>15.40434</v>
      </c>
      <c r="D628" t="n">
        <v>39.51295</v>
      </c>
      <c r="E628" t="n">
        <v>56.18619</v>
      </c>
      <c r="F628" t="n">
        <v>26.9396</v>
      </c>
      <c r="G628" t="n">
        <v>14.5409</v>
      </c>
      <c r="H628" t="n">
        <v>19.11159</v>
      </c>
      <c r="I628" t="n">
        <v>18.2764</v>
      </c>
      <c r="J628" t="n">
        <v>41.47478</v>
      </c>
      <c r="K628" t="n">
        <v>53.30635</v>
      </c>
      <c r="L628" t="n">
        <v>55.33726</v>
      </c>
      <c r="M628" t="n">
        <v>45.87862</v>
      </c>
      <c r="N628" t="n">
        <v>42.06384</v>
      </c>
      <c r="O628" t="n">
        <v>20.35237</v>
      </c>
      <c r="P628" t="n">
        <v>15.84547</v>
      </c>
      <c r="Q628" t="n">
        <v>23.65201</v>
      </c>
      <c r="R628" t="n">
        <v>37.31827</v>
      </c>
      <c r="S628" t="n">
        <v>82.45456</v>
      </c>
      <c r="T628" t="n">
        <v>39.30568</v>
      </c>
      <c r="U628" t="n">
        <v>24.51815</v>
      </c>
      <c r="V628" t="n">
        <v>46.15046</v>
      </c>
      <c r="W628" t="n">
        <v>38.94387</v>
      </c>
      <c r="X628" t="n">
        <v>44.29807</v>
      </c>
      <c r="Y628" t="n">
        <v>33.24311</v>
      </c>
      <c r="Z628" t="n">
        <v>30.09305</v>
      </c>
      <c r="AA628" t="n">
        <v>6.45386</v>
      </c>
      <c r="AB628" t="n">
        <v>47.05596</v>
      </c>
      <c r="AC628" t="n">
        <v>12.9497</v>
      </c>
      <c r="AD628" t="n">
        <v>48.66211</v>
      </c>
      <c r="AE628" t="n">
        <v>25.57475</v>
      </c>
    </row>
    <row r="629">
      <c r="A629" s="87" t="n">
        <v>37712</v>
      </c>
      <c r="B629" t="n">
        <v>30.84085</v>
      </c>
      <c r="C629" t="n">
        <v>15.5704</v>
      </c>
      <c r="D629" t="n">
        <v>39.85553</v>
      </c>
      <c r="E629" t="n">
        <v>57.0587</v>
      </c>
      <c r="F629" t="n">
        <v>27.08218</v>
      </c>
      <c r="G629" t="n">
        <v>14.75948</v>
      </c>
      <c r="H629" t="n">
        <v>19.21277</v>
      </c>
      <c r="I629" t="n">
        <v>18.59527</v>
      </c>
      <c r="J629" t="n">
        <v>41.77652</v>
      </c>
      <c r="K629" t="n">
        <v>53.09643</v>
      </c>
      <c r="L629" t="n">
        <v>55.96</v>
      </c>
      <c r="M629" t="n">
        <v>45.96898</v>
      </c>
      <c r="N629" t="n">
        <v>42.31554</v>
      </c>
      <c r="O629" t="n">
        <v>20.43513</v>
      </c>
      <c r="P629" t="n">
        <v>15.96908</v>
      </c>
      <c r="Q629" t="n">
        <v>24.04226</v>
      </c>
      <c r="R629" t="n">
        <v>37.16798</v>
      </c>
      <c r="S629" t="n">
        <v>82.49545999999999</v>
      </c>
      <c r="T629" t="n">
        <v>39.34804</v>
      </c>
      <c r="U629" t="n">
        <v>24.47899</v>
      </c>
      <c r="V629" t="n">
        <v>46.17019</v>
      </c>
      <c r="W629" t="n">
        <v>38.85934</v>
      </c>
      <c r="X629" t="n">
        <v>44.47836</v>
      </c>
      <c r="Y629" t="n">
        <v>33.29552</v>
      </c>
      <c r="Z629" t="n">
        <v>30.09495</v>
      </c>
      <c r="AA629" t="n">
        <v>6.679554</v>
      </c>
      <c r="AB629" t="n">
        <v>47.02227</v>
      </c>
      <c r="AC629" t="n">
        <v>12.86963</v>
      </c>
      <c r="AD629" t="n">
        <v>48.97261</v>
      </c>
      <c r="AE629" t="n">
        <v>26.02061</v>
      </c>
    </row>
    <row r="630">
      <c r="A630" s="87" t="n">
        <v>37742</v>
      </c>
      <c r="B630" t="n">
        <v>31.28632</v>
      </c>
      <c r="C630" t="n">
        <v>15.76187</v>
      </c>
      <c r="D630" t="n">
        <v>40.31242</v>
      </c>
      <c r="E630" t="n">
        <v>57.42385</v>
      </c>
      <c r="F630" t="n">
        <v>27.1135</v>
      </c>
      <c r="G630" t="n">
        <v>15.02575</v>
      </c>
      <c r="H630" t="n">
        <v>19.42831</v>
      </c>
      <c r="I630" t="n">
        <v>18.93198</v>
      </c>
      <c r="J630" t="n">
        <v>42.11084</v>
      </c>
      <c r="K630" t="n">
        <v>54.08587</v>
      </c>
      <c r="L630" t="n">
        <v>56.57998</v>
      </c>
      <c r="M630" t="n">
        <v>46.06033</v>
      </c>
      <c r="N630" t="n">
        <v>42.86637</v>
      </c>
      <c r="O630" t="n">
        <v>20.57022</v>
      </c>
      <c r="P630" t="n">
        <v>16.21034</v>
      </c>
      <c r="Q630" t="n">
        <v>24.43196</v>
      </c>
      <c r="R630" t="n">
        <v>37.24839</v>
      </c>
      <c r="S630" t="n">
        <v>82.66724000000001</v>
      </c>
      <c r="T630" t="n">
        <v>39.4149</v>
      </c>
      <c r="U630" t="n">
        <v>24.64578</v>
      </c>
      <c r="V630" t="n">
        <v>46.39353</v>
      </c>
      <c r="W630" t="n">
        <v>38.89518</v>
      </c>
      <c r="X630" t="n">
        <v>44.79029</v>
      </c>
      <c r="Y630" t="n">
        <v>33.36682</v>
      </c>
      <c r="Z630" t="n">
        <v>30.1843</v>
      </c>
      <c r="AA630" t="n">
        <v>6.858317</v>
      </c>
      <c r="AB630" t="n">
        <v>46.99745</v>
      </c>
      <c r="AC630" t="n">
        <v>12.73953</v>
      </c>
      <c r="AD630" t="n">
        <v>49.47489</v>
      </c>
      <c r="AE630" t="n">
        <v>26.53008</v>
      </c>
    </row>
    <row r="631">
      <c r="A631" s="87" t="n">
        <v>37773</v>
      </c>
      <c r="B631" t="n">
        <v>31.60291</v>
      </c>
      <c r="C631" t="n">
        <v>15.99581</v>
      </c>
      <c r="D631" t="n">
        <v>40.68896</v>
      </c>
      <c r="E631" t="n">
        <v>57.51343</v>
      </c>
      <c r="F631" t="n">
        <v>27.02415</v>
      </c>
      <c r="G631" t="n">
        <v>15.32131</v>
      </c>
      <c r="H631" t="n">
        <v>19.80632</v>
      </c>
      <c r="I631" t="n">
        <v>19.33527</v>
      </c>
      <c r="J631" t="n">
        <v>41.89084</v>
      </c>
      <c r="K631" t="n">
        <v>55.31168</v>
      </c>
      <c r="L631" t="n">
        <v>56.7838</v>
      </c>
      <c r="M631" t="n">
        <v>46.30649</v>
      </c>
      <c r="N631" t="n">
        <v>43.55197</v>
      </c>
      <c r="O631" t="n">
        <v>20.6298</v>
      </c>
      <c r="P631" t="n">
        <v>16.42286</v>
      </c>
      <c r="Q631" t="n">
        <v>24.79387</v>
      </c>
      <c r="R631" t="n">
        <v>37.31134</v>
      </c>
      <c r="S631" t="n">
        <v>82.80629999999999</v>
      </c>
      <c r="T631" t="n">
        <v>39.51024</v>
      </c>
      <c r="U631" t="n">
        <v>24.55582</v>
      </c>
      <c r="V631" t="n">
        <v>46.4687</v>
      </c>
      <c r="W631" t="n">
        <v>39.19223</v>
      </c>
      <c r="X631" t="n">
        <v>45.00064</v>
      </c>
      <c r="Y631" t="n">
        <v>33.49401</v>
      </c>
      <c r="Z631" t="n">
        <v>30.39019</v>
      </c>
      <c r="AA631" t="n">
        <v>7.044022</v>
      </c>
      <c r="AB631" t="n">
        <v>46.92306</v>
      </c>
      <c r="AC631" t="n">
        <v>12.741</v>
      </c>
      <c r="AD631" t="n">
        <v>49.77958</v>
      </c>
      <c r="AE631" t="n">
        <v>26.81152</v>
      </c>
    </row>
    <row r="632">
      <c r="A632" s="87" t="n">
        <v>37803</v>
      </c>
      <c r="B632" t="n">
        <v>31.44321</v>
      </c>
      <c r="C632" t="n">
        <v>16.30222</v>
      </c>
      <c r="D632" t="n">
        <v>41.06479</v>
      </c>
      <c r="E632" t="n">
        <v>57.73288</v>
      </c>
      <c r="F632" t="n">
        <v>26.88024</v>
      </c>
      <c r="G632" t="n">
        <v>15.57001</v>
      </c>
      <c r="H632" t="n">
        <v>20.02842</v>
      </c>
      <c r="I632" t="n">
        <v>19.69579</v>
      </c>
      <c r="J632" t="n">
        <v>42.33925</v>
      </c>
      <c r="K632" t="n">
        <v>55.44535</v>
      </c>
      <c r="L632" t="n">
        <v>56.81773</v>
      </c>
      <c r="M632" t="n">
        <v>46.84765</v>
      </c>
      <c r="N632" t="n">
        <v>44.10215</v>
      </c>
      <c r="O632" t="n">
        <v>20.7093</v>
      </c>
      <c r="P632" t="n">
        <v>16.60148</v>
      </c>
      <c r="Q632" t="n">
        <v>25.14957</v>
      </c>
      <c r="R632" t="n">
        <v>37.48859</v>
      </c>
      <c r="S632" t="n">
        <v>82.90446</v>
      </c>
      <c r="T632" t="n">
        <v>39.70315</v>
      </c>
      <c r="U632" t="n">
        <v>24.71745</v>
      </c>
      <c r="V632" t="n">
        <v>46.58696</v>
      </c>
      <c r="W632" t="n">
        <v>39.58644</v>
      </c>
      <c r="X632" t="n">
        <v>45.28736</v>
      </c>
      <c r="Y632" t="n">
        <v>33.77344</v>
      </c>
      <c r="Z632" t="n">
        <v>30.54515</v>
      </c>
      <c r="AA632" t="n">
        <v>7.284463</v>
      </c>
      <c r="AB632" t="n">
        <v>46.69656</v>
      </c>
      <c r="AC632" t="n">
        <v>12.88372</v>
      </c>
      <c r="AD632" t="n">
        <v>50.16729</v>
      </c>
      <c r="AE632" t="n">
        <v>27.04331</v>
      </c>
    </row>
    <row r="633">
      <c r="A633" s="87" t="n">
        <v>37834</v>
      </c>
      <c r="B633" t="n">
        <v>31.62252</v>
      </c>
      <c r="C633" t="n">
        <v>16.65354</v>
      </c>
      <c r="D633" t="n">
        <v>40.89936</v>
      </c>
      <c r="E633" t="n">
        <v>58.07019</v>
      </c>
      <c r="F633" t="n">
        <v>26.90771</v>
      </c>
      <c r="G633" t="n">
        <v>15.84684</v>
      </c>
      <c r="H633" t="n">
        <v>20.17427</v>
      </c>
      <c r="I633" t="n">
        <v>19.83916</v>
      </c>
      <c r="J633" t="n">
        <v>43.22275</v>
      </c>
      <c r="K633" t="n">
        <v>55.0061</v>
      </c>
      <c r="L633" t="n">
        <v>56.84973</v>
      </c>
      <c r="M633" t="n">
        <v>47.12621</v>
      </c>
      <c r="N633" t="n">
        <v>44.12502</v>
      </c>
      <c r="O633" t="n">
        <v>20.88194</v>
      </c>
      <c r="P633" t="n">
        <v>16.7388</v>
      </c>
      <c r="Q633" t="n">
        <v>25.53171</v>
      </c>
      <c r="R633" t="n">
        <v>37.83471</v>
      </c>
      <c r="S633" t="n">
        <v>83.1335</v>
      </c>
      <c r="T633" t="n">
        <v>39.94563</v>
      </c>
      <c r="U633" t="n">
        <v>25.17798</v>
      </c>
      <c r="V633" t="n">
        <v>46.99208</v>
      </c>
      <c r="W633" t="n">
        <v>39.7575</v>
      </c>
      <c r="X633" t="n">
        <v>45.62219</v>
      </c>
      <c r="Y633" t="n">
        <v>33.96474</v>
      </c>
      <c r="Z633" t="n">
        <v>30.65388</v>
      </c>
      <c r="AA633" t="n">
        <v>7.522678</v>
      </c>
      <c r="AB633" t="n">
        <v>46.54638</v>
      </c>
      <c r="AC633" t="n">
        <v>12.96383</v>
      </c>
      <c r="AD633" t="n">
        <v>50.64964</v>
      </c>
      <c r="AE633" t="n">
        <v>27.0423</v>
      </c>
    </row>
    <row r="634">
      <c r="A634" s="87" t="n">
        <v>37865</v>
      </c>
      <c r="B634" t="n">
        <v>32.18005</v>
      </c>
      <c r="C634" t="n">
        <v>16.96867</v>
      </c>
      <c r="D634" t="n">
        <v>41.07316</v>
      </c>
      <c r="E634" t="n">
        <v>58.65218</v>
      </c>
      <c r="F634" t="n">
        <v>27.04711</v>
      </c>
      <c r="G634" t="n">
        <v>16.0943</v>
      </c>
      <c r="H634" t="n">
        <v>20.29455</v>
      </c>
      <c r="I634" t="n">
        <v>20.00929</v>
      </c>
      <c r="J634" t="n">
        <v>43.41062</v>
      </c>
      <c r="K634" t="n">
        <v>54.90497</v>
      </c>
      <c r="L634" t="n">
        <v>56.80082</v>
      </c>
      <c r="M634" t="n">
        <v>47.42705</v>
      </c>
      <c r="N634" t="n">
        <v>44.43186</v>
      </c>
      <c r="O634" t="n">
        <v>21.01863</v>
      </c>
      <c r="P634" t="n">
        <v>16.87585</v>
      </c>
      <c r="Q634" t="n">
        <v>25.94106</v>
      </c>
      <c r="R634" t="n">
        <v>38.18657</v>
      </c>
      <c r="S634" t="n">
        <v>83.0108</v>
      </c>
      <c r="T634" t="n">
        <v>40.1195</v>
      </c>
      <c r="U634" t="n">
        <v>25.41706</v>
      </c>
      <c r="V634" t="n">
        <v>46.92962</v>
      </c>
      <c r="W634" t="n">
        <v>40.30029</v>
      </c>
      <c r="X634" t="n">
        <v>45.63968</v>
      </c>
      <c r="Y634" t="n">
        <v>34.18348</v>
      </c>
      <c r="Z634" t="n">
        <v>30.86336</v>
      </c>
      <c r="AA634" t="n">
        <v>7.726104</v>
      </c>
      <c r="AB634" t="n">
        <v>46.79406</v>
      </c>
      <c r="AC634" t="n">
        <v>13.10701</v>
      </c>
      <c r="AD634" t="n">
        <v>50.41718</v>
      </c>
      <c r="AE634" t="n">
        <v>27.12009</v>
      </c>
    </row>
    <row r="635">
      <c r="A635" s="87" t="n">
        <v>37895</v>
      </c>
      <c r="B635" t="n">
        <v>32.50505</v>
      </c>
      <c r="C635" t="n">
        <v>17.24505</v>
      </c>
      <c r="D635" t="n">
        <v>41.27275</v>
      </c>
      <c r="E635" t="n">
        <v>59.09913</v>
      </c>
      <c r="F635" t="n">
        <v>27.03794</v>
      </c>
      <c r="G635" t="n">
        <v>16.30474</v>
      </c>
      <c r="H635" t="n">
        <v>20.28064</v>
      </c>
      <c r="I635" t="n">
        <v>20.17435</v>
      </c>
      <c r="J635" t="n">
        <v>43.43303</v>
      </c>
      <c r="K635" t="n">
        <v>56.36643</v>
      </c>
      <c r="L635" t="n">
        <v>56.99654</v>
      </c>
      <c r="M635" t="n">
        <v>47.78884</v>
      </c>
      <c r="N635" t="n">
        <v>45.19747</v>
      </c>
      <c r="O635" t="n">
        <v>21.15718</v>
      </c>
      <c r="P635" t="n">
        <v>17.10302</v>
      </c>
      <c r="Q635" t="n">
        <v>26.35884</v>
      </c>
      <c r="R635" t="n">
        <v>38.44961</v>
      </c>
      <c r="S635" t="n">
        <v>83.0517</v>
      </c>
      <c r="T635" t="n">
        <v>40.29374</v>
      </c>
      <c r="U635" t="n">
        <v>25.48916</v>
      </c>
      <c r="V635" t="n">
        <v>46.93705</v>
      </c>
      <c r="W635" t="n">
        <v>41.1644</v>
      </c>
      <c r="X635" t="n">
        <v>45.76125</v>
      </c>
      <c r="Y635" t="n">
        <v>34.62098</v>
      </c>
      <c r="Z635" t="n">
        <v>31.17385</v>
      </c>
      <c r="AA635" t="n">
        <v>7.973094</v>
      </c>
      <c r="AB635" t="n">
        <v>47.16284</v>
      </c>
      <c r="AC635" t="n">
        <v>13.56899</v>
      </c>
      <c r="AD635" t="n">
        <v>50.3408</v>
      </c>
      <c r="AE635" t="n">
        <v>27.49162</v>
      </c>
    </row>
    <row r="636">
      <c r="A636" s="87" t="n">
        <v>37926</v>
      </c>
      <c r="B636" t="n">
        <v>32.76841</v>
      </c>
      <c r="C636" t="n">
        <v>17.59354</v>
      </c>
      <c r="D636" t="n">
        <v>41.68337</v>
      </c>
      <c r="E636" t="n">
        <v>59.02481</v>
      </c>
      <c r="F636" t="n">
        <v>26.89993</v>
      </c>
      <c r="G636" t="n">
        <v>16.50522</v>
      </c>
      <c r="H636" t="n">
        <v>20.38215</v>
      </c>
      <c r="I636" t="n">
        <v>20.4876</v>
      </c>
      <c r="J636" t="n">
        <v>43.70603</v>
      </c>
      <c r="K636" t="n">
        <v>58.09754</v>
      </c>
      <c r="L636" t="n">
        <v>57.47627</v>
      </c>
      <c r="M636" t="n">
        <v>48.20323</v>
      </c>
      <c r="N636" t="n">
        <v>45.81765</v>
      </c>
      <c r="O636" t="n">
        <v>21.42836</v>
      </c>
      <c r="P636" t="n">
        <v>17.32626</v>
      </c>
      <c r="Q636" t="n">
        <v>26.74733</v>
      </c>
      <c r="R636" t="n">
        <v>38.57253</v>
      </c>
      <c r="S636" t="n">
        <v>83.08441999999999</v>
      </c>
      <c r="T636" t="n">
        <v>40.44424</v>
      </c>
      <c r="U636" t="n">
        <v>25.35578</v>
      </c>
      <c r="V636" t="n">
        <v>47.17633</v>
      </c>
      <c r="W636" t="n">
        <v>41.87666</v>
      </c>
      <c r="X636" t="n">
        <v>45.92802</v>
      </c>
      <c r="Y636" t="n">
        <v>35.08935</v>
      </c>
      <c r="Z636" t="n">
        <v>31.47654</v>
      </c>
      <c r="AA636" t="n">
        <v>8.138852999999999</v>
      </c>
      <c r="AB636" t="n">
        <v>47.45575</v>
      </c>
      <c r="AC636" t="n">
        <v>14.05024</v>
      </c>
      <c r="AD636" t="n">
        <v>50.38646</v>
      </c>
      <c r="AE636" t="n">
        <v>27.81684</v>
      </c>
    </row>
    <row r="637">
      <c r="A637" s="87" t="n">
        <v>37956</v>
      </c>
      <c r="B637" t="n">
        <v>33.099</v>
      </c>
      <c r="C637" t="n">
        <v>18.00484</v>
      </c>
      <c r="D637" t="n">
        <v>41.79007</v>
      </c>
      <c r="E637" t="n">
        <v>58.8946</v>
      </c>
      <c r="F637" t="n">
        <v>26.93054</v>
      </c>
      <c r="G637" t="n">
        <v>16.66751</v>
      </c>
      <c r="H637" t="n">
        <v>20.7244</v>
      </c>
      <c r="I637" t="n">
        <v>21.2537</v>
      </c>
      <c r="J637" t="n">
        <v>44.10286</v>
      </c>
      <c r="K637" t="n">
        <v>56.89207</v>
      </c>
      <c r="L637" t="n">
        <v>58.00396</v>
      </c>
      <c r="M637" t="n">
        <v>48.83809</v>
      </c>
      <c r="N637" t="n">
        <v>46.07925</v>
      </c>
      <c r="O637" t="n">
        <v>21.55904</v>
      </c>
      <c r="P637" t="n">
        <v>17.51785</v>
      </c>
      <c r="Q637" t="n">
        <v>27.09871</v>
      </c>
      <c r="R637" t="n">
        <v>38.63266</v>
      </c>
      <c r="S637" t="n">
        <v>83.12532</v>
      </c>
      <c r="T637" t="n">
        <v>40.4797</v>
      </c>
      <c r="U637" t="n">
        <v>25.73104</v>
      </c>
      <c r="V637" t="n">
        <v>47.13068</v>
      </c>
      <c r="W637" t="n">
        <v>42.42301</v>
      </c>
      <c r="X637" t="n">
        <v>46.07288</v>
      </c>
      <c r="Y637" t="n">
        <v>35.39342</v>
      </c>
      <c r="Z637" t="n">
        <v>31.60649</v>
      </c>
      <c r="AA637" t="n">
        <v>8.252628</v>
      </c>
      <c r="AB637" t="n">
        <v>47.75187</v>
      </c>
      <c r="AC637" t="n">
        <v>14.27344</v>
      </c>
      <c r="AD637" t="n">
        <v>50.37152</v>
      </c>
      <c r="AE637" t="n">
        <v>28.04889</v>
      </c>
    </row>
    <row r="638">
      <c r="A638" s="87" t="n">
        <v>37987</v>
      </c>
      <c r="B638" t="n">
        <v>33.32874</v>
      </c>
      <c r="C638" t="n">
        <v>18.34694</v>
      </c>
      <c r="D638" t="n">
        <v>42.54859</v>
      </c>
      <c r="E638" t="n">
        <v>59.16997</v>
      </c>
      <c r="F638" t="n">
        <v>27.06888</v>
      </c>
      <c r="G638" t="n">
        <v>16.87099</v>
      </c>
      <c r="H638" t="n">
        <v>21.05394</v>
      </c>
      <c r="I638" t="n">
        <v>21.81715</v>
      </c>
      <c r="J638" t="n">
        <v>44.23612</v>
      </c>
      <c r="K638" t="n">
        <v>57.729</v>
      </c>
      <c r="L638" t="n">
        <v>58.25239</v>
      </c>
      <c r="M638" t="n">
        <v>49.91735</v>
      </c>
      <c r="N638" t="n">
        <v>46.69579</v>
      </c>
      <c r="O638" t="n">
        <v>21.51542</v>
      </c>
      <c r="P638" t="n">
        <v>17.76559</v>
      </c>
      <c r="Q638" t="n">
        <v>27.46705</v>
      </c>
      <c r="R638" t="n">
        <v>38.83549</v>
      </c>
      <c r="S638" t="n">
        <v>83.23166000000001</v>
      </c>
      <c r="T638" t="n">
        <v>40.57904</v>
      </c>
      <c r="U638" t="n">
        <v>26.22403</v>
      </c>
      <c r="V638" t="n">
        <v>47.23695</v>
      </c>
      <c r="W638" t="n">
        <v>42.8866</v>
      </c>
      <c r="X638" t="n">
        <v>46.34979</v>
      </c>
      <c r="Y638" t="n">
        <v>35.89532</v>
      </c>
      <c r="Z638" t="n">
        <v>31.6207</v>
      </c>
      <c r="AA638" t="n">
        <v>8.463573999999999</v>
      </c>
      <c r="AB638" t="n">
        <v>47.78617</v>
      </c>
      <c r="AC638" t="n">
        <v>14.53837</v>
      </c>
      <c r="AD638" t="n">
        <v>50.4396</v>
      </c>
      <c r="AE638" t="n">
        <v>28.66742</v>
      </c>
    </row>
    <row r="639">
      <c r="A639" s="87" t="n">
        <v>38018</v>
      </c>
      <c r="B639" t="n">
        <v>33.5977</v>
      </c>
      <c r="C639" t="n">
        <v>18.58755</v>
      </c>
      <c r="D639" t="n">
        <v>42.75826</v>
      </c>
      <c r="E639" t="n">
        <v>59.52664</v>
      </c>
      <c r="F639" t="n">
        <v>27.16747</v>
      </c>
      <c r="G639" t="n">
        <v>17.11082</v>
      </c>
      <c r="H639" t="n">
        <v>21.28069</v>
      </c>
      <c r="I639" t="n">
        <v>21.78991</v>
      </c>
      <c r="J639" t="n">
        <v>44.22281</v>
      </c>
      <c r="K639" t="n">
        <v>60.44933</v>
      </c>
      <c r="L639" t="n">
        <v>58.33032</v>
      </c>
      <c r="M639" t="n">
        <v>50.39204</v>
      </c>
      <c r="N639" t="n">
        <v>47.22881</v>
      </c>
      <c r="O639" t="n">
        <v>21.48142</v>
      </c>
      <c r="P639" t="n">
        <v>18.03639</v>
      </c>
      <c r="Q639" t="n">
        <v>27.84657</v>
      </c>
      <c r="R639" t="n">
        <v>38.99508</v>
      </c>
      <c r="S639" t="n">
        <v>83.3789</v>
      </c>
      <c r="T639" t="n">
        <v>40.95882</v>
      </c>
      <c r="U639" t="n">
        <v>26.27566</v>
      </c>
      <c r="V639" t="n">
        <v>47.41785</v>
      </c>
      <c r="W639" t="n">
        <v>43.29431</v>
      </c>
      <c r="X639" t="n">
        <v>46.64878</v>
      </c>
      <c r="Y639" t="n">
        <v>36.29812</v>
      </c>
      <c r="Z639" t="n">
        <v>31.67077</v>
      </c>
      <c r="AA639" t="n">
        <v>8.747821999999999</v>
      </c>
      <c r="AB639" t="n">
        <v>47.80943</v>
      </c>
      <c r="AC639" t="n">
        <v>14.88588</v>
      </c>
      <c r="AD639" t="n">
        <v>50.76172</v>
      </c>
      <c r="AE639" t="n">
        <v>29.81041</v>
      </c>
    </row>
    <row r="640">
      <c r="A640" s="87" t="n">
        <v>38047</v>
      </c>
      <c r="B640" t="n">
        <v>34.02636</v>
      </c>
      <c r="C640" t="n">
        <v>18.82639</v>
      </c>
      <c r="D640" t="n">
        <v>43.12152</v>
      </c>
      <c r="E640" t="n">
        <v>59.55259</v>
      </c>
      <c r="F640" t="n">
        <v>27.50583</v>
      </c>
      <c r="G640" t="n">
        <v>17.34709</v>
      </c>
      <c r="H640" t="n">
        <v>21.53783</v>
      </c>
      <c r="I640" t="n">
        <v>21.79325</v>
      </c>
      <c r="J640" t="n">
        <v>44.32655</v>
      </c>
      <c r="K640" t="n">
        <v>61.373</v>
      </c>
      <c r="L640" t="n">
        <v>58.58255</v>
      </c>
      <c r="M640" t="n">
        <v>50.39891</v>
      </c>
      <c r="N640" t="n">
        <v>47.09597</v>
      </c>
      <c r="O640" t="n">
        <v>21.5072</v>
      </c>
      <c r="P640" t="n">
        <v>18.31292</v>
      </c>
      <c r="Q640" t="n">
        <v>28.19962</v>
      </c>
      <c r="R640" t="n">
        <v>39.1132</v>
      </c>
      <c r="S640" t="n">
        <v>83.45252000000001</v>
      </c>
      <c r="T640" t="n">
        <v>41.2898</v>
      </c>
      <c r="U640" t="n">
        <v>26.36745</v>
      </c>
      <c r="V640" t="n">
        <v>47.74495</v>
      </c>
      <c r="W640" t="n">
        <v>43.56604</v>
      </c>
      <c r="X640" t="n">
        <v>46.88644</v>
      </c>
      <c r="Y640" t="n">
        <v>36.43932</v>
      </c>
      <c r="Z640" t="n">
        <v>31.83132</v>
      </c>
      <c r="AA640" t="n">
        <v>9.054565999999999</v>
      </c>
      <c r="AB640" t="n">
        <v>47.71036</v>
      </c>
      <c r="AC640" t="n">
        <v>15.10175</v>
      </c>
      <c r="AD640" t="n">
        <v>51.05894</v>
      </c>
      <c r="AE640" t="n">
        <v>29.95231</v>
      </c>
    </row>
    <row r="641">
      <c r="A641" s="87" t="n">
        <v>38078</v>
      </c>
      <c r="B641" t="n">
        <v>34.36816</v>
      </c>
      <c r="C641" t="n">
        <v>19.10639</v>
      </c>
      <c r="D641" t="n">
        <v>43.49611</v>
      </c>
      <c r="E641" t="n">
        <v>59.51164</v>
      </c>
      <c r="F641" t="n">
        <v>27.78836</v>
      </c>
      <c r="G641" t="n">
        <v>17.57677</v>
      </c>
      <c r="H641" t="n">
        <v>21.70039</v>
      </c>
      <c r="I641" t="n">
        <v>22.22802</v>
      </c>
      <c r="J641" t="n">
        <v>44.8116</v>
      </c>
      <c r="K641" t="n">
        <v>62.11468</v>
      </c>
      <c r="L641" t="n">
        <v>58.97062</v>
      </c>
      <c r="M641" t="n">
        <v>50.83807</v>
      </c>
      <c r="N641" t="n">
        <v>47.32351</v>
      </c>
      <c r="O641" t="n">
        <v>21.58955</v>
      </c>
      <c r="P641" t="n">
        <v>18.57175</v>
      </c>
      <c r="Q641" t="n">
        <v>28.57566</v>
      </c>
      <c r="R641" t="n">
        <v>39.49238</v>
      </c>
      <c r="S641" t="n">
        <v>83.47705999999999</v>
      </c>
      <c r="T641" t="n">
        <v>41.51998</v>
      </c>
      <c r="U641" t="n">
        <v>26.44096</v>
      </c>
      <c r="V641" t="n">
        <v>48.22031</v>
      </c>
      <c r="W641" t="n">
        <v>43.70331</v>
      </c>
      <c r="X641" t="n">
        <v>47.19258</v>
      </c>
      <c r="Y641" t="n">
        <v>36.84751</v>
      </c>
      <c r="Z641" t="n">
        <v>32.35956</v>
      </c>
      <c r="AA641" t="n">
        <v>9.309380000000001</v>
      </c>
      <c r="AB641" t="n">
        <v>47.5995</v>
      </c>
      <c r="AC641" t="n">
        <v>15.48062</v>
      </c>
      <c r="AD641" t="n">
        <v>51.40015</v>
      </c>
      <c r="AE641" t="n">
        <v>29.70591</v>
      </c>
    </row>
    <row r="642">
      <c r="A642" s="87" t="n">
        <v>38108</v>
      </c>
      <c r="B642" t="n">
        <v>34.53066</v>
      </c>
      <c r="C642" t="n">
        <v>19.61511</v>
      </c>
      <c r="D642" t="n">
        <v>44.04671</v>
      </c>
      <c r="E642" t="n">
        <v>59.70362</v>
      </c>
      <c r="F642" t="n">
        <v>27.87139</v>
      </c>
      <c r="G642" t="n">
        <v>17.7709</v>
      </c>
      <c r="H642" t="n">
        <v>21.71352</v>
      </c>
      <c r="I642" t="n">
        <v>23.43051</v>
      </c>
      <c r="J642" t="n">
        <v>45.35804</v>
      </c>
      <c r="K642" t="n">
        <v>62.4771</v>
      </c>
      <c r="L642" t="n">
        <v>59.33781</v>
      </c>
      <c r="M642" t="n">
        <v>50.99242</v>
      </c>
      <c r="N642" t="n">
        <v>47.78838</v>
      </c>
      <c r="O642" t="n">
        <v>21.84179</v>
      </c>
      <c r="P642" t="n">
        <v>18.75677</v>
      </c>
      <c r="Q642" t="n">
        <v>28.97564</v>
      </c>
      <c r="R642" t="n">
        <v>39.84336</v>
      </c>
      <c r="S642" t="n">
        <v>83.69792</v>
      </c>
      <c r="T642" t="n">
        <v>41.81376</v>
      </c>
      <c r="U642" t="n">
        <v>26.41368</v>
      </c>
      <c r="V642" t="n">
        <v>48.5811</v>
      </c>
      <c r="W642" t="n">
        <v>44.29564</v>
      </c>
      <c r="X642" t="n">
        <v>47.63525</v>
      </c>
      <c r="Y642" t="n">
        <v>37.25702</v>
      </c>
      <c r="Z642" t="n">
        <v>32.51569</v>
      </c>
      <c r="AA642" t="n">
        <v>9.60125</v>
      </c>
      <c r="AB642" t="n">
        <v>47.63603</v>
      </c>
      <c r="AC642" t="n">
        <v>16.11405</v>
      </c>
      <c r="AD642" t="n">
        <v>52.03859</v>
      </c>
      <c r="AE642" t="n">
        <v>29.70729</v>
      </c>
    </row>
    <row r="643">
      <c r="A643" s="87" t="n">
        <v>38139</v>
      </c>
      <c r="B643" t="n">
        <v>34.67915</v>
      </c>
      <c r="C643" t="n">
        <v>20.10039</v>
      </c>
      <c r="D643" t="n">
        <v>43.92104</v>
      </c>
      <c r="E643" t="n">
        <v>59.78857</v>
      </c>
      <c r="F643" t="n">
        <v>28.09697</v>
      </c>
      <c r="G643" t="n">
        <v>17.90881</v>
      </c>
      <c r="H643" t="n">
        <v>22.16985</v>
      </c>
      <c r="I643" t="n">
        <v>24.30391</v>
      </c>
      <c r="J643" t="n">
        <v>45.50792</v>
      </c>
      <c r="K643" t="n">
        <v>62.21308</v>
      </c>
      <c r="L643" t="n">
        <v>59.5944</v>
      </c>
      <c r="M643" t="n">
        <v>51.33014</v>
      </c>
      <c r="N643" t="n">
        <v>48.26281</v>
      </c>
      <c r="O643" t="n">
        <v>22.27279</v>
      </c>
      <c r="P643" t="n">
        <v>18.88158</v>
      </c>
      <c r="Q643" t="n">
        <v>29.34883</v>
      </c>
      <c r="R643" t="n">
        <v>40.14856</v>
      </c>
      <c r="S643" t="n">
        <v>83.68974</v>
      </c>
      <c r="T643" t="n">
        <v>42.03855</v>
      </c>
      <c r="U643" t="n">
        <v>26.67652</v>
      </c>
      <c r="V643" t="n">
        <v>48.82048</v>
      </c>
      <c r="W643" t="n">
        <v>44.48297</v>
      </c>
      <c r="X643" t="n">
        <v>47.74998</v>
      </c>
      <c r="Y643" t="n">
        <v>37.46594</v>
      </c>
      <c r="Z643" t="n">
        <v>32.52868</v>
      </c>
      <c r="AA643" t="n">
        <v>9.79509</v>
      </c>
      <c r="AB643" t="n">
        <v>47.32349</v>
      </c>
      <c r="AC643" t="n">
        <v>16.34474</v>
      </c>
      <c r="AD643" t="n">
        <v>52.05851</v>
      </c>
      <c r="AE643" t="n">
        <v>29.88152</v>
      </c>
    </row>
    <row r="644">
      <c r="A644" s="87" t="n">
        <v>38169</v>
      </c>
      <c r="B644" t="n">
        <v>35.00975</v>
      </c>
      <c r="C644" t="n">
        <v>20.30591</v>
      </c>
      <c r="D644" t="n">
        <v>44.18815</v>
      </c>
      <c r="E644" t="n">
        <v>59.66281</v>
      </c>
      <c r="F644" t="n">
        <v>28.38592</v>
      </c>
      <c r="G644" t="n">
        <v>18.04361</v>
      </c>
      <c r="H644" t="n">
        <v>22.60483</v>
      </c>
      <c r="I644" t="n">
        <v>24.5431</v>
      </c>
      <c r="J644" t="n">
        <v>45.77584</v>
      </c>
      <c r="K644" t="n">
        <v>62.10925</v>
      </c>
      <c r="L644" t="n">
        <v>59.87024</v>
      </c>
      <c r="M644" t="n">
        <v>51.75082</v>
      </c>
      <c r="N644" t="n">
        <v>48.93527</v>
      </c>
      <c r="O644" t="n">
        <v>22.48644</v>
      </c>
      <c r="P644" t="n">
        <v>18.9977</v>
      </c>
      <c r="Q644" t="n">
        <v>29.70762</v>
      </c>
      <c r="R644" t="n">
        <v>40.50016</v>
      </c>
      <c r="S644" t="n">
        <v>83.85334</v>
      </c>
      <c r="T644" t="n">
        <v>42.20819</v>
      </c>
      <c r="U644" t="n">
        <v>26.86992</v>
      </c>
      <c r="V644" t="n">
        <v>48.97151</v>
      </c>
      <c r="W644" t="n">
        <v>44.15567</v>
      </c>
      <c r="X644" t="n">
        <v>47.92112</v>
      </c>
      <c r="Y644" t="n">
        <v>37.63103</v>
      </c>
      <c r="Z644" t="n">
        <v>32.83386</v>
      </c>
      <c r="AA644" t="n">
        <v>9.921865</v>
      </c>
      <c r="AB644" t="n">
        <v>47.42359</v>
      </c>
      <c r="AC644" t="n">
        <v>16.2727</v>
      </c>
      <c r="AD644" t="n">
        <v>52.17308</v>
      </c>
      <c r="AE644" t="n">
        <v>29.97438</v>
      </c>
    </row>
    <row r="645">
      <c r="A645" s="87" t="n">
        <v>38200</v>
      </c>
      <c r="B645" t="n">
        <v>35.30112</v>
      </c>
      <c r="C645" t="n">
        <v>20.5185</v>
      </c>
      <c r="D645" t="n">
        <v>44.56568</v>
      </c>
      <c r="E645" t="n">
        <v>59.78064</v>
      </c>
      <c r="F645" t="n">
        <v>28.68393</v>
      </c>
      <c r="G645" t="n">
        <v>18.17476</v>
      </c>
      <c r="H645" t="n">
        <v>22.71761</v>
      </c>
      <c r="I645" t="n">
        <v>25.0279</v>
      </c>
      <c r="J645" t="n">
        <v>46.17813</v>
      </c>
      <c r="K645" t="n">
        <v>62.45139</v>
      </c>
      <c r="L645" t="n">
        <v>59.92378</v>
      </c>
      <c r="M645" t="n">
        <v>52.08358</v>
      </c>
      <c r="N645" t="n">
        <v>49.58675</v>
      </c>
      <c r="O645" t="n">
        <v>22.61004</v>
      </c>
      <c r="P645" t="n">
        <v>19.14314</v>
      </c>
      <c r="Q645" t="n">
        <v>30.0749</v>
      </c>
      <c r="R645" t="n">
        <v>40.83945</v>
      </c>
      <c r="S645" t="n">
        <v>84.05785</v>
      </c>
      <c r="T645" t="n">
        <v>42.47295</v>
      </c>
      <c r="U645" t="n">
        <v>26.8519</v>
      </c>
      <c r="V645" t="n">
        <v>49.02152</v>
      </c>
      <c r="W645" t="n">
        <v>44.10348</v>
      </c>
      <c r="X645" t="n">
        <v>48.15782</v>
      </c>
      <c r="Y645" t="n">
        <v>37.95124</v>
      </c>
      <c r="Z645" t="n">
        <v>33.0296</v>
      </c>
      <c r="AA645" t="n">
        <v>10.10758</v>
      </c>
      <c r="AB645" t="n">
        <v>47.90796</v>
      </c>
      <c r="AC645" t="n">
        <v>16.54558</v>
      </c>
      <c r="AD645" t="n">
        <v>52.39143</v>
      </c>
      <c r="AE645" t="n">
        <v>29.90012</v>
      </c>
    </row>
    <row r="646">
      <c r="A646" s="87" t="n">
        <v>38231</v>
      </c>
      <c r="B646" t="n">
        <v>35.40198</v>
      </c>
      <c r="C646" t="n">
        <v>20.72842</v>
      </c>
      <c r="D646" t="n">
        <v>44.77949</v>
      </c>
      <c r="E646" t="n">
        <v>59.91013</v>
      </c>
      <c r="F646" t="n">
        <v>29.03675</v>
      </c>
      <c r="G646" t="n">
        <v>18.34886</v>
      </c>
      <c r="H646" t="n">
        <v>23.05396</v>
      </c>
      <c r="I646" t="n">
        <v>25.38807</v>
      </c>
      <c r="J646" t="n">
        <v>46.40273</v>
      </c>
      <c r="K646" t="n">
        <v>62.13322</v>
      </c>
      <c r="L646" t="n">
        <v>59.99165</v>
      </c>
      <c r="M646" t="n">
        <v>52.35226</v>
      </c>
      <c r="N646" t="n">
        <v>50.02327</v>
      </c>
      <c r="O646" t="n">
        <v>22.74047</v>
      </c>
      <c r="P646" t="n">
        <v>19.27585</v>
      </c>
      <c r="Q646" t="n">
        <v>30.43938</v>
      </c>
      <c r="R646" t="n">
        <v>41.07432</v>
      </c>
      <c r="S646" t="n">
        <v>83.92695999999999</v>
      </c>
      <c r="T646" t="n">
        <v>42.70232</v>
      </c>
      <c r="U646" t="n">
        <v>26.92208</v>
      </c>
      <c r="V646" t="n">
        <v>49.16752</v>
      </c>
      <c r="W646" t="n">
        <v>43.88992</v>
      </c>
      <c r="X646" t="n">
        <v>48.39019</v>
      </c>
      <c r="Y646" t="n">
        <v>38.258</v>
      </c>
      <c r="Z646" t="n">
        <v>33.24492</v>
      </c>
      <c r="AA646" t="n">
        <v>10.24947</v>
      </c>
      <c r="AB646" t="n">
        <v>48.42654</v>
      </c>
      <c r="AC646" t="n">
        <v>16.8805</v>
      </c>
      <c r="AD646" t="n">
        <v>52.67951</v>
      </c>
      <c r="AE646" t="n">
        <v>30.52115</v>
      </c>
    </row>
    <row r="647">
      <c r="A647" s="87" t="n">
        <v>38261</v>
      </c>
      <c r="B647" t="n">
        <v>35.53926</v>
      </c>
      <c r="C647" t="n">
        <v>20.94284</v>
      </c>
      <c r="D647" t="n">
        <v>45.22706</v>
      </c>
      <c r="E647" t="n">
        <v>59.88385</v>
      </c>
      <c r="F647" t="n">
        <v>29.4129</v>
      </c>
      <c r="G647" t="n">
        <v>18.57358</v>
      </c>
      <c r="H647" t="n">
        <v>23.35361</v>
      </c>
      <c r="I647" t="n">
        <v>25.75073</v>
      </c>
      <c r="J647" t="n">
        <v>46.63136</v>
      </c>
      <c r="K647" t="n">
        <v>61.42195</v>
      </c>
      <c r="L647" t="n">
        <v>60.41854</v>
      </c>
      <c r="M647" t="n">
        <v>52.55926</v>
      </c>
      <c r="N647" t="n">
        <v>50.35834</v>
      </c>
      <c r="O647" t="n">
        <v>22.79824</v>
      </c>
      <c r="P647" t="n">
        <v>19.43704</v>
      </c>
      <c r="Q647" t="n">
        <v>30.81153</v>
      </c>
      <c r="R647" t="n">
        <v>41.41972</v>
      </c>
      <c r="S647" t="n">
        <v>83.94332</v>
      </c>
      <c r="T647" t="n">
        <v>42.8463</v>
      </c>
      <c r="U647" t="n">
        <v>27.21833</v>
      </c>
      <c r="V647" t="n">
        <v>49.40528</v>
      </c>
      <c r="W647" t="n">
        <v>43.979</v>
      </c>
      <c r="X647" t="n">
        <v>48.64364</v>
      </c>
      <c r="Y647" t="n">
        <v>38.56745</v>
      </c>
      <c r="Z647" t="n">
        <v>34.12419</v>
      </c>
      <c r="AA647" t="n">
        <v>10.39496</v>
      </c>
      <c r="AB647" t="n">
        <v>48.99923</v>
      </c>
      <c r="AC647" t="n">
        <v>17.07384</v>
      </c>
      <c r="AD647" t="n">
        <v>52.91197</v>
      </c>
      <c r="AE647" t="n">
        <v>31.25816</v>
      </c>
    </row>
    <row r="648">
      <c r="A648" s="87" t="n">
        <v>38292</v>
      </c>
      <c r="B648" t="n">
        <v>35.86706</v>
      </c>
      <c r="C648" t="n">
        <v>21.17999</v>
      </c>
      <c r="D648" t="n">
        <v>45.52979</v>
      </c>
      <c r="E648" t="n">
        <v>60.1877</v>
      </c>
      <c r="F648" t="n">
        <v>29.67653</v>
      </c>
      <c r="G648" t="n">
        <v>18.81177</v>
      </c>
      <c r="H648" t="n">
        <v>23.56976</v>
      </c>
      <c r="I648" t="n">
        <v>26.16019</v>
      </c>
      <c r="J648" t="n">
        <v>46.74953</v>
      </c>
      <c r="K648" t="n">
        <v>61.92747</v>
      </c>
      <c r="L648" t="n">
        <v>60.85713</v>
      </c>
      <c r="M648" t="n">
        <v>53.11</v>
      </c>
      <c r="N648" t="n">
        <v>50.91572</v>
      </c>
      <c r="O648" t="n">
        <v>22.85875</v>
      </c>
      <c r="P648" t="n">
        <v>19.62199</v>
      </c>
      <c r="Q648" t="n">
        <v>31.2238</v>
      </c>
      <c r="R648" t="n">
        <v>41.93563</v>
      </c>
      <c r="S648" t="n">
        <v>83.94332</v>
      </c>
      <c r="T648" t="n">
        <v>43.06141</v>
      </c>
      <c r="U648" t="n">
        <v>27.53703</v>
      </c>
      <c r="V648" t="n">
        <v>50.34652</v>
      </c>
      <c r="W648" t="n">
        <v>44.25934</v>
      </c>
      <c r="X648" t="n">
        <v>48.92201</v>
      </c>
      <c r="Y648" t="n">
        <v>38.99252</v>
      </c>
      <c r="Z648" t="n">
        <v>34.41983</v>
      </c>
      <c r="AA648" t="n">
        <v>10.66232</v>
      </c>
      <c r="AB648" t="n">
        <v>49.32876</v>
      </c>
      <c r="AC648" t="n">
        <v>17.3736</v>
      </c>
      <c r="AD648" t="n">
        <v>53.13198</v>
      </c>
      <c r="AE648" t="n">
        <v>31.43837</v>
      </c>
    </row>
    <row r="649">
      <c r="A649" s="87" t="n">
        <v>38322</v>
      </c>
      <c r="B649" t="n">
        <v>36.16124</v>
      </c>
      <c r="C649" t="n">
        <v>21.35336</v>
      </c>
      <c r="D649" t="n">
        <v>46.14388</v>
      </c>
      <c r="E649" t="n">
        <v>60.44148</v>
      </c>
      <c r="F649" t="n">
        <v>29.8119</v>
      </c>
      <c r="G649" t="n">
        <v>19.07006</v>
      </c>
      <c r="H649" t="n">
        <v>24.0891</v>
      </c>
      <c r="I649" t="n">
        <v>26.5402</v>
      </c>
      <c r="J649" t="n">
        <v>46.48536</v>
      </c>
      <c r="K649" t="n">
        <v>60.34919</v>
      </c>
      <c r="L649" t="n">
        <v>61.48021</v>
      </c>
      <c r="M649" t="n">
        <v>53.57427</v>
      </c>
      <c r="N649" t="n">
        <v>51.40236</v>
      </c>
      <c r="O649" t="n">
        <v>23.06058</v>
      </c>
      <c r="P649" t="n">
        <v>19.82857</v>
      </c>
      <c r="Q649" t="n">
        <v>31.68365</v>
      </c>
      <c r="R649" t="n">
        <v>42.34098</v>
      </c>
      <c r="S649" t="n">
        <v>83.9515</v>
      </c>
      <c r="T649" t="n">
        <v>43.28983</v>
      </c>
      <c r="U649" t="n">
        <v>27.68275</v>
      </c>
      <c r="V649" t="n">
        <v>50.88748</v>
      </c>
      <c r="W649" t="n">
        <v>44.45438</v>
      </c>
      <c r="X649" t="n">
        <v>49.11385</v>
      </c>
      <c r="Y649" t="n">
        <v>39.16295</v>
      </c>
      <c r="Z649" t="n">
        <v>34.24634</v>
      </c>
      <c r="AA649" t="n">
        <v>11.0095</v>
      </c>
      <c r="AB649" t="n">
        <v>49.59037</v>
      </c>
      <c r="AC649" t="n">
        <v>17.58027</v>
      </c>
      <c r="AD649" t="n">
        <v>53.28557</v>
      </c>
      <c r="AE649" t="n">
        <v>31.62221</v>
      </c>
    </row>
    <row r="650">
      <c r="A650" s="87" t="n">
        <v>38353</v>
      </c>
      <c r="B650" t="n">
        <v>36.39658</v>
      </c>
      <c r="C650" t="n">
        <v>21.53674</v>
      </c>
      <c r="D650" t="n">
        <v>46.54591</v>
      </c>
      <c r="E650" t="n">
        <v>60.79957</v>
      </c>
      <c r="F650" t="n">
        <v>29.90033</v>
      </c>
      <c r="G650" t="n">
        <v>19.32659</v>
      </c>
      <c r="H650" t="n">
        <v>24.66457</v>
      </c>
      <c r="I650" t="n">
        <v>27.01527</v>
      </c>
      <c r="J650" t="n">
        <v>46.21528</v>
      </c>
      <c r="K650" t="n">
        <v>57.85836</v>
      </c>
      <c r="L650" t="n">
        <v>62.00828</v>
      </c>
      <c r="M650" t="n">
        <v>54.0683</v>
      </c>
      <c r="N650" t="n">
        <v>51.75694</v>
      </c>
      <c r="O650" t="n">
        <v>23.27019</v>
      </c>
      <c r="P650" t="n">
        <v>20.25499</v>
      </c>
      <c r="Q650" t="n">
        <v>32.17133</v>
      </c>
      <c r="R650" t="n">
        <v>42.71038</v>
      </c>
      <c r="S650" t="n">
        <v>83.98421999999999</v>
      </c>
      <c r="T650" t="n">
        <v>43.56325</v>
      </c>
      <c r="U650" t="n">
        <v>27.86948</v>
      </c>
      <c r="V650" t="n">
        <v>50.67405</v>
      </c>
      <c r="W650" t="n">
        <v>44.7117</v>
      </c>
      <c r="X650" t="n">
        <v>49.24868</v>
      </c>
      <c r="Y650" t="n">
        <v>39.28875</v>
      </c>
      <c r="Z650" t="n">
        <v>34.80701</v>
      </c>
      <c r="AA650" t="n">
        <v>11.30877</v>
      </c>
      <c r="AB650" t="n">
        <v>49.6881</v>
      </c>
      <c r="AC650" t="n">
        <v>17.55759</v>
      </c>
      <c r="AD650" t="n">
        <v>53.33704</v>
      </c>
      <c r="AE650" t="n">
        <v>32.42761</v>
      </c>
    </row>
    <row r="651">
      <c r="A651" s="87" t="n">
        <v>38384</v>
      </c>
      <c r="B651" t="n">
        <v>36.63752</v>
      </c>
      <c r="C651" t="n">
        <v>21.79595</v>
      </c>
      <c r="D651" t="n">
        <v>47.2272</v>
      </c>
      <c r="E651" t="n">
        <v>61.13002</v>
      </c>
      <c r="F651" t="n">
        <v>30.01602</v>
      </c>
      <c r="G651" t="n">
        <v>19.56876</v>
      </c>
      <c r="H651" t="n">
        <v>24.90371</v>
      </c>
      <c r="I651" t="n">
        <v>27.7309</v>
      </c>
      <c r="J651" t="n">
        <v>46.43981</v>
      </c>
      <c r="K651" t="n">
        <v>57.84337</v>
      </c>
      <c r="L651" t="n">
        <v>62.15745</v>
      </c>
      <c r="M651" t="n">
        <v>54.45165</v>
      </c>
      <c r="N651" t="n">
        <v>52.30969</v>
      </c>
      <c r="O651" t="n">
        <v>23.4021</v>
      </c>
      <c r="P651" t="n">
        <v>20.53226</v>
      </c>
      <c r="Q651" t="n">
        <v>32.66627</v>
      </c>
      <c r="R651" t="n">
        <v>43.14275</v>
      </c>
      <c r="S651" t="n">
        <v>83.9924</v>
      </c>
      <c r="T651" t="n">
        <v>43.91758</v>
      </c>
      <c r="U651" t="n">
        <v>28.01537</v>
      </c>
      <c r="V651" t="n">
        <v>51.15657</v>
      </c>
      <c r="W651" t="n">
        <v>45.16766</v>
      </c>
      <c r="X651" t="n">
        <v>49.4208</v>
      </c>
      <c r="Y651" t="n">
        <v>39.53691</v>
      </c>
      <c r="Z651" t="n">
        <v>35.11959</v>
      </c>
      <c r="AA651" t="n">
        <v>11.57603</v>
      </c>
      <c r="AB651" t="n">
        <v>50.08786</v>
      </c>
      <c r="AC651" t="n">
        <v>17.60101</v>
      </c>
      <c r="AD651" t="n">
        <v>53.40595</v>
      </c>
      <c r="AE651" t="n">
        <v>33.50933</v>
      </c>
    </row>
    <row r="652">
      <c r="A652" s="87" t="n">
        <v>38412</v>
      </c>
      <c r="B652" t="n">
        <v>36.79161</v>
      </c>
      <c r="C652" t="n">
        <v>22.16344</v>
      </c>
      <c r="D652" t="n">
        <v>47.5886</v>
      </c>
      <c r="E652" t="n">
        <v>61.09979</v>
      </c>
      <c r="F652" t="n">
        <v>30.22366</v>
      </c>
      <c r="G652" t="n">
        <v>19.81379</v>
      </c>
      <c r="H652" t="n">
        <v>25.1999</v>
      </c>
      <c r="I652" t="n">
        <v>28.39286</v>
      </c>
      <c r="J652" t="n">
        <v>46.68879</v>
      </c>
      <c r="K652" t="n">
        <v>58.29057</v>
      </c>
      <c r="L652" t="n">
        <v>62.37503</v>
      </c>
      <c r="M652" t="n">
        <v>54.77859</v>
      </c>
      <c r="N652" t="n">
        <v>53.18607</v>
      </c>
      <c r="O652" t="n">
        <v>23.67588</v>
      </c>
      <c r="P652" t="n">
        <v>20.56539</v>
      </c>
      <c r="Q652" t="n">
        <v>33.13094</v>
      </c>
      <c r="R652" t="n">
        <v>43.38269</v>
      </c>
      <c r="S652" t="n">
        <v>84.15600999999999</v>
      </c>
      <c r="T652" t="n">
        <v>44.02971</v>
      </c>
      <c r="U652" t="n">
        <v>28.11267</v>
      </c>
      <c r="V652" t="n">
        <v>52.03962</v>
      </c>
      <c r="W652" t="n">
        <v>45.66505</v>
      </c>
      <c r="X652" t="n">
        <v>49.61385</v>
      </c>
      <c r="Y652" t="n">
        <v>39.93941</v>
      </c>
      <c r="Z652" t="n">
        <v>35.67332</v>
      </c>
      <c r="AA652" t="n">
        <v>11.86582</v>
      </c>
      <c r="AB652" t="n">
        <v>50.5237</v>
      </c>
      <c r="AC652" t="n">
        <v>17.97128</v>
      </c>
      <c r="AD652" t="n">
        <v>53.4815</v>
      </c>
      <c r="AE652" t="n">
        <v>33.69832</v>
      </c>
    </row>
    <row r="653">
      <c r="A653" s="87" t="n">
        <v>38443</v>
      </c>
      <c r="B653" t="n">
        <v>37.01575</v>
      </c>
      <c r="C653" t="n">
        <v>22.54015</v>
      </c>
      <c r="D653" t="n">
        <v>48.04522</v>
      </c>
      <c r="E653" t="n">
        <v>61.17809</v>
      </c>
      <c r="F653" t="n">
        <v>30.59807</v>
      </c>
      <c r="G653" t="n">
        <v>20.07225</v>
      </c>
      <c r="H653" t="n">
        <v>25.58172</v>
      </c>
      <c r="I653" t="n">
        <v>28.95133</v>
      </c>
      <c r="J653" t="n">
        <v>47.15639</v>
      </c>
      <c r="K653" t="n">
        <v>59.14772</v>
      </c>
      <c r="L653" t="n">
        <v>62.91018</v>
      </c>
      <c r="M653" t="n">
        <v>55.31383</v>
      </c>
      <c r="N653" t="n">
        <v>54.31783</v>
      </c>
      <c r="O653" t="n">
        <v>24.12606</v>
      </c>
      <c r="P653" t="n">
        <v>20.8876</v>
      </c>
      <c r="Q653" t="n">
        <v>33.56136</v>
      </c>
      <c r="R653" t="n">
        <v>43.71009</v>
      </c>
      <c r="S653" t="n">
        <v>83.97604</v>
      </c>
      <c r="T653" t="n">
        <v>44.26842</v>
      </c>
      <c r="U653" t="n">
        <v>28.24663</v>
      </c>
      <c r="V653" t="n">
        <v>52.60456</v>
      </c>
      <c r="W653" t="n">
        <v>46.04211</v>
      </c>
      <c r="X653" t="n">
        <v>49.85871</v>
      </c>
      <c r="Y653" t="n">
        <v>40.53224</v>
      </c>
      <c r="Z653" t="n">
        <v>36.41202</v>
      </c>
      <c r="AA653" t="n">
        <v>12.19579</v>
      </c>
      <c r="AB653" t="n">
        <v>50.49871</v>
      </c>
      <c r="AC653" t="n">
        <v>18.56349</v>
      </c>
      <c r="AD653" t="n">
        <v>53.59773</v>
      </c>
      <c r="AE653" t="n">
        <v>33.74708</v>
      </c>
    </row>
    <row r="654">
      <c r="A654" s="87" t="n">
        <v>38473</v>
      </c>
      <c r="B654" t="n">
        <v>37.37156</v>
      </c>
      <c r="C654" t="n">
        <v>22.76894</v>
      </c>
      <c r="D654" t="n">
        <v>48.31843</v>
      </c>
      <c r="E654" t="n">
        <v>61.49645</v>
      </c>
      <c r="F654" t="n">
        <v>31.06196</v>
      </c>
      <c r="G654" t="n">
        <v>20.32652</v>
      </c>
      <c r="H654" t="n">
        <v>25.94508</v>
      </c>
      <c r="I654" t="n">
        <v>29.52895</v>
      </c>
      <c r="J654" t="n">
        <v>48.07209</v>
      </c>
      <c r="K654" t="n">
        <v>59.61499</v>
      </c>
      <c r="L654" t="n">
        <v>63.56118</v>
      </c>
      <c r="M654" t="n">
        <v>55.98243</v>
      </c>
      <c r="N654" t="n">
        <v>55.22646</v>
      </c>
      <c r="O654" t="n">
        <v>24.40152</v>
      </c>
      <c r="P654" t="n">
        <v>21.25314</v>
      </c>
      <c r="Q654" t="n">
        <v>34.08271</v>
      </c>
      <c r="R654" t="n">
        <v>44.37088</v>
      </c>
      <c r="S654" t="n">
        <v>83.97604</v>
      </c>
      <c r="T654" t="n">
        <v>44.63684</v>
      </c>
      <c r="U654" t="n">
        <v>28.36508</v>
      </c>
      <c r="V654" t="n">
        <v>52.87588</v>
      </c>
      <c r="W654" t="n">
        <v>46.37922</v>
      </c>
      <c r="X654" t="n">
        <v>50.13242</v>
      </c>
      <c r="Y654" t="n">
        <v>41.11146</v>
      </c>
      <c r="Z654" t="n">
        <v>36.96402</v>
      </c>
      <c r="AA654" t="n">
        <v>12.50533</v>
      </c>
      <c r="AB654" t="n">
        <v>50.85361</v>
      </c>
      <c r="AC654" t="n">
        <v>19.01084</v>
      </c>
      <c r="AD654" t="n">
        <v>53.74219</v>
      </c>
      <c r="AE654" t="n">
        <v>34.26422</v>
      </c>
    </row>
    <row r="655">
      <c r="A655" s="87" t="n">
        <v>38504</v>
      </c>
      <c r="B655" t="n">
        <v>37.74418</v>
      </c>
      <c r="C655" t="n">
        <v>22.99641</v>
      </c>
      <c r="D655" t="n">
        <v>48.67874</v>
      </c>
      <c r="E655" t="n">
        <v>62.20075</v>
      </c>
      <c r="F655" t="n">
        <v>31.48763</v>
      </c>
      <c r="G655" t="n">
        <v>20.61558</v>
      </c>
      <c r="H655" t="n">
        <v>26.30401</v>
      </c>
      <c r="I655" t="n">
        <v>30.0293</v>
      </c>
      <c r="J655" t="n">
        <v>48.51795</v>
      </c>
      <c r="K655" t="n">
        <v>61.77657</v>
      </c>
      <c r="L655" t="n">
        <v>64.14462</v>
      </c>
      <c r="M655" t="n">
        <v>56.65584</v>
      </c>
      <c r="N655" t="n">
        <v>55.60724</v>
      </c>
      <c r="O655" t="n">
        <v>24.61522</v>
      </c>
      <c r="P655" t="n">
        <v>21.45936</v>
      </c>
      <c r="Q655" t="n">
        <v>34.71707</v>
      </c>
      <c r="R655" t="n">
        <v>44.95881</v>
      </c>
      <c r="S655" t="n">
        <v>83.9515</v>
      </c>
      <c r="T655" t="n">
        <v>44.96999</v>
      </c>
      <c r="U655" t="n">
        <v>28.54842</v>
      </c>
      <c r="V655" t="n">
        <v>53.32688</v>
      </c>
      <c r="W655" t="n">
        <v>46.82032</v>
      </c>
      <c r="X655" t="n">
        <v>50.46375</v>
      </c>
      <c r="Y655" t="n">
        <v>41.67921</v>
      </c>
      <c r="Z655" t="n">
        <v>37.22631</v>
      </c>
      <c r="AA655" t="n">
        <v>12.77731</v>
      </c>
      <c r="AB655" t="n">
        <v>52.07392</v>
      </c>
      <c r="AC655" t="n">
        <v>19.37633</v>
      </c>
      <c r="AD655" t="n">
        <v>54.012</v>
      </c>
      <c r="AE655" t="n">
        <v>34.84028</v>
      </c>
    </row>
    <row r="656">
      <c r="A656" s="87" t="n">
        <v>38534</v>
      </c>
      <c r="B656" t="n">
        <v>37.97672</v>
      </c>
      <c r="C656" t="n">
        <v>23.34116</v>
      </c>
      <c r="D656" t="n">
        <v>49.06056</v>
      </c>
      <c r="E656" t="n">
        <v>63.16702</v>
      </c>
      <c r="F656" t="n">
        <v>31.83428</v>
      </c>
      <c r="G656" t="n">
        <v>20.91055</v>
      </c>
      <c r="H656" t="n">
        <v>26.47303</v>
      </c>
      <c r="I656" t="n">
        <v>30.68626</v>
      </c>
      <c r="J656" t="n">
        <v>48.81116</v>
      </c>
      <c r="K656" t="n">
        <v>64.28272</v>
      </c>
      <c r="L656" t="n">
        <v>64.72659</v>
      </c>
      <c r="M656" t="n">
        <v>57.27726</v>
      </c>
      <c r="N656" t="n">
        <v>55.94141</v>
      </c>
      <c r="O656" t="n">
        <v>25.0488</v>
      </c>
      <c r="P656" t="n">
        <v>21.68746</v>
      </c>
      <c r="Q656" t="n">
        <v>35.31264</v>
      </c>
      <c r="R656" t="n">
        <v>45.30846</v>
      </c>
      <c r="S656" t="n">
        <v>84.1151</v>
      </c>
      <c r="T656" t="n">
        <v>45.3913</v>
      </c>
      <c r="U656" t="n">
        <v>29.01718</v>
      </c>
      <c r="V656" t="n">
        <v>53.85254</v>
      </c>
      <c r="W656" t="n">
        <v>47.26359</v>
      </c>
      <c r="X656" t="n">
        <v>50.82312</v>
      </c>
      <c r="Y656" t="n">
        <v>42.221</v>
      </c>
      <c r="Z656" t="n">
        <v>37.25824</v>
      </c>
      <c r="AA656" t="n">
        <v>13.0942</v>
      </c>
      <c r="AB656" t="n">
        <v>52.96393</v>
      </c>
      <c r="AC656" t="n">
        <v>19.78846</v>
      </c>
      <c r="AD656" t="n">
        <v>54.27435</v>
      </c>
      <c r="AE656" t="n">
        <v>35.50487</v>
      </c>
    </row>
    <row r="657">
      <c r="A657" s="87" t="n">
        <v>38565</v>
      </c>
      <c r="B657" t="n">
        <v>38.09439</v>
      </c>
      <c r="C657" t="n">
        <v>23.71024</v>
      </c>
      <c r="D657" t="n">
        <v>49.10693</v>
      </c>
      <c r="E657" t="n">
        <v>63.45249</v>
      </c>
      <c r="F657" t="n">
        <v>32.0363</v>
      </c>
      <c r="G657" t="n">
        <v>21.21715</v>
      </c>
      <c r="H657" t="n">
        <v>26.61082</v>
      </c>
      <c r="I657" t="n">
        <v>31.30894</v>
      </c>
      <c r="J657" t="n">
        <v>49.08056</v>
      </c>
      <c r="K657" t="n">
        <v>65.00803000000001</v>
      </c>
      <c r="L657" t="n">
        <v>64.87823</v>
      </c>
      <c r="M657" t="n">
        <v>57.44827</v>
      </c>
      <c r="N657" t="n">
        <v>56.35381</v>
      </c>
      <c r="O657" t="n">
        <v>25.55486</v>
      </c>
      <c r="P657" t="n">
        <v>21.91241</v>
      </c>
      <c r="Q657" t="n">
        <v>35.83746</v>
      </c>
      <c r="R657" t="n">
        <v>45.509</v>
      </c>
      <c r="S657" t="n">
        <v>84.24598</v>
      </c>
      <c r="T657" t="n">
        <v>45.67742</v>
      </c>
      <c r="U657" t="n">
        <v>29.46974</v>
      </c>
      <c r="V657" t="n">
        <v>54.27048</v>
      </c>
      <c r="W657" t="n">
        <v>47.7089</v>
      </c>
      <c r="X657" t="n">
        <v>51.1128</v>
      </c>
      <c r="Y657" t="n">
        <v>42.58917</v>
      </c>
      <c r="Z657" t="n">
        <v>37.54126</v>
      </c>
      <c r="AA657" t="n">
        <v>13.46324</v>
      </c>
      <c r="AB657" t="n">
        <v>53.25996</v>
      </c>
      <c r="AC657" t="n">
        <v>20.28823</v>
      </c>
      <c r="AD657" t="n">
        <v>54.54666</v>
      </c>
      <c r="AE657" t="n">
        <v>35.78053</v>
      </c>
    </row>
    <row r="658">
      <c r="A658" s="87" t="n">
        <v>38596</v>
      </c>
      <c r="B658" t="n">
        <v>38.41939</v>
      </c>
      <c r="C658" t="n">
        <v>24.09814</v>
      </c>
      <c r="D658" t="n">
        <v>49.23317</v>
      </c>
      <c r="E658" t="n">
        <v>63.33507</v>
      </c>
      <c r="F658" t="n">
        <v>32.18632</v>
      </c>
      <c r="G658" t="n">
        <v>21.59169</v>
      </c>
      <c r="H658" t="n">
        <v>27.02951</v>
      </c>
      <c r="I658" t="n">
        <v>31.81742</v>
      </c>
      <c r="J658" t="n">
        <v>49.10284</v>
      </c>
      <c r="K658" t="n">
        <v>65.30852</v>
      </c>
      <c r="L658" t="n">
        <v>65.04797000000001</v>
      </c>
      <c r="M658" t="n">
        <v>57.93038</v>
      </c>
      <c r="N658" t="n">
        <v>56.99786</v>
      </c>
      <c r="O658" t="n">
        <v>26.18155</v>
      </c>
      <c r="P658" t="n">
        <v>22.41583</v>
      </c>
      <c r="Q658" t="n">
        <v>36.41407</v>
      </c>
      <c r="R658" t="n">
        <v>45.52098</v>
      </c>
      <c r="S658" t="n">
        <v>84.32778</v>
      </c>
      <c r="T658" t="n">
        <v>45.897</v>
      </c>
      <c r="U658" t="n">
        <v>29.90033</v>
      </c>
      <c r="V658" t="n">
        <v>54.92255</v>
      </c>
      <c r="W658" t="n">
        <v>48.60467</v>
      </c>
      <c r="X658" t="n">
        <v>51.43486</v>
      </c>
      <c r="Y658" t="n">
        <v>43.04073</v>
      </c>
      <c r="Z658" t="n">
        <v>38.0673</v>
      </c>
      <c r="AA658" t="n">
        <v>13.91868</v>
      </c>
      <c r="AB658" t="n">
        <v>53.30558</v>
      </c>
      <c r="AC658" t="n">
        <v>20.74949</v>
      </c>
      <c r="AD658" t="n">
        <v>54.82977</v>
      </c>
      <c r="AE658" t="n">
        <v>36.14792</v>
      </c>
    </row>
    <row r="659">
      <c r="A659" s="87" t="n">
        <v>38626</v>
      </c>
      <c r="B659" t="n">
        <v>38.61551</v>
      </c>
      <c r="C659" t="n">
        <v>24.39398</v>
      </c>
      <c r="D659" t="n">
        <v>49.46316</v>
      </c>
      <c r="E659" t="n">
        <v>63.40261</v>
      </c>
      <c r="F659" t="n">
        <v>32.45716</v>
      </c>
      <c r="G659" t="n">
        <v>21.93075</v>
      </c>
      <c r="H659" t="n">
        <v>27.57977</v>
      </c>
      <c r="I659" t="n">
        <v>32.44852</v>
      </c>
      <c r="J659" t="n">
        <v>49.49739</v>
      </c>
      <c r="K659" t="n">
        <v>66.07436</v>
      </c>
      <c r="L659" t="n">
        <v>65.51672000000001</v>
      </c>
      <c r="M659" t="n">
        <v>58.85559</v>
      </c>
      <c r="N659" t="n">
        <v>57.61198</v>
      </c>
      <c r="O659" t="n">
        <v>26.61066</v>
      </c>
      <c r="P659" t="n">
        <v>22.83817</v>
      </c>
      <c r="Q659" t="n">
        <v>37.10153</v>
      </c>
      <c r="R659" t="n">
        <v>45.55178</v>
      </c>
      <c r="S659" t="n">
        <v>84.28688</v>
      </c>
      <c r="T659" t="n">
        <v>46.01929</v>
      </c>
      <c r="U659" t="n">
        <v>30.44931</v>
      </c>
      <c r="V659" t="n">
        <v>55.40439</v>
      </c>
      <c r="W659" t="n">
        <v>49.03799</v>
      </c>
      <c r="X659" t="n">
        <v>51.78401</v>
      </c>
      <c r="Y659" t="n">
        <v>43.60701</v>
      </c>
      <c r="Z659" t="n">
        <v>38.6686</v>
      </c>
      <c r="AA659" t="n">
        <v>14.38302</v>
      </c>
      <c r="AB659" t="n">
        <v>54.3091</v>
      </c>
      <c r="AC659" t="n">
        <v>21.01513</v>
      </c>
      <c r="AD659" t="n">
        <v>55.11453</v>
      </c>
      <c r="AE659" t="n">
        <v>36.6041</v>
      </c>
    </row>
    <row r="660">
      <c r="A660" s="87" t="n">
        <v>38657</v>
      </c>
      <c r="B660" t="n">
        <v>38.67714</v>
      </c>
      <c r="C660" t="n">
        <v>24.66349</v>
      </c>
      <c r="D660" t="n">
        <v>49.49852</v>
      </c>
      <c r="E660" t="n">
        <v>63.6807</v>
      </c>
      <c r="F660" t="n">
        <v>32.85228</v>
      </c>
      <c r="G660" t="n">
        <v>22.24324</v>
      </c>
      <c r="H660" t="n">
        <v>28.2205</v>
      </c>
      <c r="I660" t="n">
        <v>33.22772</v>
      </c>
      <c r="J660" t="n">
        <v>50.38005</v>
      </c>
      <c r="K660" t="n">
        <v>67.16219</v>
      </c>
      <c r="L660" t="n">
        <v>65.87474</v>
      </c>
      <c r="M660" t="n">
        <v>59.21317</v>
      </c>
      <c r="N660" t="n">
        <v>58.19206</v>
      </c>
      <c r="O660" t="n">
        <v>26.69896</v>
      </c>
      <c r="P660" t="n">
        <v>23.00184</v>
      </c>
      <c r="Q660" t="n">
        <v>37.81456</v>
      </c>
      <c r="R660" t="n">
        <v>45.92104</v>
      </c>
      <c r="S660" t="n">
        <v>84.32778</v>
      </c>
      <c r="T660" t="n">
        <v>46.12765</v>
      </c>
      <c r="U660" t="n">
        <v>30.82542</v>
      </c>
      <c r="V660" t="n">
        <v>55.85548</v>
      </c>
      <c r="W660" t="n">
        <v>48.85994</v>
      </c>
      <c r="X660" t="n">
        <v>52.01191</v>
      </c>
      <c r="Y660" t="n">
        <v>44.01316</v>
      </c>
      <c r="Z660" t="n">
        <v>39.0327</v>
      </c>
      <c r="AA660" t="n">
        <v>14.73688</v>
      </c>
      <c r="AB660" t="n">
        <v>54.96763</v>
      </c>
      <c r="AC660" t="n">
        <v>21.32644</v>
      </c>
      <c r="AD660" t="n">
        <v>55.25068</v>
      </c>
      <c r="AE660" t="n">
        <v>36.77314</v>
      </c>
    </row>
    <row r="661">
      <c r="A661" s="87" t="n">
        <v>38687</v>
      </c>
      <c r="B661" t="n">
        <v>39.01054</v>
      </c>
      <c r="C661" t="n">
        <v>25.03541</v>
      </c>
      <c r="D661" t="n">
        <v>49.65355</v>
      </c>
      <c r="E661" t="n">
        <v>63.68121</v>
      </c>
      <c r="F661" t="n">
        <v>33.40684</v>
      </c>
      <c r="G661" t="n">
        <v>22.54896</v>
      </c>
      <c r="H661" t="n">
        <v>28.51994</v>
      </c>
      <c r="I661" t="n">
        <v>33.95301</v>
      </c>
      <c r="J661" t="n">
        <v>51.03147</v>
      </c>
      <c r="K661" t="n">
        <v>67.83884</v>
      </c>
      <c r="L661" t="n">
        <v>66.63905</v>
      </c>
      <c r="M661" t="n">
        <v>59.92926</v>
      </c>
      <c r="N661" t="n">
        <v>58.91426</v>
      </c>
      <c r="O661" t="n">
        <v>26.84932</v>
      </c>
      <c r="P661" t="n">
        <v>23.29244</v>
      </c>
      <c r="Q661" t="n">
        <v>38.46975</v>
      </c>
      <c r="R661" t="n">
        <v>46.08687</v>
      </c>
      <c r="S661" t="n">
        <v>84.25417</v>
      </c>
      <c r="T661" t="n">
        <v>46.35608</v>
      </c>
      <c r="U661" t="n">
        <v>31.13875</v>
      </c>
      <c r="V661" t="n">
        <v>56.37477</v>
      </c>
      <c r="W661" t="n">
        <v>49.01691</v>
      </c>
      <c r="X661" t="n">
        <v>52.29803</v>
      </c>
      <c r="Y661" t="n">
        <v>44.51694</v>
      </c>
      <c r="Z661" t="n">
        <v>39.10976</v>
      </c>
      <c r="AA661" t="n">
        <v>15.03363</v>
      </c>
      <c r="AB661" t="n">
        <v>55.21341</v>
      </c>
      <c r="AC661" t="n">
        <v>21.79631</v>
      </c>
      <c r="AD661" t="n">
        <v>55.47401</v>
      </c>
      <c r="AE661" t="n">
        <v>37.60492</v>
      </c>
    </row>
    <row r="662">
      <c r="A662" s="87" t="n">
        <v>38718</v>
      </c>
      <c r="B662" t="n">
        <v>39.45321</v>
      </c>
      <c r="C662" t="n">
        <v>25.48129</v>
      </c>
      <c r="D662" t="n">
        <v>49.9126</v>
      </c>
      <c r="E662" t="n">
        <v>63.21811</v>
      </c>
      <c r="F662" t="n">
        <v>33.73067</v>
      </c>
      <c r="G662" t="n">
        <v>22.8051</v>
      </c>
      <c r="H662" t="n">
        <v>28.55857</v>
      </c>
      <c r="I662" t="n">
        <v>34.36264</v>
      </c>
      <c r="J662" t="n">
        <v>51.51576</v>
      </c>
      <c r="K662" t="n">
        <v>69.85614</v>
      </c>
      <c r="L662" t="n">
        <v>67.20077000000001</v>
      </c>
      <c r="M662" t="n">
        <v>60.39943</v>
      </c>
      <c r="N662" t="n">
        <v>59.78757</v>
      </c>
      <c r="O662" t="n">
        <v>27.19197</v>
      </c>
      <c r="P662" t="n">
        <v>23.46516</v>
      </c>
      <c r="Q662" t="n">
        <v>39.08581</v>
      </c>
      <c r="R662" t="n">
        <v>45.78263</v>
      </c>
      <c r="S662" t="n">
        <v>84.17236</v>
      </c>
      <c r="T662" t="n">
        <v>46.63291</v>
      </c>
      <c r="U662" t="n">
        <v>31.4246</v>
      </c>
      <c r="V662" t="n">
        <v>56.484</v>
      </c>
      <c r="W662" t="n">
        <v>49.34933</v>
      </c>
      <c r="X662" t="n">
        <v>52.60569</v>
      </c>
      <c r="Y662" t="n">
        <v>44.89912</v>
      </c>
      <c r="Z662" t="n">
        <v>39.11385</v>
      </c>
      <c r="AA662" t="n">
        <v>15.37636</v>
      </c>
      <c r="AB662" t="n">
        <v>56.2474</v>
      </c>
      <c r="AC662" t="n">
        <v>22.00918</v>
      </c>
      <c r="AD662" t="n">
        <v>55.82602</v>
      </c>
      <c r="AE662" t="n">
        <v>38.94925</v>
      </c>
    </row>
    <row r="663">
      <c r="A663" s="87" t="n">
        <v>38749</v>
      </c>
      <c r="B663" t="n">
        <v>39.76979</v>
      </c>
      <c r="C663" t="n">
        <v>26.00219</v>
      </c>
      <c r="D663" t="n">
        <v>50.54343</v>
      </c>
      <c r="E663" t="n">
        <v>63.13017</v>
      </c>
      <c r="F663" t="n">
        <v>33.89923</v>
      </c>
      <c r="G663" t="n">
        <v>23.01066</v>
      </c>
      <c r="H663" t="n">
        <v>28.83819</v>
      </c>
      <c r="I663" t="n">
        <v>34.69551</v>
      </c>
      <c r="J663" t="n">
        <v>52.03088</v>
      </c>
      <c r="K663" t="n">
        <v>69.99196999999999</v>
      </c>
      <c r="L663" t="n">
        <v>67.30381</v>
      </c>
      <c r="M663" t="n">
        <v>60.78799</v>
      </c>
      <c r="N663" t="n">
        <v>60.88858</v>
      </c>
      <c r="O663" t="n">
        <v>27.56912</v>
      </c>
      <c r="P663" t="n">
        <v>23.62107</v>
      </c>
      <c r="Q663" t="n">
        <v>39.6841</v>
      </c>
      <c r="R663" t="n">
        <v>45.84072</v>
      </c>
      <c r="S663" t="n">
        <v>84.09056</v>
      </c>
      <c r="T663" t="n">
        <v>46.95507</v>
      </c>
      <c r="U663" t="n">
        <v>31.93121</v>
      </c>
      <c r="V663" t="n">
        <v>56.78859</v>
      </c>
      <c r="W663" t="n">
        <v>49.58443</v>
      </c>
      <c r="X663" t="n">
        <v>52.87519</v>
      </c>
      <c r="Y663" t="n">
        <v>45.25011</v>
      </c>
      <c r="Z663" t="n">
        <v>39.38215</v>
      </c>
      <c r="AA663" t="n">
        <v>15.71362</v>
      </c>
      <c r="AB663" t="n">
        <v>56.631</v>
      </c>
      <c r="AC663" t="n">
        <v>22.30262</v>
      </c>
      <c r="AD663" t="n">
        <v>56.02776</v>
      </c>
      <c r="AE663" t="n">
        <v>40.33771</v>
      </c>
    </row>
    <row r="664">
      <c r="A664" s="87" t="n">
        <v>38777</v>
      </c>
      <c r="B664" t="n">
        <v>40.16203</v>
      </c>
      <c r="C664" t="n">
        <v>26.40434</v>
      </c>
      <c r="D664" t="n">
        <v>51.14703</v>
      </c>
      <c r="E664" t="n">
        <v>63.40379</v>
      </c>
      <c r="F664" t="n">
        <v>34.2463</v>
      </c>
      <c r="G664" t="n">
        <v>23.24656</v>
      </c>
      <c r="H664" t="n">
        <v>28.85622</v>
      </c>
      <c r="I664" t="n">
        <v>35.54002</v>
      </c>
      <c r="J664" t="n">
        <v>52.26886</v>
      </c>
      <c r="K664" t="n">
        <v>69.59193</v>
      </c>
      <c r="L664" t="n">
        <v>67.73877</v>
      </c>
      <c r="M664" t="n">
        <v>62.09521</v>
      </c>
      <c r="N664" t="n">
        <v>62.8288</v>
      </c>
      <c r="O664" t="n">
        <v>27.86011</v>
      </c>
      <c r="P664" t="n">
        <v>24.33838</v>
      </c>
      <c r="Q664" t="n">
        <v>40.24675</v>
      </c>
      <c r="R664" t="n">
        <v>46.66513</v>
      </c>
      <c r="S664" t="n">
        <v>84.06601999999999</v>
      </c>
      <c r="T664" t="n">
        <v>47.19645</v>
      </c>
      <c r="U664" t="n">
        <v>32.95387</v>
      </c>
      <c r="V664" t="n">
        <v>57.41615</v>
      </c>
      <c r="W664" t="n">
        <v>49.84689</v>
      </c>
      <c r="X664" t="n">
        <v>53.25829</v>
      </c>
      <c r="Y664" t="n">
        <v>46.04272</v>
      </c>
      <c r="Z664" t="n">
        <v>39.84482</v>
      </c>
      <c r="AA664" t="n">
        <v>15.96418</v>
      </c>
      <c r="AB664" t="n">
        <v>57.35555</v>
      </c>
      <c r="AC664" t="n">
        <v>22.95119</v>
      </c>
      <c r="AD664" t="n">
        <v>56.14648</v>
      </c>
      <c r="AE664" t="n">
        <v>41.67496</v>
      </c>
    </row>
    <row r="665">
      <c r="A665" s="87" t="n">
        <v>38808</v>
      </c>
      <c r="B665" t="n">
        <v>40.85685</v>
      </c>
      <c r="C665" t="n">
        <v>26.72375</v>
      </c>
      <c r="D665" t="n">
        <v>51.09885</v>
      </c>
      <c r="E665" t="n">
        <v>63.73781</v>
      </c>
      <c r="F665" t="n">
        <v>34.52607</v>
      </c>
      <c r="G665" t="n">
        <v>23.55835</v>
      </c>
      <c r="H665" t="n">
        <v>29.40707</v>
      </c>
      <c r="I665" t="n">
        <v>36.28616</v>
      </c>
      <c r="J665" t="n">
        <v>53.00813</v>
      </c>
      <c r="K665" t="n">
        <v>70.49579</v>
      </c>
      <c r="L665" t="n">
        <v>68.62699000000001</v>
      </c>
      <c r="M665" t="n">
        <v>62.95481</v>
      </c>
      <c r="N665" t="n">
        <v>63.92651</v>
      </c>
      <c r="O665" t="n">
        <v>27.95644</v>
      </c>
      <c r="P665" t="n">
        <v>25.00314</v>
      </c>
      <c r="Q665" t="n">
        <v>40.80737</v>
      </c>
      <c r="R665" t="n">
        <v>47.24657</v>
      </c>
      <c r="S665" t="n">
        <v>84.06601999999999</v>
      </c>
      <c r="T665" t="n">
        <v>47.41754</v>
      </c>
      <c r="U665" t="n">
        <v>34.09891</v>
      </c>
      <c r="V665" t="n">
        <v>58.02592</v>
      </c>
      <c r="W665" t="n">
        <v>50.35183</v>
      </c>
      <c r="X665" t="n">
        <v>53.70679</v>
      </c>
      <c r="Y665" t="n">
        <v>46.72707</v>
      </c>
      <c r="Z665" t="n">
        <v>40.2368</v>
      </c>
      <c r="AA665" t="n">
        <v>16.34115</v>
      </c>
      <c r="AB665" t="n">
        <v>58.52439</v>
      </c>
      <c r="AC665" t="n">
        <v>23.47533</v>
      </c>
      <c r="AD665" t="n">
        <v>56.45532</v>
      </c>
      <c r="AE665" t="n">
        <v>42.27646</v>
      </c>
    </row>
    <row r="666">
      <c r="A666" s="87" t="n">
        <v>38838</v>
      </c>
      <c r="B666" t="n">
        <v>41.36675</v>
      </c>
      <c r="C666" t="n">
        <v>27.12502</v>
      </c>
      <c r="D666" t="n">
        <v>51.48289</v>
      </c>
      <c r="E666" t="n">
        <v>63.78238</v>
      </c>
      <c r="F666" t="n">
        <v>34.74778</v>
      </c>
      <c r="G666" t="n">
        <v>23.87524</v>
      </c>
      <c r="H666" t="n">
        <v>30.19645</v>
      </c>
      <c r="I666" t="n">
        <v>36.59233</v>
      </c>
      <c r="J666" t="n">
        <v>53.80474</v>
      </c>
      <c r="K666" t="n">
        <v>70.68153</v>
      </c>
      <c r="L666" t="n">
        <v>69.3781</v>
      </c>
      <c r="M666" t="n">
        <v>62.97159</v>
      </c>
      <c r="N666" t="n">
        <v>63.54651</v>
      </c>
      <c r="O666" t="n">
        <v>28.43944</v>
      </c>
      <c r="P666" t="n">
        <v>25.23626</v>
      </c>
      <c r="Q666" t="n">
        <v>41.33091</v>
      </c>
      <c r="R666" t="n">
        <v>47.53371</v>
      </c>
      <c r="S666" t="n">
        <v>83.90242000000001</v>
      </c>
      <c r="T666" t="n">
        <v>47.84118</v>
      </c>
      <c r="U666" t="n">
        <v>34.68013</v>
      </c>
      <c r="V666" t="n">
        <v>58.56925</v>
      </c>
      <c r="W666" t="n">
        <v>50.90573</v>
      </c>
      <c r="X666" t="n">
        <v>54.00379</v>
      </c>
      <c r="Y666" t="n">
        <v>47.42471</v>
      </c>
      <c r="Z666" t="n">
        <v>40.86657</v>
      </c>
      <c r="AA666" t="n">
        <v>16.80084</v>
      </c>
      <c r="AB666" t="n">
        <v>59.33286</v>
      </c>
      <c r="AC666" t="n">
        <v>24.80253</v>
      </c>
      <c r="AD666" t="n">
        <v>56.51178</v>
      </c>
      <c r="AE666" t="n">
        <v>42.60885</v>
      </c>
    </row>
    <row r="667">
      <c r="A667" s="87" t="n">
        <v>38869</v>
      </c>
      <c r="B667" t="n">
        <v>41.64972</v>
      </c>
      <c r="C667" t="n">
        <v>27.47001</v>
      </c>
      <c r="D667" t="n">
        <v>51.82842</v>
      </c>
      <c r="E667" t="n">
        <v>63.64396</v>
      </c>
      <c r="F667" t="n">
        <v>34.99657</v>
      </c>
      <c r="G667" t="n">
        <v>24.16905</v>
      </c>
      <c r="H667" t="n">
        <v>30.60704</v>
      </c>
      <c r="I667" t="n">
        <v>37.03194</v>
      </c>
      <c r="J667" t="n">
        <v>54.12254</v>
      </c>
      <c r="K667" t="n">
        <v>70.89784</v>
      </c>
      <c r="L667" t="n">
        <v>69.69190999999999</v>
      </c>
      <c r="M667" t="n">
        <v>63.34918</v>
      </c>
      <c r="N667" t="n">
        <v>64.6497</v>
      </c>
      <c r="O667" t="n">
        <v>28.94695</v>
      </c>
      <c r="P667" t="n">
        <v>25.46471</v>
      </c>
      <c r="Q667" t="n">
        <v>41.79917</v>
      </c>
      <c r="R667" t="n">
        <v>47.82723</v>
      </c>
      <c r="S667" t="n">
        <v>83.76336000000001</v>
      </c>
      <c r="T667" t="n">
        <v>48.36247</v>
      </c>
      <c r="U667" t="n">
        <v>34.99825</v>
      </c>
      <c r="V667" t="n">
        <v>59.51934</v>
      </c>
      <c r="W667" t="n">
        <v>51.4488</v>
      </c>
      <c r="X667" t="n">
        <v>54.40513</v>
      </c>
      <c r="Y667" t="n">
        <v>48.23777</v>
      </c>
      <c r="Z667" t="n">
        <v>41.54684</v>
      </c>
      <c r="AA667" t="n">
        <v>17.35094</v>
      </c>
      <c r="AB667" t="n">
        <v>60.55233</v>
      </c>
      <c r="AC667" t="n">
        <v>25.97089</v>
      </c>
      <c r="AD667" t="n">
        <v>56.82726</v>
      </c>
      <c r="AE667" t="n">
        <v>43.13977</v>
      </c>
    </row>
    <row r="668">
      <c r="A668" s="87" t="n">
        <v>38899</v>
      </c>
      <c r="B668" t="n">
        <v>42.00554</v>
      </c>
      <c r="C668" t="n">
        <v>27.66851</v>
      </c>
      <c r="D668" t="n">
        <v>52.1741</v>
      </c>
      <c r="E668" t="n">
        <v>64.05083</v>
      </c>
      <c r="F668" t="n">
        <v>35.15538</v>
      </c>
      <c r="G668" t="n">
        <v>24.42949</v>
      </c>
      <c r="H668" t="n">
        <v>31.3041</v>
      </c>
      <c r="I668" t="n">
        <v>37.62804</v>
      </c>
      <c r="J668" t="n">
        <v>54.62064</v>
      </c>
      <c r="K668" t="n">
        <v>70.69986</v>
      </c>
      <c r="L668" t="n">
        <v>69.90903</v>
      </c>
      <c r="M668" t="n">
        <v>64.09027</v>
      </c>
      <c r="N668" t="n">
        <v>65.94304</v>
      </c>
      <c r="O668" t="n">
        <v>28.99599</v>
      </c>
      <c r="P668" t="n">
        <v>25.83794</v>
      </c>
      <c r="Q668" t="n">
        <v>42.30915</v>
      </c>
      <c r="R668" t="n">
        <v>48.16692</v>
      </c>
      <c r="S668" t="n">
        <v>83.59157999999999</v>
      </c>
      <c r="T668" t="n">
        <v>48.79758</v>
      </c>
      <c r="U668" t="n">
        <v>34.98788</v>
      </c>
      <c r="V668" t="n">
        <v>60.23525</v>
      </c>
      <c r="W668" t="n">
        <v>52.07419</v>
      </c>
      <c r="X668" t="n">
        <v>54.68547</v>
      </c>
      <c r="Y668" t="n">
        <v>48.57015</v>
      </c>
      <c r="Z668" t="n">
        <v>42.04191</v>
      </c>
      <c r="AA668" t="n">
        <v>18.00585</v>
      </c>
      <c r="AB668" t="n">
        <v>61.83969</v>
      </c>
      <c r="AC668" t="n">
        <v>25.64908</v>
      </c>
      <c r="AD668" t="n">
        <v>57.17097</v>
      </c>
      <c r="AE668" t="n">
        <v>43.42159</v>
      </c>
    </row>
    <row r="669">
      <c r="A669" s="87" t="n">
        <v>38930</v>
      </c>
      <c r="B669" t="n">
        <v>42.42579</v>
      </c>
      <c r="C669" t="n">
        <v>27.86411</v>
      </c>
      <c r="D669" t="n">
        <v>52.56512</v>
      </c>
      <c r="E669" t="n">
        <v>64.54541999999999</v>
      </c>
      <c r="F669" t="n">
        <v>35.47283</v>
      </c>
      <c r="G669" t="n">
        <v>24.73848</v>
      </c>
      <c r="H669" t="n">
        <v>31.90459</v>
      </c>
      <c r="I669" t="n">
        <v>38.41804</v>
      </c>
      <c r="J669" t="n">
        <v>55.3434</v>
      </c>
      <c r="K669" t="n">
        <v>71.67758000000001</v>
      </c>
      <c r="L669" t="n">
        <v>70.06609</v>
      </c>
      <c r="M669" t="n">
        <v>64.67100000000001</v>
      </c>
      <c r="N669" t="n">
        <v>66.09772</v>
      </c>
      <c r="O669" t="n">
        <v>29.22624</v>
      </c>
      <c r="P669" t="n">
        <v>26.39097</v>
      </c>
      <c r="Q669" t="n">
        <v>42.84776</v>
      </c>
      <c r="R669" t="n">
        <v>48.80985</v>
      </c>
      <c r="S669" t="n">
        <v>83.64066</v>
      </c>
      <c r="T669" t="n">
        <v>49.21878</v>
      </c>
      <c r="U669" t="n">
        <v>34.77387</v>
      </c>
      <c r="V669" t="n">
        <v>60.5854</v>
      </c>
      <c r="W669" t="n">
        <v>52.71755</v>
      </c>
      <c r="X669" t="n">
        <v>54.90805</v>
      </c>
      <c r="Y669" t="n">
        <v>48.78053</v>
      </c>
      <c r="Z669" t="n">
        <v>42.4836</v>
      </c>
      <c r="AA669" t="n">
        <v>18.59041</v>
      </c>
      <c r="AB669" t="n">
        <v>62.5967</v>
      </c>
      <c r="AC669" t="n">
        <v>25.31731</v>
      </c>
      <c r="AD669" t="n">
        <v>57.42667</v>
      </c>
      <c r="AE669" t="n">
        <v>43.56567</v>
      </c>
    </row>
    <row r="670">
      <c r="A670" s="87" t="n">
        <v>38961</v>
      </c>
      <c r="B670" t="n">
        <v>42.82923</v>
      </c>
      <c r="C670" t="n">
        <v>28.1286</v>
      </c>
      <c r="D670" t="n">
        <v>53.17843</v>
      </c>
      <c r="E670" t="n">
        <v>64.62506999999999</v>
      </c>
      <c r="F670" t="n">
        <v>36.16491</v>
      </c>
      <c r="G670" t="n">
        <v>25.05982</v>
      </c>
      <c r="H670" t="n">
        <v>32.01347</v>
      </c>
      <c r="I670" t="n">
        <v>39.43565</v>
      </c>
      <c r="J670" t="n">
        <v>55.63648</v>
      </c>
      <c r="K670" t="n">
        <v>73.30616000000001</v>
      </c>
      <c r="L670" t="n">
        <v>70.66681</v>
      </c>
      <c r="M670" t="n">
        <v>65.57205999999999</v>
      </c>
      <c r="N670" t="n">
        <v>66.30746000000001</v>
      </c>
      <c r="O670" t="n">
        <v>29.57489</v>
      </c>
      <c r="P670" t="n">
        <v>26.89985</v>
      </c>
      <c r="Q670" t="n">
        <v>43.38371</v>
      </c>
      <c r="R670" t="n">
        <v>49.43126</v>
      </c>
      <c r="S670" t="n">
        <v>83.76336000000001</v>
      </c>
      <c r="T670" t="n">
        <v>49.75171</v>
      </c>
      <c r="U670" t="n">
        <v>35.02473</v>
      </c>
      <c r="V670" t="n">
        <v>61.32104</v>
      </c>
      <c r="W670" t="n">
        <v>53.09537</v>
      </c>
      <c r="X670" t="n">
        <v>55.25074</v>
      </c>
      <c r="Y670" t="n">
        <v>49.34215</v>
      </c>
      <c r="Z670" t="n">
        <v>43.12127</v>
      </c>
      <c r="AA670" t="n">
        <v>19.10062</v>
      </c>
      <c r="AB670" t="n">
        <v>63.12055</v>
      </c>
      <c r="AC670" t="n">
        <v>25.60769</v>
      </c>
      <c r="AD670" t="n">
        <v>57.65166</v>
      </c>
      <c r="AE670" t="n">
        <v>44.14303</v>
      </c>
    </row>
    <row r="671">
      <c r="A671" s="87" t="n">
        <v>38991</v>
      </c>
      <c r="B671" t="n">
        <v>43.25788</v>
      </c>
      <c r="C671" t="n">
        <v>28.50843</v>
      </c>
      <c r="D671" t="n">
        <v>53.51119</v>
      </c>
      <c r="E671" t="n">
        <v>64.85473</v>
      </c>
      <c r="F671" t="n">
        <v>36.53931</v>
      </c>
      <c r="G671" t="n">
        <v>25.39048</v>
      </c>
      <c r="H671" t="n">
        <v>32.18131</v>
      </c>
      <c r="I671" t="n">
        <v>40.38132</v>
      </c>
      <c r="J671" t="n">
        <v>56.0471</v>
      </c>
      <c r="K671" t="n">
        <v>74.31347</v>
      </c>
      <c r="L671" t="n">
        <v>71.26898</v>
      </c>
      <c r="M671" t="n">
        <v>66.58880000000001</v>
      </c>
      <c r="N671" t="n">
        <v>66.35773</v>
      </c>
      <c r="O671" t="n">
        <v>30.05068</v>
      </c>
      <c r="P671" t="n">
        <v>27.16799</v>
      </c>
      <c r="Q671" t="n">
        <v>44.0172</v>
      </c>
      <c r="R671" t="n">
        <v>49.88955</v>
      </c>
      <c r="S671" t="n">
        <v>83.71428</v>
      </c>
      <c r="T671" t="n">
        <v>50.1956</v>
      </c>
      <c r="U671" t="n">
        <v>35.02005</v>
      </c>
      <c r="V671" t="n">
        <v>61.93491</v>
      </c>
      <c r="W671" t="n">
        <v>53.25428</v>
      </c>
      <c r="X671" t="n">
        <v>55.62275</v>
      </c>
      <c r="Y671" t="n">
        <v>49.9445</v>
      </c>
      <c r="Z671" t="n">
        <v>43.80297</v>
      </c>
      <c r="AA671" t="n">
        <v>19.71669</v>
      </c>
      <c r="AB671" t="n">
        <v>63.23695</v>
      </c>
      <c r="AC671" t="n">
        <v>25.93095</v>
      </c>
      <c r="AD671" t="n">
        <v>58.0593</v>
      </c>
      <c r="AE671" t="n">
        <v>45.04009</v>
      </c>
    </row>
    <row r="672">
      <c r="A672" s="87" t="n">
        <v>39022</v>
      </c>
      <c r="B672" t="n">
        <v>43.65852</v>
      </c>
      <c r="C672" t="n">
        <v>28.99385</v>
      </c>
      <c r="D672" t="n">
        <v>53.93261</v>
      </c>
      <c r="E672" t="n">
        <v>64.95099999999999</v>
      </c>
      <c r="F672" t="n">
        <v>36.63592</v>
      </c>
      <c r="G672" t="n">
        <v>25.75198</v>
      </c>
      <c r="H672" t="n">
        <v>32.87679</v>
      </c>
      <c r="I672" t="n">
        <v>41.33185</v>
      </c>
      <c r="J672" t="n">
        <v>56.87092</v>
      </c>
      <c r="K672" t="n">
        <v>75.09054999999999</v>
      </c>
      <c r="L672" t="n">
        <v>71.66408</v>
      </c>
      <c r="M672" t="n">
        <v>67.15264999999999</v>
      </c>
      <c r="N672" t="n">
        <v>66.58562000000001</v>
      </c>
      <c r="O672" t="n">
        <v>30.50355</v>
      </c>
      <c r="P672" t="n">
        <v>27.4556</v>
      </c>
      <c r="Q672" t="n">
        <v>44.85639</v>
      </c>
      <c r="R672" t="n">
        <v>50.37486</v>
      </c>
      <c r="S672" t="n">
        <v>83.77972</v>
      </c>
      <c r="T672" t="n">
        <v>50.5481</v>
      </c>
      <c r="U672" t="n">
        <v>35.20051</v>
      </c>
      <c r="V672" t="n">
        <v>62.53189</v>
      </c>
      <c r="W672" t="n">
        <v>54.01063</v>
      </c>
      <c r="X672" t="n">
        <v>55.94409</v>
      </c>
      <c r="Y672" t="n">
        <v>50.37663</v>
      </c>
      <c r="Z672" t="n">
        <v>44.4305</v>
      </c>
      <c r="AA672" t="n">
        <v>20.38812</v>
      </c>
      <c r="AB672" t="n">
        <v>63.32087</v>
      </c>
      <c r="AC672" t="n">
        <v>26.16482</v>
      </c>
      <c r="AD672" t="n">
        <v>58.3507</v>
      </c>
      <c r="AE672" t="n">
        <v>45.94409</v>
      </c>
    </row>
    <row r="673">
      <c r="A673" s="87" t="n">
        <v>39052</v>
      </c>
      <c r="B673" t="n">
        <v>44.07317</v>
      </c>
      <c r="C673" t="n">
        <v>29.38512</v>
      </c>
      <c r="D673" t="n">
        <v>54.53502</v>
      </c>
      <c r="E673" t="n">
        <v>65.02668</v>
      </c>
      <c r="F673" t="n">
        <v>37.06504</v>
      </c>
      <c r="G673" t="n">
        <v>26.11119</v>
      </c>
      <c r="H673" t="n">
        <v>33.29499</v>
      </c>
      <c r="I673" t="n">
        <v>42.01118</v>
      </c>
      <c r="J673" t="n">
        <v>57.66341</v>
      </c>
      <c r="K673" t="n">
        <v>74.95573</v>
      </c>
      <c r="L673" t="n">
        <v>72.76392</v>
      </c>
      <c r="M673" t="n">
        <v>67.85827999999999</v>
      </c>
      <c r="N673" t="n">
        <v>67.14771</v>
      </c>
      <c r="O673" t="n">
        <v>30.81024</v>
      </c>
      <c r="P673" t="n">
        <v>27.88753</v>
      </c>
      <c r="Q673" t="n">
        <v>45.8675</v>
      </c>
      <c r="R673" t="n">
        <v>51.05618</v>
      </c>
      <c r="S673" t="n">
        <v>83.80426</v>
      </c>
      <c r="T673" t="n">
        <v>51.05955</v>
      </c>
      <c r="U673" t="n">
        <v>35.96661</v>
      </c>
      <c r="V673" t="n">
        <v>63.53942</v>
      </c>
      <c r="W673" t="n">
        <v>54.55961</v>
      </c>
      <c r="X673" t="n">
        <v>56.39665</v>
      </c>
      <c r="Y673" t="n">
        <v>50.98298</v>
      </c>
      <c r="Z673" t="n">
        <v>45.07062</v>
      </c>
      <c r="AA673" t="n">
        <v>20.92935</v>
      </c>
      <c r="AB673" t="n">
        <v>63.89422</v>
      </c>
      <c r="AC673" t="n">
        <v>26.64478</v>
      </c>
      <c r="AD673" t="n">
        <v>58.70935</v>
      </c>
      <c r="AE673" t="n">
        <v>46.72229</v>
      </c>
    </row>
    <row r="674">
      <c r="A674" s="87" t="n">
        <v>39083</v>
      </c>
      <c r="B674" t="n">
        <v>44.52144</v>
      </c>
      <c r="C674" t="n">
        <v>29.81321</v>
      </c>
      <c r="D674" t="n">
        <v>54.89435</v>
      </c>
      <c r="E674" t="n">
        <v>65.32177</v>
      </c>
      <c r="F674" t="n">
        <v>37.64894</v>
      </c>
      <c r="G674" t="n">
        <v>26.43659</v>
      </c>
      <c r="H674" t="n">
        <v>33.24538</v>
      </c>
      <c r="I674" t="n">
        <v>42.5048</v>
      </c>
      <c r="J674" t="n">
        <v>58.57141</v>
      </c>
      <c r="K674" t="n">
        <v>75.07053999999999</v>
      </c>
      <c r="L674" t="n">
        <v>73.68704</v>
      </c>
      <c r="M674" t="n">
        <v>68.49607</v>
      </c>
      <c r="N674" t="n">
        <v>67.64523</v>
      </c>
      <c r="O674" t="n">
        <v>31.17442</v>
      </c>
      <c r="P674" t="n">
        <v>28.2892</v>
      </c>
      <c r="Q674" t="n">
        <v>47.02999</v>
      </c>
      <c r="R674" t="n">
        <v>51.70676</v>
      </c>
      <c r="S674" t="n">
        <v>83.8288</v>
      </c>
      <c r="T674" t="n">
        <v>51.51984</v>
      </c>
      <c r="U674" t="n">
        <v>36.14719</v>
      </c>
      <c r="V674" t="n">
        <v>64.40199</v>
      </c>
      <c r="W674" t="n">
        <v>54.86212</v>
      </c>
      <c r="X674" t="n">
        <v>56.76891</v>
      </c>
      <c r="Y674" t="n">
        <v>51.65726</v>
      </c>
      <c r="Z674" t="n">
        <v>45.93355</v>
      </c>
      <c r="AA674" t="n">
        <v>21.51535</v>
      </c>
      <c r="AB674" t="n">
        <v>65.05459999999999</v>
      </c>
      <c r="AC674" t="n">
        <v>27.17323</v>
      </c>
      <c r="AD674" t="n">
        <v>59.02483</v>
      </c>
      <c r="AE674" t="n">
        <v>47.55091</v>
      </c>
    </row>
    <row r="675">
      <c r="A675" s="87" t="n">
        <v>39114</v>
      </c>
      <c r="B675" t="n">
        <v>45.16022</v>
      </c>
      <c r="C675" t="n">
        <v>30.29605</v>
      </c>
      <c r="D675" t="n">
        <v>55.23326</v>
      </c>
      <c r="E675" t="n">
        <v>65.50883</v>
      </c>
      <c r="F675" t="n">
        <v>38.18285</v>
      </c>
      <c r="G675" t="n">
        <v>26.87182</v>
      </c>
      <c r="H675" t="n">
        <v>33.69439</v>
      </c>
      <c r="I675" t="n">
        <v>43.26593</v>
      </c>
      <c r="J675" t="n">
        <v>59.30701</v>
      </c>
      <c r="K675" t="n">
        <v>76.10602</v>
      </c>
      <c r="L675" t="n">
        <v>73.94446000000001</v>
      </c>
      <c r="M675" t="n">
        <v>68.98605000000001</v>
      </c>
      <c r="N675" t="n">
        <v>67.98898</v>
      </c>
      <c r="O675" t="n">
        <v>31.5383</v>
      </c>
      <c r="P675" t="n">
        <v>28.77255</v>
      </c>
      <c r="Q675" t="n">
        <v>48.37229</v>
      </c>
      <c r="R675" t="n">
        <v>52.18546</v>
      </c>
      <c r="S675" t="n">
        <v>83.81244</v>
      </c>
      <c r="T675" t="n">
        <v>51.74482</v>
      </c>
      <c r="U675" t="n">
        <v>36.06145</v>
      </c>
      <c r="V675" t="n">
        <v>65.21198</v>
      </c>
      <c r="W675" t="n">
        <v>55.56318</v>
      </c>
      <c r="X675" t="n">
        <v>57.00378</v>
      </c>
      <c r="Y675" t="n">
        <v>52.20593</v>
      </c>
      <c r="Z675" t="n">
        <v>46.63795</v>
      </c>
      <c r="AA675" t="n">
        <v>22.04898</v>
      </c>
      <c r="AB675" t="n">
        <v>66.16</v>
      </c>
      <c r="AC675" t="n">
        <v>27.58206</v>
      </c>
      <c r="AD675" t="n">
        <v>59.15517</v>
      </c>
      <c r="AE675" t="n">
        <v>49.23785</v>
      </c>
    </row>
    <row r="676">
      <c r="A676" s="87" t="n">
        <v>39142</v>
      </c>
      <c r="B676" t="n">
        <v>45.9615</v>
      </c>
      <c r="C676" t="n">
        <v>30.54947</v>
      </c>
      <c r="D676" t="n">
        <v>55.92814</v>
      </c>
      <c r="E676" t="n">
        <v>65.43653999999999</v>
      </c>
      <c r="F676" t="n">
        <v>38.67466</v>
      </c>
      <c r="G676" t="n">
        <v>27.28619</v>
      </c>
      <c r="H676" t="n">
        <v>34.97326</v>
      </c>
      <c r="I676" t="n">
        <v>44.30941</v>
      </c>
      <c r="J676" t="n">
        <v>59.77803</v>
      </c>
      <c r="K676" t="n">
        <v>76.98506</v>
      </c>
      <c r="L676" t="n">
        <v>74.83857999999999</v>
      </c>
      <c r="M676" t="n">
        <v>69.83998</v>
      </c>
      <c r="N676" t="n">
        <v>68.30215</v>
      </c>
      <c r="O676" t="n">
        <v>31.92796</v>
      </c>
      <c r="P676" t="n">
        <v>29.65061</v>
      </c>
      <c r="Q676" t="n">
        <v>49.96592</v>
      </c>
      <c r="R676" t="n">
        <v>52.50608</v>
      </c>
      <c r="S676" t="n">
        <v>83.86971</v>
      </c>
      <c r="T676" t="n">
        <v>52.04313</v>
      </c>
      <c r="U676" t="n">
        <v>36.56516</v>
      </c>
      <c r="V676" t="n">
        <v>66.67928000000001</v>
      </c>
      <c r="W676" t="n">
        <v>56.12113</v>
      </c>
      <c r="X676" t="n">
        <v>57.40666</v>
      </c>
      <c r="Y676" t="n">
        <v>52.75956</v>
      </c>
      <c r="Z676" t="n">
        <v>46.97087</v>
      </c>
      <c r="AA676" t="n">
        <v>22.54856</v>
      </c>
      <c r="AB676" t="n">
        <v>66.90176</v>
      </c>
      <c r="AC676" t="n">
        <v>27.86996</v>
      </c>
      <c r="AD676" t="n">
        <v>59.43579</v>
      </c>
      <c r="AE676" t="n">
        <v>50.59858</v>
      </c>
    </row>
    <row r="677">
      <c r="A677" s="87" t="n">
        <v>39173</v>
      </c>
      <c r="B677" t="n">
        <v>46.6283</v>
      </c>
      <c r="C677" t="n">
        <v>31.03602</v>
      </c>
      <c r="D677" t="n">
        <v>56.26189</v>
      </c>
      <c r="E677" t="n">
        <v>65.35608999999999</v>
      </c>
      <c r="F677" t="n">
        <v>39.03443</v>
      </c>
      <c r="G677" t="n">
        <v>27.57543</v>
      </c>
      <c r="H677" t="n">
        <v>36.00272</v>
      </c>
      <c r="I677" t="n">
        <v>44.945</v>
      </c>
      <c r="J677" t="n">
        <v>60.85343</v>
      </c>
      <c r="K677" t="n">
        <v>77.72239999999999</v>
      </c>
      <c r="L677" t="n">
        <v>75.87624</v>
      </c>
      <c r="M677" t="n">
        <v>70.67756</v>
      </c>
      <c r="N677" t="n">
        <v>68.56596999999999</v>
      </c>
      <c r="O677" t="n">
        <v>32.26581</v>
      </c>
      <c r="P677" t="n">
        <v>30.16648</v>
      </c>
      <c r="Q677" t="n">
        <v>51.80834</v>
      </c>
      <c r="R677" t="n">
        <v>52.80567</v>
      </c>
      <c r="S677" t="n">
        <v>83.91879</v>
      </c>
      <c r="T677" t="n">
        <v>52.38091</v>
      </c>
      <c r="U677" t="n">
        <v>36.67766</v>
      </c>
      <c r="V677" t="n">
        <v>67.27422</v>
      </c>
      <c r="W677" t="n">
        <v>56.93914</v>
      </c>
      <c r="X677" t="n">
        <v>57.89148</v>
      </c>
      <c r="Y677" t="n">
        <v>53.30933</v>
      </c>
      <c r="Z677" t="n">
        <v>47.43393</v>
      </c>
      <c r="AA677" t="n">
        <v>23.64905</v>
      </c>
      <c r="AB677" t="n">
        <v>67.52734</v>
      </c>
      <c r="AC677" t="n">
        <v>28.21742</v>
      </c>
      <c r="AD677" t="n">
        <v>60.0352</v>
      </c>
      <c r="AE677" t="n">
        <v>51.20173</v>
      </c>
    </row>
    <row r="678">
      <c r="A678" s="87" t="n">
        <v>39203</v>
      </c>
      <c r="B678" t="n">
        <v>47.19704</v>
      </c>
      <c r="C678" t="n">
        <v>31.62911</v>
      </c>
      <c r="D678" t="n">
        <v>56.75015</v>
      </c>
      <c r="E678" t="n">
        <v>65.42033000000001</v>
      </c>
      <c r="F678" t="n">
        <v>39.42802</v>
      </c>
      <c r="G678" t="n">
        <v>27.89254</v>
      </c>
      <c r="H678" t="n">
        <v>36.54701</v>
      </c>
      <c r="I678" t="n">
        <v>45.13114</v>
      </c>
      <c r="J678" t="n">
        <v>62.24747</v>
      </c>
      <c r="K678" t="n">
        <v>77.86527</v>
      </c>
      <c r="L678" t="n">
        <v>76.59356</v>
      </c>
      <c r="M678" t="n">
        <v>71.80002</v>
      </c>
      <c r="N678" t="n">
        <v>68.94141999999999</v>
      </c>
      <c r="O678" t="n">
        <v>32.47444</v>
      </c>
      <c r="P678" t="n">
        <v>30.2391</v>
      </c>
      <c r="Q678" t="n">
        <v>53.67901</v>
      </c>
      <c r="R678" t="n">
        <v>53.12083</v>
      </c>
      <c r="S678" t="n">
        <v>83.93514</v>
      </c>
      <c r="T678" t="n">
        <v>52.78371</v>
      </c>
      <c r="U678" t="n">
        <v>36.80132</v>
      </c>
      <c r="V678" t="n">
        <v>67.85336</v>
      </c>
      <c r="W678" t="n">
        <v>57.64344</v>
      </c>
      <c r="X678" t="n">
        <v>58.18411</v>
      </c>
      <c r="Y678" t="n">
        <v>54.01169</v>
      </c>
      <c r="Z678" t="n">
        <v>47.78672</v>
      </c>
      <c r="AA678" t="n">
        <v>24.85876</v>
      </c>
      <c r="AB678" t="n">
        <v>68.17231</v>
      </c>
      <c r="AC678" t="n">
        <v>28.75617</v>
      </c>
      <c r="AD678" t="n">
        <v>60.15226</v>
      </c>
      <c r="AE678" t="n">
        <v>52.10322</v>
      </c>
    </row>
    <row r="679">
      <c r="A679" s="87" t="n">
        <v>39234</v>
      </c>
      <c r="B679" t="n">
        <v>48.08237</v>
      </c>
      <c r="C679" t="n">
        <v>32.08001</v>
      </c>
      <c r="D679" t="n">
        <v>57.09614</v>
      </c>
      <c r="E679" t="n">
        <v>65.49016</v>
      </c>
      <c r="F679" t="n">
        <v>39.95502</v>
      </c>
      <c r="G679" t="n">
        <v>28.22035</v>
      </c>
      <c r="H679" t="n">
        <v>36.52546</v>
      </c>
      <c r="I679" t="n">
        <v>45.97937</v>
      </c>
      <c r="J679" t="n">
        <v>62.69596</v>
      </c>
      <c r="K679" t="n">
        <v>78.11465</v>
      </c>
      <c r="L679" t="n">
        <v>77.3759</v>
      </c>
      <c r="M679" t="n">
        <v>72.84562</v>
      </c>
      <c r="N679" t="n">
        <v>69.87647</v>
      </c>
      <c r="O679" t="n">
        <v>32.99313</v>
      </c>
      <c r="P679" t="n">
        <v>30.80192</v>
      </c>
      <c r="Q679" t="n">
        <v>55.58387</v>
      </c>
      <c r="R679" t="n">
        <v>53.66496</v>
      </c>
      <c r="S679" t="n">
        <v>84.00058</v>
      </c>
      <c r="T679" t="n">
        <v>53.35777</v>
      </c>
      <c r="U679" t="n">
        <v>37.25092</v>
      </c>
      <c r="V679" t="n">
        <v>69.26748000000001</v>
      </c>
      <c r="W679" t="n">
        <v>57.96732</v>
      </c>
      <c r="X679" t="n">
        <v>58.58559</v>
      </c>
      <c r="Y679" t="n">
        <v>54.72404</v>
      </c>
      <c r="Z679" t="n">
        <v>47.96987</v>
      </c>
      <c r="AA679" t="n">
        <v>26.01051</v>
      </c>
      <c r="AB679" t="n">
        <v>68.99571</v>
      </c>
      <c r="AC679" t="n">
        <v>29.29412</v>
      </c>
      <c r="AD679" t="n">
        <v>60.42789</v>
      </c>
      <c r="AE679" t="n">
        <v>53.04712</v>
      </c>
    </row>
    <row r="680">
      <c r="A680" s="87" t="n">
        <v>39264</v>
      </c>
      <c r="B680" t="n">
        <v>49.02934</v>
      </c>
      <c r="C680" t="n">
        <v>32.11861</v>
      </c>
      <c r="D680" t="n">
        <v>57.72806</v>
      </c>
      <c r="E680" t="n">
        <v>65.50002000000001</v>
      </c>
      <c r="F680" t="n">
        <v>40.54895</v>
      </c>
      <c r="G680" t="n">
        <v>28.70885</v>
      </c>
      <c r="H680" t="n">
        <v>36.72474</v>
      </c>
      <c r="I680" t="n">
        <v>46.75622</v>
      </c>
      <c r="J680" t="n">
        <v>63.09424</v>
      </c>
      <c r="K680" t="n">
        <v>78.58262999999999</v>
      </c>
      <c r="L680" t="n">
        <v>77.99590999999999</v>
      </c>
      <c r="M680" t="n">
        <v>73.67524</v>
      </c>
      <c r="N680" t="n">
        <v>70.83063</v>
      </c>
      <c r="O680" t="n">
        <v>33.82523</v>
      </c>
      <c r="P680" t="n">
        <v>31.54329</v>
      </c>
      <c r="Q680" t="n">
        <v>57.63438</v>
      </c>
      <c r="R680" t="n">
        <v>54.6503</v>
      </c>
      <c r="S680" t="n">
        <v>83.9924</v>
      </c>
      <c r="T680" t="n">
        <v>53.80435</v>
      </c>
      <c r="U680" t="n">
        <v>37.35649</v>
      </c>
      <c r="V680" t="n">
        <v>70.15107999999999</v>
      </c>
      <c r="W680" t="n">
        <v>58.31068</v>
      </c>
      <c r="X680" t="n">
        <v>58.94353</v>
      </c>
      <c r="Y680" t="n">
        <v>55.37257</v>
      </c>
      <c r="Z680" t="n">
        <v>48.46305</v>
      </c>
      <c r="AA680" t="n">
        <v>26.69475</v>
      </c>
      <c r="AB680" t="n">
        <v>69.62703999999999</v>
      </c>
      <c r="AC680" t="n">
        <v>29.79032</v>
      </c>
      <c r="AD680" t="n">
        <v>60.68027</v>
      </c>
      <c r="AE680" t="n">
        <v>53.80827</v>
      </c>
    </row>
    <row r="681">
      <c r="A681" s="87" t="n">
        <v>39295</v>
      </c>
      <c r="B681" t="n">
        <v>49.85583</v>
      </c>
      <c r="C681" t="n">
        <v>31.97478</v>
      </c>
      <c r="D681" t="n">
        <v>58.7952</v>
      </c>
      <c r="E681" t="n">
        <v>65.37379</v>
      </c>
      <c r="F681" t="n">
        <v>41.01163</v>
      </c>
      <c r="G681" t="n">
        <v>29.2167</v>
      </c>
      <c r="H681" t="n">
        <v>37.04227</v>
      </c>
      <c r="I681" t="n">
        <v>47.48351</v>
      </c>
      <c r="J681" t="n">
        <v>63.85078</v>
      </c>
      <c r="K681" t="n">
        <v>80.23206</v>
      </c>
      <c r="L681" t="n">
        <v>78.28655999999999</v>
      </c>
      <c r="M681" t="n">
        <v>74.39006999999999</v>
      </c>
      <c r="N681" t="n">
        <v>71.77473999999999</v>
      </c>
      <c r="O681" t="n">
        <v>34.36432</v>
      </c>
      <c r="P681" t="n">
        <v>32.06529</v>
      </c>
      <c r="Q681" t="n">
        <v>59.66856</v>
      </c>
      <c r="R681" t="n">
        <v>54.97235</v>
      </c>
      <c r="S681" t="n">
        <v>83.87788</v>
      </c>
      <c r="T681" t="n">
        <v>54.1823</v>
      </c>
      <c r="U681" t="n">
        <v>38.26392</v>
      </c>
      <c r="V681" t="n">
        <v>70.95419</v>
      </c>
      <c r="W681" t="n">
        <v>58.54468</v>
      </c>
      <c r="X681" t="n">
        <v>59.53763</v>
      </c>
      <c r="Y681" t="n">
        <v>56.0173</v>
      </c>
      <c r="Z681" t="n">
        <v>49.24147</v>
      </c>
      <c r="AA681" t="n">
        <v>26.90795</v>
      </c>
      <c r="AB681" t="n">
        <v>70.86176</v>
      </c>
      <c r="AC681" t="n">
        <v>30.18801</v>
      </c>
      <c r="AD681" t="n">
        <v>61.31207</v>
      </c>
      <c r="AE681" t="n">
        <v>54.6107</v>
      </c>
    </row>
    <row r="682">
      <c r="A682" s="87" t="n">
        <v>39326</v>
      </c>
      <c r="B682" t="n">
        <v>50.76918</v>
      </c>
      <c r="C682" t="n">
        <v>32.40228</v>
      </c>
      <c r="D682" t="n">
        <v>59.88525</v>
      </c>
      <c r="E682" t="n">
        <v>65.62321</v>
      </c>
      <c r="F682" t="n">
        <v>41.26574</v>
      </c>
      <c r="G682" t="n">
        <v>29.65757</v>
      </c>
      <c r="H682" t="n">
        <v>37.56883</v>
      </c>
      <c r="I682" t="n">
        <v>48.5728</v>
      </c>
      <c r="J682" t="n">
        <v>63.97276</v>
      </c>
      <c r="K682" t="n">
        <v>82.31261000000001</v>
      </c>
      <c r="L682" t="n">
        <v>78.74497</v>
      </c>
      <c r="M682" t="n">
        <v>74.89081</v>
      </c>
      <c r="N682" t="n">
        <v>72.74771</v>
      </c>
      <c r="O682" t="n">
        <v>34.66786</v>
      </c>
      <c r="P682" t="n">
        <v>32.65668</v>
      </c>
      <c r="Q682" t="n">
        <v>61.7862</v>
      </c>
      <c r="R682" t="n">
        <v>54.95338</v>
      </c>
      <c r="S682" t="n">
        <v>83.96786</v>
      </c>
      <c r="T682" t="n">
        <v>54.61276</v>
      </c>
      <c r="U682" t="n">
        <v>39.2056</v>
      </c>
      <c r="V682" t="n">
        <v>71.82214999999999</v>
      </c>
      <c r="W682" t="n">
        <v>59.132</v>
      </c>
      <c r="X682" t="n">
        <v>59.90319</v>
      </c>
      <c r="Y682" t="n">
        <v>56.45032</v>
      </c>
      <c r="Z682" t="n">
        <v>49.73889</v>
      </c>
      <c r="AA682" t="n">
        <v>27.55916</v>
      </c>
      <c r="AB682" t="n">
        <v>72.91373</v>
      </c>
      <c r="AC682" t="n">
        <v>30.19838</v>
      </c>
      <c r="AD682" t="n">
        <v>61.46234</v>
      </c>
      <c r="AE682" t="n">
        <v>55.45543</v>
      </c>
    </row>
    <row r="683">
      <c r="A683" s="87" t="n">
        <v>39356</v>
      </c>
      <c r="B683" t="n">
        <v>51.87024</v>
      </c>
      <c r="C683" t="n">
        <v>33.05077</v>
      </c>
      <c r="D683" t="n">
        <v>59.93198</v>
      </c>
      <c r="E683" t="n">
        <v>65.94745</v>
      </c>
      <c r="F683" t="n">
        <v>41.62795</v>
      </c>
      <c r="G683" t="n">
        <v>30.12945</v>
      </c>
      <c r="H683" t="n">
        <v>38.61769</v>
      </c>
      <c r="I683" t="n">
        <v>49.40319</v>
      </c>
      <c r="J683" t="n">
        <v>64.39105000000001</v>
      </c>
      <c r="K683" t="n">
        <v>82.50248999999999</v>
      </c>
      <c r="L683" t="n">
        <v>79.6703</v>
      </c>
      <c r="M683" t="n">
        <v>74.94136</v>
      </c>
      <c r="N683" t="n">
        <v>73.89157</v>
      </c>
      <c r="O683" t="n">
        <v>34.96779</v>
      </c>
      <c r="P683" t="n">
        <v>33.28186</v>
      </c>
      <c r="Q683" t="n">
        <v>64.06158000000001</v>
      </c>
      <c r="R683" t="n">
        <v>55.18779</v>
      </c>
      <c r="S683" t="n">
        <v>84.1969</v>
      </c>
      <c r="T683" t="n">
        <v>55.33545</v>
      </c>
      <c r="U683" t="n">
        <v>39.36834</v>
      </c>
      <c r="V683" t="n">
        <v>72.58450000000001</v>
      </c>
      <c r="W683" t="n">
        <v>59.86744</v>
      </c>
      <c r="X683" t="n">
        <v>60.15178</v>
      </c>
      <c r="Y683" t="n">
        <v>56.70459</v>
      </c>
      <c r="Z683" t="n">
        <v>50.05168</v>
      </c>
      <c r="AA683" t="n">
        <v>28.34093</v>
      </c>
      <c r="AB683" t="n">
        <v>74.87245</v>
      </c>
      <c r="AC683" t="n">
        <v>30.14376</v>
      </c>
      <c r="AD683" t="n">
        <v>61.57857</v>
      </c>
      <c r="AE683" t="n">
        <v>55.99046</v>
      </c>
    </row>
    <row r="684">
      <c r="A684" s="87" t="n">
        <v>39387</v>
      </c>
      <c r="B684" t="n">
        <v>53.25987</v>
      </c>
      <c r="C684" t="n">
        <v>33.80826</v>
      </c>
      <c r="D684" t="n">
        <v>60.72529</v>
      </c>
      <c r="E684" t="n">
        <v>66.1644</v>
      </c>
      <c r="F684" t="n">
        <v>42.27697</v>
      </c>
      <c r="G684" t="n">
        <v>30.57164</v>
      </c>
      <c r="H684" t="n">
        <v>39.25325</v>
      </c>
      <c r="I684" t="n">
        <v>50.06713</v>
      </c>
      <c r="J684" t="n">
        <v>65.69898000000001</v>
      </c>
      <c r="K684" t="n">
        <v>82.72638999999999</v>
      </c>
      <c r="L684" t="n">
        <v>80.6054</v>
      </c>
      <c r="M684" t="n">
        <v>75.21216</v>
      </c>
      <c r="N684" t="n">
        <v>74.45397</v>
      </c>
      <c r="O684" t="n">
        <v>35.35355</v>
      </c>
      <c r="P684" t="n">
        <v>33.84077</v>
      </c>
      <c r="Q684" t="n">
        <v>66.1571</v>
      </c>
      <c r="R684" t="n">
        <v>55.04083</v>
      </c>
      <c r="S684" t="n">
        <v>84.29506000000001</v>
      </c>
      <c r="T684" t="n">
        <v>55.92913</v>
      </c>
      <c r="U684" t="n">
        <v>39.87521</v>
      </c>
      <c r="V684" t="n">
        <v>72.82599</v>
      </c>
      <c r="W684" t="n">
        <v>60.21325</v>
      </c>
      <c r="X684" t="n">
        <v>60.5163</v>
      </c>
      <c r="Y684" t="n">
        <v>57.11988</v>
      </c>
      <c r="Z684" t="n">
        <v>50.55756</v>
      </c>
      <c r="AA684" t="n">
        <v>29.02719</v>
      </c>
      <c r="AB684" t="n">
        <v>76.27435</v>
      </c>
      <c r="AC684" t="n">
        <v>30.36072</v>
      </c>
      <c r="AD684" t="n">
        <v>61.7828</v>
      </c>
      <c r="AE684" t="n">
        <v>56.72097</v>
      </c>
    </row>
    <row r="685">
      <c r="A685" s="87" t="n">
        <v>39417</v>
      </c>
      <c r="B685" t="n">
        <v>54.19563</v>
      </c>
      <c r="C685" t="n">
        <v>34.40837</v>
      </c>
      <c r="D685" t="n">
        <v>61.19318</v>
      </c>
      <c r="E685" t="n">
        <v>66.57153</v>
      </c>
      <c r="F685" t="n">
        <v>42.95092</v>
      </c>
      <c r="G685" t="n">
        <v>30.78556</v>
      </c>
      <c r="H685" t="n">
        <v>39.44947</v>
      </c>
      <c r="I685" t="n">
        <v>50.60659</v>
      </c>
      <c r="J685" t="n">
        <v>67.01763</v>
      </c>
      <c r="K685" t="n">
        <v>83.64268</v>
      </c>
      <c r="L685" t="n">
        <v>81.5077</v>
      </c>
      <c r="M685" t="n">
        <v>76.39899</v>
      </c>
      <c r="N685" t="n">
        <v>74.55804000000001</v>
      </c>
      <c r="O685" t="n">
        <v>36.25618</v>
      </c>
      <c r="P685" t="n">
        <v>34.40535</v>
      </c>
      <c r="Q685" t="n">
        <v>68.10549</v>
      </c>
      <c r="R685" t="n">
        <v>55.06191</v>
      </c>
      <c r="S685" t="n">
        <v>84.40141</v>
      </c>
      <c r="T685" t="n">
        <v>56.39021</v>
      </c>
      <c r="U685" t="n">
        <v>40.27956</v>
      </c>
      <c r="V685" t="n">
        <v>73.80409</v>
      </c>
      <c r="W685" t="n">
        <v>60.70097</v>
      </c>
      <c r="X685" t="n">
        <v>60.91951</v>
      </c>
      <c r="Y685" t="n">
        <v>57.87536</v>
      </c>
      <c r="Z685" t="n">
        <v>51.10683</v>
      </c>
      <c r="AA685" t="n">
        <v>29.72717</v>
      </c>
      <c r="AB685" t="n">
        <v>76.52672</v>
      </c>
      <c r="AC685" t="n">
        <v>30.78401</v>
      </c>
      <c r="AD685" t="n">
        <v>62.0302</v>
      </c>
      <c r="AE685" t="n">
        <v>57.71618</v>
      </c>
    </row>
    <row r="686">
      <c r="A686" s="87" t="n">
        <v>39448</v>
      </c>
      <c r="B686" t="n">
        <v>54.80359</v>
      </c>
      <c r="C686" t="n">
        <v>34.76044</v>
      </c>
      <c r="D686" t="n">
        <v>61.87938</v>
      </c>
      <c r="E686" t="n">
        <v>66.6807</v>
      </c>
      <c r="F686" t="n">
        <v>43.46892</v>
      </c>
      <c r="G686" t="n">
        <v>31.19441</v>
      </c>
      <c r="H686" t="n">
        <v>39.61475</v>
      </c>
      <c r="I686" t="n">
        <v>52.47603</v>
      </c>
      <c r="J686" t="n">
        <v>67.82338</v>
      </c>
      <c r="K686" t="n">
        <v>84.96168</v>
      </c>
      <c r="L686" t="n">
        <v>82.41399</v>
      </c>
      <c r="M686" t="n">
        <v>78.35011</v>
      </c>
      <c r="N686" t="n">
        <v>75.06941</v>
      </c>
      <c r="O686" t="n">
        <v>36.76052</v>
      </c>
      <c r="P686" t="n">
        <v>34.97416</v>
      </c>
      <c r="Q686" t="n">
        <v>70.05381</v>
      </c>
      <c r="R686" t="n">
        <v>55.31319</v>
      </c>
      <c r="S686" t="n">
        <v>84.45865999999999</v>
      </c>
      <c r="T686" t="n">
        <v>57.17829</v>
      </c>
      <c r="U686" t="n">
        <v>40.80426</v>
      </c>
      <c r="V686" t="n">
        <v>72.66973</v>
      </c>
      <c r="W686" t="n">
        <v>61.48307</v>
      </c>
      <c r="X686" t="n">
        <v>61.38659</v>
      </c>
      <c r="Y686" t="n">
        <v>58.75955</v>
      </c>
      <c r="Z686" t="n">
        <v>51.88093</v>
      </c>
      <c r="AA686" t="n">
        <v>30.47481</v>
      </c>
      <c r="AB686" t="n">
        <v>75.6069</v>
      </c>
      <c r="AC686" t="n">
        <v>31.3584</v>
      </c>
      <c r="AD686" t="n">
        <v>62.31165</v>
      </c>
      <c r="AE686" t="n">
        <v>58.89767</v>
      </c>
    </row>
    <row r="687">
      <c r="A687" s="87" t="n">
        <v>39479</v>
      </c>
      <c r="B687" t="n">
        <v>55.36953</v>
      </c>
      <c r="C687" t="n">
        <v>35.18402</v>
      </c>
      <c r="D687" t="n">
        <v>61.9578</v>
      </c>
      <c r="E687" t="n">
        <v>66.65844</v>
      </c>
      <c r="F687" t="n">
        <v>43.89572</v>
      </c>
      <c r="G687" t="n">
        <v>31.74262</v>
      </c>
      <c r="H687" t="n">
        <v>39.94329</v>
      </c>
      <c r="I687" t="n">
        <v>54.65576</v>
      </c>
      <c r="J687" t="n">
        <v>68.17534000000001</v>
      </c>
      <c r="K687" t="n">
        <v>88.11632</v>
      </c>
      <c r="L687" t="n">
        <v>82.95396</v>
      </c>
      <c r="M687" t="n">
        <v>79.92179</v>
      </c>
      <c r="N687" t="n">
        <v>76.72736</v>
      </c>
      <c r="O687" t="n">
        <v>36.86916</v>
      </c>
      <c r="P687" t="n">
        <v>35.61239</v>
      </c>
      <c r="Q687" t="n">
        <v>71.93932</v>
      </c>
      <c r="R687" t="n">
        <v>55.64662</v>
      </c>
      <c r="S687" t="n">
        <v>84.5241</v>
      </c>
      <c r="T687" t="n">
        <v>57.90693</v>
      </c>
      <c r="U687" t="n">
        <v>41.46519</v>
      </c>
      <c r="V687" t="n">
        <v>70.71384999999999</v>
      </c>
      <c r="W687" t="n">
        <v>61.65698</v>
      </c>
      <c r="X687" t="n">
        <v>62.00998</v>
      </c>
      <c r="Y687" t="n">
        <v>59.58862</v>
      </c>
      <c r="Z687" t="n">
        <v>52.71478</v>
      </c>
      <c r="AA687" t="n">
        <v>31.13425</v>
      </c>
      <c r="AB687" t="n">
        <v>75.2496</v>
      </c>
      <c r="AC687" t="n">
        <v>31.98899</v>
      </c>
      <c r="AD687" t="n">
        <v>63.01816</v>
      </c>
      <c r="AE687" t="n">
        <v>60.12882</v>
      </c>
    </row>
    <row r="688">
      <c r="A688" s="87" t="n">
        <v>39508</v>
      </c>
      <c r="B688" t="n">
        <v>55.8206</v>
      </c>
      <c r="C688" t="n">
        <v>35.56773</v>
      </c>
      <c r="D688" t="n">
        <v>62.95381</v>
      </c>
      <c r="E688" t="n">
        <v>67.01649</v>
      </c>
      <c r="F688" t="n">
        <v>44.26728</v>
      </c>
      <c r="G688" t="n">
        <v>31.83541</v>
      </c>
      <c r="H688" t="n">
        <v>40.16559</v>
      </c>
      <c r="I688" t="n">
        <v>55.51999</v>
      </c>
      <c r="J688" t="n">
        <v>68.43114</v>
      </c>
      <c r="K688" t="n">
        <v>89.88515</v>
      </c>
      <c r="L688" t="n">
        <v>83.38482999999999</v>
      </c>
      <c r="M688" t="n">
        <v>80.88323</v>
      </c>
      <c r="N688" t="n">
        <v>78.09175999999999</v>
      </c>
      <c r="O688" t="n">
        <v>37.09291</v>
      </c>
      <c r="P688" t="n">
        <v>36.30758</v>
      </c>
      <c r="Q688" t="n">
        <v>73.63397999999999</v>
      </c>
      <c r="R688" t="n">
        <v>55.9754</v>
      </c>
      <c r="S688" t="n">
        <v>84.51591999999999</v>
      </c>
      <c r="T688" t="n">
        <v>58.48093</v>
      </c>
      <c r="U688" t="n">
        <v>41.62394</v>
      </c>
      <c r="V688" t="n">
        <v>71.06209</v>
      </c>
      <c r="W688" t="n">
        <v>62.06397</v>
      </c>
      <c r="X688" t="n">
        <v>62.55488</v>
      </c>
      <c r="Y688" t="n">
        <v>60.52872</v>
      </c>
      <c r="Z688" t="n">
        <v>53.27646</v>
      </c>
      <c r="AA688" t="n">
        <v>31.78699</v>
      </c>
      <c r="AB688" t="n">
        <v>76.11665000000001</v>
      </c>
      <c r="AC688" t="n">
        <v>33.13153</v>
      </c>
      <c r="AD688" t="n">
        <v>63.56277</v>
      </c>
      <c r="AE688" t="n">
        <v>60.94813</v>
      </c>
    </row>
    <row r="689">
      <c r="A689" s="87" t="n">
        <v>39539</v>
      </c>
      <c r="B689" t="n">
        <v>56.42016</v>
      </c>
      <c r="C689" t="n">
        <v>36.27118</v>
      </c>
      <c r="D689" t="n">
        <v>63.48312</v>
      </c>
      <c r="E689" t="n">
        <v>67.82016</v>
      </c>
      <c r="F689" t="n">
        <v>44.82008</v>
      </c>
      <c r="G689" t="n">
        <v>32.07791</v>
      </c>
      <c r="H689" t="n">
        <v>41.03594</v>
      </c>
      <c r="I689" t="n">
        <v>56.56897</v>
      </c>
      <c r="J689" t="n">
        <v>69.00036</v>
      </c>
      <c r="K689" t="n">
        <v>90.04818</v>
      </c>
      <c r="L689" t="n">
        <v>84.16901</v>
      </c>
      <c r="M689" t="n">
        <v>81.68828999999999</v>
      </c>
      <c r="N689" t="n">
        <v>78.15372000000001</v>
      </c>
      <c r="O689" t="n">
        <v>37.38252</v>
      </c>
      <c r="P689" t="n">
        <v>36.73304</v>
      </c>
      <c r="Q689" t="n">
        <v>75.22147</v>
      </c>
      <c r="R689" t="n">
        <v>56.26219</v>
      </c>
      <c r="S689" t="n">
        <v>84.33596</v>
      </c>
      <c r="T689" t="n">
        <v>59.31044</v>
      </c>
      <c r="U689" t="n">
        <v>42.04082</v>
      </c>
      <c r="V689" t="n">
        <v>71.38760000000001</v>
      </c>
      <c r="W689" t="n">
        <v>62.62004</v>
      </c>
      <c r="X689" t="n">
        <v>63.01843</v>
      </c>
      <c r="Y689" t="n">
        <v>61.40504</v>
      </c>
      <c r="Z689" t="n">
        <v>54.21083</v>
      </c>
      <c r="AA689" t="n">
        <v>32.42779</v>
      </c>
      <c r="AB689" t="n">
        <v>77.6349</v>
      </c>
      <c r="AC689" t="n">
        <v>34.12496</v>
      </c>
      <c r="AD689" t="n">
        <v>63.91977</v>
      </c>
      <c r="AE689" t="n">
        <v>61.75613</v>
      </c>
    </row>
    <row r="690">
      <c r="A690" s="87" t="n">
        <v>39569</v>
      </c>
      <c r="B690" t="n">
        <v>56.87123</v>
      </c>
      <c r="C690" t="n">
        <v>37.16027</v>
      </c>
      <c r="D690" t="n">
        <v>64.28837</v>
      </c>
      <c r="E690" t="n">
        <v>68.02831</v>
      </c>
      <c r="F690" t="n">
        <v>45.60155</v>
      </c>
      <c r="G690" t="n">
        <v>32.69492</v>
      </c>
      <c r="H690" t="n">
        <v>41.54237</v>
      </c>
      <c r="I690" t="n">
        <v>57.84928</v>
      </c>
      <c r="J690" t="n">
        <v>69.97266</v>
      </c>
      <c r="K690" t="n">
        <v>91.59609</v>
      </c>
      <c r="L690" t="n">
        <v>85.03422999999999</v>
      </c>
      <c r="M690" t="n">
        <v>81.96365</v>
      </c>
      <c r="N690" t="n">
        <v>77.54510000000001</v>
      </c>
      <c r="O690" t="n">
        <v>38.00879</v>
      </c>
      <c r="P690" t="n">
        <v>37.1142</v>
      </c>
      <c r="Q690" t="n">
        <v>77.15434999999999</v>
      </c>
      <c r="R690" t="n">
        <v>56.50414</v>
      </c>
      <c r="S690" t="n">
        <v>84.49139</v>
      </c>
      <c r="T690" t="n">
        <v>59.96994</v>
      </c>
      <c r="U690" t="n">
        <v>42.74259</v>
      </c>
      <c r="V690" t="n">
        <v>71.42364999999999</v>
      </c>
      <c r="W690" t="n">
        <v>62.87851</v>
      </c>
      <c r="X690" t="n">
        <v>63.29762</v>
      </c>
      <c r="Y690" t="n">
        <v>61.68598</v>
      </c>
      <c r="Z690" t="n">
        <v>55.02856</v>
      </c>
      <c r="AA690" t="n">
        <v>32.78511</v>
      </c>
      <c r="AB690" t="n">
        <v>78.36812999999999</v>
      </c>
      <c r="AC690" t="n">
        <v>34.10747</v>
      </c>
      <c r="AD690" t="n">
        <v>64.01939</v>
      </c>
      <c r="AE690" t="n">
        <v>62.84327</v>
      </c>
    </row>
    <row r="691">
      <c r="A691" s="87" t="n">
        <v>39600</v>
      </c>
      <c r="B691" t="n">
        <v>57.4932</v>
      </c>
      <c r="C691" t="n">
        <v>37.70818</v>
      </c>
      <c r="D691" t="n">
        <v>65.00481000000001</v>
      </c>
      <c r="E691" t="n">
        <v>67.53873</v>
      </c>
      <c r="F691" t="n">
        <v>46.42059</v>
      </c>
      <c r="G691" t="n">
        <v>33.1325</v>
      </c>
      <c r="H691" t="n">
        <v>41.50317</v>
      </c>
      <c r="I691" t="n">
        <v>58.4431</v>
      </c>
      <c r="J691" t="n">
        <v>70.13713</v>
      </c>
      <c r="K691" t="n">
        <v>91.91531000000001</v>
      </c>
      <c r="L691" t="n">
        <v>85.52795</v>
      </c>
      <c r="M691" t="n">
        <v>82.29666</v>
      </c>
      <c r="N691" t="n">
        <v>76.37188999999999</v>
      </c>
      <c r="O691" t="n">
        <v>38.71209</v>
      </c>
      <c r="P691" t="n">
        <v>37.70275</v>
      </c>
      <c r="Q691" t="n">
        <v>79.34676</v>
      </c>
      <c r="R691" t="n">
        <v>56.91387</v>
      </c>
      <c r="S691" t="n">
        <v>84.70406</v>
      </c>
      <c r="T691" t="n">
        <v>60.00093</v>
      </c>
      <c r="U691" t="n">
        <v>43.06432</v>
      </c>
      <c r="V691" t="n">
        <v>71.43337</v>
      </c>
      <c r="W691" t="n">
        <v>63.65556</v>
      </c>
      <c r="X691" t="n">
        <v>63.49807</v>
      </c>
      <c r="Y691" t="n">
        <v>61.77455</v>
      </c>
      <c r="Z691" t="n">
        <v>55.58471</v>
      </c>
      <c r="AA691" t="n">
        <v>33.37287</v>
      </c>
      <c r="AB691" t="n">
        <v>77.32256</v>
      </c>
      <c r="AC691" t="n">
        <v>34.16924</v>
      </c>
      <c r="AD691" t="n">
        <v>64.16634000000001</v>
      </c>
      <c r="AE691" t="n">
        <v>63.76631</v>
      </c>
    </row>
    <row r="692">
      <c r="A692" s="87" t="n">
        <v>39630</v>
      </c>
      <c r="B692" t="n">
        <v>58.62788</v>
      </c>
      <c r="C692" t="n">
        <v>38.33638</v>
      </c>
      <c r="D692" t="n">
        <v>65.18491</v>
      </c>
      <c r="E692" t="n">
        <v>67.07825</v>
      </c>
      <c r="F692" t="n">
        <v>47.14602</v>
      </c>
      <c r="G692" t="n">
        <v>33.48122</v>
      </c>
      <c r="H692" t="n">
        <v>41.96392</v>
      </c>
      <c r="I692" t="n">
        <v>59.16751</v>
      </c>
      <c r="J692" t="n">
        <v>70.63339999999999</v>
      </c>
      <c r="K692" t="n">
        <v>91.53269</v>
      </c>
      <c r="L692" t="n">
        <v>85.75548999999999</v>
      </c>
      <c r="M692" t="n">
        <v>82.55127</v>
      </c>
      <c r="N692" t="n">
        <v>77.30231000000001</v>
      </c>
      <c r="O692" t="n">
        <v>39.12234</v>
      </c>
      <c r="P692" t="n">
        <v>38.07385</v>
      </c>
      <c r="Q692" t="n">
        <v>81.38454</v>
      </c>
      <c r="R692" t="n">
        <v>57.59742</v>
      </c>
      <c r="S692" t="n">
        <v>84.63043999999999</v>
      </c>
      <c r="T692" t="n">
        <v>60.09734</v>
      </c>
      <c r="U692" t="n">
        <v>43.57814</v>
      </c>
      <c r="V692" t="n">
        <v>71.63021999999999</v>
      </c>
      <c r="W692" t="n">
        <v>64.20903</v>
      </c>
      <c r="X692" t="n">
        <v>63.86498</v>
      </c>
      <c r="Y692" t="n">
        <v>62.1861</v>
      </c>
      <c r="Z692" t="n">
        <v>56.54437</v>
      </c>
      <c r="AA692" t="n">
        <v>34.30616</v>
      </c>
      <c r="AB692" t="n">
        <v>77.42921</v>
      </c>
      <c r="AC692" t="n">
        <v>34.64274</v>
      </c>
      <c r="AD692" t="n">
        <v>64.55239</v>
      </c>
      <c r="AE692" t="n">
        <v>64.28667</v>
      </c>
    </row>
    <row r="693">
      <c r="A693" s="87" t="n">
        <v>39661</v>
      </c>
      <c r="B693" t="n">
        <v>59.57765</v>
      </c>
      <c r="C693" t="n">
        <v>39.11838</v>
      </c>
      <c r="D693" t="n">
        <v>65.57284</v>
      </c>
      <c r="E693" t="n">
        <v>67.01157000000001</v>
      </c>
      <c r="F693" t="n">
        <v>47.96604</v>
      </c>
      <c r="G693" t="n">
        <v>33.90731</v>
      </c>
      <c r="H693" t="n">
        <v>42.71109</v>
      </c>
      <c r="I693" t="n">
        <v>59.95638</v>
      </c>
      <c r="J693" t="n">
        <v>71.88742999999999</v>
      </c>
      <c r="K693" t="n">
        <v>92.83775</v>
      </c>
      <c r="L693" t="n">
        <v>86.01992</v>
      </c>
      <c r="M693" t="n">
        <v>83.1825</v>
      </c>
      <c r="N693" t="n">
        <v>78.30251</v>
      </c>
      <c r="O693" t="n">
        <v>39.02028</v>
      </c>
      <c r="P693" t="n">
        <v>38.6682</v>
      </c>
      <c r="Q693" t="n">
        <v>83.35777</v>
      </c>
      <c r="R693" t="n">
        <v>58.21607</v>
      </c>
      <c r="S693" t="n">
        <v>84.72042</v>
      </c>
      <c r="T693" t="n">
        <v>60.57497</v>
      </c>
      <c r="U693" t="n">
        <v>44.08302</v>
      </c>
      <c r="V693" t="n">
        <v>72.06294</v>
      </c>
      <c r="W693" t="n">
        <v>64.68434999999999</v>
      </c>
      <c r="X693" t="n">
        <v>64.17582</v>
      </c>
      <c r="Y693" t="n">
        <v>62.70021</v>
      </c>
      <c r="Z693" t="n">
        <v>57.54346</v>
      </c>
      <c r="AA693" t="n">
        <v>34.78071</v>
      </c>
      <c r="AB693" t="n">
        <v>78.19653</v>
      </c>
      <c r="AC693" t="n">
        <v>34.80141</v>
      </c>
      <c r="AD693" t="n">
        <v>64.67525999999999</v>
      </c>
      <c r="AE693" t="n">
        <v>64.33398</v>
      </c>
    </row>
    <row r="694">
      <c r="A694" s="87" t="n">
        <v>39692</v>
      </c>
      <c r="B694" t="n">
        <v>60.48259</v>
      </c>
      <c r="C694" t="n">
        <v>39.64909</v>
      </c>
      <c r="D694" t="n">
        <v>65.98618999999999</v>
      </c>
      <c r="E694" t="n">
        <v>67.20725</v>
      </c>
      <c r="F694" t="n">
        <v>48.94841</v>
      </c>
      <c r="G694" t="n">
        <v>34.2948</v>
      </c>
      <c r="H694" t="n">
        <v>43.68899</v>
      </c>
      <c r="I694" t="n">
        <v>60.23833</v>
      </c>
      <c r="J694" t="n">
        <v>72.44374999999999</v>
      </c>
      <c r="K694" t="n">
        <v>93.80942</v>
      </c>
      <c r="L694" t="n">
        <v>86.44452</v>
      </c>
      <c r="M694" t="n">
        <v>83.61682999999999</v>
      </c>
      <c r="N694" t="n">
        <v>78.35362000000001</v>
      </c>
      <c r="O694" t="n">
        <v>39.88288</v>
      </c>
      <c r="P694" t="n">
        <v>39.34351</v>
      </c>
      <c r="Q694" t="n">
        <v>85.1036</v>
      </c>
      <c r="R694" t="n">
        <v>58.74783</v>
      </c>
      <c r="S694" t="n">
        <v>84.74496000000001</v>
      </c>
      <c r="T694" t="n">
        <v>61.01928</v>
      </c>
      <c r="U694" t="n">
        <v>44.23081</v>
      </c>
      <c r="V694" t="n">
        <v>72.54066</v>
      </c>
      <c r="W694" t="n">
        <v>65.16446999999999</v>
      </c>
      <c r="X694" t="n">
        <v>64.66038</v>
      </c>
      <c r="Y694" t="n">
        <v>63.21523</v>
      </c>
      <c r="Z694" t="n">
        <v>58.25437</v>
      </c>
      <c r="AA694" t="n">
        <v>35.46975</v>
      </c>
      <c r="AB694" t="n">
        <v>77.58879</v>
      </c>
      <c r="AC694" t="n">
        <v>35.52542</v>
      </c>
      <c r="AD694" t="n">
        <v>65.25060000000001</v>
      </c>
      <c r="AE694" t="n">
        <v>64.59796</v>
      </c>
    </row>
    <row r="695">
      <c r="A695" s="87" t="n">
        <v>39722</v>
      </c>
      <c r="B695" t="n">
        <v>61.42115</v>
      </c>
      <c r="C695" t="n">
        <v>39.98919</v>
      </c>
      <c r="D695" t="n">
        <v>66.43382</v>
      </c>
      <c r="E695" t="n">
        <v>67.48035</v>
      </c>
      <c r="F695" t="n">
        <v>49.96867</v>
      </c>
      <c r="G695" t="n">
        <v>34.72466</v>
      </c>
      <c r="H695" t="n">
        <v>44.44733</v>
      </c>
      <c r="I695" t="n">
        <v>60.53024</v>
      </c>
      <c r="J695" t="n">
        <v>73.06119</v>
      </c>
      <c r="K695" t="n">
        <v>96.04433</v>
      </c>
      <c r="L695" t="n">
        <v>87.35616</v>
      </c>
      <c r="M695" t="n">
        <v>85.21415</v>
      </c>
      <c r="N695" t="n">
        <v>79.20480000000001</v>
      </c>
      <c r="O695" t="n">
        <v>41.23006</v>
      </c>
      <c r="P695" t="n">
        <v>39.96434</v>
      </c>
      <c r="Q695" t="n">
        <v>86.43982</v>
      </c>
      <c r="R695" t="n">
        <v>59.64227</v>
      </c>
      <c r="S695" t="n">
        <v>84.6468</v>
      </c>
      <c r="T695" t="n">
        <v>61.39886</v>
      </c>
      <c r="U695" t="n">
        <v>44.43873</v>
      </c>
      <c r="V695" t="n">
        <v>72.88709</v>
      </c>
      <c r="W695" t="n">
        <v>65.6572</v>
      </c>
      <c r="X695" t="n">
        <v>65.40594</v>
      </c>
      <c r="Y695" t="n">
        <v>64.39378000000001</v>
      </c>
      <c r="Z695" t="n">
        <v>58.75585</v>
      </c>
      <c r="AA695" t="n">
        <v>35.98732</v>
      </c>
      <c r="AB695" t="n">
        <v>76.96893</v>
      </c>
      <c r="AC695" t="n">
        <v>37.01697</v>
      </c>
      <c r="AD695" t="n">
        <v>66.12897</v>
      </c>
      <c r="AE695" t="n">
        <v>65.36953</v>
      </c>
    </row>
    <row r="696">
      <c r="A696" s="87" t="n">
        <v>39753</v>
      </c>
      <c r="B696" t="n">
        <v>62.54182</v>
      </c>
      <c r="C696" t="n">
        <v>40.45795</v>
      </c>
      <c r="D696" t="n">
        <v>66.81258</v>
      </c>
      <c r="E696" t="n">
        <v>67.75400999999999</v>
      </c>
      <c r="F696" t="n">
        <v>50.70549</v>
      </c>
      <c r="G696" t="n">
        <v>35.16728</v>
      </c>
      <c r="H696" t="n">
        <v>44.95356</v>
      </c>
      <c r="I696" t="n">
        <v>60.85878</v>
      </c>
      <c r="J696" t="n">
        <v>74.20063</v>
      </c>
      <c r="K696" t="n">
        <v>99.51755</v>
      </c>
      <c r="L696" t="n">
        <v>88.1511</v>
      </c>
      <c r="M696" t="n">
        <v>88.00476</v>
      </c>
      <c r="N696" t="n">
        <v>79.82903</v>
      </c>
      <c r="O696" t="n">
        <v>41.94718</v>
      </c>
      <c r="P696" t="n">
        <v>40.56256</v>
      </c>
      <c r="Q696" t="n">
        <v>87.78527</v>
      </c>
      <c r="R696" t="n">
        <v>60.9124</v>
      </c>
      <c r="S696" t="n">
        <v>84.83495000000001</v>
      </c>
      <c r="T696" t="n">
        <v>61.7072</v>
      </c>
      <c r="U696" t="n">
        <v>44.74079</v>
      </c>
      <c r="V696" t="n">
        <v>73.17501</v>
      </c>
      <c r="W696" t="n">
        <v>66.32666</v>
      </c>
      <c r="X696" t="n">
        <v>66.02052</v>
      </c>
      <c r="Y696" t="n">
        <v>65.80679000000001</v>
      </c>
      <c r="Z696" t="n">
        <v>59.516</v>
      </c>
      <c r="AA696" t="n">
        <v>35.53118</v>
      </c>
      <c r="AB696" t="n">
        <v>76.75702</v>
      </c>
      <c r="AC696" t="n">
        <v>38.01305</v>
      </c>
      <c r="AD696" t="n">
        <v>66.54823</v>
      </c>
      <c r="AE696" t="n">
        <v>66.57652</v>
      </c>
    </row>
    <row r="697">
      <c r="A697" s="87" t="n">
        <v>39783</v>
      </c>
      <c r="B697" t="n">
        <v>63.32069</v>
      </c>
      <c r="C697" t="n">
        <v>40.84689</v>
      </c>
      <c r="D697" t="n">
        <v>66.87726000000001</v>
      </c>
      <c r="E697" t="n">
        <v>68.03827</v>
      </c>
      <c r="F697" t="n">
        <v>51.00905</v>
      </c>
      <c r="G697" t="n">
        <v>35.84981</v>
      </c>
      <c r="H697" t="n">
        <v>45.78336</v>
      </c>
      <c r="I697" t="n">
        <v>61.65483</v>
      </c>
      <c r="J697" t="n">
        <v>76.01403999999999</v>
      </c>
      <c r="K697" t="n">
        <v>100.0899</v>
      </c>
      <c r="L697" t="n">
        <v>88.61053</v>
      </c>
      <c r="M697" t="n">
        <v>89.89635</v>
      </c>
      <c r="N697" t="n">
        <v>80.34302</v>
      </c>
      <c r="O697" t="n">
        <v>42.31048</v>
      </c>
      <c r="P697" t="n">
        <v>41.13558</v>
      </c>
      <c r="Q697" t="n">
        <v>89.18861</v>
      </c>
      <c r="R697" t="n">
        <v>61.88327</v>
      </c>
      <c r="S697" t="n">
        <v>85.04761999999999</v>
      </c>
      <c r="T697" t="n">
        <v>61.69191</v>
      </c>
      <c r="U697" t="n">
        <v>45.57988</v>
      </c>
      <c r="V697" t="n">
        <v>73.43273000000001</v>
      </c>
      <c r="W697" t="n">
        <v>66.49405</v>
      </c>
      <c r="X697" t="n">
        <v>67.0318</v>
      </c>
      <c r="Y697" t="n">
        <v>66.78373999999999</v>
      </c>
      <c r="Z697" t="n">
        <v>60.38609</v>
      </c>
      <c r="AA697" t="n">
        <v>34.90932</v>
      </c>
      <c r="AB697" t="n">
        <v>77.92988</v>
      </c>
      <c r="AC697" t="n">
        <v>38.51681</v>
      </c>
      <c r="AD697" t="n">
        <v>68.01188999999999</v>
      </c>
      <c r="AE697" t="n">
        <v>67.12298</v>
      </c>
    </row>
    <row r="698">
      <c r="A698" s="87" t="n">
        <v>39814</v>
      </c>
      <c r="B698" t="n">
        <v>63.75775</v>
      </c>
      <c r="C698" t="n">
        <v>41.17428</v>
      </c>
      <c r="D698" t="n">
        <v>66.68929</v>
      </c>
      <c r="E698" t="n">
        <v>68.68411999999999</v>
      </c>
      <c r="F698" t="n">
        <v>51.08314</v>
      </c>
      <c r="G698" t="n">
        <v>36.93256</v>
      </c>
      <c r="H698" t="n">
        <v>46.57045</v>
      </c>
      <c r="I698" t="n">
        <v>62.82685</v>
      </c>
      <c r="J698" t="n">
        <v>77.45556000000001</v>
      </c>
      <c r="K698" t="n">
        <v>101.7125</v>
      </c>
      <c r="L698" t="n">
        <v>88.76407</v>
      </c>
      <c r="M698" t="n">
        <v>91.39742</v>
      </c>
      <c r="N698" t="n">
        <v>81.89646999999999</v>
      </c>
      <c r="O698" t="n">
        <v>42.64483</v>
      </c>
      <c r="P698" t="n">
        <v>41.97978</v>
      </c>
      <c r="Q698" t="n">
        <v>90.44477000000001</v>
      </c>
      <c r="R698" t="n">
        <v>62.9639</v>
      </c>
      <c r="S698" t="n">
        <v>85.26351</v>
      </c>
      <c r="T698" t="n">
        <v>62.05084</v>
      </c>
      <c r="U698" t="n">
        <v>46.61365</v>
      </c>
      <c r="V698" t="n">
        <v>73.70043</v>
      </c>
      <c r="W698" t="n">
        <v>65.95818</v>
      </c>
      <c r="X698" t="n">
        <v>67.68850999999999</v>
      </c>
      <c r="Y698" t="n">
        <v>67.74362000000001</v>
      </c>
      <c r="Z698" t="n">
        <v>61.16327</v>
      </c>
      <c r="AA698" t="n">
        <v>34.90489</v>
      </c>
      <c r="AB698" t="n">
        <v>79.14561999999999</v>
      </c>
      <c r="AC698" t="n">
        <v>39.1078</v>
      </c>
      <c r="AD698" t="n">
        <v>68.68935</v>
      </c>
      <c r="AE698" t="n">
        <v>67.43598</v>
      </c>
    </row>
    <row r="699">
      <c r="A699" s="87" t="n">
        <v>39845</v>
      </c>
      <c r="B699" t="n">
        <v>64.6795</v>
      </c>
      <c r="C699" t="n">
        <v>41.64017</v>
      </c>
      <c r="D699" t="n">
        <v>66.24384000000001</v>
      </c>
      <c r="E699" t="n">
        <v>69.30725</v>
      </c>
      <c r="F699" t="n">
        <v>51.13172</v>
      </c>
      <c r="G699" t="n">
        <v>37.97604</v>
      </c>
      <c r="H699" t="n">
        <v>47.1606</v>
      </c>
      <c r="I699" t="n">
        <v>63.57557</v>
      </c>
      <c r="J699" t="n">
        <v>77.84271</v>
      </c>
      <c r="K699" t="n">
        <v>105.5133</v>
      </c>
      <c r="L699" t="n">
        <v>88.71981</v>
      </c>
      <c r="M699" t="n">
        <v>92.21863</v>
      </c>
      <c r="N699" t="n">
        <v>83.59708999999999</v>
      </c>
      <c r="O699" t="n">
        <v>43.4848</v>
      </c>
      <c r="P699" t="n">
        <v>42.79417</v>
      </c>
      <c r="Q699" t="n">
        <v>91.63162</v>
      </c>
      <c r="R699" t="n">
        <v>64.45131000000001</v>
      </c>
      <c r="S699" t="n">
        <v>85.52857</v>
      </c>
      <c r="T699" t="n">
        <v>62.913</v>
      </c>
      <c r="U699" t="n">
        <v>47.35182</v>
      </c>
      <c r="V699" t="n">
        <v>73.81196</v>
      </c>
      <c r="W699" t="n">
        <v>65.92345</v>
      </c>
      <c r="X699" t="n">
        <v>68.11921</v>
      </c>
      <c r="Y699" t="n">
        <v>68.56027</v>
      </c>
      <c r="Z699" t="n">
        <v>62.03027</v>
      </c>
      <c r="AA699" t="n">
        <v>35.35989</v>
      </c>
      <c r="AB699" t="n">
        <v>79.52621000000001</v>
      </c>
      <c r="AC699" t="n">
        <v>39.9133</v>
      </c>
      <c r="AD699" t="n">
        <v>68.93343</v>
      </c>
      <c r="AE699" t="n">
        <v>68.60704</v>
      </c>
    </row>
    <row r="700">
      <c r="A700" s="87" t="n">
        <v>39873</v>
      </c>
      <c r="B700" t="n">
        <v>64.62067</v>
      </c>
      <c r="C700" t="n">
        <v>41.92271</v>
      </c>
      <c r="D700" t="n">
        <v>66.31652</v>
      </c>
      <c r="E700" t="n">
        <v>69.77046</v>
      </c>
      <c r="F700" t="n">
        <v>51.19895</v>
      </c>
      <c r="G700" t="n">
        <v>39.08728</v>
      </c>
      <c r="H700" t="n">
        <v>47.60236</v>
      </c>
      <c r="I700" t="n">
        <v>64.24149</v>
      </c>
      <c r="J700" t="n">
        <v>77.60903</v>
      </c>
      <c r="K700" t="n">
        <v>106.7119</v>
      </c>
      <c r="L700" t="n">
        <v>88.75161</v>
      </c>
      <c r="M700" t="n">
        <v>92.21451999999999</v>
      </c>
      <c r="N700" t="n">
        <v>84.51891999999999</v>
      </c>
      <c r="O700" t="n">
        <v>44.22987</v>
      </c>
      <c r="P700" t="n">
        <v>43.48389</v>
      </c>
      <c r="Q700" t="n">
        <v>92.79858</v>
      </c>
      <c r="R700" t="n">
        <v>65.2807</v>
      </c>
      <c r="S700" t="n">
        <v>85.62985</v>
      </c>
      <c r="T700" t="n">
        <v>63.47815</v>
      </c>
      <c r="U700" t="n">
        <v>47.61078</v>
      </c>
      <c r="V700" t="n">
        <v>74.07075</v>
      </c>
      <c r="W700" t="n">
        <v>66.08954</v>
      </c>
      <c r="X700" t="n">
        <v>68.50259</v>
      </c>
      <c r="Y700" t="n">
        <v>68.84566</v>
      </c>
      <c r="Z700" t="n">
        <v>62.67338</v>
      </c>
      <c r="AA700" t="n">
        <v>35.59548</v>
      </c>
      <c r="AB700" t="n">
        <v>79.50556</v>
      </c>
      <c r="AC700" t="n">
        <v>40.34041</v>
      </c>
      <c r="AD700" t="n">
        <v>69.48302</v>
      </c>
      <c r="AE700" t="n">
        <v>68.45565000000001</v>
      </c>
    </row>
    <row r="701">
      <c r="A701" s="87" t="n">
        <v>39904</v>
      </c>
      <c r="B701" t="n">
        <v>64.53661</v>
      </c>
      <c r="C701" t="n">
        <v>42.43177</v>
      </c>
      <c r="D701" t="n">
        <v>66.5265</v>
      </c>
      <c r="E701" t="n">
        <v>70.28188</v>
      </c>
      <c r="F701" t="n">
        <v>51.20411</v>
      </c>
      <c r="G701" t="n">
        <v>40.23365</v>
      </c>
      <c r="H701" t="n">
        <v>47.74568</v>
      </c>
      <c r="I701" t="n">
        <v>64.9481</v>
      </c>
      <c r="J701" t="n">
        <v>77.53395</v>
      </c>
      <c r="K701" t="n">
        <v>106.8465</v>
      </c>
      <c r="L701" t="n">
        <v>89.10888</v>
      </c>
      <c r="M701" t="n">
        <v>91.57368</v>
      </c>
      <c r="N701" t="n">
        <v>85.29043</v>
      </c>
      <c r="O701" t="n">
        <v>44.60754</v>
      </c>
      <c r="P701" t="n">
        <v>44.24037</v>
      </c>
      <c r="Q701" t="n">
        <v>93.752</v>
      </c>
      <c r="R701" t="n">
        <v>65.42878</v>
      </c>
      <c r="S701" t="n">
        <v>85.75909</v>
      </c>
      <c r="T701" t="n">
        <v>63.7618</v>
      </c>
      <c r="U701" t="n">
        <v>47.66989</v>
      </c>
      <c r="V701" t="n">
        <v>74.1596</v>
      </c>
      <c r="W701" t="n">
        <v>65.85120000000001</v>
      </c>
      <c r="X701" t="n">
        <v>68.53497</v>
      </c>
      <c r="Y701" t="n">
        <v>68.71791</v>
      </c>
      <c r="Z701" t="n">
        <v>62.88032</v>
      </c>
      <c r="AA701" t="n">
        <v>35.59826</v>
      </c>
      <c r="AB701" t="n">
        <v>79.37859</v>
      </c>
      <c r="AC701" t="n">
        <v>40.22566</v>
      </c>
      <c r="AD701" t="n">
        <v>69.51291999999999</v>
      </c>
      <c r="AE701" t="n">
        <v>67.72993</v>
      </c>
    </row>
    <row r="702">
      <c r="A702" s="87" t="n">
        <v>39934</v>
      </c>
      <c r="B702" t="n">
        <v>65.23703</v>
      </c>
      <c r="C702" t="n">
        <v>43.22496</v>
      </c>
      <c r="D702" t="n">
        <v>66.37608</v>
      </c>
      <c r="E702" t="n">
        <v>70.51799</v>
      </c>
      <c r="F702" t="n">
        <v>51.23625</v>
      </c>
      <c r="G702" t="n">
        <v>41.08248</v>
      </c>
      <c r="H702" t="n">
        <v>48.02714</v>
      </c>
      <c r="I702" t="n">
        <v>65.60526</v>
      </c>
      <c r="J702" t="n">
        <v>78.22072</v>
      </c>
      <c r="K702" t="n">
        <v>107.6085</v>
      </c>
      <c r="L702" t="n">
        <v>89.37362</v>
      </c>
      <c r="M702" t="n">
        <v>90.73984</v>
      </c>
      <c r="N702" t="n">
        <v>85.65791</v>
      </c>
      <c r="O702" t="n">
        <v>44.85314</v>
      </c>
      <c r="P702" t="n">
        <v>44.97268</v>
      </c>
      <c r="Q702" t="n">
        <v>94.21514000000001</v>
      </c>
      <c r="R702" t="n">
        <v>65.54877</v>
      </c>
      <c r="S702" t="n">
        <v>85.97064</v>
      </c>
      <c r="T702" t="n">
        <v>64.13658</v>
      </c>
      <c r="U702" t="n">
        <v>47.48226</v>
      </c>
      <c r="V702" t="n">
        <v>74.43719</v>
      </c>
      <c r="W702" t="n">
        <v>65.79028</v>
      </c>
      <c r="X702" t="n">
        <v>68.789</v>
      </c>
      <c r="Y702" t="n">
        <v>68.65276</v>
      </c>
      <c r="Z702" t="n">
        <v>62.97614</v>
      </c>
      <c r="AA702" t="n">
        <v>35.75611</v>
      </c>
      <c r="AB702" t="n">
        <v>79.76007</v>
      </c>
      <c r="AC702" t="n">
        <v>40.30639</v>
      </c>
      <c r="AD702" t="n">
        <v>69.99276999999999</v>
      </c>
      <c r="AE702" t="n">
        <v>67.98874000000001</v>
      </c>
    </row>
    <row r="703">
      <c r="A703" s="87" t="n">
        <v>39965</v>
      </c>
      <c r="B703" t="n">
        <v>65.74974</v>
      </c>
      <c r="C703" t="n">
        <v>43.78817</v>
      </c>
      <c r="D703" t="n">
        <v>66.48531</v>
      </c>
      <c r="E703" t="n">
        <v>70.88153</v>
      </c>
      <c r="F703" t="n">
        <v>51.31799</v>
      </c>
      <c r="G703" t="n">
        <v>42.03027</v>
      </c>
      <c r="H703" t="n">
        <v>48.45835</v>
      </c>
      <c r="I703" t="n">
        <v>66.51411</v>
      </c>
      <c r="J703" t="n">
        <v>77.75484</v>
      </c>
      <c r="K703" t="n">
        <v>108.0188</v>
      </c>
      <c r="L703" t="n">
        <v>89.21963</v>
      </c>
      <c r="M703" t="n">
        <v>90.34931</v>
      </c>
      <c r="N703" t="n">
        <v>85.84094</v>
      </c>
      <c r="O703" t="n">
        <v>45.15517</v>
      </c>
      <c r="P703" t="n">
        <v>45.54815</v>
      </c>
      <c r="Q703" t="n">
        <v>94.27115999999999</v>
      </c>
      <c r="R703" t="n">
        <v>65.6369</v>
      </c>
      <c r="S703" t="n">
        <v>86.07977</v>
      </c>
      <c r="T703" t="n">
        <v>64.57071000000001</v>
      </c>
      <c r="U703" t="n">
        <v>47.57645</v>
      </c>
      <c r="V703" t="n">
        <v>74.72784</v>
      </c>
      <c r="W703" t="n">
        <v>65.79253</v>
      </c>
      <c r="X703" t="n">
        <v>68.91167</v>
      </c>
      <c r="Y703" t="n">
        <v>68.72092000000001</v>
      </c>
      <c r="Z703" t="n">
        <v>63.576</v>
      </c>
      <c r="AA703" t="n">
        <v>36.12967</v>
      </c>
      <c r="AB703" t="n">
        <v>79.14709999999999</v>
      </c>
      <c r="AC703" t="n">
        <v>40.56779</v>
      </c>
      <c r="AD703" t="n">
        <v>70.07413</v>
      </c>
      <c r="AE703" t="n">
        <v>68.15989999999999</v>
      </c>
    </row>
    <row r="704">
      <c r="A704" s="87" t="n">
        <v>39995</v>
      </c>
      <c r="B704" t="n">
        <v>66.11956000000001</v>
      </c>
      <c r="C704" t="n">
        <v>44.35392</v>
      </c>
      <c r="D704" t="n">
        <v>66.78483</v>
      </c>
      <c r="E704" t="n">
        <v>71.51931</v>
      </c>
      <c r="F704" t="n">
        <v>51.47581</v>
      </c>
      <c r="G704" t="n">
        <v>42.97792</v>
      </c>
      <c r="H704" t="n">
        <v>48.91055</v>
      </c>
      <c r="I704" t="n">
        <v>67.2603</v>
      </c>
      <c r="J704" t="n">
        <v>76.72939</v>
      </c>
      <c r="K704" t="n">
        <v>107.6134</v>
      </c>
      <c r="L704" t="n">
        <v>89.02157</v>
      </c>
      <c r="M704" t="n">
        <v>90.49006</v>
      </c>
      <c r="N704" t="n">
        <v>85.61066</v>
      </c>
      <c r="O704" t="n">
        <v>45.43369</v>
      </c>
      <c r="P704" t="n">
        <v>46.12276</v>
      </c>
      <c r="Q704" t="n">
        <v>94.22166</v>
      </c>
      <c r="R704" t="n">
        <v>65.43541</v>
      </c>
      <c r="S704" t="n">
        <v>86.24323</v>
      </c>
      <c r="T704" t="n">
        <v>64.89643</v>
      </c>
      <c r="U704" t="n">
        <v>48.11725</v>
      </c>
      <c r="V704" t="n">
        <v>74.65429</v>
      </c>
      <c r="W704" t="n">
        <v>65.94128000000001</v>
      </c>
      <c r="X704" t="n">
        <v>69.06797</v>
      </c>
      <c r="Y704" t="n">
        <v>68.85632</v>
      </c>
      <c r="Z704" t="n">
        <v>64.00772000000001</v>
      </c>
      <c r="AA704" t="n">
        <v>36.69013</v>
      </c>
      <c r="AB704" t="n">
        <v>78.33105</v>
      </c>
      <c r="AC704" t="n">
        <v>40.85394</v>
      </c>
      <c r="AD704" t="n">
        <v>70.11233</v>
      </c>
      <c r="AE704" t="n">
        <v>67.94150999999999</v>
      </c>
    </row>
    <row r="705">
      <c r="A705" s="87" t="n">
        <v>40026</v>
      </c>
      <c r="B705" t="n">
        <v>66.29607</v>
      </c>
      <c r="C705" t="n">
        <v>45.00281</v>
      </c>
      <c r="D705" t="n">
        <v>66.80964</v>
      </c>
      <c r="E705" t="n">
        <v>71.88468</v>
      </c>
      <c r="F705" t="n">
        <v>51.65451</v>
      </c>
      <c r="G705" t="n">
        <v>43.59607</v>
      </c>
      <c r="H705" t="n">
        <v>49.16481</v>
      </c>
      <c r="I705" t="n">
        <v>68.0934</v>
      </c>
      <c r="J705" t="n">
        <v>76.41887</v>
      </c>
      <c r="K705" t="n">
        <v>109.0171</v>
      </c>
      <c r="L705" t="n">
        <v>88.65608</v>
      </c>
      <c r="M705" t="n">
        <v>91.21193</v>
      </c>
      <c r="N705" t="n">
        <v>85.6311</v>
      </c>
      <c r="O705" t="n">
        <v>45.82233</v>
      </c>
      <c r="P705" t="n">
        <v>46.66395</v>
      </c>
      <c r="Q705" t="n">
        <v>94.1589</v>
      </c>
      <c r="R705" t="n">
        <v>65.23264</v>
      </c>
      <c r="S705" t="n">
        <v>86.42588000000001</v>
      </c>
      <c r="T705" t="n">
        <v>65.42695000000001</v>
      </c>
      <c r="U705" t="n">
        <v>48.19072</v>
      </c>
      <c r="V705" t="n">
        <v>74.49926000000001</v>
      </c>
      <c r="W705" t="n">
        <v>66.15622999999999</v>
      </c>
      <c r="X705" t="n">
        <v>69.18935999999999</v>
      </c>
      <c r="Y705" t="n">
        <v>69.14404</v>
      </c>
      <c r="Z705" t="n">
        <v>63.58854</v>
      </c>
      <c r="AA705" t="n">
        <v>37.47091</v>
      </c>
      <c r="AB705" t="n">
        <v>78.29253</v>
      </c>
      <c r="AC705" t="n">
        <v>41.25157</v>
      </c>
      <c r="AD705" t="n">
        <v>70.11150000000001</v>
      </c>
      <c r="AE705" t="n">
        <v>67.53018</v>
      </c>
    </row>
    <row r="706">
      <c r="A706" s="87" t="n">
        <v>40057</v>
      </c>
      <c r="B706" t="n">
        <v>66.40253</v>
      </c>
      <c r="C706" t="n">
        <v>45.62051</v>
      </c>
      <c r="D706" t="n">
        <v>67.08497</v>
      </c>
      <c r="E706" t="n">
        <v>72.13419</v>
      </c>
      <c r="F706" t="n">
        <v>51.74001</v>
      </c>
      <c r="G706" t="n">
        <v>44.21711</v>
      </c>
      <c r="H706" t="n">
        <v>49.11035</v>
      </c>
      <c r="I706" t="n">
        <v>68.76501</v>
      </c>
      <c r="J706" t="n">
        <v>75.79257</v>
      </c>
      <c r="K706" t="n">
        <v>112.0552</v>
      </c>
      <c r="L706" t="n">
        <v>88.45489999999999</v>
      </c>
      <c r="M706" t="n">
        <v>92.10993000000001</v>
      </c>
      <c r="N706" t="n">
        <v>85.6785</v>
      </c>
      <c r="O706" t="n">
        <v>46.27817</v>
      </c>
      <c r="P706" t="n">
        <v>47.14355</v>
      </c>
      <c r="Q706" t="n">
        <v>94.09206</v>
      </c>
      <c r="R706" t="n">
        <v>65.49978</v>
      </c>
      <c r="S706" t="n">
        <v>86.52460000000001</v>
      </c>
      <c r="T706" t="n">
        <v>65.91434</v>
      </c>
      <c r="U706" t="n">
        <v>48.26933</v>
      </c>
      <c r="V706" t="n">
        <v>74.29213</v>
      </c>
      <c r="W706" t="n">
        <v>66.29626</v>
      </c>
      <c r="X706" t="n">
        <v>69.3366</v>
      </c>
      <c r="Y706" t="n">
        <v>69.61848000000001</v>
      </c>
      <c r="Z706" t="n">
        <v>63.69664</v>
      </c>
      <c r="AA706" t="n">
        <v>38.16512</v>
      </c>
      <c r="AB706" t="n">
        <v>78.05629</v>
      </c>
      <c r="AC706" t="n">
        <v>41.86341</v>
      </c>
      <c r="AD706" t="n">
        <v>70.10486</v>
      </c>
      <c r="AE706" t="n">
        <v>67.36320000000001</v>
      </c>
    </row>
    <row r="707">
      <c r="A707" s="87" t="n">
        <v>40087</v>
      </c>
      <c r="B707" t="n">
        <v>66.3549</v>
      </c>
      <c r="C707" t="n">
        <v>46.27009</v>
      </c>
      <c r="D707" t="n">
        <v>67.23405</v>
      </c>
      <c r="E707" t="n">
        <v>72.45546</v>
      </c>
      <c r="F707" t="n">
        <v>51.55008</v>
      </c>
      <c r="G707" t="n">
        <v>44.94162</v>
      </c>
      <c r="H707" t="n">
        <v>49.26661</v>
      </c>
      <c r="I707" t="n">
        <v>69.27021999999999</v>
      </c>
      <c r="J707" t="n">
        <v>75.66386</v>
      </c>
      <c r="K707" t="n">
        <v>111.8002</v>
      </c>
      <c r="L707" t="n">
        <v>88.37059000000001</v>
      </c>
      <c r="M707" t="n">
        <v>93.10496000000001</v>
      </c>
      <c r="N707" t="n">
        <v>85.19646</v>
      </c>
      <c r="O707" t="n">
        <v>46.4633</v>
      </c>
      <c r="P707" t="n">
        <v>47.68745</v>
      </c>
      <c r="Q707" t="n">
        <v>93.96486</v>
      </c>
      <c r="R707" t="n">
        <v>65.68346</v>
      </c>
      <c r="S707" t="n">
        <v>86.67303</v>
      </c>
      <c r="T707" t="n">
        <v>66.28570000000001</v>
      </c>
      <c r="U707" t="n">
        <v>48.9075</v>
      </c>
      <c r="V707" t="n">
        <v>74.21602</v>
      </c>
      <c r="W707" t="n">
        <v>66.29543</v>
      </c>
      <c r="X707" t="n">
        <v>69.66166</v>
      </c>
      <c r="Y707" t="n">
        <v>70.2923</v>
      </c>
      <c r="Z707" t="n">
        <v>65.07482</v>
      </c>
      <c r="AA707" t="n">
        <v>38.61141</v>
      </c>
      <c r="AB707" t="n">
        <v>77.88074</v>
      </c>
      <c r="AC707" t="n">
        <v>42.50012</v>
      </c>
      <c r="AD707" t="n">
        <v>70.32819000000001</v>
      </c>
      <c r="AE707" t="n">
        <v>67.39654</v>
      </c>
    </row>
    <row r="708">
      <c r="A708" s="87" t="n">
        <v>40118</v>
      </c>
      <c r="B708" t="n">
        <v>66.28206</v>
      </c>
      <c r="C708" t="n">
        <v>46.85192</v>
      </c>
      <c r="D708" t="n">
        <v>67.33879</v>
      </c>
      <c r="E708" t="n">
        <v>73.01003</v>
      </c>
      <c r="F708" t="n">
        <v>51.24996</v>
      </c>
      <c r="G708" t="n">
        <v>45.59056</v>
      </c>
      <c r="H708" t="n">
        <v>49.6207</v>
      </c>
      <c r="I708" t="n">
        <v>69.04594</v>
      </c>
      <c r="J708" t="n">
        <v>76.28717</v>
      </c>
      <c r="K708" t="n">
        <v>109.6505</v>
      </c>
      <c r="L708" t="n">
        <v>88.19508</v>
      </c>
      <c r="M708" t="n">
        <v>93.68362</v>
      </c>
      <c r="N708" t="n">
        <v>84.79411</v>
      </c>
      <c r="O708" t="n">
        <v>46.85012</v>
      </c>
      <c r="P708" t="n">
        <v>48.27664</v>
      </c>
      <c r="Q708" t="n">
        <v>93.62202000000001</v>
      </c>
      <c r="R708" t="n">
        <v>66.06046000000001</v>
      </c>
      <c r="S708" t="n">
        <v>86.84863</v>
      </c>
      <c r="T708" t="n">
        <v>66.87917</v>
      </c>
      <c r="U708" t="n">
        <v>49.59504</v>
      </c>
      <c r="V708" t="n">
        <v>73.85373</v>
      </c>
      <c r="W708" t="n">
        <v>66.41313</v>
      </c>
      <c r="X708" t="n">
        <v>69.98180000000001</v>
      </c>
      <c r="Y708" t="n">
        <v>70.79056</v>
      </c>
      <c r="Z708" t="n">
        <v>65.3856</v>
      </c>
      <c r="AA708" t="n">
        <v>39.22055</v>
      </c>
      <c r="AB708" t="n">
        <v>78.27843</v>
      </c>
      <c r="AC708" t="n">
        <v>43.24037</v>
      </c>
      <c r="AD708" t="n">
        <v>70.57474999999999</v>
      </c>
      <c r="AE708" t="n">
        <v>67.51667999999999</v>
      </c>
    </row>
    <row r="709">
      <c r="A709" s="87" t="n">
        <v>40148</v>
      </c>
      <c r="B709" t="n">
        <v>66.13637</v>
      </c>
      <c r="C709" t="n">
        <v>47.29042</v>
      </c>
      <c r="D709" t="n">
        <v>67.57633</v>
      </c>
      <c r="E709" t="n">
        <v>73.19328</v>
      </c>
      <c r="F709" t="n">
        <v>51.38731</v>
      </c>
      <c r="G709" t="n">
        <v>46.08965</v>
      </c>
      <c r="H709" t="n">
        <v>49.67715</v>
      </c>
      <c r="I709" t="n">
        <v>68.15725999999999</v>
      </c>
      <c r="J709" t="n">
        <v>77.10876</v>
      </c>
      <c r="K709" t="n">
        <v>108.2428</v>
      </c>
      <c r="L709" t="n">
        <v>88.29002</v>
      </c>
      <c r="M709" t="n">
        <v>93.37269999999999</v>
      </c>
      <c r="N709" t="n">
        <v>84.38132</v>
      </c>
      <c r="O709" t="n">
        <v>47.47656</v>
      </c>
      <c r="P709" t="n">
        <v>48.75244</v>
      </c>
      <c r="Q709" t="n">
        <v>93.08241</v>
      </c>
      <c r="R709" t="n">
        <v>66.12805</v>
      </c>
      <c r="S709" t="n">
        <v>86.95071</v>
      </c>
      <c r="T709" t="n">
        <v>67.30168999999999</v>
      </c>
      <c r="U709" t="n">
        <v>49.65327</v>
      </c>
      <c r="V709" t="n">
        <v>74.02309</v>
      </c>
      <c r="W709" t="n">
        <v>66.86190000000001</v>
      </c>
      <c r="X709" t="n">
        <v>70.02705</v>
      </c>
      <c r="Y709" t="n">
        <v>70.88199</v>
      </c>
      <c r="Z709" t="n">
        <v>65.12603</v>
      </c>
      <c r="AA709" t="n">
        <v>40.10464</v>
      </c>
      <c r="AB709" t="n">
        <v>78.44956999999999</v>
      </c>
      <c r="AC709" t="n">
        <v>43.78679</v>
      </c>
      <c r="AD709" t="n">
        <v>70.53489999999999</v>
      </c>
      <c r="AE709" t="n">
        <v>67.97889000000001</v>
      </c>
    </row>
    <row r="710">
      <c r="A710" s="87" t="n">
        <v>40179</v>
      </c>
      <c r="B710" t="n">
        <v>66.15877999999999</v>
      </c>
      <c r="C710" t="n">
        <v>49.11358</v>
      </c>
      <c r="D710" t="n">
        <v>67.71353000000001</v>
      </c>
      <c r="E710" t="n">
        <v>73.27146</v>
      </c>
      <c r="F710" t="n">
        <v>51.8529</v>
      </c>
      <c r="G710" t="n">
        <v>46.83223</v>
      </c>
      <c r="H710" t="n">
        <v>50.09465</v>
      </c>
      <c r="I710" t="n">
        <v>67.49744</v>
      </c>
      <c r="J710" t="n">
        <v>77.19212</v>
      </c>
      <c r="K710" t="n">
        <v>105.7136</v>
      </c>
      <c r="L710" t="n">
        <v>88.22002000000001</v>
      </c>
      <c r="M710" t="n">
        <v>96.96128</v>
      </c>
      <c r="N710" t="n">
        <v>84.45596999999999</v>
      </c>
      <c r="O710" t="n">
        <v>47.64731</v>
      </c>
      <c r="P710" t="n">
        <v>49.36239</v>
      </c>
      <c r="Q710" t="n">
        <v>92.45927</v>
      </c>
      <c r="R710" t="n">
        <v>66.12101</v>
      </c>
      <c r="S710" t="n">
        <v>87.12202000000001</v>
      </c>
      <c r="T710" t="n">
        <v>67.82964</v>
      </c>
      <c r="U710" t="n">
        <v>49.38572</v>
      </c>
      <c r="V710" t="n">
        <v>74.41394</v>
      </c>
      <c r="W710" t="n">
        <v>66.83981</v>
      </c>
      <c r="X710" t="n">
        <v>70.15093</v>
      </c>
      <c r="Y710" t="n">
        <v>72.05186</v>
      </c>
      <c r="Z710" t="n">
        <v>65.47638999999999</v>
      </c>
      <c r="AA710" t="n">
        <v>40.88427</v>
      </c>
      <c r="AB710" t="n">
        <v>78.7852</v>
      </c>
      <c r="AC710" t="n">
        <v>44.12033</v>
      </c>
      <c r="AD710" t="n">
        <v>70.22024999999999</v>
      </c>
      <c r="AE710" t="n">
        <v>68.33632</v>
      </c>
    </row>
    <row r="711">
      <c r="A711" s="87" t="n">
        <v>40210</v>
      </c>
      <c r="B711" t="n">
        <v>66.64908</v>
      </c>
      <c r="C711" t="n">
        <v>50.93201</v>
      </c>
      <c r="D711" t="n">
        <v>68.34099999999999</v>
      </c>
      <c r="E711" t="n">
        <v>73.71519000000001</v>
      </c>
      <c r="F711" t="n">
        <v>52.4431</v>
      </c>
      <c r="G711" t="n">
        <v>47.81712</v>
      </c>
      <c r="H711" t="n">
        <v>50.66798</v>
      </c>
      <c r="I711" t="n">
        <v>67.11360999999999</v>
      </c>
      <c r="J711" t="n">
        <v>76.53442</v>
      </c>
      <c r="K711" t="n">
        <v>103.9764</v>
      </c>
      <c r="L711" t="n">
        <v>87.84820999999999</v>
      </c>
      <c r="M711" t="n">
        <v>101.3954</v>
      </c>
      <c r="N711" t="n">
        <v>85.23331</v>
      </c>
      <c r="O711" t="n">
        <v>47.71336</v>
      </c>
      <c r="P711" t="n">
        <v>50.14887</v>
      </c>
      <c r="Q711" t="n">
        <v>91.81712</v>
      </c>
      <c r="R711" t="n">
        <v>66.08761</v>
      </c>
      <c r="S711" t="n">
        <v>87.24796000000001</v>
      </c>
      <c r="T711" t="n">
        <v>68.45775999999999</v>
      </c>
      <c r="U711" t="n">
        <v>49.43088</v>
      </c>
      <c r="V711" t="n">
        <v>74.4307</v>
      </c>
      <c r="W711" t="n">
        <v>66.64353</v>
      </c>
      <c r="X711" t="n">
        <v>70.72573</v>
      </c>
      <c r="Y711" t="n">
        <v>73.54723</v>
      </c>
      <c r="Z711" t="n">
        <v>65.59350000000001</v>
      </c>
      <c r="AA711" t="n">
        <v>41.66953</v>
      </c>
      <c r="AB711" t="n">
        <v>79.35886000000001</v>
      </c>
      <c r="AC711" t="n">
        <v>44.81744</v>
      </c>
      <c r="AD711" t="n">
        <v>70.62954999999999</v>
      </c>
      <c r="AE711" t="n">
        <v>68.84856000000001</v>
      </c>
    </row>
    <row r="712">
      <c r="A712" s="87" t="n">
        <v>40238</v>
      </c>
      <c r="B712" t="n">
        <v>67.41113</v>
      </c>
      <c r="C712" t="n">
        <v>51.37119</v>
      </c>
      <c r="D712" t="n">
        <v>68.37036999999999</v>
      </c>
      <c r="E712" t="n">
        <v>74.24426</v>
      </c>
      <c r="F712" t="n">
        <v>53.30129</v>
      </c>
      <c r="G712" t="n">
        <v>48.45417</v>
      </c>
      <c r="H712" t="n">
        <v>50.80788</v>
      </c>
      <c r="I712" t="n">
        <v>66.73497</v>
      </c>
      <c r="J712" t="n">
        <v>76.56847</v>
      </c>
      <c r="K712" t="n">
        <v>104.3909</v>
      </c>
      <c r="L712" t="n">
        <v>87.78699</v>
      </c>
      <c r="M712" t="n">
        <v>101.7408</v>
      </c>
      <c r="N712" t="n">
        <v>85.80656999999999</v>
      </c>
      <c r="O712" t="n">
        <v>48.39354</v>
      </c>
      <c r="P712" t="n">
        <v>50.89152</v>
      </c>
      <c r="Q712" t="n">
        <v>91.13728</v>
      </c>
      <c r="R712" t="n">
        <v>65.89623</v>
      </c>
      <c r="S712" t="n">
        <v>87.30970000000001</v>
      </c>
      <c r="T712" t="n">
        <v>69.12242000000001</v>
      </c>
      <c r="U712" t="n">
        <v>49.87571</v>
      </c>
      <c r="V712" t="n">
        <v>74.63142000000001</v>
      </c>
      <c r="W712" t="n">
        <v>66.82040000000001</v>
      </c>
      <c r="X712" t="n">
        <v>70.8991</v>
      </c>
      <c r="Y712" t="n">
        <v>73.95379</v>
      </c>
      <c r="Z712" t="n">
        <v>66.0201</v>
      </c>
      <c r="AA712" t="n">
        <v>42.44012</v>
      </c>
      <c r="AB712" t="n">
        <v>79.60847</v>
      </c>
      <c r="AC712" t="n">
        <v>45.36288</v>
      </c>
      <c r="AD712" t="n">
        <v>70.60548</v>
      </c>
      <c r="AE712" t="n">
        <v>69.05627</v>
      </c>
    </row>
    <row r="713">
      <c r="A713" s="87" t="n">
        <v>40269</v>
      </c>
      <c r="B713" t="n">
        <v>67.98267</v>
      </c>
      <c r="C713" t="n">
        <v>51.88195</v>
      </c>
      <c r="D713" t="n">
        <v>69.22054</v>
      </c>
      <c r="E713" t="n">
        <v>74.74744</v>
      </c>
      <c r="F713" t="n">
        <v>54.01538</v>
      </c>
      <c r="G713" t="n">
        <v>49.05105</v>
      </c>
      <c r="H713" t="n">
        <v>51.19637</v>
      </c>
      <c r="I713" t="n">
        <v>66.24883</v>
      </c>
      <c r="J713" t="n">
        <v>77.35645</v>
      </c>
      <c r="K713" t="n">
        <v>104.9112</v>
      </c>
      <c r="L713" t="n">
        <v>88.24196999999999</v>
      </c>
      <c r="M713" t="n">
        <v>100.8591</v>
      </c>
      <c r="N713" t="n">
        <v>86.65009999999999</v>
      </c>
      <c r="O713" t="n">
        <v>49.18651</v>
      </c>
      <c r="P713" t="n">
        <v>51.37198</v>
      </c>
      <c r="Q713" t="n">
        <v>90.35993000000001</v>
      </c>
      <c r="R713" t="n">
        <v>66.26958999999999</v>
      </c>
      <c r="S713" t="n">
        <v>87.58446000000001</v>
      </c>
      <c r="T713" t="n">
        <v>69.76502000000001</v>
      </c>
      <c r="U713" t="n">
        <v>50.45894</v>
      </c>
      <c r="V713" t="n">
        <v>74.79087</v>
      </c>
      <c r="W713" t="n">
        <v>67.18333</v>
      </c>
      <c r="X713" t="n">
        <v>71.20959999999999</v>
      </c>
      <c r="Y713" t="n">
        <v>74.01401</v>
      </c>
      <c r="Z713" t="n">
        <v>66.53712</v>
      </c>
      <c r="AA713" t="n">
        <v>43.08001</v>
      </c>
      <c r="AB713" t="n">
        <v>79.58385</v>
      </c>
      <c r="AC713" t="n">
        <v>45.6802</v>
      </c>
      <c r="AD713" t="n">
        <v>70.86035</v>
      </c>
      <c r="AE713" t="n">
        <v>68.81847999999999</v>
      </c>
    </row>
    <row r="714">
      <c r="A714" s="87" t="n">
        <v>40299</v>
      </c>
      <c r="B714" t="n">
        <v>68.29926</v>
      </c>
      <c r="C714" t="n">
        <v>52.47933</v>
      </c>
      <c r="D714" t="n">
        <v>70.02849000000001</v>
      </c>
      <c r="E714" t="n">
        <v>75.50257000000001</v>
      </c>
      <c r="F714" t="n">
        <v>54.41483</v>
      </c>
      <c r="G714" t="n">
        <v>49.77767</v>
      </c>
      <c r="H714" t="n">
        <v>51.57986</v>
      </c>
      <c r="I714" t="n">
        <v>66.62900999999999</v>
      </c>
      <c r="J714" t="n">
        <v>78.68528000000001</v>
      </c>
      <c r="K714" t="n">
        <v>105.7061</v>
      </c>
      <c r="L714" t="n">
        <v>88.77915</v>
      </c>
      <c r="M714" t="n">
        <v>100.2542</v>
      </c>
      <c r="N714" t="n">
        <v>87.63956</v>
      </c>
      <c r="O714" t="n">
        <v>49.70914</v>
      </c>
      <c r="P714" t="n">
        <v>51.81095</v>
      </c>
      <c r="Q714" t="n">
        <v>89.54711</v>
      </c>
      <c r="R714" t="n">
        <v>66.48685</v>
      </c>
      <c r="S714" t="n">
        <v>87.95377999999999</v>
      </c>
      <c r="T714" t="n">
        <v>70.22904</v>
      </c>
      <c r="U714" t="n">
        <v>51.11324</v>
      </c>
      <c r="V714" t="n">
        <v>74.84692</v>
      </c>
      <c r="W714" t="n">
        <v>67.53506</v>
      </c>
      <c r="X714" t="n">
        <v>71.65009999999999</v>
      </c>
      <c r="Y714" t="n">
        <v>74.30679000000001</v>
      </c>
      <c r="Z714" t="n">
        <v>67.3522</v>
      </c>
      <c r="AA714" t="n">
        <v>43.98681</v>
      </c>
      <c r="AB714" t="n">
        <v>79.66764999999999</v>
      </c>
      <c r="AC714" t="n">
        <v>46.18777</v>
      </c>
      <c r="AD714" t="n">
        <v>71.31448</v>
      </c>
      <c r="AE714" t="n">
        <v>68.97855</v>
      </c>
    </row>
    <row r="715">
      <c r="A715" s="87" t="n">
        <v>40330</v>
      </c>
      <c r="B715" t="n">
        <v>68.72792</v>
      </c>
      <c r="C715" t="n">
        <v>53.15186</v>
      </c>
      <c r="D715" t="n">
        <v>70.57273000000001</v>
      </c>
      <c r="E715" t="n">
        <v>76.46124</v>
      </c>
      <c r="F715" t="n">
        <v>54.66339</v>
      </c>
      <c r="G715" t="n">
        <v>50.26099</v>
      </c>
      <c r="H715" t="n">
        <v>52.06047</v>
      </c>
      <c r="I715" t="n">
        <v>67.71493</v>
      </c>
      <c r="J715" t="n">
        <v>79.29201999999999</v>
      </c>
      <c r="K715" t="n">
        <v>107.2226</v>
      </c>
      <c r="L715" t="n">
        <v>88.10312999999999</v>
      </c>
      <c r="M715" t="n">
        <v>100.2259</v>
      </c>
      <c r="N715" t="n">
        <v>88.35683</v>
      </c>
      <c r="O715" t="n">
        <v>50.56684</v>
      </c>
      <c r="P715" t="n">
        <v>52.44637</v>
      </c>
      <c r="Q715" t="n">
        <v>88.76714</v>
      </c>
      <c r="R715" t="n">
        <v>67.03603</v>
      </c>
      <c r="S715" t="n">
        <v>87.92392</v>
      </c>
      <c r="T715" t="n">
        <v>70.5596</v>
      </c>
      <c r="U715" t="n">
        <v>51.70588</v>
      </c>
      <c r="V715" t="n">
        <v>75.36398</v>
      </c>
      <c r="W715" t="n">
        <v>67.4653</v>
      </c>
      <c r="X715" t="n">
        <v>71.94423999999999</v>
      </c>
      <c r="Y715" t="n">
        <v>74.88779</v>
      </c>
      <c r="Z715" t="n">
        <v>68.29809</v>
      </c>
      <c r="AA715" t="n">
        <v>44.99681</v>
      </c>
      <c r="AB715" t="n">
        <v>79.74033</v>
      </c>
      <c r="AC715" t="n">
        <v>47.08384</v>
      </c>
      <c r="AD715" t="n">
        <v>71.47305</v>
      </c>
      <c r="AE715" t="n">
        <v>69.45453000000001</v>
      </c>
    </row>
    <row r="716">
      <c r="A716" s="87" t="n">
        <v>40360</v>
      </c>
      <c r="B716" t="n">
        <v>69.31908</v>
      </c>
      <c r="C716" t="n">
        <v>53.85883</v>
      </c>
      <c r="D716" t="n">
        <v>71.09408000000001</v>
      </c>
      <c r="E716" t="n">
        <v>76.84229000000001</v>
      </c>
      <c r="F716" t="n">
        <v>54.59764</v>
      </c>
      <c r="G716" t="n">
        <v>50.77944</v>
      </c>
      <c r="H716" t="n">
        <v>52.55682</v>
      </c>
      <c r="I716" t="n">
        <v>67.7732</v>
      </c>
      <c r="J716" t="n">
        <v>79.03061</v>
      </c>
      <c r="K716" t="n">
        <v>108.8765</v>
      </c>
      <c r="L716" t="n">
        <v>87.23394999999999</v>
      </c>
      <c r="M716" t="n">
        <v>100.1089</v>
      </c>
      <c r="N716" t="n">
        <v>88.74299000000001</v>
      </c>
      <c r="O716" t="n">
        <v>51.29067</v>
      </c>
      <c r="P716" t="n">
        <v>53.21127</v>
      </c>
      <c r="Q716" t="n">
        <v>88.01714</v>
      </c>
      <c r="R716" t="n">
        <v>67.25726</v>
      </c>
      <c r="S716" t="n">
        <v>88.02627</v>
      </c>
      <c r="T716" t="n">
        <v>70.65228</v>
      </c>
      <c r="U716" t="n">
        <v>52.33278</v>
      </c>
      <c r="V716" t="n">
        <v>76.28076</v>
      </c>
      <c r="W716" t="n">
        <v>67.50626</v>
      </c>
      <c r="X716" t="n">
        <v>72.17873</v>
      </c>
      <c r="Y716" t="n">
        <v>75.32265</v>
      </c>
      <c r="Z716" t="n">
        <v>68.80833</v>
      </c>
      <c r="AA716" t="n">
        <v>45.75356</v>
      </c>
      <c r="AB716" t="n">
        <v>80.36462</v>
      </c>
      <c r="AC716" t="n">
        <v>47.81548</v>
      </c>
      <c r="AD716" t="n">
        <v>71.55441</v>
      </c>
      <c r="AE716" t="n">
        <v>70.06393</v>
      </c>
    </row>
    <row r="717">
      <c r="A717" s="87" t="n">
        <v>40391</v>
      </c>
      <c r="B717" t="n">
        <v>69.91862999999999</v>
      </c>
      <c r="C717" t="n">
        <v>54.66223</v>
      </c>
      <c r="D717" t="n">
        <v>71.63884</v>
      </c>
      <c r="E717" t="n">
        <v>76.92509</v>
      </c>
      <c r="F717" t="n">
        <v>54.43827</v>
      </c>
      <c r="G717" t="n">
        <v>51.70747</v>
      </c>
      <c r="H717" t="n">
        <v>52.80836</v>
      </c>
      <c r="I717" t="n">
        <v>67.25097</v>
      </c>
      <c r="J717" t="n">
        <v>78.68764</v>
      </c>
      <c r="K717" t="n">
        <v>109.446</v>
      </c>
      <c r="L717" t="n">
        <v>87.21083</v>
      </c>
      <c r="M717" t="n">
        <v>99.86008</v>
      </c>
      <c r="N717" t="n">
        <v>88.86243</v>
      </c>
      <c r="O717" t="n">
        <v>51.54492</v>
      </c>
      <c r="P717" t="n">
        <v>53.93836</v>
      </c>
      <c r="Q717" t="n">
        <v>87.30452</v>
      </c>
      <c r="R717" t="n">
        <v>66.90352</v>
      </c>
      <c r="S717" t="n">
        <v>88.23672999999999</v>
      </c>
      <c r="T717" t="n">
        <v>70.76949</v>
      </c>
      <c r="U717" t="n">
        <v>53.3356</v>
      </c>
      <c r="V717" t="n">
        <v>76.93026999999999</v>
      </c>
      <c r="W717" t="n">
        <v>68.00821000000001</v>
      </c>
      <c r="X717" t="n">
        <v>72.55862</v>
      </c>
      <c r="Y717" t="n">
        <v>75.51893</v>
      </c>
      <c r="Z717" t="n">
        <v>69.08750999999999</v>
      </c>
      <c r="AA717" t="n">
        <v>46.5936</v>
      </c>
      <c r="AB717" t="n">
        <v>80.58204000000001</v>
      </c>
      <c r="AC717" t="n">
        <v>48.1311</v>
      </c>
      <c r="AD717" t="n">
        <v>71.97201</v>
      </c>
      <c r="AE717" t="n">
        <v>70.31703</v>
      </c>
    </row>
    <row r="718">
      <c r="A718" s="87" t="n">
        <v>40422</v>
      </c>
      <c r="B718" t="n">
        <v>70.42854</v>
      </c>
      <c r="C718" t="n">
        <v>55.5124</v>
      </c>
      <c r="D718" t="n">
        <v>71.49760000000001</v>
      </c>
      <c r="E718" t="n">
        <v>77.19441999999999</v>
      </c>
      <c r="F718" t="n">
        <v>54.88056</v>
      </c>
      <c r="G718" t="n">
        <v>52.64408</v>
      </c>
      <c r="H718" t="n">
        <v>53.25485</v>
      </c>
      <c r="I718" t="n">
        <v>66.88697000000001</v>
      </c>
      <c r="J718" t="n">
        <v>78.45686000000001</v>
      </c>
      <c r="K718" t="n">
        <v>104.5574</v>
      </c>
      <c r="L718" t="n">
        <v>87.23569000000001</v>
      </c>
      <c r="M718" t="n">
        <v>99.68369</v>
      </c>
      <c r="N718" t="n">
        <v>88.33138</v>
      </c>
      <c r="O718" t="n">
        <v>52.02149</v>
      </c>
      <c r="P718" t="n">
        <v>54.45184</v>
      </c>
      <c r="Q718" t="n">
        <v>86.63753</v>
      </c>
      <c r="R718" t="n">
        <v>66.93203</v>
      </c>
      <c r="S718" t="n">
        <v>88.37684</v>
      </c>
      <c r="T718" t="n">
        <v>70.95948</v>
      </c>
      <c r="U718" t="n">
        <v>54.14809</v>
      </c>
      <c r="V718" t="n">
        <v>77.23699999999999</v>
      </c>
      <c r="W718" t="n">
        <v>68.49283</v>
      </c>
      <c r="X718" t="n">
        <v>72.8182</v>
      </c>
      <c r="Y718" t="n">
        <v>75.66453</v>
      </c>
      <c r="Z718" t="n">
        <v>69.51988</v>
      </c>
      <c r="AA718" t="n">
        <v>47.42027</v>
      </c>
      <c r="AB718" t="n">
        <v>80.40182</v>
      </c>
      <c r="AC718" t="n">
        <v>48.58194</v>
      </c>
      <c r="AD718" t="n">
        <v>72.22937</v>
      </c>
      <c r="AE718" t="n">
        <v>70.59019000000001</v>
      </c>
    </row>
    <row r="719">
      <c r="A719" s="87" t="n">
        <v>40452</v>
      </c>
      <c r="B719" t="n">
        <v>71.01409</v>
      </c>
      <c r="C719" t="n">
        <v>56.62296</v>
      </c>
      <c r="D719" t="n">
        <v>71.97387000000001</v>
      </c>
      <c r="E719" t="n">
        <v>77.47732999999999</v>
      </c>
      <c r="F719" t="n">
        <v>55.76621</v>
      </c>
      <c r="G719" t="n">
        <v>53.51728</v>
      </c>
      <c r="H719" t="n">
        <v>53.74386</v>
      </c>
      <c r="I719" t="n">
        <v>66.49902</v>
      </c>
      <c r="J719" t="n">
        <v>78.42764</v>
      </c>
      <c r="K719" t="n">
        <v>99.69906</v>
      </c>
      <c r="L719" t="n">
        <v>87.26260000000001</v>
      </c>
      <c r="M719" t="n">
        <v>99.84527</v>
      </c>
      <c r="N719" t="n">
        <v>87.67785000000001</v>
      </c>
      <c r="O719" t="n">
        <v>52.78292</v>
      </c>
      <c r="P719" t="n">
        <v>55.49382</v>
      </c>
      <c r="Q719" t="n">
        <v>86.01361</v>
      </c>
      <c r="R719" t="n">
        <v>67.13856</v>
      </c>
      <c r="S719" t="n">
        <v>88.52056</v>
      </c>
      <c r="T719" t="n">
        <v>71.2625</v>
      </c>
      <c r="U719" t="n">
        <v>55.03181</v>
      </c>
      <c r="V719" t="n">
        <v>77.60080000000001</v>
      </c>
      <c r="W719" t="n">
        <v>69.07841000000001</v>
      </c>
      <c r="X719" t="n">
        <v>73.23219</v>
      </c>
      <c r="Y719" t="n">
        <v>76.00084</v>
      </c>
      <c r="Z719" t="n">
        <v>69.97942999999999</v>
      </c>
      <c r="AA719" t="n">
        <v>48.21633</v>
      </c>
      <c r="AB719" t="n">
        <v>80.93497000000001</v>
      </c>
      <c r="AC719" t="n">
        <v>49.26577</v>
      </c>
      <c r="AD719" t="n">
        <v>72.63866</v>
      </c>
      <c r="AE719" t="n">
        <v>71.28297000000001</v>
      </c>
    </row>
    <row r="720">
      <c r="A720" s="87" t="n">
        <v>40483</v>
      </c>
      <c r="B720" t="n">
        <v>71.95265000000001</v>
      </c>
      <c r="C720" t="n">
        <v>57.50182</v>
      </c>
      <c r="D720" t="n">
        <v>72.13536999999999</v>
      </c>
      <c r="E720" t="n">
        <v>77.88709</v>
      </c>
      <c r="F720" t="n">
        <v>56.60527</v>
      </c>
      <c r="G720" t="n">
        <v>54.4231</v>
      </c>
      <c r="H720" t="n">
        <v>54.18348</v>
      </c>
      <c r="I720" t="n">
        <v>67.34319000000001</v>
      </c>
      <c r="J720" t="n">
        <v>78.4434</v>
      </c>
      <c r="K720" t="n">
        <v>100.5315</v>
      </c>
      <c r="L720" t="n">
        <v>87.36653</v>
      </c>
      <c r="M720" t="n">
        <v>99.50936</v>
      </c>
      <c r="N720" t="n">
        <v>87.79891000000001</v>
      </c>
      <c r="O720" t="n">
        <v>53.52609</v>
      </c>
      <c r="P720" t="n">
        <v>56.39669</v>
      </c>
      <c r="Q720" t="n">
        <v>85.44056999999999</v>
      </c>
      <c r="R720" t="n">
        <v>67.55253999999999</v>
      </c>
      <c r="S720" t="n">
        <v>88.56162</v>
      </c>
      <c r="T720" t="n">
        <v>71.72028</v>
      </c>
      <c r="U720" t="n">
        <v>55.50502</v>
      </c>
      <c r="V720" t="n">
        <v>78.33382</v>
      </c>
      <c r="W720" t="n">
        <v>69.59977000000001</v>
      </c>
      <c r="X720" t="n">
        <v>73.48824999999999</v>
      </c>
      <c r="Y720" t="n">
        <v>76.27975000000001</v>
      </c>
      <c r="Z720" t="n">
        <v>70.36121</v>
      </c>
      <c r="AA720" t="n">
        <v>49.21801</v>
      </c>
      <c r="AB720" t="n">
        <v>81.12514</v>
      </c>
      <c r="AC720" t="n">
        <v>49.95992</v>
      </c>
      <c r="AD720" t="n">
        <v>72.80969</v>
      </c>
      <c r="AE720" t="n">
        <v>72.14709999999999</v>
      </c>
    </row>
    <row r="721">
      <c r="A721" s="87" t="n">
        <v>40513</v>
      </c>
      <c r="B721" t="n">
        <v>72.74833</v>
      </c>
      <c r="C721" t="n">
        <v>57.86961</v>
      </c>
      <c r="D721" t="n">
        <v>72.4734</v>
      </c>
      <c r="E721" t="n">
        <v>78.3867</v>
      </c>
      <c r="F721" t="n">
        <v>57.43983</v>
      </c>
      <c r="G721" t="n">
        <v>55.05651</v>
      </c>
      <c r="H721" t="n">
        <v>54.86072</v>
      </c>
      <c r="I721" t="n">
        <v>68.26344</v>
      </c>
      <c r="J721" t="n">
        <v>78.93680999999999</v>
      </c>
      <c r="K721" t="n">
        <v>102.5082</v>
      </c>
      <c r="L721" t="n">
        <v>87.66569</v>
      </c>
      <c r="M721" t="n">
        <v>98.59531</v>
      </c>
      <c r="N721" t="n">
        <v>87.22659</v>
      </c>
      <c r="O721" t="n">
        <v>54.47383</v>
      </c>
      <c r="P721" t="n">
        <v>57.2337</v>
      </c>
      <c r="Q721" t="n">
        <v>84.94898000000001</v>
      </c>
      <c r="R721" t="n">
        <v>67.79723</v>
      </c>
      <c r="S721" t="n">
        <v>88.52222</v>
      </c>
      <c r="T721" t="n">
        <v>71.7038</v>
      </c>
      <c r="U721" t="n">
        <v>55.57988</v>
      </c>
      <c r="V721" t="n">
        <v>79.02903999999999</v>
      </c>
      <c r="W721" t="n">
        <v>70.06686000000001</v>
      </c>
      <c r="X721" t="n">
        <v>73.73220999999999</v>
      </c>
      <c r="Y721" t="n">
        <v>76.55876000000001</v>
      </c>
      <c r="Z721" t="n">
        <v>70.84219</v>
      </c>
      <c r="AA721" t="n">
        <v>50.21877</v>
      </c>
      <c r="AB721" t="n">
        <v>80.81652</v>
      </c>
      <c r="AC721" t="n">
        <v>51.14685</v>
      </c>
      <c r="AD721" t="n">
        <v>73.0737</v>
      </c>
      <c r="AE721" t="n">
        <v>72.81018</v>
      </c>
    </row>
    <row r="722">
      <c r="A722" s="87" t="n">
        <v>40544</v>
      </c>
      <c r="B722" t="n">
        <v>73.23022</v>
      </c>
      <c r="C722" t="n">
        <v>58.44491</v>
      </c>
      <c r="D722" t="n">
        <v>73.03579000000001</v>
      </c>
      <c r="E722" t="n">
        <v>78.74791999999999</v>
      </c>
      <c r="F722" t="n">
        <v>58.39902</v>
      </c>
      <c r="G722" t="n">
        <v>55.45617</v>
      </c>
      <c r="H722" t="n">
        <v>55.52333</v>
      </c>
      <c r="I722" t="n">
        <v>68.72605</v>
      </c>
      <c r="J722" t="n">
        <v>79.09666</v>
      </c>
      <c r="K722" t="n">
        <v>96.04294</v>
      </c>
      <c r="L722" t="n">
        <v>87.85007</v>
      </c>
      <c r="M722" t="n">
        <v>98.11282</v>
      </c>
      <c r="N722" t="n">
        <v>87.0025</v>
      </c>
      <c r="O722" t="n">
        <v>55.49007</v>
      </c>
      <c r="P722" t="n">
        <v>57.98042</v>
      </c>
      <c r="Q722" t="n">
        <v>84.60115</v>
      </c>
      <c r="R722" t="n">
        <v>67.6585</v>
      </c>
      <c r="S722" t="n">
        <v>88.69604</v>
      </c>
      <c r="T722" t="n">
        <v>71.71641</v>
      </c>
      <c r="U722" t="n">
        <v>56.11072</v>
      </c>
      <c r="V722" t="n">
        <v>79.75375</v>
      </c>
      <c r="W722" t="n">
        <v>70.79733</v>
      </c>
      <c r="X722" t="n">
        <v>73.96408</v>
      </c>
      <c r="Y722" t="n">
        <v>76.67107</v>
      </c>
      <c r="Z722" t="n">
        <v>70.97681</v>
      </c>
      <c r="AA722" t="n">
        <v>50.99953</v>
      </c>
      <c r="AB722" t="n">
        <v>80.35261</v>
      </c>
      <c r="AC722" t="n">
        <v>52.38754</v>
      </c>
      <c r="AD722" t="n">
        <v>73.25053</v>
      </c>
      <c r="AE722" t="n">
        <v>73.45647</v>
      </c>
    </row>
    <row r="723">
      <c r="A723" s="87" t="n">
        <v>40575</v>
      </c>
      <c r="B723" t="n">
        <v>73.87179999999999</v>
      </c>
      <c r="C723" t="n">
        <v>59.5407</v>
      </c>
      <c r="D723" t="n">
        <v>73.47359</v>
      </c>
      <c r="E723" t="n">
        <v>79.29398999999999</v>
      </c>
      <c r="F723" t="n">
        <v>59.35181</v>
      </c>
      <c r="G723" t="n">
        <v>55.77715</v>
      </c>
      <c r="H723" t="n">
        <v>56.07295</v>
      </c>
      <c r="I723" t="n">
        <v>68.98918</v>
      </c>
      <c r="J723" t="n">
        <v>78.79711</v>
      </c>
      <c r="K723" t="n">
        <v>88.98528</v>
      </c>
      <c r="L723" t="n">
        <v>87.74575</v>
      </c>
      <c r="M723" t="n">
        <v>98.27099</v>
      </c>
      <c r="N723" t="n">
        <v>87.51166000000001</v>
      </c>
      <c r="O723" t="n">
        <v>56.01678</v>
      </c>
      <c r="P723" t="n">
        <v>58.48793</v>
      </c>
      <c r="Q723" t="n">
        <v>84.43562</v>
      </c>
      <c r="R723" t="n">
        <v>67.93598</v>
      </c>
      <c r="S723" t="n">
        <v>88.85655</v>
      </c>
      <c r="T723" t="n">
        <v>72.21159</v>
      </c>
      <c r="U723" t="n">
        <v>56.76329</v>
      </c>
      <c r="V723" t="n">
        <v>80.33506</v>
      </c>
      <c r="W723" t="n">
        <v>71.34256000000001</v>
      </c>
      <c r="X723" t="n">
        <v>74.40197000000001</v>
      </c>
      <c r="Y723" t="n">
        <v>76.87278999999999</v>
      </c>
      <c r="Z723" t="n">
        <v>71.13297</v>
      </c>
      <c r="AA723" t="n">
        <v>51.50147</v>
      </c>
      <c r="AB723" t="n">
        <v>80.00396000000001</v>
      </c>
      <c r="AC723" t="n">
        <v>53.4123</v>
      </c>
      <c r="AD723" t="n">
        <v>73.78021</v>
      </c>
      <c r="AE723" t="n">
        <v>74.17673000000001</v>
      </c>
    </row>
    <row r="724">
      <c r="A724" s="87" t="n">
        <v>40603</v>
      </c>
      <c r="B724" t="n">
        <v>74.51058</v>
      </c>
      <c r="C724" t="n">
        <v>60.4278</v>
      </c>
      <c r="D724" t="n">
        <v>74.1172</v>
      </c>
      <c r="E724" t="n">
        <v>79.81278</v>
      </c>
      <c r="F724" t="n">
        <v>60.04799</v>
      </c>
      <c r="G724" t="n">
        <v>56.31684</v>
      </c>
      <c r="H724" t="n">
        <v>56.89853</v>
      </c>
      <c r="I724" t="n">
        <v>69.09492</v>
      </c>
      <c r="J724" t="n">
        <v>78.64122</v>
      </c>
      <c r="K724" t="n">
        <v>89.61693</v>
      </c>
      <c r="L724" t="n">
        <v>87.83842</v>
      </c>
      <c r="M724" t="n">
        <v>98.80734</v>
      </c>
      <c r="N724" t="n">
        <v>87.40881</v>
      </c>
      <c r="O724" t="n">
        <v>56.44234</v>
      </c>
      <c r="P724" t="n">
        <v>59.30288</v>
      </c>
      <c r="Q724" t="n">
        <v>84.49773</v>
      </c>
      <c r="R724" t="n">
        <v>68.35057999999999</v>
      </c>
      <c r="S724" t="n">
        <v>89.05833</v>
      </c>
      <c r="T724" t="n">
        <v>72.50542</v>
      </c>
      <c r="U724" t="n">
        <v>57.43894</v>
      </c>
      <c r="V724" t="n">
        <v>80.56824</v>
      </c>
      <c r="W724" t="n">
        <v>71.77231999999999</v>
      </c>
      <c r="X724" t="n">
        <v>74.92404999999999</v>
      </c>
      <c r="Y724" t="n">
        <v>77.63684000000001</v>
      </c>
      <c r="Z724" t="n">
        <v>72.53009</v>
      </c>
      <c r="AA724" t="n">
        <v>52.13552</v>
      </c>
      <c r="AB724" t="n">
        <v>80.57453</v>
      </c>
      <c r="AC724" t="n">
        <v>54.48426</v>
      </c>
      <c r="AD724" t="n">
        <v>74.25011000000001</v>
      </c>
      <c r="AE724" t="n">
        <v>73.80756</v>
      </c>
    </row>
    <row r="725">
      <c r="A725" s="87" t="n">
        <v>40634</v>
      </c>
      <c r="B725" t="n">
        <v>74.98687</v>
      </c>
      <c r="C725" t="n">
        <v>61.11057</v>
      </c>
      <c r="D725" t="n">
        <v>74.65183</v>
      </c>
      <c r="E725" t="n">
        <v>80.18621</v>
      </c>
      <c r="F725" t="n">
        <v>60.68446</v>
      </c>
      <c r="G725" t="n">
        <v>56.89611</v>
      </c>
      <c r="H725" t="n">
        <v>57.35065</v>
      </c>
      <c r="I725" t="n">
        <v>69.86129</v>
      </c>
      <c r="J725" t="n">
        <v>78.88831999999999</v>
      </c>
      <c r="K725" t="n">
        <v>88.67999</v>
      </c>
      <c r="L725" t="n">
        <v>88.27630000000001</v>
      </c>
      <c r="M725" t="n">
        <v>99.01485</v>
      </c>
      <c r="N725" t="n">
        <v>87.40752999999999</v>
      </c>
      <c r="O725" t="n">
        <v>56.77438</v>
      </c>
      <c r="P725" t="n">
        <v>60.11048</v>
      </c>
      <c r="Q725" t="n">
        <v>84.7855</v>
      </c>
      <c r="R725" t="n">
        <v>68.58188</v>
      </c>
      <c r="S725" t="n">
        <v>89.42379</v>
      </c>
      <c r="T725" t="n">
        <v>72.81116</v>
      </c>
      <c r="U725" t="n">
        <v>58.31168</v>
      </c>
      <c r="V725" t="n">
        <v>81.10872000000001</v>
      </c>
      <c r="W725" t="n">
        <v>72.40072000000001</v>
      </c>
      <c r="X725" t="n">
        <v>75.43876</v>
      </c>
      <c r="Y725" t="n">
        <v>78.17048</v>
      </c>
      <c r="Z725" t="n">
        <v>73.42412</v>
      </c>
      <c r="AA725" t="n">
        <v>52.80516</v>
      </c>
      <c r="AB725" t="n">
        <v>80.99875</v>
      </c>
      <c r="AC725" t="n">
        <v>55.41262</v>
      </c>
      <c r="AD725" t="n">
        <v>74.75986</v>
      </c>
      <c r="AE725" t="n">
        <v>73.11787</v>
      </c>
    </row>
    <row r="726">
      <c r="A726" s="87" t="n">
        <v>40664</v>
      </c>
      <c r="B726" t="n">
        <v>75.36229</v>
      </c>
      <c r="C726" t="n">
        <v>61.97477</v>
      </c>
      <c r="D726" t="n">
        <v>74.84362</v>
      </c>
      <c r="E726" t="n">
        <v>80.66856</v>
      </c>
      <c r="F726" t="n">
        <v>61.3779</v>
      </c>
      <c r="G726" t="n">
        <v>57.37191</v>
      </c>
      <c r="H726" t="n">
        <v>58.07809</v>
      </c>
      <c r="I726" t="n">
        <v>69.64876</v>
      </c>
      <c r="J726" t="n">
        <v>79.5575</v>
      </c>
      <c r="K726" t="n">
        <v>88.10132</v>
      </c>
      <c r="L726" t="n">
        <v>88.5741</v>
      </c>
      <c r="M726" t="n">
        <v>99.07971999999999</v>
      </c>
      <c r="N726" t="n">
        <v>87.85845</v>
      </c>
      <c r="O726" t="n">
        <v>57.20158</v>
      </c>
      <c r="P726" t="n">
        <v>60.80894</v>
      </c>
      <c r="Q726" t="n">
        <v>85.16862</v>
      </c>
      <c r="R726" t="n">
        <v>69.28901</v>
      </c>
      <c r="S726" t="n">
        <v>89.83651999999999</v>
      </c>
      <c r="T726" t="n">
        <v>73.11291</v>
      </c>
      <c r="U726" t="n">
        <v>59.36428</v>
      </c>
      <c r="V726" t="n">
        <v>81.90961</v>
      </c>
      <c r="W726" t="n">
        <v>72.86893000000001</v>
      </c>
      <c r="X726" t="n">
        <v>75.97242</v>
      </c>
      <c r="Y726" t="n">
        <v>78.56953</v>
      </c>
      <c r="Z726" t="n">
        <v>73.23405</v>
      </c>
      <c r="AA726" t="n">
        <v>53.30405</v>
      </c>
      <c r="AB726" t="n">
        <v>80.87933</v>
      </c>
      <c r="AC726" t="n">
        <v>56.44921</v>
      </c>
      <c r="AD726" t="n">
        <v>75.34599</v>
      </c>
      <c r="AE726" t="n">
        <v>73.22084</v>
      </c>
    </row>
    <row r="727">
      <c r="A727" s="87" t="n">
        <v>40695</v>
      </c>
      <c r="B727" t="n">
        <v>75.39870999999999</v>
      </c>
      <c r="C727" t="n">
        <v>62.63065</v>
      </c>
      <c r="D727" t="n">
        <v>75.23924</v>
      </c>
      <c r="E727" t="n">
        <v>80.99642</v>
      </c>
      <c r="F727" t="n">
        <v>62.24108</v>
      </c>
      <c r="G727" t="n">
        <v>58.01869</v>
      </c>
      <c r="H727" t="n">
        <v>59.29427</v>
      </c>
      <c r="I727" t="n">
        <v>68.5907</v>
      </c>
      <c r="J727" t="n">
        <v>79.34805</v>
      </c>
      <c r="K727" t="n">
        <v>87.97566</v>
      </c>
      <c r="L727" t="n">
        <v>88.63485</v>
      </c>
      <c r="M727" t="n">
        <v>99.01805</v>
      </c>
      <c r="N727" t="n">
        <v>88.04311</v>
      </c>
      <c r="O727" t="n">
        <v>57.7276</v>
      </c>
      <c r="P727" t="n">
        <v>61.4224</v>
      </c>
      <c r="Q727" t="n">
        <v>85.61903</v>
      </c>
      <c r="R727" t="n">
        <v>69.9726</v>
      </c>
      <c r="S727" t="n">
        <v>89.89958</v>
      </c>
      <c r="T727" t="n">
        <v>73.31585</v>
      </c>
      <c r="U727" t="n">
        <v>60.27434</v>
      </c>
      <c r="V727" t="n">
        <v>81.92824</v>
      </c>
      <c r="W727" t="n">
        <v>73.33646</v>
      </c>
      <c r="X727" t="n">
        <v>76.46902</v>
      </c>
      <c r="Y727" t="n">
        <v>78.91567000000001</v>
      </c>
      <c r="Z727" t="n">
        <v>73.48196</v>
      </c>
      <c r="AA727" t="n">
        <v>53.88707</v>
      </c>
      <c r="AB727" t="n">
        <v>81.7954</v>
      </c>
      <c r="AC727" t="n">
        <v>57.24609</v>
      </c>
      <c r="AD727" t="n">
        <v>75.97280000000001</v>
      </c>
      <c r="AE727" t="n">
        <v>73.67346000000001</v>
      </c>
    </row>
    <row r="728">
      <c r="A728" s="87" t="n">
        <v>40725</v>
      </c>
      <c r="B728" t="n">
        <v>75.53879999999999</v>
      </c>
      <c r="C728" t="n">
        <v>63.46682</v>
      </c>
      <c r="D728" t="n">
        <v>75.43388</v>
      </c>
      <c r="E728" t="n">
        <v>81.34541</v>
      </c>
      <c r="F728" t="n">
        <v>63.31322</v>
      </c>
      <c r="G728" t="n">
        <v>58.55558</v>
      </c>
      <c r="H728" t="n">
        <v>59.78009</v>
      </c>
      <c r="I728" t="n">
        <v>68.56547999999999</v>
      </c>
      <c r="J728" t="n">
        <v>79.31386000000001</v>
      </c>
      <c r="K728" t="n">
        <v>87.28816</v>
      </c>
      <c r="L728" t="n">
        <v>88.7002</v>
      </c>
      <c r="M728" t="n">
        <v>98.63329</v>
      </c>
      <c r="N728" t="n">
        <v>88.71968</v>
      </c>
      <c r="O728" t="n">
        <v>58.60151</v>
      </c>
      <c r="P728" t="n">
        <v>62.20903</v>
      </c>
      <c r="Q728" t="n">
        <v>86.24661</v>
      </c>
      <c r="R728" t="n">
        <v>70.68884</v>
      </c>
      <c r="S728" t="n">
        <v>90.11855</v>
      </c>
      <c r="T728" t="n">
        <v>73.91083999999999</v>
      </c>
      <c r="U728" t="n">
        <v>61.06907</v>
      </c>
      <c r="V728" t="n">
        <v>81.94293999999999</v>
      </c>
      <c r="W728" t="n">
        <v>73.71680000000001</v>
      </c>
      <c r="X728" t="n">
        <v>77.31211</v>
      </c>
      <c r="Y728" t="n">
        <v>79.18761000000001</v>
      </c>
      <c r="Z728" t="n">
        <v>73.92207000000001</v>
      </c>
      <c r="AA728" t="n">
        <v>54.55653</v>
      </c>
      <c r="AB728" t="n">
        <v>82.35326000000001</v>
      </c>
      <c r="AC728" t="n">
        <v>57.99232</v>
      </c>
      <c r="AD728" t="n">
        <v>77.34763</v>
      </c>
      <c r="AE728" t="n">
        <v>74.13869</v>
      </c>
    </row>
    <row r="729">
      <c r="A729" s="87" t="n">
        <v>40756</v>
      </c>
      <c r="B729" t="n">
        <v>76.3737</v>
      </c>
      <c r="C729" t="n">
        <v>64.48179</v>
      </c>
      <c r="D729" t="n">
        <v>76.3175</v>
      </c>
      <c r="E729" t="n">
        <v>82.3518</v>
      </c>
      <c r="F729" t="n">
        <v>64.47302999999999</v>
      </c>
      <c r="G729" t="n">
        <v>59.06928</v>
      </c>
      <c r="H729" t="n">
        <v>60.89531</v>
      </c>
      <c r="I729" t="n">
        <v>69.05476</v>
      </c>
      <c r="J729" t="n">
        <v>79.57523999999999</v>
      </c>
      <c r="K729" t="n">
        <v>87.13636</v>
      </c>
      <c r="L729" t="n">
        <v>88.89707</v>
      </c>
      <c r="M729" t="n">
        <v>98.55437000000001</v>
      </c>
      <c r="N729" t="n">
        <v>89.50663</v>
      </c>
      <c r="O729" t="n">
        <v>59.96376</v>
      </c>
      <c r="P729" t="n">
        <v>63.00852</v>
      </c>
      <c r="Q729" t="n">
        <v>87.04745</v>
      </c>
      <c r="R729" t="n">
        <v>71.86906999999999</v>
      </c>
      <c r="S729" t="n">
        <v>90.18895999999999</v>
      </c>
      <c r="T729" t="n">
        <v>74.52354</v>
      </c>
      <c r="U729" t="n">
        <v>62.41095</v>
      </c>
      <c r="V729" t="n">
        <v>82.44652000000001</v>
      </c>
      <c r="W729" t="n">
        <v>73.5637</v>
      </c>
      <c r="X729" t="n">
        <v>78.40210999999999</v>
      </c>
      <c r="Y729" t="n">
        <v>79.78909</v>
      </c>
      <c r="Z729" t="n">
        <v>74.76437</v>
      </c>
      <c r="AA729" t="n">
        <v>55.31793</v>
      </c>
      <c r="AB729" t="n">
        <v>83.02489</v>
      </c>
      <c r="AC729" t="n">
        <v>59.05373</v>
      </c>
      <c r="AD729" t="n">
        <v>78.93334</v>
      </c>
      <c r="AE729" t="n">
        <v>74.51711</v>
      </c>
    </row>
    <row r="730">
      <c r="A730" s="87" t="n">
        <v>40787</v>
      </c>
      <c r="B730" t="n">
        <v>77.24502</v>
      </c>
      <c r="C730" t="n">
        <v>65.2611</v>
      </c>
      <c r="D730" t="n">
        <v>77.23936999999999</v>
      </c>
      <c r="E730" t="n">
        <v>83.28609</v>
      </c>
      <c r="F730" t="n">
        <v>65.79044</v>
      </c>
      <c r="G730" t="n">
        <v>59.62149</v>
      </c>
      <c r="H730" t="n">
        <v>62.10929</v>
      </c>
      <c r="I730" t="n">
        <v>69.36047000000001</v>
      </c>
      <c r="J730" t="n">
        <v>79.90622999999999</v>
      </c>
      <c r="K730" t="n">
        <v>89.09044</v>
      </c>
      <c r="L730" t="n">
        <v>89.18055</v>
      </c>
      <c r="M730" t="n">
        <v>98.6477</v>
      </c>
      <c r="N730" t="n">
        <v>90.92926</v>
      </c>
      <c r="O730" t="n">
        <v>60.70778</v>
      </c>
      <c r="P730" t="n">
        <v>63.65287</v>
      </c>
      <c r="Q730" t="n">
        <v>87.82154</v>
      </c>
      <c r="R730" t="n">
        <v>73.20613</v>
      </c>
      <c r="S730" t="n">
        <v>90.38104</v>
      </c>
      <c r="T730" t="n">
        <v>75.00078000000001</v>
      </c>
      <c r="U730" t="n">
        <v>63.70923</v>
      </c>
      <c r="V730" t="n">
        <v>83.23323000000001</v>
      </c>
      <c r="W730" t="n">
        <v>73.47382</v>
      </c>
      <c r="X730" t="n">
        <v>78.86536</v>
      </c>
      <c r="Y730" t="n">
        <v>80.48772</v>
      </c>
      <c r="Z730" t="n">
        <v>76.12429</v>
      </c>
      <c r="AA730" t="n">
        <v>56.22524</v>
      </c>
      <c r="AB730" t="n">
        <v>84.50314</v>
      </c>
      <c r="AC730" t="n">
        <v>59.57923</v>
      </c>
      <c r="AD730" t="n">
        <v>79.10518999999999</v>
      </c>
      <c r="AE730" t="n">
        <v>75.23278000000001</v>
      </c>
    </row>
    <row r="731">
      <c r="A731" s="87" t="n">
        <v>40817</v>
      </c>
      <c r="B731" t="n">
        <v>77.72411</v>
      </c>
      <c r="C731" t="n">
        <v>65.94104</v>
      </c>
      <c r="D731" t="n">
        <v>77.17057</v>
      </c>
      <c r="E731" t="n">
        <v>83.69601</v>
      </c>
      <c r="F731" t="n">
        <v>67.34866</v>
      </c>
      <c r="G731" t="n">
        <v>61.43496</v>
      </c>
      <c r="H731" t="n">
        <v>62.60829</v>
      </c>
      <c r="I731" t="n">
        <v>70.03693</v>
      </c>
      <c r="J731" t="n">
        <v>80.45395000000001</v>
      </c>
      <c r="K731" t="n">
        <v>88.94022</v>
      </c>
      <c r="L731" t="n">
        <v>89.13708</v>
      </c>
      <c r="M731" t="n">
        <v>98.04801999999999</v>
      </c>
      <c r="N731" t="n">
        <v>92.37411</v>
      </c>
      <c r="O731" t="n">
        <v>61.28997</v>
      </c>
      <c r="P731" t="n">
        <v>64.26879</v>
      </c>
      <c r="Q731" t="n">
        <v>88.46034</v>
      </c>
      <c r="R731" t="n">
        <v>73.84433</v>
      </c>
      <c r="S731" t="n">
        <v>90.57961</v>
      </c>
      <c r="T731" t="n">
        <v>75.57868999999999</v>
      </c>
      <c r="U731" t="n">
        <v>64.33879</v>
      </c>
      <c r="V731" t="n">
        <v>84.11108</v>
      </c>
      <c r="W731" t="n">
        <v>74.19101999999999</v>
      </c>
      <c r="X731" t="n">
        <v>79.16161</v>
      </c>
      <c r="Y731" t="n">
        <v>80.59475999999999</v>
      </c>
      <c r="Z731" t="n">
        <v>77.10892</v>
      </c>
      <c r="AA731" t="n">
        <v>57.69748</v>
      </c>
      <c r="AB731" t="n">
        <v>85.23772</v>
      </c>
      <c r="AC731" t="n">
        <v>59.39506</v>
      </c>
      <c r="AD731" t="n">
        <v>79.38581000000001</v>
      </c>
      <c r="AE731" t="n">
        <v>76.3271</v>
      </c>
    </row>
    <row r="732">
      <c r="A732" s="87" t="n">
        <v>40848</v>
      </c>
      <c r="B732" t="n">
        <v>78.06591</v>
      </c>
      <c r="C732" t="n">
        <v>66.53712</v>
      </c>
      <c r="D732" t="n">
        <v>77.59999999999999</v>
      </c>
      <c r="E732" t="n">
        <v>83.92393</v>
      </c>
      <c r="F732" t="n">
        <v>68.59104000000001</v>
      </c>
      <c r="G732" t="n">
        <v>63.38752</v>
      </c>
      <c r="H732" t="n">
        <v>63.65232</v>
      </c>
      <c r="I732" t="n">
        <v>70.82288</v>
      </c>
      <c r="J732" t="n">
        <v>80.84435000000001</v>
      </c>
      <c r="K732" t="n">
        <v>88.18716999999999</v>
      </c>
      <c r="L732" t="n">
        <v>89.05396</v>
      </c>
      <c r="M732" t="n">
        <v>97.29307</v>
      </c>
      <c r="N732" t="n">
        <v>92.58868</v>
      </c>
      <c r="O732" t="n">
        <v>62.23756</v>
      </c>
      <c r="P732" t="n">
        <v>64.91753</v>
      </c>
      <c r="Q732" t="n">
        <v>89.09663999999999</v>
      </c>
      <c r="R732" t="n">
        <v>74.14806</v>
      </c>
      <c r="S732" t="n">
        <v>90.75270999999999</v>
      </c>
      <c r="T732" t="n">
        <v>75.99449</v>
      </c>
      <c r="U732" t="n">
        <v>64.89573</v>
      </c>
      <c r="V732" t="n">
        <v>84.40918000000001</v>
      </c>
      <c r="W732" t="n">
        <v>75.15755</v>
      </c>
      <c r="X732" t="n">
        <v>79.51398</v>
      </c>
      <c r="Y732" t="n">
        <v>80.62138</v>
      </c>
      <c r="Z732" t="n">
        <v>78.11331</v>
      </c>
      <c r="AA732" t="n">
        <v>59.65416</v>
      </c>
      <c r="AB732" t="n">
        <v>85.40746</v>
      </c>
      <c r="AC732" t="n">
        <v>59.53266</v>
      </c>
      <c r="AD732" t="n">
        <v>79.80507</v>
      </c>
      <c r="AE732" t="n">
        <v>77.41636</v>
      </c>
    </row>
    <row r="733">
      <c r="A733" s="87" t="n">
        <v>40878</v>
      </c>
      <c r="B733" t="n">
        <v>78.51978</v>
      </c>
      <c r="C733" t="n">
        <v>67.29454</v>
      </c>
      <c r="D733" t="n">
        <v>78.05905</v>
      </c>
      <c r="E733" t="n">
        <v>84.26555999999999</v>
      </c>
      <c r="F733" t="n">
        <v>69.53398</v>
      </c>
      <c r="G733" t="n">
        <v>64.24319</v>
      </c>
      <c r="H733" t="n">
        <v>64.87769</v>
      </c>
      <c r="I733" t="n">
        <v>71.43436</v>
      </c>
      <c r="J733" t="n">
        <v>81.92083</v>
      </c>
      <c r="K733" t="n">
        <v>91.52612000000001</v>
      </c>
      <c r="L733" t="n">
        <v>89.51667999999999</v>
      </c>
      <c r="M733" t="n">
        <v>96.45855</v>
      </c>
      <c r="N733" t="n">
        <v>92.19255</v>
      </c>
      <c r="O733" t="n">
        <v>63.49059</v>
      </c>
      <c r="P733" t="n">
        <v>66.11778</v>
      </c>
      <c r="Q733" t="n">
        <v>89.76569000000001</v>
      </c>
      <c r="R733" t="n">
        <v>75.12050000000001</v>
      </c>
      <c r="S733" t="n">
        <v>90.8215</v>
      </c>
      <c r="T733" t="n">
        <v>76.12029</v>
      </c>
      <c r="U733" t="n">
        <v>65.93689999999999</v>
      </c>
      <c r="V733" t="n">
        <v>84.41723</v>
      </c>
      <c r="W733" t="n">
        <v>75.62839</v>
      </c>
      <c r="X733" t="n">
        <v>79.90796</v>
      </c>
      <c r="Y733" t="n">
        <v>80.84918</v>
      </c>
      <c r="Z733" t="n">
        <v>79.38422</v>
      </c>
      <c r="AA733" t="n">
        <v>60.35105</v>
      </c>
      <c r="AB733" t="n">
        <v>85.87872</v>
      </c>
      <c r="AC733" t="n">
        <v>59.89473</v>
      </c>
      <c r="AD733" t="n">
        <v>80.19942</v>
      </c>
      <c r="AE733" t="n">
        <v>78.47779</v>
      </c>
    </row>
    <row r="734">
      <c r="A734" s="87" t="n">
        <v>40909</v>
      </c>
      <c r="B734" t="n">
        <v>79.09692</v>
      </c>
      <c r="C734" t="n">
        <v>68.71456000000001</v>
      </c>
      <c r="D734" t="n">
        <v>78.76433</v>
      </c>
      <c r="E734" t="n">
        <v>84.78511</v>
      </c>
      <c r="F734" t="n">
        <v>70.5219</v>
      </c>
      <c r="G734" t="n">
        <v>64.82116000000001</v>
      </c>
      <c r="H734" t="n">
        <v>65.63511</v>
      </c>
      <c r="I734" t="n">
        <v>71.90736</v>
      </c>
      <c r="J734" t="n">
        <v>82.56328000000001</v>
      </c>
      <c r="K734" t="n">
        <v>94.44414999999999</v>
      </c>
      <c r="L734" t="n">
        <v>89.73793999999999</v>
      </c>
      <c r="M734" t="n">
        <v>96.28596</v>
      </c>
      <c r="N734" t="n">
        <v>90.46653999999999</v>
      </c>
      <c r="O734" t="n">
        <v>64.91365999999999</v>
      </c>
      <c r="P734" t="n">
        <v>66.79622999999999</v>
      </c>
      <c r="Q734" t="n">
        <v>90.31177</v>
      </c>
      <c r="R734" t="n">
        <v>76.00909</v>
      </c>
      <c r="S734" t="n">
        <v>90.98779</v>
      </c>
      <c r="T734" t="n">
        <v>76.37707</v>
      </c>
      <c r="U734" t="n">
        <v>67.23895</v>
      </c>
      <c r="V734" t="n">
        <v>84.64346</v>
      </c>
      <c r="W734" t="n">
        <v>75.87799</v>
      </c>
      <c r="X734" t="n">
        <v>80.44566</v>
      </c>
      <c r="Y734" t="n">
        <v>81.10178999999999</v>
      </c>
      <c r="Z734" t="n">
        <v>80.27134</v>
      </c>
      <c r="AA734" t="n">
        <v>60.70108</v>
      </c>
      <c r="AB734" t="n">
        <v>87.25421</v>
      </c>
      <c r="AC734" t="n">
        <v>59.84365</v>
      </c>
      <c r="AD734" t="n">
        <v>80.80714</v>
      </c>
      <c r="AE734" t="n">
        <v>78.91289999999999</v>
      </c>
    </row>
    <row r="735">
      <c r="A735" s="87" t="n">
        <v>40940</v>
      </c>
      <c r="B735" t="n">
        <v>79.58722</v>
      </c>
      <c r="C735" t="n">
        <v>70.0731</v>
      </c>
      <c r="D735" t="n">
        <v>78.92345</v>
      </c>
      <c r="E735" t="n">
        <v>85.06184</v>
      </c>
      <c r="F735" t="n">
        <v>71.19262999999999</v>
      </c>
      <c r="G735" t="n">
        <v>65.41077</v>
      </c>
      <c r="H735" t="n">
        <v>66.27873</v>
      </c>
      <c r="I735" t="n">
        <v>72.41199</v>
      </c>
      <c r="J735" t="n">
        <v>82.83096</v>
      </c>
      <c r="K735" t="n">
        <v>95.6823</v>
      </c>
      <c r="L735" t="n">
        <v>89.59878</v>
      </c>
      <c r="M735" t="n">
        <v>96.2443</v>
      </c>
      <c r="N735" t="n">
        <v>88.75176</v>
      </c>
      <c r="O735" t="n">
        <v>65.89452</v>
      </c>
      <c r="P735" t="n">
        <v>66.89743</v>
      </c>
      <c r="Q735" t="n">
        <v>90.6636</v>
      </c>
      <c r="R735" t="n">
        <v>76.51485</v>
      </c>
      <c r="S735" t="n">
        <v>91.11139</v>
      </c>
      <c r="T735" t="n">
        <v>76.9727</v>
      </c>
      <c r="U735" t="n">
        <v>68.11811</v>
      </c>
      <c r="V735" t="n">
        <v>85.24329</v>
      </c>
      <c r="W735" t="n">
        <v>76.2486</v>
      </c>
      <c r="X735" t="n">
        <v>80.82612</v>
      </c>
      <c r="Y735" t="n">
        <v>81.26454</v>
      </c>
      <c r="Z735" t="n">
        <v>80.51809</v>
      </c>
      <c r="AA735" t="n">
        <v>61.54952</v>
      </c>
      <c r="AB735" t="n">
        <v>88.35012999999999</v>
      </c>
      <c r="AC735" t="n">
        <v>59.86065</v>
      </c>
      <c r="AD735" t="n">
        <v>81.24216</v>
      </c>
      <c r="AE735" t="n">
        <v>78.76202000000001</v>
      </c>
    </row>
    <row r="736">
      <c r="A736" s="87" t="n">
        <v>40969</v>
      </c>
      <c r="B736" t="n">
        <v>80.08031</v>
      </c>
      <c r="C736" t="n">
        <v>71.13179</v>
      </c>
      <c r="D736" t="n">
        <v>79.48527</v>
      </c>
      <c r="E736" t="n">
        <v>85.34319000000001</v>
      </c>
      <c r="F736" t="n">
        <v>71.87145</v>
      </c>
      <c r="G736" t="n">
        <v>66.48533999999999</v>
      </c>
      <c r="H736" t="n">
        <v>66.96613000000001</v>
      </c>
      <c r="I736" t="n">
        <v>73.10977</v>
      </c>
      <c r="J736" t="n">
        <v>83.13419</v>
      </c>
      <c r="K736" t="n">
        <v>97.285</v>
      </c>
      <c r="L736" t="n">
        <v>90.12021</v>
      </c>
      <c r="M736" t="n">
        <v>95.75651000000001</v>
      </c>
      <c r="N736" t="n">
        <v>88.29122</v>
      </c>
      <c r="O736" t="n">
        <v>66.83452</v>
      </c>
      <c r="P736" t="n">
        <v>67.42928000000001</v>
      </c>
      <c r="Q736" t="n">
        <v>90.82443000000001</v>
      </c>
      <c r="R736" t="n">
        <v>76.98679</v>
      </c>
      <c r="S736" t="n">
        <v>91.34921</v>
      </c>
      <c r="T736" t="n">
        <v>78.09292000000001</v>
      </c>
      <c r="U736" t="n">
        <v>69.25505</v>
      </c>
      <c r="V736" t="n">
        <v>85.86399</v>
      </c>
      <c r="W736" t="n">
        <v>76.81478</v>
      </c>
      <c r="X736" t="n">
        <v>81.24274</v>
      </c>
      <c r="Y736" t="n">
        <v>81.36588</v>
      </c>
      <c r="Z736" t="n">
        <v>80.39945</v>
      </c>
      <c r="AA736" t="n">
        <v>61.96463</v>
      </c>
      <c r="AB736" t="n">
        <v>88.59372999999999</v>
      </c>
      <c r="AC736" t="n">
        <v>60.38867</v>
      </c>
      <c r="AD736" t="n">
        <v>81.61493</v>
      </c>
      <c r="AE736" t="n">
        <v>78.41434</v>
      </c>
    </row>
    <row r="737">
      <c r="A737" s="87" t="n">
        <v>41000</v>
      </c>
      <c r="B737" t="n">
        <v>80.49216</v>
      </c>
      <c r="C737" t="n">
        <v>72.23718</v>
      </c>
      <c r="D737" t="n">
        <v>79.92704999999999</v>
      </c>
      <c r="E737" t="n">
        <v>85.70641000000001</v>
      </c>
      <c r="F737" t="n">
        <v>72.85785</v>
      </c>
      <c r="G737" t="n">
        <v>67.08028</v>
      </c>
      <c r="H737" t="n">
        <v>67.69202</v>
      </c>
      <c r="I737" t="n">
        <v>73.66933</v>
      </c>
      <c r="J737" t="n">
        <v>83.37272</v>
      </c>
      <c r="K737" t="n">
        <v>99.99518</v>
      </c>
      <c r="L737" t="n">
        <v>90.60513</v>
      </c>
      <c r="M737" t="n">
        <v>96.1207</v>
      </c>
      <c r="N737" t="n">
        <v>87.67203000000001</v>
      </c>
      <c r="O737" t="n">
        <v>67.8466</v>
      </c>
      <c r="P737" t="n">
        <v>68.09089</v>
      </c>
      <c r="Q737" t="n">
        <v>88.87139999999999</v>
      </c>
      <c r="R737" t="n">
        <v>77.33526999999999</v>
      </c>
      <c r="S737" t="n">
        <v>91.48099999999999</v>
      </c>
      <c r="T737" t="n">
        <v>78.86241</v>
      </c>
      <c r="U737" t="n">
        <v>70.31932</v>
      </c>
      <c r="V737" t="n">
        <v>86.13030999999999</v>
      </c>
      <c r="W737" t="n">
        <v>77.51759</v>
      </c>
      <c r="X737" t="n">
        <v>81.71902</v>
      </c>
      <c r="Y737" t="n">
        <v>81.80067</v>
      </c>
      <c r="Z737" t="n">
        <v>80.51199</v>
      </c>
      <c r="AA737" t="n">
        <v>62.65348</v>
      </c>
      <c r="AB737" t="n">
        <v>88.72282</v>
      </c>
      <c r="AC737" t="n">
        <v>61.15369</v>
      </c>
      <c r="AD737" t="n">
        <v>82.06325</v>
      </c>
      <c r="AE737" t="n">
        <v>77.78928000000001</v>
      </c>
    </row>
    <row r="738">
      <c r="A738" s="87" t="n">
        <v>41030</v>
      </c>
      <c r="B738" t="n">
        <v>81.13934999999999</v>
      </c>
      <c r="C738" t="n">
        <v>73.23044</v>
      </c>
      <c r="D738" t="n">
        <v>80.36031</v>
      </c>
      <c r="E738" t="n">
        <v>86.09349</v>
      </c>
      <c r="F738" t="n">
        <v>73.78752</v>
      </c>
      <c r="G738" t="n">
        <v>67.52428999999999</v>
      </c>
      <c r="H738" t="n">
        <v>68.55325000000001</v>
      </c>
      <c r="I738" t="n">
        <v>74.03986</v>
      </c>
      <c r="J738" t="n">
        <v>84.00615999999999</v>
      </c>
      <c r="K738" t="n">
        <v>100.9546</v>
      </c>
      <c r="L738" t="n">
        <v>90.7966</v>
      </c>
      <c r="M738" t="n">
        <v>96.58008</v>
      </c>
      <c r="N738" t="n">
        <v>87.65161000000001</v>
      </c>
      <c r="O738" t="n">
        <v>68.89955999999999</v>
      </c>
      <c r="P738" t="n">
        <v>68.91785</v>
      </c>
      <c r="Q738" t="n">
        <v>86.73504</v>
      </c>
      <c r="R738" t="n">
        <v>77.75837</v>
      </c>
      <c r="S738" t="n">
        <v>91.53436000000001</v>
      </c>
      <c r="T738" t="n">
        <v>79.04953</v>
      </c>
      <c r="U738" t="n">
        <v>71.10778999999999</v>
      </c>
      <c r="V738" t="n">
        <v>85.73829000000001</v>
      </c>
      <c r="W738" t="n">
        <v>78.06555</v>
      </c>
      <c r="X738" t="n">
        <v>82.10598</v>
      </c>
      <c r="Y738" t="n">
        <v>82.22588</v>
      </c>
      <c r="Z738" t="n">
        <v>81.05106000000001</v>
      </c>
      <c r="AA738" t="n">
        <v>63.50124</v>
      </c>
      <c r="AB738" t="n">
        <v>88.26324</v>
      </c>
      <c r="AC738" t="n">
        <v>61.8203</v>
      </c>
      <c r="AD738" t="n">
        <v>82.42688</v>
      </c>
      <c r="AE738" t="n">
        <v>77.79736</v>
      </c>
    </row>
    <row r="739">
      <c r="A739" s="87" t="n">
        <v>41061</v>
      </c>
      <c r="B739" t="n">
        <v>81.88460000000001</v>
      </c>
      <c r="C739" t="n">
        <v>73.97526999999999</v>
      </c>
      <c r="D739" t="n">
        <v>80.71245999999999</v>
      </c>
      <c r="E739" t="n">
        <v>87.28809</v>
      </c>
      <c r="F739" t="n">
        <v>74.40709</v>
      </c>
      <c r="G739" t="n">
        <v>68.55728000000001</v>
      </c>
      <c r="H739" t="n">
        <v>69.03936</v>
      </c>
      <c r="I739" t="n">
        <v>74.44082</v>
      </c>
      <c r="J739" t="n">
        <v>84.24619</v>
      </c>
      <c r="K739" t="n">
        <v>99.9768</v>
      </c>
      <c r="L739" t="n">
        <v>91.14915000000001</v>
      </c>
      <c r="M739" t="n">
        <v>96.59995000000001</v>
      </c>
      <c r="N739" t="n">
        <v>88.17937999999999</v>
      </c>
      <c r="O739" t="n">
        <v>69.80886</v>
      </c>
      <c r="P739" t="n">
        <v>70.32758</v>
      </c>
      <c r="Q739" t="n">
        <v>86.40366</v>
      </c>
      <c r="R739" t="n">
        <v>78.60217</v>
      </c>
      <c r="S739" t="n">
        <v>91.65026</v>
      </c>
      <c r="T739" t="n">
        <v>79.50881</v>
      </c>
      <c r="U739" t="n">
        <v>72.50288</v>
      </c>
      <c r="V739" t="n">
        <v>85.98293</v>
      </c>
      <c r="W739" t="n">
        <v>78.53787</v>
      </c>
      <c r="X739" t="n">
        <v>82.63723</v>
      </c>
      <c r="Y739" t="n">
        <v>82.59156</v>
      </c>
      <c r="Z739" t="n">
        <v>81.63194</v>
      </c>
      <c r="AA739" t="n">
        <v>64.40215000000001</v>
      </c>
      <c r="AB739" t="n">
        <v>87.53909</v>
      </c>
      <c r="AC739" t="n">
        <v>62.51052</v>
      </c>
      <c r="AD739" t="n">
        <v>83.0155</v>
      </c>
      <c r="AE739" t="n">
        <v>78.61405999999999</v>
      </c>
    </row>
    <row r="740">
      <c r="A740" s="87" t="n">
        <v>41091</v>
      </c>
      <c r="B740" t="n">
        <v>82.30485</v>
      </c>
      <c r="C740" t="n">
        <v>74.72275</v>
      </c>
      <c r="D740" t="n">
        <v>81.13894000000001</v>
      </c>
      <c r="E740" t="n">
        <v>88.81252000000001</v>
      </c>
      <c r="F740" t="n">
        <v>74.86924999999999</v>
      </c>
      <c r="G740" t="n">
        <v>69.49875</v>
      </c>
      <c r="H740" t="n">
        <v>69.11114000000001</v>
      </c>
      <c r="I740" t="n">
        <v>74.85818999999999</v>
      </c>
      <c r="J740" t="n">
        <v>84.402</v>
      </c>
      <c r="K740" t="n">
        <v>98.69244999999999</v>
      </c>
      <c r="L740" t="n">
        <v>91.45948</v>
      </c>
      <c r="M740" t="n">
        <v>96.70958</v>
      </c>
      <c r="N740" t="n">
        <v>87.89767000000001</v>
      </c>
      <c r="O740" t="n">
        <v>70.31336</v>
      </c>
      <c r="P740" t="n">
        <v>71.29208</v>
      </c>
      <c r="Q740" t="n">
        <v>85.98086000000001</v>
      </c>
      <c r="R740" t="n">
        <v>79.4645</v>
      </c>
      <c r="S740" t="n">
        <v>91.88831</v>
      </c>
      <c r="T740" t="n">
        <v>80.07464</v>
      </c>
      <c r="U740" t="n">
        <v>73.88387</v>
      </c>
      <c r="V740" t="n">
        <v>86.76743999999999</v>
      </c>
      <c r="W740" t="n">
        <v>79.46033</v>
      </c>
      <c r="X740" t="n">
        <v>83.09396</v>
      </c>
      <c r="Y740" t="n">
        <v>82.90492999999999</v>
      </c>
      <c r="Z740" t="n">
        <v>82.02043</v>
      </c>
      <c r="AA740" t="n">
        <v>65.32615</v>
      </c>
      <c r="AB740" t="n">
        <v>87.2321</v>
      </c>
      <c r="AC740" t="n">
        <v>62.95073</v>
      </c>
      <c r="AD740" t="n">
        <v>83.45135999999999</v>
      </c>
      <c r="AE740" t="n">
        <v>79.80647</v>
      </c>
    </row>
    <row r="741">
      <c r="A741" s="87" t="n">
        <v>41122</v>
      </c>
      <c r="B741" t="n">
        <v>82.79514</v>
      </c>
      <c r="C741" t="n">
        <v>75.66347</v>
      </c>
      <c r="D741" t="n">
        <v>81.26053</v>
      </c>
      <c r="E741" t="n">
        <v>89.72421</v>
      </c>
      <c r="F741" t="n">
        <v>75.02143</v>
      </c>
      <c r="G741" t="n">
        <v>70.10145</v>
      </c>
      <c r="H741" t="n">
        <v>69.96508</v>
      </c>
      <c r="I741" t="n">
        <v>75.38934</v>
      </c>
      <c r="J741" t="n">
        <v>84.52585000000001</v>
      </c>
      <c r="K741" t="n">
        <v>98.95164</v>
      </c>
      <c r="L741" t="n">
        <v>91.48078</v>
      </c>
      <c r="M741" t="n">
        <v>96.85979</v>
      </c>
      <c r="N741" t="n">
        <v>87.86761</v>
      </c>
      <c r="O741" t="n">
        <v>71.00194999999999</v>
      </c>
      <c r="P741" t="n">
        <v>71.69177999999999</v>
      </c>
      <c r="Q741" t="n">
        <v>85.45679</v>
      </c>
      <c r="R741" t="n">
        <v>80.17444999999999</v>
      </c>
      <c r="S741" t="n">
        <v>92.0843</v>
      </c>
      <c r="T741" t="n">
        <v>80.49618</v>
      </c>
      <c r="U741" t="n">
        <v>74.63194</v>
      </c>
      <c r="V741" t="n">
        <v>87.10258</v>
      </c>
      <c r="W741" t="n">
        <v>79.9567</v>
      </c>
      <c r="X741" t="n">
        <v>83.55901</v>
      </c>
      <c r="Y741" t="n">
        <v>83.22572</v>
      </c>
      <c r="Z741" t="n">
        <v>82.52744</v>
      </c>
      <c r="AA741" t="n">
        <v>65.85369</v>
      </c>
      <c r="AB741" t="n">
        <v>87.51266</v>
      </c>
      <c r="AC741" t="n">
        <v>63.36629</v>
      </c>
      <c r="AD741" t="n">
        <v>84.02836000000001</v>
      </c>
      <c r="AE741" t="n">
        <v>80.56027</v>
      </c>
    </row>
    <row r="742">
      <c r="A742" s="87" t="n">
        <v>41153</v>
      </c>
      <c r="B742" t="n">
        <v>83.24901</v>
      </c>
      <c r="C742" t="n">
        <v>76.32504</v>
      </c>
      <c r="D742" t="n">
        <v>81.27236000000001</v>
      </c>
      <c r="E742" t="n">
        <v>90.49432</v>
      </c>
      <c r="F742" t="n">
        <v>75.12732</v>
      </c>
      <c r="G742" t="n">
        <v>71.00095</v>
      </c>
      <c r="H742" t="n">
        <v>71.61626</v>
      </c>
      <c r="I742" t="n">
        <v>76.64709000000001</v>
      </c>
      <c r="J742" t="n">
        <v>84.28344</v>
      </c>
      <c r="K742" t="n">
        <v>100.4224</v>
      </c>
      <c r="L742" t="n">
        <v>91.42383</v>
      </c>
      <c r="M742" t="n">
        <v>96.92632</v>
      </c>
      <c r="N742" t="n">
        <v>88.24361</v>
      </c>
      <c r="O742" t="n">
        <v>71.67303</v>
      </c>
      <c r="P742" t="n">
        <v>72.33672</v>
      </c>
      <c r="Q742" t="n">
        <v>85.01085</v>
      </c>
      <c r="R742" t="n">
        <v>80.4727</v>
      </c>
      <c r="S742" t="n">
        <v>92.26694999999999</v>
      </c>
      <c r="T742" t="n">
        <v>80.72293999999999</v>
      </c>
      <c r="U742" t="n">
        <v>75.41701</v>
      </c>
      <c r="V742" t="n">
        <v>87.63763</v>
      </c>
      <c r="W742" t="n">
        <v>79.97619</v>
      </c>
      <c r="X742" t="n">
        <v>84.08389</v>
      </c>
      <c r="Y742" t="n">
        <v>83.67937000000001</v>
      </c>
      <c r="Z742" t="n">
        <v>82.72402</v>
      </c>
      <c r="AA742" t="n">
        <v>66.24945</v>
      </c>
      <c r="AB742" t="n">
        <v>88.43702999999999</v>
      </c>
      <c r="AC742" t="n">
        <v>64.1832</v>
      </c>
      <c r="AD742" t="n">
        <v>84.68838</v>
      </c>
      <c r="AE742" t="n">
        <v>81.05913</v>
      </c>
    </row>
    <row r="743">
      <c r="A743" s="87" t="n">
        <v>41183</v>
      </c>
      <c r="B743" t="n">
        <v>83.60202</v>
      </c>
      <c r="C743" t="n">
        <v>77.17089</v>
      </c>
      <c r="D743" t="n">
        <v>81.79619</v>
      </c>
      <c r="E743" t="n">
        <v>91.18008</v>
      </c>
      <c r="F743" t="n">
        <v>75.50842</v>
      </c>
      <c r="G743" t="n">
        <v>71.9157</v>
      </c>
      <c r="H743" t="n">
        <v>72.84686000000001</v>
      </c>
      <c r="I743" t="n">
        <v>77.37614000000001</v>
      </c>
      <c r="J743" t="n">
        <v>84.62454</v>
      </c>
      <c r="K743" t="n">
        <v>98.93589</v>
      </c>
      <c r="L743" t="n">
        <v>91.7403</v>
      </c>
      <c r="M743" t="n">
        <v>97.20102</v>
      </c>
      <c r="N743" t="n">
        <v>88.84756</v>
      </c>
      <c r="O743" t="n">
        <v>72.45862</v>
      </c>
      <c r="P743" t="n">
        <v>72.80526</v>
      </c>
      <c r="Q743" t="n">
        <v>84.74043</v>
      </c>
      <c r="R743" t="n">
        <v>80.4631</v>
      </c>
      <c r="S743" t="n">
        <v>92.36005</v>
      </c>
      <c r="T743" t="n">
        <v>81.08604</v>
      </c>
      <c r="U743" t="n">
        <v>76.16461</v>
      </c>
      <c r="V743" t="n">
        <v>87.97114000000001</v>
      </c>
      <c r="W743" t="n">
        <v>80.31755</v>
      </c>
      <c r="X743" t="n">
        <v>84.56386999999999</v>
      </c>
      <c r="Y743" t="n">
        <v>84.12418</v>
      </c>
      <c r="Z743" t="n">
        <v>83.04114</v>
      </c>
      <c r="AA743" t="n">
        <v>66.88036</v>
      </c>
      <c r="AB743" t="n">
        <v>88.61036</v>
      </c>
      <c r="AC743" t="n">
        <v>65.1343</v>
      </c>
      <c r="AD743" t="n">
        <v>85.24047</v>
      </c>
      <c r="AE743" t="n">
        <v>81.40819999999999</v>
      </c>
    </row>
    <row r="744">
      <c r="A744" s="87" t="n">
        <v>41214</v>
      </c>
      <c r="B744" t="n">
        <v>83.92702</v>
      </c>
      <c r="C744" t="n">
        <v>78.17036</v>
      </c>
      <c r="D744" t="n">
        <v>82.05895</v>
      </c>
      <c r="E744" t="n">
        <v>91.65667000000001</v>
      </c>
      <c r="F744" t="n">
        <v>75.92278</v>
      </c>
      <c r="G744" t="n">
        <v>72.58514</v>
      </c>
      <c r="H744" t="n">
        <v>73.38916</v>
      </c>
      <c r="I744" t="n">
        <v>77.55278</v>
      </c>
      <c r="J744" t="n">
        <v>85.26009000000001</v>
      </c>
      <c r="K744" t="n">
        <v>96.32156000000001</v>
      </c>
      <c r="L744" t="n">
        <v>92.01973</v>
      </c>
      <c r="M744" t="n">
        <v>97.07331000000001</v>
      </c>
      <c r="N744" t="n">
        <v>88.85478999999999</v>
      </c>
      <c r="O744" t="n">
        <v>73.42202</v>
      </c>
      <c r="P744" t="n">
        <v>73.48820000000001</v>
      </c>
      <c r="Q744" t="n">
        <v>84.57143000000001</v>
      </c>
      <c r="R744" t="n">
        <v>80.56656</v>
      </c>
      <c r="S744" t="n">
        <v>92.39689</v>
      </c>
      <c r="T744" t="n">
        <v>81.59157999999999</v>
      </c>
      <c r="U744" t="n">
        <v>76.85172</v>
      </c>
      <c r="V744" t="n">
        <v>88.40260000000001</v>
      </c>
      <c r="W744" t="n">
        <v>80.93376000000001</v>
      </c>
      <c r="X744" t="n">
        <v>84.97005</v>
      </c>
      <c r="Y744" t="n">
        <v>84.25524</v>
      </c>
      <c r="Z744" t="n">
        <v>83.37549</v>
      </c>
      <c r="AA744" t="n">
        <v>67.79168</v>
      </c>
      <c r="AB744" t="n">
        <v>88.18549</v>
      </c>
      <c r="AC744" t="n">
        <v>65.77866</v>
      </c>
      <c r="AD744" t="n">
        <v>85.82411</v>
      </c>
      <c r="AE744" t="n">
        <v>82.08047000000001</v>
      </c>
    </row>
    <row r="745">
      <c r="A745" s="87" t="n">
        <v>41244</v>
      </c>
      <c r="B745" t="n">
        <v>84.28843000000001</v>
      </c>
      <c r="C745" t="n">
        <v>78.49213</v>
      </c>
      <c r="D745" t="n">
        <v>82.42165</v>
      </c>
      <c r="E745" t="n">
        <v>92.4028</v>
      </c>
      <c r="F745" t="n">
        <v>76.28474</v>
      </c>
      <c r="G745" t="n">
        <v>73.51533999999999</v>
      </c>
      <c r="H745" t="n">
        <v>74.64736000000001</v>
      </c>
      <c r="I745" t="n">
        <v>78.27873</v>
      </c>
      <c r="J745" t="n">
        <v>85.96889</v>
      </c>
      <c r="K745" t="n">
        <v>95.94016000000001</v>
      </c>
      <c r="L745" t="n">
        <v>92.27061999999999</v>
      </c>
      <c r="M745" t="n">
        <v>97.64277</v>
      </c>
      <c r="N745" t="n">
        <v>88.54146</v>
      </c>
      <c r="O745" t="n">
        <v>73.95171000000001</v>
      </c>
      <c r="P745" t="n">
        <v>74.17709000000001</v>
      </c>
      <c r="Q745" t="n">
        <v>84.50312</v>
      </c>
      <c r="R745" t="n">
        <v>80.52085</v>
      </c>
      <c r="S745" t="n">
        <v>92.77562</v>
      </c>
      <c r="T745" t="n">
        <v>82.10718</v>
      </c>
      <c r="U745" t="n">
        <v>77.70562</v>
      </c>
      <c r="V745" t="n">
        <v>88.50623</v>
      </c>
      <c r="W745" t="n">
        <v>81.97331</v>
      </c>
      <c r="X745" t="n">
        <v>85.69005</v>
      </c>
      <c r="Y745" t="n">
        <v>84.62088</v>
      </c>
      <c r="Z745" t="n">
        <v>83.41615</v>
      </c>
      <c r="AA745" t="n">
        <v>68.25534</v>
      </c>
      <c r="AB745" t="n">
        <v>88.6028</v>
      </c>
      <c r="AC745" t="n">
        <v>66.17831</v>
      </c>
      <c r="AD745" t="n">
        <v>86.8378</v>
      </c>
      <c r="AE745" t="n">
        <v>82.97806</v>
      </c>
    </row>
    <row r="746">
      <c r="A746" s="87" t="n">
        <v>41275</v>
      </c>
      <c r="B746" t="n">
        <v>84.81795</v>
      </c>
      <c r="C746" t="n">
        <v>79.04226</v>
      </c>
      <c r="D746" t="n">
        <v>82.79349000000001</v>
      </c>
      <c r="E746" t="n">
        <v>92.90257</v>
      </c>
      <c r="F746" t="n">
        <v>76.69441</v>
      </c>
      <c r="G746" t="n">
        <v>74.64398</v>
      </c>
      <c r="H746" t="n">
        <v>75.81811999999999</v>
      </c>
      <c r="I746" t="n">
        <v>78.9383</v>
      </c>
      <c r="J746" t="n">
        <v>86.49627</v>
      </c>
      <c r="K746" t="n">
        <v>90.97148</v>
      </c>
      <c r="L746" t="n">
        <v>92.21375</v>
      </c>
      <c r="M746" t="n">
        <v>98.98415</v>
      </c>
      <c r="N746" t="n">
        <v>89.24238</v>
      </c>
      <c r="O746" t="n">
        <v>74.59144999999999</v>
      </c>
      <c r="P746" t="n">
        <v>74.86604</v>
      </c>
      <c r="Q746" t="n">
        <v>84.52992999999999</v>
      </c>
      <c r="R746" t="n">
        <v>80.54626</v>
      </c>
      <c r="S746" t="n">
        <v>93.01846</v>
      </c>
      <c r="T746" t="n">
        <v>82.56167000000001</v>
      </c>
      <c r="U746" t="n">
        <v>78.7556</v>
      </c>
      <c r="V746" t="n">
        <v>88.53660000000001</v>
      </c>
      <c r="W746" t="n">
        <v>82.80458</v>
      </c>
      <c r="X746" t="n">
        <v>86.09650000000001</v>
      </c>
      <c r="Y746" t="n">
        <v>85.30945</v>
      </c>
      <c r="Z746" t="n">
        <v>83.88326000000001</v>
      </c>
      <c r="AA746" t="n">
        <v>68.77802</v>
      </c>
      <c r="AB746" t="n">
        <v>89.10365</v>
      </c>
      <c r="AC746" t="n">
        <v>66.96716000000001</v>
      </c>
      <c r="AD746" t="n">
        <v>87.03041</v>
      </c>
      <c r="AE746" t="n">
        <v>83.57634</v>
      </c>
    </row>
    <row r="747">
      <c r="A747" s="87" t="n">
        <v>41306</v>
      </c>
      <c r="B747" t="n">
        <v>85.19056999999999</v>
      </c>
      <c r="C747" t="n">
        <v>79.9045</v>
      </c>
      <c r="D747" t="n">
        <v>83.55201</v>
      </c>
      <c r="E747" t="n">
        <v>93.08602999999999</v>
      </c>
      <c r="F747" t="n">
        <v>77.32964</v>
      </c>
      <c r="G747" t="n">
        <v>75.58743</v>
      </c>
      <c r="H747" t="n">
        <v>76.3018</v>
      </c>
      <c r="I747" t="n">
        <v>78.85054</v>
      </c>
      <c r="J747" t="n">
        <v>86.72216</v>
      </c>
      <c r="K747" t="n">
        <v>85.42294</v>
      </c>
      <c r="L747" t="n">
        <v>91.96127</v>
      </c>
      <c r="M747" t="n">
        <v>99.72165</v>
      </c>
      <c r="N747" t="n">
        <v>90.41898999999999</v>
      </c>
      <c r="O747" t="n">
        <v>75.65025</v>
      </c>
      <c r="P747" t="n">
        <v>75.50530999999999</v>
      </c>
      <c r="Q747" t="n">
        <v>84.60297</v>
      </c>
      <c r="R747" t="n">
        <v>80.66914</v>
      </c>
      <c r="S747" t="n">
        <v>93.31528</v>
      </c>
      <c r="T747" t="n">
        <v>83.07803</v>
      </c>
      <c r="U747" t="n">
        <v>79.49027</v>
      </c>
      <c r="V747" t="n">
        <v>88.91455000000001</v>
      </c>
      <c r="W747" t="n">
        <v>83.39748</v>
      </c>
      <c r="X747" t="n">
        <v>86.43131</v>
      </c>
      <c r="Y747" t="n">
        <v>85.79143000000001</v>
      </c>
      <c r="Z747" t="n">
        <v>84.59865000000001</v>
      </c>
      <c r="AA747" t="n">
        <v>69.68201000000001</v>
      </c>
      <c r="AB747" t="n">
        <v>89.14943</v>
      </c>
      <c r="AC747" t="n">
        <v>67.82664</v>
      </c>
      <c r="AD747" t="n">
        <v>87.18317</v>
      </c>
      <c r="AE747" t="n">
        <v>84.28361</v>
      </c>
    </row>
    <row r="748">
      <c r="A748" s="87" t="n">
        <v>41334</v>
      </c>
      <c r="B748" t="n">
        <v>85.53798</v>
      </c>
      <c r="C748" t="n">
        <v>80.45747</v>
      </c>
      <c r="D748" t="n">
        <v>83.89873</v>
      </c>
      <c r="E748" t="n">
        <v>93.53127000000001</v>
      </c>
      <c r="F748" t="n">
        <v>78.25158</v>
      </c>
      <c r="G748" t="n">
        <v>76.81238999999999</v>
      </c>
      <c r="H748" t="n">
        <v>77.53632</v>
      </c>
      <c r="I748" t="n">
        <v>79.03156</v>
      </c>
      <c r="J748" t="n">
        <v>87.02673</v>
      </c>
      <c r="K748" t="n">
        <v>84.79913000000001</v>
      </c>
      <c r="L748" t="n">
        <v>92.22490999999999</v>
      </c>
      <c r="M748" t="n">
        <v>99.95101</v>
      </c>
      <c r="N748" t="n">
        <v>92.08526999999999</v>
      </c>
      <c r="O748" t="n">
        <v>76.57335</v>
      </c>
      <c r="P748" t="n">
        <v>76.46850000000001</v>
      </c>
      <c r="Q748" t="n">
        <v>84.74718</v>
      </c>
      <c r="R748" t="n">
        <v>81.34702</v>
      </c>
      <c r="S748" t="n">
        <v>93.63892</v>
      </c>
      <c r="T748" t="n">
        <v>83.66037</v>
      </c>
      <c r="U748" t="n">
        <v>80.50002000000001</v>
      </c>
      <c r="V748" t="n">
        <v>89.16238</v>
      </c>
      <c r="W748" t="n">
        <v>84.03014</v>
      </c>
      <c r="X748" t="n">
        <v>86.94041</v>
      </c>
      <c r="Y748" t="n">
        <v>86.28595</v>
      </c>
      <c r="Z748" t="n">
        <v>85.35046</v>
      </c>
      <c r="AA748" t="n">
        <v>70.73847000000001</v>
      </c>
      <c r="AB748" t="n">
        <v>89.34601000000001</v>
      </c>
      <c r="AC748" t="n">
        <v>68.66079999999999</v>
      </c>
      <c r="AD748" t="n">
        <v>87.65639</v>
      </c>
      <c r="AE748" t="n">
        <v>84.48284</v>
      </c>
    </row>
    <row r="749">
      <c r="A749" s="87" t="n">
        <v>41365</v>
      </c>
      <c r="B749" t="n">
        <v>86.2328</v>
      </c>
      <c r="C749" t="n">
        <v>81.18037</v>
      </c>
      <c r="D749" t="n">
        <v>84.50842</v>
      </c>
      <c r="E749" t="n">
        <v>94.14143</v>
      </c>
      <c r="F749" t="n">
        <v>79.28793</v>
      </c>
      <c r="G749" t="n">
        <v>77.81362</v>
      </c>
      <c r="H749" t="n">
        <v>78.75156</v>
      </c>
      <c r="I749" t="n">
        <v>79.85754</v>
      </c>
      <c r="J749" t="n">
        <v>87.29488000000001</v>
      </c>
      <c r="K749" t="n">
        <v>83.41128999999999</v>
      </c>
      <c r="L749" t="n">
        <v>92.68789</v>
      </c>
      <c r="M749" t="n">
        <v>100.151</v>
      </c>
      <c r="N749" t="n">
        <v>92.95003</v>
      </c>
      <c r="O749" t="n">
        <v>77.55507</v>
      </c>
      <c r="P749" t="n">
        <v>77.27903999999999</v>
      </c>
      <c r="Q749" t="n">
        <v>84.97607000000001</v>
      </c>
      <c r="R749" t="n">
        <v>82.57751</v>
      </c>
      <c r="S749" t="n">
        <v>93.84923000000001</v>
      </c>
      <c r="T749" t="n">
        <v>84.17816000000001</v>
      </c>
      <c r="U749" t="n">
        <v>81.53625</v>
      </c>
      <c r="V749" t="n">
        <v>89.54102</v>
      </c>
      <c r="W749" t="n">
        <v>84.39964000000001</v>
      </c>
      <c r="X749" t="n">
        <v>87.35281000000001</v>
      </c>
      <c r="Y749" t="n">
        <v>86.79130000000001</v>
      </c>
      <c r="Z749" t="n">
        <v>86.14792</v>
      </c>
      <c r="AA749" t="n">
        <v>72.38536000000001</v>
      </c>
      <c r="AB749" t="n">
        <v>89.46212</v>
      </c>
      <c r="AC749" t="n">
        <v>69.63083</v>
      </c>
      <c r="AD749" t="n">
        <v>87.88885000000001</v>
      </c>
      <c r="AE749" t="n">
        <v>84.79264000000001</v>
      </c>
    </row>
    <row r="750">
      <c r="A750" s="87" t="n">
        <v>41395</v>
      </c>
      <c r="B750" t="n">
        <v>87.05649</v>
      </c>
      <c r="C750" t="n">
        <v>82.07146</v>
      </c>
      <c r="D750" t="n">
        <v>85.05571999999999</v>
      </c>
      <c r="E750" t="n">
        <v>94.55795999999999</v>
      </c>
      <c r="F750" t="n">
        <v>80.26953</v>
      </c>
      <c r="G750" t="n">
        <v>78.28904</v>
      </c>
      <c r="H750" t="n">
        <v>79.6523</v>
      </c>
      <c r="I750" t="n">
        <v>80.64993</v>
      </c>
      <c r="J750" t="n">
        <v>87.51375</v>
      </c>
      <c r="K750" t="n">
        <v>82.25024000000001</v>
      </c>
      <c r="L750" t="n">
        <v>92.92949</v>
      </c>
      <c r="M750" t="n">
        <v>100.6318</v>
      </c>
      <c r="N750" t="n">
        <v>92.58279</v>
      </c>
      <c r="O750" t="n">
        <v>78.809</v>
      </c>
      <c r="P750" t="n">
        <v>78.24915</v>
      </c>
      <c r="Q750" t="n">
        <v>85.24466</v>
      </c>
      <c r="R750" t="n">
        <v>83.55622</v>
      </c>
      <c r="S750" t="n">
        <v>94.11982999999999</v>
      </c>
      <c r="T750" t="n">
        <v>84.55385</v>
      </c>
      <c r="U750" t="n">
        <v>81.94837</v>
      </c>
      <c r="V750" t="n">
        <v>90.07943</v>
      </c>
      <c r="W750" t="n">
        <v>85.0979</v>
      </c>
      <c r="X750" t="n">
        <v>87.76482</v>
      </c>
      <c r="Y750" t="n">
        <v>87.38842</v>
      </c>
      <c r="Z750" t="n">
        <v>86.69123</v>
      </c>
      <c r="AA750" t="n">
        <v>73.88678</v>
      </c>
      <c r="AB750" t="n">
        <v>89.72333999999999</v>
      </c>
      <c r="AC750" t="n">
        <v>70.86833</v>
      </c>
      <c r="AD750" t="n">
        <v>88.17693</v>
      </c>
      <c r="AE750" t="n">
        <v>85.44537</v>
      </c>
    </row>
    <row r="751">
      <c r="A751" s="87" t="n">
        <v>41426</v>
      </c>
      <c r="B751" t="n">
        <v>87.47114000000001</v>
      </c>
      <c r="C751" t="n">
        <v>82.77863000000001</v>
      </c>
      <c r="D751" t="n">
        <v>85.59164</v>
      </c>
      <c r="E751" t="n">
        <v>94.36912</v>
      </c>
      <c r="F751" t="n">
        <v>81.26159</v>
      </c>
      <c r="G751" t="n">
        <v>78.77515</v>
      </c>
      <c r="H751" t="n">
        <v>80.81831</v>
      </c>
      <c r="I751" t="n">
        <v>81.76600000000001</v>
      </c>
      <c r="J751" t="n">
        <v>87.48614000000001</v>
      </c>
      <c r="K751" t="n">
        <v>82.35329</v>
      </c>
      <c r="L751" t="n">
        <v>92.90137</v>
      </c>
      <c r="M751" t="n">
        <v>101.189</v>
      </c>
      <c r="N751" t="n">
        <v>92.32253</v>
      </c>
      <c r="O751" t="n">
        <v>78.87822</v>
      </c>
      <c r="P751" t="n">
        <v>79.79736</v>
      </c>
      <c r="Q751" t="n">
        <v>85.53988</v>
      </c>
      <c r="R751" t="n">
        <v>84.07470000000001</v>
      </c>
      <c r="S751" t="n">
        <v>94.465</v>
      </c>
      <c r="T751" t="n">
        <v>84.77843</v>
      </c>
      <c r="U751" t="n">
        <v>82.00363</v>
      </c>
      <c r="V751" t="n">
        <v>90.53559</v>
      </c>
      <c r="W751" t="n">
        <v>85.65028</v>
      </c>
      <c r="X751" t="n">
        <v>88.24263000000001</v>
      </c>
      <c r="Y751" t="n">
        <v>88.03497</v>
      </c>
      <c r="Z751" t="n">
        <v>87.16758</v>
      </c>
      <c r="AA751" t="n">
        <v>74.74149</v>
      </c>
      <c r="AB751" t="n">
        <v>90.3785</v>
      </c>
      <c r="AC751" t="n">
        <v>72.17899</v>
      </c>
      <c r="AD751" t="n">
        <v>88.65597</v>
      </c>
      <c r="AE751" t="n">
        <v>86.03771</v>
      </c>
    </row>
    <row r="752">
      <c r="A752" s="87" t="n">
        <v>41456</v>
      </c>
      <c r="B752" t="n">
        <v>87.61122</v>
      </c>
      <c r="C752" t="n">
        <v>83.34008</v>
      </c>
      <c r="D752" t="n">
        <v>85.54191</v>
      </c>
      <c r="E752" t="n">
        <v>94.53563</v>
      </c>
      <c r="F752" t="n">
        <v>82.21691</v>
      </c>
      <c r="G752" t="n">
        <v>79.37891</v>
      </c>
      <c r="H752" t="n">
        <v>81.94365999999999</v>
      </c>
      <c r="I752" t="n">
        <v>82.64588000000001</v>
      </c>
      <c r="J752" t="n">
        <v>88.12766000000001</v>
      </c>
      <c r="K752" t="n">
        <v>81.79429</v>
      </c>
      <c r="L752" t="n">
        <v>92.82501000000001</v>
      </c>
      <c r="M752" t="n">
        <v>101.5311</v>
      </c>
      <c r="N752" t="n">
        <v>91.86845</v>
      </c>
      <c r="O752" t="n">
        <v>79.54201</v>
      </c>
      <c r="P752" t="n">
        <v>80.4289</v>
      </c>
      <c r="Q752" t="n">
        <v>85.92254</v>
      </c>
      <c r="R752" t="n">
        <v>84.37966</v>
      </c>
      <c r="S752" t="n">
        <v>94.67386999999999</v>
      </c>
      <c r="T752" t="n">
        <v>85.0761</v>
      </c>
      <c r="U752" t="n">
        <v>82.01170999999999</v>
      </c>
      <c r="V752" t="n">
        <v>90.96917999999999</v>
      </c>
      <c r="W752" t="n">
        <v>86.14455</v>
      </c>
      <c r="X752" t="n">
        <v>88.58765</v>
      </c>
      <c r="Y752" t="n">
        <v>88.62043</v>
      </c>
      <c r="Z752" t="n">
        <v>87.53129</v>
      </c>
      <c r="AA752" t="n">
        <v>75.99215</v>
      </c>
      <c r="AB752" t="n">
        <v>90.55286</v>
      </c>
      <c r="AC752" t="n">
        <v>73.48547000000001</v>
      </c>
      <c r="AD752" t="n">
        <v>88.98557</v>
      </c>
      <c r="AE752" t="n">
        <v>86.38985</v>
      </c>
    </row>
    <row r="753">
      <c r="A753" s="87" t="n">
        <v>41487</v>
      </c>
      <c r="B753" t="n">
        <v>87.77092</v>
      </c>
      <c r="C753" t="n">
        <v>83.66907</v>
      </c>
      <c r="D753" t="n">
        <v>86.45112</v>
      </c>
      <c r="E753" t="n">
        <v>95.15575</v>
      </c>
      <c r="F753" t="n">
        <v>83.21844</v>
      </c>
      <c r="G753" t="n">
        <v>80.2504</v>
      </c>
      <c r="H753" t="n">
        <v>82.76739999999999</v>
      </c>
      <c r="I753" t="n">
        <v>82.92377</v>
      </c>
      <c r="J753" t="n">
        <v>88.57378</v>
      </c>
      <c r="K753" t="n">
        <v>80.39455</v>
      </c>
      <c r="L753" t="n">
        <v>92.9926</v>
      </c>
      <c r="M753" t="n">
        <v>101.847</v>
      </c>
      <c r="N753" t="n">
        <v>91.56083</v>
      </c>
      <c r="O753" t="n">
        <v>80.85387</v>
      </c>
      <c r="P753" t="n">
        <v>80.67558</v>
      </c>
      <c r="Q753" t="n">
        <v>86.41982</v>
      </c>
      <c r="R753" t="n">
        <v>84.90758</v>
      </c>
      <c r="S753" t="n">
        <v>94.90021</v>
      </c>
      <c r="T753" t="n">
        <v>85.59483</v>
      </c>
      <c r="U753" t="n">
        <v>82.7675</v>
      </c>
      <c r="V753" t="n">
        <v>92.02674</v>
      </c>
      <c r="W753" t="n">
        <v>87.089</v>
      </c>
      <c r="X753" t="n">
        <v>89.11194999999999</v>
      </c>
      <c r="Y753" t="n">
        <v>89.26173</v>
      </c>
      <c r="Z753" t="n">
        <v>87.72041</v>
      </c>
      <c r="AA753" t="n">
        <v>77.48117999999999</v>
      </c>
      <c r="AB753" t="n">
        <v>90.44996</v>
      </c>
      <c r="AC753" t="n">
        <v>75.06107</v>
      </c>
      <c r="AD753" t="n">
        <v>89.46875</v>
      </c>
      <c r="AE753" t="n">
        <v>86.34277</v>
      </c>
    </row>
    <row r="754">
      <c r="A754" s="87" t="n">
        <v>41518</v>
      </c>
      <c r="B754" t="n">
        <v>88.12112</v>
      </c>
      <c r="C754" t="n">
        <v>83.94596</v>
      </c>
      <c r="D754" t="n">
        <v>87.22396000000001</v>
      </c>
      <c r="E754" t="n">
        <v>95.41101999999999</v>
      </c>
      <c r="F754" t="n">
        <v>84.0967</v>
      </c>
      <c r="G754" t="n">
        <v>81.22604</v>
      </c>
      <c r="H754" t="n">
        <v>83.45618</v>
      </c>
      <c r="I754" t="n">
        <v>83.53783</v>
      </c>
      <c r="J754" t="n">
        <v>88.36441000000001</v>
      </c>
      <c r="K754" t="n">
        <v>81.16128999999999</v>
      </c>
      <c r="L754" t="n">
        <v>93.01929</v>
      </c>
      <c r="M754" t="n">
        <v>101.5698</v>
      </c>
      <c r="N754" t="n">
        <v>91.48869000000001</v>
      </c>
      <c r="O754" t="n">
        <v>81.60601</v>
      </c>
      <c r="P754" t="n">
        <v>81.55840999999999</v>
      </c>
      <c r="Q754" t="n">
        <v>86.92628000000001</v>
      </c>
      <c r="R754" t="n">
        <v>85.58351</v>
      </c>
      <c r="S754" t="n">
        <v>95.15243</v>
      </c>
      <c r="T754" t="n">
        <v>86.12311</v>
      </c>
      <c r="U754" t="n">
        <v>83.76900999999999</v>
      </c>
      <c r="V754" t="n">
        <v>92.12748999999999</v>
      </c>
      <c r="W754" t="n">
        <v>87.83314</v>
      </c>
      <c r="X754" t="n">
        <v>89.6259</v>
      </c>
      <c r="Y754" t="n">
        <v>89.72562000000001</v>
      </c>
      <c r="Z754" t="n">
        <v>87.77283</v>
      </c>
      <c r="AA754" t="n">
        <v>78.34389</v>
      </c>
      <c r="AB754" t="n">
        <v>90.36704</v>
      </c>
      <c r="AC754" t="n">
        <v>76.37061</v>
      </c>
      <c r="AD754" t="n">
        <v>89.97186000000001</v>
      </c>
      <c r="AE754" t="n">
        <v>86.73909</v>
      </c>
    </row>
    <row r="755">
      <c r="A755" s="87" t="n">
        <v>41548</v>
      </c>
      <c r="B755" t="n">
        <v>88.76271</v>
      </c>
      <c r="C755" t="n">
        <v>84.55782000000001</v>
      </c>
      <c r="D755" t="n">
        <v>88.03165</v>
      </c>
      <c r="E755" t="n">
        <v>95.51352</v>
      </c>
      <c r="F755" t="n">
        <v>84.39360000000001</v>
      </c>
      <c r="G755" t="n">
        <v>82.10634</v>
      </c>
      <c r="H755" t="n">
        <v>84.3378</v>
      </c>
      <c r="I755" t="n">
        <v>84.45519</v>
      </c>
      <c r="J755" t="n">
        <v>88.59641999999999</v>
      </c>
      <c r="K755" t="n">
        <v>82.59807000000001</v>
      </c>
      <c r="L755" t="n">
        <v>92.90276</v>
      </c>
      <c r="M755" t="n">
        <v>101.1762</v>
      </c>
      <c r="N755" t="n">
        <v>91.69571999999999</v>
      </c>
      <c r="O755" t="n">
        <v>82.41486999999999</v>
      </c>
      <c r="P755" t="n">
        <v>82.46393</v>
      </c>
      <c r="Q755" t="n">
        <v>87.39869</v>
      </c>
      <c r="R755" t="n">
        <v>86.16265</v>
      </c>
      <c r="S755" t="n">
        <v>95.41334000000001</v>
      </c>
      <c r="T755" t="n">
        <v>86.53887</v>
      </c>
      <c r="U755" t="n">
        <v>84.73560000000001</v>
      </c>
      <c r="V755" t="n">
        <v>91.76971</v>
      </c>
      <c r="W755" t="n">
        <v>88.28783</v>
      </c>
      <c r="X755" t="n">
        <v>90.36462</v>
      </c>
      <c r="Y755" t="n">
        <v>90.12291</v>
      </c>
      <c r="Z755" t="n">
        <v>87.96783000000001</v>
      </c>
      <c r="AA755" t="n">
        <v>78.79604</v>
      </c>
      <c r="AB755" t="n">
        <v>90.55736</v>
      </c>
      <c r="AC755" t="n">
        <v>77.3801</v>
      </c>
      <c r="AD755" t="n">
        <v>91.00463999999999</v>
      </c>
      <c r="AE755" t="n">
        <v>87.15344</v>
      </c>
    </row>
    <row r="756">
      <c r="A756" s="87" t="n">
        <v>41579</v>
      </c>
      <c r="B756" t="n">
        <v>89.36787</v>
      </c>
      <c r="C756" t="n">
        <v>85.05544999999999</v>
      </c>
      <c r="D756" t="n">
        <v>89.04751</v>
      </c>
      <c r="E756" t="n">
        <v>95.80992999999999</v>
      </c>
      <c r="F756" t="n">
        <v>84.63324</v>
      </c>
      <c r="G756" t="n">
        <v>82.83911000000001</v>
      </c>
      <c r="H756" t="n">
        <v>85.36396000000001</v>
      </c>
      <c r="I756" t="n">
        <v>84.63982</v>
      </c>
      <c r="J756" t="n">
        <v>89.44503</v>
      </c>
      <c r="K756" t="n">
        <v>82.59157999999999</v>
      </c>
      <c r="L756" t="n">
        <v>93.0981</v>
      </c>
      <c r="M756" t="n">
        <v>101.2121</v>
      </c>
      <c r="N756" t="n">
        <v>92.02032</v>
      </c>
      <c r="O756" t="n">
        <v>82.90501999999999</v>
      </c>
      <c r="P756" t="n">
        <v>83.69793</v>
      </c>
      <c r="Q756" t="n">
        <v>87.86087999999999</v>
      </c>
      <c r="R756" t="n">
        <v>86.65867</v>
      </c>
      <c r="S756" t="n">
        <v>95.57051</v>
      </c>
      <c r="T756" t="n">
        <v>86.90875</v>
      </c>
      <c r="U756" t="n">
        <v>85.88629</v>
      </c>
      <c r="V756" t="n">
        <v>92.37908</v>
      </c>
      <c r="W756" t="n">
        <v>88.60605</v>
      </c>
      <c r="X756" t="n">
        <v>90.69217999999999</v>
      </c>
      <c r="Y756" t="n">
        <v>90.63445</v>
      </c>
      <c r="Z756" t="n">
        <v>88.1614</v>
      </c>
      <c r="AA756" t="n">
        <v>79.08622</v>
      </c>
      <c r="AB756" t="n">
        <v>91.33378</v>
      </c>
      <c r="AC756" t="n">
        <v>78.54979</v>
      </c>
      <c r="AD756" t="n">
        <v>91.07189</v>
      </c>
      <c r="AE756" t="n">
        <v>87.55589000000001</v>
      </c>
    </row>
    <row r="757">
      <c r="A757" s="87" t="n">
        <v>41609</v>
      </c>
      <c r="B757" t="n">
        <v>90.03748</v>
      </c>
      <c r="C757" t="n">
        <v>85.55074</v>
      </c>
      <c r="D757" t="n">
        <v>89.82375999999999</v>
      </c>
      <c r="E757" t="n">
        <v>96.04040999999999</v>
      </c>
      <c r="F757" t="n">
        <v>85.12181</v>
      </c>
      <c r="G757" t="n">
        <v>83.73379</v>
      </c>
      <c r="H757" t="n">
        <v>85.91162</v>
      </c>
      <c r="I757" t="n">
        <v>85.27386</v>
      </c>
      <c r="J757" t="n">
        <v>90.47642999999999</v>
      </c>
      <c r="K757" t="n">
        <v>82.65706</v>
      </c>
      <c r="L757" t="n">
        <v>93.06037000000001</v>
      </c>
      <c r="M757" t="n">
        <v>100.6485</v>
      </c>
      <c r="N757" t="n">
        <v>92.76691</v>
      </c>
      <c r="O757" t="n">
        <v>83.56206</v>
      </c>
      <c r="P757" t="n">
        <v>84.97423999999999</v>
      </c>
      <c r="Q757" t="n">
        <v>88.25217000000001</v>
      </c>
      <c r="R757" t="n">
        <v>87.21104</v>
      </c>
      <c r="S757" t="n">
        <v>95.88966000000001</v>
      </c>
      <c r="T757" t="n">
        <v>87.35195</v>
      </c>
      <c r="U757" t="n">
        <v>86.61466</v>
      </c>
      <c r="V757" t="n">
        <v>93.53426</v>
      </c>
      <c r="W757" t="n">
        <v>88.91001</v>
      </c>
      <c r="X757" t="n">
        <v>91.20408999999999</v>
      </c>
      <c r="Y757" t="n">
        <v>91.0668</v>
      </c>
      <c r="Z757" t="n">
        <v>88.4218</v>
      </c>
      <c r="AA757" t="n">
        <v>79.63991</v>
      </c>
      <c r="AB757" t="n">
        <v>91.93442</v>
      </c>
      <c r="AC757" t="n">
        <v>79.92269</v>
      </c>
      <c r="AD757" t="n">
        <v>91.61400999999999</v>
      </c>
      <c r="AE757" t="n">
        <v>88.00694</v>
      </c>
    </row>
    <row r="758">
      <c r="A758" s="87" t="n">
        <v>41640</v>
      </c>
      <c r="B758" t="n">
        <v>90.65945000000001</v>
      </c>
      <c r="C758" t="n">
        <v>86.22359</v>
      </c>
      <c r="D758" t="n">
        <v>91.0067</v>
      </c>
      <c r="E758" t="n">
        <v>96.40922999999999</v>
      </c>
      <c r="F758" t="n">
        <v>85.41201</v>
      </c>
      <c r="G758" t="n">
        <v>84.70180999999999</v>
      </c>
      <c r="H758" t="n">
        <v>86.69686</v>
      </c>
      <c r="I758" t="n">
        <v>86.62157000000001</v>
      </c>
      <c r="J758" t="n">
        <v>90.74261</v>
      </c>
      <c r="K758" t="n">
        <v>81.28873</v>
      </c>
      <c r="L758" t="n">
        <v>92.90446</v>
      </c>
      <c r="M758" t="n">
        <v>100.7078</v>
      </c>
      <c r="N758" t="n">
        <v>93.43128</v>
      </c>
      <c r="O758" t="n">
        <v>83.96827999999999</v>
      </c>
      <c r="P758" t="n">
        <v>85.74196999999999</v>
      </c>
      <c r="Q758" t="n">
        <v>88.58984</v>
      </c>
      <c r="R758" t="n">
        <v>87.87432</v>
      </c>
      <c r="S758" t="n">
        <v>96.20341000000001</v>
      </c>
      <c r="T758" t="n">
        <v>87.98573</v>
      </c>
      <c r="U758" t="n">
        <v>86.47068</v>
      </c>
      <c r="V758" t="n">
        <v>94.42267</v>
      </c>
      <c r="W758" t="n">
        <v>89.52772</v>
      </c>
      <c r="X758" t="n">
        <v>91.65517</v>
      </c>
      <c r="Y758" t="n">
        <v>91.68172</v>
      </c>
      <c r="Z758" t="n">
        <v>88.78416</v>
      </c>
      <c r="AA758" t="n">
        <v>80.292</v>
      </c>
      <c r="AB758" t="n">
        <v>91.77261</v>
      </c>
      <c r="AC758" t="n">
        <v>81.72488</v>
      </c>
      <c r="AD758" t="n">
        <v>91.99426</v>
      </c>
      <c r="AE758" t="n">
        <v>88.62666</v>
      </c>
    </row>
    <row r="759">
      <c r="A759" s="87" t="n">
        <v>41671</v>
      </c>
      <c r="B759" t="n">
        <v>91.16655</v>
      </c>
      <c r="C759" t="n">
        <v>86.81353</v>
      </c>
      <c r="D759" t="n">
        <v>90.68711999999999</v>
      </c>
      <c r="E759" t="n">
        <v>97.03558</v>
      </c>
      <c r="F759" t="n">
        <v>86.35628</v>
      </c>
      <c r="G759" t="n">
        <v>85.60117</v>
      </c>
      <c r="H759" t="n">
        <v>88.03645</v>
      </c>
      <c r="I759" t="n">
        <v>89.52442000000001</v>
      </c>
      <c r="J759" t="n">
        <v>91.01698</v>
      </c>
      <c r="K759" t="n">
        <v>80.71889</v>
      </c>
      <c r="L759" t="n">
        <v>92.97651999999999</v>
      </c>
      <c r="M759" t="n">
        <v>101.8091</v>
      </c>
      <c r="N759" t="n">
        <v>93.75424</v>
      </c>
      <c r="O759" t="n">
        <v>84.23650000000001</v>
      </c>
      <c r="P759" t="n">
        <v>86.46075</v>
      </c>
      <c r="Q759" t="n">
        <v>88.95541</v>
      </c>
      <c r="R759" t="n">
        <v>88.46912</v>
      </c>
      <c r="S759" t="n">
        <v>96.26797999999999</v>
      </c>
      <c r="T759" t="n">
        <v>88.65002</v>
      </c>
      <c r="U759" t="n">
        <v>87.24011</v>
      </c>
      <c r="V759" t="n">
        <v>94.71656</v>
      </c>
      <c r="W759" t="n">
        <v>90.47889000000001</v>
      </c>
      <c r="X759" t="n">
        <v>92.3017</v>
      </c>
      <c r="Y759" t="n">
        <v>92.40567</v>
      </c>
      <c r="Z759" t="n">
        <v>89.10265</v>
      </c>
      <c r="AA759" t="n">
        <v>81.41987</v>
      </c>
      <c r="AB759" t="n">
        <v>91.89433</v>
      </c>
      <c r="AC759" t="n">
        <v>82.76344</v>
      </c>
      <c r="AD759" t="n">
        <v>92.80786000000001</v>
      </c>
      <c r="AE759" t="n">
        <v>89.33571999999999</v>
      </c>
    </row>
    <row r="760">
      <c r="A760" s="87" t="n">
        <v>41699</v>
      </c>
      <c r="B760" t="n">
        <v>91.61201</v>
      </c>
      <c r="C760" t="n">
        <v>87.16458</v>
      </c>
      <c r="D760" t="n">
        <v>91.13696</v>
      </c>
      <c r="E760" t="n">
        <v>97.6507</v>
      </c>
      <c r="F760" t="n">
        <v>87.61958</v>
      </c>
      <c r="G760" t="n">
        <v>86.62496</v>
      </c>
      <c r="H760" t="n">
        <v>88.89659</v>
      </c>
      <c r="I760" t="n">
        <v>91.79074</v>
      </c>
      <c r="J760" t="n">
        <v>91.57401</v>
      </c>
      <c r="K760" t="n">
        <v>81.36911000000001</v>
      </c>
      <c r="L760" t="n">
        <v>93.10048</v>
      </c>
      <c r="M760" t="n">
        <v>101.3079</v>
      </c>
      <c r="N760" t="n">
        <v>93.98721999999999</v>
      </c>
      <c r="O760" t="n">
        <v>84.51299</v>
      </c>
      <c r="P760" t="n">
        <v>86.9819</v>
      </c>
      <c r="Q760" t="n">
        <v>89.31674</v>
      </c>
      <c r="R760" t="n">
        <v>89.29549</v>
      </c>
      <c r="S760" t="n">
        <v>96.33376</v>
      </c>
      <c r="T760" t="n">
        <v>89.11903</v>
      </c>
      <c r="U760" t="n">
        <v>88.34956</v>
      </c>
      <c r="V760" t="n">
        <v>95.01837</v>
      </c>
      <c r="W760" t="n">
        <v>90.5099</v>
      </c>
      <c r="X760" t="n">
        <v>92.59603</v>
      </c>
      <c r="Y760" t="n">
        <v>92.48405</v>
      </c>
      <c r="Z760" t="n">
        <v>89.83784</v>
      </c>
      <c r="AA760" t="n">
        <v>83.06704000000001</v>
      </c>
      <c r="AB760" t="n">
        <v>92.26564999999999</v>
      </c>
      <c r="AC760" t="n">
        <v>82.78653</v>
      </c>
      <c r="AD760" t="n">
        <v>93.05112</v>
      </c>
      <c r="AE760" t="n">
        <v>90.11564</v>
      </c>
    </row>
    <row r="761">
      <c r="A761" s="87" t="n">
        <v>41730</v>
      </c>
      <c r="B761" t="n">
        <v>92.06869</v>
      </c>
      <c r="C761" t="n">
        <v>87.76488000000001</v>
      </c>
      <c r="D761" t="n">
        <v>91.5864</v>
      </c>
      <c r="E761" t="n">
        <v>97.98666</v>
      </c>
      <c r="F761" t="n">
        <v>88.20435000000001</v>
      </c>
      <c r="G761" t="n">
        <v>87.81058</v>
      </c>
      <c r="H761" t="n">
        <v>89.36718999999999</v>
      </c>
      <c r="I761" t="n">
        <v>92.3755</v>
      </c>
      <c r="J761" t="n">
        <v>92.03448</v>
      </c>
      <c r="K761" t="n">
        <v>81.71879</v>
      </c>
      <c r="L761" t="n">
        <v>93.26803</v>
      </c>
      <c r="M761" t="n">
        <v>100.277</v>
      </c>
      <c r="N761" t="n">
        <v>94.70643</v>
      </c>
      <c r="O761" t="n">
        <v>85.53346999999999</v>
      </c>
      <c r="P761" t="n">
        <v>87.79392</v>
      </c>
      <c r="Q761" t="n">
        <v>89.7916</v>
      </c>
      <c r="R761" t="n">
        <v>90.13957000000001</v>
      </c>
      <c r="S761" t="n">
        <v>96.49309</v>
      </c>
      <c r="T761" t="n">
        <v>89.50961</v>
      </c>
      <c r="U761" t="n">
        <v>88.94489</v>
      </c>
      <c r="V761" t="n">
        <v>95.48180000000001</v>
      </c>
      <c r="W761" t="n">
        <v>90.48524999999999</v>
      </c>
      <c r="X761" t="n">
        <v>92.90900000000001</v>
      </c>
      <c r="Y761" t="n">
        <v>92.47526999999999</v>
      </c>
      <c r="Z761" t="n">
        <v>90.71773</v>
      </c>
      <c r="AA761" t="n">
        <v>83.61398</v>
      </c>
      <c r="AB761" t="n">
        <v>92.61757</v>
      </c>
      <c r="AC761" t="n">
        <v>83.10655</v>
      </c>
      <c r="AD761" t="n">
        <v>93.4629</v>
      </c>
      <c r="AE761" t="n">
        <v>90.99747000000001</v>
      </c>
    </row>
    <row r="762">
      <c r="A762" s="87" t="n">
        <v>41760</v>
      </c>
      <c r="B762" t="n">
        <v>92.71587</v>
      </c>
      <c r="C762" t="n">
        <v>88.74508</v>
      </c>
      <c r="D762" t="n">
        <v>91.94298999999999</v>
      </c>
      <c r="E762" t="n">
        <v>98.06791</v>
      </c>
      <c r="F762" t="n">
        <v>88.69627</v>
      </c>
      <c r="G762" t="n">
        <v>88.80240000000001</v>
      </c>
      <c r="H762" t="n">
        <v>89.88361999999999</v>
      </c>
      <c r="I762" t="n">
        <v>93.31316</v>
      </c>
      <c r="J762" t="n">
        <v>92.61409</v>
      </c>
      <c r="K762" t="n">
        <v>82.45905999999999</v>
      </c>
      <c r="L762" t="n">
        <v>93.70287</v>
      </c>
      <c r="M762" t="n">
        <v>100.1173</v>
      </c>
      <c r="N762" t="n">
        <v>95.32246000000001</v>
      </c>
      <c r="O762" t="n">
        <v>87.01186</v>
      </c>
      <c r="P762" t="n">
        <v>88.67983</v>
      </c>
      <c r="Q762" t="n">
        <v>90.50658</v>
      </c>
      <c r="R762" t="n">
        <v>90.87363999999999</v>
      </c>
      <c r="S762" t="n">
        <v>96.5985</v>
      </c>
      <c r="T762" t="n">
        <v>89.98564</v>
      </c>
      <c r="U762" t="n">
        <v>89.95129</v>
      </c>
      <c r="V762" t="n">
        <v>95.96885</v>
      </c>
      <c r="W762" t="n">
        <v>91.16985</v>
      </c>
      <c r="X762" t="n">
        <v>93.33445</v>
      </c>
      <c r="Y762" t="n">
        <v>92.64190000000001</v>
      </c>
      <c r="Z762" t="n">
        <v>91.31384</v>
      </c>
      <c r="AA762" t="n">
        <v>83.82314</v>
      </c>
      <c r="AB762" t="n">
        <v>93.25601</v>
      </c>
      <c r="AC762" t="n">
        <v>83.08673</v>
      </c>
      <c r="AD762" t="n">
        <v>93.98842999999999</v>
      </c>
      <c r="AE762" t="n">
        <v>91.66691</v>
      </c>
    </row>
    <row r="763">
      <c r="A763" s="87" t="n">
        <v>41791</v>
      </c>
      <c r="B763" t="n">
        <v>93.29862</v>
      </c>
      <c r="C763" t="n">
        <v>89.59762000000001</v>
      </c>
      <c r="D763" t="n">
        <v>92.43746</v>
      </c>
      <c r="E763" t="n">
        <v>98.04812</v>
      </c>
      <c r="F763" t="n">
        <v>89.26031999999999</v>
      </c>
      <c r="G763" t="n">
        <v>89.93048</v>
      </c>
      <c r="H763" t="n">
        <v>90.43671000000001</v>
      </c>
      <c r="I763" t="n">
        <v>93.38341</v>
      </c>
      <c r="J763" t="n">
        <v>92.52894999999999</v>
      </c>
      <c r="K763" t="n">
        <v>83.02521</v>
      </c>
      <c r="L763" t="n">
        <v>94.11112</v>
      </c>
      <c r="M763" t="n">
        <v>99.88381</v>
      </c>
      <c r="N763" t="n">
        <v>95.1879</v>
      </c>
      <c r="O763" t="n">
        <v>87.99495</v>
      </c>
      <c r="P763" t="n">
        <v>89.3116</v>
      </c>
      <c r="Q763" t="n">
        <v>91.22573</v>
      </c>
      <c r="R763" t="n">
        <v>91.73009999999999</v>
      </c>
      <c r="S763" t="n">
        <v>96.82079</v>
      </c>
      <c r="T763" t="n">
        <v>90.44824</v>
      </c>
      <c r="U763" t="n">
        <v>91.32165000000001</v>
      </c>
      <c r="V763" t="n">
        <v>96.6824</v>
      </c>
      <c r="W763" t="n">
        <v>91.68024</v>
      </c>
      <c r="X763" t="n">
        <v>93.77625</v>
      </c>
      <c r="Y763" t="n">
        <v>92.86581</v>
      </c>
      <c r="Z763" t="n">
        <v>91.75373</v>
      </c>
      <c r="AA763" t="n">
        <v>84.28246</v>
      </c>
      <c r="AB763" t="n">
        <v>93.95329</v>
      </c>
      <c r="AC763" t="n">
        <v>83.65872</v>
      </c>
      <c r="AD763" t="n">
        <v>94.43591000000001</v>
      </c>
      <c r="AE763" t="n">
        <v>92.33540000000001</v>
      </c>
    </row>
    <row r="764">
      <c r="A764" s="87" t="n">
        <v>41821</v>
      </c>
      <c r="B764" t="n">
        <v>93.84215</v>
      </c>
      <c r="C764" t="n">
        <v>90.70577</v>
      </c>
      <c r="D764" t="n">
        <v>93.1981</v>
      </c>
      <c r="E764" t="n">
        <v>98.0724</v>
      </c>
      <c r="F764" t="n">
        <v>89.76618999999999</v>
      </c>
      <c r="G764" t="n">
        <v>90.57265</v>
      </c>
      <c r="H764" t="n">
        <v>91.17514</v>
      </c>
      <c r="I764" t="n">
        <v>93.86256</v>
      </c>
      <c r="J764" t="n">
        <v>92.55727</v>
      </c>
      <c r="K764" t="n">
        <v>83.90461999999999</v>
      </c>
      <c r="L764" t="n">
        <v>94.33298000000001</v>
      </c>
      <c r="M764" t="n">
        <v>99.6454</v>
      </c>
      <c r="N764" t="n">
        <v>95.64545</v>
      </c>
      <c r="O764" t="n">
        <v>88.94174</v>
      </c>
      <c r="P764" t="n">
        <v>90.13514000000001</v>
      </c>
      <c r="Q764" t="n">
        <v>91.77403</v>
      </c>
      <c r="R764" t="n">
        <v>91.94387</v>
      </c>
      <c r="S764" t="n">
        <v>97.0093</v>
      </c>
      <c r="T764" t="n">
        <v>91.08920000000001</v>
      </c>
      <c r="U764" t="n">
        <v>92.69573</v>
      </c>
      <c r="V764" t="n">
        <v>97.02791999999999</v>
      </c>
      <c r="W764" t="n">
        <v>92.01904</v>
      </c>
      <c r="X764" t="n">
        <v>94.2924</v>
      </c>
      <c r="Y764" t="n">
        <v>93.38714</v>
      </c>
      <c r="Z764" t="n">
        <v>92.41628</v>
      </c>
      <c r="AA764" t="n">
        <v>84.09058</v>
      </c>
      <c r="AB764" t="n">
        <v>94.44925000000001</v>
      </c>
      <c r="AC764" t="n">
        <v>85.24516</v>
      </c>
      <c r="AD764" t="n">
        <v>94.89252999999999</v>
      </c>
      <c r="AE764" t="n">
        <v>92.39758</v>
      </c>
    </row>
    <row r="765">
      <c r="A765" s="87" t="n">
        <v>41852</v>
      </c>
      <c r="B765" t="n">
        <v>94.53695999999999</v>
      </c>
      <c r="C765" t="n">
        <v>92.33466</v>
      </c>
      <c r="D765" t="n">
        <v>93.89552</v>
      </c>
      <c r="E765" t="n">
        <v>98.35429000000001</v>
      </c>
      <c r="F765" t="n">
        <v>90.42003</v>
      </c>
      <c r="G765" t="n">
        <v>90.67023</v>
      </c>
      <c r="H765" t="n">
        <v>91.80154</v>
      </c>
      <c r="I765" t="n">
        <v>95.41094</v>
      </c>
      <c r="J765" t="n">
        <v>92.95208</v>
      </c>
      <c r="K765" t="n">
        <v>85.68725999999999</v>
      </c>
      <c r="L765" t="n">
        <v>94.71646</v>
      </c>
      <c r="M765" t="n">
        <v>99.83408</v>
      </c>
      <c r="N765" t="n">
        <v>96.52406000000001</v>
      </c>
      <c r="O765" t="n">
        <v>89.61060000000001</v>
      </c>
      <c r="P765" t="n">
        <v>91.09347</v>
      </c>
      <c r="Q765" t="n">
        <v>92.29244</v>
      </c>
      <c r="R765" t="n">
        <v>92.77831</v>
      </c>
      <c r="S765" t="n">
        <v>97.24056</v>
      </c>
      <c r="T765" t="n">
        <v>91.77240999999999</v>
      </c>
      <c r="U765" t="n">
        <v>93.50086</v>
      </c>
      <c r="V765" t="n">
        <v>97.71818</v>
      </c>
      <c r="W765" t="n">
        <v>92.56708999999999</v>
      </c>
      <c r="X765" t="n">
        <v>94.71899000000001</v>
      </c>
      <c r="Y765" t="n">
        <v>94.03256</v>
      </c>
      <c r="Z765" t="n">
        <v>93.61959</v>
      </c>
      <c r="AA765" t="n">
        <v>84.33929000000001</v>
      </c>
      <c r="AB765" t="n">
        <v>94.50387000000001</v>
      </c>
      <c r="AC765" t="n">
        <v>86.23788999999999</v>
      </c>
      <c r="AD765" t="n">
        <v>95.13329</v>
      </c>
      <c r="AE765" t="n">
        <v>92.01514</v>
      </c>
    </row>
    <row r="766">
      <c r="A766" s="87" t="n">
        <v>41883</v>
      </c>
      <c r="B766" t="n">
        <v>95.25139</v>
      </c>
      <c r="C766" t="n">
        <v>93.66454</v>
      </c>
      <c r="D766" t="n">
        <v>94.61201</v>
      </c>
      <c r="E766" t="n">
        <v>98.57513</v>
      </c>
      <c r="F766" t="n">
        <v>91.11212</v>
      </c>
      <c r="G766" t="n">
        <v>91.09446</v>
      </c>
      <c r="H766" t="n">
        <v>92.10288</v>
      </c>
      <c r="I766" t="n">
        <v>96.31726</v>
      </c>
      <c r="J766" t="n">
        <v>93.00534</v>
      </c>
      <c r="K766" t="n">
        <v>87.39391000000001</v>
      </c>
      <c r="L766" t="n">
        <v>94.99536000000001</v>
      </c>
      <c r="M766" t="n">
        <v>100.0645</v>
      </c>
      <c r="N766" t="n">
        <v>96.83543</v>
      </c>
      <c r="O766" t="n">
        <v>90.8656</v>
      </c>
      <c r="P766" t="n">
        <v>91.92004</v>
      </c>
      <c r="Q766" t="n">
        <v>92.96449</v>
      </c>
      <c r="R766" t="n">
        <v>94.14594</v>
      </c>
      <c r="S766" t="n">
        <v>97.54858</v>
      </c>
      <c r="T766" t="n">
        <v>92.28127000000001</v>
      </c>
      <c r="U766" t="n">
        <v>93.52128</v>
      </c>
      <c r="V766" t="n">
        <v>98.24347</v>
      </c>
      <c r="W766" t="n">
        <v>93.52110999999999</v>
      </c>
      <c r="X766" t="n">
        <v>95.14870999999999</v>
      </c>
      <c r="Y766" t="n">
        <v>94.68989999999999</v>
      </c>
      <c r="Z766" t="n">
        <v>94.53576</v>
      </c>
      <c r="AA766" t="n">
        <v>85.21062999999999</v>
      </c>
      <c r="AB766" t="n">
        <v>94.89185000000001</v>
      </c>
      <c r="AC766" t="n">
        <v>87.46462</v>
      </c>
      <c r="AD766" t="n">
        <v>95.47284999999999</v>
      </c>
      <c r="AE766" t="n">
        <v>92.87905000000001</v>
      </c>
    </row>
    <row r="767">
      <c r="A767" s="87" t="n">
        <v>41913</v>
      </c>
      <c r="B767" t="n">
        <v>95.77531</v>
      </c>
      <c r="C767" t="n">
        <v>94.56451</v>
      </c>
      <c r="D767" t="n">
        <v>95.13512</v>
      </c>
      <c r="E767" t="n">
        <v>98.74436</v>
      </c>
      <c r="F767" t="n">
        <v>91.53785999999999</v>
      </c>
      <c r="G767" t="n">
        <v>91.76791</v>
      </c>
      <c r="H767" t="n">
        <v>92.73486</v>
      </c>
      <c r="I767" t="n">
        <v>96.52070999999999</v>
      </c>
      <c r="J767" t="n">
        <v>93.48757000000001</v>
      </c>
      <c r="K767" t="n">
        <v>89.22127999999999</v>
      </c>
      <c r="L767" t="n">
        <v>95.15971</v>
      </c>
      <c r="M767" t="n">
        <v>99.71541000000001</v>
      </c>
      <c r="N767" t="n">
        <v>96.76429</v>
      </c>
      <c r="O767" t="n">
        <v>92.44128000000001</v>
      </c>
      <c r="P767" t="n">
        <v>92.89429</v>
      </c>
      <c r="Q767" t="n">
        <v>93.79935</v>
      </c>
      <c r="R767" t="n">
        <v>94.68973</v>
      </c>
      <c r="S767" t="n">
        <v>97.87739000000001</v>
      </c>
      <c r="T767" t="n">
        <v>93.04443999999999</v>
      </c>
      <c r="U767" t="n">
        <v>94.3237</v>
      </c>
      <c r="V767" t="n">
        <v>97.84849</v>
      </c>
      <c r="W767" t="n">
        <v>94.10825</v>
      </c>
      <c r="X767" t="n">
        <v>95.63301</v>
      </c>
      <c r="Y767" t="n">
        <v>94.93768</v>
      </c>
      <c r="Z767" t="n">
        <v>94.79667999999999</v>
      </c>
      <c r="AA767" t="n">
        <v>86.37785</v>
      </c>
      <c r="AB767" t="n">
        <v>95.29895999999999</v>
      </c>
      <c r="AC767" t="n">
        <v>88.27893</v>
      </c>
      <c r="AD767" t="n">
        <v>96.02245000000001</v>
      </c>
      <c r="AE767" t="n">
        <v>94.0433</v>
      </c>
    </row>
    <row r="768">
      <c r="A768" s="87" t="n">
        <v>41944</v>
      </c>
      <c r="B768" t="n">
        <v>96.07789</v>
      </c>
      <c r="C768" t="n">
        <v>95.53429</v>
      </c>
      <c r="D768" t="n">
        <v>95.43169</v>
      </c>
      <c r="E768" t="n">
        <v>99.10453</v>
      </c>
      <c r="F768" t="n">
        <v>92.36227</v>
      </c>
      <c r="G768" t="n">
        <v>92.59141</v>
      </c>
      <c r="H768" t="n">
        <v>93.46553</v>
      </c>
      <c r="I768" t="n">
        <v>97.22271000000001</v>
      </c>
      <c r="J768" t="n">
        <v>94.46511</v>
      </c>
      <c r="K768" t="n">
        <v>91.31644</v>
      </c>
      <c r="L768" t="n">
        <v>95.72163999999999</v>
      </c>
      <c r="M768" t="n">
        <v>99.54864999999999</v>
      </c>
      <c r="N768" t="n">
        <v>96.75444</v>
      </c>
      <c r="O768" t="n">
        <v>93.3813</v>
      </c>
      <c r="P768" t="n">
        <v>93.98775999999999</v>
      </c>
      <c r="Q768" t="n">
        <v>94.69482000000001</v>
      </c>
      <c r="R768" t="n">
        <v>96.03754000000001</v>
      </c>
      <c r="S768" t="n">
        <v>98.295</v>
      </c>
      <c r="T768" t="n">
        <v>93.92271</v>
      </c>
      <c r="U768" t="n">
        <v>96.11221999999999</v>
      </c>
      <c r="V768" t="n">
        <v>98.4602</v>
      </c>
      <c r="W768" t="n">
        <v>94.47538</v>
      </c>
      <c r="X768" t="n">
        <v>96.08765</v>
      </c>
      <c r="Y768" t="n">
        <v>95.19242</v>
      </c>
      <c r="Z768" t="n">
        <v>95.20764</v>
      </c>
      <c r="AA768" t="n">
        <v>88.16819</v>
      </c>
      <c r="AB768" t="n">
        <v>95.42379</v>
      </c>
      <c r="AC768" t="n">
        <v>88.52528</v>
      </c>
      <c r="AD768" t="n">
        <v>96.34457</v>
      </c>
      <c r="AE768" t="n">
        <v>94.71071999999999</v>
      </c>
    </row>
    <row r="769">
      <c r="A769" s="87" t="n">
        <v>41974</v>
      </c>
      <c r="B769" t="n">
        <v>96.6018</v>
      </c>
      <c r="C769" t="n">
        <v>96.31953</v>
      </c>
      <c r="D769" t="n">
        <v>95.72888</v>
      </c>
      <c r="E769" t="n">
        <v>99.30994</v>
      </c>
      <c r="F769" t="n">
        <v>93.93527</v>
      </c>
      <c r="G769" t="n">
        <v>93.30079000000001</v>
      </c>
      <c r="H769" t="n">
        <v>94.00415</v>
      </c>
      <c r="I769" t="n">
        <v>97.99126</v>
      </c>
      <c r="J769" t="n">
        <v>95.91947999999999</v>
      </c>
      <c r="K769" t="n">
        <v>92.51806000000001</v>
      </c>
      <c r="L769" t="n">
        <v>96.7831</v>
      </c>
      <c r="M769" t="n">
        <v>99.73018999999999</v>
      </c>
      <c r="N769" t="n">
        <v>97.40533000000001</v>
      </c>
      <c r="O769" t="n">
        <v>93.97318</v>
      </c>
      <c r="P769" t="n">
        <v>94.74309</v>
      </c>
      <c r="Q769" t="n">
        <v>95.63424000000001</v>
      </c>
      <c r="R769" t="n">
        <v>97.65228</v>
      </c>
      <c r="S769" t="n">
        <v>98.63459</v>
      </c>
      <c r="T769" t="n">
        <v>94.75894</v>
      </c>
      <c r="U769" t="n">
        <v>96.75355999999999</v>
      </c>
      <c r="V769" t="n">
        <v>99.82098000000001</v>
      </c>
      <c r="W769" t="n">
        <v>94.93192000000001</v>
      </c>
      <c r="X769" t="n">
        <v>96.71014</v>
      </c>
      <c r="Y769" t="n">
        <v>95.84292000000001</v>
      </c>
      <c r="Z769" t="n">
        <v>95.75127999999999</v>
      </c>
      <c r="AA769" t="n">
        <v>90.1788</v>
      </c>
      <c r="AB769" t="n">
        <v>95.86845</v>
      </c>
      <c r="AC769" t="n">
        <v>89.59627999999999</v>
      </c>
      <c r="AD769" t="n">
        <v>97.00957</v>
      </c>
      <c r="AE769" t="n">
        <v>94.84644</v>
      </c>
    </row>
    <row r="770">
      <c r="A770" s="87" t="n">
        <v>42005</v>
      </c>
      <c r="B770" t="n">
        <v>97.11731</v>
      </c>
      <c r="C770" t="n">
        <v>96.93709</v>
      </c>
      <c r="D770" t="n">
        <v>96.45493999999999</v>
      </c>
      <c r="E770" t="n">
        <v>99.41085</v>
      </c>
      <c r="F770" t="n">
        <v>95.00203999999999</v>
      </c>
      <c r="G770" t="n">
        <v>93.89987000000001</v>
      </c>
      <c r="H770" t="n">
        <v>94.82088</v>
      </c>
      <c r="I770" t="n">
        <v>98.21210000000001</v>
      </c>
      <c r="J770" t="n">
        <v>96.71068</v>
      </c>
      <c r="K770" t="n">
        <v>94.68442</v>
      </c>
      <c r="L770" t="n">
        <v>97.72409</v>
      </c>
      <c r="M770" t="n">
        <v>99.5958</v>
      </c>
      <c r="N770" t="n">
        <v>98.41589</v>
      </c>
      <c r="O770" t="n">
        <v>95.19379000000001</v>
      </c>
      <c r="P770" t="n">
        <v>95.43456</v>
      </c>
      <c r="Q770" t="n">
        <v>96.66092999999999</v>
      </c>
      <c r="R770" t="n">
        <v>98.47627</v>
      </c>
      <c r="S770" t="n">
        <v>98.84491</v>
      </c>
      <c r="T770" t="n">
        <v>95.43919</v>
      </c>
      <c r="U770" t="n">
        <v>97.46809</v>
      </c>
      <c r="V770" t="n">
        <v>100.6729</v>
      </c>
      <c r="W770" t="n">
        <v>95.51945000000001</v>
      </c>
      <c r="X770" t="n">
        <v>97.23359000000001</v>
      </c>
      <c r="Y770" t="n">
        <v>96.41051</v>
      </c>
      <c r="Z770" t="n">
        <v>96.21702000000001</v>
      </c>
      <c r="AA770" t="n">
        <v>91.95699</v>
      </c>
      <c r="AB770" t="n">
        <v>95.83710000000001</v>
      </c>
      <c r="AC770" t="n">
        <v>90.92272</v>
      </c>
      <c r="AD770" t="n">
        <v>97.51351</v>
      </c>
      <c r="AE770" t="n">
        <v>94.99808</v>
      </c>
    </row>
    <row r="771">
      <c r="A771" s="87" t="n">
        <v>42036</v>
      </c>
      <c r="B771" t="n">
        <v>97.81213</v>
      </c>
      <c r="C771" t="n">
        <v>97.32259000000001</v>
      </c>
      <c r="D771" t="n">
        <v>96.96832000000001</v>
      </c>
      <c r="E771" t="n">
        <v>99.58192</v>
      </c>
      <c r="F771" t="n">
        <v>95.61826000000001</v>
      </c>
      <c r="G771" t="n">
        <v>94.81914999999999</v>
      </c>
      <c r="H771" t="n">
        <v>95.84716</v>
      </c>
      <c r="I771" t="n">
        <v>98.27742000000001</v>
      </c>
      <c r="J771" t="n">
        <v>97.13379999999999</v>
      </c>
      <c r="K771" t="n">
        <v>97.184</v>
      </c>
      <c r="L771" t="n">
        <v>98.14461</v>
      </c>
      <c r="M771" t="n">
        <v>99.2366</v>
      </c>
      <c r="N771" t="n">
        <v>98.83804000000001</v>
      </c>
      <c r="O771" t="n">
        <v>97.14249</v>
      </c>
      <c r="P771" t="n">
        <v>96.15666</v>
      </c>
      <c r="Q771" t="n">
        <v>97.73345999999999</v>
      </c>
      <c r="R771" t="n">
        <v>99.06641</v>
      </c>
      <c r="S771" t="n">
        <v>99.04488000000001</v>
      </c>
      <c r="T771" t="n">
        <v>96.05415000000001</v>
      </c>
      <c r="U771" t="n">
        <v>98.56570000000001</v>
      </c>
      <c r="V771" t="n">
        <v>100.6039</v>
      </c>
      <c r="W771" t="n">
        <v>96.40597</v>
      </c>
      <c r="X771" t="n">
        <v>98.0442</v>
      </c>
      <c r="Y771" t="n">
        <v>96.9914</v>
      </c>
      <c r="Z771" t="n">
        <v>96.776</v>
      </c>
      <c r="AA771" t="n">
        <v>96.46549</v>
      </c>
      <c r="AB771" t="n">
        <v>96.3152</v>
      </c>
      <c r="AC771" t="n">
        <v>92.75123000000001</v>
      </c>
      <c r="AD771" t="n">
        <v>98.62102</v>
      </c>
      <c r="AE771" t="n">
        <v>96.04546000000001</v>
      </c>
    </row>
    <row r="772">
      <c r="A772" s="87" t="n">
        <v>42064</v>
      </c>
      <c r="B772" t="n">
        <v>98.52375000000001</v>
      </c>
      <c r="C772" t="n">
        <v>97.65115</v>
      </c>
      <c r="D772" t="n">
        <v>97.59869</v>
      </c>
      <c r="E772" t="n">
        <v>99.84244</v>
      </c>
      <c r="F772" t="n">
        <v>96.23169</v>
      </c>
      <c r="G772" t="n">
        <v>95.74342</v>
      </c>
      <c r="H772" t="n">
        <v>96.70605</v>
      </c>
      <c r="I772" t="n">
        <v>98.0681</v>
      </c>
      <c r="J772" t="n">
        <v>97.72351999999999</v>
      </c>
      <c r="K772" t="n">
        <v>96.83761</v>
      </c>
      <c r="L772" t="n">
        <v>98.45128</v>
      </c>
      <c r="M772" t="n">
        <v>99.61093</v>
      </c>
      <c r="N772" t="n">
        <v>98.6681</v>
      </c>
      <c r="O772" t="n">
        <v>98.16839</v>
      </c>
      <c r="P772" t="n">
        <v>97.02437999999999</v>
      </c>
      <c r="Q772" t="n">
        <v>98.74702000000001</v>
      </c>
      <c r="R772" t="n">
        <v>99.29437</v>
      </c>
      <c r="S772" t="n">
        <v>99.27109</v>
      </c>
      <c r="T772" t="n">
        <v>97.19955</v>
      </c>
      <c r="U772" t="n">
        <v>98.36929000000001</v>
      </c>
      <c r="V772" t="n">
        <v>101.1244</v>
      </c>
      <c r="W772" t="n">
        <v>97.35513</v>
      </c>
      <c r="X772" t="n">
        <v>98.40174</v>
      </c>
      <c r="Y772" t="n">
        <v>97.90239</v>
      </c>
      <c r="Z772" t="n">
        <v>97.69101999999999</v>
      </c>
      <c r="AA772" t="n">
        <v>98.92641</v>
      </c>
      <c r="AB772" t="n">
        <v>97.48978</v>
      </c>
      <c r="AC772" t="n">
        <v>94.89382999999999</v>
      </c>
      <c r="AD772" t="n">
        <v>98.68577999999999</v>
      </c>
      <c r="AE772" t="n">
        <v>96.98455</v>
      </c>
    </row>
    <row r="773">
      <c r="A773" s="87" t="n">
        <v>42095</v>
      </c>
      <c r="B773" t="n">
        <v>98.88517</v>
      </c>
      <c r="C773" t="n">
        <v>98.23350000000001</v>
      </c>
      <c r="D773" t="n">
        <v>97.80878</v>
      </c>
      <c r="E773" t="n">
        <v>99.79197000000001</v>
      </c>
      <c r="F773" t="n">
        <v>96.78754000000001</v>
      </c>
      <c r="G773" t="n">
        <v>96.57549</v>
      </c>
      <c r="H773" t="n">
        <v>97.21021</v>
      </c>
      <c r="I773" t="n">
        <v>98.0393</v>
      </c>
      <c r="J773" t="n">
        <v>98.28342000000001</v>
      </c>
      <c r="K773" t="n">
        <v>97.60646</v>
      </c>
      <c r="L773" t="n">
        <v>99.13290000000001</v>
      </c>
      <c r="M773" t="n">
        <v>100.1374</v>
      </c>
      <c r="N773" t="n">
        <v>98.65394999999999</v>
      </c>
      <c r="O773" t="n">
        <v>98.78548000000001</v>
      </c>
      <c r="P773" t="n">
        <v>97.81892999999999</v>
      </c>
      <c r="Q773" t="n">
        <v>99.59853</v>
      </c>
      <c r="R773" t="n">
        <v>99.4667</v>
      </c>
      <c r="S773" t="n">
        <v>99.43508</v>
      </c>
      <c r="T773" t="n">
        <v>98.47566999999999</v>
      </c>
      <c r="U773" t="n">
        <v>98.74409</v>
      </c>
      <c r="V773" t="n">
        <v>99.81018</v>
      </c>
      <c r="W773" t="n">
        <v>98.06644</v>
      </c>
      <c r="X773" t="n">
        <v>98.86107</v>
      </c>
      <c r="Y773" t="n">
        <v>98.69453</v>
      </c>
      <c r="Z773" t="n">
        <v>97.88842</v>
      </c>
      <c r="AA773" t="n">
        <v>97.52851</v>
      </c>
      <c r="AB773" t="n">
        <v>98.28146</v>
      </c>
      <c r="AC773" t="n">
        <v>97.05005</v>
      </c>
      <c r="AD773" t="n">
        <v>99.03529</v>
      </c>
      <c r="AE773" t="n">
        <v>98.04852</v>
      </c>
    </row>
    <row r="774">
      <c r="A774" s="87" t="n">
        <v>42125</v>
      </c>
      <c r="B774" t="n">
        <v>99.22417</v>
      </c>
      <c r="C774" t="n">
        <v>99.16379999999999</v>
      </c>
      <c r="D774" t="n">
        <v>98.12407</v>
      </c>
      <c r="E774" t="n">
        <v>99.57541000000001</v>
      </c>
      <c r="F774" t="n">
        <v>97.69611</v>
      </c>
      <c r="G774" t="n">
        <v>97.94714</v>
      </c>
      <c r="H774" t="n">
        <v>98.25526000000001</v>
      </c>
      <c r="I774" t="n">
        <v>98.81093</v>
      </c>
      <c r="J774" t="n">
        <v>99.13039999999999</v>
      </c>
      <c r="K774" t="n">
        <v>99.97147</v>
      </c>
      <c r="L774" t="n">
        <v>99.78095</v>
      </c>
      <c r="M774" t="n">
        <v>100.0919</v>
      </c>
      <c r="N774" t="n">
        <v>99.45285</v>
      </c>
      <c r="O774" t="n">
        <v>99.23581</v>
      </c>
      <c r="P774" t="n">
        <v>98.57868000000001</v>
      </c>
      <c r="Q774" t="n">
        <v>100.3195</v>
      </c>
      <c r="R774" t="n">
        <v>99.45956</v>
      </c>
      <c r="S774" t="n">
        <v>99.75975</v>
      </c>
      <c r="T774" t="n">
        <v>99.39574</v>
      </c>
      <c r="U774" t="n">
        <v>100.1697</v>
      </c>
      <c r="V774" t="n">
        <v>98.52934999999999</v>
      </c>
      <c r="W774" t="n">
        <v>98.56144</v>
      </c>
      <c r="X774" t="n">
        <v>99.29958000000001</v>
      </c>
      <c r="Y774" t="n">
        <v>99.23469</v>
      </c>
      <c r="Z774" t="n">
        <v>97.9697</v>
      </c>
      <c r="AA774" t="n">
        <v>96.97136</v>
      </c>
      <c r="AB774" t="n">
        <v>99.36775</v>
      </c>
      <c r="AC774" t="n">
        <v>98.60757</v>
      </c>
      <c r="AD774" t="n">
        <v>99.27605</v>
      </c>
      <c r="AE774" t="n">
        <v>99.14606000000001</v>
      </c>
    </row>
    <row r="775">
      <c r="A775" s="87" t="n">
        <v>42156</v>
      </c>
      <c r="B775" t="n">
        <v>99.56596999999999</v>
      </c>
      <c r="C775" t="n">
        <v>99.94745</v>
      </c>
      <c r="D775" t="n">
        <v>98.62913</v>
      </c>
      <c r="E775" t="n">
        <v>99.80906</v>
      </c>
      <c r="F775" t="n">
        <v>98.49930999999999</v>
      </c>
      <c r="G775" t="n">
        <v>99.41924</v>
      </c>
      <c r="H775" t="n">
        <v>99.49251</v>
      </c>
      <c r="I775" t="n">
        <v>100.7378</v>
      </c>
      <c r="J775" t="n">
        <v>99.26694000000001</v>
      </c>
      <c r="K775" t="n">
        <v>100.1371</v>
      </c>
      <c r="L775" t="n">
        <v>99.95408</v>
      </c>
      <c r="M775" t="n">
        <v>99.71423</v>
      </c>
      <c r="N775" t="n">
        <v>99.46468</v>
      </c>
      <c r="O775" t="n">
        <v>99.48523</v>
      </c>
      <c r="P775" t="n">
        <v>99.84487</v>
      </c>
      <c r="Q775" t="n">
        <v>100.9733</v>
      </c>
      <c r="R775" t="n">
        <v>99.25669000000001</v>
      </c>
      <c r="S775" t="n">
        <v>99.87739999999999</v>
      </c>
      <c r="T775" t="n">
        <v>100.103</v>
      </c>
      <c r="U775" t="n">
        <v>100.5627</v>
      </c>
      <c r="V775" t="n">
        <v>99.21294</v>
      </c>
      <c r="W775" t="n">
        <v>99.60728</v>
      </c>
      <c r="X775" t="n">
        <v>99.67043</v>
      </c>
      <c r="Y775" t="n">
        <v>99.57378</v>
      </c>
      <c r="Z775" t="n">
        <v>98.96714</v>
      </c>
      <c r="AA775" t="n">
        <v>96.68501000000001</v>
      </c>
      <c r="AB775" t="n">
        <v>100.1168</v>
      </c>
      <c r="AC775" t="n">
        <v>99.5128</v>
      </c>
      <c r="AD775" t="n">
        <v>99.63969</v>
      </c>
      <c r="AE775" t="n">
        <v>100.1188</v>
      </c>
    </row>
    <row r="776">
      <c r="A776" s="87" t="n">
        <v>42186</v>
      </c>
      <c r="B776" t="n">
        <v>100.216</v>
      </c>
      <c r="C776" t="n">
        <v>100.4726</v>
      </c>
      <c r="D776" t="n">
        <v>100.6713</v>
      </c>
      <c r="E776" t="n">
        <v>99.99066999999999</v>
      </c>
      <c r="F776" t="n">
        <v>99.82304000000001</v>
      </c>
      <c r="G776" t="n">
        <v>101.2888</v>
      </c>
      <c r="H776" t="n">
        <v>100.2354</v>
      </c>
      <c r="I776" t="n">
        <v>102.0791</v>
      </c>
      <c r="J776" t="n">
        <v>99.69419000000001</v>
      </c>
      <c r="K776" t="n">
        <v>101.2812</v>
      </c>
      <c r="L776" t="n">
        <v>100.309</v>
      </c>
      <c r="M776" t="n">
        <v>99.78925</v>
      </c>
      <c r="N776" t="n">
        <v>99.05894000000001</v>
      </c>
      <c r="O776" t="n">
        <v>100.1818</v>
      </c>
      <c r="P776" t="n">
        <v>100.6861</v>
      </c>
      <c r="Q776" t="n">
        <v>101.4503</v>
      </c>
      <c r="R776" t="n">
        <v>99.14626</v>
      </c>
      <c r="S776" t="n">
        <v>100.1243</v>
      </c>
      <c r="T776" t="n">
        <v>100.8118</v>
      </c>
      <c r="U776" t="n">
        <v>100.6583</v>
      </c>
      <c r="V776" t="n">
        <v>99.46155</v>
      </c>
      <c r="W776" t="n">
        <v>100.7188</v>
      </c>
      <c r="X776" t="n">
        <v>100.1964</v>
      </c>
      <c r="Y776" t="n">
        <v>100.2179</v>
      </c>
      <c r="Z776" t="n">
        <v>100.0967</v>
      </c>
      <c r="AA776" t="n">
        <v>97.73535</v>
      </c>
      <c r="AB776" t="n">
        <v>100.5607</v>
      </c>
      <c r="AC776" t="n">
        <v>101.0185</v>
      </c>
      <c r="AD776" t="n">
        <v>100.0515</v>
      </c>
      <c r="AE776" t="n">
        <v>101.1217</v>
      </c>
    </row>
    <row r="777">
      <c r="A777" s="87" t="n">
        <v>42217</v>
      </c>
      <c r="B777" t="n">
        <v>100.7231</v>
      </c>
      <c r="C777" t="n">
        <v>100.5366</v>
      </c>
      <c r="D777" t="n">
        <v>101.7996</v>
      </c>
      <c r="E777" t="n">
        <v>99.95335</v>
      </c>
      <c r="F777" t="n">
        <v>101.8054</v>
      </c>
      <c r="G777" t="n">
        <v>102.6123</v>
      </c>
      <c r="H777" t="n">
        <v>101.4138</v>
      </c>
      <c r="I777" t="n">
        <v>101.1021</v>
      </c>
      <c r="J777" t="n">
        <v>100.4667</v>
      </c>
      <c r="K777" t="n">
        <v>101.6547</v>
      </c>
      <c r="L777" t="n">
        <v>100.6511</v>
      </c>
      <c r="M777" t="n">
        <v>100.2511</v>
      </c>
      <c r="N777" t="n">
        <v>99.60169</v>
      </c>
      <c r="O777" t="n">
        <v>101.1357</v>
      </c>
      <c r="P777" t="n">
        <v>101.3252</v>
      </c>
      <c r="Q777" t="n">
        <v>101.6116</v>
      </c>
      <c r="R777" t="n">
        <v>99.43391</v>
      </c>
      <c r="S777" t="n">
        <v>100.4721</v>
      </c>
      <c r="T777" t="n">
        <v>101.5623</v>
      </c>
      <c r="U777" t="n">
        <v>101.3523</v>
      </c>
      <c r="V777" t="n">
        <v>99.66967</v>
      </c>
      <c r="W777" t="n">
        <v>101.3967</v>
      </c>
      <c r="X777" t="n">
        <v>100.7943</v>
      </c>
      <c r="Y777" t="n">
        <v>101.1182</v>
      </c>
      <c r="Z777" t="n">
        <v>101.0039</v>
      </c>
      <c r="AA777" t="n">
        <v>99.67068</v>
      </c>
      <c r="AB777" t="n">
        <v>101.2271</v>
      </c>
      <c r="AC777" t="n">
        <v>103.0695</v>
      </c>
      <c r="AD777" t="n">
        <v>100.4716</v>
      </c>
      <c r="AE777" t="n">
        <v>101.3501</v>
      </c>
    </row>
    <row r="778">
      <c r="A778" s="87" t="n">
        <v>42248</v>
      </c>
      <c r="B778" t="n">
        <v>101.1853</v>
      </c>
      <c r="C778" t="n">
        <v>100.7946</v>
      </c>
      <c r="D778" t="n">
        <v>102.5078</v>
      </c>
      <c r="E778" t="n">
        <v>99.91525</v>
      </c>
      <c r="F778" t="n">
        <v>102.9774</v>
      </c>
      <c r="G778" t="n">
        <v>103.0397</v>
      </c>
      <c r="H778" t="n">
        <v>102.7189</v>
      </c>
      <c r="I778" t="n">
        <v>100.3227</v>
      </c>
      <c r="J778" t="n">
        <v>101.1667</v>
      </c>
      <c r="K778" t="n">
        <v>101.4876</v>
      </c>
      <c r="L778" t="n">
        <v>100.6182</v>
      </c>
      <c r="M778" t="n">
        <v>100.243</v>
      </c>
      <c r="N778" t="n">
        <v>100.3643</v>
      </c>
      <c r="O778" t="n">
        <v>102.5197</v>
      </c>
      <c r="P778" t="n">
        <v>102.1573</v>
      </c>
      <c r="Q778" t="n">
        <v>101.4107</v>
      </c>
      <c r="R778" t="n">
        <v>100.4116</v>
      </c>
      <c r="S778" t="n">
        <v>100.5208</v>
      </c>
      <c r="T778" t="n">
        <v>102.0793</v>
      </c>
      <c r="U778" t="n">
        <v>101.3167</v>
      </c>
      <c r="V778" t="n">
        <v>99.7038</v>
      </c>
      <c r="W778" t="n">
        <v>102.1661</v>
      </c>
      <c r="X778" t="n">
        <v>101.2885</v>
      </c>
      <c r="Y778" t="n">
        <v>101.8969</v>
      </c>
      <c r="Z778" t="n">
        <v>101.9448</v>
      </c>
      <c r="AA778" t="n">
        <v>103.1062</v>
      </c>
      <c r="AB778" t="n">
        <v>101.4928</v>
      </c>
      <c r="AC778" t="n">
        <v>105.408</v>
      </c>
      <c r="AD778" t="n">
        <v>100.9606</v>
      </c>
      <c r="AE778" t="n">
        <v>101.4771</v>
      </c>
    </row>
    <row r="779">
      <c r="A779" s="87" t="n">
        <v>42278</v>
      </c>
      <c r="B779" t="n">
        <v>101.7233</v>
      </c>
      <c r="C779" t="n">
        <v>101.7761</v>
      </c>
      <c r="D779" t="n">
        <v>102.332</v>
      </c>
      <c r="E779" t="n">
        <v>100.1197</v>
      </c>
      <c r="F779" t="n">
        <v>103.9624</v>
      </c>
      <c r="G779" t="n">
        <v>103.8956</v>
      </c>
      <c r="H779" t="n">
        <v>103.7911</v>
      </c>
      <c r="I779" t="n">
        <v>100.8101</v>
      </c>
      <c r="J779" t="n">
        <v>102.2316</v>
      </c>
      <c r="K779" t="n">
        <v>102.5333</v>
      </c>
      <c r="L779" t="n">
        <v>101.103</v>
      </c>
      <c r="M779" t="n">
        <v>100.268</v>
      </c>
      <c r="N779" t="n">
        <v>101.1609</v>
      </c>
      <c r="O779" t="n">
        <v>102.9776</v>
      </c>
      <c r="P779" t="n">
        <v>102.7561</v>
      </c>
      <c r="Q779" t="n">
        <v>100.9895</v>
      </c>
      <c r="R779" t="n">
        <v>101.5957</v>
      </c>
      <c r="S779" t="n">
        <v>100.7015</v>
      </c>
      <c r="T779" t="n">
        <v>102.5363</v>
      </c>
      <c r="U779" t="n">
        <v>101.1859</v>
      </c>
      <c r="V779" t="n">
        <v>100.1547</v>
      </c>
      <c r="W779" t="n">
        <v>102.5672</v>
      </c>
      <c r="X779" t="n">
        <v>101.6146</v>
      </c>
      <c r="Y779" t="n">
        <v>102.4356</v>
      </c>
      <c r="Z779" t="n">
        <v>102.9968</v>
      </c>
      <c r="AA779" t="n">
        <v>106.2786</v>
      </c>
      <c r="AB779" t="n">
        <v>102.3619</v>
      </c>
      <c r="AC779" t="n">
        <v>106.1984</v>
      </c>
      <c r="AD779" t="n">
        <v>101.252</v>
      </c>
      <c r="AE779" t="n">
        <v>102.6365</v>
      </c>
    </row>
    <row r="780">
      <c r="A780" s="87" t="n">
        <v>42309</v>
      </c>
      <c r="B780" t="n">
        <v>102.2584</v>
      </c>
      <c r="C780" t="n">
        <v>102.7135</v>
      </c>
      <c r="D780" t="n">
        <v>103.1068</v>
      </c>
      <c r="E780" t="n">
        <v>100.842</v>
      </c>
      <c r="F780" t="n">
        <v>105.3868</v>
      </c>
      <c r="G780" t="n">
        <v>104.9367</v>
      </c>
      <c r="H780" t="n">
        <v>104.4762</v>
      </c>
      <c r="I780" t="n">
        <v>101.5257</v>
      </c>
      <c r="J780" t="n">
        <v>103.5442</v>
      </c>
      <c r="K780" t="n">
        <v>102.9909</v>
      </c>
      <c r="L780" t="n">
        <v>101.9152</v>
      </c>
      <c r="M780" t="n">
        <v>100.3074</v>
      </c>
      <c r="N780" t="n">
        <v>102.5073</v>
      </c>
      <c r="O780" t="n">
        <v>102.5325</v>
      </c>
      <c r="P780" t="n">
        <v>103.5811</v>
      </c>
      <c r="Q780" t="n">
        <v>100.5141</v>
      </c>
      <c r="R780" t="n">
        <v>102.1476</v>
      </c>
      <c r="S780" t="n">
        <v>100.8658</v>
      </c>
      <c r="T780" t="n">
        <v>102.9267</v>
      </c>
      <c r="U780" t="n">
        <v>100.7858</v>
      </c>
      <c r="V780" t="n">
        <v>100.4422</v>
      </c>
      <c r="W780" t="n">
        <v>103.3274</v>
      </c>
      <c r="X780" t="n">
        <v>102.0862</v>
      </c>
      <c r="Y780" t="n">
        <v>102.6151</v>
      </c>
      <c r="Z780" t="n">
        <v>103.9069</v>
      </c>
      <c r="AA780" t="n">
        <v>107.1187</v>
      </c>
      <c r="AB780" t="n">
        <v>103.2849</v>
      </c>
      <c r="AC780" t="n">
        <v>105.4862</v>
      </c>
      <c r="AD780" t="n">
        <v>101.9884</v>
      </c>
      <c r="AE780" t="n">
        <v>103.8064</v>
      </c>
    </row>
    <row r="781">
      <c r="A781" s="87" t="n">
        <v>42339</v>
      </c>
      <c r="B781" t="n">
        <v>102.7655</v>
      </c>
      <c r="C781" t="n">
        <v>104.4511</v>
      </c>
      <c r="D781" t="n">
        <v>103.9985</v>
      </c>
      <c r="E781" t="n">
        <v>101.1674</v>
      </c>
      <c r="F781" t="n">
        <v>106.2101</v>
      </c>
      <c r="G781" t="n">
        <v>105.8226</v>
      </c>
      <c r="H781" t="n">
        <v>105.0326</v>
      </c>
      <c r="I781" t="n">
        <v>102.0147</v>
      </c>
      <c r="J781" t="n">
        <v>104.6478</v>
      </c>
      <c r="K781" t="n">
        <v>103.6312</v>
      </c>
      <c r="L781" t="n">
        <v>102.2157</v>
      </c>
      <c r="M781" t="n">
        <v>100.7544</v>
      </c>
      <c r="N781" t="n">
        <v>103.8135</v>
      </c>
      <c r="O781" t="n">
        <v>102.6416</v>
      </c>
      <c r="P781" t="n">
        <v>104.636</v>
      </c>
      <c r="Q781" t="n">
        <v>99.99091</v>
      </c>
      <c r="R781" t="n">
        <v>102.245</v>
      </c>
      <c r="S781" t="n">
        <v>101.0825</v>
      </c>
      <c r="T781" t="n">
        <v>103.4163</v>
      </c>
      <c r="U781" t="n">
        <v>100.8215</v>
      </c>
      <c r="V781" t="n">
        <v>100.6144</v>
      </c>
      <c r="W781" t="n">
        <v>104.3082</v>
      </c>
      <c r="X781" t="n">
        <v>102.5095</v>
      </c>
      <c r="Y781" t="n">
        <v>102.909</v>
      </c>
      <c r="Z781" t="n">
        <v>104.5416</v>
      </c>
      <c r="AA781" t="n">
        <v>107.5567</v>
      </c>
      <c r="AB781" t="n">
        <v>103.6645</v>
      </c>
      <c r="AC781" t="n">
        <v>105.0813</v>
      </c>
      <c r="AD781" t="n">
        <v>102.5048</v>
      </c>
      <c r="AE781" t="n">
        <v>104.2667</v>
      </c>
    </row>
    <row r="782">
      <c r="A782" s="87" t="n">
        <v>42370</v>
      </c>
      <c r="B782" t="n">
        <v>103.1689</v>
      </c>
      <c r="C782" t="n">
        <v>105.6399</v>
      </c>
      <c r="D782" t="n">
        <v>104.9908</v>
      </c>
      <c r="E782" t="n">
        <v>101.0028</v>
      </c>
      <c r="F782" t="n">
        <v>106.4915</v>
      </c>
      <c r="G782" t="n">
        <v>106.7303</v>
      </c>
      <c r="H782" t="n">
        <v>105.9257</v>
      </c>
      <c r="I782" t="n">
        <v>101.7878</v>
      </c>
      <c r="J782" t="n">
        <v>105.2835</v>
      </c>
      <c r="K782" t="n">
        <v>101.5668</v>
      </c>
      <c r="L782" t="n">
        <v>102.5261</v>
      </c>
      <c r="M782" t="n">
        <v>101.6218</v>
      </c>
      <c r="N782" t="n">
        <v>104.0435</v>
      </c>
      <c r="O782" t="n">
        <v>103.3395</v>
      </c>
      <c r="P782" t="n">
        <v>105.6285</v>
      </c>
      <c r="Q782" t="n">
        <v>99.40437</v>
      </c>
      <c r="R782" t="n">
        <v>102.6034</v>
      </c>
      <c r="S782" t="n">
        <v>101.3284</v>
      </c>
      <c r="T782" t="n">
        <v>104.0652</v>
      </c>
      <c r="U782" t="n">
        <v>102.0751</v>
      </c>
      <c r="V782" t="n">
        <v>100.8831</v>
      </c>
      <c r="W782" t="n">
        <v>104.8233</v>
      </c>
      <c r="X782" t="n">
        <v>103.2955</v>
      </c>
      <c r="Y782" t="n">
        <v>103.4691</v>
      </c>
      <c r="Z782" t="n">
        <v>105.4562</v>
      </c>
      <c r="AA782" t="n">
        <v>109.6484</v>
      </c>
      <c r="AB782" t="n">
        <v>104.5156</v>
      </c>
      <c r="AC782" t="n">
        <v>105.6236</v>
      </c>
      <c r="AD782" t="n">
        <v>103.5267</v>
      </c>
      <c r="AE782" t="n">
        <v>104.0358</v>
      </c>
    </row>
    <row r="783">
      <c r="A783" s="87" t="n">
        <v>42401</v>
      </c>
      <c r="B783" t="n">
        <v>103.6284</v>
      </c>
      <c r="C783" t="n">
        <v>106.2466</v>
      </c>
      <c r="D783" t="n">
        <v>105.579</v>
      </c>
      <c r="E783" t="n">
        <v>101.1429</v>
      </c>
      <c r="F783" t="n">
        <v>107.0367</v>
      </c>
      <c r="G783" t="n">
        <v>107.6444</v>
      </c>
      <c r="H783" t="n">
        <v>106.7997</v>
      </c>
      <c r="I783" t="n">
        <v>101.446</v>
      </c>
      <c r="J783" t="n">
        <v>105.9415</v>
      </c>
      <c r="K783" t="n">
        <v>99.39754000000001</v>
      </c>
      <c r="L783" t="n">
        <v>103.0043</v>
      </c>
      <c r="M783" t="n">
        <v>102.4697</v>
      </c>
      <c r="N783" t="n">
        <v>103.4293</v>
      </c>
      <c r="O783" t="n">
        <v>104.4958</v>
      </c>
      <c r="P783" t="n">
        <v>106.6381</v>
      </c>
      <c r="Q783" t="n">
        <v>98.75668</v>
      </c>
      <c r="R783" t="n">
        <v>103.1987</v>
      </c>
      <c r="S783" t="n">
        <v>101.5395</v>
      </c>
      <c r="T783" t="n">
        <v>104.7646</v>
      </c>
      <c r="U783" t="n">
        <v>102.6425</v>
      </c>
      <c r="V783" t="n">
        <v>101.4163</v>
      </c>
      <c r="W783" t="n">
        <v>105.6437</v>
      </c>
      <c r="X783" t="n">
        <v>103.9265</v>
      </c>
      <c r="Y783" t="n">
        <v>104.1989</v>
      </c>
      <c r="Z783" t="n">
        <v>106.5334</v>
      </c>
      <c r="AA783" t="n">
        <v>112.129</v>
      </c>
      <c r="AB783" t="n">
        <v>105.3663</v>
      </c>
      <c r="AC783" t="n">
        <v>106.7955</v>
      </c>
      <c r="AD783" t="n">
        <v>104.2474</v>
      </c>
      <c r="AE783" t="n">
        <v>104.2212</v>
      </c>
    </row>
    <row r="784">
      <c r="A784" s="87" t="n">
        <v>42430</v>
      </c>
      <c r="B784" t="n">
        <v>104.0991</v>
      </c>
      <c r="C784" t="n">
        <v>107.6048</v>
      </c>
      <c r="D784" t="n">
        <v>105.0585</v>
      </c>
      <c r="E784" t="n">
        <v>101.5398</v>
      </c>
      <c r="F784" t="n">
        <v>107.5934</v>
      </c>
      <c r="G784" t="n">
        <v>108.5233</v>
      </c>
      <c r="H784" t="n">
        <v>107.744</v>
      </c>
      <c r="I784" t="n">
        <v>102.4965</v>
      </c>
      <c r="J784" t="n">
        <v>106.4184</v>
      </c>
      <c r="K784" t="n">
        <v>99.33789</v>
      </c>
      <c r="L784" t="n">
        <v>103.2904</v>
      </c>
      <c r="M784" t="n">
        <v>103.1581</v>
      </c>
      <c r="N784" t="n">
        <v>103.1595</v>
      </c>
      <c r="O784" t="n">
        <v>105.3269</v>
      </c>
      <c r="P784" t="n">
        <v>107.2807</v>
      </c>
      <c r="Q784" t="n">
        <v>98.05580999999999</v>
      </c>
      <c r="R784" t="n">
        <v>103.2345</v>
      </c>
      <c r="S784" t="n">
        <v>101.8052</v>
      </c>
      <c r="T784" t="n">
        <v>105.9252</v>
      </c>
      <c r="U784" t="n">
        <v>102.8263</v>
      </c>
      <c r="V784" t="n">
        <v>101.9165</v>
      </c>
      <c r="W784" t="n">
        <v>106.571</v>
      </c>
      <c r="X784" t="n">
        <v>104.4056</v>
      </c>
      <c r="Y784" t="n">
        <v>104.8529</v>
      </c>
      <c r="Z784" t="n">
        <v>107.019</v>
      </c>
      <c r="AA784" t="n">
        <v>113.3337</v>
      </c>
      <c r="AB784" t="n">
        <v>106.0192</v>
      </c>
      <c r="AC784" t="n">
        <v>107.8456</v>
      </c>
      <c r="AD784" t="n">
        <v>104.7455</v>
      </c>
      <c r="AE784" t="n">
        <v>105.322</v>
      </c>
    </row>
    <row r="785">
      <c r="A785" s="87" t="n">
        <v>42461</v>
      </c>
      <c r="B785" t="n">
        <v>104.5978</v>
      </c>
      <c r="C785" t="n">
        <v>108.7242</v>
      </c>
      <c r="D785" t="n">
        <v>105.861</v>
      </c>
      <c r="E785" t="n">
        <v>101.8798</v>
      </c>
      <c r="F785" t="n">
        <v>107.9816</v>
      </c>
      <c r="G785" t="n">
        <v>109.4211</v>
      </c>
      <c r="H785" t="n">
        <v>108.7351</v>
      </c>
      <c r="I785" t="n">
        <v>102.82</v>
      </c>
      <c r="J785" t="n">
        <v>106.9884</v>
      </c>
      <c r="K785" t="n">
        <v>100.125</v>
      </c>
      <c r="L785" t="n">
        <v>103.8903</v>
      </c>
      <c r="M785" t="n">
        <v>103.2377</v>
      </c>
      <c r="N785" t="n">
        <v>103.1612</v>
      </c>
      <c r="O785" t="n">
        <v>105.9369</v>
      </c>
      <c r="P785" t="n">
        <v>108.4104</v>
      </c>
      <c r="Q785" t="n">
        <v>97.29808</v>
      </c>
      <c r="R785" t="n">
        <v>103.6189</v>
      </c>
      <c r="S785" t="n">
        <v>102.1635</v>
      </c>
      <c r="T785" t="n">
        <v>106.6746</v>
      </c>
      <c r="U785" t="n">
        <v>103.2707</v>
      </c>
      <c r="V785" t="n">
        <v>102.4327</v>
      </c>
      <c r="W785" t="n">
        <v>107.4952</v>
      </c>
      <c r="X785" t="n">
        <v>104.9947</v>
      </c>
      <c r="Y785" t="n">
        <v>105.3139</v>
      </c>
      <c r="Z785" t="n">
        <v>107.9957</v>
      </c>
      <c r="AA785" t="n">
        <v>113.3752</v>
      </c>
      <c r="AB785" t="n">
        <v>106.7122</v>
      </c>
      <c r="AC785" t="n">
        <v>108.5829</v>
      </c>
      <c r="AD785" t="n">
        <v>105.4404</v>
      </c>
      <c r="AE785" t="n">
        <v>105.8837</v>
      </c>
    </row>
    <row r="786">
      <c r="A786" s="87" t="n">
        <v>42491</v>
      </c>
      <c r="B786" t="n">
        <v>104.9816</v>
      </c>
      <c r="C786" t="n">
        <v>109.4343</v>
      </c>
      <c r="D786" t="n">
        <v>107.4119</v>
      </c>
      <c r="E786" t="n">
        <v>101.9146</v>
      </c>
      <c r="F786" t="n">
        <v>108.7839</v>
      </c>
      <c r="G786" t="n">
        <v>110.2642</v>
      </c>
      <c r="H786" t="n">
        <v>109.4441</v>
      </c>
      <c r="I786" t="n">
        <v>102.1395</v>
      </c>
      <c r="J786" t="n">
        <v>108.0234</v>
      </c>
      <c r="K786" t="n">
        <v>101.3857</v>
      </c>
      <c r="L786" t="n">
        <v>104.5536</v>
      </c>
      <c r="M786" t="n">
        <v>103.3794</v>
      </c>
      <c r="N786" t="n">
        <v>103.3852</v>
      </c>
      <c r="O786" t="n">
        <v>106.5111</v>
      </c>
      <c r="P786" t="n">
        <v>109.3104</v>
      </c>
      <c r="Q786" t="n">
        <v>96.46853</v>
      </c>
      <c r="R786" t="n">
        <v>104.7311</v>
      </c>
      <c r="S786" t="n">
        <v>102.4699</v>
      </c>
      <c r="T786" t="n">
        <v>107.1337</v>
      </c>
      <c r="U786" t="n">
        <v>103.6686</v>
      </c>
      <c r="V786" t="n">
        <v>102.7665</v>
      </c>
      <c r="W786" t="n">
        <v>108.2645</v>
      </c>
      <c r="X786" t="n">
        <v>105.5618</v>
      </c>
      <c r="Y786" t="n">
        <v>105.9736</v>
      </c>
      <c r="Z786" t="n">
        <v>109.3193</v>
      </c>
      <c r="AA786" t="n">
        <v>112.5944</v>
      </c>
      <c r="AB786" t="n">
        <v>107.2761</v>
      </c>
      <c r="AC786" t="n">
        <v>109.8012</v>
      </c>
      <c r="AD786" t="n">
        <v>105.9867</v>
      </c>
      <c r="AE786" t="n">
        <v>105.7887</v>
      </c>
    </row>
    <row r="787">
      <c r="A787" s="87" t="n">
        <v>42522</v>
      </c>
      <c r="B787" t="n">
        <v>105.3346</v>
      </c>
      <c r="C787" t="n">
        <v>110.1798</v>
      </c>
      <c r="D787" t="n">
        <v>108.2476</v>
      </c>
      <c r="E787" t="n">
        <v>102.1018</v>
      </c>
      <c r="F787" t="n">
        <v>109.7694</v>
      </c>
      <c r="G787" t="n">
        <v>111.3419</v>
      </c>
      <c r="H787" t="n">
        <v>109.9073</v>
      </c>
      <c r="I787" t="n">
        <v>102.4848</v>
      </c>
      <c r="J787" t="n">
        <v>108.4391</v>
      </c>
      <c r="K787" t="n">
        <v>101.5321</v>
      </c>
      <c r="L787" t="n">
        <v>104.8448</v>
      </c>
      <c r="M787" t="n">
        <v>105.3865</v>
      </c>
      <c r="N787" t="n">
        <v>104.001</v>
      </c>
      <c r="O787" t="n">
        <v>107.4927</v>
      </c>
      <c r="P787" t="n">
        <v>109.3151</v>
      </c>
      <c r="Q787" t="n">
        <v>95.72318</v>
      </c>
      <c r="R787" t="n">
        <v>105.5445</v>
      </c>
      <c r="S787" t="n">
        <v>102.7504</v>
      </c>
      <c r="T787" t="n">
        <v>107.8685</v>
      </c>
      <c r="U787" t="n">
        <v>104.1071</v>
      </c>
      <c r="V787" t="n">
        <v>103.1657</v>
      </c>
      <c r="W787" t="n">
        <v>108.7921</v>
      </c>
      <c r="X787" t="n">
        <v>106.2333</v>
      </c>
      <c r="Y787" t="n">
        <v>107.2953</v>
      </c>
      <c r="Z787" t="n">
        <v>110.3683</v>
      </c>
      <c r="AA787" t="n">
        <v>112.9668</v>
      </c>
      <c r="AB787" t="n">
        <v>107.2596</v>
      </c>
      <c r="AC787" t="n">
        <v>111.4886</v>
      </c>
      <c r="AD787" t="n">
        <v>106.5114</v>
      </c>
      <c r="AE787" t="n">
        <v>105.9874</v>
      </c>
    </row>
    <row r="788">
      <c r="A788" s="87" t="n">
        <v>42552</v>
      </c>
      <c r="B788" t="n">
        <v>106.0322</v>
      </c>
      <c r="C788" t="n">
        <v>111.1833</v>
      </c>
      <c r="D788" t="n">
        <v>109.6005</v>
      </c>
      <c r="E788" t="n">
        <v>102.4898</v>
      </c>
      <c r="F788" t="n">
        <v>110.6949</v>
      </c>
      <c r="G788" t="n">
        <v>112.5014</v>
      </c>
      <c r="H788" t="n">
        <v>110.5136</v>
      </c>
      <c r="I788" t="n">
        <v>103.3673</v>
      </c>
      <c r="J788" t="n">
        <v>108.7743</v>
      </c>
      <c r="K788" t="n">
        <v>101.3673</v>
      </c>
      <c r="L788" t="n">
        <v>105.3873</v>
      </c>
      <c r="M788" t="n">
        <v>107.7184</v>
      </c>
      <c r="N788" t="n">
        <v>104.2801</v>
      </c>
      <c r="O788" t="n">
        <v>108.5878</v>
      </c>
      <c r="P788" t="n">
        <v>110.2634</v>
      </c>
      <c r="Q788" t="n">
        <v>95.27303000000001</v>
      </c>
      <c r="R788" t="n">
        <v>106.2993</v>
      </c>
      <c r="S788" t="n">
        <v>103.0051</v>
      </c>
      <c r="T788" t="n">
        <v>108.6416</v>
      </c>
      <c r="U788" t="n">
        <v>104.6474</v>
      </c>
      <c r="V788" t="n">
        <v>103.9729</v>
      </c>
      <c r="W788" t="n">
        <v>109.4333</v>
      </c>
      <c r="X788" t="n">
        <v>106.9287</v>
      </c>
      <c r="Y788" t="n">
        <v>108.6459</v>
      </c>
      <c r="Z788" t="n">
        <v>111.1972</v>
      </c>
      <c r="AA788" t="n">
        <v>113.1882</v>
      </c>
      <c r="AB788" t="n">
        <v>108.161</v>
      </c>
      <c r="AC788" t="n">
        <v>112.7543</v>
      </c>
      <c r="AD788" t="n">
        <v>106.9954</v>
      </c>
      <c r="AE788" t="n">
        <v>106.1696</v>
      </c>
    </row>
    <row r="789">
      <c r="A789" s="87" t="n">
        <v>42583</v>
      </c>
      <c r="B789" t="n">
        <v>106.7719</v>
      </c>
      <c r="C789" t="n">
        <v>112.2031</v>
      </c>
      <c r="D789" t="n">
        <v>110.0335</v>
      </c>
      <c r="E789" t="n">
        <v>102.7363</v>
      </c>
      <c r="F789" t="n">
        <v>111.8022</v>
      </c>
      <c r="G789" t="n">
        <v>113.6486</v>
      </c>
      <c r="H789" t="n">
        <v>111.2361</v>
      </c>
      <c r="I789" t="n">
        <v>104.1622</v>
      </c>
      <c r="J789" t="n">
        <v>109.5771</v>
      </c>
      <c r="K789" t="n">
        <v>100.8535</v>
      </c>
      <c r="L789" t="n">
        <v>105.774</v>
      </c>
      <c r="M789" t="n">
        <v>108.6967</v>
      </c>
      <c r="N789" t="n">
        <v>104.3239</v>
      </c>
      <c r="O789" t="n">
        <v>109.1512</v>
      </c>
      <c r="P789" t="n">
        <v>111.6638</v>
      </c>
      <c r="Q789" t="n">
        <v>95.12656</v>
      </c>
      <c r="R789" t="n">
        <v>106.7386</v>
      </c>
      <c r="S789" t="n">
        <v>103.2341</v>
      </c>
      <c r="T789" t="n">
        <v>109.5822</v>
      </c>
      <c r="U789" t="n">
        <v>104.9644</v>
      </c>
      <c r="V789" t="n">
        <v>104.7256</v>
      </c>
      <c r="W789" t="n">
        <v>109.9494</v>
      </c>
      <c r="X789" t="n">
        <v>107.5544</v>
      </c>
      <c r="Y789" t="n">
        <v>109.3599</v>
      </c>
      <c r="Z789" t="n">
        <v>111.5546</v>
      </c>
      <c r="AA789" t="n">
        <v>113.1565</v>
      </c>
      <c r="AB789" t="n">
        <v>109.6453</v>
      </c>
      <c r="AC789" t="n">
        <v>113.4886</v>
      </c>
      <c r="AD789" t="n">
        <v>107.7019</v>
      </c>
      <c r="AE789" t="n">
        <v>106.4011</v>
      </c>
    </row>
    <row r="790">
      <c r="A790" s="87" t="n">
        <v>42614</v>
      </c>
      <c r="B790" t="n">
        <v>107.1361</v>
      </c>
      <c r="C790" t="n">
        <v>113.2471</v>
      </c>
      <c r="D790" t="n">
        <v>110.7548</v>
      </c>
      <c r="E790" t="n">
        <v>102.8815</v>
      </c>
      <c r="F790" t="n">
        <v>112.7641</v>
      </c>
      <c r="G790" t="n">
        <v>114.7331</v>
      </c>
      <c r="H790" t="n">
        <v>111.8176</v>
      </c>
      <c r="I790" t="n">
        <v>104.7356</v>
      </c>
      <c r="J790" t="n">
        <v>110.0626</v>
      </c>
      <c r="K790" t="n">
        <v>100.2302</v>
      </c>
      <c r="L790" t="n">
        <v>105.7384</v>
      </c>
      <c r="M790" t="n">
        <v>109.5206</v>
      </c>
      <c r="N790" t="n">
        <v>104.6368</v>
      </c>
      <c r="O790" t="n">
        <v>109.0556</v>
      </c>
      <c r="P790" t="n">
        <v>112.9333</v>
      </c>
      <c r="Q790" t="n">
        <v>95.29783999999999</v>
      </c>
      <c r="R790" t="n">
        <v>106.7788</v>
      </c>
      <c r="S790" t="n">
        <v>103.4768</v>
      </c>
      <c r="T790" t="n">
        <v>110.4041</v>
      </c>
      <c r="U790" t="n">
        <v>106.4222</v>
      </c>
      <c r="V790" t="n">
        <v>105.677</v>
      </c>
      <c r="W790" t="n">
        <v>110.0643</v>
      </c>
      <c r="X790" t="n">
        <v>108.124</v>
      </c>
      <c r="Y790" t="n">
        <v>109.9881</v>
      </c>
      <c r="Z790" t="n">
        <v>111.9094</v>
      </c>
      <c r="AA790" t="n">
        <v>113.32</v>
      </c>
      <c r="AB790" t="n">
        <v>110.2269</v>
      </c>
      <c r="AC790" t="n">
        <v>114.335</v>
      </c>
      <c r="AD790" t="n">
        <v>108.2067</v>
      </c>
      <c r="AE790" t="n">
        <v>107.1649</v>
      </c>
    </row>
    <row r="791">
      <c r="A791" s="87" t="n">
        <v>42644</v>
      </c>
      <c r="B791" t="n">
        <v>107.6292</v>
      </c>
      <c r="C791" t="n">
        <v>114.0469</v>
      </c>
      <c r="D791" t="n">
        <v>111.5642</v>
      </c>
      <c r="E791" t="n">
        <v>103.1332</v>
      </c>
      <c r="F791" t="n">
        <v>113.5922</v>
      </c>
      <c r="G791" t="n">
        <v>115.7832</v>
      </c>
      <c r="H791" t="n">
        <v>111.9772</v>
      </c>
      <c r="I791" t="n">
        <v>105.0351</v>
      </c>
      <c r="J791" t="n">
        <v>110.6374</v>
      </c>
      <c r="K791" t="n">
        <v>99.68088</v>
      </c>
      <c r="L791" t="n">
        <v>105.9027</v>
      </c>
      <c r="M791" t="n">
        <v>110.5566</v>
      </c>
      <c r="N791" t="n">
        <v>105.2205</v>
      </c>
      <c r="O791" t="n">
        <v>109.4764</v>
      </c>
      <c r="P791" t="n">
        <v>113.9786</v>
      </c>
      <c r="Q791" t="n">
        <v>95.74462</v>
      </c>
      <c r="R791" t="n">
        <v>107.1477</v>
      </c>
      <c r="S791" t="n">
        <v>103.7598</v>
      </c>
      <c r="T791" t="n">
        <v>110.8774</v>
      </c>
      <c r="U791" t="n">
        <v>107.4048</v>
      </c>
      <c r="V791" t="n">
        <v>106.1911</v>
      </c>
      <c r="W791" t="n">
        <v>110.7789</v>
      </c>
      <c r="X791" t="n">
        <v>108.746</v>
      </c>
      <c r="Y791" t="n">
        <v>110.9343</v>
      </c>
      <c r="Z791" t="n">
        <v>112.3453</v>
      </c>
      <c r="AA791" t="n">
        <v>113.0053</v>
      </c>
      <c r="AB791" t="n">
        <v>110.8456</v>
      </c>
      <c r="AC791" t="n">
        <v>116.0833</v>
      </c>
      <c r="AD791" t="n">
        <v>108.7621</v>
      </c>
      <c r="AE791" t="n">
        <v>108.9649</v>
      </c>
    </row>
    <row r="792">
      <c r="A792" s="87" t="n">
        <v>42675</v>
      </c>
      <c r="B792" t="n">
        <v>108.4557</v>
      </c>
      <c r="C792" t="n">
        <v>114.7641</v>
      </c>
      <c r="D792" t="n">
        <v>111.9082</v>
      </c>
      <c r="E792" t="n">
        <v>103.2912</v>
      </c>
      <c r="F792" t="n">
        <v>114.3704</v>
      </c>
      <c r="G792" t="n">
        <v>116.8109</v>
      </c>
      <c r="H792" t="n">
        <v>112.4756</v>
      </c>
      <c r="I792" t="n">
        <v>104.9421</v>
      </c>
      <c r="J792" t="n">
        <v>111.9626</v>
      </c>
      <c r="K792" t="n">
        <v>99.73757000000001</v>
      </c>
      <c r="L792" t="n">
        <v>106.5019</v>
      </c>
      <c r="M792" t="n">
        <v>111.0744</v>
      </c>
      <c r="N792" t="n">
        <v>106.0425</v>
      </c>
      <c r="O792" t="n">
        <v>111.1805</v>
      </c>
      <c r="P792" t="n">
        <v>114.4473</v>
      </c>
      <c r="Q792" t="n">
        <v>96.19054</v>
      </c>
      <c r="R792" t="n">
        <v>107.7306</v>
      </c>
      <c r="S792" t="n">
        <v>104.1268</v>
      </c>
      <c r="T792" t="n">
        <v>111.284</v>
      </c>
      <c r="U792" t="n">
        <v>107.4286</v>
      </c>
      <c r="V792" t="n">
        <v>106.4989</v>
      </c>
      <c r="W792" t="n">
        <v>111.6204</v>
      </c>
      <c r="X792" t="n">
        <v>109.4021</v>
      </c>
      <c r="Y792" t="n">
        <v>112.1818</v>
      </c>
      <c r="Z792" t="n">
        <v>113.4661</v>
      </c>
      <c r="AA792" t="n">
        <v>112.9624</v>
      </c>
      <c r="AB792" t="n">
        <v>111.9196</v>
      </c>
      <c r="AC792" t="n">
        <v>119.124</v>
      </c>
      <c r="AD792" t="n">
        <v>109.3673</v>
      </c>
      <c r="AE792" t="n">
        <v>109.742</v>
      </c>
    </row>
    <row r="793">
      <c r="A793" s="87" t="n">
        <v>42705</v>
      </c>
      <c r="B793" t="n">
        <v>109.4615</v>
      </c>
      <c r="C793" t="n">
        <v>116.0733</v>
      </c>
      <c r="D793" t="n">
        <v>112.5724</v>
      </c>
      <c r="E793" t="n">
        <v>103.6953</v>
      </c>
      <c r="F793" t="n">
        <v>114.8418</v>
      </c>
      <c r="G793" t="n">
        <v>117.7696</v>
      </c>
      <c r="H793" t="n">
        <v>113.0235</v>
      </c>
      <c r="I793" t="n">
        <v>105.1021</v>
      </c>
      <c r="J793" t="n">
        <v>112.3868</v>
      </c>
      <c r="K793" t="n">
        <v>99.9858</v>
      </c>
      <c r="L793" t="n">
        <v>107.1984</v>
      </c>
      <c r="M793" t="n">
        <v>111.0999</v>
      </c>
      <c r="N793" t="n">
        <v>109.0974</v>
      </c>
      <c r="O793" t="n">
        <v>112.6748</v>
      </c>
      <c r="P793" t="n">
        <v>113.1645</v>
      </c>
      <c r="Q793" t="n">
        <v>96.53201</v>
      </c>
      <c r="R793" t="n">
        <v>108.1612</v>
      </c>
      <c r="S793" t="n">
        <v>104.485</v>
      </c>
      <c r="T793" t="n">
        <v>111.5782</v>
      </c>
      <c r="U793" t="n">
        <v>108.1177</v>
      </c>
      <c r="V793" t="n">
        <v>106.3611</v>
      </c>
      <c r="W793" t="n">
        <v>112.123</v>
      </c>
      <c r="X793" t="n">
        <v>109.9535</v>
      </c>
      <c r="Y793" t="n">
        <v>113.3057</v>
      </c>
      <c r="Z793" t="n">
        <v>114.5689</v>
      </c>
      <c r="AA793" t="n">
        <v>113.0733</v>
      </c>
      <c r="AB793" t="n">
        <v>112.4266</v>
      </c>
      <c r="AC793" t="n">
        <v>122.3516</v>
      </c>
      <c r="AD793" t="n">
        <v>109.6994</v>
      </c>
      <c r="AE793" t="n">
        <v>109.924</v>
      </c>
    </row>
    <row r="794">
      <c r="A794" s="87" t="n">
        <v>42736</v>
      </c>
      <c r="B794" t="n">
        <v>110.344</v>
      </c>
      <c r="C794" t="n">
        <v>117.4995</v>
      </c>
      <c r="D794" t="n">
        <v>113.0862</v>
      </c>
      <c r="E794" t="n">
        <v>104.1366</v>
      </c>
      <c r="F794" t="n">
        <v>115.2863</v>
      </c>
      <c r="G794" t="n">
        <v>118.7757</v>
      </c>
      <c r="H794" t="n">
        <v>113.7514</v>
      </c>
      <c r="I794" t="n">
        <v>105.7575</v>
      </c>
      <c r="J794" t="n">
        <v>113.0028</v>
      </c>
      <c r="K794" t="n">
        <v>99.49997999999999</v>
      </c>
      <c r="L794" t="n">
        <v>107.5622</v>
      </c>
      <c r="M794" t="n">
        <v>111.5808</v>
      </c>
      <c r="N794" t="n">
        <v>111.1015</v>
      </c>
      <c r="O794" t="n">
        <v>113.6743</v>
      </c>
      <c r="P794" t="n">
        <v>112.252</v>
      </c>
      <c r="Q794" t="n">
        <v>96.86812999999999</v>
      </c>
      <c r="R794" t="n">
        <v>108.6985</v>
      </c>
      <c r="S794" t="n">
        <v>104.8163</v>
      </c>
      <c r="T794" t="n">
        <v>111.8674</v>
      </c>
      <c r="U794" t="n">
        <v>108.5231</v>
      </c>
      <c r="V794" t="n">
        <v>106.6376</v>
      </c>
      <c r="W794" t="n">
        <v>112.7333</v>
      </c>
      <c r="X794" t="n">
        <v>110.5685</v>
      </c>
      <c r="Y794" t="n">
        <v>114.3034</v>
      </c>
      <c r="Z794" t="n">
        <v>114.9385</v>
      </c>
      <c r="AA794" t="n">
        <v>112.0038</v>
      </c>
      <c r="AB794" t="n">
        <v>114</v>
      </c>
      <c r="AC794" t="n">
        <v>124.6684</v>
      </c>
      <c r="AD794" t="n">
        <v>110.2805</v>
      </c>
      <c r="AE794" t="n">
        <v>111.2368</v>
      </c>
    </row>
    <row r="795">
      <c r="A795" s="87" t="n">
        <v>42767</v>
      </c>
      <c r="B795" t="n">
        <v>110.966</v>
      </c>
      <c r="C795" t="n">
        <v>118.423</v>
      </c>
      <c r="D795" t="n">
        <v>112.9328</v>
      </c>
      <c r="E795" t="n">
        <v>104.375</v>
      </c>
      <c r="F795" t="n">
        <v>115.9566</v>
      </c>
      <c r="G795" t="n">
        <v>119.5943</v>
      </c>
      <c r="H795" t="n">
        <v>114.4414</v>
      </c>
      <c r="I795" t="n">
        <v>106.4714</v>
      </c>
      <c r="J795" t="n">
        <v>114.9421</v>
      </c>
      <c r="K795" t="n">
        <v>100.024</v>
      </c>
      <c r="L795" t="n">
        <v>107.8458</v>
      </c>
      <c r="M795" t="n">
        <v>112.6461</v>
      </c>
      <c r="N795" t="n">
        <v>110.2794</v>
      </c>
      <c r="O795" t="n">
        <v>114.5266</v>
      </c>
      <c r="P795" t="n">
        <v>113.2879</v>
      </c>
      <c r="Q795" t="n">
        <v>97.20923000000001</v>
      </c>
      <c r="R795" t="n">
        <v>109.0367</v>
      </c>
      <c r="S795" t="n">
        <v>105.1601</v>
      </c>
      <c r="T795" t="n">
        <v>112.6663</v>
      </c>
      <c r="U795" t="n">
        <v>109.0174</v>
      </c>
      <c r="V795" t="n">
        <v>107.7745</v>
      </c>
      <c r="W795" t="n">
        <v>113.0227</v>
      </c>
      <c r="X795" t="n">
        <v>111.1585</v>
      </c>
      <c r="Y795" t="n">
        <v>115.099</v>
      </c>
      <c r="Z795" t="n">
        <v>115.3637</v>
      </c>
      <c r="AA795" t="n">
        <v>112.3539</v>
      </c>
      <c r="AB795" t="n">
        <v>115.7784</v>
      </c>
      <c r="AC795" t="n">
        <v>125.1601</v>
      </c>
      <c r="AD795" t="n">
        <v>110.9065</v>
      </c>
      <c r="AE795" t="n">
        <v>111.6519</v>
      </c>
    </row>
    <row r="796">
      <c r="A796" s="87" t="n">
        <v>42795</v>
      </c>
      <c r="B796" t="n">
        <v>111.3918</v>
      </c>
      <c r="C796" t="n">
        <v>119.5359</v>
      </c>
      <c r="D796" t="n">
        <v>113.7093</v>
      </c>
      <c r="E796" t="n">
        <v>104.7375</v>
      </c>
      <c r="F796" t="n">
        <v>116.9821</v>
      </c>
      <c r="G796" t="n">
        <v>120.2932</v>
      </c>
      <c r="H796" t="n">
        <v>114.4971</v>
      </c>
      <c r="I796" t="n">
        <v>106.7047</v>
      </c>
      <c r="J796" t="n">
        <v>116.796</v>
      </c>
      <c r="K796" t="n">
        <v>101.1495</v>
      </c>
      <c r="L796" t="n">
        <v>108.4999</v>
      </c>
      <c r="M796" t="n">
        <v>113.9102</v>
      </c>
      <c r="N796" t="n">
        <v>110.5179</v>
      </c>
      <c r="O796" t="n">
        <v>115.4727</v>
      </c>
      <c r="P796" t="n">
        <v>116.216</v>
      </c>
      <c r="Q796" t="n">
        <v>97.61906999999999</v>
      </c>
      <c r="R796" t="n">
        <v>109.1208</v>
      </c>
      <c r="S796" t="n">
        <v>105.4457</v>
      </c>
      <c r="T796" t="n">
        <v>113.6558</v>
      </c>
      <c r="U796" t="n">
        <v>110.1095</v>
      </c>
      <c r="V796" t="n">
        <v>108.8466</v>
      </c>
      <c r="W796" t="n">
        <v>113.4624</v>
      </c>
      <c r="X796" t="n">
        <v>111.8159</v>
      </c>
      <c r="Y796" t="n">
        <v>116.0756</v>
      </c>
      <c r="Z796" t="n">
        <v>115.5592</v>
      </c>
      <c r="AA796" t="n">
        <v>113.8447</v>
      </c>
      <c r="AB796" t="n">
        <v>116.497</v>
      </c>
      <c r="AC796" t="n">
        <v>126.2807</v>
      </c>
      <c r="AD796" t="n">
        <v>111.4719</v>
      </c>
      <c r="AE796" t="n">
        <v>111.6012</v>
      </c>
    </row>
    <row r="797">
      <c r="A797" s="87" t="n">
        <v>42826</v>
      </c>
      <c r="B797" t="n">
        <v>111.9774</v>
      </c>
      <c r="C797" t="n">
        <v>120.2078</v>
      </c>
      <c r="D797" t="n">
        <v>114.8564</v>
      </c>
      <c r="E797" t="n">
        <v>105.0646</v>
      </c>
      <c r="F797" t="n">
        <v>118.152</v>
      </c>
      <c r="G797" t="n">
        <v>121.0492</v>
      </c>
      <c r="H797" t="n">
        <v>115.3811</v>
      </c>
      <c r="I797" t="n">
        <v>106.9005</v>
      </c>
      <c r="J797" t="n">
        <v>118.8035</v>
      </c>
      <c r="K797" t="n">
        <v>101.1761</v>
      </c>
      <c r="L797" t="n">
        <v>109.2168</v>
      </c>
      <c r="M797" t="n">
        <v>114.7741</v>
      </c>
      <c r="N797" t="n">
        <v>111.4933</v>
      </c>
      <c r="O797" t="n">
        <v>116.4062</v>
      </c>
      <c r="P797" t="n">
        <v>117.1298</v>
      </c>
      <c r="Q797" t="n">
        <v>98.13142000000001</v>
      </c>
      <c r="R797" t="n">
        <v>109.2107</v>
      </c>
      <c r="S797" t="n">
        <v>105.5898</v>
      </c>
      <c r="T797" t="n">
        <v>114.4638</v>
      </c>
      <c r="U797" t="n">
        <v>111.036</v>
      </c>
      <c r="V797" t="n">
        <v>109.6681</v>
      </c>
      <c r="W797" t="n">
        <v>114.1808</v>
      </c>
      <c r="X797" t="n">
        <v>112.4849</v>
      </c>
      <c r="Y797" t="n">
        <v>117.3199</v>
      </c>
      <c r="Z797" t="n">
        <v>115.8415</v>
      </c>
      <c r="AA797" t="n">
        <v>114.0738</v>
      </c>
      <c r="AB797" t="n">
        <v>117.5036</v>
      </c>
      <c r="AC797" t="n">
        <v>129.1947</v>
      </c>
      <c r="AD797" t="n">
        <v>111.9534</v>
      </c>
      <c r="AE797" t="n">
        <v>111.6566</v>
      </c>
    </row>
    <row r="798">
      <c r="A798" s="87" t="n">
        <v>42856</v>
      </c>
      <c r="B798" t="n">
        <v>112.6722</v>
      </c>
      <c r="C798" t="n">
        <v>120.2673</v>
      </c>
      <c r="D798" t="n">
        <v>115.8048</v>
      </c>
      <c r="E798" t="n">
        <v>105.5716</v>
      </c>
      <c r="F798" t="n">
        <v>118.5276</v>
      </c>
      <c r="G798" t="n">
        <v>121.4682</v>
      </c>
      <c r="H798" t="n">
        <v>116.038</v>
      </c>
      <c r="I798" t="n">
        <v>107.1819</v>
      </c>
      <c r="J798" t="n">
        <v>119.9283</v>
      </c>
      <c r="K798" t="n">
        <v>101.1185</v>
      </c>
      <c r="L798" t="n">
        <v>109.5255</v>
      </c>
      <c r="M798" t="n">
        <v>115.0334</v>
      </c>
      <c r="N798" t="n">
        <v>112.2907</v>
      </c>
      <c r="O798" t="n">
        <v>117.6562</v>
      </c>
      <c r="P798" t="n">
        <v>116.5616</v>
      </c>
      <c r="Q798" t="n">
        <v>98.63141</v>
      </c>
      <c r="R798" t="n">
        <v>109.6575</v>
      </c>
      <c r="S798" t="n">
        <v>105.7334</v>
      </c>
      <c r="T798" t="n">
        <v>114.9679</v>
      </c>
      <c r="U798" t="n">
        <v>111.0456</v>
      </c>
      <c r="V798" t="n">
        <v>109.7945</v>
      </c>
      <c r="W798" t="n">
        <v>114.8327</v>
      </c>
      <c r="X798" t="n">
        <v>112.9495</v>
      </c>
      <c r="Y798" t="n">
        <v>118.0358</v>
      </c>
      <c r="Z798" t="n">
        <v>116.4001</v>
      </c>
      <c r="AA798" t="n">
        <v>114.5436</v>
      </c>
      <c r="AB798" t="n">
        <v>118.0493</v>
      </c>
      <c r="AC798" t="n">
        <v>130.9375</v>
      </c>
      <c r="AD798" t="n">
        <v>112.3951</v>
      </c>
      <c r="AE798" t="n">
        <v>111.8853</v>
      </c>
    </row>
    <row r="799">
      <c r="A799" s="87" t="n">
        <v>42887</v>
      </c>
      <c r="B799" t="n">
        <v>113.2998</v>
      </c>
      <c r="C799" t="n">
        <v>120.7883</v>
      </c>
      <c r="D799" t="n">
        <v>115.4725</v>
      </c>
      <c r="E799" t="n">
        <v>106.1431</v>
      </c>
      <c r="F799" t="n">
        <v>118.7702</v>
      </c>
      <c r="G799" t="n">
        <v>122.0975</v>
      </c>
      <c r="H799" t="n">
        <v>116.3118</v>
      </c>
      <c r="I799" t="n">
        <v>107.506</v>
      </c>
      <c r="J799" t="n">
        <v>119.6068</v>
      </c>
      <c r="K799" t="n">
        <v>101.5493</v>
      </c>
      <c r="L799" t="n">
        <v>109.7787</v>
      </c>
      <c r="M799" t="n">
        <v>115.1516</v>
      </c>
      <c r="N799" t="n">
        <v>113.608</v>
      </c>
      <c r="O799" t="n">
        <v>118.9115</v>
      </c>
      <c r="P799" t="n">
        <v>117.4433</v>
      </c>
      <c r="Q799" t="n">
        <v>99.06856000000001</v>
      </c>
      <c r="R799" t="n">
        <v>111.0235</v>
      </c>
      <c r="S799" t="n">
        <v>106.1545</v>
      </c>
      <c r="T799" t="n">
        <v>115.3218</v>
      </c>
      <c r="U799" t="n">
        <v>111.7549</v>
      </c>
      <c r="V799" t="n">
        <v>110.1177</v>
      </c>
      <c r="W799" t="n">
        <v>115.4981</v>
      </c>
      <c r="X799" t="n">
        <v>113.2741</v>
      </c>
      <c r="Y799" t="n">
        <v>118.5619</v>
      </c>
      <c r="Z799" t="n">
        <v>116.5683</v>
      </c>
      <c r="AA799" t="n">
        <v>115.3554</v>
      </c>
      <c r="AB799" t="n">
        <v>118.6847</v>
      </c>
      <c r="AC799" t="n">
        <v>132.3237</v>
      </c>
      <c r="AD799" t="n">
        <v>112.5703</v>
      </c>
      <c r="AE799" t="n">
        <v>112.4171</v>
      </c>
    </row>
    <row r="800">
      <c r="A800" s="87" t="n">
        <v>42917</v>
      </c>
      <c r="B800" t="n">
        <v>113.7817</v>
      </c>
      <c r="C800" t="n">
        <v>121.3684</v>
      </c>
      <c r="D800" t="n">
        <v>115.1887</v>
      </c>
      <c r="E800" t="n">
        <v>106.5009</v>
      </c>
      <c r="F800" t="n">
        <v>119.431</v>
      </c>
      <c r="G800" t="n">
        <v>123.1019</v>
      </c>
      <c r="H800" t="n">
        <v>117.0741</v>
      </c>
      <c r="I800" t="n">
        <v>107.78</v>
      </c>
      <c r="J800" t="n">
        <v>119.6142</v>
      </c>
      <c r="K800" t="n">
        <v>101.5377</v>
      </c>
      <c r="L800" t="n">
        <v>110.1246</v>
      </c>
      <c r="M800" t="n">
        <v>115.4546</v>
      </c>
      <c r="N800" t="n">
        <v>114.5525</v>
      </c>
      <c r="O800" t="n">
        <v>119.3028</v>
      </c>
      <c r="P800" t="n">
        <v>118.0385</v>
      </c>
      <c r="Q800" t="n">
        <v>99.46514999999999</v>
      </c>
      <c r="R800" t="n">
        <v>112.1454</v>
      </c>
      <c r="S800" t="n">
        <v>106.4494</v>
      </c>
      <c r="T800" t="n">
        <v>116.0128</v>
      </c>
      <c r="U800" t="n">
        <v>113.1642</v>
      </c>
      <c r="V800" t="n">
        <v>110.9978</v>
      </c>
      <c r="W800" t="n">
        <v>116.3419</v>
      </c>
      <c r="X800" t="n">
        <v>113.7975</v>
      </c>
      <c r="Y800" t="n">
        <v>119.1136</v>
      </c>
      <c r="Z800" t="n">
        <v>116.7728</v>
      </c>
      <c r="AA800" t="n">
        <v>116.7698</v>
      </c>
      <c r="AB800" t="n">
        <v>119.3268</v>
      </c>
      <c r="AC800" t="n">
        <v>133.6095</v>
      </c>
      <c r="AD800" t="n">
        <v>113.0642</v>
      </c>
      <c r="AE800" t="n">
        <v>113.1263</v>
      </c>
    </row>
    <row r="801">
      <c r="A801" s="87" t="n">
        <v>42948</v>
      </c>
      <c r="B801" t="n">
        <v>114.0506</v>
      </c>
      <c r="C801" t="n">
        <v>122.2579</v>
      </c>
      <c r="D801" t="n">
        <v>115.4986</v>
      </c>
      <c r="E801" t="n">
        <v>106.7934</v>
      </c>
      <c r="F801" t="n">
        <v>119.3856</v>
      </c>
      <c r="G801" t="n">
        <v>123.9585</v>
      </c>
      <c r="H801" t="n">
        <v>117.2399</v>
      </c>
      <c r="I801" t="n">
        <v>108.7897</v>
      </c>
      <c r="J801" t="n">
        <v>120.5217</v>
      </c>
      <c r="K801" t="n">
        <v>101.7094</v>
      </c>
      <c r="L801" t="n">
        <v>110.5455</v>
      </c>
      <c r="M801" t="n">
        <v>116.2961</v>
      </c>
      <c r="N801" t="n">
        <v>115.3819</v>
      </c>
      <c r="O801" t="n">
        <v>119.7398</v>
      </c>
      <c r="P801" t="n">
        <v>118.535</v>
      </c>
      <c r="Q801" t="n">
        <v>99.86273</v>
      </c>
      <c r="R801" t="n">
        <v>113.0355</v>
      </c>
      <c r="S801" t="n">
        <v>106.6885</v>
      </c>
      <c r="T801" t="n">
        <v>116.6068</v>
      </c>
      <c r="U801" t="n">
        <v>113.5415</v>
      </c>
      <c r="V801" t="n">
        <v>111.2591</v>
      </c>
      <c r="W801" t="n">
        <v>117.065</v>
      </c>
      <c r="X801" t="n">
        <v>114.2969</v>
      </c>
      <c r="Y801" t="n">
        <v>119.995</v>
      </c>
      <c r="Z801" t="n">
        <v>117.4069</v>
      </c>
      <c r="AA801" t="n">
        <v>117.6066</v>
      </c>
      <c r="AB801" t="n">
        <v>120.0205</v>
      </c>
      <c r="AC801" t="n">
        <v>135.169</v>
      </c>
      <c r="AD801" t="n">
        <v>113.5209</v>
      </c>
      <c r="AE801" t="n">
        <v>113.8326</v>
      </c>
    </row>
    <row r="802">
      <c r="A802" s="87" t="n">
        <v>42979</v>
      </c>
      <c r="B802" t="n">
        <v>114.4121</v>
      </c>
      <c r="C802" t="n">
        <v>123.5425</v>
      </c>
      <c r="D802" t="n">
        <v>115.9213</v>
      </c>
      <c r="E802" t="n">
        <v>107.139</v>
      </c>
      <c r="F802" t="n">
        <v>119.4809</v>
      </c>
      <c r="G802" t="n">
        <v>125.0239</v>
      </c>
      <c r="H802" t="n">
        <v>117.5041</v>
      </c>
      <c r="I802" t="n">
        <v>108.7303</v>
      </c>
      <c r="J802" t="n">
        <v>121.0099</v>
      </c>
      <c r="K802" t="n">
        <v>102.4581</v>
      </c>
      <c r="L802" t="n">
        <v>110.8762</v>
      </c>
      <c r="M802" t="n">
        <v>117.3257</v>
      </c>
      <c r="N802" t="n">
        <v>117.2761</v>
      </c>
      <c r="O802" t="n">
        <v>120.4274</v>
      </c>
      <c r="P802" t="n">
        <v>119.2442</v>
      </c>
      <c r="Q802" t="n">
        <v>100.2001</v>
      </c>
      <c r="R802" t="n">
        <v>113.65</v>
      </c>
      <c r="S802" t="n">
        <v>106.9707</v>
      </c>
      <c r="T802" t="n">
        <v>116.8371</v>
      </c>
      <c r="U802" t="n">
        <v>114.4155</v>
      </c>
      <c r="V802" t="n">
        <v>111.5446</v>
      </c>
      <c r="W802" t="n">
        <v>117.5615</v>
      </c>
      <c r="X802" t="n">
        <v>114.8229</v>
      </c>
      <c r="Y802" t="n">
        <v>121.1061</v>
      </c>
      <c r="Z802" t="n">
        <v>118.0416</v>
      </c>
      <c r="AA802" t="n">
        <v>117.5352</v>
      </c>
      <c r="AB802" t="n">
        <v>121.0692</v>
      </c>
      <c r="AC802" t="n">
        <v>137.1482</v>
      </c>
      <c r="AD802" t="n">
        <v>113.8878</v>
      </c>
      <c r="AE802" t="n">
        <v>114.7182</v>
      </c>
    </row>
    <row r="803">
      <c r="A803" s="87" t="n">
        <v>43009</v>
      </c>
      <c r="B803" t="n">
        <v>114.8575</v>
      </c>
      <c r="C803" t="n">
        <v>124.5115</v>
      </c>
      <c r="D803" t="n">
        <v>116.7449</v>
      </c>
      <c r="E803" t="n">
        <v>107.4148</v>
      </c>
      <c r="F803" t="n">
        <v>120.1206</v>
      </c>
      <c r="G803" t="n">
        <v>126.0675</v>
      </c>
      <c r="H803" t="n">
        <v>118.1948</v>
      </c>
      <c r="I803" t="n">
        <v>107.6331</v>
      </c>
      <c r="J803" t="n">
        <v>120.8254</v>
      </c>
      <c r="K803" t="n">
        <v>102.0365</v>
      </c>
      <c r="L803" t="n">
        <v>111.0502</v>
      </c>
      <c r="M803" t="n">
        <v>117.9437</v>
      </c>
      <c r="N803" t="n">
        <v>118.6667</v>
      </c>
      <c r="O803" t="n">
        <v>121.2595</v>
      </c>
      <c r="P803" t="n">
        <v>121.0234</v>
      </c>
      <c r="Q803" t="n">
        <v>100.3614</v>
      </c>
      <c r="R803" t="n">
        <v>113.373</v>
      </c>
      <c r="S803" t="n">
        <v>107.2832</v>
      </c>
      <c r="T803" t="n">
        <v>117.3732</v>
      </c>
      <c r="U803" t="n">
        <v>115.2496</v>
      </c>
      <c r="V803" t="n">
        <v>112.5092</v>
      </c>
      <c r="W803" t="n">
        <v>118.5498</v>
      </c>
      <c r="X803" t="n">
        <v>115.4283</v>
      </c>
      <c r="Y803" t="n">
        <v>122.2683</v>
      </c>
      <c r="Z803" t="n">
        <v>118.6555</v>
      </c>
      <c r="AA803" t="n">
        <v>117.7225</v>
      </c>
      <c r="AB803" t="n">
        <v>121.665</v>
      </c>
      <c r="AC803" t="n">
        <v>140.4015</v>
      </c>
      <c r="AD803" t="n">
        <v>114.3212</v>
      </c>
      <c r="AE803" t="n">
        <v>115.6006</v>
      </c>
    </row>
    <row r="804">
      <c r="A804" s="87" t="n">
        <v>43040</v>
      </c>
      <c r="B804" t="n">
        <v>115.2301</v>
      </c>
      <c r="C804" t="n">
        <v>124.9764</v>
      </c>
      <c r="D804" t="n">
        <v>117.4249</v>
      </c>
      <c r="E804" t="n">
        <v>107.5632</v>
      </c>
      <c r="F804" t="n">
        <v>120.6163</v>
      </c>
      <c r="G804" t="n">
        <v>127.1524</v>
      </c>
      <c r="H804" t="n">
        <v>119.0796</v>
      </c>
      <c r="I804" t="n">
        <v>107.549</v>
      </c>
      <c r="J804" t="n">
        <v>121.0119</v>
      </c>
      <c r="K804" t="n">
        <v>101.29</v>
      </c>
      <c r="L804" t="n">
        <v>111.4739</v>
      </c>
      <c r="M804" t="n">
        <v>118.2344</v>
      </c>
      <c r="N804" t="n">
        <v>119.6442</v>
      </c>
      <c r="O804" t="n">
        <v>122.2036</v>
      </c>
      <c r="P804" t="n">
        <v>122.2668</v>
      </c>
      <c r="Q804" t="n">
        <v>100.5153</v>
      </c>
      <c r="R804" t="n">
        <v>113.3119</v>
      </c>
      <c r="S804" t="n">
        <v>107.6396</v>
      </c>
      <c r="T804" t="n">
        <v>117.9518</v>
      </c>
      <c r="U804" t="n">
        <v>115.866</v>
      </c>
      <c r="V804" t="n">
        <v>113.0978</v>
      </c>
      <c r="W804" t="n">
        <v>119.5862</v>
      </c>
      <c r="X804" t="n">
        <v>115.9073</v>
      </c>
      <c r="Y804" t="n">
        <v>123.2527</v>
      </c>
      <c r="Z804" t="n">
        <v>119.2572</v>
      </c>
      <c r="AA804" t="n">
        <v>118.4788</v>
      </c>
      <c r="AB804" t="n">
        <v>122.1007</v>
      </c>
      <c r="AC804" t="n">
        <v>143.5611</v>
      </c>
      <c r="AD804" t="n">
        <v>114.5686</v>
      </c>
      <c r="AE804" t="n">
        <v>116.1568</v>
      </c>
    </row>
    <row r="805">
      <c r="A805" s="87" t="n">
        <v>43070</v>
      </c>
      <c r="B805" t="n">
        <v>115.2554</v>
      </c>
      <c r="C805" t="n">
        <v>125.3354</v>
      </c>
      <c r="D805" t="n">
        <v>118.1107</v>
      </c>
      <c r="E805" t="n">
        <v>107.7024</v>
      </c>
      <c r="F805" t="n">
        <v>120.6695</v>
      </c>
      <c r="G805" t="n">
        <v>127.9033</v>
      </c>
      <c r="H805" t="n">
        <v>120.4971</v>
      </c>
      <c r="I805" t="n">
        <v>107.283</v>
      </c>
      <c r="J805" t="n">
        <v>121.4602</v>
      </c>
      <c r="K805" t="n">
        <v>101.9412</v>
      </c>
      <c r="L805" t="n">
        <v>111.8837</v>
      </c>
      <c r="M805" t="n">
        <v>118.2179</v>
      </c>
      <c r="N805" t="n">
        <v>120.3463</v>
      </c>
      <c r="O805" t="n">
        <v>122.6267</v>
      </c>
      <c r="P805" t="n">
        <v>122.8887</v>
      </c>
      <c r="Q805" t="n">
        <v>100.8441</v>
      </c>
      <c r="R805" t="n">
        <v>113.7689</v>
      </c>
      <c r="S805" t="n">
        <v>107.7243</v>
      </c>
      <c r="T805" t="n">
        <v>118.5219</v>
      </c>
      <c r="U805" t="n">
        <v>116.9818</v>
      </c>
      <c r="V805" t="n">
        <v>113.0396</v>
      </c>
      <c r="W805" t="n">
        <v>120.2819</v>
      </c>
      <c r="X805" t="n">
        <v>116.3305</v>
      </c>
      <c r="Y805" t="n">
        <v>123.4671</v>
      </c>
      <c r="Z805" t="n">
        <v>119.7729</v>
      </c>
      <c r="AA805" t="n">
        <v>119.2024</v>
      </c>
      <c r="AB805" t="n">
        <v>122.1197</v>
      </c>
      <c r="AC805" t="n">
        <v>143.8664</v>
      </c>
      <c r="AD805" t="n">
        <v>115.0501</v>
      </c>
      <c r="AE805" t="n">
        <v>117.1088</v>
      </c>
    </row>
    <row r="806">
      <c r="A806" s="87" t="n">
        <v>43101</v>
      </c>
      <c r="B806" t="n">
        <v>115.3366</v>
      </c>
      <c r="C806" t="n">
        <v>125.8874</v>
      </c>
      <c r="D806" t="n">
        <v>117.934</v>
      </c>
      <c r="E806" t="n">
        <v>108.033</v>
      </c>
      <c r="F806" t="n">
        <v>120.5811</v>
      </c>
      <c r="G806" t="n">
        <v>129.0859</v>
      </c>
      <c r="H806" t="n">
        <v>121.1752</v>
      </c>
      <c r="I806" t="n">
        <v>106.7158</v>
      </c>
      <c r="J806" t="n">
        <v>121.7839</v>
      </c>
      <c r="K806" t="n">
        <v>101.8548</v>
      </c>
      <c r="L806" t="n">
        <v>111.9393</v>
      </c>
      <c r="M806" t="n">
        <v>118.7356</v>
      </c>
      <c r="N806" t="n">
        <v>122.0867</v>
      </c>
      <c r="O806" t="n">
        <v>123.2196</v>
      </c>
      <c r="P806" t="n">
        <v>123.8216</v>
      </c>
      <c r="Q806" t="n">
        <v>101.2755</v>
      </c>
      <c r="R806" t="n">
        <v>113.989</v>
      </c>
      <c r="S806" t="n">
        <v>107.9317</v>
      </c>
      <c r="T806" t="n">
        <v>119.5776</v>
      </c>
      <c r="U806" t="n">
        <v>116.0133</v>
      </c>
      <c r="V806" t="n">
        <v>113.6738</v>
      </c>
      <c r="W806" t="n">
        <v>120.9594</v>
      </c>
      <c r="X806" t="n">
        <v>116.4493</v>
      </c>
      <c r="Y806" t="n">
        <v>123.6882</v>
      </c>
      <c r="Z806" t="n">
        <v>120.3315</v>
      </c>
      <c r="AA806" t="n">
        <v>119.4697</v>
      </c>
      <c r="AB806" t="n">
        <v>121.8634</v>
      </c>
      <c r="AC806" t="n">
        <v>143.2557</v>
      </c>
      <c r="AD806" t="n">
        <v>115.1481</v>
      </c>
      <c r="AE806" t="n">
        <v>118.0103</v>
      </c>
    </row>
    <row r="807">
      <c r="A807" s="87" t="n">
        <v>43132</v>
      </c>
      <c r="B807" t="n">
        <v>115.5495</v>
      </c>
      <c r="C807" t="n">
        <v>126.5311</v>
      </c>
      <c r="D807" t="n">
        <v>118.8463</v>
      </c>
      <c r="E807" t="n">
        <v>108.336</v>
      </c>
      <c r="F807" t="n">
        <v>120.8162</v>
      </c>
      <c r="G807" t="n">
        <v>130.5695</v>
      </c>
      <c r="H807" t="n">
        <v>121.2448</v>
      </c>
      <c r="I807" t="n">
        <v>106.4611</v>
      </c>
      <c r="J807" t="n">
        <v>122.7301</v>
      </c>
      <c r="K807" t="n">
        <v>100.86</v>
      </c>
      <c r="L807" t="n">
        <v>111.9041</v>
      </c>
      <c r="M807" t="n">
        <v>119.3086</v>
      </c>
      <c r="N807" t="n">
        <v>124.2219</v>
      </c>
      <c r="O807" t="n">
        <v>124.0943</v>
      </c>
      <c r="P807" t="n">
        <v>124.7564</v>
      </c>
      <c r="Q807" t="n">
        <v>101.7775</v>
      </c>
      <c r="R807" t="n">
        <v>113.695</v>
      </c>
      <c r="S807" t="n">
        <v>108.0784</v>
      </c>
      <c r="T807" t="n">
        <v>120.5629</v>
      </c>
      <c r="U807" t="n">
        <v>115.1218</v>
      </c>
      <c r="V807" t="n">
        <v>114.3148</v>
      </c>
      <c r="W807" t="n">
        <v>121.4189</v>
      </c>
      <c r="X807" t="n">
        <v>116.8045</v>
      </c>
      <c r="Y807" t="n">
        <v>124.3647</v>
      </c>
      <c r="Z807" t="n">
        <v>120.9332</v>
      </c>
      <c r="AA807" t="n">
        <v>120.0862</v>
      </c>
      <c r="AB807" t="n">
        <v>122.6075</v>
      </c>
      <c r="AC807" t="n">
        <v>144.2888</v>
      </c>
      <c r="AD807" t="n">
        <v>115.5017</v>
      </c>
      <c r="AE807" t="n">
        <v>118.6648</v>
      </c>
    </row>
    <row r="808">
      <c r="A808" s="87" t="n">
        <v>43160</v>
      </c>
      <c r="B808" t="n">
        <v>115.5131</v>
      </c>
      <c r="C808" t="n">
        <v>127.3854</v>
      </c>
      <c r="D808" t="n">
        <v>119.2843</v>
      </c>
      <c r="E808" t="n">
        <v>108.3451</v>
      </c>
      <c r="F808" t="n">
        <v>121.526</v>
      </c>
      <c r="G808" t="n">
        <v>131.1126</v>
      </c>
      <c r="H808" t="n">
        <v>121.6315</v>
      </c>
      <c r="I808" t="n">
        <v>106.366</v>
      </c>
      <c r="J808" t="n">
        <v>123.4866</v>
      </c>
      <c r="K808" t="n">
        <v>100.4776</v>
      </c>
      <c r="L808" t="n">
        <v>112.2029</v>
      </c>
      <c r="M808" t="n">
        <v>118.6201</v>
      </c>
      <c r="N808" t="n">
        <v>125.4257</v>
      </c>
      <c r="O808" t="n">
        <v>124.5713</v>
      </c>
      <c r="P808" t="n">
        <v>125.6895</v>
      </c>
      <c r="Q808" t="n">
        <v>102.3663</v>
      </c>
      <c r="R808" t="n">
        <v>113.8963</v>
      </c>
      <c r="S808" t="n">
        <v>108.2648</v>
      </c>
      <c r="T808" t="n">
        <v>121.219</v>
      </c>
      <c r="U808" t="n">
        <v>117.4389</v>
      </c>
      <c r="V808" t="n">
        <v>114.8105</v>
      </c>
      <c r="W808" t="n">
        <v>121.8422</v>
      </c>
      <c r="X808" t="n">
        <v>117.3857</v>
      </c>
      <c r="Y808" t="n">
        <v>125.072</v>
      </c>
      <c r="Z808" t="n">
        <v>121.7213</v>
      </c>
      <c r="AA808" t="n">
        <v>120.5213</v>
      </c>
      <c r="AB808" t="n">
        <v>123.8971</v>
      </c>
      <c r="AC808" t="n">
        <v>147.4226</v>
      </c>
      <c r="AD808" t="n">
        <v>115.9824</v>
      </c>
      <c r="AE808" t="n">
        <v>119.0397</v>
      </c>
    </row>
    <row r="809">
      <c r="A809" s="87" t="n">
        <v>43191</v>
      </c>
      <c r="B809" t="n">
        <v>115.4207</v>
      </c>
      <c r="C809" t="n">
        <v>128.2491</v>
      </c>
      <c r="D809" t="n">
        <v>119.5432</v>
      </c>
      <c r="E809" t="n">
        <v>108.4723</v>
      </c>
      <c r="F809" t="n">
        <v>123.4717</v>
      </c>
      <c r="G809" t="n">
        <v>131.7365</v>
      </c>
      <c r="H809" t="n">
        <v>121.7512</v>
      </c>
      <c r="I809" t="n">
        <v>106.6208</v>
      </c>
      <c r="J809" t="n">
        <v>124.028</v>
      </c>
      <c r="K809" t="n">
        <v>100.7324</v>
      </c>
      <c r="L809" t="n">
        <v>112.7842</v>
      </c>
      <c r="M809" t="n">
        <v>117.8123</v>
      </c>
      <c r="N809" t="n">
        <v>127.1362</v>
      </c>
      <c r="O809" t="n">
        <v>125.1125</v>
      </c>
      <c r="P809" t="n">
        <v>126.8122</v>
      </c>
      <c r="Q809" t="n">
        <v>103.0184</v>
      </c>
      <c r="R809" t="n">
        <v>114.6208</v>
      </c>
      <c r="S809" t="n">
        <v>108.4655</v>
      </c>
      <c r="T809" t="n">
        <v>121.9051</v>
      </c>
      <c r="U809" t="n">
        <v>119.6241</v>
      </c>
      <c r="V809" t="n">
        <v>116.1457</v>
      </c>
      <c r="W809" t="n">
        <v>122.3044</v>
      </c>
      <c r="X809" t="n">
        <v>117.8348</v>
      </c>
      <c r="Y809" t="n">
        <v>125.8707</v>
      </c>
      <c r="Z809" t="n">
        <v>122.5093</v>
      </c>
      <c r="AA809" t="n">
        <v>121.8416</v>
      </c>
      <c r="AB809" t="n">
        <v>124.9401</v>
      </c>
      <c r="AC809" t="n">
        <v>150.938</v>
      </c>
      <c r="AD809" t="n">
        <v>116.1369</v>
      </c>
      <c r="AE809" t="n">
        <v>118.801</v>
      </c>
    </row>
    <row r="810">
      <c r="A810" s="87" t="n">
        <v>43221</v>
      </c>
      <c r="B810" t="n">
        <v>115.5047</v>
      </c>
      <c r="C810" t="n">
        <v>128.6957</v>
      </c>
      <c r="D810" t="n">
        <v>119.8156</v>
      </c>
      <c r="E810" t="n">
        <v>108.7759</v>
      </c>
      <c r="F810" t="n">
        <v>124.9933</v>
      </c>
      <c r="G810" t="n">
        <v>132.2975</v>
      </c>
      <c r="H810" t="n">
        <v>121.9198</v>
      </c>
      <c r="I810" t="n">
        <v>106.7304</v>
      </c>
      <c r="J810" t="n">
        <v>125.2589</v>
      </c>
      <c r="K810" t="n">
        <v>100.6316</v>
      </c>
      <c r="L810" t="n">
        <v>113.4316</v>
      </c>
      <c r="M810" t="n">
        <v>118.5756</v>
      </c>
      <c r="N810" t="n">
        <v>128.6843</v>
      </c>
      <c r="O810" t="n">
        <v>125.5814</v>
      </c>
      <c r="P810" t="n">
        <v>127.9901</v>
      </c>
      <c r="Q810" t="n">
        <v>103.7161</v>
      </c>
      <c r="R810" t="n">
        <v>114.9073</v>
      </c>
      <c r="S810" t="n">
        <v>108.558</v>
      </c>
      <c r="T810" t="n">
        <v>122.6929</v>
      </c>
      <c r="U810" t="n">
        <v>120.6596</v>
      </c>
      <c r="V810" t="n">
        <v>116.98</v>
      </c>
      <c r="W810" t="n">
        <v>122.7216</v>
      </c>
      <c r="X810" t="n">
        <v>118.5175</v>
      </c>
      <c r="Y810" t="n">
        <v>127.4853</v>
      </c>
      <c r="Z810" t="n">
        <v>123.5361</v>
      </c>
      <c r="AA810" t="n">
        <v>124.9192</v>
      </c>
      <c r="AB810" t="n">
        <v>125.1954</v>
      </c>
      <c r="AC810" t="n">
        <v>155.6444</v>
      </c>
      <c r="AD810" t="n">
        <v>116.6217</v>
      </c>
      <c r="AE810" t="n">
        <v>118.5946</v>
      </c>
    </row>
    <row r="811">
      <c r="A811" s="87" t="n">
        <v>43252</v>
      </c>
      <c r="B811" t="n">
        <v>115.6476</v>
      </c>
      <c r="C811" t="n">
        <v>129.576</v>
      </c>
      <c r="D811" t="n">
        <v>120.6214</v>
      </c>
      <c r="E811" t="n">
        <v>108.8235</v>
      </c>
      <c r="F811" t="n">
        <v>125.7396</v>
      </c>
      <c r="G811" t="n">
        <v>132.8013</v>
      </c>
      <c r="H811" t="n">
        <v>122.3362</v>
      </c>
      <c r="I811" t="n">
        <v>106.1793</v>
      </c>
      <c r="J811" t="n">
        <v>125.7526</v>
      </c>
      <c r="K811" t="n">
        <v>100.31</v>
      </c>
      <c r="L811" t="n">
        <v>114.2834</v>
      </c>
      <c r="M811" t="n">
        <v>119.3585</v>
      </c>
      <c r="N811" t="n">
        <v>130.911</v>
      </c>
      <c r="O811" t="n">
        <v>125.9678</v>
      </c>
      <c r="P811" t="n">
        <v>128.8645</v>
      </c>
      <c r="Q811" t="n">
        <v>104.3891</v>
      </c>
      <c r="R811" t="n">
        <v>114.9143</v>
      </c>
      <c r="S811" t="n">
        <v>108.9367</v>
      </c>
      <c r="T811" t="n">
        <v>123.2564</v>
      </c>
      <c r="U811" t="n">
        <v>121.7346</v>
      </c>
      <c r="V811" t="n">
        <v>117.3159</v>
      </c>
      <c r="W811" t="n">
        <v>123.5141</v>
      </c>
      <c r="X811" t="n">
        <v>119.2126</v>
      </c>
      <c r="Y811" t="n">
        <v>128.959</v>
      </c>
      <c r="Z811" t="n">
        <v>124.6257</v>
      </c>
      <c r="AA811" t="n">
        <v>127.0921</v>
      </c>
      <c r="AB811" t="n">
        <v>125.4083</v>
      </c>
      <c r="AC811" t="n">
        <v>159.8902</v>
      </c>
      <c r="AD811" t="n">
        <v>117.0899</v>
      </c>
      <c r="AE811" t="n">
        <v>118.8725</v>
      </c>
    </row>
    <row r="812">
      <c r="A812" s="87" t="n">
        <v>43282</v>
      </c>
      <c r="B812" t="n">
        <v>115.8661</v>
      </c>
      <c r="C812" t="n">
        <v>130.4622</v>
      </c>
      <c r="D812" t="n">
        <v>120.8617</v>
      </c>
      <c r="E812" t="n">
        <v>108.9338</v>
      </c>
      <c r="F812" t="n">
        <v>126.8182</v>
      </c>
      <c r="G812" t="n">
        <v>133.9594</v>
      </c>
      <c r="H812" t="n">
        <v>123.0109</v>
      </c>
      <c r="I812" t="n">
        <v>105.581</v>
      </c>
      <c r="J812" t="n">
        <v>125.615</v>
      </c>
      <c r="K812" t="n">
        <v>100.9931</v>
      </c>
      <c r="L812" t="n">
        <v>114.7143</v>
      </c>
      <c r="M812" t="n">
        <v>119.2763</v>
      </c>
      <c r="N812" t="n">
        <v>133.1833</v>
      </c>
      <c r="O812" t="n">
        <v>126.6165</v>
      </c>
      <c r="P812" t="n">
        <v>129.6466</v>
      </c>
      <c r="Q812" t="n">
        <v>105.0022</v>
      </c>
      <c r="R812" t="n">
        <v>115.3573</v>
      </c>
      <c r="S812" t="n">
        <v>109.1291</v>
      </c>
      <c r="T812" t="n">
        <v>123.8277</v>
      </c>
      <c r="U812" t="n">
        <v>121.573</v>
      </c>
      <c r="V812" t="n">
        <v>117.4823</v>
      </c>
      <c r="W812" t="n">
        <v>124.4688</v>
      </c>
      <c r="X812" t="n">
        <v>119.622</v>
      </c>
      <c r="Y812" t="n">
        <v>129.9153</v>
      </c>
      <c r="Z812" t="n">
        <v>125.3072</v>
      </c>
      <c r="AA812" t="n">
        <v>128.3762</v>
      </c>
      <c r="AB812" t="n">
        <v>125.7689</v>
      </c>
      <c r="AC812" t="n">
        <v>163.3858</v>
      </c>
      <c r="AD812" t="n">
        <v>117.3855</v>
      </c>
      <c r="AE812" t="n">
        <v>119.7879</v>
      </c>
    </row>
    <row r="813">
      <c r="A813" s="87" t="n">
        <v>43313</v>
      </c>
      <c r="B813" t="n">
        <v>116.5301</v>
      </c>
      <c r="C813" t="n">
        <v>131.3856</v>
      </c>
      <c r="D813" t="n">
        <v>121.6337</v>
      </c>
      <c r="E813" t="n">
        <v>109.3475</v>
      </c>
      <c r="F813" t="n">
        <v>127.7573</v>
      </c>
      <c r="G813" t="n">
        <v>134.9996</v>
      </c>
      <c r="H813" t="n">
        <v>123.8843</v>
      </c>
      <c r="I813" t="n">
        <v>105.5265</v>
      </c>
      <c r="J813" t="n">
        <v>126.2549</v>
      </c>
      <c r="K813" t="n">
        <v>101.7702</v>
      </c>
      <c r="L813" t="n">
        <v>114.7083</v>
      </c>
      <c r="M813" t="n">
        <v>119.4074</v>
      </c>
      <c r="N813" t="n">
        <v>134.0831</v>
      </c>
      <c r="O813" t="n">
        <v>127.0985</v>
      </c>
      <c r="P813" t="n">
        <v>130.8387</v>
      </c>
      <c r="Q813" t="n">
        <v>105.5971</v>
      </c>
      <c r="R813" t="n">
        <v>115.8573</v>
      </c>
      <c r="S813" t="n">
        <v>109.3133</v>
      </c>
      <c r="T813" t="n">
        <v>124.6092</v>
      </c>
      <c r="U813" t="n">
        <v>121.7173</v>
      </c>
      <c r="V813" t="n">
        <v>117.5479</v>
      </c>
      <c r="W813" t="n">
        <v>125.5168</v>
      </c>
      <c r="X813" t="n">
        <v>120.1233</v>
      </c>
      <c r="Y813" t="n">
        <v>130.8819</v>
      </c>
      <c r="Z813" t="n">
        <v>126.1469</v>
      </c>
      <c r="AA813" t="n">
        <v>128.99</v>
      </c>
      <c r="AB813" t="n">
        <v>125.9273</v>
      </c>
      <c r="AC813" t="n">
        <v>166.4898</v>
      </c>
      <c r="AD813" t="n">
        <v>117.735</v>
      </c>
      <c r="AE813" t="n">
        <v>121.2581</v>
      </c>
    </row>
    <row r="814">
      <c r="A814" s="87" t="n">
        <v>43344</v>
      </c>
      <c r="B814" t="n">
        <v>117.0204</v>
      </c>
      <c r="C814" t="n">
        <v>132.8934</v>
      </c>
      <c r="D814" t="n">
        <v>122.254</v>
      </c>
      <c r="E814" t="n">
        <v>109.6638</v>
      </c>
      <c r="F814" t="n">
        <v>128.8906</v>
      </c>
      <c r="G814" t="n">
        <v>135.9704</v>
      </c>
      <c r="H814" t="n">
        <v>124.3142</v>
      </c>
      <c r="I814" t="n">
        <v>106.5526</v>
      </c>
      <c r="J814" t="n">
        <v>126.3901</v>
      </c>
      <c r="K814" t="n">
        <v>101.8477</v>
      </c>
      <c r="L814" t="n">
        <v>114.8442</v>
      </c>
      <c r="M814" t="n">
        <v>119.9438</v>
      </c>
      <c r="N814" t="n">
        <v>134.1162</v>
      </c>
      <c r="O814" t="n">
        <v>128.0515</v>
      </c>
      <c r="P814" t="n">
        <v>131.7674</v>
      </c>
      <c r="Q814" t="n">
        <v>106.2291</v>
      </c>
      <c r="R814" t="n">
        <v>116.4814</v>
      </c>
      <c r="S814" t="n">
        <v>109.546</v>
      </c>
      <c r="T814" t="n">
        <v>125.1817</v>
      </c>
      <c r="U814" t="n">
        <v>122.4532</v>
      </c>
      <c r="V814" t="n">
        <v>117.7965</v>
      </c>
      <c r="W814" t="n">
        <v>126.5449</v>
      </c>
      <c r="X814" t="n">
        <v>120.7592</v>
      </c>
      <c r="Y814" t="n">
        <v>132.6456</v>
      </c>
      <c r="Z814" t="n">
        <v>127.163</v>
      </c>
      <c r="AA814" t="n">
        <v>130.077</v>
      </c>
      <c r="AB814" t="n">
        <v>126.6047</v>
      </c>
      <c r="AC814" t="n">
        <v>172.6841</v>
      </c>
      <c r="AD814" t="n">
        <v>117.9974</v>
      </c>
      <c r="AE814" t="n">
        <v>122.7796</v>
      </c>
    </row>
    <row r="815">
      <c r="A815" s="87" t="n">
        <v>43374</v>
      </c>
      <c r="B815" t="n">
        <v>117.2418</v>
      </c>
      <c r="C815" t="n">
        <v>133.8896</v>
      </c>
      <c r="D815" t="n">
        <v>123.0476</v>
      </c>
      <c r="E815" t="n">
        <v>109.9721</v>
      </c>
      <c r="F815" t="n">
        <v>129.6778</v>
      </c>
      <c r="G815" t="n">
        <v>136.975</v>
      </c>
      <c r="H815" t="n">
        <v>124.7492</v>
      </c>
      <c r="I815" t="n">
        <v>108.5163</v>
      </c>
      <c r="J815" t="n">
        <v>126.6618</v>
      </c>
      <c r="K815" t="n">
        <v>101.2659</v>
      </c>
      <c r="L815" t="n">
        <v>115.1301</v>
      </c>
      <c r="M815" t="n">
        <v>120.9932</v>
      </c>
      <c r="N815" t="n">
        <v>134.3948</v>
      </c>
      <c r="O815" t="n">
        <v>129.7608</v>
      </c>
      <c r="P815" t="n">
        <v>132.5771</v>
      </c>
      <c r="Q815" t="n">
        <v>106.9454</v>
      </c>
      <c r="R815" t="n">
        <v>117.3512</v>
      </c>
      <c r="S815" t="n">
        <v>109.7822</v>
      </c>
      <c r="T815" t="n">
        <v>126.0249</v>
      </c>
      <c r="U815" t="n">
        <v>122.1739</v>
      </c>
      <c r="V815" t="n">
        <v>117.8375</v>
      </c>
      <c r="W815" t="n">
        <v>127.0077</v>
      </c>
      <c r="X815" t="n">
        <v>121.1805</v>
      </c>
      <c r="Y815" t="n">
        <v>133.9841</v>
      </c>
      <c r="Z815" t="n">
        <v>128.2795</v>
      </c>
      <c r="AA815" t="n">
        <v>131.0738</v>
      </c>
      <c r="AB815" t="n">
        <v>127.2965</v>
      </c>
      <c r="AC815" t="n">
        <v>176.0971</v>
      </c>
      <c r="AD815" t="n">
        <v>118.0771</v>
      </c>
      <c r="AE815" t="n">
        <v>123.146</v>
      </c>
    </row>
    <row r="816">
      <c r="A816" s="87" t="n">
        <v>43405</v>
      </c>
      <c r="B816" t="n">
        <v>117.4939</v>
      </c>
      <c r="C816" t="n">
        <v>134.4371</v>
      </c>
      <c r="D816" t="n">
        <v>123.8826</v>
      </c>
      <c r="E816" t="n">
        <v>110.3934</v>
      </c>
      <c r="F816" t="n">
        <v>130.9885</v>
      </c>
      <c r="G816" t="n">
        <v>137.9958</v>
      </c>
      <c r="H816" t="n">
        <v>125.6178</v>
      </c>
      <c r="I816" t="n">
        <v>110.1712</v>
      </c>
      <c r="J816" t="n">
        <v>128.11</v>
      </c>
      <c r="K816" t="n">
        <v>101.4121</v>
      </c>
      <c r="L816" t="n">
        <v>115.7278</v>
      </c>
      <c r="M816" t="n">
        <v>121.6764</v>
      </c>
      <c r="N816" t="n">
        <v>135.1921</v>
      </c>
      <c r="O816" t="n">
        <v>130.635</v>
      </c>
      <c r="P816" t="n">
        <v>133.7899</v>
      </c>
      <c r="Q816" t="n">
        <v>107.6995</v>
      </c>
      <c r="R816" t="n">
        <v>118.6351</v>
      </c>
      <c r="S816" t="n">
        <v>109.8818</v>
      </c>
      <c r="T816" t="n">
        <v>126.7798</v>
      </c>
      <c r="U816" t="n">
        <v>122.6025</v>
      </c>
      <c r="V816" t="n">
        <v>118.1722</v>
      </c>
      <c r="W816" t="n">
        <v>127.3549</v>
      </c>
      <c r="X816" t="n">
        <v>121.2687</v>
      </c>
      <c r="Y816" t="n">
        <v>133.3533</v>
      </c>
      <c r="Z816" t="n">
        <v>129.4469</v>
      </c>
      <c r="AA816" t="n">
        <v>131.3936</v>
      </c>
      <c r="AB816" t="n">
        <v>127.9025</v>
      </c>
      <c r="AC816" t="n">
        <v>170.5484</v>
      </c>
      <c r="AD816" t="n">
        <v>118.1958</v>
      </c>
      <c r="AE816" t="n">
        <v>122.9752</v>
      </c>
    </row>
    <row r="817">
      <c r="A817" s="87" t="n">
        <v>43435</v>
      </c>
      <c r="B817" t="n">
        <v>117.8245</v>
      </c>
      <c r="C817" t="n">
        <v>136.1795</v>
      </c>
      <c r="D817" t="n">
        <v>125.5987</v>
      </c>
      <c r="E817" t="n">
        <v>110.8659</v>
      </c>
      <c r="F817" t="n">
        <v>132.9372</v>
      </c>
      <c r="G817" t="n">
        <v>139.0737</v>
      </c>
      <c r="H817" t="n">
        <v>127.0745</v>
      </c>
      <c r="I817" t="n">
        <v>110.0461</v>
      </c>
      <c r="J817" t="n">
        <v>128.645</v>
      </c>
      <c r="K817" t="n">
        <v>100.7951</v>
      </c>
      <c r="L817" t="n">
        <v>116.3768</v>
      </c>
      <c r="M817" t="n">
        <v>122.1885</v>
      </c>
      <c r="N817" t="n">
        <v>135.0647</v>
      </c>
      <c r="O817" t="n">
        <v>130.5066</v>
      </c>
      <c r="P817" t="n">
        <v>134.8019</v>
      </c>
      <c r="Q817" t="n">
        <v>108.3908</v>
      </c>
      <c r="R817" t="n">
        <v>119.2925</v>
      </c>
      <c r="S817" t="n">
        <v>110.0592</v>
      </c>
      <c r="T817" t="n">
        <v>127.434</v>
      </c>
      <c r="U817" t="n">
        <v>123.0041</v>
      </c>
      <c r="V817" t="n">
        <v>118.8557</v>
      </c>
      <c r="W817" t="n">
        <v>127.9911</v>
      </c>
      <c r="X817" t="n">
        <v>121.943</v>
      </c>
      <c r="Y817" t="n">
        <v>133.2976</v>
      </c>
      <c r="Z817" t="n">
        <v>130.5016</v>
      </c>
      <c r="AA817" t="n">
        <v>132.3512</v>
      </c>
      <c r="AB817" t="n">
        <v>128.6903</v>
      </c>
      <c r="AC817" t="n">
        <v>168.3227</v>
      </c>
      <c r="AD817" t="n">
        <v>119.241</v>
      </c>
      <c r="AE817" t="n">
        <v>123.7092</v>
      </c>
    </row>
    <row r="818">
      <c r="A818" s="87" t="n">
        <v>43466</v>
      </c>
      <c r="B818" t="n">
        <v>118.3876</v>
      </c>
      <c r="C818" t="n">
        <v/>
      </c>
      <c r="D818" t="n">
        <v>125.483</v>
      </c>
      <c r="E818" t="n">
        <v/>
      </c>
      <c r="F818" t="n">
        <v/>
      </c>
      <c r="G818" t="n">
        <v/>
      </c>
      <c r="H818" t="n">
        <v>127.6496</v>
      </c>
      <c r="I818" t="n">
        <v>109.6268</v>
      </c>
      <c r="J818" t="n">
        <v>128.8671</v>
      </c>
      <c r="K818" t="n">
        <v/>
      </c>
      <c r="L818" t="n">
        <v>116.5471</v>
      </c>
      <c r="M818" t="n">
        <v>121.9932</v>
      </c>
      <c r="N818" t="n">
        <v>135.2444</v>
      </c>
      <c r="O818" t="n">
        <v/>
      </c>
      <c r="P818" t="n">
        <v/>
      </c>
      <c r="Q818" t="n">
        <v>108.9879</v>
      </c>
      <c r="R818" t="n">
        <v>119.8265</v>
      </c>
      <c r="S818" t="n">
        <v>110.2279</v>
      </c>
      <c r="T818" t="n">
        <v>128.4027</v>
      </c>
      <c r="U818" t="n">
        <v/>
      </c>
      <c r="V818" t="n">
        <v>119.1628</v>
      </c>
      <c r="W818" t="n">
        <v/>
      </c>
      <c r="X818" t="n">
        <v>122.3666</v>
      </c>
      <c r="Y818" t="n">
        <v>133.225</v>
      </c>
      <c r="Z818" t="n">
        <v/>
      </c>
      <c r="AA818" t="n">
        <v>133.767</v>
      </c>
      <c r="AB818" t="n">
        <v/>
      </c>
      <c r="AC818" t="n">
        <v/>
      </c>
      <c r="AD818" t="n">
        <v>119.7998</v>
      </c>
      <c r="AE818" t="n">
        <v>124.22</v>
      </c>
    </row>
    <row r="819">
      <c r="A819" s="87" t="n">
        <v>43497</v>
      </c>
      <c r="B819" t="n">
        <v>119.0208</v>
      </c>
      <c r="C819" t="n">
        <v/>
      </c>
      <c r="D819" t="n">
        <v>126.2336</v>
      </c>
      <c r="E819" t="n">
        <v/>
      </c>
      <c r="F819" t="n">
        <v/>
      </c>
      <c r="G819" t="n">
        <v/>
      </c>
      <c r="H819" t="n">
        <v>127.766</v>
      </c>
      <c r="I819" t="n">
        <v>110.1064</v>
      </c>
      <c r="J819" t="n">
        <v>130.1007</v>
      </c>
      <c r="K819" t="n">
        <v/>
      </c>
      <c r="L819" t="n">
        <v>116.6674</v>
      </c>
      <c r="M819" t="n">
        <v>120.7848</v>
      </c>
      <c r="N819" t="n">
        <v>136.131</v>
      </c>
      <c r="O819" t="n">
        <v/>
      </c>
      <c r="P819" t="n">
        <v/>
      </c>
      <c r="Q819" t="n">
        <v>109.5066</v>
      </c>
      <c r="R819" t="n">
        <v>121.1583</v>
      </c>
      <c r="S819" t="n">
        <v>110.3605</v>
      </c>
      <c r="T819" t="n">
        <v>129.2455</v>
      </c>
      <c r="U819" t="n">
        <v/>
      </c>
      <c r="V819" t="n">
        <v>119.5159</v>
      </c>
      <c r="W819" t="n">
        <v/>
      </c>
      <c r="X819" t="n">
        <v>122.6229</v>
      </c>
      <c r="Y819" t="n">
        <v>132.48</v>
      </c>
      <c r="Z819" t="n">
        <v/>
      </c>
      <c r="AA819" t="n">
        <v>134.0291</v>
      </c>
      <c r="AB819" t="n">
        <v/>
      </c>
      <c r="AC819" t="n">
        <v/>
      </c>
      <c r="AD819" t="n">
        <v>120.131</v>
      </c>
      <c r="AE819" t="n">
        <v>124.6852</v>
      </c>
    </row>
    <row r="820">
      <c r="A820" s="87" t="n">
        <v>43525</v>
      </c>
      <c r="B820" t="n">
        <v>119.8081</v>
      </c>
      <c r="C820" t="n">
        <v/>
      </c>
      <c r="D820" t="n">
        <v>128.1073</v>
      </c>
      <c r="E820" t="n">
        <v/>
      </c>
      <c r="F820" t="n">
        <v/>
      </c>
      <c r="G820" t="n">
        <v/>
      </c>
      <c r="H820" t="n">
        <v>128.945</v>
      </c>
      <c r="I820" t="n">
        <v>110.3216</v>
      </c>
      <c r="J820" t="n">
        <v>130.869</v>
      </c>
      <c r="K820" t="n">
        <v/>
      </c>
      <c r="L820" t="n">
        <v>117.4735</v>
      </c>
      <c r="M820" t="n">
        <v>120.3605</v>
      </c>
      <c r="N820" t="n">
        <v>136.8196</v>
      </c>
      <c r="O820" t="n">
        <v/>
      </c>
      <c r="P820" t="n">
        <v/>
      </c>
      <c r="Q820" t="n">
        <v>109.9536</v>
      </c>
      <c r="R820" t="n">
        <v>121.7272</v>
      </c>
      <c r="S820" t="n">
        <v>110.5355</v>
      </c>
      <c r="T820" t="n">
        <v>130.1355</v>
      </c>
      <c r="U820" t="n">
        <v/>
      </c>
      <c r="V820" t="n">
        <v>120.1252</v>
      </c>
      <c r="W820" t="n">
        <v/>
      </c>
      <c r="X820" t="n">
        <v>123.0259</v>
      </c>
      <c r="Y820" t="n">
        <v>132.3275</v>
      </c>
      <c r="Z820" t="n">
        <v/>
      </c>
      <c r="AA820" t="n">
        <v>133.9404</v>
      </c>
      <c r="AB820" t="n">
        <v/>
      </c>
      <c r="AC820" t="n">
        <v/>
      </c>
      <c r="AD820" t="n">
        <v>120.4631</v>
      </c>
      <c r="AE820" t="n">
        <v>126.1364</v>
      </c>
    </row>
    <row r="821">
      <c r="A821" s="87" t="n">
        <v>43556</v>
      </c>
      <c r="B821" t="n">
        <v>120.2451</v>
      </c>
      <c r="C821" t="n">
        <v/>
      </c>
      <c r="D821" t="n">
        <v>129.1842</v>
      </c>
      <c r="E821" t="n">
        <v/>
      </c>
      <c r="F821" t="n">
        <v/>
      </c>
      <c r="G821" t="n">
        <v/>
      </c>
      <c r="H821" t="n">
        <v>130.1397</v>
      </c>
      <c r="I821" t="n">
        <v>109.7599</v>
      </c>
      <c r="J821" t="n">
        <v>131.6797</v>
      </c>
      <c r="K821" t="n">
        <v/>
      </c>
      <c r="L821" t="n">
        <v>118.4279</v>
      </c>
      <c r="M821" t="n">
        <v>120.5737</v>
      </c>
      <c r="N821" t="n">
        <v>137.6471</v>
      </c>
      <c r="O821" t="n">
        <v/>
      </c>
      <c r="P821" t="n">
        <v/>
      </c>
      <c r="Q821" t="n">
        <v>110.3307</v>
      </c>
      <c r="R821" t="n">
        <v>122.5942</v>
      </c>
      <c r="S821" t="n">
        <v>110.6687</v>
      </c>
      <c r="T821" t="n">
        <v>131.2129</v>
      </c>
      <c r="U821" t="n">
        <v/>
      </c>
      <c r="V821" t="n">
        <v>120.375</v>
      </c>
      <c r="W821" t="n">
        <v/>
      </c>
      <c r="X821" t="n">
        <v>123.3898</v>
      </c>
      <c r="Y821" t="n">
        <v>132.6532</v>
      </c>
      <c r="Z821" t="n">
        <v/>
      </c>
      <c r="AA821" t="n">
        <v>134.8661</v>
      </c>
      <c r="AB821" t="n">
        <v/>
      </c>
      <c r="AC821" t="n">
        <v/>
      </c>
      <c r="AD821" t="n">
        <v>120.7213</v>
      </c>
      <c r="AE821" t="n">
        <v>128.0404</v>
      </c>
    </row>
    <row r="822">
      <c r="A822" s="87" t="n">
        <v>43586</v>
      </c>
      <c r="B822" t="n">
        <v>120.2423</v>
      </c>
      <c r="C822" t="n">
        <v/>
      </c>
      <c r="D822" t="n">
        <v>129.183</v>
      </c>
      <c r="E822" t="n">
        <v/>
      </c>
      <c r="F822" t="n">
        <v/>
      </c>
      <c r="G822" t="n">
        <v/>
      </c>
      <c r="H822" t="n">
        <v>131.0456</v>
      </c>
      <c r="I822" t="n">
        <v>108.8297</v>
      </c>
      <c r="J822" t="n">
        <v>133.3386</v>
      </c>
      <c r="K822" t="n">
        <v/>
      </c>
      <c r="L822" t="n">
        <v>119.1582</v>
      </c>
      <c r="M822" t="n">
        <v>120.8641</v>
      </c>
      <c r="N822" t="n">
        <v>139.4727</v>
      </c>
      <c r="O822" t="n">
        <v/>
      </c>
      <c r="P822" t="n">
        <v/>
      </c>
      <c r="Q822" t="n">
        <v>110.6381</v>
      </c>
      <c r="R822" t="n">
        <v>123.6069</v>
      </c>
      <c r="S822" t="n">
        <v>110.872</v>
      </c>
      <c r="T822" t="n">
        <v>132.1298</v>
      </c>
      <c r="U822" t="n">
        <v/>
      </c>
      <c r="V822" t="n">
        <v>121.0175</v>
      </c>
      <c r="W822" t="n">
        <v/>
      </c>
      <c r="X822" t="n">
        <v>124.0449</v>
      </c>
      <c r="Y822" t="n">
        <v>133.2392</v>
      </c>
      <c r="Z822" t="n">
        <v/>
      </c>
      <c r="AA822" t="n">
        <v>135.4271</v>
      </c>
      <c r="AB822" t="n">
        <v/>
      </c>
      <c r="AC822" t="n">
        <v/>
      </c>
      <c r="AD822" t="n">
        <v>121.5698</v>
      </c>
      <c r="AE822" t="n">
        <v>129.1637</v>
      </c>
    </row>
    <row r="823">
      <c r="A823" s="87" t="n">
        <v>43617</v>
      </c>
      <c r="B823" t="n">
        <v>120.2031</v>
      </c>
      <c r="C823" t="n">
        <v/>
      </c>
      <c r="D823" t="n">
        <v>129.677</v>
      </c>
      <c r="E823" t="n">
        <v/>
      </c>
      <c r="F823" t="n">
        <v/>
      </c>
      <c r="G823" t="n">
        <v/>
      </c>
      <c r="H823" t="n">
        <v>131.8208</v>
      </c>
      <c r="I823" t="n">
        <v>108.1451</v>
      </c>
      <c r="J823" t="n">
        <v>134.1232</v>
      </c>
      <c r="K823" t="n">
        <v/>
      </c>
      <c r="L823" t="n">
        <v>119.8567</v>
      </c>
      <c r="M823" t="n">
        <v>121.1576</v>
      </c>
      <c r="N823" t="n">
        <v>139.9269</v>
      </c>
      <c r="O823" t="n">
        <v/>
      </c>
      <c r="P823" t="n">
        <v/>
      </c>
      <c r="Q823" t="n">
        <v>110.9913</v>
      </c>
      <c r="R823" t="n">
        <v>124.0433</v>
      </c>
      <c r="S823" t="n">
        <v>110.9663</v>
      </c>
      <c r="T823" t="n">
        <v>132.8957</v>
      </c>
      <c r="U823" t="n">
        <v/>
      </c>
      <c r="V823" t="n">
        <v>121.613</v>
      </c>
      <c r="W823" t="n">
        <v/>
      </c>
      <c r="X823" t="n">
        <v>124.7298</v>
      </c>
      <c r="Y823" t="n">
        <v>133.6471</v>
      </c>
      <c r="Z823" t="n">
        <v/>
      </c>
      <c r="AA823" t="n">
        <v>136.5327</v>
      </c>
      <c r="AB823" t="n">
        <v/>
      </c>
      <c r="AC823" t="n">
        <v/>
      </c>
      <c r="AD823" t="n">
        <v>122.5204</v>
      </c>
      <c r="AE823" t="n">
        <v>129.5154</v>
      </c>
    </row>
    <row r="824">
      <c r="A824" s="87" t="n">
        <v>43647</v>
      </c>
      <c r="B824" t="n">
        <v>119.5083</v>
      </c>
      <c r="C824" t="n">
        <v/>
      </c>
      <c r="D824" t="n">
        <v>130.3833</v>
      </c>
      <c r="E824" t="n">
        <v/>
      </c>
      <c r="F824" t="n">
        <v/>
      </c>
      <c r="G824" t="n">
        <v/>
      </c>
      <c r="H824" t="n">
        <v>132.5937</v>
      </c>
      <c r="I824" t="n">
        <v>108.2046</v>
      </c>
      <c r="J824" t="n">
        <v>134.3413</v>
      </c>
      <c r="K824" t="n">
        <v/>
      </c>
      <c r="L824" t="n">
        <v>120.4304</v>
      </c>
      <c r="M824" t="n">
        <v>121.4418</v>
      </c>
      <c r="N824" t="n">
        <v>139.6954</v>
      </c>
      <c r="O824" t="n">
        <v/>
      </c>
      <c r="P824" t="n">
        <v/>
      </c>
      <c r="Q824" t="n">
        <v>109.8995</v>
      </c>
      <c r="R824" t="n">
        <v>124.1972</v>
      </c>
      <c r="S824" t="n">
        <v>111.1613</v>
      </c>
      <c r="T824" t="n">
        <v>133.8487</v>
      </c>
      <c r="U824" t="n">
        <v/>
      </c>
      <c r="V824" t="n">
        <v>122.0122</v>
      </c>
      <c r="W824" t="n">
        <v/>
      </c>
      <c r="X824" t="n">
        <v>125.2607</v>
      </c>
      <c r="Y824" t="n">
        <v>133.8943</v>
      </c>
      <c r="Z824" t="n">
        <v/>
      </c>
      <c r="AA824" t="n">
        <v>137.5602</v>
      </c>
      <c r="AB824" t="n">
        <v/>
      </c>
      <c r="AC824" t="n">
        <v/>
      </c>
      <c r="AD824" t="n">
        <v>123.2086</v>
      </c>
      <c r="AE824" t="n">
        <v>130.0512</v>
      </c>
    </row>
    <row r="825">
      <c r="A825" s="87" t="n">
        <v>43678</v>
      </c>
      <c r="B825" t="n">
        <v>119.0292</v>
      </c>
      <c r="C825" t="n">
        <v/>
      </c>
      <c r="D825" t="n">
        <v>131.6434</v>
      </c>
      <c r="E825" t="n">
        <v/>
      </c>
      <c r="F825" t="n">
        <v/>
      </c>
      <c r="G825" t="n">
        <v/>
      </c>
      <c r="H825" t="n">
        <v>133.7351</v>
      </c>
      <c r="I825" t="n">
        <v>108.6909</v>
      </c>
      <c r="J825" t="n">
        <v>135.4179</v>
      </c>
      <c r="K825" t="n">
        <v/>
      </c>
      <c r="L825" t="n">
        <v>121.2406</v>
      </c>
      <c r="M825" t="n">
        <v>121.9336</v>
      </c>
      <c r="N825" t="n">
        <v>141.1068</v>
      </c>
      <c r="O825" t="n">
        <v/>
      </c>
      <c r="P825" t="n">
        <v/>
      </c>
      <c r="Q825" t="n">
        <v>108.7908</v>
      </c>
      <c r="R825" t="n">
        <v>124.3522</v>
      </c>
      <c r="S825" t="n">
        <v>111.3583</v>
      </c>
      <c r="T825" t="n">
        <v>134.8647</v>
      </c>
      <c r="U825" t="n">
        <v/>
      </c>
      <c r="V825" t="n">
        <v>123.3637</v>
      </c>
      <c r="W825" t="n">
        <v/>
      </c>
      <c r="X825" t="n">
        <v>125.8471</v>
      </c>
      <c r="Y825" t="n">
        <v>134.6031</v>
      </c>
      <c r="Z825" t="n">
        <v/>
      </c>
      <c r="AA825" t="n">
        <v>138.1096</v>
      </c>
      <c r="AB825" t="n">
        <v/>
      </c>
      <c r="AC825" t="n">
        <v/>
      </c>
      <c r="AD825" t="n">
        <v>123.823</v>
      </c>
      <c r="AE825" t="n">
        <v>130.8189</v>
      </c>
    </row>
    <row r="826">
      <c r="A826" s="87" t="n">
        <v>43709</v>
      </c>
      <c r="B826" t="n">
        <v>119.4046</v>
      </c>
      <c r="C826" t="n">
        <v/>
      </c>
      <c r="D826" t="n">
        <v>132.3627</v>
      </c>
      <c r="E826" t="n">
        <v/>
      </c>
      <c r="F826" t="n">
        <v/>
      </c>
      <c r="G826" t="n">
        <v/>
      </c>
      <c r="H826" t="n">
        <v>135.4708</v>
      </c>
      <c r="I826" t="n">
        <v>109.6215</v>
      </c>
      <c r="J826" t="n">
        <v>136.1377</v>
      </c>
      <c r="K826" t="n">
        <v/>
      </c>
      <c r="L826" t="n">
        <v>121.6352</v>
      </c>
      <c r="M826" t="n">
        <v>121.9728</v>
      </c>
      <c r="N826" t="n">
        <v>142.4028</v>
      </c>
      <c r="O826" t="n">
        <v/>
      </c>
      <c r="P826" t="n">
        <v/>
      </c>
      <c r="Q826" t="n">
        <v>109.2616</v>
      </c>
      <c r="R826" t="n">
        <v>124.9884</v>
      </c>
      <c r="S826" t="n">
        <v>111.6052</v>
      </c>
      <c r="T826" t="n">
        <v>135.7226</v>
      </c>
      <c r="U826" t="n">
        <v/>
      </c>
      <c r="V826" t="n">
        <v>123.6488</v>
      </c>
      <c r="W826" t="n">
        <v/>
      </c>
      <c r="X826" t="n">
        <v>126.4938</v>
      </c>
      <c r="Y826" t="n">
        <v>134.8185</v>
      </c>
      <c r="Z826" t="n">
        <v/>
      </c>
      <c r="AA826" t="n">
        <v>139.2842</v>
      </c>
      <c r="AB826" t="n">
        <v/>
      </c>
      <c r="AC826" t="n">
        <v/>
      </c>
      <c r="AD826" t="n">
        <v>124.5992</v>
      </c>
      <c r="AE826" t="n">
        <v>131.1902</v>
      </c>
    </row>
    <row r="827">
      <c r="A827" s="87" t="n">
        <v>43739</v>
      </c>
      <c r="B827" t="n">
        <v>119.8893</v>
      </c>
      <c r="C827" t="n">
        <v/>
      </c>
      <c r="D827" t="n">
        <v>133.5649</v>
      </c>
      <c r="E827" t="n">
        <v/>
      </c>
      <c r="F827" t="n">
        <v/>
      </c>
      <c r="G827" t="n">
        <v/>
      </c>
      <c r="H827" t="n">
        <v>136.6316</v>
      </c>
      <c r="I827" t="n">
        <v>109.4884</v>
      </c>
      <c r="J827" t="n">
        <v>136.7444</v>
      </c>
      <c r="K827" t="n">
        <v/>
      </c>
      <c r="L827" t="n">
        <v>121.7449</v>
      </c>
      <c r="M827" t="n">
        <v>121.3509</v>
      </c>
      <c r="N827" t="n">
        <v>143.582</v>
      </c>
      <c r="O827" t="n">
        <v/>
      </c>
      <c r="P827" t="n">
        <v/>
      </c>
      <c r="Q827" t="n">
        <v>109.8457</v>
      </c>
      <c r="R827" t="n">
        <v>125.9416</v>
      </c>
      <c r="S827" t="n">
        <v>111.8821</v>
      </c>
      <c r="T827" t="n">
        <v>136.4365</v>
      </c>
      <c r="U827" t="n">
        <v/>
      </c>
      <c r="V827" t="n">
        <v>123.2678</v>
      </c>
      <c r="W827" t="n">
        <v/>
      </c>
      <c r="X827" t="n">
        <v>127.2763</v>
      </c>
      <c r="Y827" t="n">
        <v>134.4486</v>
      </c>
      <c r="Z827" t="n">
        <v/>
      </c>
      <c r="AA827" t="n">
        <v>140.3502</v>
      </c>
      <c r="AB827" t="n">
        <v/>
      </c>
      <c r="AC827" t="n">
        <v/>
      </c>
      <c r="AD827" t="n">
        <v>125.7009</v>
      </c>
      <c r="AE827" t="n">
        <v>131.4595</v>
      </c>
    </row>
    <row r="828">
      <c r="A828" s="87" t="n">
        <v>43770</v>
      </c>
      <c r="B828" t="n">
        <v>120.4301</v>
      </c>
      <c r="C828" t="n">
        <v/>
      </c>
      <c r="D828" t="n">
        <v>134.2717</v>
      </c>
      <c r="E828" t="n">
        <v/>
      </c>
      <c r="F828" t="n">
        <v/>
      </c>
      <c r="G828" t="n">
        <v/>
      </c>
      <c r="H828" t="n">
        <v>137.8496</v>
      </c>
      <c r="I828" t="n">
        <v>108.8645</v>
      </c>
      <c r="J828" t="n">
        <v>137.9789</v>
      </c>
      <c r="K828" t="n">
        <v/>
      </c>
      <c r="L828" t="n">
        <v>122.494</v>
      </c>
      <c r="M828" t="n">
        <v>121.404</v>
      </c>
      <c r="N828" t="n">
        <v>145.1802</v>
      </c>
      <c r="O828" t="n">
        <v/>
      </c>
      <c r="P828" t="n">
        <v/>
      </c>
      <c r="Q828" t="n">
        <v>110.488</v>
      </c>
      <c r="R828" t="n">
        <v>126.8598</v>
      </c>
      <c r="S828" t="n">
        <v>112.2433</v>
      </c>
      <c r="T828" t="n">
        <v>137.2464</v>
      </c>
      <c r="U828" t="n">
        <v/>
      </c>
      <c r="V828" t="n">
        <v>123.7453</v>
      </c>
      <c r="W828" t="n">
        <v/>
      </c>
      <c r="X828" t="n">
        <v>127.9865</v>
      </c>
      <c r="Y828" t="n">
        <v>134.8195</v>
      </c>
      <c r="Z828" t="n">
        <v/>
      </c>
      <c r="AA828" t="n">
        <v>141.2466</v>
      </c>
      <c r="AB828" t="n">
        <v/>
      </c>
      <c r="AC828" t="n">
        <v/>
      </c>
      <c r="AD828" t="n">
        <v>126.5427</v>
      </c>
      <c r="AE828" t="n">
        <v>132.0626</v>
      </c>
    </row>
    <row r="829">
      <c r="A829" s="87" t="n">
        <v>43800</v>
      </c>
      <c r="B829" t="n">
        <v>120.8307</v>
      </c>
      <c r="C829" t="n">
        <v/>
      </c>
      <c r="D829" t="n">
        <v>135.508</v>
      </c>
      <c r="E829" t="n">
        <v/>
      </c>
      <c r="F829" t="n">
        <v/>
      </c>
      <c r="G829" t="n">
        <v/>
      </c>
      <c r="H829" t="n">
        <v>138.4277</v>
      </c>
      <c r="I829" t="n">
        <v>111.5771</v>
      </c>
      <c r="J829" t="n">
        <v>137.9657</v>
      </c>
      <c r="K829" t="n">
        <v/>
      </c>
      <c r="L829" t="n">
        <v>122.7654</v>
      </c>
      <c r="M829" t="n">
        <v>121.9418</v>
      </c>
      <c r="N829" t="n">
        <v>145.8889</v>
      </c>
      <c r="O829" t="n">
        <v/>
      </c>
      <c r="P829" t="n">
        <v/>
      </c>
      <c r="Q829" t="n">
        <v>111.1854</v>
      </c>
      <c r="R829" t="n">
        <v>127.7482</v>
      </c>
      <c r="S829" t="n">
        <v>112.5381</v>
      </c>
      <c r="T829" t="n">
        <v>137.8909</v>
      </c>
      <c r="U829" t="n">
        <v/>
      </c>
      <c r="V829" t="n">
        <v>124.0303</v>
      </c>
      <c r="W829" t="n">
        <v/>
      </c>
      <c r="X829" t="n">
        <v>128.6062</v>
      </c>
      <c r="Y829" t="n">
        <v>135.3684</v>
      </c>
      <c r="Z829" t="n">
        <v/>
      </c>
      <c r="AA829" t="n">
        <v>142.282</v>
      </c>
      <c r="AB829" t="n">
        <v/>
      </c>
      <c r="AC829" t="n">
        <v/>
      </c>
      <c r="AD829" t="n">
        <v>127.1945</v>
      </c>
      <c r="AE829" t="n">
        <v>132.1167</v>
      </c>
    </row>
    <row r="830">
      <c r="A830" s="87" t="n">
        <v>43831</v>
      </c>
      <c r="B830" t="n">
        <v>121.2397</v>
      </c>
      <c r="C830" t="n">
        <v/>
      </c>
      <c r="D830" t="n">
        <v>136.166</v>
      </c>
      <c r="E830" t="n">
        <v/>
      </c>
      <c r="F830" t="n">
        <v/>
      </c>
      <c r="G830" t="n">
        <v/>
      </c>
      <c r="H830" t="n">
        <v>138.5266</v>
      </c>
      <c r="I830" t="n">
        <v>115.1576</v>
      </c>
      <c r="J830" t="n">
        <v>138.4588</v>
      </c>
      <c r="K830" t="n">
        <v/>
      </c>
      <c r="L830" t="n">
        <v>122.5854</v>
      </c>
      <c r="M830" t="n">
        <v>122.3124</v>
      </c>
      <c r="N830" t="n">
        <v>147.1056</v>
      </c>
      <c r="O830" t="n">
        <v/>
      </c>
      <c r="P830" t="n">
        <v/>
      </c>
      <c r="Q830" t="n">
        <v>111.9834</v>
      </c>
      <c r="R830" t="n">
        <v>128.487</v>
      </c>
      <c r="S830" t="n">
        <v>112.76</v>
      </c>
      <c r="T830" t="n">
        <v>138.6937</v>
      </c>
      <c r="U830" t="n">
        <v/>
      </c>
      <c r="V830" t="n">
        <v>124.1792</v>
      </c>
      <c r="W830" t="n">
        <v/>
      </c>
      <c r="X830" t="n">
        <v>129.1623</v>
      </c>
      <c r="Y830" t="n">
        <v/>
      </c>
      <c r="Z830" t="n">
        <v/>
      </c>
      <c r="AA830" t="n">
        <v>142.314</v>
      </c>
      <c r="AB830" t="n">
        <v/>
      </c>
      <c r="AC830" t="n">
        <v/>
      </c>
      <c r="AD830" t="n">
        <v>127.8196</v>
      </c>
      <c r="AE830" t="n">
        <v>132.4212</v>
      </c>
    </row>
    <row r="831">
      <c r="A831" s="87" t="n">
        <v>43862</v>
      </c>
      <c r="B831" t="n">
        <v>121.8085</v>
      </c>
      <c r="C831" t="n">
        <v/>
      </c>
      <c r="D831" t="n">
        <v>137.1114</v>
      </c>
      <c r="E831" t="n">
        <v/>
      </c>
      <c r="F831" t="n">
        <v/>
      </c>
      <c r="G831" t="n">
        <v/>
      </c>
      <c r="H831" t="n">
        <v>139.813</v>
      </c>
      <c r="I831" t="n">
        <v>115.8627</v>
      </c>
      <c r="J831" t="n">
        <v>140.3484</v>
      </c>
      <c r="K831" t="n">
        <v/>
      </c>
      <c r="L831" t="n">
        <v>123.0829</v>
      </c>
      <c r="M831" t="n">
        <v>123.1619</v>
      </c>
      <c r="N831" t="n">
        <v>149.1451</v>
      </c>
      <c r="O831" t="n">
        <v/>
      </c>
      <c r="P831" t="n">
        <v/>
      </c>
      <c r="Q831" t="n">
        <v>112.9041</v>
      </c>
      <c r="R831" t="n">
        <v>129.2552</v>
      </c>
      <c r="S831" t="n">
        <v>113.0118</v>
      </c>
      <c r="T831" t="n">
        <v>139.86</v>
      </c>
      <c r="U831" t="n">
        <v/>
      </c>
      <c r="V831" t="n">
        <v>124.7547</v>
      </c>
      <c r="W831" t="n">
        <v/>
      </c>
      <c r="X831" t="n">
        <v>129.7449</v>
      </c>
      <c r="Y831" t="n">
        <v/>
      </c>
      <c r="Z831" t="n">
        <v/>
      </c>
      <c r="AA831" t="n">
        <v>142.2634</v>
      </c>
      <c r="AB831" t="n">
        <v/>
      </c>
      <c r="AC831" t="n">
        <v/>
      </c>
      <c r="AD831" t="n">
        <v>128.2704</v>
      </c>
      <c r="AE831" t="n">
        <v>133.887</v>
      </c>
    </row>
    <row r="832">
      <c r="A832" s="87" t="n">
        <v>43891</v>
      </c>
      <c r="B832" t="n">
        <v>123.8481</v>
      </c>
      <c r="C832" t="n">
        <v/>
      </c>
      <c r="D832" t="n">
        <v>141.2077</v>
      </c>
      <c r="E832" t="n">
        <v/>
      </c>
      <c r="F832" t="n">
        <v/>
      </c>
      <c r="G832" t="n">
        <v/>
      </c>
      <c r="H832" t="n">
        <v>144.0215</v>
      </c>
      <c r="I832" t="n">
        <v>117.1237</v>
      </c>
      <c r="J832" t="n">
        <v>142.8917</v>
      </c>
      <c r="K832" t="n">
        <v/>
      </c>
      <c r="L832" t="n">
        <v>125.1848</v>
      </c>
      <c r="M832" t="n">
        <v>127.1705</v>
      </c>
      <c r="N832" t="n">
        <v>151.9399</v>
      </c>
      <c r="O832" t="n">
        <v/>
      </c>
      <c r="P832" t="n">
        <v/>
      </c>
      <c r="Q832" t="n">
        <v>113.9457</v>
      </c>
      <c r="R832" t="n">
        <v>133.8683</v>
      </c>
      <c r="S832" t="n">
        <v>113.4442</v>
      </c>
      <c r="T832" t="n">
        <v>140.9297</v>
      </c>
      <c r="U832" t="n">
        <v/>
      </c>
      <c r="V832" t="n">
        <v>128.0392</v>
      </c>
      <c r="W832" t="n">
        <v/>
      </c>
      <c r="X832" t="n">
        <v>133.2124</v>
      </c>
      <c r="Y832" t="n">
        <v/>
      </c>
      <c r="Z832" t="n">
        <v/>
      </c>
      <c r="AA832" t="n">
        <v>144.0294</v>
      </c>
      <c r="AB832" t="n">
        <v/>
      </c>
      <c r="AC832" t="n">
        <v/>
      </c>
      <c r="AD832" t="n">
        <v>132.6573</v>
      </c>
      <c r="AE832" t="n">
        <v>137.009</v>
      </c>
    </row>
    <row r="833">
      <c r="A833" s="87" t="n">
        <v>43922</v>
      </c>
      <c r="B833" t="n">
        <v>127.4174</v>
      </c>
      <c r="C833" t="n">
        <v/>
      </c>
      <c r="D833" t="n">
        <v>146.1079</v>
      </c>
      <c r="E833" t="n">
        <v/>
      </c>
      <c r="F833" t="n">
        <v/>
      </c>
      <c r="G833" t="n">
        <v/>
      </c>
      <c r="H833" t="n">
        <v>149.2839</v>
      </c>
      <c r="I833" t="n">
        <v>119.5963</v>
      </c>
      <c r="J833" t="n">
        <v>145.0838</v>
      </c>
      <c r="K833" t="n">
        <v/>
      </c>
      <c r="L833" t="n">
        <v>127.6361</v>
      </c>
      <c r="M833" t="n">
        <v>130.9335</v>
      </c>
      <c r="N833" t="n">
        <v>154.8096</v>
      </c>
      <c r="O833" t="n">
        <v/>
      </c>
      <c r="P833" t="n">
        <v/>
      </c>
      <c r="Q833" t="n">
        <v>115.092</v>
      </c>
      <c r="R833" t="n">
        <v>138.9704</v>
      </c>
      <c r="S833" t="n">
        <v>113.9521</v>
      </c>
      <c r="T833" t="n">
        <v>142.0995</v>
      </c>
      <c r="U833" t="n">
        <v/>
      </c>
      <c r="V833" t="n">
        <v>132.0657</v>
      </c>
      <c r="W833" t="n">
        <v/>
      </c>
      <c r="X833" t="n">
        <v>139.1024</v>
      </c>
      <c r="Y833" t="n">
        <v/>
      </c>
      <c r="Z833" t="n">
        <v/>
      </c>
      <c r="AA833" t="n">
        <v>149.2072</v>
      </c>
      <c r="AB833" t="n">
        <v/>
      </c>
      <c r="AC833" t="n">
        <v/>
      </c>
      <c r="AD833" t="n">
        <v>141.1163</v>
      </c>
      <c r="AE833" t="n">
        <v>140.8256</v>
      </c>
    </row>
    <row r="834">
      <c r="A834" s="87" t="n">
        <v>43952</v>
      </c>
      <c r="B834" t="n">
        <v>129.4458</v>
      </c>
      <c r="C834" t="n">
        <v/>
      </c>
      <c r="D834" t="n">
        <v>148.3834</v>
      </c>
      <c r="E834" t="n">
        <v/>
      </c>
      <c r="F834" t="n">
        <v/>
      </c>
      <c r="G834" t="n">
        <v/>
      </c>
      <c r="H834" t="n">
        <v>152.0796</v>
      </c>
      <c r="I834" t="n">
        <v>122.3769</v>
      </c>
      <c r="J834" t="n">
        <v>146.1422</v>
      </c>
      <c r="K834" t="n">
        <v/>
      </c>
      <c r="L834" t="n">
        <v>129.4564</v>
      </c>
      <c r="M834" t="n">
        <v>132.1873</v>
      </c>
      <c r="N834" t="n">
        <v>156.4177</v>
      </c>
      <c r="O834" t="n">
        <v/>
      </c>
      <c r="P834" t="n">
        <v/>
      </c>
      <c r="Q834" t="n">
        <v>116.294</v>
      </c>
      <c r="R834" t="n">
        <v>140.7823</v>
      </c>
      <c r="S834" t="n">
        <v>115.4565</v>
      </c>
      <c r="T834" t="n">
        <v>143.3289</v>
      </c>
      <c r="U834" t="n">
        <v/>
      </c>
      <c r="V834" t="n">
        <v>133.9946</v>
      </c>
      <c r="W834" t="n">
        <v/>
      </c>
      <c r="X834" t="n">
        <v>143.8464</v>
      </c>
      <c r="Y834" t="n">
        <v/>
      </c>
      <c r="Z834" t="n">
        <v/>
      </c>
      <c r="AA834" t="n">
        <v>152.7648</v>
      </c>
      <c r="AB834" t="n">
        <v/>
      </c>
      <c r="AC834" t="n">
        <v/>
      </c>
      <c r="AD834" t="n">
        <v>148.2022</v>
      </c>
      <c r="AE834" t="n">
        <v>142.7611</v>
      </c>
    </row>
    <row r="835">
      <c r="A835" s="87" t="n">
        <v>43983</v>
      </c>
      <c r="B835" t="n">
        <v>129.9838</v>
      </c>
      <c r="C835" t="n">
        <v/>
      </c>
      <c r="D835" t="n">
        <v>150.8164</v>
      </c>
      <c r="E835" t="n">
        <v/>
      </c>
      <c r="F835" t="n">
        <v/>
      </c>
      <c r="G835" t="n">
        <v/>
      </c>
      <c r="H835" t="n">
        <v>153.1966</v>
      </c>
      <c r="I835" t="n">
        <v>126.1579</v>
      </c>
      <c r="J835" t="n">
        <v>147.0545</v>
      </c>
      <c r="K835" t="n">
        <v/>
      </c>
      <c r="L835" t="n">
        <v>130.8404</v>
      </c>
      <c r="M835" t="n">
        <v>133.6348</v>
      </c>
      <c r="N835" t="n">
        <v>158.5115</v>
      </c>
      <c r="O835" t="n">
        <v/>
      </c>
      <c r="P835" t="n">
        <v/>
      </c>
      <c r="Q835" t="n">
        <v>117.4781</v>
      </c>
      <c r="R835" t="n">
        <v>142.1649</v>
      </c>
      <c r="S835" t="n">
        <v>117.4926</v>
      </c>
      <c r="T835" t="n">
        <v>144.2846</v>
      </c>
      <c r="U835" t="n">
        <v/>
      </c>
      <c r="V835" t="n">
        <v>133.6678</v>
      </c>
      <c r="W835" t="n">
        <v/>
      </c>
      <c r="X835" t="n">
        <v>145.8929</v>
      </c>
      <c r="Y835" t="n">
        <v/>
      </c>
      <c r="Z835" t="n">
        <v/>
      </c>
      <c r="AA835" t="n">
        <v>152.8031</v>
      </c>
      <c r="AB835" t="n">
        <v/>
      </c>
      <c r="AC835" t="n">
        <v/>
      </c>
      <c r="AD835" t="n">
        <v>150.5318</v>
      </c>
      <c r="AE835" t="n">
        <v>143.536</v>
      </c>
    </row>
    <row r="836">
      <c r="A836" s="87" t="n">
        <v>44013</v>
      </c>
      <c r="B836" t="n">
        <v>131.0904</v>
      </c>
      <c r="C836" t="n">
        <v/>
      </c>
      <c r="D836" t="n">
        <v>151.147</v>
      </c>
      <c r="E836" t="n">
        <v/>
      </c>
      <c r="F836" t="n">
        <v/>
      </c>
      <c r="G836" t="n">
        <v/>
      </c>
      <c r="H836" t="n">
        <v>153.501</v>
      </c>
      <c r="I836" t="n">
        <v>128.8174</v>
      </c>
      <c r="J836" t="n">
        <v>147.8548</v>
      </c>
      <c r="K836" t="n">
        <v/>
      </c>
      <c r="L836" t="n">
        <v>131.6754</v>
      </c>
      <c r="M836" t="n">
        <v>134.5634</v>
      </c>
      <c r="N836" t="n">
        <v>160.7704</v>
      </c>
      <c r="O836" t="n">
        <v/>
      </c>
      <c r="P836" t="n">
        <v/>
      </c>
      <c r="Q836" t="n">
        <v>118.5918</v>
      </c>
      <c r="R836" t="n">
        <v>143.7597</v>
      </c>
      <c r="S836" t="n">
        <v>118.3992</v>
      </c>
      <c r="T836" t="n">
        <v>145.228</v>
      </c>
      <c r="U836" t="n">
        <v/>
      </c>
      <c r="V836" t="n">
        <v>133.7984</v>
      </c>
      <c r="W836" t="n">
        <v/>
      </c>
      <c r="X836" t="n">
        <v>147.0186</v>
      </c>
      <c r="Y836" t="n">
        <v/>
      </c>
      <c r="Z836" t="n">
        <v/>
      </c>
      <c r="AA836" t="n">
        <v>154.3938</v>
      </c>
      <c r="AB836" t="n">
        <v/>
      </c>
      <c r="AC836" t="n">
        <v/>
      </c>
      <c r="AD836" t="n">
        <v>151.8153</v>
      </c>
      <c r="AE836" t="n">
        <v>144.1172</v>
      </c>
    </row>
    <row r="837">
      <c r="A837" s="87" t="n">
        <v>44044</v>
      </c>
      <c r="B837" t="n">
        <v>132.5809</v>
      </c>
      <c r="C837" t="n">
        <v/>
      </c>
      <c r="D837" t="n">
        <v>151.8725</v>
      </c>
      <c r="E837" t="n">
        <v/>
      </c>
      <c r="F837" t="n">
        <v/>
      </c>
      <c r="G837" t="n">
        <v/>
      </c>
      <c r="H837" t="n">
        <v>154.0085</v>
      </c>
      <c r="I837" t="n">
        <v>130.7247</v>
      </c>
      <c r="J837" t="n">
        <v>148.9332</v>
      </c>
      <c r="K837" t="n">
        <v/>
      </c>
      <c r="L837" t="n">
        <v>132.2128</v>
      </c>
      <c r="M837" t="n">
        <v>134.5768</v>
      </c>
      <c r="N837" t="n">
        <v>163.0602</v>
      </c>
      <c r="O837" t="n">
        <v/>
      </c>
      <c r="P837" t="n">
        <v/>
      </c>
      <c r="Q837" t="n">
        <v>119.5895</v>
      </c>
      <c r="R837" t="n">
        <v>146.3724</v>
      </c>
      <c r="S837" t="n">
        <v>119.2543</v>
      </c>
      <c r="T837" t="n">
        <v>145.8374</v>
      </c>
      <c r="U837" t="n">
        <v/>
      </c>
      <c r="V837" t="n">
        <v>135.2283</v>
      </c>
      <c r="W837" t="n">
        <v/>
      </c>
      <c r="X837" t="n">
        <v>147.6492</v>
      </c>
      <c r="Y837" t="n">
        <v/>
      </c>
      <c r="Z837" t="n">
        <v/>
      </c>
      <c r="AA837" t="n">
        <v>157.3717</v>
      </c>
      <c r="AB837" t="n">
        <v/>
      </c>
      <c r="AC837" t="n">
        <v/>
      </c>
      <c r="AD837" t="n">
        <v>152.3109</v>
      </c>
      <c r="AE837" t="n">
        <v>144.893</v>
      </c>
    </row>
    <row r="838">
      <c r="A838" s="87" t="n">
        <v>44075</v>
      </c>
      <c r="B838" t="n">
        <v>133.7408</v>
      </c>
      <c r="C838" t="n">
        <v/>
      </c>
      <c r="D838" t="n">
        <v>152.9202</v>
      </c>
      <c r="E838" t="n">
        <v/>
      </c>
      <c r="F838" t="n">
        <v/>
      </c>
      <c r="G838" t="n">
        <v/>
      </c>
      <c r="H838" t="n">
        <v>154.9538</v>
      </c>
      <c r="I838" t="n">
        <v>132.1519</v>
      </c>
      <c r="J838" t="n">
        <v>150.6759</v>
      </c>
      <c r="K838" t="n">
        <v/>
      </c>
      <c r="L838" t="n">
        <v>132.7231</v>
      </c>
      <c r="M838" t="n">
        <v>134.8407</v>
      </c>
      <c r="N838" t="n">
        <v>165.6684</v>
      </c>
      <c r="O838" t="n">
        <v/>
      </c>
      <c r="P838" t="n">
        <v/>
      </c>
      <c r="Q838" t="n">
        <v>120.3922</v>
      </c>
      <c r="R838" t="n">
        <v>149.2062</v>
      </c>
      <c r="S838" t="n">
        <v>119.9084</v>
      </c>
      <c r="T838" t="n">
        <v>146.3757</v>
      </c>
      <c r="U838" t="n">
        <v/>
      </c>
      <c r="V838" t="n">
        <v>135.9489</v>
      </c>
      <c r="W838" t="n">
        <v/>
      </c>
      <c r="X838" t="n">
        <v>149.0891</v>
      </c>
      <c r="Y838" t="n">
        <v/>
      </c>
      <c r="Z838" t="n">
        <v/>
      </c>
      <c r="AA838" t="n">
        <v>159.7042</v>
      </c>
      <c r="AB838" t="n">
        <v/>
      </c>
      <c r="AC838" t="n">
        <v/>
      </c>
      <c r="AD838" t="n">
        <v>154.2312</v>
      </c>
      <c r="AE838" t="n">
        <v>144.5765</v>
      </c>
    </row>
    <row r="839">
      <c r="A839" s="87" t="n">
        <v>44105</v>
      </c>
      <c r="B839" t="n">
        <v>134.5029</v>
      </c>
      <c r="C839" t="n">
        <v/>
      </c>
      <c r="D839" t="n">
        <v>149.9626</v>
      </c>
      <c r="E839" t="n">
        <v/>
      </c>
      <c r="F839" t="n">
        <v/>
      </c>
      <c r="G839" t="n">
        <v/>
      </c>
      <c r="H839" t="n">
        <v>156.0049</v>
      </c>
      <c r="I839" t="n">
        <v>133.1186</v>
      </c>
      <c r="J839" t="n">
        <v>152.4343</v>
      </c>
      <c r="K839" t="n">
        <v/>
      </c>
      <c r="L839" t="n">
        <v>133.6894</v>
      </c>
      <c r="M839" t="n">
        <v>135.146</v>
      </c>
      <c r="N839" t="n">
        <v>168.2119</v>
      </c>
      <c r="O839" t="n">
        <v/>
      </c>
      <c r="P839" t="n">
        <v/>
      </c>
      <c r="Q839" t="n">
        <v>121.0558</v>
      </c>
      <c r="R839" t="n">
        <v>151.4179</v>
      </c>
      <c r="S839" t="n">
        <v>120.331</v>
      </c>
      <c r="T839" t="n">
        <v>147.6214</v>
      </c>
      <c r="U839" t="n">
        <v/>
      </c>
      <c r="V839" t="n">
        <v>137.3487</v>
      </c>
      <c r="W839" t="n">
        <v/>
      </c>
      <c r="X839" t="n">
        <v>149.9581</v>
      </c>
      <c r="Y839" t="n">
        <v/>
      </c>
      <c r="Z839" t="n">
        <v/>
      </c>
      <c r="AA839" t="n">
        <v>162.4252</v>
      </c>
      <c r="AB839" t="n">
        <v/>
      </c>
      <c r="AC839" t="n">
        <v/>
      </c>
      <c r="AD839" t="n">
        <v>155.4914</v>
      </c>
      <c r="AE839" t="n">
        <v>144.166</v>
      </c>
    </row>
    <row r="840">
      <c r="A840" s="87" t="n">
        <v>44136</v>
      </c>
      <c r="B840" t="n">
        <v>135.2761</v>
      </c>
      <c r="C840" t="n">
        <v/>
      </c>
      <c r="D840" t="n">
        <v>150.427</v>
      </c>
      <c r="E840" t="n">
        <v/>
      </c>
      <c r="F840" t="n">
        <v/>
      </c>
      <c r="G840" t="n">
        <v/>
      </c>
      <c r="H840" t="n">
        <v>156.1873</v>
      </c>
      <c r="I840" t="n">
        <v>134.0315</v>
      </c>
      <c r="J840" t="n">
        <v>153.2781</v>
      </c>
      <c r="K840" t="n">
        <v/>
      </c>
      <c r="L840" t="n">
        <v>134.7883</v>
      </c>
      <c r="M840" t="n">
        <v>134.9952</v>
      </c>
      <c r="N840" t="n">
        <v>170.0271</v>
      </c>
      <c r="O840" t="n">
        <v/>
      </c>
      <c r="P840" t="n">
        <v/>
      </c>
      <c r="Q840" t="n">
        <v>121.751</v>
      </c>
      <c r="R840" t="n">
        <v>153.8706</v>
      </c>
      <c r="S840" t="n">
        <v>120.7936</v>
      </c>
      <c r="T840" t="n">
        <v>149.0209</v>
      </c>
      <c r="U840" t="n">
        <v/>
      </c>
      <c r="V840" t="n">
        <v>138.5606</v>
      </c>
      <c r="W840" t="n">
        <v/>
      </c>
      <c r="X840" t="n">
        <v>151.2583</v>
      </c>
      <c r="Y840" t="n">
        <v/>
      </c>
      <c r="Z840" t="n">
        <v/>
      </c>
      <c r="AA840" t="n">
        <v>165.0157</v>
      </c>
      <c r="AB840" t="n">
        <v/>
      </c>
      <c r="AC840" t="n">
        <v/>
      </c>
      <c r="AD840" t="n">
        <v>157.3196</v>
      </c>
      <c r="AE840" t="n">
        <v>143.9627</v>
      </c>
    </row>
    <row r="841">
      <c r="A841" s="87" t="n">
        <v>44166</v>
      </c>
      <c r="B841" t="n">
        <v>136.0046</v>
      </c>
      <c r="C841" t="n">
        <v/>
      </c>
      <c r="D841" t="n">
        <v>151.3105</v>
      </c>
      <c r="E841" t="n">
        <v/>
      </c>
      <c r="F841" t="n">
        <v/>
      </c>
      <c r="G841" t="n">
        <v/>
      </c>
      <c r="H841" t="n">
        <v>156.4813</v>
      </c>
      <c r="I841" t="n">
        <v>134.3769</v>
      </c>
      <c r="J841" t="n">
        <v>152.7728</v>
      </c>
      <c r="K841" t="n">
        <v/>
      </c>
      <c r="L841" t="n">
        <v>135.9303</v>
      </c>
      <c r="M841" t="n">
        <v>136.3401</v>
      </c>
      <c r="N841" t="n">
        <v>173.4811</v>
      </c>
      <c r="O841" t="n">
        <v/>
      </c>
      <c r="P841" t="n">
        <v/>
      </c>
      <c r="Q841" t="n">
        <v>122.5301</v>
      </c>
      <c r="R841" t="n">
        <v>156.2114</v>
      </c>
      <c r="S841" t="n">
        <v>121.2398</v>
      </c>
      <c r="T841" t="n">
        <v>149.5323</v>
      </c>
      <c r="U841" t="n">
        <v/>
      </c>
      <c r="V841" t="n">
        <v>139.195</v>
      </c>
      <c r="W841" t="n">
        <v/>
      </c>
      <c r="X841" t="n">
        <v>152.3918</v>
      </c>
      <c r="Y841" t="n">
        <v/>
      </c>
      <c r="Z841" t="n">
        <v/>
      </c>
      <c r="AA841" t="n">
        <v>165.3276</v>
      </c>
      <c r="AB841" t="n">
        <v/>
      </c>
      <c r="AC841" t="n">
        <v/>
      </c>
      <c r="AD841" t="n">
        <v>158.6886</v>
      </c>
      <c r="AE841" t="n">
        <v>143.8247</v>
      </c>
    </row>
    <row r="842">
      <c r="A842" s="87" t="n">
        <v>44197</v>
      </c>
      <c r="B842" t="n">
        <v>136.663</v>
      </c>
      <c r="C842" t="n">
        <v/>
      </c>
      <c r="D842" t="n">
        <v>152.4127</v>
      </c>
      <c r="E842" t="n">
        <v/>
      </c>
      <c r="F842" t="n">
        <v/>
      </c>
      <c r="G842" t="n">
        <v/>
      </c>
      <c r="H842" t="n">
        <v>157.2384</v>
      </c>
      <c r="I842" t="n">
        <v>135.6562</v>
      </c>
      <c r="J842" t="n">
        <v>153.5782</v>
      </c>
      <c r="K842" t="n">
        <v/>
      </c>
      <c r="L842" t="n">
        <v>136.8496</v>
      </c>
      <c r="M842" t="n">
        <v>137.7023</v>
      </c>
      <c r="N842" t="n">
        <v>177.0211</v>
      </c>
      <c r="O842" t="n">
        <v/>
      </c>
      <c r="P842" t="n">
        <v/>
      </c>
      <c r="Q842" t="n">
        <v>123.3292</v>
      </c>
      <c r="R842" t="n">
        <v>158.1889</v>
      </c>
      <c r="S842" t="n">
        <v>121.7259</v>
      </c>
      <c r="T842" t="n">
        <v>150.1967</v>
      </c>
      <c r="U842" t="n">
        <v/>
      </c>
      <c r="V842" t="n">
        <v>139.8893</v>
      </c>
      <c r="W842" t="n">
        <v/>
      </c>
      <c r="X842" t="n">
        <v>153.9342</v>
      </c>
      <c r="Y842" t="n">
        <v/>
      </c>
      <c r="Z842" t="n">
        <v/>
      </c>
      <c r="AA842" t="n">
        <v>165.4082</v>
      </c>
      <c r="AB842" t="n">
        <v/>
      </c>
      <c r="AC842" t="n">
        <v/>
      </c>
      <c r="AD842" t="n">
        <v>160.7027</v>
      </c>
      <c r="AE842" t="n">
        <v>144.8881</v>
      </c>
    </row>
    <row r="843">
      <c r="A843" s="87" t="n">
        <v>44228</v>
      </c>
      <c r="B843" t="n">
        <v>137.3522</v>
      </c>
      <c r="C843" t="n">
        <v/>
      </c>
      <c r="D843" t="n">
        <v>153.5154</v>
      </c>
      <c r="E843" t="n">
        <v/>
      </c>
      <c r="F843" t="n">
        <v/>
      </c>
      <c r="G843" t="n">
        <v/>
      </c>
      <c r="H843" t="n">
        <v>157.9823</v>
      </c>
      <c r="I843" t="n">
        <v>137.1937</v>
      </c>
      <c r="J843" t="n">
        <v>156.6682</v>
      </c>
      <c r="K843" t="n">
        <v/>
      </c>
      <c r="L843" t="n">
        <v>137.4454</v>
      </c>
      <c r="M843" t="n">
        <v>138.2708</v>
      </c>
      <c r="N843" t="n">
        <v>179.1424</v>
      </c>
      <c r="O843" t="n">
        <v/>
      </c>
      <c r="P843" t="n">
        <v/>
      </c>
      <c r="Q843" t="n">
        <v>124.1201</v>
      </c>
      <c r="R843" t="n">
        <v>160.0323</v>
      </c>
      <c r="S843" t="n">
        <v>122.1499</v>
      </c>
      <c r="T843" t="n">
        <v>151.631</v>
      </c>
      <c r="U843" t="n">
        <v/>
      </c>
      <c r="V843" t="n">
        <v>141.9339</v>
      </c>
      <c r="W843" t="n">
        <v/>
      </c>
      <c r="X843" t="n">
        <v>155.4463</v>
      </c>
      <c r="Y843" t="n">
        <v/>
      </c>
      <c r="Z843" t="n">
        <v/>
      </c>
      <c r="AA843" t="n">
        <v>166.4173</v>
      </c>
      <c r="AB843" t="n">
        <v/>
      </c>
      <c r="AC843" t="n">
        <v/>
      </c>
      <c r="AD843" t="n">
        <v>162.7226</v>
      </c>
      <c r="AE843" t="n">
        <v>145.2005</v>
      </c>
    </row>
    <row r="844">
      <c r="A844" s="87" t="n">
        <v>44256</v>
      </c>
      <c r="B844" t="n">
        <v>137.7836</v>
      </c>
      <c r="C844" t="n">
        <v/>
      </c>
      <c r="D844" t="n">
        <v>154.0865</v>
      </c>
      <c r="E844" t="n">
        <v/>
      </c>
      <c r="F844" t="n">
        <v/>
      </c>
      <c r="G844" t="n">
        <v/>
      </c>
      <c r="H844" t="n">
        <v>159.0802</v>
      </c>
      <c r="I844" t="n">
        <v>137.414</v>
      </c>
      <c r="J844" t="n">
        <v>158.9986</v>
      </c>
      <c r="K844" t="n">
        <v/>
      </c>
      <c r="L844" t="n">
        <v>138.1151</v>
      </c>
      <c r="M844" t="n">
        <v>139.2683</v>
      </c>
      <c r="N844" t="n">
        <v>181.4029</v>
      </c>
      <c r="O844" t="n">
        <v/>
      </c>
      <c r="P844" t="n">
        <v/>
      </c>
      <c r="Q844" t="n">
        <v>124.9445</v>
      </c>
      <c r="R844" t="n">
        <v>161.758</v>
      </c>
      <c r="S844" t="n">
        <v>122.5378</v>
      </c>
      <c r="T844" t="n">
        <v>153.1997</v>
      </c>
      <c r="U844" t="n">
        <v/>
      </c>
      <c r="V844" t="n">
        <v>143.4556</v>
      </c>
      <c r="W844" t="n">
        <v/>
      </c>
      <c r="X844" t="n">
        <v>156.9259</v>
      </c>
      <c r="Y844" t="n">
        <v/>
      </c>
      <c r="Z844" t="n">
        <v/>
      </c>
      <c r="AA844" t="n">
        <v>167.072</v>
      </c>
      <c r="AB844" t="n">
        <v/>
      </c>
      <c r="AC844" t="n">
        <v/>
      </c>
      <c r="AD844" t="n">
        <v>164.7226</v>
      </c>
      <c r="AE844" t="n">
        <v>144.867</v>
      </c>
    </row>
    <row r="845">
      <c r="A845" s="87" t="n">
        <v>44287</v>
      </c>
      <c r="B845" t="n">
        <v>138.117</v>
      </c>
      <c r="C845" t="n">
        <v/>
      </c>
      <c r="D845" t="n">
        <v>154.0481</v>
      </c>
      <c r="E845" t="n">
        <v/>
      </c>
      <c r="F845" t="n">
        <v/>
      </c>
      <c r="G845" t="n">
        <v/>
      </c>
      <c r="H845" t="n">
        <v>160.1803</v>
      </c>
      <c r="I845" t="n">
        <v>137.804</v>
      </c>
      <c r="J845" t="n">
        <v>160.1879</v>
      </c>
      <c r="K845" t="n">
        <v/>
      </c>
      <c r="L845" t="n">
        <v>138.9573</v>
      </c>
      <c r="M845" t="n">
        <v>140.235</v>
      </c>
      <c r="N845" t="n">
        <v>182.6071</v>
      </c>
      <c r="O845" t="n">
        <v/>
      </c>
      <c r="P845" t="n">
        <v/>
      </c>
      <c r="Q845" t="n">
        <v>125.8224</v>
      </c>
      <c r="R845" t="n">
        <v>163.6187</v>
      </c>
      <c r="S845" t="n">
        <v>122.8889</v>
      </c>
      <c r="T845" t="n">
        <v>155.7242</v>
      </c>
      <c r="U845" t="n">
        <v/>
      </c>
      <c r="V845" t="n">
        <v>144.4145</v>
      </c>
      <c r="W845" t="n">
        <v/>
      </c>
      <c r="X845" t="n">
        <v>158.5651</v>
      </c>
      <c r="Y845" t="n">
        <v/>
      </c>
      <c r="Z845" t="n">
        <v/>
      </c>
      <c r="AA845" t="n">
        <v>167.6091</v>
      </c>
      <c r="AB845" t="n">
        <v/>
      </c>
      <c r="AC845" t="n">
        <v/>
      </c>
      <c r="AD845" t="n">
        <v>167.0115</v>
      </c>
      <c r="AE845" t="n">
        <v>144.845</v>
      </c>
    </row>
    <row r="846">
      <c r="A846" s="87" t="n">
        <v>44317</v>
      </c>
      <c r="B846" t="n">
        <v>138.4897</v>
      </c>
      <c r="C846" t="n">
        <v/>
      </c>
      <c r="D846" t="n">
        <v>155.6091</v>
      </c>
      <c r="E846" t="n">
        <v/>
      </c>
      <c r="F846" t="n">
        <v/>
      </c>
      <c r="G846" t="n">
        <v/>
      </c>
      <c r="H846" t="n">
        <v>161.6149</v>
      </c>
      <c r="I846" t="n">
        <v>138.1827</v>
      </c>
      <c r="J846" t="n">
        <v>161.0406</v>
      </c>
      <c r="K846" t="n">
        <v/>
      </c>
      <c r="L846" t="n">
        <v>139.8781</v>
      </c>
      <c r="M846" t="n">
        <v>140.9249</v>
      </c>
      <c r="N846" t="n">
        <v>182.9306</v>
      </c>
      <c r="O846" t="n">
        <v/>
      </c>
      <c r="P846" t="n">
        <v/>
      </c>
      <c r="Q846" t="n">
        <v>126.7349</v>
      </c>
      <c r="R846" t="n">
        <v>165.0412</v>
      </c>
      <c r="S846" t="n">
        <v>123.3768</v>
      </c>
      <c r="T846" t="n">
        <v>156.8199</v>
      </c>
      <c r="U846" t="n">
        <v/>
      </c>
      <c r="V846" t="n">
        <v>146.1534</v>
      </c>
      <c r="W846" t="n">
        <v/>
      </c>
      <c r="X846" t="n">
        <v>160.3696</v>
      </c>
      <c r="Y846" t="n">
        <v/>
      </c>
      <c r="Z846" t="n">
        <v/>
      </c>
      <c r="AA846" t="n">
        <v>169.3424</v>
      </c>
      <c r="AB846" t="n">
        <v/>
      </c>
      <c r="AC846" t="n">
        <v/>
      </c>
      <c r="AD846" t="n">
        <v>169.62</v>
      </c>
      <c r="AE846" t="n">
        <v>145.2732</v>
      </c>
    </row>
    <row r="847">
      <c r="A847" s="87" t="n">
        <v>44348</v>
      </c>
      <c r="B847" t="n">
        <v>139.5179</v>
      </c>
      <c r="C847" t="n">
        <v/>
      </c>
      <c r="D847" t="n">
        <v>156.3948</v>
      </c>
      <c r="E847" t="n">
        <v/>
      </c>
      <c r="F847" t="n">
        <v/>
      </c>
      <c r="G847" t="n">
        <v/>
      </c>
      <c r="H847" t="n">
        <v>163.0797</v>
      </c>
      <c r="I847" t="n">
        <v>138.1856</v>
      </c>
      <c r="J847" t="n">
        <v>161.9499</v>
      </c>
      <c r="K847" t="n">
        <v/>
      </c>
      <c r="L847" t="n">
        <v>140.7337</v>
      </c>
      <c r="M847" t="n">
        <v>141.8069</v>
      </c>
      <c r="N847" t="n">
        <v>184.5085</v>
      </c>
      <c r="O847" t="n">
        <v/>
      </c>
      <c r="P847" t="n">
        <v/>
      </c>
      <c r="Q847" t="n">
        <v>127.7043</v>
      </c>
      <c r="R847" t="n">
        <v>167.2981</v>
      </c>
      <c r="S847" t="n">
        <v>123.5593</v>
      </c>
      <c r="T847" t="n">
        <v>156.9046</v>
      </c>
      <c r="U847" t="n">
        <v/>
      </c>
      <c r="V847" t="n">
        <v>147.0203</v>
      </c>
      <c r="W847" t="n">
        <v/>
      </c>
      <c r="X847" t="n">
        <v>160.9821</v>
      </c>
      <c r="Y847" t="n">
        <v/>
      </c>
      <c r="Z847" t="n">
        <v/>
      </c>
      <c r="AA847" t="n">
        <v>171.4402</v>
      </c>
      <c r="AB847" t="n">
        <v/>
      </c>
      <c r="AC847" t="n">
        <v/>
      </c>
      <c r="AD847" t="n">
        <v>170.2477</v>
      </c>
      <c r="AE847" t="n">
        <v>145.5304</v>
      </c>
    </row>
    <row r="848">
      <c r="A848" s="87" t="n">
        <v>44378</v>
      </c>
      <c r="B848" t="n">
        <v>141.2605</v>
      </c>
      <c r="C848" t="n">
        <v/>
      </c>
      <c r="D848" t="n">
        <v>158.3241</v>
      </c>
      <c r="E848" t="n">
        <v/>
      </c>
      <c r="F848" t="n">
        <v/>
      </c>
      <c r="G848" t="n">
        <v/>
      </c>
      <c r="H848" t="n">
        <v>164.3759</v>
      </c>
      <c r="I848" t="n">
        <v>139.1737</v>
      </c>
      <c r="J848" t="n">
        <v>162.7865</v>
      </c>
      <c r="K848" t="n">
        <v/>
      </c>
      <c r="L848" t="n">
        <v>141.8525</v>
      </c>
      <c r="M848" t="n">
        <v>142.2552</v>
      </c>
      <c r="N848" t="n">
        <v>187.6647</v>
      </c>
      <c r="O848" t="n">
        <v/>
      </c>
      <c r="P848" t="n">
        <v/>
      </c>
      <c r="Q848" t="n">
        <v>128.7641</v>
      </c>
      <c r="R848" t="n">
        <v>170.8585</v>
      </c>
      <c r="S848" t="n">
        <v>123.8208</v>
      </c>
      <c r="T848" t="n">
        <v>158.2462</v>
      </c>
      <c r="U848" t="n">
        <v/>
      </c>
      <c r="V848" t="n">
        <v>148.0952</v>
      </c>
      <c r="W848" t="n">
        <v/>
      </c>
      <c r="X848" t="n">
        <v>162.133</v>
      </c>
      <c r="Y848" t="n">
        <v/>
      </c>
      <c r="Z848" t="n">
        <v/>
      </c>
      <c r="AA848" t="n">
        <v>172.6546</v>
      </c>
      <c r="AB848" t="n">
        <v/>
      </c>
      <c r="AC848" t="n">
        <v/>
      </c>
      <c r="AD848" t="n">
        <v>171.5436</v>
      </c>
      <c r="AE848" t="n">
        <v>146.1273</v>
      </c>
    </row>
    <row r="849">
      <c r="A849" s="87" t="n">
        <v>44409</v>
      </c>
      <c r="B849" t="n">
        <v>142.4428</v>
      </c>
      <c r="C849" t="n">
        <v/>
      </c>
      <c r="D849" t="n">
        <v>160.0039</v>
      </c>
      <c r="E849" t="n">
        <v/>
      </c>
      <c r="F849" t="n">
        <v/>
      </c>
      <c r="G849" t="n">
        <v/>
      </c>
      <c r="H849" t="n">
        <v>165.6927</v>
      </c>
      <c r="I849" t="n">
        <v>140.7904</v>
      </c>
      <c r="J849" t="n">
        <v>163.5496</v>
      </c>
      <c r="K849" t="n">
        <v/>
      </c>
      <c r="L849" t="n">
        <v>142.7579</v>
      </c>
      <c r="M849" t="n">
        <v>142.637</v>
      </c>
      <c r="N849" t="n">
        <v>189.7964</v>
      </c>
      <c r="O849" t="n">
        <v/>
      </c>
      <c r="P849" t="n">
        <v/>
      </c>
      <c r="Q849" t="n">
        <v>129.9127</v>
      </c>
      <c r="R849" t="n">
        <v>173.0119</v>
      </c>
      <c r="S849" t="n">
        <v>124.0936</v>
      </c>
      <c r="T849" t="n">
        <v>159.6352</v>
      </c>
      <c r="U849" t="n">
        <v/>
      </c>
      <c r="V849" t="n">
        <v>149.2838</v>
      </c>
      <c r="W849" t="n">
        <v/>
      </c>
      <c r="X849" t="n">
        <v>163.3568</v>
      </c>
      <c r="Y849" t="n">
        <v/>
      </c>
      <c r="Z849" t="n">
        <v/>
      </c>
      <c r="AA849" t="n">
        <v>173.2551</v>
      </c>
      <c r="AB849" t="n">
        <v/>
      </c>
      <c r="AC849" t="n">
        <v/>
      </c>
      <c r="AD849" t="n">
        <v>173.0762</v>
      </c>
      <c r="AE849" t="n">
        <v>147.5104</v>
      </c>
    </row>
    <row r="850">
      <c r="A850" s="87" t="n">
        <v>44440</v>
      </c>
      <c r="B850" t="n">
        <v>143.8353</v>
      </c>
      <c r="C850" t="n">
        <v/>
      </c>
      <c r="D850" t="n">
        <v>160.3925</v>
      </c>
      <c r="E850" t="n">
        <v/>
      </c>
      <c r="F850" t="n">
        <v/>
      </c>
      <c r="G850" t="n">
        <v/>
      </c>
      <c r="H850" t="n">
        <v>166.4545</v>
      </c>
      <c r="I850" t="n">
        <v>142.4229</v>
      </c>
      <c r="J850" t="n">
        <v>164.182</v>
      </c>
      <c r="K850" t="n">
        <v/>
      </c>
      <c r="L850" t="n">
        <v>143.0789</v>
      </c>
      <c r="M850" t="n">
        <v>144.4098</v>
      </c>
      <c r="N850" t="n">
        <v>191.8771</v>
      </c>
      <c r="O850" t="n">
        <v/>
      </c>
      <c r="P850" t="n">
        <v/>
      </c>
      <c r="Q850" t="n">
        <v>131.1326</v>
      </c>
      <c r="R850" t="n">
        <v>174.9645</v>
      </c>
      <c r="S850" t="n">
        <v>124.3918</v>
      </c>
      <c r="T850" t="n">
        <v>160.4632</v>
      </c>
      <c r="U850" t="n">
        <v/>
      </c>
      <c r="V850" t="n">
        <v>149.7498</v>
      </c>
      <c r="W850" t="n">
        <v/>
      </c>
      <c r="X850" t="n">
        <v>164.2893</v>
      </c>
      <c r="Y850" t="n">
        <v/>
      </c>
      <c r="Z850" t="n">
        <v/>
      </c>
      <c r="AA850" t="n">
        <v>174.4339</v>
      </c>
      <c r="AB850" t="n">
        <v/>
      </c>
      <c r="AC850" t="n">
        <v/>
      </c>
      <c r="AD850" t="n">
        <v>174.045</v>
      </c>
      <c r="AE850" t="n">
        <v>148.6915</v>
      </c>
    </row>
    <row r="851">
      <c r="A851" s="87" t="n">
        <v>44470</v>
      </c>
      <c r="B851" t="n">
        <v>145.3174</v>
      </c>
      <c r="C851" t="n">
        <v/>
      </c>
      <c r="D851" t="n">
        <v>161.0582</v>
      </c>
      <c r="E851" t="n">
        <v/>
      </c>
      <c r="F851" t="n">
        <v/>
      </c>
      <c r="G851" t="n">
        <v/>
      </c>
      <c r="H851" t="n">
        <v>167.9951</v>
      </c>
      <c r="I851" t="n">
        <v>143.3937</v>
      </c>
      <c r="J851" t="n">
        <v>164.6461</v>
      </c>
      <c r="K851" t="n">
        <v/>
      </c>
      <c r="L851" t="n">
        <v>143.9046</v>
      </c>
      <c r="M851" t="n">
        <v>145.5952</v>
      </c>
      <c r="N851" t="n">
        <v>195.1679</v>
      </c>
      <c r="O851" t="n">
        <v/>
      </c>
      <c r="P851" t="n">
        <v/>
      </c>
      <c r="Q851" t="n">
        <v>132.3727</v>
      </c>
      <c r="R851" t="n">
        <v>176.4326</v>
      </c>
      <c r="S851" t="n">
        <v>124.8209</v>
      </c>
      <c r="T851" t="n">
        <v>161.3676</v>
      </c>
      <c r="U851" t="n">
        <v/>
      </c>
      <c r="V851" t="n">
        <v>150.4231</v>
      </c>
      <c r="W851" t="n">
        <v/>
      </c>
      <c r="X851" t="n">
        <v>165.397</v>
      </c>
      <c r="Y851" t="n">
        <v/>
      </c>
      <c r="Z851" t="n">
        <v/>
      </c>
      <c r="AA851" t="n">
        <v>176.4993</v>
      </c>
      <c r="AB851" t="n">
        <v/>
      </c>
      <c r="AC851" t="n">
        <v/>
      </c>
      <c r="AD851" t="n">
        <v>175.3086</v>
      </c>
      <c r="AE851" t="n">
        <v>149.1641</v>
      </c>
    </row>
    <row r="852">
      <c r="A852" s="87" t="n">
        <v>44501</v>
      </c>
      <c r="B852" t="n">
        <v>146.2699</v>
      </c>
      <c r="C852" t="n">
        <v/>
      </c>
      <c r="D852" t="n">
        <v>162.6343</v>
      </c>
      <c r="E852" t="n">
        <v/>
      </c>
      <c r="F852" t="n">
        <v/>
      </c>
      <c r="G852" t="n">
        <v/>
      </c>
      <c r="H852" t="n">
        <v>170.5443</v>
      </c>
      <c r="I852" t="n">
        <v>143.9392</v>
      </c>
      <c r="J852" t="n">
        <v>165.2357</v>
      </c>
      <c r="K852" t="n">
        <v/>
      </c>
      <c r="L852" t="n">
        <v>144.9885</v>
      </c>
      <c r="M852" t="n">
        <v>146.327</v>
      </c>
      <c r="N852" t="n">
        <v>199.3366</v>
      </c>
      <c r="O852" t="n">
        <v/>
      </c>
      <c r="P852" t="n">
        <v/>
      </c>
      <c r="Q852" t="n">
        <v>133.5994</v>
      </c>
      <c r="R852" t="n">
        <v>177.4423</v>
      </c>
      <c r="S852" t="n">
        <v>125.0811</v>
      </c>
      <c r="T852" t="n">
        <v>162.8601</v>
      </c>
      <c r="U852" t="n">
        <v/>
      </c>
      <c r="V852" t="n">
        <v>152.1295</v>
      </c>
      <c r="W852" t="n">
        <v/>
      </c>
      <c r="X852" t="n">
        <v>166.7495</v>
      </c>
      <c r="Y852" t="n">
        <v/>
      </c>
      <c r="Z852" t="n">
        <v/>
      </c>
      <c r="AA852" t="n">
        <v>178.2479</v>
      </c>
      <c r="AB852" t="n">
        <v/>
      </c>
      <c r="AC852" t="n">
        <v/>
      </c>
      <c r="AD852" t="n">
        <v>176.9682</v>
      </c>
      <c r="AE852" t="n">
        <v>150.508</v>
      </c>
    </row>
    <row r="853">
      <c r="A853" s="87" t="n">
        <v>44531</v>
      </c>
      <c r="B853" t="n">
        <v>147.8837</v>
      </c>
      <c r="C853" t="n">
        <v/>
      </c>
      <c r="D853" t="n">
        <v>163.3924</v>
      </c>
      <c r="E853" t="n">
        <v/>
      </c>
      <c r="F853" t="n">
        <v/>
      </c>
      <c r="G853" t="n">
        <v/>
      </c>
      <c r="H853" t="n">
        <v>173.753</v>
      </c>
      <c r="I853" t="n">
        <v>145.3619</v>
      </c>
      <c r="J853" t="n">
        <v>164.1339</v>
      </c>
      <c r="K853" t="n">
        <v/>
      </c>
      <c r="L853" t="n">
        <v>145.7845</v>
      </c>
      <c r="M853" t="n">
        <v>147.2818</v>
      </c>
      <c r="N853" t="n">
        <v>203.3128</v>
      </c>
      <c r="O853" t="n">
        <v/>
      </c>
      <c r="P853" t="n">
        <v/>
      </c>
      <c r="Q853" t="n">
        <v>134.7799</v>
      </c>
      <c r="R853" t="n">
        <v>180.0063</v>
      </c>
      <c r="S853" t="n">
        <v>125.3876</v>
      </c>
      <c r="T853" t="n">
        <v>164.0382</v>
      </c>
      <c r="U853" t="n">
        <v/>
      </c>
      <c r="V853" t="n">
        <v>153.9384</v>
      </c>
      <c r="W853" t="n">
        <v/>
      </c>
      <c r="X853" t="n">
        <v>168.2647</v>
      </c>
      <c r="Y853" t="n">
        <v/>
      </c>
      <c r="Z853" t="n">
        <v/>
      </c>
      <c r="AA853" t="n">
        <v>180.8621</v>
      </c>
      <c r="AB853" t="n">
        <v/>
      </c>
      <c r="AC853" t="n">
        <v/>
      </c>
      <c r="AD853" t="n">
        <v>178.9051</v>
      </c>
      <c r="AE853" t="n">
        <v>152.1524</v>
      </c>
    </row>
    <row r="854">
      <c r="A854" s="87" t="n">
        <v>44562</v>
      </c>
      <c r="B854" t="n">
        <v>148.9287</v>
      </c>
      <c r="C854" t="n">
        <v/>
      </c>
      <c r="D854" t="n">
        <v>165.0566</v>
      </c>
      <c r="E854" t="n">
        <v/>
      </c>
      <c r="F854" t="n">
        <v/>
      </c>
      <c r="G854" t="n">
        <v/>
      </c>
      <c r="H854" t="n">
        <v>176.1901</v>
      </c>
      <c r="I854" t="n">
        <v>146.3058</v>
      </c>
      <c r="J854" t="n">
        <v>163.8779</v>
      </c>
      <c r="K854" t="n">
        <v/>
      </c>
      <c r="L854" t="n">
        <v>146.134</v>
      </c>
      <c r="M854" t="n">
        <v>146.9472</v>
      </c>
      <c r="N854" t="n">
        <v>205.0691</v>
      </c>
      <c r="O854" t="n">
        <v/>
      </c>
      <c r="P854" t="n">
        <v/>
      </c>
      <c r="Q854" t="n">
        <v>135.8952</v>
      </c>
      <c r="R854" t="n">
        <v>181.2289</v>
      </c>
      <c r="S854" t="n">
        <v>125.7537</v>
      </c>
      <c r="T854" t="n">
        <v>165.0467</v>
      </c>
      <c r="U854" t="n">
        <v/>
      </c>
      <c r="V854" t="n">
        <v>154.9036</v>
      </c>
      <c r="W854" t="n">
        <v/>
      </c>
      <c r="X854" t="n">
        <v>168.6324</v>
      </c>
      <c r="Y854" t="n">
        <v/>
      </c>
      <c r="Z854" t="n">
        <v/>
      </c>
      <c r="AA854" t="n">
        <v>183.665</v>
      </c>
      <c r="AB854" t="n">
        <v/>
      </c>
      <c r="AC854" t="n">
        <v/>
      </c>
      <c r="AD854" t="n">
        <v>179.0139</v>
      </c>
      <c r="AE854" t="n">
        <v>152.7932</v>
      </c>
    </row>
    <row r="855">
      <c r="A855" s="87" t="n">
        <v>44593</v>
      </c>
      <c r="B855" t="n">
        <v>149.2033</v>
      </c>
      <c r="C855" t="n">
        <v/>
      </c>
      <c r="D855" t="n">
        <v>166.2217</v>
      </c>
      <c r="E855" t="n">
        <v/>
      </c>
      <c r="F855" t="n">
        <v/>
      </c>
      <c r="G855" t="n">
        <v/>
      </c>
      <c r="H855" t="n">
        <v>176.7614</v>
      </c>
      <c r="I855" t="n">
        <v>146.4696</v>
      </c>
      <c r="J855" t="n">
        <v>166.2576</v>
      </c>
      <c r="K855" t="n">
        <v/>
      </c>
      <c r="L855" t="n">
        <v>146.3215</v>
      </c>
      <c r="M855" t="n">
        <v>147.5907</v>
      </c>
      <c r="N855" t="n">
        <v>209.0851</v>
      </c>
      <c r="O855" t="n">
        <v/>
      </c>
      <c r="P855" t="n">
        <v/>
      </c>
      <c r="Q855" t="n">
        <v>136.9415</v>
      </c>
      <c r="R855" t="n">
        <v>182.1255</v>
      </c>
      <c r="S855" t="n">
        <v>126.073</v>
      </c>
      <c r="T855" t="n">
        <v>166.0726</v>
      </c>
      <c r="U855" t="n">
        <v/>
      </c>
      <c r="V855" t="n">
        <v>155.2517</v>
      </c>
      <c r="W855" t="n">
        <v/>
      </c>
      <c r="X855" t="n">
        <v>169.006</v>
      </c>
      <c r="Y855" t="n">
        <v/>
      </c>
      <c r="Z855" t="n">
        <v/>
      </c>
      <c r="AA855" t="n">
        <v>185.7266</v>
      </c>
      <c r="AB855" t="n">
        <v/>
      </c>
      <c r="AC855" t="n">
        <v/>
      </c>
      <c r="AD855" t="n">
        <v>179.0861</v>
      </c>
      <c r="AE855" t="n">
        <v>153.6762</v>
      </c>
    </row>
    <row r="856">
      <c r="A856" s="87" t="n">
        <v>44621</v>
      </c>
      <c r="B856" t="n">
        <v>150.0914</v>
      </c>
      <c r="C856" t="n">
        <v/>
      </c>
      <c r="D856" t="n">
        <v>167.2119</v>
      </c>
      <c r="E856" t="n">
        <v/>
      </c>
      <c r="F856" t="n">
        <v/>
      </c>
      <c r="G856" t="n">
        <v/>
      </c>
      <c r="H856" t="n">
        <v>178.0922</v>
      </c>
      <c r="I856" t="n">
        <v>147.6285</v>
      </c>
      <c r="J856" t="n">
        <v>167.8531</v>
      </c>
      <c r="K856" t="n">
        <v/>
      </c>
      <c r="L856" t="n">
        <v>146.9524</v>
      </c>
      <c r="M856" t="n">
        <v>149.4351</v>
      </c>
      <c r="N856" t="n">
        <v>212.8088</v>
      </c>
      <c r="O856" t="n">
        <v/>
      </c>
      <c r="P856" t="n">
        <v/>
      </c>
      <c r="Q856" t="n">
        <v>137.9128</v>
      </c>
      <c r="R856" t="n">
        <v>182.6236</v>
      </c>
      <c r="S856" t="n">
        <v>126.3666</v>
      </c>
      <c r="T856" t="n">
        <v>166.5825</v>
      </c>
      <c r="U856" t="n">
        <v/>
      </c>
      <c r="V856" t="n">
        <v>156.5187</v>
      </c>
      <c r="W856" t="n">
        <v/>
      </c>
      <c r="X856" t="n">
        <v>170.0037</v>
      </c>
      <c r="Y856" t="n">
        <v/>
      </c>
      <c r="Z856" t="n">
        <v/>
      </c>
      <c r="AA856" t="n">
        <v>188.1511</v>
      </c>
      <c r="AB856" t="n">
        <v/>
      </c>
      <c r="AC856" t="n">
        <v/>
      </c>
      <c r="AD856" t="n">
        <v>180.1413</v>
      </c>
      <c r="AE856" t="n">
        <v>155.5092</v>
      </c>
    </row>
    <row r="857">
      <c r="A857" s="87" t="n">
        <v>44652</v>
      </c>
      <c r="B857" t="n">
        <v>151.1448</v>
      </c>
      <c r="C857" t="n">
        <v/>
      </c>
      <c r="D857" t="n">
        <v>168.6065</v>
      </c>
      <c r="E857" t="n">
        <v/>
      </c>
      <c r="F857" t="n">
        <v/>
      </c>
      <c r="G857" t="n">
        <v/>
      </c>
      <c r="H857" t="n">
        <v>180.2688</v>
      </c>
      <c r="I857" t="n">
        <v>149.0936</v>
      </c>
      <c r="J857" t="n">
        <v>168.4131</v>
      </c>
      <c r="K857" t="n">
        <v/>
      </c>
      <c r="L857" t="n">
        <v>147.9705</v>
      </c>
      <c r="M857" t="n">
        <v>149.906</v>
      </c>
      <c r="N857" t="n">
        <v>214.0037</v>
      </c>
      <c r="O857" t="n">
        <v/>
      </c>
      <c r="P857" t="n">
        <v/>
      </c>
      <c r="Q857" t="n">
        <v>138.9374</v>
      </c>
      <c r="R857" t="n">
        <v>182.6637</v>
      </c>
      <c r="S857" t="n">
        <v>126.6629</v>
      </c>
      <c r="T857" t="n">
        <v>167.0537</v>
      </c>
      <c r="U857" t="n">
        <v/>
      </c>
      <c r="V857" t="n">
        <v>158.0815</v>
      </c>
      <c r="W857" t="n">
        <v/>
      </c>
      <c r="X857" t="n">
        <v>170.2285</v>
      </c>
      <c r="Y857" t="n">
        <v/>
      </c>
      <c r="Z857" t="n">
        <v/>
      </c>
      <c r="AA857" t="n">
        <v>189.6965</v>
      </c>
      <c r="AB857" t="n">
        <v/>
      </c>
      <c r="AC857" t="n">
        <v/>
      </c>
      <c r="AD857" t="n">
        <v>179.9711</v>
      </c>
      <c r="AE857" t="n">
        <v>156.3722</v>
      </c>
    </row>
    <row r="858">
      <c r="A858" s="87" t="n">
        <v>44682</v>
      </c>
      <c r="B858" t="n">
        <v>152.2515</v>
      </c>
      <c r="C858" t="n">
        <v/>
      </c>
      <c r="D858" t="n">
        <v>169.7625</v>
      </c>
      <c r="E858" t="n">
        <v/>
      </c>
      <c r="F858" t="n">
        <v/>
      </c>
      <c r="G858" t="n">
        <v/>
      </c>
      <c r="H858" t="n">
        <v>182.0355</v>
      </c>
      <c r="I858" t="n">
        <v>150.4176</v>
      </c>
      <c r="J858" t="n">
        <v>169.6828</v>
      </c>
      <c r="K858" t="n">
        <v/>
      </c>
      <c r="L858" t="n">
        <v>148.7613</v>
      </c>
      <c r="M858" t="n">
        <v>149.4836</v>
      </c>
      <c r="N858" t="n">
        <v>216.2775</v>
      </c>
      <c r="O858" t="n">
        <v/>
      </c>
      <c r="P858" t="n">
        <v/>
      </c>
      <c r="Q858" t="n">
        <v>140.0884</v>
      </c>
      <c r="R858" t="n">
        <v>184.3457</v>
      </c>
      <c r="S858" t="n">
        <v>126.8818</v>
      </c>
      <c r="T858" t="n">
        <v>168.0038</v>
      </c>
      <c r="U858" t="n">
        <v/>
      </c>
      <c r="V858" t="n">
        <v>159.0983</v>
      </c>
      <c r="W858" t="n">
        <v/>
      </c>
      <c r="X858" t="n">
        <v>170.4329</v>
      </c>
      <c r="Y858" t="n">
        <v/>
      </c>
      <c r="Z858" t="n">
        <v/>
      </c>
      <c r="AA858" t="n">
        <v>188.62</v>
      </c>
      <c r="AB858" t="n">
        <v/>
      </c>
      <c r="AC858" t="n">
        <v/>
      </c>
      <c r="AD858" t="n">
        <v>179.8715</v>
      </c>
      <c r="AE858" t="n">
        <v>156.2923</v>
      </c>
    </row>
    <row r="859">
      <c r="A859" s="87" t="n">
        <v>44713</v>
      </c>
      <c r="B859" t="n">
        <v>153.5543</v>
      </c>
      <c r="C859" t="n">
        <v/>
      </c>
      <c r="D859" t="n">
        <v>170.7542</v>
      </c>
      <c r="E859" t="n">
        <v/>
      </c>
      <c r="F859" t="n">
        <v/>
      </c>
      <c r="G859" t="n">
        <v/>
      </c>
      <c r="H859" t="n">
        <v>184.1244</v>
      </c>
      <c r="I859" t="n">
        <v>152.0479</v>
      </c>
      <c r="J859" t="n">
        <v>170.5555</v>
      </c>
      <c r="K859" t="n">
        <v/>
      </c>
      <c r="L859" t="n">
        <v>149.3588</v>
      </c>
      <c r="M859" t="n">
        <v>149.9372</v>
      </c>
      <c r="N859" t="n">
        <v>218.5653</v>
      </c>
      <c r="O859" t="n">
        <v/>
      </c>
      <c r="P859" t="n">
        <v/>
      </c>
      <c r="Q859" t="n">
        <v>141.2098</v>
      </c>
      <c r="R859" t="n">
        <v>186.1661</v>
      </c>
      <c r="S859" t="n">
        <v>127.1704</v>
      </c>
      <c r="T859" t="n">
        <v>168.6197</v>
      </c>
      <c r="U859" t="n">
        <v/>
      </c>
      <c r="V859" t="n">
        <v>159.9162</v>
      </c>
      <c r="W859" t="n">
        <v/>
      </c>
      <c r="X859" t="n">
        <v>170.7744</v>
      </c>
      <c r="Y859" t="n">
        <v/>
      </c>
      <c r="Z859" t="n">
        <v/>
      </c>
      <c r="AA859" t="n">
        <v>187.2505</v>
      </c>
      <c r="AB859" t="n">
        <v/>
      </c>
      <c r="AC859" t="n">
        <v/>
      </c>
      <c r="AD859" t="n">
        <v>179.8781</v>
      </c>
      <c r="AE859" t="n">
        <v>156.9584</v>
      </c>
    </row>
    <row r="860">
      <c r="A860" s="87" t="n">
        <v>44743</v>
      </c>
      <c r="B860" t="n">
        <v>154.6049</v>
      </c>
      <c r="C860" t="n">
        <v/>
      </c>
      <c r="D860" t="n">
        <v>171.4088</v>
      </c>
      <c r="E860" t="n">
        <v/>
      </c>
      <c r="F860" t="n">
        <v/>
      </c>
      <c r="G860" t="n">
        <v/>
      </c>
      <c r="H860" t="n">
        <v>186.3461</v>
      </c>
      <c r="I860" t="n">
        <v>150.9777</v>
      </c>
      <c r="J860" t="n">
        <v>170.6628</v>
      </c>
      <c r="K860" t="n">
        <v/>
      </c>
      <c r="L860" t="n">
        <v>150.3086</v>
      </c>
      <c r="M860" t="n">
        <v>150.5731</v>
      </c>
      <c r="N860" t="n">
        <v>222.3375</v>
      </c>
      <c r="O860" t="n">
        <v/>
      </c>
      <c r="P860" t="n">
        <v/>
      </c>
      <c r="Q860" t="n">
        <v>142.2454</v>
      </c>
      <c r="R860" t="n">
        <v>187.388</v>
      </c>
      <c r="S860" t="n">
        <v>127.4707</v>
      </c>
      <c r="T860" t="n">
        <v>169.0212</v>
      </c>
      <c r="U860" t="n">
        <v/>
      </c>
      <c r="V860" t="n">
        <v>160.3149</v>
      </c>
      <c r="W860" t="n">
        <v/>
      </c>
      <c r="X860" t="n">
        <v>171.2392</v>
      </c>
      <c r="Y860" t="n">
        <v/>
      </c>
      <c r="Z860" t="n">
        <v/>
      </c>
      <c r="AA860" t="n">
        <v>185.7907</v>
      </c>
      <c r="AB860" t="n">
        <v/>
      </c>
      <c r="AC860" t="n">
        <v/>
      </c>
      <c r="AD860" t="n">
        <v>180.1878</v>
      </c>
      <c r="AE860" t="n">
        <v>158.3084</v>
      </c>
    </row>
    <row r="861">
      <c r="A861" s="87" t="n">
        <v>44774</v>
      </c>
      <c r="B861" t="n">
        <v>155.2241</v>
      </c>
      <c r="C861" t="n">
        <v/>
      </c>
      <c r="D861" t="n">
        <v>172.4906</v>
      </c>
      <c r="E861" t="n">
        <v/>
      </c>
      <c r="F861" t="n">
        <v/>
      </c>
      <c r="G861" t="n">
        <v/>
      </c>
      <c r="H861" t="n">
        <v>188.3281</v>
      </c>
      <c r="I861" t="n">
        <v>147.4287</v>
      </c>
      <c r="J861" t="n">
        <v>171.4475</v>
      </c>
      <c r="K861" t="n">
        <v/>
      </c>
      <c r="L861" t="n">
        <v>151.24</v>
      </c>
      <c r="M861" t="n">
        <v>151.151</v>
      </c>
      <c r="N861" t="n">
        <v>226.4664</v>
      </c>
      <c r="O861" t="n">
        <v/>
      </c>
      <c r="P861" t="n">
        <v/>
      </c>
      <c r="Q861" t="n">
        <v>143.2738</v>
      </c>
      <c r="R861" t="n">
        <v>187.8867</v>
      </c>
      <c r="S861" t="n">
        <v>127.7304</v>
      </c>
      <c r="T861" t="n">
        <v>169.7157</v>
      </c>
      <c r="U861" t="n">
        <v/>
      </c>
      <c r="V861" t="n">
        <v>160.8042</v>
      </c>
      <c r="W861" t="n">
        <v/>
      </c>
      <c r="X861" t="n">
        <v>171.3429</v>
      </c>
      <c r="Y861" t="n">
        <v/>
      </c>
      <c r="Z861" t="n">
        <v/>
      </c>
      <c r="AA861" t="n">
        <v>187.8094</v>
      </c>
      <c r="AB861" t="n">
        <v/>
      </c>
      <c r="AC861" t="n">
        <v/>
      </c>
      <c r="AD861" t="n">
        <v>179.8242</v>
      </c>
      <c r="AE861" t="n">
        <v>159.8992</v>
      </c>
    </row>
    <row r="862">
      <c r="A862" s="87" t="n">
        <v>44805</v>
      </c>
      <c r="B862" t="n">
        <v>155.4342</v>
      </c>
      <c r="C862" t="n">
        <v/>
      </c>
      <c r="D862" t="n">
        <v>173.7364</v>
      </c>
      <c r="E862" t="n">
        <v/>
      </c>
      <c r="F862" t="n">
        <v/>
      </c>
      <c r="G862" t="n">
        <v/>
      </c>
      <c r="H862" t="n">
        <v>190.1035</v>
      </c>
      <c r="I862" t="n">
        <v>145.0454</v>
      </c>
      <c r="J862" t="n">
        <v>172.2449</v>
      </c>
      <c r="K862" t="n">
        <v/>
      </c>
      <c r="L862" t="n">
        <v>152.0871</v>
      </c>
      <c r="M862" t="n">
        <v>154.0374</v>
      </c>
      <c r="N862" t="n">
        <v>228.0536</v>
      </c>
      <c r="O862" t="n">
        <v/>
      </c>
      <c r="P862" t="n">
        <v/>
      </c>
      <c r="Q862" t="n">
        <v>144.3089</v>
      </c>
      <c r="R862" t="n">
        <v>189.5366</v>
      </c>
      <c r="S862" t="n">
        <v>127.9126</v>
      </c>
      <c r="T862" t="n">
        <v>170.1388</v>
      </c>
      <c r="U862" t="n">
        <v/>
      </c>
      <c r="V862" t="n">
        <v>162.2427</v>
      </c>
      <c r="W862" t="n">
        <v/>
      </c>
      <c r="X862" t="n">
        <v>171.2234</v>
      </c>
      <c r="Y862" t="n">
        <v/>
      </c>
      <c r="Z862" t="n">
        <v/>
      </c>
      <c r="AA862" t="n">
        <v>192.9194</v>
      </c>
      <c r="AB862" t="n">
        <v/>
      </c>
      <c r="AC862" t="n">
        <v/>
      </c>
      <c r="AD862" t="n">
        <v>178.6967</v>
      </c>
      <c r="AE862" t="n">
        <v>161.4262</v>
      </c>
    </row>
    <row r="863">
      <c r="A863" s="87" t="n">
        <v>44835</v>
      </c>
      <c r="B863" t="n">
        <v>155.9469</v>
      </c>
      <c r="C863" t="n">
        <v/>
      </c>
      <c r="D863" t="n">
        <v>174.5981</v>
      </c>
      <c r="E863" t="n">
        <v/>
      </c>
      <c r="F863" t="n">
        <v/>
      </c>
      <c r="G863" t="n">
        <v/>
      </c>
      <c r="H863" t="n">
        <v>191.3985</v>
      </c>
      <c r="I863" t="n">
        <v>144.0251</v>
      </c>
      <c r="J863" t="n">
        <v>173.1326</v>
      </c>
      <c r="K863" t="n">
        <v/>
      </c>
      <c r="L863" t="n">
        <v>152.2529</v>
      </c>
      <c r="M863" t="n">
        <v>155.1596</v>
      </c>
      <c r="N863" t="n">
        <v>226.5801</v>
      </c>
      <c r="O863" t="n">
        <v/>
      </c>
      <c r="P863" t="n">
        <v/>
      </c>
      <c r="Q863" t="n">
        <v>145.2875</v>
      </c>
      <c r="R863" t="n">
        <v>190.5915</v>
      </c>
      <c r="S863" t="n">
        <v>128.1269</v>
      </c>
      <c r="T863" t="n">
        <v>170.5652</v>
      </c>
      <c r="U863" t="n">
        <v/>
      </c>
      <c r="V863" t="n">
        <v>162.6269</v>
      </c>
      <c r="W863" t="n">
        <v/>
      </c>
      <c r="X863" t="n">
        <v>171.0911</v>
      </c>
      <c r="Y863" t="n">
        <v/>
      </c>
      <c r="Z863" t="n">
        <v/>
      </c>
      <c r="AA863" t="n">
        <v>194.9957</v>
      </c>
      <c r="AB863" t="n">
        <v/>
      </c>
      <c r="AC863" t="n">
        <v/>
      </c>
      <c r="AD863" t="n">
        <v>177.9321</v>
      </c>
      <c r="AE863" t="n">
        <v>162.9183</v>
      </c>
    </row>
    <row r="864">
      <c r="A864" s="87" t="n">
        <v>44866</v>
      </c>
      <c r="B864" t="n">
        <v>156.9583</v>
      </c>
      <c r="C864" t="n">
        <v/>
      </c>
      <c r="D864" t="n">
        <v>175.9834</v>
      </c>
      <c r="E864" t="n">
        <v/>
      </c>
      <c r="F864" t="n">
        <v/>
      </c>
      <c r="G864" t="n">
        <v/>
      </c>
      <c r="H864" t="n">
        <v>192.4166</v>
      </c>
      <c r="I864" t="n">
        <v>143.2153</v>
      </c>
      <c r="J864" t="n">
        <v>173.9072</v>
      </c>
      <c r="K864" t="n">
        <v/>
      </c>
      <c r="L864" t="n">
        <v>152.1918</v>
      </c>
      <c r="M864" t="n">
        <v>153.1134</v>
      </c>
      <c r="N864" t="n">
        <v>224.6066</v>
      </c>
      <c r="O864" t="n">
        <v/>
      </c>
      <c r="P864" t="n">
        <v/>
      </c>
      <c r="Q864" t="n">
        <v>146.0609</v>
      </c>
      <c r="R864" t="n">
        <v>191.0322</v>
      </c>
      <c r="S864" t="n">
        <v>128.4236</v>
      </c>
      <c r="T864" t="n">
        <v>171.2216</v>
      </c>
      <c r="U864" t="n">
        <v/>
      </c>
      <c r="V864" t="n">
        <v>162.3662</v>
      </c>
      <c r="W864" t="n">
        <v/>
      </c>
      <c r="X864" t="n">
        <v>170.9746</v>
      </c>
      <c r="Y864" t="n">
        <v/>
      </c>
      <c r="Z864" t="n">
        <v/>
      </c>
      <c r="AA864" t="n">
        <v>197.274</v>
      </c>
      <c r="AB864" t="n">
        <v/>
      </c>
      <c r="AC864" t="n">
        <v/>
      </c>
      <c r="AD864" t="n">
        <v>177.6548</v>
      </c>
      <c r="AE864" t="n">
        <v>164.4599</v>
      </c>
    </row>
    <row r="865">
      <c r="A865" s="87" t="n">
        <v>44896</v>
      </c>
      <c r="B865" t="n">
        <v>157.9473</v>
      </c>
      <c r="C865" t="n">
        <v/>
      </c>
      <c r="D865" t="n">
        <v>176.6618</v>
      </c>
      <c r="E865" t="n">
        <v/>
      </c>
      <c r="F865" t="n">
        <v/>
      </c>
      <c r="G865" t="n">
        <v/>
      </c>
      <c r="H865" t="n">
        <v>193.9143</v>
      </c>
      <c r="I865" t="n">
        <v>142.8226</v>
      </c>
      <c r="J865" t="n">
        <v>172.4574</v>
      </c>
      <c r="K865" t="n">
        <v/>
      </c>
      <c r="L865" t="n">
        <v>152.3531</v>
      </c>
      <c r="M865" t="n">
        <v>151.9599</v>
      </c>
      <c r="N865" t="n">
        <v>222.0872</v>
      </c>
      <c r="O865" t="n">
        <v/>
      </c>
      <c r="P865" t="n">
        <v/>
      </c>
      <c r="Q865" t="n">
        <v>146.6085</v>
      </c>
      <c r="R865" t="n">
        <v>191.7923</v>
      </c>
      <c r="S865" t="n">
        <v>128.5949</v>
      </c>
      <c r="T865" t="n">
        <v>171.1911</v>
      </c>
      <c r="U865" t="n">
        <v/>
      </c>
      <c r="V865" t="n">
        <v>163.1174</v>
      </c>
      <c r="W865" t="n">
        <v/>
      </c>
      <c r="X865" t="n">
        <v>170.8158</v>
      </c>
      <c r="Y865" t="n">
        <v/>
      </c>
      <c r="Z865" t="n">
        <v/>
      </c>
      <c r="AA865" t="n">
        <v>199.4874</v>
      </c>
      <c r="AB865" t="n">
        <v/>
      </c>
      <c r="AC865" t="n">
        <v/>
      </c>
      <c r="AD865" t="n">
        <v>177.3177</v>
      </c>
      <c r="AE865" t="n">
        <v>165.2546</v>
      </c>
    </row>
    <row r="866">
      <c r="A866" s="87" t="n">
        <v>44927</v>
      </c>
      <c r="B866" t="n">
        <v>159.0007</v>
      </c>
      <c r="C866" t="n">
        <v/>
      </c>
      <c r="D866" t="n">
        <v>178.5659</v>
      </c>
      <c r="E866" t="n">
        <v/>
      </c>
      <c r="F866" t="n">
        <v/>
      </c>
      <c r="G866" t="n">
        <v/>
      </c>
      <c r="H866" t="n">
        <v>195.781</v>
      </c>
      <c r="I866" t="n">
        <v>142.4801</v>
      </c>
      <c r="J866" t="n">
        <v>172.6137</v>
      </c>
      <c r="K866" t="n">
        <v/>
      </c>
      <c r="L866" t="n">
        <v>151.8772</v>
      </c>
      <c r="M866" t="n">
        <v>151.9396</v>
      </c>
      <c r="N866" t="n">
        <v>221.0668</v>
      </c>
      <c r="O866" t="n">
        <v/>
      </c>
      <c r="P866" t="n">
        <v/>
      </c>
      <c r="Q866" t="n">
        <v>147.0781</v>
      </c>
      <c r="R866" t="n">
        <v/>
      </c>
      <c r="S866" t="n">
        <v>128.6898</v>
      </c>
      <c r="T866" t="n">
        <v>170.9734</v>
      </c>
      <c r="U866" t="n">
        <v/>
      </c>
      <c r="V866" t="n">
        <v>163.967</v>
      </c>
      <c r="W866" t="n">
        <v/>
      </c>
      <c r="X866" t="n">
        <v>170.3427</v>
      </c>
      <c r="Y866" t="n">
        <v/>
      </c>
      <c r="Z866" t="n">
        <v/>
      </c>
      <c r="AA866" t="n">
        <v>204.2303</v>
      </c>
      <c r="AB866" t="n">
        <v/>
      </c>
      <c r="AC866" t="n">
        <v/>
      </c>
      <c r="AD866" t="n">
        <v>176.1098</v>
      </c>
      <c r="AE866" t="n">
        <v>166.4946</v>
      </c>
    </row>
    <row r="867">
      <c r="A867" s="87" t="n">
        <v>44958</v>
      </c>
      <c r="B867" t="n">
        <v>159.6591</v>
      </c>
      <c r="C867" t="n">
        <v/>
      </c>
      <c r="D867" t="n">
        <v>178.5128</v>
      </c>
      <c r="E867" t="n">
        <v/>
      </c>
      <c r="F867" t="n">
        <v/>
      </c>
      <c r="G867" t="n">
        <v/>
      </c>
      <c r="H867" t="n">
        <v>198.317</v>
      </c>
      <c r="I867" t="n">
        <v>141.936</v>
      </c>
      <c r="J867" t="n">
        <v>175.9579</v>
      </c>
      <c r="K867" t="n">
        <v/>
      </c>
      <c r="L867" t="n">
        <v>151.3265</v>
      </c>
      <c r="M867" t="n">
        <v>152.1204</v>
      </c>
      <c r="N867" t="n">
        <v>223.9543</v>
      </c>
      <c r="O867" t="n">
        <v/>
      </c>
      <c r="P867" t="n">
        <v/>
      </c>
      <c r="Q867" t="n">
        <v>147.5851</v>
      </c>
      <c r="R867" t="n">
        <v/>
      </c>
      <c r="S867" t="n">
        <v>128.8293</v>
      </c>
      <c r="T867" t="n">
        <v>171.6881</v>
      </c>
      <c r="U867" t="n">
        <v/>
      </c>
      <c r="V867" t="n">
        <v>164.4394</v>
      </c>
      <c r="W867" t="n">
        <v/>
      </c>
      <c r="X867" t="n">
        <v>169.9245</v>
      </c>
      <c r="Y867" t="n">
        <v/>
      </c>
      <c r="Z867" t="n">
        <v/>
      </c>
      <c r="AA867" t="n">
        <v>209.3378</v>
      </c>
      <c r="AB867" t="n">
        <v/>
      </c>
      <c r="AC867" t="n">
        <v/>
      </c>
      <c r="AD867" t="n">
        <v>174.9832</v>
      </c>
      <c r="AE867" t="n">
        <v>169.2961</v>
      </c>
    </row>
    <row r="868">
      <c r="A868" s="87" t="n">
        <v>44986</v>
      </c>
      <c r="B868" t="n">
        <v>160.2363</v>
      </c>
      <c r="C868" t="n">
        <v/>
      </c>
      <c r="D868" t="n">
        <v>178.483</v>
      </c>
      <c r="E868" t="n">
        <v/>
      </c>
      <c r="F868" t="n">
        <v/>
      </c>
      <c r="G868" t="n">
        <v/>
      </c>
      <c r="H868" t="n">
        <v>198.9064</v>
      </c>
      <c r="I868" t="n">
        <v>141.6943</v>
      </c>
      <c r="J868" t="n">
        <v>177.8158</v>
      </c>
      <c r="K868" t="n">
        <v/>
      </c>
      <c r="L868" t="n">
        <v>151.191</v>
      </c>
      <c r="M868" t="n">
        <v>151.6297</v>
      </c>
      <c r="N868" t="n">
        <v>224.7605</v>
      </c>
      <c r="O868" t="n">
        <v/>
      </c>
      <c r="P868" t="n">
        <v/>
      </c>
      <c r="Q868" t="n">
        <v>148.1397</v>
      </c>
      <c r="R868" t="n">
        <v/>
      </c>
      <c r="S868" t="n">
        <v>129.033</v>
      </c>
      <c r="T868" t="n">
        <v>172.473</v>
      </c>
      <c r="U868" t="n">
        <v/>
      </c>
      <c r="V868" t="n">
        <v>165.2126</v>
      </c>
      <c r="W868" t="n">
        <v/>
      </c>
      <c r="X868" t="n">
        <v/>
      </c>
      <c r="Y868" t="n">
        <v/>
      </c>
      <c r="Z868" t="n">
        <v/>
      </c>
      <c r="AA868" t="n">
        <v>212.157</v>
      </c>
      <c r="AB868" t="n">
        <v/>
      </c>
      <c r="AC868" t="n">
        <v/>
      </c>
      <c r="AD868" t="n">
        <v>173.0189</v>
      </c>
      <c r="AE868" t="n">
        <v>170.7592</v>
      </c>
    </row>
    <row r="869">
      <c r="A869" s="87" t="n">
        <v>45017</v>
      </c>
      <c r="B869" t="n">
        <v>160.9563</v>
      </c>
      <c r="C869" t="n">
        <v/>
      </c>
      <c r="D869" t="n">
        <v/>
      </c>
      <c r="E869" t="n">
        <v/>
      </c>
      <c r="F869" t="n">
        <v/>
      </c>
      <c r="G869" t="n">
        <v/>
      </c>
      <c r="H869" t="n">
        <v>197.367</v>
      </c>
      <c r="I869" t="n">
        <v/>
      </c>
      <c r="J869" t="n">
        <v>179.2257</v>
      </c>
      <c r="K869" t="n">
        <v/>
      </c>
      <c r="L869" t="n">
        <v>151.2681</v>
      </c>
      <c r="M869" t="n">
        <v/>
      </c>
      <c r="N869" t="n">
        <v/>
      </c>
      <c r="O869" t="n">
        <v/>
      </c>
      <c r="P869" t="n">
        <v/>
      </c>
      <c r="Q869" t="n">
        <v>148.4843</v>
      </c>
      <c r="R869" t="n">
        <v/>
      </c>
      <c r="S869" t="n">
        <v>129.2665</v>
      </c>
      <c r="T869" t="n">
        <v/>
      </c>
      <c r="U869" t="n">
        <v/>
      </c>
      <c r="V869" t="n">
        <v>165.5428</v>
      </c>
      <c r="W869" t="n">
        <v/>
      </c>
      <c r="X869" t="n">
        <v/>
      </c>
      <c r="Y869" t="n">
        <v/>
      </c>
      <c r="Z869" t="n">
        <v/>
      </c>
      <c r="AA869" t="n">
        <v/>
      </c>
      <c r="AB869" t="n">
        <v/>
      </c>
      <c r="AC869" t="n">
        <v/>
      </c>
      <c r="AD869" t="n">
        <v>171.6308</v>
      </c>
      <c r="AE869" t="n">
        <v>171.2813</v>
      </c>
    </row>
    <row r="870">
      <c r="A870" s="87" t="n">
        <v>45047</v>
      </c>
      <c r="B870" t="n">
        <v/>
      </c>
      <c r="C870" t="n">
        <v/>
      </c>
      <c r="D870" t="n">
        <v/>
      </c>
      <c r="E870" t="n">
        <v/>
      </c>
      <c r="F870" t="n">
        <v/>
      </c>
      <c r="G870" t="n">
        <v/>
      </c>
      <c r="H870" t="n">
        <v/>
      </c>
      <c r="I870" t="n">
        <v/>
      </c>
      <c r="J870" t="n">
        <v/>
      </c>
      <c r="K870" t="n">
        <v/>
      </c>
      <c r="L870" t="n">
        <v/>
      </c>
      <c r="M870" t="n">
        <v/>
      </c>
      <c r="N870" t="n">
        <v/>
      </c>
      <c r="O870" t="n">
        <v/>
      </c>
      <c r="P870" t="n">
        <v/>
      </c>
      <c r="Q870" t="n">
        <v/>
      </c>
      <c r="R870" t="n">
        <v/>
      </c>
      <c r="S870" t="n">
        <v/>
      </c>
      <c r="T870" t="n">
        <v/>
      </c>
      <c r="U870" t="n">
        <v/>
      </c>
      <c r="V870" t="n">
        <v/>
      </c>
      <c r="W870" t="n">
        <v/>
      </c>
      <c r="X870" t="n">
        <v/>
      </c>
      <c r="Y870" t="n">
        <v/>
      </c>
      <c r="Z870" t="n">
        <v/>
      </c>
      <c r="AA870" t="n">
        <v/>
      </c>
      <c r="AB870" t="n">
        <v/>
      </c>
      <c r="AC870" t="n">
        <v/>
      </c>
      <c r="AD870" t="n">
        <v/>
      </c>
      <c r="AE870" t="n">
        <v/>
      </c>
    </row>
    <row r="871">
      <c r="A871" s="87" t="n">
        <v>45078</v>
      </c>
      <c r="B871" t="n">
        <v/>
      </c>
      <c r="C871" t="n">
        <v/>
      </c>
      <c r="D871" t="n">
        <v/>
      </c>
      <c r="E871" t="n">
        <v/>
      </c>
      <c r="F871" t="n">
        <v/>
      </c>
      <c r="G871" t="n">
        <v/>
      </c>
      <c r="H871" t="n">
        <v/>
      </c>
      <c r="I871" t="n">
        <v/>
      </c>
      <c r="J871" t="n">
        <v/>
      </c>
      <c r="K871" t="n">
        <v/>
      </c>
      <c r="L871" t="n">
        <v/>
      </c>
      <c r="M871" t="n">
        <v/>
      </c>
      <c r="N871" t="n">
        <v/>
      </c>
      <c r="O871" t="n">
        <v/>
      </c>
      <c r="P871" t="n">
        <v/>
      </c>
      <c r="Q871" t="n">
        <v/>
      </c>
      <c r="R871" t="n">
        <v/>
      </c>
      <c r="S871" t="n">
        <v/>
      </c>
      <c r="T871" t="n">
        <v/>
      </c>
      <c r="U871" t="n">
        <v/>
      </c>
      <c r="V871" t="n">
        <v/>
      </c>
      <c r="W871" t="n">
        <v/>
      </c>
      <c r="X871" t="n">
        <v/>
      </c>
      <c r="Y871" t="n">
        <v/>
      </c>
      <c r="Z871" t="n">
        <v/>
      </c>
      <c r="AA871" t="n">
        <v/>
      </c>
      <c r="AB871" t="n">
        <v/>
      </c>
      <c r="AC871" t="n">
        <v/>
      </c>
      <c r="AD871" t="n">
        <v/>
      </c>
      <c r="AE871" t="n">
        <v/>
      </c>
    </row>
    <row r="872">
      <c r="A872" s="87" t="n">
        <v>45108</v>
      </c>
      <c r="B872" t="n">
        <v/>
      </c>
      <c r="C872" t="n">
        <v/>
      </c>
      <c r="D872" t="n">
        <v/>
      </c>
      <c r="E872" t="n">
        <v/>
      </c>
      <c r="F872" t="n">
        <v/>
      </c>
      <c r="G872" t="n">
        <v/>
      </c>
      <c r="H872" t="n">
        <v/>
      </c>
      <c r="I872" t="n">
        <v/>
      </c>
      <c r="J872" t="n">
        <v/>
      </c>
      <c r="K872" t="n">
        <v/>
      </c>
      <c r="L872" t="n">
        <v/>
      </c>
      <c r="M872" t="n">
        <v/>
      </c>
      <c r="N872" t="n">
        <v/>
      </c>
      <c r="O872" t="n">
        <v/>
      </c>
      <c r="P872" t="n">
        <v/>
      </c>
      <c r="Q872" t="n">
        <v/>
      </c>
      <c r="R872" t="n">
        <v/>
      </c>
      <c r="S872" t="n">
        <v/>
      </c>
      <c r="T872" t="n">
        <v/>
      </c>
      <c r="U872" t="n">
        <v/>
      </c>
      <c r="V872" t="n">
        <v/>
      </c>
      <c r="W872" t="n">
        <v/>
      </c>
      <c r="X872" t="n">
        <v/>
      </c>
      <c r="Y872" t="n">
        <v/>
      </c>
      <c r="Z872" t="n">
        <v/>
      </c>
      <c r="AA872" t="n">
        <v/>
      </c>
      <c r="AB872" t="n">
        <v/>
      </c>
      <c r="AC872" t="n">
        <v/>
      </c>
      <c r="AD872" t="n">
        <v/>
      </c>
      <c r="AE872" t="n">
        <v/>
      </c>
    </row>
    <row r="873">
      <c r="A873" s="87" t="n">
        <v>45139</v>
      </c>
      <c r="B873" t="n">
        <v/>
      </c>
      <c r="C873" t="n">
        <v/>
      </c>
      <c r="D873" t="n">
        <v/>
      </c>
      <c r="E873" t="n">
        <v/>
      </c>
      <c r="F873" t="n">
        <v/>
      </c>
      <c r="G873" t="n">
        <v/>
      </c>
      <c r="H873" t="n">
        <v/>
      </c>
      <c r="I873" t="n">
        <v/>
      </c>
      <c r="J873" t="n">
        <v/>
      </c>
      <c r="K873" t="n">
        <v/>
      </c>
      <c r="L873" t="n">
        <v/>
      </c>
      <c r="M873" t="n">
        <v/>
      </c>
      <c r="N873" t="n">
        <v/>
      </c>
      <c r="O873" t="n">
        <v/>
      </c>
      <c r="P873" t="n">
        <v/>
      </c>
      <c r="Q873" t="n">
        <v/>
      </c>
      <c r="R873" t="n">
        <v/>
      </c>
      <c r="S873" t="n">
        <v/>
      </c>
      <c r="T873" t="n">
        <v/>
      </c>
      <c r="U873" t="n">
        <v/>
      </c>
      <c r="V873" t="n">
        <v/>
      </c>
      <c r="W873" t="n">
        <v/>
      </c>
      <c r="X873" t="n">
        <v/>
      </c>
      <c r="Y873" t="n">
        <v/>
      </c>
      <c r="Z873" t="n">
        <v/>
      </c>
      <c r="AA873" t="n">
        <v/>
      </c>
      <c r="AB873" t="n">
        <v/>
      </c>
      <c r="AC873" t="n">
        <v/>
      </c>
      <c r="AD873" t="n">
        <v/>
      </c>
      <c r="AE873" t="n">
        <v/>
      </c>
    </row>
    <row r="874">
      <c r="A874" s="87" t="n">
        <v>45170</v>
      </c>
      <c r="B874" t="n">
        <v/>
      </c>
      <c r="C874" t="n">
        <v/>
      </c>
      <c r="D874" t="n">
        <v/>
      </c>
      <c r="E874" t="n">
        <v/>
      </c>
      <c r="F874" t="n">
        <v/>
      </c>
      <c r="G874" t="n">
        <v/>
      </c>
      <c r="H874" t="n">
        <v/>
      </c>
      <c r="I874" t="n">
        <v/>
      </c>
      <c r="J874" t="n">
        <v/>
      </c>
      <c r="K874" t="n">
        <v/>
      </c>
      <c r="L874" t="n">
        <v/>
      </c>
      <c r="M874" t="n">
        <v/>
      </c>
      <c r="N874" t="n">
        <v/>
      </c>
      <c r="O874" t="n">
        <v/>
      </c>
      <c r="P874" t="n">
        <v/>
      </c>
      <c r="Q874" t="n">
        <v/>
      </c>
      <c r="R874" t="n">
        <v/>
      </c>
      <c r="S874" t="n">
        <v/>
      </c>
      <c r="T874" t="n">
        <v/>
      </c>
      <c r="U874" t="n">
        <v/>
      </c>
      <c r="V874" t="n">
        <v/>
      </c>
      <c r="W874" t="n">
        <v/>
      </c>
      <c r="X874" t="n">
        <v/>
      </c>
      <c r="Y874" t="n">
        <v/>
      </c>
      <c r="Z874" t="n">
        <v/>
      </c>
      <c r="AA874" t="n">
        <v/>
      </c>
      <c r="AB874" t="n">
        <v/>
      </c>
      <c r="AC874" t="n">
        <v/>
      </c>
      <c r="AD874" t="n">
        <v/>
      </c>
      <c r="AE874" t="n">
        <v/>
      </c>
    </row>
    <row r="875">
      <c r="A875" s="87" t="n">
        <v>45200</v>
      </c>
      <c r="B875" t="n">
        <v/>
      </c>
      <c r="C875" t="n">
        <v/>
      </c>
      <c r="D875" t="n">
        <v/>
      </c>
      <c r="E875" t="n">
        <v/>
      </c>
      <c r="F875" t="n">
        <v/>
      </c>
      <c r="G875" t="n">
        <v/>
      </c>
      <c r="H875" t="n">
        <v/>
      </c>
      <c r="I875" t="n">
        <v/>
      </c>
      <c r="J875" t="n">
        <v/>
      </c>
      <c r="K875" t="n">
        <v/>
      </c>
      <c r="L875" t="n">
        <v/>
      </c>
      <c r="M875" t="n">
        <v/>
      </c>
      <c r="N875" t="n">
        <v/>
      </c>
      <c r="O875" t="n">
        <v/>
      </c>
      <c r="P875" t="n">
        <v/>
      </c>
      <c r="Q875" t="n">
        <v/>
      </c>
      <c r="R875" t="n">
        <v/>
      </c>
      <c r="S875" t="n">
        <v/>
      </c>
      <c r="T875" t="n">
        <v/>
      </c>
      <c r="U875" t="n">
        <v/>
      </c>
      <c r="V875" t="n">
        <v/>
      </c>
      <c r="W875" t="n">
        <v/>
      </c>
      <c r="X875" t="n">
        <v/>
      </c>
      <c r="Y875" t="n">
        <v/>
      </c>
      <c r="Z875" t="n">
        <v/>
      </c>
      <c r="AA875" t="n">
        <v/>
      </c>
      <c r="AB875" t="n">
        <v/>
      </c>
      <c r="AC875" t="n">
        <v/>
      </c>
      <c r="AD875" t="n">
        <v/>
      </c>
      <c r="AE875" t="n">
        <v/>
      </c>
    </row>
    <row r="876">
      <c r="A876" s="87" t="n">
        <v>45231</v>
      </c>
      <c r="B876" t="n">
        <v/>
      </c>
      <c r="C876" t="n">
        <v/>
      </c>
      <c r="D876" t="n">
        <v/>
      </c>
      <c r="E876" t="n">
        <v/>
      </c>
      <c r="F876" t="n">
        <v/>
      </c>
      <c r="G876" t="n">
        <v/>
      </c>
      <c r="H876" t="n">
        <v/>
      </c>
      <c r="I876" t="n">
        <v/>
      </c>
      <c r="J876" t="n">
        <v/>
      </c>
      <c r="K876" t="n">
        <v/>
      </c>
      <c r="L876" t="n">
        <v/>
      </c>
      <c r="M876" t="n">
        <v/>
      </c>
      <c r="N876" t="n">
        <v/>
      </c>
      <c r="O876" t="n">
        <v/>
      </c>
      <c r="P876" t="n">
        <v/>
      </c>
      <c r="Q876" t="n">
        <v/>
      </c>
      <c r="R876" t="n">
        <v/>
      </c>
      <c r="S876" t="n">
        <v/>
      </c>
      <c r="T876" t="n">
        <v/>
      </c>
      <c r="U876" t="n">
        <v/>
      </c>
      <c r="V876" t="n">
        <v/>
      </c>
      <c r="W876" t="n">
        <v/>
      </c>
      <c r="X876" t="n">
        <v/>
      </c>
      <c r="Y876" t="n">
        <v/>
      </c>
      <c r="Z876" t="n">
        <v/>
      </c>
      <c r="AA876" t="n">
        <v/>
      </c>
      <c r="AB876" t="n">
        <v/>
      </c>
      <c r="AC876" t="n">
        <v/>
      </c>
      <c r="AD876" t="n">
        <v/>
      </c>
      <c r="AE876" t="n">
        <v/>
      </c>
    </row>
    <row r="877">
      <c r="A877" s="87" t="n">
        <v>45261</v>
      </c>
      <c r="B877" t="n">
        <v/>
      </c>
      <c r="C877" t="n">
        <v/>
      </c>
      <c r="D877" t="n">
        <v/>
      </c>
      <c r="E877" t="n">
        <v/>
      </c>
      <c r="F877" t="n">
        <v/>
      </c>
      <c r="G877" t="n">
        <v/>
      </c>
      <c r="H877" t="n">
        <v/>
      </c>
      <c r="I877" t="n">
        <v/>
      </c>
      <c r="J877" t="n">
        <v/>
      </c>
      <c r="K877" t="n">
        <v/>
      </c>
      <c r="L877" t="n">
        <v/>
      </c>
      <c r="M877" t="n">
        <v/>
      </c>
      <c r="N877" t="n">
        <v/>
      </c>
      <c r="O877" t="n">
        <v/>
      </c>
      <c r="P877" t="n">
        <v/>
      </c>
      <c r="Q877" t="n">
        <v/>
      </c>
      <c r="R877" t="n">
        <v/>
      </c>
      <c r="S877" t="n">
        <v/>
      </c>
      <c r="T877" t="n">
        <v/>
      </c>
      <c r="U877" t="n">
        <v/>
      </c>
      <c r="V877" t="n">
        <v/>
      </c>
      <c r="W877" t="n">
        <v/>
      </c>
      <c r="X877" t="n">
        <v/>
      </c>
      <c r="Y877" t="n">
        <v/>
      </c>
      <c r="Z877" t="n">
        <v/>
      </c>
      <c r="AA877" t="n">
        <v/>
      </c>
      <c r="AB877" t="n">
        <v/>
      </c>
      <c r="AC877" t="n">
        <v/>
      </c>
      <c r="AD877" t="n">
        <v/>
      </c>
      <c r="AE877" t="n">
        <v/>
      </c>
    </row>
    <row r="878">
      <c r="A878" s="87" t="n">
        <v>45292</v>
      </c>
      <c r="B878" t="n">
        <v/>
      </c>
      <c r="C878" t="n">
        <v/>
      </c>
      <c r="D878" t="n">
        <v/>
      </c>
      <c r="E878" t="n">
        <v/>
      </c>
      <c r="F878" t="n">
        <v/>
      </c>
      <c r="G878" t="n">
        <v/>
      </c>
      <c r="H878" t="n">
        <v/>
      </c>
      <c r="I878" t="n">
        <v/>
      </c>
      <c r="J878" t="n">
        <v/>
      </c>
      <c r="K878" t="n">
        <v/>
      </c>
      <c r="L878" t="n">
        <v/>
      </c>
      <c r="M878" t="n">
        <v/>
      </c>
      <c r="N878" t="n">
        <v/>
      </c>
      <c r="O878" t="n">
        <v/>
      </c>
      <c r="P878" t="n">
        <v/>
      </c>
      <c r="Q878" t="n">
        <v/>
      </c>
      <c r="R878" t="n">
        <v/>
      </c>
      <c r="S878" t="n">
        <v/>
      </c>
      <c r="T878" t="n">
        <v/>
      </c>
      <c r="U878" t="n">
        <v/>
      </c>
      <c r="V878" t="n">
        <v/>
      </c>
      <c r="W878" t="n">
        <v/>
      </c>
      <c r="X878" t="n">
        <v/>
      </c>
      <c r="Y878" t="n">
        <v/>
      </c>
      <c r="Z878" t="n">
        <v/>
      </c>
      <c r="AA878" t="n">
        <v/>
      </c>
      <c r="AB878" t="n">
        <v/>
      </c>
      <c r="AC878" t="n">
        <v/>
      </c>
      <c r="AD878" t="n">
        <v/>
      </c>
      <c r="AE878" t="n"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tabColor theme="6"/>
    <outlinePr summaryBelow="1" summaryRight="1"/>
    <pageSetUpPr/>
  </sheetPr>
  <dimension ref="A1:E24"/>
  <sheetViews>
    <sheetView zoomScaleNormal="100" workbookViewId="0">
      <pane ySplit="1" topLeftCell="A2" activePane="bottomLeft" state="frozen"/>
      <selection pane="bottomLeft" activeCell="M30" sqref="M30"/>
    </sheetView>
  </sheetViews>
  <sheetFormatPr baseColWidth="8" defaultColWidth="10.90625" defaultRowHeight="14.5"/>
  <cols>
    <col width="18.453125" customWidth="1" min="3" max="3"/>
  </cols>
  <sheetData>
    <row r="1">
      <c r="A1" t="inlineStr">
        <is>
          <t>Country</t>
        </is>
      </c>
      <c r="B1" t="inlineStr">
        <is>
          <t>Last</t>
        </is>
      </c>
      <c r="C1" t="inlineStr">
        <is>
          <t>Month</t>
        </is>
      </c>
      <c r="D1" t="inlineStr">
        <is>
          <t>Previous</t>
        </is>
      </c>
      <c r="E1" t="inlineStr">
        <is>
          <t>Currency</t>
        </is>
      </c>
    </row>
    <row r="2">
      <c r="A2" t="inlineStr">
        <is>
          <t>Argentina</t>
        </is>
      </c>
      <c r="B2" t="n">
        <v>14573629</v>
      </c>
      <c r="C2" s="88" t="n">
        <v>45017</v>
      </c>
      <c r="D2" t="n">
        <v>13436942</v>
      </c>
      <c r="E2" t="inlineStr">
        <is>
          <t>ARS Million</t>
        </is>
      </c>
    </row>
    <row r="3">
      <c r="A3" t="inlineStr">
        <is>
          <t>Brazil</t>
        </is>
      </c>
      <c r="B3" t="n">
        <v>5240987</v>
      </c>
      <c r="C3" s="88" t="n">
        <v>45017</v>
      </c>
      <c r="D3" t="n">
        <v>5110611</v>
      </c>
      <c r="E3" t="inlineStr">
        <is>
          <t>BRL Million</t>
        </is>
      </c>
    </row>
    <row r="4">
      <c r="A4" t="inlineStr">
        <is>
          <t>Canada</t>
        </is>
      </c>
      <c r="B4" t="n">
        <v>2419886</v>
      </c>
      <c r="C4" s="88" t="n">
        <v>45017</v>
      </c>
      <c r="D4" t="n">
        <v>2428025</v>
      </c>
      <c r="E4" t="inlineStr">
        <is>
          <t>CAD Million</t>
        </is>
      </c>
    </row>
    <row r="5">
      <c r="A5" t="inlineStr">
        <is>
          <t>China</t>
        </is>
      </c>
      <c r="B5" t="n">
        <v>282050</v>
      </c>
      <c r="C5" s="88" t="n">
        <v>45047</v>
      </c>
      <c r="D5" t="n">
        <v>280847</v>
      </c>
      <c r="E5" t="inlineStr">
        <is>
          <t>CNY Billion</t>
        </is>
      </c>
    </row>
    <row r="6">
      <c r="A6" t="inlineStr">
        <is>
          <t>Euro Area</t>
        </is>
      </c>
      <c r="B6" t="n">
        <v>15154277</v>
      </c>
      <c r="C6" s="88" t="n">
        <v>45017</v>
      </c>
      <c r="D6" t="n">
        <v>15185783</v>
      </c>
      <c r="E6" t="inlineStr">
        <is>
          <t>EUR Million</t>
        </is>
      </c>
    </row>
    <row r="7">
      <c r="A7" t="inlineStr">
        <is>
          <t>France</t>
        </is>
      </c>
      <c r="B7" t="n">
        <v>3039181</v>
      </c>
      <c r="C7" s="88" t="n">
        <v>44986</v>
      </c>
      <c r="D7" t="n">
        <v>3015024</v>
      </c>
      <c r="E7" t="inlineStr">
        <is>
          <t>EUR Million</t>
        </is>
      </c>
    </row>
    <row r="8">
      <c r="A8" t="inlineStr">
        <is>
          <t>Germany</t>
        </is>
      </c>
      <c r="B8" t="n">
        <v>3783</v>
      </c>
      <c r="C8" s="88" t="n">
        <v>45017</v>
      </c>
      <c r="D8" t="n">
        <v>3768</v>
      </c>
      <c r="E8" t="inlineStr">
        <is>
          <t>EUR Billion</t>
        </is>
      </c>
    </row>
    <row r="9">
      <c r="A9" t="inlineStr">
        <is>
          <t>India</t>
        </is>
      </c>
      <c r="B9" t="n">
        <v>59526</v>
      </c>
      <c r="C9" s="88" t="n">
        <v>45047</v>
      </c>
      <c r="D9" t="n">
        <v>59269</v>
      </c>
      <c r="E9" t="inlineStr">
        <is>
          <t>INR Billion</t>
        </is>
      </c>
    </row>
    <row r="10">
      <c r="A10" t="inlineStr">
        <is>
          <t>Indonesia</t>
        </is>
      </c>
      <c r="B10" t="n">
        <v>8350400</v>
      </c>
      <c r="C10" s="88" t="n">
        <v>45017</v>
      </c>
      <c r="D10" t="n">
        <v>8293600</v>
      </c>
      <c r="E10" t="inlineStr">
        <is>
          <t>IDR Billion</t>
        </is>
      </c>
    </row>
    <row r="11">
      <c r="A11" t="inlineStr">
        <is>
          <t>Italy</t>
        </is>
      </c>
      <c r="B11" t="n">
        <v>1879649</v>
      </c>
      <c r="C11" s="88" t="n">
        <v>45017</v>
      </c>
      <c r="D11" t="n">
        <v>1860033</v>
      </c>
      <c r="E11" t="inlineStr">
        <is>
          <t>EUR Million</t>
        </is>
      </c>
    </row>
    <row r="12">
      <c r="A12" t="inlineStr">
        <is>
          <t>Japan</t>
        </is>
      </c>
      <c r="B12" t="n">
        <v>1236404</v>
      </c>
      <c r="C12" s="88" t="n">
        <v>45047</v>
      </c>
      <c r="D12" t="n">
        <v>1232405</v>
      </c>
      <c r="E12" t="inlineStr">
        <is>
          <t>JPY Billion</t>
        </is>
      </c>
    </row>
    <row r="13">
      <c r="A13" t="inlineStr">
        <is>
          <t>Mexico</t>
        </is>
      </c>
      <c r="B13" t="n">
        <v>12464631134</v>
      </c>
      <c r="C13" s="88" t="n">
        <v>45017</v>
      </c>
      <c r="D13" t="n">
        <v>12407813034</v>
      </c>
      <c r="E13" t="inlineStr">
        <is>
          <t>MXN Thousand</t>
        </is>
      </c>
    </row>
    <row r="14">
      <c r="A14" t="inlineStr">
        <is>
          <t>Netherlands</t>
        </is>
      </c>
      <c r="B14" t="n">
        <v>1112712</v>
      </c>
      <c r="C14" s="88" t="n">
        <v>45017</v>
      </c>
      <c r="D14" t="n">
        <v>1125827</v>
      </c>
      <c r="E14" t="inlineStr">
        <is>
          <t>EUR Million</t>
        </is>
      </c>
    </row>
    <row r="15">
      <c r="A15" t="inlineStr">
        <is>
          <t>Russia</t>
        </is>
      </c>
      <c r="B15" t="n">
        <v>84636</v>
      </c>
      <c r="C15" s="88" t="n">
        <v>45017</v>
      </c>
      <c r="D15" t="n">
        <v>84813</v>
      </c>
      <c r="E15" t="inlineStr">
        <is>
          <t>RUB Billion</t>
        </is>
      </c>
    </row>
    <row r="16">
      <c r="A16" t="inlineStr">
        <is>
          <t>Saudi Arabia</t>
        </is>
      </c>
      <c r="B16" t="n">
        <v>2258623</v>
      </c>
      <c r="C16" s="88" t="n">
        <v>45017</v>
      </c>
      <c r="D16" t="n">
        <v>2260381</v>
      </c>
      <c r="E16" t="inlineStr">
        <is>
          <t>SAR Million</t>
        </is>
      </c>
    </row>
    <row r="17">
      <c r="A17" t="inlineStr">
        <is>
          <t>Singapore</t>
        </is>
      </c>
      <c r="B17" t="n">
        <v>775818</v>
      </c>
      <c r="C17" s="88" t="n">
        <v>45017</v>
      </c>
      <c r="D17" t="n">
        <v>770331</v>
      </c>
      <c r="E17" t="inlineStr">
        <is>
          <t>SGD Million</t>
        </is>
      </c>
    </row>
    <row r="18">
      <c r="A18" t="inlineStr">
        <is>
          <t>South Africa</t>
        </is>
      </c>
      <c r="B18" t="n">
        <v>4008914</v>
      </c>
      <c r="C18" s="88" t="n">
        <v>45017</v>
      </c>
      <c r="D18" t="n">
        <v>3995219</v>
      </c>
      <c r="E18" t="inlineStr">
        <is>
          <t>ZAR Million</t>
        </is>
      </c>
    </row>
    <row r="19">
      <c r="A19" t="inlineStr">
        <is>
          <t>South Korea</t>
        </is>
      </c>
      <c r="B19" t="n">
        <v>3771762</v>
      </c>
      <c r="C19" s="88" t="n">
        <v>45017</v>
      </c>
      <c r="D19" t="n">
        <v>3779747</v>
      </c>
      <c r="E19" t="inlineStr">
        <is>
          <t>KRW Billion</t>
        </is>
      </c>
    </row>
    <row r="20">
      <c r="A20" t="inlineStr">
        <is>
          <t>Spain</t>
        </is>
      </c>
      <c r="B20" t="n">
        <v>1459932</v>
      </c>
      <c r="C20" s="88" t="n">
        <v>45017</v>
      </c>
      <c r="D20" t="n">
        <v>1472354</v>
      </c>
      <c r="E20" t="inlineStr">
        <is>
          <t>EUR Million</t>
        </is>
      </c>
    </row>
    <row r="21">
      <c r="A21" t="inlineStr">
        <is>
          <t>Switzerland</t>
        </is>
      </c>
      <c r="B21" t="n">
        <v>1003055</v>
      </c>
      <c r="C21" s="88" t="n">
        <v>45017</v>
      </c>
      <c r="D21" t="n">
        <v>1014266</v>
      </c>
      <c r="E21" t="inlineStr">
        <is>
          <t>CHF Million</t>
        </is>
      </c>
    </row>
    <row r="22">
      <c r="A22" t="inlineStr">
        <is>
          <t>Turkey</t>
        </is>
      </c>
      <c r="B22" t="n">
        <v>9409262175</v>
      </c>
      <c r="C22" s="88" t="n">
        <v>45047</v>
      </c>
      <c r="D22" t="n">
        <v>9510649283</v>
      </c>
      <c r="E22" t="inlineStr">
        <is>
          <t>TRY Thousand</t>
        </is>
      </c>
    </row>
    <row r="23">
      <c r="A23" t="inlineStr">
        <is>
          <t>United Kingdom</t>
        </is>
      </c>
      <c r="B23" t="n">
        <v>3061003</v>
      </c>
      <c r="C23" s="88" t="n">
        <v>45017</v>
      </c>
      <c r="D23" t="n">
        <v>3074346</v>
      </c>
      <c r="E23" t="inlineStr">
        <is>
          <t>GBP Million</t>
        </is>
      </c>
    </row>
    <row r="24">
      <c r="A24" t="inlineStr">
        <is>
          <t>United States</t>
        </is>
      </c>
      <c r="B24" t="n">
        <v>20673</v>
      </c>
      <c r="C24" s="88" t="n">
        <v>45017</v>
      </c>
      <c r="D24" t="n">
        <v>20818</v>
      </c>
      <c r="E24" t="inlineStr">
        <is>
          <t>USD Billion</t>
        </is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rgb="FFFFC000"/>
    <outlinePr summaryBelow="1" summaryRight="1"/>
    <pageSetUpPr/>
  </sheetPr>
  <dimension ref="A1:B267"/>
  <sheetViews>
    <sheetView zoomScale="110" zoomScaleNormal="110" workbookViewId="0">
      <pane ySplit="11" topLeftCell="A261" activePane="bottomLeft" state="frozen"/>
      <selection pane="bottomLeft" activeCell="A261" sqref="A261:B267"/>
    </sheetView>
  </sheetViews>
  <sheetFormatPr baseColWidth="8" defaultColWidth="8.81640625" defaultRowHeight="14.5"/>
  <cols>
    <col width="26.36328125" customWidth="1" min="1" max="1"/>
    <col width="22" customWidth="1" min="2" max="2"/>
  </cols>
  <sheetData>
    <row r="1">
      <c r="A1" s="60" t="inlineStr">
        <is>
          <t>FRED Graph Observations</t>
        </is>
      </c>
      <c r="B1" s="60" t="n"/>
    </row>
    <row r="2">
      <c r="A2" s="60" t="inlineStr">
        <is>
          <t>Federal Reserve Economic Data</t>
        </is>
      </c>
      <c r="B2" s="60" t="n"/>
    </row>
    <row r="3">
      <c r="A3" s="60" t="inlineStr">
        <is>
          <t>Link: https://fred.stlouisfed.org</t>
        </is>
      </c>
      <c r="B3" s="60" t="n"/>
    </row>
    <row r="4">
      <c r="A4" s="60" t="inlineStr">
        <is>
          <t>Help: https://fred.stlouisfed.org/help-faq</t>
        </is>
      </c>
      <c r="B4" s="60" t="n"/>
    </row>
    <row r="5">
      <c r="A5" s="60" t="inlineStr">
        <is>
          <t>Economic Research Division</t>
        </is>
      </c>
      <c r="B5" s="60" t="n"/>
    </row>
    <row r="6">
      <c r="A6" s="60" t="inlineStr">
        <is>
          <t>Federal Reserve Bank of St. Louis</t>
        </is>
      </c>
      <c r="B6" s="60" t="n"/>
    </row>
    <row r="8">
      <c r="A8" s="62" t="inlineStr">
        <is>
          <t>M2V</t>
        </is>
      </c>
      <c r="B8" s="60" t="inlineStr">
        <is>
          <t>Velocity of M2 Money Stock, Ratio, Quarterly, Seasonally Adjusted</t>
        </is>
      </c>
    </row>
    <row r="10">
      <c r="A10" s="60" t="inlineStr">
        <is>
          <t>Frequency: Quarterly</t>
        </is>
      </c>
      <c r="B10" s="60" t="n"/>
    </row>
    <row r="11" ht="43" customHeight="1">
      <c r="A11" s="60" t="inlineStr">
        <is>
          <t>Date</t>
        </is>
      </c>
      <c r="B11" s="65" t="inlineStr">
        <is>
          <t>Velocity of M2 Money Stock, Ratio, Quarterly, Seasonally Adjusted</t>
        </is>
      </c>
    </row>
    <row r="12">
      <c r="A12" s="63" t="n">
        <v>21551</v>
      </c>
      <c r="B12" s="61">
        <f>VLOOKUP(Table1[[#This Row],[Date]],'DB Money Supply'!$A:$F,6)</f>
        <v/>
      </c>
    </row>
    <row r="13">
      <c r="A13" s="63" t="n">
        <v>21641</v>
      </c>
      <c r="B13" s="61">
        <f>VLOOKUP(Table1[[#This Row],[Date]],'DB Money Supply'!$A:$F,6)</f>
        <v/>
      </c>
    </row>
    <row r="14">
      <c r="A14" s="63" t="n">
        <v>21732</v>
      </c>
      <c r="B14" s="61">
        <f>VLOOKUP(Table1[[#This Row],[Date]],'DB Money Supply'!$A:$F,6)</f>
        <v/>
      </c>
    </row>
    <row r="15">
      <c r="A15" s="63" t="n">
        <v>21824</v>
      </c>
      <c r="B15" s="61">
        <f>VLOOKUP(Table1[[#This Row],[Date]],'DB Money Supply'!$A:$F,6)</f>
        <v/>
      </c>
    </row>
    <row r="16">
      <c r="A16" s="63" t="n">
        <v>21916</v>
      </c>
      <c r="B16" s="61">
        <f>VLOOKUP(Table1[[#This Row],[Date]],'DB Money Supply'!$A:$F,6)</f>
        <v/>
      </c>
    </row>
    <row r="17">
      <c r="A17" s="63" t="n">
        <v>22007</v>
      </c>
      <c r="B17" s="61">
        <f>VLOOKUP(Table1[[#This Row],[Date]],'DB Money Supply'!$A:$F,6)</f>
        <v/>
      </c>
    </row>
    <row r="18">
      <c r="A18" s="63" t="n">
        <v>22098</v>
      </c>
      <c r="B18" s="61">
        <f>VLOOKUP(Table1[[#This Row],[Date]],'DB Money Supply'!$A:$F,6)</f>
        <v/>
      </c>
    </row>
    <row r="19">
      <c r="A19" s="63" t="n">
        <v>22190</v>
      </c>
      <c r="B19" s="61">
        <f>VLOOKUP(Table1[[#This Row],[Date]],'DB Money Supply'!$A:$F,6)</f>
        <v/>
      </c>
    </row>
    <row r="20">
      <c r="A20" s="63" t="n">
        <v>22282</v>
      </c>
      <c r="B20" s="61">
        <f>VLOOKUP(Table1[[#This Row],[Date]],'DB Money Supply'!$A:$F,6)</f>
        <v/>
      </c>
    </row>
    <row r="21">
      <c r="A21" s="63" t="n">
        <v>22372</v>
      </c>
      <c r="B21" s="61">
        <f>VLOOKUP(Table1[[#This Row],[Date]],'DB Money Supply'!$A:$F,6)</f>
        <v/>
      </c>
    </row>
    <row r="22">
      <c r="A22" s="63" t="n">
        <v>22463</v>
      </c>
      <c r="B22" s="61">
        <f>VLOOKUP(Table1[[#This Row],[Date]],'DB Money Supply'!$A:$F,6)</f>
        <v/>
      </c>
    </row>
    <row r="23">
      <c r="A23" s="63" t="n">
        <v>22555</v>
      </c>
      <c r="B23" s="61">
        <f>VLOOKUP(Table1[[#This Row],[Date]],'DB Money Supply'!$A:$F,6)</f>
        <v/>
      </c>
    </row>
    <row r="24">
      <c r="A24" s="63" t="n">
        <v>22647</v>
      </c>
      <c r="B24" s="61">
        <f>VLOOKUP(Table1[[#This Row],[Date]],'DB Money Supply'!$A:$F,6)</f>
        <v/>
      </c>
    </row>
    <row r="25">
      <c r="A25" s="63" t="n">
        <v>22737</v>
      </c>
      <c r="B25" s="61">
        <f>VLOOKUP(Table1[[#This Row],[Date]],'DB Money Supply'!$A:$F,6)</f>
        <v/>
      </c>
    </row>
    <row r="26">
      <c r="A26" s="63" t="n">
        <v>22828</v>
      </c>
      <c r="B26" s="61">
        <f>VLOOKUP(Table1[[#This Row],[Date]],'DB Money Supply'!$A:$F,6)</f>
        <v/>
      </c>
    </row>
    <row r="27">
      <c r="A27" s="63" t="n">
        <v>22920</v>
      </c>
      <c r="B27" s="61">
        <f>VLOOKUP(Table1[[#This Row],[Date]],'DB Money Supply'!$A:$F,6)</f>
        <v/>
      </c>
    </row>
    <row r="28">
      <c r="A28" s="63" t="n">
        <v>23012</v>
      </c>
      <c r="B28" s="61">
        <f>VLOOKUP(Table1[[#This Row],[Date]],'DB Money Supply'!$A:$F,6)</f>
        <v/>
      </c>
    </row>
    <row r="29">
      <c r="A29" s="63" t="n">
        <v>23102</v>
      </c>
      <c r="B29" s="61">
        <f>VLOOKUP(Table1[[#This Row],[Date]],'DB Money Supply'!$A:$F,6)</f>
        <v/>
      </c>
    </row>
    <row r="30">
      <c r="A30" s="63" t="n">
        <v>23193</v>
      </c>
      <c r="B30" s="61">
        <f>VLOOKUP(Table1[[#This Row],[Date]],'DB Money Supply'!$A:$F,6)</f>
        <v/>
      </c>
    </row>
    <row r="31">
      <c r="A31" s="63" t="n">
        <v>23285</v>
      </c>
      <c r="B31" s="61">
        <f>VLOOKUP(Table1[[#This Row],[Date]],'DB Money Supply'!$A:$F,6)</f>
        <v/>
      </c>
    </row>
    <row r="32">
      <c r="A32" s="63" t="n">
        <v>23377</v>
      </c>
      <c r="B32" s="61">
        <f>VLOOKUP(Table1[[#This Row],[Date]],'DB Money Supply'!$A:$F,6)</f>
        <v/>
      </c>
    </row>
    <row r="33">
      <c r="A33" s="63" t="n">
        <v>23468</v>
      </c>
      <c r="B33" s="61">
        <f>VLOOKUP(Table1[[#This Row],[Date]],'DB Money Supply'!$A:$F,6)</f>
        <v/>
      </c>
    </row>
    <row r="34">
      <c r="A34" s="63" t="n">
        <v>23559</v>
      </c>
      <c r="B34" s="61">
        <f>VLOOKUP(Table1[[#This Row],[Date]],'DB Money Supply'!$A:$F,6)</f>
        <v/>
      </c>
    </row>
    <row r="35">
      <c r="A35" s="63" t="n">
        <v>23651</v>
      </c>
      <c r="B35" s="61">
        <f>VLOOKUP(Table1[[#This Row],[Date]],'DB Money Supply'!$A:$F,6)</f>
        <v/>
      </c>
    </row>
    <row r="36">
      <c r="A36" s="63" t="n">
        <v>23743</v>
      </c>
      <c r="B36" s="61">
        <f>VLOOKUP(Table1[[#This Row],[Date]],'DB Money Supply'!$A:$F,6)</f>
        <v/>
      </c>
    </row>
    <row r="37">
      <c r="A37" s="63" t="n">
        <v>23833</v>
      </c>
      <c r="B37" s="61">
        <f>VLOOKUP(Table1[[#This Row],[Date]],'DB Money Supply'!$A:$F,6)</f>
        <v/>
      </c>
    </row>
    <row r="38">
      <c r="A38" s="63" t="n">
        <v>23924</v>
      </c>
      <c r="B38" s="61">
        <f>VLOOKUP(Table1[[#This Row],[Date]],'DB Money Supply'!$A:$F,6)</f>
        <v/>
      </c>
    </row>
    <row r="39">
      <c r="A39" s="63" t="n">
        <v>24016</v>
      </c>
      <c r="B39" s="61">
        <f>VLOOKUP(Table1[[#This Row],[Date]],'DB Money Supply'!$A:$F,6)</f>
        <v/>
      </c>
    </row>
    <row r="40">
      <c r="A40" s="63" t="n">
        <v>24108</v>
      </c>
      <c r="B40" s="61">
        <f>VLOOKUP(Table1[[#This Row],[Date]],'DB Money Supply'!$A:$F,6)</f>
        <v/>
      </c>
    </row>
    <row r="41">
      <c r="A41" s="63" t="n">
        <v>24198</v>
      </c>
      <c r="B41" s="61">
        <f>VLOOKUP(Table1[[#This Row],[Date]],'DB Money Supply'!$A:$F,6)</f>
        <v/>
      </c>
    </row>
    <row r="42">
      <c r="A42" s="63" t="n">
        <v>24289</v>
      </c>
      <c r="B42" s="61">
        <f>VLOOKUP(Table1[[#This Row],[Date]],'DB Money Supply'!$A:$F,6)</f>
        <v/>
      </c>
    </row>
    <row r="43">
      <c r="A43" s="63" t="n">
        <v>24381</v>
      </c>
      <c r="B43" s="61">
        <f>VLOOKUP(Table1[[#This Row],[Date]],'DB Money Supply'!$A:$F,6)</f>
        <v/>
      </c>
    </row>
    <row r="44">
      <c r="A44" s="63" t="n">
        <v>24473</v>
      </c>
      <c r="B44" s="61">
        <f>VLOOKUP(Table1[[#This Row],[Date]],'DB Money Supply'!$A:$F,6)</f>
        <v/>
      </c>
    </row>
    <row r="45">
      <c r="A45" s="63" t="n">
        <v>24563</v>
      </c>
      <c r="B45" s="61">
        <f>VLOOKUP(Table1[[#This Row],[Date]],'DB Money Supply'!$A:$F,6)</f>
        <v/>
      </c>
    </row>
    <row r="46">
      <c r="A46" s="63" t="n">
        <v>24654</v>
      </c>
      <c r="B46" s="61">
        <f>VLOOKUP(Table1[[#This Row],[Date]],'DB Money Supply'!$A:$F,6)</f>
        <v/>
      </c>
    </row>
    <row r="47">
      <c r="A47" s="63" t="n">
        <v>24746</v>
      </c>
      <c r="B47" s="61">
        <f>VLOOKUP(Table1[[#This Row],[Date]],'DB Money Supply'!$A:$F,6)</f>
        <v/>
      </c>
    </row>
    <row r="48">
      <c r="A48" s="63" t="n">
        <v>24838</v>
      </c>
      <c r="B48" s="61">
        <f>VLOOKUP(Table1[[#This Row],[Date]],'DB Money Supply'!$A:$F,6)</f>
        <v/>
      </c>
    </row>
    <row r="49">
      <c r="A49" s="63" t="n">
        <v>24929</v>
      </c>
      <c r="B49" s="61">
        <f>VLOOKUP(Table1[[#This Row],[Date]],'DB Money Supply'!$A:$F,6)</f>
        <v/>
      </c>
    </row>
    <row r="50">
      <c r="A50" s="63" t="n">
        <v>25020</v>
      </c>
      <c r="B50" s="61">
        <f>VLOOKUP(Table1[[#This Row],[Date]],'DB Money Supply'!$A:$F,6)</f>
        <v/>
      </c>
    </row>
    <row r="51">
      <c r="A51" s="63" t="n">
        <v>25112</v>
      </c>
      <c r="B51" s="61">
        <f>VLOOKUP(Table1[[#This Row],[Date]],'DB Money Supply'!$A:$F,6)</f>
        <v/>
      </c>
    </row>
    <row r="52">
      <c r="A52" s="63" t="n">
        <v>25204</v>
      </c>
      <c r="B52" s="61">
        <f>VLOOKUP(Table1[[#This Row],[Date]],'DB Money Supply'!$A:$F,6)</f>
        <v/>
      </c>
    </row>
    <row r="53">
      <c r="A53" s="63" t="n">
        <v>25294</v>
      </c>
      <c r="B53" s="61">
        <f>VLOOKUP(Table1[[#This Row],[Date]],'DB Money Supply'!$A:$F,6)</f>
        <v/>
      </c>
    </row>
    <row r="54">
      <c r="A54" s="63" t="n">
        <v>25385</v>
      </c>
      <c r="B54" s="61">
        <f>VLOOKUP(Table1[[#This Row],[Date]],'DB Money Supply'!$A:$F,6)</f>
        <v/>
      </c>
    </row>
    <row r="55">
      <c r="A55" s="63" t="n">
        <v>25477</v>
      </c>
      <c r="B55" s="61">
        <f>VLOOKUP(Table1[[#This Row],[Date]],'DB Money Supply'!$A:$F,6)</f>
        <v/>
      </c>
    </row>
    <row r="56">
      <c r="A56" s="63" t="n">
        <v>25569</v>
      </c>
      <c r="B56" s="61">
        <f>VLOOKUP(Table1[[#This Row],[Date]],'DB Money Supply'!$A:$F,6)</f>
        <v/>
      </c>
    </row>
    <row r="57">
      <c r="A57" s="63" t="n">
        <v>25659</v>
      </c>
      <c r="B57" s="61">
        <f>VLOOKUP(Table1[[#This Row],[Date]],'DB Money Supply'!$A:$F,6)</f>
        <v/>
      </c>
    </row>
    <row r="58">
      <c r="A58" s="63" t="n">
        <v>25750</v>
      </c>
      <c r="B58" s="61">
        <f>VLOOKUP(Table1[[#This Row],[Date]],'DB Money Supply'!$A:$F,6)</f>
        <v/>
      </c>
    </row>
    <row r="59">
      <c r="A59" s="63" t="n">
        <v>25842</v>
      </c>
      <c r="B59" s="61">
        <f>VLOOKUP(Table1[[#This Row],[Date]],'DB Money Supply'!$A:$F,6)</f>
        <v/>
      </c>
    </row>
    <row r="60">
      <c r="A60" s="63" t="n">
        <v>25934</v>
      </c>
      <c r="B60" s="61">
        <f>VLOOKUP(Table1[[#This Row],[Date]],'DB Money Supply'!$A:$F,6)</f>
        <v/>
      </c>
    </row>
    <row r="61">
      <c r="A61" s="63" t="n">
        <v>26024</v>
      </c>
      <c r="B61" s="61">
        <f>VLOOKUP(Table1[[#This Row],[Date]],'DB Money Supply'!$A:$F,6)</f>
        <v/>
      </c>
    </row>
    <row r="62">
      <c r="A62" s="63" t="n">
        <v>26115</v>
      </c>
      <c r="B62" s="61">
        <f>VLOOKUP(Table1[[#This Row],[Date]],'DB Money Supply'!$A:$F,6)</f>
        <v/>
      </c>
    </row>
    <row r="63">
      <c r="A63" s="63" t="n">
        <v>26207</v>
      </c>
      <c r="B63" s="61">
        <f>VLOOKUP(Table1[[#This Row],[Date]],'DB Money Supply'!$A:$F,6)</f>
        <v/>
      </c>
    </row>
    <row r="64">
      <c r="A64" s="63" t="n">
        <v>26299</v>
      </c>
      <c r="B64" s="61">
        <f>VLOOKUP(Table1[[#This Row],[Date]],'DB Money Supply'!$A:$F,6)</f>
        <v/>
      </c>
    </row>
    <row r="65">
      <c r="A65" s="63" t="n">
        <v>26390</v>
      </c>
      <c r="B65" s="61">
        <f>VLOOKUP(Table1[[#This Row],[Date]],'DB Money Supply'!$A:$F,6)</f>
        <v/>
      </c>
    </row>
    <row r="66">
      <c r="A66" s="63" t="n">
        <v>26481</v>
      </c>
      <c r="B66" s="61">
        <f>VLOOKUP(Table1[[#This Row],[Date]],'DB Money Supply'!$A:$F,6)</f>
        <v/>
      </c>
    </row>
    <row r="67">
      <c r="A67" s="63" t="n">
        <v>26573</v>
      </c>
      <c r="B67" s="61">
        <f>VLOOKUP(Table1[[#This Row],[Date]],'DB Money Supply'!$A:$F,6)</f>
        <v/>
      </c>
    </row>
    <row r="68">
      <c r="A68" s="63" t="n">
        <v>26665</v>
      </c>
      <c r="B68" s="61">
        <f>VLOOKUP(Table1[[#This Row],[Date]],'DB Money Supply'!$A:$F,6)</f>
        <v/>
      </c>
    </row>
    <row r="69">
      <c r="A69" s="63" t="n">
        <v>26755</v>
      </c>
      <c r="B69" s="61">
        <f>VLOOKUP(Table1[[#This Row],[Date]],'DB Money Supply'!$A:$F,6)</f>
        <v/>
      </c>
    </row>
    <row r="70">
      <c r="A70" s="63" t="n">
        <v>26846</v>
      </c>
      <c r="B70" s="61">
        <f>VLOOKUP(Table1[[#This Row],[Date]],'DB Money Supply'!$A:$F,6)</f>
        <v/>
      </c>
    </row>
    <row r="71">
      <c r="A71" s="63" t="n">
        <v>26938</v>
      </c>
      <c r="B71" s="61">
        <f>VLOOKUP(Table1[[#This Row],[Date]],'DB Money Supply'!$A:$F,6)</f>
        <v/>
      </c>
    </row>
    <row r="72">
      <c r="A72" s="63" t="n">
        <v>27030</v>
      </c>
      <c r="B72" s="61">
        <f>VLOOKUP(Table1[[#This Row],[Date]],'DB Money Supply'!$A:$F,6)</f>
        <v/>
      </c>
    </row>
    <row r="73">
      <c r="A73" s="63" t="n">
        <v>27120</v>
      </c>
      <c r="B73" s="61">
        <f>VLOOKUP(Table1[[#This Row],[Date]],'DB Money Supply'!$A:$F,6)</f>
        <v/>
      </c>
    </row>
    <row r="74">
      <c r="A74" s="63" t="n">
        <v>27211</v>
      </c>
      <c r="B74" s="61">
        <f>VLOOKUP(Table1[[#This Row],[Date]],'DB Money Supply'!$A:$F,6)</f>
        <v/>
      </c>
    </row>
    <row r="75">
      <c r="A75" s="63" t="n">
        <v>27303</v>
      </c>
      <c r="B75" s="61">
        <f>VLOOKUP(Table1[[#This Row],[Date]],'DB Money Supply'!$A:$F,6)</f>
        <v/>
      </c>
    </row>
    <row r="76">
      <c r="A76" s="63" t="n">
        <v>27395</v>
      </c>
      <c r="B76" s="61">
        <f>VLOOKUP(Table1[[#This Row],[Date]],'DB Money Supply'!$A:$F,6)</f>
        <v/>
      </c>
    </row>
    <row r="77">
      <c r="A77" s="63" t="n">
        <v>27485</v>
      </c>
      <c r="B77" s="61">
        <f>VLOOKUP(Table1[[#This Row],[Date]],'DB Money Supply'!$A:$F,6)</f>
        <v/>
      </c>
    </row>
    <row r="78">
      <c r="A78" s="63" t="n">
        <v>27576</v>
      </c>
      <c r="B78" s="61">
        <f>VLOOKUP(Table1[[#This Row],[Date]],'DB Money Supply'!$A:$F,6)</f>
        <v/>
      </c>
    </row>
    <row r="79">
      <c r="A79" s="63" t="n">
        <v>27668</v>
      </c>
      <c r="B79" s="61">
        <f>VLOOKUP(Table1[[#This Row],[Date]],'DB Money Supply'!$A:$F,6)</f>
        <v/>
      </c>
    </row>
    <row r="80">
      <c r="A80" s="63" t="n">
        <v>27760</v>
      </c>
      <c r="B80" s="61">
        <f>VLOOKUP(Table1[[#This Row],[Date]],'DB Money Supply'!$A:$F,6)</f>
        <v/>
      </c>
    </row>
    <row r="81">
      <c r="A81" s="63" t="n">
        <v>27851</v>
      </c>
      <c r="B81" s="61">
        <f>VLOOKUP(Table1[[#This Row],[Date]],'DB Money Supply'!$A:$F,6)</f>
        <v/>
      </c>
    </row>
    <row r="82">
      <c r="A82" s="63" t="n">
        <v>27942</v>
      </c>
      <c r="B82" s="61">
        <f>VLOOKUP(Table1[[#This Row],[Date]],'DB Money Supply'!$A:$F,6)</f>
        <v/>
      </c>
    </row>
    <row r="83">
      <c r="A83" s="63" t="n">
        <v>28034</v>
      </c>
      <c r="B83" s="61">
        <f>VLOOKUP(Table1[[#This Row],[Date]],'DB Money Supply'!$A:$F,6)</f>
        <v/>
      </c>
    </row>
    <row r="84">
      <c r="A84" s="63" t="n">
        <v>28126</v>
      </c>
      <c r="B84" s="61">
        <f>VLOOKUP(Table1[[#This Row],[Date]],'DB Money Supply'!$A:$F,6)</f>
        <v/>
      </c>
    </row>
    <row r="85">
      <c r="A85" s="63" t="n">
        <v>28216</v>
      </c>
      <c r="B85" s="61">
        <f>VLOOKUP(Table1[[#This Row],[Date]],'DB Money Supply'!$A:$F,6)</f>
        <v/>
      </c>
    </row>
    <row r="86">
      <c r="A86" s="63" t="n">
        <v>28307</v>
      </c>
      <c r="B86" s="61">
        <f>VLOOKUP(Table1[[#This Row],[Date]],'DB Money Supply'!$A:$F,6)</f>
        <v/>
      </c>
    </row>
    <row r="87">
      <c r="A87" s="63" t="n">
        <v>28399</v>
      </c>
      <c r="B87" s="61">
        <f>VLOOKUP(Table1[[#This Row],[Date]],'DB Money Supply'!$A:$F,6)</f>
        <v/>
      </c>
    </row>
    <row r="88">
      <c r="A88" s="63" t="n">
        <v>28491</v>
      </c>
      <c r="B88" s="61">
        <f>VLOOKUP(Table1[[#This Row],[Date]],'DB Money Supply'!$A:$F,6)</f>
        <v/>
      </c>
    </row>
    <row r="89">
      <c r="A89" s="63" t="n">
        <v>28581</v>
      </c>
      <c r="B89" s="61">
        <f>VLOOKUP(Table1[[#This Row],[Date]],'DB Money Supply'!$A:$F,6)</f>
        <v/>
      </c>
    </row>
    <row r="90">
      <c r="A90" s="63" t="n">
        <v>28672</v>
      </c>
      <c r="B90" s="61">
        <f>VLOOKUP(Table1[[#This Row],[Date]],'DB Money Supply'!$A:$F,6)</f>
        <v/>
      </c>
    </row>
    <row r="91">
      <c r="A91" s="63" t="n">
        <v>28764</v>
      </c>
      <c r="B91" s="61">
        <f>VLOOKUP(Table1[[#This Row],[Date]],'DB Money Supply'!$A:$F,6)</f>
        <v/>
      </c>
    </row>
    <row r="92">
      <c r="A92" s="63" t="n">
        <v>28856</v>
      </c>
      <c r="B92" s="61">
        <f>VLOOKUP(Table1[[#This Row],[Date]],'DB Money Supply'!$A:$F,6)</f>
        <v/>
      </c>
    </row>
    <row r="93">
      <c r="A93" s="63" t="n">
        <v>28946</v>
      </c>
      <c r="B93" s="61">
        <f>VLOOKUP(Table1[[#This Row],[Date]],'DB Money Supply'!$A:$F,6)</f>
        <v/>
      </c>
    </row>
    <row r="94">
      <c r="A94" s="63" t="n">
        <v>29037</v>
      </c>
      <c r="B94" s="61">
        <f>VLOOKUP(Table1[[#This Row],[Date]],'DB Money Supply'!$A:$F,6)</f>
        <v/>
      </c>
    </row>
    <row r="95">
      <c r="A95" s="63" t="n">
        <v>29129</v>
      </c>
      <c r="B95" s="61">
        <f>VLOOKUP(Table1[[#This Row],[Date]],'DB Money Supply'!$A:$F,6)</f>
        <v/>
      </c>
    </row>
    <row r="96">
      <c r="A96" s="63" t="n">
        <v>29221</v>
      </c>
      <c r="B96" s="61">
        <f>VLOOKUP(Table1[[#This Row],[Date]],'DB Money Supply'!$A:$F,6)</f>
        <v/>
      </c>
    </row>
    <row r="97">
      <c r="A97" s="63" t="n">
        <v>29312</v>
      </c>
      <c r="B97" s="61">
        <f>VLOOKUP(Table1[[#This Row],[Date]],'DB Money Supply'!$A:$F,6)</f>
        <v/>
      </c>
    </row>
    <row r="98">
      <c r="A98" s="63" t="n">
        <v>29403</v>
      </c>
      <c r="B98" s="61">
        <f>VLOOKUP(Table1[[#This Row],[Date]],'DB Money Supply'!$A:$F,6)</f>
        <v/>
      </c>
    </row>
    <row r="99">
      <c r="A99" s="63" t="n">
        <v>29495</v>
      </c>
      <c r="B99" s="61">
        <f>VLOOKUP(Table1[[#This Row],[Date]],'DB Money Supply'!$A:$F,6)</f>
        <v/>
      </c>
    </row>
    <row r="100">
      <c r="A100" s="63" t="n">
        <v>29587</v>
      </c>
      <c r="B100" s="61">
        <f>VLOOKUP(Table1[[#This Row],[Date]],'DB Money Supply'!$A:$F,6)</f>
        <v/>
      </c>
    </row>
    <row r="101">
      <c r="A101" s="63" t="n">
        <v>29677</v>
      </c>
      <c r="B101" s="61">
        <f>VLOOKUP(Table1[[#This Row],[Date]],'DB Money Supply'!$A:$F,6)</f>
        <v/>
      </c>
    </row>
    <row r="102">
      <c r="A102" s="63" t="n">
        <v>29768</v>
      </c>
      <c r="B102" s="61">
        <f>VLOOKUP(Table1[[#This Row],[Date]],'DB Money Supply'!$A:$F,6)</f>
        <v/>
      </c>
    </row>
    <row r="103">
      <c r="A103" s="63" t="n">
        <v>29860</v>
      </c>
      <c r="B103" s="61">
        <f>VLOOKUP(Table1[[#This Row],[Date]],'DB Money Supply'!$A:$F,6)</f>
        <v/>
      </c>
    </row>
    <row r="104">
      <c r="A104" s="63" t="n">
        <v>29952</v>
      </c>
      <c r="B104" s="61">
        <f>VLOOKUP(Table1[[#This Row],[Date]],'DB Money Supply'!$A:$F,6)</f>
        <v/>
      </c>
    </row>
    <row r="105">
      <c r="A105" s="63" t="n">
        <v>30042</v>
      </c>
      <c r="B105" s="61">
        <f>VLOOKUP(Table1[[#This Row],[Date]],'DB Money Supply'!$A:$F,6)</f>
        <v/>
      </c>
    </row>
    <row r="106">
      <c r="A106" s="63" t="n">
        <v>30133</v>
      </c>
      <c r="B106" s="61">
        <f>VLOOKUP(Table1[[#This Row],[Date]],'DB Money Supply'!$A:$F,6)</f>
        <v/>
      </c>
    </row>
    <row r="107">
      <c r="A107" s="63" t="n">
        <v>30225</v>
      </c>
      <c r="B107" s="61">
        <f>VLOOKUP(Table1[[#This Row],[Date]],'DB Money Supply'!$A:$F,6)</f>
        <v/>
      </c>
    </row>
    <row r="108">
      <c r="A108" s="63" t="n">
        <v>30317</v>
      </c>
      <c r="B108" s="61">
        <f>VLOOKUP(Table1[[#This Row],[Date]],'DB Money Supply'!$A:$F,6)</f>
        <v/>
      </c>
    </row>
    <row r="109">
      <c r="A109" s="63" t="n">
        <v>30407</v>
      </c>
      <c r="B109" s="61">
        <f>VLOOKUP(Table1[[#This Row],[Date]],'DB Money Supply'!$A:$F,6)</f>
        <v/>
      </c>
    </row>
    <row r="110">
      <c r="A110" s="63" t="n">
        <v>30498</v>
      </c>
      <c r="B110" s="61">
        <f>VLOOKUP(Table1[[#This Row],[Date]],'DB Money Supply'!$A:$F,6)</f>
        <v/>
      </c>
    </row>
    <row r="111">
      <c r="A111" s="63" t="n">
        <v>30590</v>
      </c>
      <c r="B111" s="61">
        <f>VLOOKUP(Table1[[#This Row],[Date]],'DB Money Supply'!$A:$F,6)</f>
        <v/>
      </c>
    </row>
    <row r="112">
      <c r="A112" s="63" t="n">
        <v>30682</v>
      </c>
      <c r="B112" s="61">
        <f>VLOOKUP(Table1[[#This Row],[Date]],'DB Money Supply'!$A:$F,6)</f>
        <v/>
      </c>
    </row>
    <row r="113">
      <c r="A113" s="63" t="n">
        <v>30773</v>
      </c>
      <c r="B113" s="61">
        <f>VLOOKUP(Table1[[#This Row],[Date]],'DB Money Supply'!$A:$F,6)</f>
        <v/>
      </c>
    </row>
    <row r="114">
      <c r="A114" s="63" t="n">
        <v>30864</v>
      </c>
      <c r="B114" s="61">
        <f>VLOOKUP(Table1[[#This Row],[Date]],'DB Money Supply'!$A:$F,6)</f>
        <v/>
      </c>
    </row>
    <row r="115">
      <c r="A115" s="63" t="n">
        <v>30956</v>
      </c>
      <c r="B115" s="61">
        <f>VLOOKUP(Table1[[#This Row],[Date]],'DB Money Supply'!$A:$F,6)</f>
        <v/>
      </c>
    </row>
    <row r="116">
      <c r="A116" s="63" t="n">
        <v>31048</v>
      </c>
      <c r="B116" s="61">
        <f>VLOOKUP(Table1[[#This Row],[Date]],'DB Money Supply'!$A:$F,6)</f>
        <v/>
      </c>
    </row>
    <row r="117">
      <c r="A117" s="63" t="n">
        <v>31138</v>
      </c>
      <c r="B117" s="61">
        <f>VLOOKUP(Table1[[#This Row],[Date]],'DB Money Supply'!$A:$F,6)</f>
        <v/>
      </c>
    </row>
    <row r="118">
      <c r="A118" s="63" t="n">
        <v>31229</v>
      </c>
      <c r="B118" s="61">
        <f>VLOOKUP(Table1[[#This Row],[Date]],'DB Money Supply'!$A:$F,6)</f>
        <v/>
      </c>
    </row>
    <row r="119">
      <c r="A119" s="63" t="n">
        <v>31321</v>
      </c>
      <c r="B119" s="61">
        <f>VLOOKUP(Table1[[#This Row],[Date]],'DB Money Supply'!$A:$F,6)</f>
        <v/>
      </c>
    </row>
    <row r="120">
      <c r="A120" s="63" t="n">
        <v>31413</v>
      </c>
      <c r="B120" s="61">
        <f>VLOOKUP(Table1[[#This Row],[Date]],'DB Money Supply'!$A:$F,6)</f>
        <v/>
      </c>
    </row>
    <row r="121">
      <c r="A121" s="63" t="n">
        <v>31503</v>
      </c>
      <c r="B121" s="61">
        <f>VLOOKUP(Table1[[#This Row],[Date]],'DB Money Supply'!$A:$F,6)</f>
        <v/>
      </c>
    </row>
    <row r="122">
      <c r="A122" s="63" t="n">
        <v>31594</v>
      </c>
      <c r="B122" s="61">
        <f>VLOOKUP(Table1[[#This Row],[Date]],'DB Money Supply'!$A:$F,6)</f>
        <v/>
      </c>
    </row>
    <row r="123">
      <c r="A123" s="63" t="n">
        <v>31686</v>
      </c>
      <c r="B123" s="61">
        <f>VLOOKUP(Table1[[#This Row],[Date]],'DB Money Supply'!$A:$F,6)</f>
        <v/>
      </c>
    </row>
    <row r="124">
      <c r="A124" s="63" t="n">
        <v>31778</v>
      </c>
      <c r="B124" s="61">
        <f>VLOOKUP(Table1[[#This Row],[Date]],'DB Money Supply'!$A:$F,6)</f>
        <v/>
      </c>
    </row>
    <row r="125">
      <c r="A125" s="63" t="n">
        <v>31868</v>
      </c>
      <c r="B125" s="61">
        <f>VLOOKUP(Table1[[#This Row],[Date]],'DB Money Supply'!$A:$F,6)</f>
        <v/>
      </c>
    </row>
    <row r="126">
      <c r="A126" s="63" t="n">
        <v>31959</v>
      </c>
      <c r="B126" s="61">
        <f>VLOOKUP(Table1[[#This Row],[Date]],'DB Money Supply'!$A:$F,6)</f>
        <v/>
      </c>
    </row>
    <row r="127">
      <c r="A127" s="63" t="n">
        <v>32051</v>
      </c>
      <c r="B127" s="61">
        <f>VLOOKUP(Table1[[#This Row],[Date]],'DB Money Supply'!$A:$F,6)</f>
        <v/>
      </c>
    </row>
    <row r="128">
      <c r="A128" s="63" t="n">
        <v>32143</v>
      </c>
      <c r="B128" s="61">
        <f>VLOOKUP(Table1[[#This Row],[Date]],'DB Money Supply'!$A:$F,6)</f>
        <v/>
      </c>
    </row>
    <row r="129">
      <c r="A129" s="63" t="n">
        <v>32234</v>
      </c>
      <c r="B129" s="61">
        <f>VLOOKUP(Table1[[#This Row],[Date]],'DB Money Supply'!$A:$F,6)</f>
        <v/>
      </c>
    </row>
    <row r="130">
      <c r="A130" s="63" t="n">
        <v>32325</v>
      </c>
      <c r="B130" s="61">
        <f>VLOOKUP(Table1[[#This Row],[Date]],'DB Money Supply'!$A:$F,6)</f>
        <v/>
      </c>
    </row>
    <row r="131">
      <c r="A131" s="63" t="n">
        <v>32417</v>
      </c>
      <c r="B131" s="61">
        <f>VLOOKUP(Table1[[#This Row],[Date]],'DB Money Supply'!$A:$F,6)</f>
        <v/>
      </c>
    </row>
    <row r="132">
      <c r="A132" s="63" t="n">
        <v>32509</v>
      </c>
      <c r="B132" s="61">
        <f>VLOOKUP(Table1[[#This Row],[Date]],'DB Money Supply'!$A:$F,6)</f>
        <v/>
      </c>
    </row>
    <row r="133">
      <c r="A133" s="63" t="n">
        <v>32599</v>
      </c>
      <c r="B133" s="61">
        <f>VLOOKUP(Table1[[#This Row],[Date]],'DB Money Supply'!$A:$F,6)</f>
        <v/>
      </c>
    </row>
    <row r="134">
      <c r="A134" s="63" t="n">
        <v>32690</v>
      </c>
      <c r="B134" s="61">
        <f>VLOOKUP(Table1[[#This Row],[Date]],'DB Money Supply'!$A:$F,6)</f>
        <v/>
      </c>
    </row>
    <row r="135">
      <c r="A135" s="63" t="n">
        <v>32782</v>
      </c>
      <c r="B135" s="61">
        <f>VLOOKUP(Table1[[#This Row],[Date]],'DB Money Supply'!$A:$F,6)</f>
        <v/>
      </c>
    </row>
    <row r="136">
      <c r="A136" s="63" t="n">
        <v>32874</v>
      </c>
      <c r="B136" s="61">
        <f>VLOOKUP(Table1[[#This Row],[Date]],'DB Money Supply'!$A:$F,6)</f>
        <v/>
      </c>
    </row>
    <row r="137">
      <c r="A137" s="63" t="n">
        <v>32964</v>
      </c>
      <c r="B137" s="61">
        <f>VLOOKUP(Table1[[#This Row],[Date]],'DB Money Supply'!$A:$F,6)</f>
        <v/>
      </c>
    </row>
    <row r="138">
      <c r="A138" s="63" t="n">
        <v>33055</v>
      </c>
      <c r="B138" s="61">
        <f>VLOOKUP(Table1[[#This Row],[Date]],'DB Money Supply'!$A:$F,6)</f>
        <v/>
      </c>
    </row>
    <row r="139">
      <c r="A139" s="63" t="n">
        <v>33147</v>
      </c>
      <c r="B139" s="61">
        <f>VLOOKUP(Table1[[#This Row],[Date]],'DB Money Supply'!$A:$F,6)</f>
        <v/>
      </c>
    </row>
    <row r="140">
      <c r="A140" s="63" t="n">
        <v>33239</v>
      </c>
      <c r="B140" s="61">
        <f>VLOOKUP(Table1[[#This Row],[Date]],'DB Money Supply'!$A:$F,6)</f>
        <v/>
      </c>
    </row>
    <row r="141">
      <c r="A141" s="63" t="n">
        <v>33329</v>
      </c>
      <c r="B141" s="61">
        <f>VLOOKUP(Table1[[#This Row],[Date]],'DB Money Supply'!$A:$F,6)</f>
        <v/>
      </c>
    </row>
    <row r="142">
      <c r="A142" s="63" t="n">
        <v>33420</v>
      </c>
      <c r="B142" s="61">
        <f>VLOOKUP(Table1[[#This Row],[Date]],'DB Money Supply'!$A:$F,6)</f>
        <v/>
      </c>
    </row>
    <row r="143">
      <c r="A143" s="63" t="n">
        <v>33512</v>
      </c>
      <c r="B143" s="61">
        <f>VLOOKUP(Table1[[#This Row],[Date]],'DB Money Supply'!$A:$F,6)</f>
        <v/>
      </c>
    </row>
    <row r="144">
      <c r="A144" s="63" t="n">
        <v>33604</v>
      </c>
      <c r="B144" s="61">
        <f>VLOOKUP(Table1[[#This Row],[Date]],'DB Money Supply'!$A:$F,6)</f>
        <v/>
      </c>
    </row>
    <row r="145">
      <c r="A145" s="63" t="n">
        <v>33695</v>
      </c>
      <c r="B145" s="61">
        <f>VLOOKUP(Table1[[#This Row],[Date]],'DB Money Supply'!$A:$F,6)</f>
        <v/>
      </c>
    </row>
    <row r="146">
      <c r="A146" s="63" t="n">
        <v>33786</v>
      </c>
      <c r="B146" s="61">
        <f>VLOOKUP(Table1[[#This Row],[Date]],'DB Money Supply'!$A:$F,6)</f>
        <v/>
      </c>
    </row>
    <row r="147">
      <c r="A147" s="63" t="n">
        <v>33878</v>
      </c>
      <c r="B147" s="61">
        <f>VLOOKUP(Table1[[#This Row],[Date]],'DB Money Supply'!$A:$F,6)</f>
        <v/>
      </c>
    </row>
    <row r="148">
      <c r="A148" s="63" t="n">
        <v>33970</v>
      </c>
      <c r="B148" s="61">
        <f>VLOOKUP(Table1[[#This Row],[Date]],'DB Money Supply'!$A:$F,6)</f>
        <v/>
      </c>
    </row>
    <row r="149">
      <c r="A149" s="63" t="n">
        <v>34060</v>
      </c>
      <c r="B149" s="61">
        <f>VLOOKUP(Table1[[#This Row],[Date]],'DB Money Supply'!$A:$F,6)</f>
        <v/>
      </c>
    </row>
    <row r="150">
      <c r="A150" s="63" t="n">
        <v>34151</v>
      </c>
      <c r="B150" s="61">
        <f>VLOOKUP(Table1[[#This Row],[Date]],'DB Money Supply'!$A:$F,6)</f>
        <v/>
      </c>
    </row>
    <row r="151">
      <c r="A151" s="63" t="n">
        <v>34243</v>
      </c>
      <c r="B151" s="61">
        <f>VLOOKUP(Table1[[#This Row],[Date]],'DB Money Supply'!$A:$F,6)</f>
        <v/>
      </c>
    </row>
    <row r="152">
      <c r="A152" s="63" t="n">
        <v>34335</v>
      </c>
      <c r="B152" s="61">
        <f>VLOOKUP(Table1[[#This Row],[Date]],'DB Money Supply'!$A:$F,6)</f>
        <v/>
      </c>
    </row>
    <row r="153">
      <c r="A153" s="63" t="n">
        <v>34425</v>
      </c>
      <c r="B153" s="61">
        <f>VLOOKUP(Table1[[#This Row],[Date]],'DB Money Supply'!$A:$F,6)</f>
        <v/>
      </c>
    </row>
    <row r="154">
      <c r="A154" s="63" t="n">
        <v>34516</v>
      </c>
      <c r="B154" s="61">
        <f>VLOOKUP(Table1[[#This Row],[Date]],'DB Money Supply'!$A:$F,6)</f>
        <v/>
      </c>
    </row>
    <row r="155">
      <c r="A155" s="63" t="n">
        <v>34608</v>
      </c>
      <c r="B155" s="61">
        <f>VLOOKUP(Table1[[#This Row],[Date]],'DB Money Supply'!$A:$F,6)</f>
        <v/>
      </c>
    </row>
    <row r="156">
      <c r="A156" s="63" t="n">
        <v>34700</v>
      </c>
      <c r="B156" s="61">
        <f>VLOOKUP(Table1[[#This Row],[Date]],'DB Money Supply'!$A:$F,6)</f>
        <v/>
      </c>
    </row>
    <row r="157">
      <c r="A157" s="63" t="n">
        <v>34790</v>
      </c>
      <c r="B157" s="61">
        <f>VLOOKUP(Table1[[#This Row],[Date]],'DB Money Supply'!$A:$F,6)</f>
        <v/>
      </c>
    </row>
    <row r="158">
      <c r="A158" s="63" t="n">
        <v>34881</v>
      </c>
      <c r="B158" s="61">
        <f>VLOOKUP(Table1[[#This Row],[Date]],'DB Money Supply'!$A:$F,6)</f>
        <v/>
      </c>
    </row>
    <row r="159">
      <c r="A159" s="63" t="n">
        <v>34973</v>
      </c>
      <c r="B159" s="61">
        <f>VLOOKUP(Table1[[#This Row],[Date]],'DB Money Supply'!$A:$F,6)</f>
        <v/>
      </c>
    </row>
    <row r="160">
      <c r="A160" s="63" t="n">
        <v>35065</v>
      </c>
      <c r="B160" s="61">
        <f>VLOOKUP(Table1[[#This Row],[Date]],'DB Money Supply'!$A:$F,6)</f>
        <v/>
      </c>
    </row>
    <row r="161">
      <c r="A161" s="63" t="n">
        <v>35156</v>
      </c>
      <c r="B161" s="61">
        <f>VLOOKUP(Table1[[#This Row],[Date]],'DB Money Supply'!$A:$F,6)</f>
        <v/>
      </c>
    </row>
    <row r="162">
      <c r="A162" s="63" t="n">
        <v>35247</v>
      </c>
      <c r="B162" s="61">
        <f>VLOOKUP(Table1[[#This Row],[Date]],'DB Money Supply'!$A:$F,6)</f>
        <v/>
      </c>
    </row>
    <row r="163">
      <c r="A163" s="63" t="n">
        <v>35339</v>
      </c>
      <c r="B163" s="61">
        <f>VLOOKUP(Table1[[#This Row],[Date]],'DB Money Supply'!$A:$F,6)</f>
        <v/>
      </c>
    </row>
    <row r="164">
      <c r="A164" s="63" t="n">
        <v>35431</v>
      </c>
      <c r="B164" s="61">
        <f>VLOOKUP(Table1[[#This Row],[Date]],'DB Money Supply'!$A:$F,6)</f>
        <v/>
      </c>
    </row>
    <row r="165">
      <c r="A165" s="63" t="n">
        <v>35521</v>
      </c>
      <c r="B165" s="61">
        <f>VLOOKUP(Table1[[#This Row],[Date]],'DB Money Supply'!$A:$F,6)</f>
        <v/>
      </c>
    </row>
    <row r="166">
      <c r="A166" s="63" t="n">
        <v>35612</v>
      </c>
      <c r="B166" s="61">
        <f>VLOOKUP(Table1[[#This Row],[Date]],'DB Money Supply'!$A:$F,6)</f>
        <v/>
      </c>
    </row>
    <row r="167">
      <c r="A167" s="63" t="n">
        <v>35704</v>
      </c>
      <c r="B167" s="61">
        <f>VLOOKUP(Table1[[#This Row],[Date]],'DB Money Supply'!$A:$F,6)</f>
        <v/>
      </c>
    </row>
    <row r="168">
      <c r="A168" s="63" t="n">
        <v>35796</v>
      </c>
      <c r="B168" s="61">
        <f>VLOOKUP(Table1[[#This Row],[Date]],'DB Money Supply'!$A:$F,6)</f>
        <v/>
      </c>
    </row>
    <row r="169">
      <c r="A169" s="63" t="n">
        <v>35886</v>
      </c>
      <c r="B169" s="61">
        <f>VLOOKUP(Table1[[#This Row],[Date]],'DB Money Supply'!$A:$F,6)</f>
        <v/>
      </c>
    </row>
    <row r="170">
      <c r="A170" s="63" t="n">
        <v>35977</v>
      </c>
      <c r="B170" s="61">
        <f>VLOOKUP(Table1[[#This Row],[Date]],'DB Money Supply'!$A:$F,6)</f>
        <v/>
      </c>
    </row>
    <row r="171">
      <c r="A171" s="63" t="n">
        <v>36069</v>
      </c>
      <c r="B171" s="61">
        <f>VLOOKUP(Table1[[#This Row],[Date]],'DB Money Supply'!$A:$F,6)</f>
        <v/>
      </c>
    </row>
    <row r="172">
      <c r="A172" s="63" t="n">
        <v>36161</v>
      </c>
      <c r="B172" s="61">
        <f>VLOOKUP(Table1[[#This Row],[Date]],'DB Money Supply'!$A:$F,6)</f>
        <v/>
      </c>
    </row>
    <row r="173">
      <c r="A173" s="63" t="n">
        <v>36251</v>
      </c>
      <c r="B173" s="61">
        <f>VLOOKUP(Table1[[#This Row],[Date]],'DB Money Supply'!$A:$F,6)</f>
        <v/>
      </c>
    </row>
    <row r="174">
      <c r="A174" s="63" t="n">
        <v>36342</v>
      </c>
      <c r="B174" s="61">
        <f>VLOOKUP(Table1[[#This Row],[Date]],'DB Money Supply'!$A:$F,6)</f>
        <v/>
      </c>
    </row>
    <row r="175">
      <c r="A175" s="63" t="n">
        <v>36434</v>
      </c>
      <c r="B175" s="61">
        <f>VLOOKUP(Table1[[#This Row],[Date]],'DB Money Supply'!$A:$F,6)</f>
        <v/>
      </c>
    </row>
    <row r="176">
      <c r="A176" s="63" t="n">
        <v>36526</v>
      </c>
      <c r="B176" s="61">
        <f>VLOOKUP(Table1[[#This Row],[Date]],'DB Money Supply'!$A:$F,6)</f>
        <v/>
      </c>
    </row>
    <row r="177">
      <c r="A177" s="63" t="n">
        <v>36617</v>
      </c>
      <c r="B177" s="61">
        <f>VLOOKUP(Table1[[#This Row],[Date]],'DB Money Supply'!$A:$F,6)</f>
        <v/>
      </c>
    </row>
    <row r="178">
      <c r="A178" s="63" t="n">
        <v>36708</v>
      </c>
      <c r="B178" s="61">
        <f>VLOOKUP(Table1[[#This Row],[Date]],'DB Money Supply'!$A:$F,6)</f>
        <v/>
      </c>
    </row>
    <row r="179">
      <c r="A179" s="63" t="n">
        <v>36800</v>
      </c>
      <c r="B179" s="61">
        <f>VLOOKUP(Table1[[#This Row],[Date]],'DB Money Supply'!$A:$F,6)</f>
        <v/>
      </c>
    </row>
    <row r="180">
      <c r="A180" s="63" t="n">
        <v>36892</v>
      </c>
      <c r="B180" s="61">
        <f>VLOOKUP(Table1[[#This Row],[Date]],'DB Money Supply'!$A:$F,6)</f>
        <v/>
      </c>
    </row>
    <row r="181">
      <c r="A181" s="63" t="n">
        <v>36982</v>
      </c>
      <c r="B181" s="61">
        <f>VLOOKUP(Table1[[#This Row],[Date]],'DB Money Supply'!$A:$F,6)</f>
        <v/>
      </c>
    </row>
    <row r="182">
      <c r="A182" s="63" t="n">
        <v>37073</v>
      </c>
      <c r="B182" s="61">
        <f>VLOOKUP(Table1[[#This Row],[Date]],'DB Money Supply'!$A:$F,6)</f>
        <v/>
      </c>
    </row>
    <row r="183">
      <c r="A183" s="63" t="n">
        <v>37165</v>
      </c>
      <c r="B183" s="61">
        <f>VLOOKUP(Table1[[#This Row],[Date]],'DB Money Supply'!$A:$F,6)</f>
        <v/>
      </c>
    </row>
    <row r="184">
      <c r="A184" s="63" t="n">
        <v>37257</v>
      </c>
      <c r="B184" s="61">
        <f>VLOOKUP(Table1[[#This Row],[Date]],'DB Money Supply'!$A:$F,6)</f>
        <v/>
      </c>
    </row>
    <row r="185">
      <c r="A185" s="63" t="n">
        <v>37347</v>
      </c>
      <c r="B185" s="61">
        <f>VLOOKUP(Table1[[#This Row],[Date]],'DB Money Supply'!$A:$F,6)</f>
        <v/>
      </c>
    </row>
    <row r="186">
      <c r="A186" s="63" t="n">
        <v>37438</v>
      </c>
      <c r="B186" s="61">
        <f>VLOOKUP(Table1[[#This Row],[Date]],'DB Money Supply'!$A:$F,6)</f>
        <v/>
      </c>
    </row>
    <row r="187">
      <c r="A187" s="63" t="n">
        <v>37530</v>
      </c>
      <c r="B187" s="61">
        <f>VLOOKUP(Table1[[#This Row],[Date]],'DB Money Supply'!$A:$F,6)</f>
        <v/>
      </c>
    </row>
    <row r="188">
      <c r="A188" s="63" t="n">
        <v>37622</v>
      </c>
      <c r="B188" s="61">
        <f>VLOOKUP(Table1[[#This Row],[Date]],'DB Money Supply'!$A:$F,6)</f>
        <v/>
      </c>
    </row>
    <row r="189">
      <c r="A189" s="63" t="n">
        <v>37712</v>
      </c>
      <c r="B189" s="61">
        <f>VLOOKUP(Table1[[#This Row],[Date]],'DB Money Supply'!$A:$F,6)</f>
        <v/>
      </c>
    </row>
    <row r="190">
      <c r="A190" s="63" t="n">
        <v>37803</v>
      </c>
      <c r="B190" s="61">
        <f>VLOOKUP(Table1[[#This Row],[Date]],'DB Money Supply'!$A:$F,6)</f>
        <v/>
      </c>
    </row>
    <row r="191">
      <c r="A191" s="63" t="n">
        <v>37895</v>
      </c>
      <c r="B191" s="61">
        <f>VLOOKUP(Table1[[#This Row],[Date]],'DB Money Supply'!$A:$F,6)</f>
        <v/>
      </c>
    </row>
    <row r="192">
      <c r="A192" s="63" t="n">
        <v>37987</v>
      </c>
      <c r="B192" s="61">
        <f>VLOOKUP(Table1[[#This Row],[Date]],'DB Money Supply'!$A:$F,6)</f>
        <v/>
      </c>
    </row>
    <row r="193">
      <c r="A193" s="63" t="n">
        <v>38078</v>
      </c>
      <c r="B193" s="61">
        <f>VLOOKUP(Table1[[#This Row],[Date]],'DB Money Supply'!$A:$F,6)</f>
        <v/>
      </c>
    </row>
    <row r="194">
      <c r="A194" s="63" t="n">
        <v>38169</v>
      </c>
      <c r="B194" s="61">
        <f>VLOOKUP(Table1[[#This Row],[Date]],'DB Money Supply'!$A:$F,6)</f>
        <v/>
      </c>
    </row>
    <row r="195">
      <c r="A195" s="63" t="n">
        <v>38261</v>
      </c>
      <c r="B195" s="61">
        <f>VLOOKUP(Table1[[#This Row],[Date]],'DB Money Supply'!$A:$F,6)</f>
        <v/>
      </c>
    </row>
    <row r="196">
      <c r="A196" s="63" t="n">
        <v>38353</v>
      </c>
      <c r="B196" s="61">
        <f>VLOOKUP(Table1[[#This Row],[Date]],'DB Money Supply'!$A:$F,6)</f>
        <v/>
      </c>
    </row>
    <row r="197">
      <c r="A197" s="63" t="n">
        <v>38443</v>
      </c>
      <c r="B197" s="61">
        <f>VLOOKUP(Table1[[#This Row],[Date]],'DB Money Supply'!$A:$F,6)</f>
        <v/>
      </c>
    </row>
    <row r="198">
      <c r="A198" s="63" t="n">
        <v>38534</v>
      </c>
      <c r="B198" s="61">
        <f>VLOOKUP(Table1[[#This Row],[Date]],'DB Money Supply'!$A:$F,6)</f>
        <v/>
      </c>
    </row>
    <row r="199">
      <c r="A199" s="63" t="n">
        <v>38626</v>
      </c>
      <c r="B199" s="61">
        <f>VLOOKUP(Table1[[#This Row],[Date]],'DB Money Supply'!$A:$F,6)</f>
        <v/>
      </c>
    </row>
    <row r="200">
      <c r="A200" s="63" t="n">
        <v>38718</v>
      </c>
      <c r="B200" s="61">
        <f>VLOOKUP(Table1[[#This Row],[Date]],'DB Money Supply'!$A:$F,6)</f>
        <v/>
      </c>
    </row>
    <row r="201">
      <c r="A201" s="63" t="n">
        <v>38808</v>
      </c>
      <c r="B201" s="61">
        <f>VLOOKUP(Table1[[#This Row],[Date]],'DB Money Supply'!$A:$F,6)</f>
        <v/>
      </c>
    </row>
    <row r="202">
      <c r="A202" s="63" t="n">
        <v>38899</v>
      </c>
      <c r="B202" s="61">
        <f>VLOOKUP(Table1[[#This Row],[Date]],'DB Money Supply'!$A:$F,6)</f>
        <v/>
      </c>
    </row>
    <row r="203">
      <c r="A203" s="63" t="n">
        <v>38991</v>
      </c>
      <c r="B203" s="61">
        <f>VLOOKUP(Table1[[#This Row],[Date]],'DB Money Supply'!$A:$F,6)</f>
        <v/>
      </c>
    </row>
    <row r="204">
      <c r="A204" s="63" t="n">
        <v>39083</v>
      </c>
      <c r="B204" s="61">
        <f>VLOOKUP(Table1[[#This Row],[Date]],'DB Money Supply'!$A:$F,6)</f>
        <v/>
      </c>
    </row>
    <row r="205">
      <c r="A205" s="63" t="n">
        <v>39173</v>
      </c>
      <c r="B205" s="61">
        <f>VLOOKUP(Table1[[#This Row],[Date]],'DB Money Supply'!$A:$F,6)</f>
        <v/>
      </c>
    </row>
    <row r="206">
      <c r="A206" s="63" t="n">
        <v>39264</v>
      </c>
      <c r="B206" s="61">
        <f>VLOOKUP(Table1[[#This Row],[Date]],'DB Money Supply'!$A:$F,6)</f>
        <v/>
      </c>
    </row>
    <row r="207">
      <c r="A207" s="63" t="n">
        <v>39356</v>
      </c>
      <c r="B207" s="61">
        <f>VLOOKUP(Table1[[#This Row],[Date]],'DB Money Supply'!$A:$F,6)</f>
        <v/>
      </c>
    </row>
    <row r="208">
      <c r="A208" s="63" t="n">
        <v>39448</v>
      </c>
      <c r="B208" s="61">
        <f>VLOOKUP(Table1[[#This Row],[Date]],'DB Money Supply'!$A:$F,6)</f>
        <v/>
      </c>
    </row>
    <row r="209">
      <c r="A209" s="63" t="n">
        <v>39539</v>
      </c>
      <c r="B209" s="61">
        <f>VLOOKUP(Table1[[#This Row],[Date]],'DB Money Supply'!$A:$F,6)</f>
        <v/>
      </c>
    </row>
    <row r="210">
      <c r="A210" s="63" t="n">
        <v>39630</v>
      </c>
      <c r="B210" s="61">
        <f>VLOOKUP(Table1[[#This Row],[Date]],'DB Money Supply'!$A:$F,6)</f>
        <v/>
      </c>
    </row>
    <row r="211">
      <c r="A211" s="63" t="n">
        <v>39722</v>
      </c>
      <c r="B211" s="61">
        <f>VLOOKUP(Table1[[#This Row],[Date]],'DB Money Supply'!$A:$F,6)</f>
        <v/>
      </c>
    </row>
    <row r="212">
      <c r="A212" s="63" t="n">
        <v>39814</v>
      </c>
      <c r="B212" s="61">
        <f>VLOOKUP(Table1[[#This Row],[Date]],'DB Money Supply'!$A:$F,6)</f>
        <v/>
      </c>
    </row>
    <row r="213">
      <c r="A213" s="63" t="n">
        <v>39904</v>
      </c>
      <c r="B213" s="61">
        <f>VLOOKUP(Table1[[#This Row],[Date]],'DB Money Supply'!$A:$F,6)</f>
        <v/>
      </c>
    </row>
    <row r="214">
      <c r="A214" s="63" t="n">
        <v>39995</v>
      </c>
      <c r="B214" s="61">
        <f>VLOOKUP(Table1[[#This Row],[Date]],'DB Money Supply'!$A:$F,6)</f>
        <v/>
      </c>
    </row>
    <row r="215">
      <c r="A215" s="63" t="n">
        <v>40087</v>
      </c>
      <c r="B215" s="61">
        <f>VLOOKUP(Table1[[#This Row],[Date]],'DB Money Supply'!$A:$F,6)</f>
        <v/>
      </c>
    </row>
    <row r="216">
      <c r="A216" s="63" t="n">
        <v>40179</v>
      </c>
      <c r="B216" s="61">
        <f>VLOOKUP(Table1[[#This Row],[Date]],'DB Money Supply'!$A:$F,6)</f>
        <v/>
      </c>
    </row>
    <row r="217">
      <c r="A217" s="63" t="n">
        <v>40269</v>
      </c>
      <c r="B217" s="61">
        <f>VLOOKUP(Table1[[#This Row],[Date]],'DB Money Supply'!$A:$F,6)</f>
        <v/>
      </c>
    </row>
    <row r="218">
      <c r="A218" s="63" t="n">
        <v>40360</v>
      </c>
      <c r="B218" s="61">
        <f>VLOOKUP(Table1[[#This Row],[Date]],'DB Money Supply'!$A:$F,6)</f>
        <v/>
      </c>
    </row>
    <row r="219">
      <c r="A219" s="63" t="n">
        <v>40452</v>
      </c>
      <c r="B219" s="61">
        <f>VLOOKUP(Table1[[#This Row],[Date]],'DB Money Supply'!$A:$F,6)</f>
        <v/>
      </c>
    </row>
    <row r="220">
      <c r="A220" s="63" t="n">
        <v>40544</v>
      </c>
      <c r="B220" s="61">
        <f>VLOOKUP(Table1[[#This Row],[Date]],'DB Money Supply'!$A:$F,6)</f>
        <v/>
      </c>
    </row>
    <row r="221">
      <c r="A221" s="63" t="n">
        <v>40634</v>
      </c>
      <c r="B221" s="61">
        <f>VLOOKUP(Table1[[#This Row],[Date]],'DB Money Supply'!$A:$F,6)</f>
        <v/>
      </c>
    </row>
    <row r="222">
      <c r="A222" s="63" t="n">
        <v>40725</v>
      </c>
      <c r="B222" s="61">
        <f>VLOOKUP(Table1[[#This Row],[Date]],'DB Money Supply'!$A:$F,6)</f>
        <v/>
      </c>
    </row>
    <row r="223">
      <c r="A223" s="63" t="n">
        <v>40817</v>
      </c>
      <c r="B223" s="61">
        <f>VLOOKUP(Table1[[#This Row],[Date]],'DB Money Supply'!$A:$F,6)</f>
        <v/>
      </c>
    </row>
    <row r="224">
      <c r="A224" s="63" t="n">
        <v>40909</v>
      </c>
      <c r="B224" s="61">
        <f>VLOOKUP(Table1[[#This Row],[Date]],'DB Money Supply'!$A:$F,6)</f>
        <v/>
      </c>
    </row>
    <row r="225">
      <c r="A225" s="63" t="n">
        <v>41000</v>
      </c>
      <c r="B225" s="61">
        <f>VLOOKUP(Table1[[#This Row],[Date]],'DB Money Supply'!$A:$F,6)</f>
        <v/>
      </c>
    </row>
    <row r="226">
      <c r="A226" s="63" t="n">
        <v>41091</v>
      </c>
      <c r="B226" s="61">
        <f>VLOOKUP(Table1[[#This Row],[Date]],'DB Money Supply'!$A:$F,6)</f>
        <v/>
      </c>
    </row>
    <row r="227">
      <c r="A227" s="63" t="n">
        <v>41183</v>
      </c>
      <c r="B227" s="61">
        <f>VLOOKUP(Table1[[#This Row],[Date]],'DB Money Supply'!$A:$F,6)</f>
        <v/>
      </c>
    </row>
    <row r="228">
      <c r="A228" s="63" t="n">
        <v>41275</v>
      </c>
      <c r="B228" s="61">
        <f>VLOOKUP(Table1[[#This Row],[Date]],'DB Money Supply'!$A:$F,6)</f>
        <v/>
      </c>
    </row>
    <row r="229">
      <c r="A229" s="63" t="n">
        <v>41365</v>
      </c>
      <c r="B229" s="61">
        <f>VLOOKUP(Table1[[#This Row],[Date]],'DB Money Supply'!$A:$F,6)</f>
        <v/>
      </c>
    </row>
    <row r="230">
      <c r="A230" s="63" t="n">
        <v>41456</v>
      </c>
      <c r="B230" s="61">
        <f>VLOOKUP(Table1[[#This Row],[Date]],'DB Money Supply'!$A:$F,6)</f>
        <v/>
      </c>
    </row>
    <row r="231">
      <c r="A231" s="63" t="n">
        <v>41548</v>
      </c>
      <c r="B231" s="61">
        <f>VLOOKUP(Table1[[#This Row],[Date]],'DB Money Supply'!$A:$F,6)</f>
        <v/>
      </c>
    </row>
    <row r="232">
      <c r="A232" s="63" t="n">
        <v>41640</v>
      </c>
      <c r="B232" s="61">
        <f>VLOOKUP(Table1[[#This Row],[Date]],'DB Money Supply'!$A:$F,6)</f>
        <v/>
      </c>
    </row>
    <row r="233">
      <c r="A233" s="63" t="n">
        <v>41730</v>
      </c>
      <c r="B233" s="61">
        <f>VLOOKUP(Table1[[#This Row],[Date]],'DB Money Supply'!$A:$F,6)</f>
        <v/>
      </c>
    </row>
    <row r="234">
      <c r="A234" s="63" t="n">
        <v>41821</v>
      </c>
      <c r="B234" s="61">
        <f>VLOOKUP(Table1[[#This Row],[Date]],'DB Money Supply'!$A:$F,6)</f>
        <v/>
      </c>
    </row>
    <row r="235">
      <c r="A235" s="63" t="n">
        <v>41913</v>
      </c>
      <c r="B235" s="61">
        <f>VLOOKUP(Table1[[#This Row],[Date]],'DB Money Supply'!$A:$F,6)</f>
        <v/>
      </c>
    </row>
    <row r="236">
      <c r="A236" s="63" t="n">
        <v>42005</v>
      </c>
      <c r="B236" s="61">
        <f>VLOOKUP(Table1[[#This Row],[Date]],'DB Money Supply'!$A:$F,6)</f>
        <v/>
      </c>
    </row>
    <row r="237">
      <c r="A237" s="63" t="n">
        <v>42095</v>
      </c>
      <c r="B237" s="61">
        <f>VLOOKUP(Table1[[#This Row],[Date]],'DB Money Supply'!$A:$F,6)</f>
        <v/>
      </c>
    </row>
    <row r="238">
      <c r="A238" s="63" t="n">
        <v>42186</v>
      </c>
      <c r="B238" s="61">
        <f>VLOOKUP(Table1[[#This Row],[Date]],'DB Money Supply'!$A:$F,6)</f>
        <v/>
      </c>
    </row>
    <row r="239">
      <c r="A239" s="63" t="n">
        <v>42278</v>
      </c>
      <c r="B239" s="61">
        <f>VLOOKUP(Table1[[#This Row],[Date]],'DB Money Supply'!$A:$F,6)</f>
        <v/>
      </c>
    </row>
    <row r="240">
      <c r="A240" s="63" t="n">
        <v>42370</v>
      </c>
      <c r="B240" s="61">
        <f>VLOOKUP(Table1[[#This Row],[Date]],'DB Money Supply'!$A:$F,6)</f>
        <v/>
      </c>
    </row>
    <row r="241">
      <c r="A241" s="63" t="n">
        <v>42461</v>
      </c>
      <c r="B241" s="61">
        <f>VLOOKUP(Table1[[#This Row],[Date]],'DB Money Supply'!$A:$F,6)</f>
        <v/>
      </c>
    </row>
    <row r="242">
      <c r="A242" s="63" t="n">
        <v>42552</v>
      </c>
      <c r="B242" s="61">
        <f>VLOOKUP(Table1[[#This Row],[Date]],'DB Money Supply'!$A:$F,6)</f>
        <v/>
      </c>
    </row>
    <row r="243">
      <c r="A243" s="63" t="n">
        <v>42644</v>
      </c>
      <c r="B243" s="61">
        <f>VLOOKUP(Table1[[#This Row],[Date]],'DB Money Supply'!$A:$F,6)</f>
        <v/>
      </c>
    </row>
    <row r="244">
      <c r="A244" s="63" t="n">
        <v>42736</v>
      </c>
      <c r="B244" s="61">
        <f>VLOOKUP(Table1[[#This Row],[Date]],'DB Money Supply'!$A:$F,6)</f>
        <v/>
      </c>
    </row>
    <row r="245">
      <c r="A245" s="63" t="n">
        <v>42826</v>
      </c>
      <c r="B245" s="61">
        <f>VLOOKUP(Table1[[#This Row],[Date]],'DB Money Supply'!$A:$F,6)</f>
        <v/>
      </c>
    </row>
    <row r="246">
      <c r="A246" s="63" t="n">
        <v>42917</v>
      </c>
      <c r="B246" s="61">
        <f>VLOOKUP(Table1[[#This Row],[Date]],'DB Money Supply'!$A:$F,6)</f>
        <v/>
      </c>
    </row>
    <row r="247">
      <c r="A247" s="63" t="n">
        <v>43009</v>
      </c>
      <c r="B247" s="61">
        <f>VLOOKUP(Table1[[#This Row],[Date]],'DB Money Supply'!$A:$F,6)</f>
        <v/>
      </c>
    </row>
    <row r="248">
      <c r="A248" s="63" t="n">
        <v>43101</v>
      </c>
      <c r="B248" s="61">
        <f>VLOOKUP(Table1[[#This Row],[Date]],'DB Money Supply'!$A:$F,6)</f>
        <v/>
      </c>
    </row>
    <row r="249">
      <c r="A249" s="63" t="n">
        <v>43191</v>
      </c>
      <c r="B249" s="61">
        <f>VLOOKUP(Table1[[#This Row],[Date]],'DB Money Supply'!$A:$F,6)</f>
        <v/>
      </c>
    </row>
    <row r="250">
      <c r="A250" s="63" t="n">
        <v>43282</v>
      </c>
      <c r="B250" s="61">
        <f>VLOOKUP(Table1[[#This Row],[Date]],'DB Money Supply'!$A:$F,6)</f>
        <v/>
      </c>
    </row>
    <row r="251">
      <c r="A251" s="63" t="n">
        <v>43374</v>
      </c>
      <c r="B251" s="61">
        <f>VLOOKUP(Table1[[#This Row],[Date]],'DB Money Supply'!$A:$F,6)</f>
        <v/>
      </c>
    </row>
    <row r="252">
      <c r="A252" s="63" t="n">
        <v>43466</v>
      </c>
      <c r="B252" s="61">
        <f>VLOOKUP(Table1[[#This Row],[Date]],'DB Money Supply'!$A:$F,6)</f>
        <v/>
      </c>
    </row>
    <row r="253">
      <c r="A253" s="63" t="n">
        <v>43556</v>
      </c>
      <c r="B253" s="61">
        <f>VLOOKUP(Table1[[#This Row],[Date]],'DB Money Supply'!$A:$F,6)</f>
        <v/>
      </c>
    </row>
    <row r="254">
      <c r="A254" s="63" t="n">
        <v>43647</v>
      </c>
      <c r="B254" s="61">
        <f>VLOOKUP(Table1[[#This Row],[Date]],'DB Money Supply'!$A:$F,6)</f>
        <v/>
      </c>
    </row>
    <row r="255">
      <c r="A255" s="63" t="n">
        <v>43739</v>
      </c>
      <c r="B255" s="61">
        <f>VLOOKUP(Table1[[#This Row],[Date]],'DB Money Supply'!$A:$F,6)</f>
        <v/>
      </c>
    </row>
    <row r="256">
      <c r="A256" s="63" t="n">
        <v>43831</v>
      </c>
      <c r="B256" s="61">
        <f>VLOOKUP(Table1[[#This Row],[Date]],'DB Money Supply'!$A:$F,6)</f>
        <v/>
      </c>
    </row>
    <row r="257">
      <c r="A257" s="63" t="n">
        <v>43922</v>
      </c>
      <c r="B257" s="61">
        <f>VLOOKUP(Table1[[#This Row],[Date]],'DB Money Supply'!$A:$F,6)</f>
        <v/>
      </c>
    </row>
    <row r="258">
      <c r="A258" s="63" t="n">
        <v>44013</v>
      </c>
      <c r="B258" s="61">
        <f>VLOOKUP(Table1[[#This Row],[Date]],'DB Money Supply'!$A:$F,6)</f>
        <v/>
      </c>
    </row>
    <row r="259">
      <c r="A259" s="63" t="n">
        <v>44105</v>
      </c>
      <c r="B259" s="61">
        <f>VLOOKUP(Table1[[#This Row],[Date]],'DB Money Supply'!$A:$F,6)</f>
        <v/>
      </c>
    </row>
    <row r="260">
      <c r="A260" s="63" t="n">
        <v>44197</v>
      </c>
      <c r="B260" s="61">
        <f>VLOOKUP(Table1[[#This Row],[Date]],'DB Money Supply'!$A:$F,6)</f>
        <v/>
      </c>
    </row>
    <row r="261">
      <c r="A261" s="63" t="n">
        <v>44287</v>
      </c>
      <c r="B261" s="61">
        <f>VLOOKUP(Table1[[#This Row],[Date]],'DB Money Supply'!$A:$F,6)</f>
        <v/>
      </c>
    </row>
    <row r="262">
      <c r="A262" s="63" t="n">
        <v>44378</v>
      </c>
      <c r="B262" s="61">
        <f>VLOOKUP(Table1[[#This Row],[Date]],'DB Money Supply'!$A:$F,6)</f>
        <v/>
      </c>
    </row>
    <row r="263">
      <c r="A263" s="63" t="n">
        <v>44470</v>
      </c>
      <c r="B263" s="61">
        <f>VLOOKUP(Table1[[#This Row],[Date]],'DB Money Supply'!$A:$F,6)</f>
        <v/>
      </c>
    </row>
    <row r="264">
      <c r="A264" s="63" t="n">
        <v>44562</v>
      </c>
      <c r="B264" s="61">
        <f>VLOOKUP(Table1[[#This Row],[Date]],'DB Money Supply'!$A:$F,6)</f>
        <v/>
      </c>
    </row>
    <row r="265">
      <c r="A265" s="63" t="n">
        <v>44652</v>
      </c>
      <c r="B265" s="61">
        <f>VLOOKUP(Table1[[#This Row],[Date]],'DB Money Supply'!$A:$F,6)</f>
        <v/>
      </c>
    </row>
    <row r="266">
      <c r="A266" s="63" t="n">
        <v>44743</v>
      </c>
      <c r="B266" s="61">
        <f>VLOOKUP(Table1[[#This Row],[Date]],'DB Money Supply'!$A:$F,6)</f>
        <v/>
      </c>
    </row>
    <row r="267">
      <c r="A267" s="63" t="n">
        <v>44835</v>
      </c>
      <c r="B267" s="61">
        <f>VLOOKUP(Table1[[#This Row],[Date]],'DB Money Supply'!$A:$F,6)</f>
        <v/>
      </c>
    </row>
  </sheetData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6.xml><?xml version="1.0" encoding="utf-8"?>
<worksheet xmlns="http://schemas.openxmlformats.org/spreadsheetml/2006/main">
  <sheetPr codeName="Sheet14">
    <outlinePr summaryBelow="1" summaryRight="1"/>
    <pageSetUpPr/>
  </sheetPr>
  <dimension ref="A1:C775"/>
  <sheetViews>
    <sheetView zoomScale="70" zoomScaleNormal="70" workbookViewId="0">
      <pane ySplit="5" topLeftCell="A753" activePane="bottomLeft" state="frozen"/>
      <selection pane="bottomLeft" activeCell="R754" sqref="R754"/>
    </sheetView>
  </sheetViews>
  <sheetFormatPr baseColWidth="8" defaultColWidth="9.1796875" defaultRowHeight="14.5"/>
  <cols>
    <col width="11.6328125" customWidth="1" style="16" min="1" max="1"/>
    <col width="12" customWidth="1" style="16" min="2" max="2"/>
    <col width="14.6328125" customWidth="1" style="16" min="3" max="3"/>
    <col width="9.1796875" customWidth="1" style="77" min="4" max="6"/>
    <col width="13.36328125" customWidth="1" style="77" min="7" max="7"/>
    <col width="9.1796875" customWidth="1" style="77" min="8" max="46"/>
    <col width="9.1796875" customWidth="1" style="77" min="47" max="16384"/>
  </cols>
  <sheetData>
    <row r="1">
      <c r="A1" s="1" t="inlineStr">
        <is>
          <t>https://fred.stlouisfed.org/series/M1REAL</t>
        </is>
      </c>
    </row>
    <row r="2">
      <c r="A2" s="1" t="n"/>
    </row>
    <row r="4" ht="16" customHeight="1" thickBot="1"/>
    <row r="5" ht="42.75" customHeight="1">
      <c r="A5" s="44" t="inlineStr">
        <is>
          <t>Month</t>
        </is>
      </c>
      <c r="B5" s="45" t="inlineStr">
        <is>
          <t>Real M1 Money Stock</t>
        </is>
      </c>
      <c r="C5" s="46" t="inlineStr">
        <is>
          <t>yoy %</t>
        </is>
      </c>
    </row>
    <row r="6">
      <c r="A6" s="25" t="n">
        <v>21551</v>
      </c>
      <c r="B6" s="26">
        <f>VLOOKUP(Table3032[[#This Row],[Month]],'DB Money Supply'!$A:$D,2)</f>
        <v/>
      </c>
      <c r="C6" s="23" t="n"/>
    </row>
    <row r="7">
      <c r="A7" s="25" t="n">
        <v>21582</v>
      </c>
      <c r="B7" s="26">
        <f>VLOOKUP(Table3032[[#This Row],[Month]],'DB Money Supply'!$A:$D,2)</f>
        <v/>
      </c>
      <c r="C7" s="23" t="n"/>
    </row>
    <row r="8">
      <c r="A8" s="25" t="n">
        <v>21610</v>
      </c>
      <c r="B8" s="26">
        <f>VLOOKUP(Table3032[[#This Row],[Month]],'DB Money Supply'!$A:$D,2)</f>
        <v/>
      </c>
      <c r="C8" s="23" t="n"/>
    </row>
    <row r="9">
      <c r="A9" s="25" t="n">
        <v>21641</v>
      </c>
      <c r="B9" s="26">
        <f>VLOOKUP(Table3032[[#This Row],[Month]],'DB Money Supply'!$A:$D,2)</f>
        <v/>
      </c>
      <c r="C9" s="23" t="n"/>
    </row>
    <row r="10">
      <c r="A10" s="25" t="n">
        <v>21671</v>
      </c>
      <c r="B10" s="26">
        <f>VLOOKUP(Table3032[[#This Row],[Month]],'DB Money Supply'!$A:$D,2)</f>
        <v/>
      </c>
      <c r="C10" s="23" t="n"/>
    </row>
    <row r="11">
      <c r="A11" s="25" t="n">
        <v>21702</v>
      </c>
      <c r="B11" s="26">
        <f>VLOOKUP(Table3032[[#This Row],[Month]],'DB Money Supply'!$A:$D,2)</f>
        <v/>
      </c>
      <c r="C11" s="23" t="n"/>
    </row>
    <row r="12">
      <c r="A12" s="25" t="n">
        <v>21732</v>
      </c>
      <c r="B12" s="26">
        <f>VLOOKUP(Table3032[[#This Row],[Month]],'DB Money Supply'!$A:$D,2)</f>
        <v/>
      </c>
      <c r="C12" s="23" t="n"/>
    </row>
    <row r="13">
      <c r="A13" s="25" t="n">
        <v>21763</v>
      </c>
      <c r="B13" s="26">
        <f>VLOOKUP(Table3032[[#This Row],[Month]],'DB Money Supply'!$A:$D,2)</f>
        <v/>
      </c>
      <c r="C13" s="23" t="n"/>
    </row>
    <row r="14">
      <c r="A14" s="25" t="n">
        <v>21794</v>
      </c>
      <c r="B14" s="26">
        <f>VLOOKUP(Table3032[[#This Row],[Month]],'DB Money Supply'!$A:$D,2)</f>
        <v/>
      </c>
      <c r="C14" s="23" t="n"/>
    </row>
    <row r="15">
      <c r="A15" s="25" t="n">
        <v>21824</v>
      </c>
      <c r="B15" s="26">
        <f>VLOOKUP(Table3032[[#This Row],[Month]],'DB Money Supply'!$A:$D,2)</f>
        <v/>
      </c>
      <c r="C15" s="23" t="n"/>
    </row>
    <row r="16">
      <c r="A16" s="25" t="n">
        <v>21855</v>
      </c>
      <c r="B16" s="26">
        <f>VLOOKUP(Table3032[[#This Row],[Month]],'DB Money Supply'!$A:$D,2)</f>
        <v/>
      </c>
      <c r="C16" s="23" t="n"/>
    </row>
    <row r="17">
      <c r="A17" s="25" t="n">
        <v>21885</v>
      </c>
      <c r="B17" s="26">
        <f>VLOOKUP(Table3032[[#This Row],[Month]],'DB Money Supply'!$A:$D,2)</f>
        <v/>
      </c>
      <c r="C17" s="23" t="n"/>
    </row>
    <row r="18">
      <c r="A18" s="25" t="n">
        <v>21916</v>
      </c>
      <c r="B18" s="26">
        <f>VLOOKUP(Table3032[[#This Row],[Month]],'DB Money Supply'!$A:$D,2)</f>
        <v/>
      </c>
      <c r="C18" s="59">
        <f>(Table3032[[#This Row],[Real M1 Money Stock]]-B6)/B6</f>
        <v/>
      </c>
    </row>
    <row r="19">
      <c r="A19" s="25" t="n">
        <v>21947</v>
      </c>
      <c r="B19" s="26">
        <f>VLOOKUP(Table3032[[#This Row],[Month]],'DB Money Supply'!$A:$D,2)</f>
        <v/>
      </c>
      <c r="C19" s="59">
        <f>(Table3032[[#This Row],[Real M1 Money Stock]]-B7)/B7</f>
        <v/>
      </c>
    </row>
    <row r="20">
      <c r="A20" s="25" t="n">
        <v>21976</v>
      </c>
      <c r="B20" s="26">
        <f>VLOOKUP(Table3032[[#This Row],[Month]],'DB Money Supply'!$A:$D,2)</f>
        <v/>
      </c>
      <c r="C20" s="59">
        <f>(Table3032[[#This Row],[Real M1 Money Stock]]-B8)/B8</f>
        <v/>
      </c>
    </row>
    <row r="21">
      <c r="A21" s="25" t="n">
        <v>22007</v>
      </c>
      <c r="B21" s="26">
        <f>VLOOKUP(Table3032[[#This Row],[Month]],'DB Money Supply'!$A:$D,2)</f>
        <v/>
      </c>
      <c r="C21" s="59">
        <f>(Table3032[[#This Row],[Real M1 Money Stock]]-B9)/B9</f>
        <v/>
      </c>
    </row>
    <row r="22">
      <c r="A22" s="25" t="n">
        <v>22037</v>
      </c>
      <c r="B22" s="26">
        <f>VLOOKUP(Table3032[[#This Row],[Month]],'DB Money Supply'!$A:$D,2)</f>
        <v/>
      </c>
      <c r="C22" s="59">
        <f>(Table3032[[#This Row],[Real M1 Money Stock]]-B10)/B10</f>
        <v/>
      </c>
    </row>
    <row r="23">
      <c r="A23" s="25" t="n">
        <v>22068</v>
      </c>
      <c r="B23" s="26">
        <f>VLOOKUP(Table3032[[#This Row],[Month]],'DB Money Supply'!$A:$D,2)</f>
        <v/>
      </c>
      <c r="C23" s="59">
        <f>(Table3032[[#This Row],[Real M1 Money Stock]]-B11)/B11</f>
        <v/>
      </c>
    </row>
    <row r="24">
      <c r="A24" s="25" t="n">
        <v>22098</v>
      </c>
      <c r="B24" s="26">
        <f>VLOOKUP(Table3032[[#This Row],[Month]],'DB Money Supply'!$A:$D,2)</f>
        <v/>
      </c>
      <c r="C24" s="59">
        <f>(Table3032[[#This Row],[Real M1 Money Stock]]-B12)/B12</f>
        <v/>
      </c>
    </row>
    <row r="25">
      <c r="A25" s="25" t="n">
        <v>22129</v>
      </c>
      <c r="B25" s="26">
        <f>VLOOKUP(Table3032[[#This Row],[Month]],'DB Money Supply'!$A:$D,2)</f>
        <v/>
      </c>
      <c r="C25" s="59">
        <f>(Table3032[[#This Row],[Real M1 Money Stock]]-B13)/B13</f>
        <v/>
      </c>
    </row>
    <row r="26">
      <c r="A26" s="25" t="n">
        <v>22160</v>
      </c>
      <c r="B26" s="26">
        <f>VLOOKUP(Table3032[[#This Row],[Month]],'DB Money Supply'!$A:$D,2)</f>
        <v/>
      </c>
      <c r="C26" s="59">
        <f>(Table3032[[#This Row],[Real M1 Money Stock]]-B14)/B14</f>
        <v/>
      </c>
    </row>
    <row r="27">
      <c r="A27" s="25" t="n">
        <v>22190</v>
      </c>
      <c r="B27" s="26">
        <f>VLOOKUP(Table3032[[#This Row],[Month]],'DB Money Supply'!$A:$D,2)</f>
        <v/>
      </c>
      <c r="C27" s="59">
        <f>(Table3032[[#This Row],[Real M1 Money Stock]]-B15)/B15</f>
        <v/>
      </c>
    </row>
    <row r="28">
      <c r="A28" s="25" t="n">
        <v>22221</v>
      </c>
      <c r="B28" s="26">
        <f>VLOOKUP(Table3032[[#This Row],[Month]],'DB Money Supply'!$A:$D,2)</f>
        <v/>
      </c>
      <c r="C28" s="59">
        <f>(Table3032[[#This Row],[Real M1 Money Stock]]-B16)/B16</f>
        <v/>
      </c>
    </row>
    <row r="29">
      <c r="A29" s="25" t="n">
        <v>22251</v>
      </c>
      <c r="B29" s="26">
        <f>VLOOKUP(Table3032[[#This Row],[Month]],'DB Money Supply'!$A:$D,2)</f>
        <v/>
      </c>
      <c r="C29" s="59">
        <f>(Table3032[[#This Row],[Real M1 Money Stock]]-B17)/B17</f>
        <v/>
      </c>
    </row>
    <row r="30">
      <c r="A30" s="25" t="n">
        <v>22282</v>
      </c>
      <c r="B30" s="26">
        <f>VLOOKUP(Table3032[[#This Row],[Month]],'DB Money Supply'!$A:$D,2)</f>
        <v/>
      </c>
      <c r="C30" s="59">
        <f>(Table3032[[#This Row],[Real M1 Money Stock]]-B18)/B18</f>
        <v/>
      </c>
    </row>
    <row r="31">
      <c r="A31" s="25" t="n">
        <v>22313</v>
      </c>
      <c r="B31" s="26">
        <f>VLOOKUP(Table3032[[#This Row],[Month]],'DB Money Supply'!$A:$D,2)</f>
        <v/>
      </c>
      <c r="C31" s="59">
        <f>(Table3032[[#This Row],[Real M1 Money Stock]]-B19)/B19</f>
        <v/>
      </c>
    </row>
    <row r="32">
      <c r="A32" s="25" t="n">
        <v>22341</v>
      </c>
      <c r="B32" s="26">
        <f>VLOOKUP(Table3032[[#This Row],[Month]],'DB Money Supply'!$A:$D,2)</f>
        <v/>
      </c>
      <c r="C32" s="59">
        <f>(Table3032[[#This Row],[Real M1 Money Stock]]-B20)/B20</f>
        <v/>
      </c>
    </row>
    <row r="33">
      <c r="A33" s="25" t="n">
        <v>22372</v>
      </c>
      <c r="B33" s="26">
        <f>VLOOKUP(Table3032[[#This Row],[Month]],'DB Money Supply'!$A:$D,2)</f>
        <v/>
      </c>
      <c r="C33" s="59">
        <f>(Table3032[[#This Row],[Real M1 Money Stock]]-B21)/B21</f>
        <v/>
      </c>
    </row>
    <row r="34">
      <c r="A34" s="25" t="n">
        <v>22402</v>
      </c>
      <c r="B34" s="26">
        <f>VLOOKUP(Table3032[[#This Row],[Month]],'DB Money Supply'!$A:$D,2)</f>
        <v/>
      </c>
      <c r="C34" s="59">
        <f>(Table3032[[#This Row],[Real M1 Money Stock]]-B22)/B22</f>
        <v/>
      </c>
    </row>
    <row r="35">
      <c r="A35" s="25" t="n">
        <v>22433</v>
      </c>
      <c r="B35" s="26">
        <f>VLOOKUP(Table3032[[#This Row],[Month]],'DB Money Supply'!$A:$D,2)</f>
        <v/>
      </c>
      <c r="C35" s="59">
        <f>(Table3032[[#This Row],[Real M1 Money Stock]]-B23)/B23</f>
        <v/>
      </c>
    </row>
    <row r="36">
      <c r="A36" s="25" t="n">
        <v>22463</v>
      </c>
      <c r="B36" s="26">
        <f>VLOOKUP(Table3032[[#This Row],[Month]],'DB Money Supply'!$A:$D,2)</f>
        <v/>
      </c>
      <c r="C36" s="59">
        <f>(Table3032[[#This Row],[Real M1 Money Stock]]-B24)/B24</f>
        <v/>
      </c>
    </row>
    <row r="37">
      <c r="A37" s="25" t="n">
        <v>22494</v>
      </c>
      <c r="B37" s="26">
        <f>VLOOKUP(Table3032[[#This Row],[Month]],'DB Money Supply'!$A:$D,2)</f>
        <v/>
      </c>
      <c r="C37" s="59">
        <f>(Table3032[[#This Row],[Real M1 Money Stock]]-B25)/B25</f>
        <v/>
      </c>
    </row>
    <row r="38">
      <c r="A38" s="25" t="n">
        <v>22525</v>
      </c>
      <c r="B38" s="26">
        <f>VLOOKUP(Table3032[[#This Row],[Month]],'DB Money Supply'!$A:$D,2)</f>
        <v/>
      </c>
      <c r="C38" s="59">
        <f>(Table3032[[#This Row],[Real M1 Money Stock]]-B26)/B26</f>
        <v/>
      </c>
    </row>
    <row r="39">
      <c r="A39" s="25" t="n">
        <v>22555</v>
      </c>
      <c r="B39" s="26">
        <f>VLOOKUP(Table3032[[#This Row],[Month]],'DB Money Supply'!$A:$D,2)</f>
        <v/>
      </c>
      <c r="C39" s="59">
        <f>(Table3032[[#This Row],[Real M1 Money Stock]]-B27)/B27</f>
        <v/>
      </c>
    </row>
    <row r="40">
      <c r="A40" s="25" t="n">
        <v>22586</v>
      </c>
      <c r="B40" s="26">
        <f>VLOOKUP(Table3032[[#This Row],[Month]],'DB Money Supply'!$A:$D,2)</f>
        <v/>
      </c>
      <c r="C40" s="59">
        <f>(Table3032[[#This Row],[Real M1 Money Stock]]-B28)/B28</f>
        <v/>
      </c>
    </row>
    <row r="41">
      <c r="A41" s="25" t="n">
        <v>22616</v>
      </c>
      <c r="B41" s="26">
        <f>VLOOKUP(Table3032[[#This Row],[Month]],'DB Money Supply'!$A:$D,2)</f>
        <v/>
      </c>
      <c r="C41" s="59">
        <f>(Table3032[[#This Row],[Real M1 Money Stock]]-B29)/B29</f>
        <v/>
      </c>
    </row>
    <row r="42">
      <c r="A42" s="25" t="n">
        <v>22647</v>
      </c>
      <c r="B42" s="26">
        <f>VLOOKUP(Table3032[[#This Row],[Month]],'DB Money Supply'!$A:$D,2)</f>
        <v/>
      </c>
      <c r="C42" s="59">
        <f>(Table3032[[#This Row],[Real M1 Money Stock]]-B30)/B30</f>
        <v/>
      </c>
    </row>
    <row r="43">
      <c r="A43" s="25" t="n">
        <v>22678</v>
      </c>
      <c r="B43" s="26">
        <f>VLOOKUP(Table3032[[#This Row],[Month]],'DB Money Supply'!$A:$D,2)</f>
        <v/>
      </c>
      <c r="C43" s="59">
        <f>(Table3032[[#This Row],[Real M1 Money Stock]]-B31)/B31</f>
        <v/>
      </c>
    </row>
    <row r="44">
      <c r="A44" s="25" t="n">
        <v>22706</v>
      </c>
      <c r="B44" s="26">
        <f>VLOOKUP(Table3032[[#This Row],[Month]],'DB Money Supply'!$A:$D,2)</f>
        <v/>
      </c>
      <c r="C44" s="59">
        <f>(Table3032[[#This Row],[Real M1 Money Stock]]-B32)/B32</f>
        <v/>
      </c>
    </row>
    <row r="45">
      <c r="A45" s="25" t="n">
        <v>22737</v>
      </c>
      <c r="B45" s="26">
        <f>VLOOKUP(Table3032[[#This Row],[Month]],'DB Money Supply'!$A:$D,2)</f>
        <v/>
      </c>
      <c r="C45" s="59">
        <f>(Table3032[[#This Row],[Real M1 Money Stock]]-B33)/B33</f>
        <v/>
      </c>
    </row>
    <row r="46">
      <c r="A46" s="25" t="n">
        <v>22767</v>
      </c>
      <c r="B46" s="26">
        <f>VLOOKUP(Table3032[[#This Row],[Month]],'DB Money Supply'!$A:$D,2)</f>
        <v/>
      </c>
      <c r="C46" s="59">
        <f>(Table3032[[#This Row],[Real M1 Money Stock]]-B34)/B34</f>
        <v/>
      </c>
    </row>
    <row r="47">
      <c r="A47" s="25" t="n">
        <v>22798</v>
      </c>
      <c r="B47" s="26">
        <f>VLOOKUP(Table3032[[#This Row],[Month]],'DB Money Supply'!$A:$D,2)</f>
        <v/>
      </c>
      <c r="C47" s="59">
        <f>(Table3032[[#This Row],[Real M1 Money Stock]]-B35)/B35</f>
        <v/>
      </c>
    </row>
    <row r="48">
      <c r="A48" s="25" t="n">
        <v>22828</v>
      </c>
      <c r="B48" s="26">
        <f>VLOOKUP(Table3032[[#This Row],[Month]],'DB Money Supply'!$A:$D,2)</f>
        <v/>
      </c>
      <c r="C48" s="59">
        <f>(Table3032[[#This Row],[Real M1 Money Stock]]-B36)/B36</f>
        <v/>
      </c>
    </row>
    <row r="49">
      <c r="A49" s="25" t="n">
        <v>22859</v>
      </c>
      <c r="B49" s="26">
        <f>VLOOKUP(Table3032[[#This Row],[Month]],'DB Money Supply'!$A:$D,2)</f>
        <v/>
      </c>
      <c r="C49" s="59">
        <f>(Table3032[[#This Row],[Real M1 Money Stock]]-B37)/B37</f>
        <v/>
      </c>
    </row>
    <row r="50">
      <c r="A50" s="25" t="n">
        <v>22890</v>
      </c>
      <c r="B50" s="26">
        <f>VLOOKUP(Table3032[[#This Row],[Month]],'DB Money Supply'!$A:$D,2)</f>
        <v/>
      </c>
      <c r="C50" s="59">
        <f>(Table3032[[#This Row],[Real M1 Money Stock]]-B38)/B38</f>
        <v/>
      </c>
    </row>
    <row r="51">
      <c r="A51" s="25" t="n">
        <v>22920</v>
      </c>
      <c r="B51" s="26">
        <f>VLOOKUP(Table3032[[#This Row],[Month]],'DB Money Supply'!$A:$D,2)</f>
        <v/>
      </c>
      <c r="C51" s="59">
        <f>(Table3032[[#This Row],[Real M1 Money Stock]]-B39)/B39</f>
        <v/>
      </c>
    </row>
    <row r="52">
      <c r="A52" s="25" t="n">
        <v>22951</v>
      </c>
      <c r="B52" s="26">
        <f>VLOOKUP(Table3032[[#This Row],[Month]],'DB Money Supply'!$A:$D,2)</f>
        <v/>
      </c>
      <c r="C52" s="59">
        <f>(Table3032[[#This Row],[Real M1 Money Stock]]-B40)/B40</f>
        <v/>
      </c>
    </row>
    <row r="53">
      <c r="A53" s="25" t="n">
        <v>22981</v>
      </c>
      <c r="B53" s="26">
        <f>VLOOKUP(Table3032[[#This Row],[Month]],'DB Money Supply'!$A:$D,2)</f>
        <v/>
      </c>
      <c r="C53" s="59">
        <f>(Table3032[[#This Row],[Real M1 Money Stock]]-B41)/B41</f>
        <v/>
      </c>
    </row>
    <row r="54">
      <c r="A54" s="25" t="n">
        <v>23012</v>
      </c>
      <c r="B54" s="26">
        <f>VLOOKUP(Table3032[[#This Row],[Month]],'DB Money Supply'!$A:$D,2)</f>
        <v/>
      </c>
      <c r="C54" s="59">
        <f>(Table3032[[#This Row],[Real M1 Money Stock]]-B42)/B42</f>
        <v/>
      </c>
    </row>
    <row r="55">
      <c r="A55" s="25" t="n">
        <v>23043</v>
      </c>
      <c r="B55" s="26">
        <f>VLOOKUP(Table3032[[#This Row],[Month]],'DB Money Supply'!$A:$D,2)</f>
        <v/>
      </c>
      <c r="C55" s="59">
        <f>(Table3032[[#This Row],[Real M1 Money Stock]]-B43)/B43</f>
        <v/>
      </c>
    </row>
    <row r="56">
      <c r="A56" s="25" t="n">
        <v>23071</v>
      </c>
      <c r="B56" s="26">
        <f>VLOOKUP(Table3032[[#This Row],[Month]],'DB Money Supply'!$A:$D,2)</f>
        <v/>
      </c>
      <c r="C56" s="59">
        <f>(Table3032[[#This Row],[Real M1 Money Stock]]-B44)/B44</f>
        <v/>
      </c>
    </row>
    <row r="57">
      <c r="A57" s="25" t="n">
        <v>23102</v>
      </c>
      <c r="B57" s="26">
        <f>VLOOKUP(Table3032[[#This Row],[Month]],'DB Money Supply'!$A:$D,2)</f>
        <v/>
      </c>
      <c r="C57" s="59">
        <f>(Table3032[[#This Row],[Real M1 Money Stock]]-B45)/B45</f>
        <v/>
      </c>
    </row>
    <row r="58">
      <c r="A58" s="25" t="n">
        <v>23132</v>
      </c>
      <c r="B58" s="26">
        <f>VLOOKUP(Table3032[[#This Row],[Month]],'DB Money Supply'!$A:$D,2)</f>
        <v/>
      </c>
      <c r="C58" s="59">
        <f>(Table3032[[#This Row],[Real M1 Money Stock]]-B46)/B46</f>
        <v/>
      </c>
    </row>
    <row r="59">
      <c r="A59" s="25" t="n">
        <v>23163</v>
      </c>
      <c r="B59" s="26">
        <f>VLOOKUP(Table3032[[#This Row],[Month]],'DB Money Supply'!$A:$D,2)</f>
        <v/>
      </c>
      <c r="C59" s="59">
        <f>(Table3032[[#This Row],[Real M1 Money Stock]]-B47)/B47</f>
        <v/>
      </c>
    </row>
    <row r="60">
      <c r="A60" s="25" t="n">
        <v>23193</v>
      </c>
      <c r="B60" s="26">
        <f>VLOOKUP(Table3032[[#This Row],[Month]],'DB Money Supply'!$A:$D,2)</f>
        <v/>
      </c>
      <c r="C60" s="59">
        <f>(Table3032[[#This Row],[Real M1 Money Stock]]-B48)/B48</f>
        <v/>
      </c>
    </row>
    <row r="61">
      <c r="A61" s="25" t="n">
        <v>23224</v>
      </c>
      <c r="B61" s="26">
        <f>VLOOKUP(Table3032[[#This Row],[Month]],'DB Money Supply'!$A:$D,2)</f>
        <v/>
      </c>
      <c r="C61" s="59">
        <f>(Table3032[[#This Row],[Real M1 Money Stock]]-B49)/B49</f>
        <v/>
      </c>
    </row>
    <row r="62">
      <c r="A62" s="25" t="n">
        <v>23255</v>
      </c>
      <c r="B62" s="26">
        <f>VLOOKUP(Table3032[[#This Row],[Month]],'DB Money Supply'!$A:$D,2)</f>
        <v/>
      </c>
      <c r="C62" s="59">
        <f>(Table3032[[#This Row],[Real M1 Money Stock]]-B50)/B50</f>
        <v/>
      </c>
    </row>
    <row r="63">
      <c r="A63" s="25" t="n">
        <v>23285</v>
      </c>
      <c r="B63" s="26">
        <f>VLOOKUP(Table3032[[#This Row],[Month]],'DB Money Supply'!$A:$D,2)</f>
        <v/>
      </c>
      <c r="C63" s="59">
        <f>(Table3032[[#This Row],[Real M1 Money Stock]]-B51)/B51</f>
        <v/>
      </c>
    </row>
    <row r="64">
      <c r="A64" s="25" t="n">
        <v>23316</v>
      </c>
      <c r="B64" s="26">
        <f>VLOOKUP(Table3032[[#This Row],[Month]],'DB Money Supply'!$A:$D,2)</f>
        <v/>
      </c>
      <c r="C64" s="59">
        <f>(Table3032[[#This Row],[Real M1 Money Stock]]-B52)/B52</f>
        <v/>
      </c>
    </row>
    <row r="65">
      <c r="A65" s="25" t="n">
        <v>23346</v>
      </c>
      <c r="B65" s="26">
        <f>VLOOKUP(Table3032[[#This Row],[Month]],'DB Money Supply'!$A:$D,2)</f>
        <v/>
      </c>
      <c r="C65" s="59">
        <f>(Table3032[[#This Row],[Real M1 Money Stock]]-B53)/B53</f>
        <v/>
      </c>
    </row>
    <row r="66">
      <c r="A66" s="25" t="n">
        <v>23377</v>
      </c>
      <c r="B66" s="26">
        <f>VLOOKUP(Table3032[[#This Row],[Month]],'DB Money Supply'!$A:$D,2)</f>
        <v/>
      </c>
      <c r="C66" s="59">
        <f>(Table3032[[#This Row],[Real M1 Money Stock]]-B54)/B54</f>
        <v/>
      </c>
    </row>
    <row r="67">
      <c r="A67" s="25" t="n">
        <v>23408</v>
      </c>
      <c r="B67" s="26">
        <f>VLOOKUP(Table3032[[#This Row],[Month]],'DB Money Supply'!$A:$D,2)</f>
        <v/>
      </c>
      <c r="C67" s="59">
        <f>(Table3032[[#This Row],[Real M1 Money Stock]]-B55)/B55</f>
        <v/>
      </c>
    </row>
    <row r="68">
      <c r="A68" s="25" t="n">
        <v>23437</v>
      </c>
      <c r="B68" s="26">
        <f>VLOOKUP(Table3032[[#This Row],[Month]],'DB Money Supply'!$A:$D,2)</f>
        <v/>
      </c>
      <c r="C68" s="59">
        <f>(Table3032[[#This Row],[Real M1 Money Stock]]-B56)/B56</f>
        <v/>
      </c>
    </row>
    <row r="69">
      <c r="A69" s="25" t="n">
        <v>23468</v>
      </c>
      <c r="B69" s="26">
        <f>VLOOKUP(Table3032[[#This Row],[Month]],'DB Money Supply'!$A:$D,2)</f>
        <v/>
      </c>
      <c r="C69" s="59">
        <f>(Table3032[[#This Row],[Real M1 Money Stock]]-B57)/B57</f>
        <v/>
      </c>
    </row>
    <row r="70">
      <c r="A70" s="25" t="n">
        <v>23498</v>
      </c>
      <c r="B70" s="26">
        <f>VLOOKUP(Table3032[[#This Row],[Month]],'DB Money Supply'!$A:$D,2)</f>
        <v/>
      </c>
      <c r="C70" s="59">
        <f>(Table3032[[#This Row],[Real M1 Money Stock]]-B58)/B58</f>
        <v/>
      </c>
    </row>
    <row r="71">
      <c r="A71" s="25" t="n">
        <v>23529</v>
      </c>
      <c r="B71" s="26">
        <f>VLOOKUP(Table3032[[#This Row],[Month]],'DB Money Supply'!$A:$D,2)</f>
        <v/>
      </c>
      <c r="C71" s="59">
        <f>(Table3032[[#This Row],[Real M1 Money Stock]]-B59)/B59</f>
        <v/>
      </c>
    </row>
    <row r="72">
      <c r="A72" s="25" t="n">
        <v>23559</v>
      </c>
      <c r="B72" s="26">
        <f>VLOOKUP(Table3032[[#This Row],[Month]],'DB Money Supply'!$A:$D,2)</f>
        <v/>
      </c>
      <c r="C72" s="59">
        <f>(Table3032[[#This Row],[Real M1 Money Stock]]-B60)/B60</f>
        <v/>
      </c>
    </row>
    <row r="73">
      <c r="A73" s="25" t="n">
        <v>23590</v>
      </c>
      <c r="B73" s="26">
        <f>VLOOKUP(Table3032[[#This Row],[Month]],'DB Money Supply'!$A:$D,2)</f>
        <v/>
      </c>
      <c r="C73" s="59">
        <f>(Table3032[[#This Row],[Real M1 Money Stock]]-B61)/B61</f>
        <v/>
      </c>
    </row>
    <row r="74">
      <c r="A74" s="25" t="n">
        <v>23621</v>
      </c>
      <c r="B74" s="26">
        <f>VLOOKUP(Table3032[[#This Row],[Month]],'DB Money Supply'!$A:$D,2)</f>
        <v/>
      </c>
      <c r="C74" s="59">
        <f>(Table3032[[#This Row],[Real M1 Money Stock]]-B62)/B62</f>
        <v/>
      </c>
    </row>
    <row r="75">
      <c r="A75" s="25" t="n">
        <v>23651</v>
      </c>
      <c r="B75" s="26">
        <f>VLOOKUP(Table3032[[#This Row],[Month]],'DB Money Supply'!$A:$D,2)</f>
        <v/>
      </c>
      <c r="C75" s="59">
        <f>(Table3032[[#This Row],[Real M1 Money Stock]]-B63)/B63</f>
        <v/>
      </c>
    </row>
    <row r="76">
      <c r="A76" s="25" t="n">
        <v>23682</v>
      </c>
      <c r="B76" s="26">
        <f>VLOOKUP(Table3032[[#This Row],[Month]],'DB Money Supply'!$A:$D,2)</f>
        <v/>
      </c>
      <c r="C76" s="59">
        <f>(Table3032[[#This Row],[Real M1 Money Stock]]-B64)/B64</f>
        <v/>
      </c>
    </row>
    <row r="77">
      <c r="A77" s="25" t="n">
        <v>23712</v>
      </c>
      <c r="B77" s="26">
        <f>VLOOKUP(Table3032[[#This Row],[Month]],'DB Money Supply'!$A:$D,2)</f>
        <v/>
      </c>
      <c r="C77" s="59">
        <f>(Table3032[[#This Row],[Real M1 Money Stock]]-B65)/B65</f>
        <v/>
      </c>
    </row>
    <row r="78">
      <c r="A78" s="25" t="n">
        <v>23743</v>
      </c>
      <c r="B78" s="26">
        <f>VLOOKUP(Table3032[[#This Row],[Month]],'DB Money Supply'!$A:$D,2)</f>
        <v/>
      </c>
      <c r="C78" s="59">
        <f>(Table3032[[#This Row],[Real M1 Money Stock]]-B66)/B66</f>
        <v/>
      </c>
    </row>
    <row r="79">
      <c r="A79" s="25" t="n">
        <v>23774</v>
      </c>
      <c r="B79" s="26">
        <f>VLOOKUP(Table3032[[#This Row],[Month]],'DB Money Supply'!$A:$D,2)</f>
        <v/>
      </c>
      <c r="C79" s="59">
        <f>(Table3032[[#This Row],[Real M1 Money Stock]]-B67)/B67</f>
        <v/>
      </c>
    </row>
    <row r="80">
      <c r="A80" s="25" t="n">
        <v>23802</v>
      </c>
      <c r="B80" s="26">
        <f>VLOOKUP(Table3032[[#This Row],[Month]],'DB Money Supply'!$A:$D,2)</f>
        <v/>
      </c>
      <c r="C80" s="59">
        <f>(Table3032[[#This Row],[Real M1 Money Stock]]-B68)/B68</f>
        <v/>
      </c>
    </row>
    <row r="81">
      <c r="A81" s="25" t="n">
        <v>23833</v>
      </c>
      <c r="B81" s="26">
        <f>VLOOKUP(Table3032[[#This Row],[Month]],'DB Money Supply'!$A:$D,2)</f>
        <v/>
      </c>
      <c r="C81" s="59">
        <f>(Table3032[[#This Row],[Real M1 Money Stock]]-B69)/B69</f>
        <v/>
      </c>
    </row>
    <row r="82">
      <c r="A82" s="25" t="n">
        <v>23863</v>
      </c>
      <c r="B82" s="26">
        <f>VLOOKUP(Table3032[[#This Row],[Month]],'DB Money Supply'!$A:$D,2)</f>
        <v/>
      </c>
      <c r="C82" s="59">
        <f>(Table3032[[#This Row],[Real M1 Money Stock]]-B70)/B70</f>
        <v/>
      </c>
    </row>
    <row r="83">
      <c r="A83" s="25" t="n">
        <v>23894</v>
      </c>
      <c r="B83" s="26">
        <f>VLOOKUP(Table3032[[#This Row],[Month]],'DB Money Supply'!$A:$D,2)</f>
        <v/>
      </c>
      <c r="C83" s="59">
        <f>(Table3032[[#This Row],[Real M1 Money Stock]]-B71)/B71</f>
        <v/>
      </c>
    </row>
    <row r="84">
      <c r="A84" s="25" t="n">
        <v>23924</v>
      </c>
      <c r="B84" s="26">
        <f>VLOOKUP(Table3032[[#This Row],[Month]],'DB Money Supply'!$A:$D,2)</f>
        <v/>
      </c>
      <c r="C84" s="59">
        <f>(Table3032[[#This Row],[Real M1 Money Stock]]-B72)/B72</f>
        <v/>
      </c>
    </row>
    <row r="85">
      <c r="A85" s="25" t="n">
        <v>23955</v>
      </c>
      <c r="B85" s="26">
        <f>VLOOKUP(Table3032[[#This Row],[Month]],'DB Money Supply'!$A:$D,2)</f>
        <v/>
      </c>
      <c r="C85" s="59">
        <f>(Table3032[[#This Row],[Real M1 Money Stock]]-B73)/B73</f>
        <v/>
      </c>
    </row>
    <row r="86">
      <c r="A86" s="25" t="n">
        <v>23986</v>
      </c>
      <c r="B86" s="26">
        <f>VLOOKUP(Table3032[[#This Row],[Month]],'DB Money Supply'!$A:$D,2)</f>
        <v/>
      </c>
      <c r="C86" s="59">
        <f>(Table3032[[#This Row],[Real M1 Money Stock]]-B74)/B74</f>
        <v/>
      </c>
    </row>
    <row r="87">
      <c r="A87" s="25" t="n">
        <v>24016</v>
      </c>
      <c r="B87" s="26">
        <f>VLOOKUP(Table3032[[#This Row],[Month]],'DB Money Supply'!$A:$D,2)</f>
        <v/>
      </c>
      <c r="C87" s="59">
        <f>(Table3032[[#This Row],[Real M1 Money Stock]]-B75)/B75</f>
        <v/>
      </c>
    </row>
    <row r="88">
      <c r="A88" s="25" t="n">
        <v>24047</v>
      </c>
      <c r="B88" s="26">
        <f>VLOOKUP(Table3032[[#This Row],[Month]],'DB Money Supply'!$A:$D,2)</f>
        <v/>
      </c>
      <c r="C88" s="59">
        <f>(Table3032[[#This Row],[Real M1 Money Stock]]-B76)/B76</f>
        <v/>
      </c>
    </row>
    <row r="89">
      <c r="A89" s="25" t="n">
        <v>24077</v>
      </c>
      <c r="B89" s="26">
        <f>VLOOKUP(Table3032[[#This Row],[Month]],'DB Money Supply'!$A:$D,2)</f>
        <v/>
      </c>
      <c r="C89" s="59">
        <f>(Table3032[[#This Row],[Real M1 Money Stock]]-B77)/B77</f>
        <v/>
      </c>
    </row>
    <row r="90">
      <c r="A90" s="25" t="n">
        <v>24108</v>
      </c>
      <c r="B90" s="26">
        <f>VLOOKUP(Table3032[[#This Row],[Month]],'DB Money Supply'!$A:$D,2)</f>
        <v/>
      </c>
      <c r="C90" s="59">
        <f>(Table3032[[#This Row],[Real M1 Money Stock]]-B78)/B78</f>
        <v/>
      </c>
    </row>
    <row r="91">
      <c r="A91" s="25" t="n">
        <v>24139</v>
      </c>
      <c r="B91" s="26">
        <f>VLOOKUP(Table3032[[#This Row],[Month]],'DB Money Supply'!$A:$D,2)</f>
        <v/>
      </c>
      <c r="C91" s="59">
        <f>(Table3032[[#This Row],[Real M1 Money Stock]]-B79)/B79</f>
        <v/>
      </c>
    </row>
    <row r="92">
      <c r="A92" s="25" t="n">
        <v>24167</v>
      </c>
      <c r="B92" s="26">
        <f>VLOOKUP(Table3032[[#This Row],[Month]],'DB Money Supply'!$A:$D,2)</f>
        <v/>
      </c>
      <c r="C92" s="59">
        <f>(Table3032[[#This Row],[Real M1 Money Stock]]-B80)/B80</f>
        <v/>
      </c>
    </row>
    <row r="93">
      <c r="A93" s="25" t="n">
        <v>24198</v>
      </c>
      <c r="B93" s="26">
        <f>VLOOKUP(Table3032[[#This Row],[Month]],'DB Money Supply'!$A:$D,2)</f>
        <v/>
      </c>
      <c r="C93" s="59">
        <f>(Table3032[[#This Row],[Real M1 Money Stock]]-B81)/B81</f>
        <v/>
      </c>
    </row>
    <row r="94">
      <c r="A94" s="25" t="n">
        <v>24228</v>
      </c>
      <c r="B94" s="26">
        <f>VLOOKUP(Table3032[[#This Row],[Month]],'DB Money Supply'!$A:$D,2)</f>
        <v/>
      </c>
      <c r="C94" s="59">
        <f>(Table3032[[#This Row],[Real M1 Money Stock]]-B82)/B82</f>
        <v/>
      </c>
    </row>
    <row r="95">
      <c r="A95" s="25" t="n">
        <v>24259</v>
      </c>
      <c r="B95" s="26">
        <f>VLOOKUP(Table3032[[#This Row],[Month]],'DB Money Supply'!$A:$D,2)</f>
        <v/>
      </c>
      <c r="C95" s="59">
        <f>(Table3032[[#This Row],[Real M1 Money Stock]]-B83)/B83</f>
        <v/>
      </c>
    </row>
    <row r="96">
      <c r="A96" s="25" t="n">
        <v>24289</v>
      </c>
      <c r="B96" s="26">
        <f>VLOOKUP(Table3032[[#This Row],[Month]],'DB Money Supply'!$A:$D,2)</f>
        <v/>
      </c>
      <c r="C96" s="59">
        <f>(Table3032[[#This Row],[Real M1 Money Stock]]-B84)/B84</f>
        <v/>
      </c>
    </row>
    <row r="97">
      <c r="A97" s="25" t="n">
        <v>24320</v>
      </c>
      <c r="B97" s="26">
        <f>VLOOKUP(Table3032[[#This Row],[Month]],'DB Money Supply'!$A:$D,2)</f>
        <v/>
      </c>
      <c r="C97" s="59">
        <f>(Table3032[[#This Row],[Real M1 Money Stock]]-B85)/B85</f>
        <v/>
      </c>
    </row>
    <row r="98">
      <c r="A98" s="25" t="n">
        <v>24351</v>
      </c>
      <c r="B98" s="26">
        <f>VLOOKUP(Table3032[[#This Row],[Month]],'DB Money Supply'!$A:$D,2)</f>
        <v/>
      </c>
      <c r="C98" s="59">
        <f>(Table3032[[#This Row],[Real M1 Money Stock]]-B86)/B86</f>
        <v/>
      </c>
    </row>
    <row r="99">
      <c r="A99" s="25" t="n">
        <v>24381</v>
      </c>
      <c r="B99" s="26">
        <f>VLOOKUP(Table3032[[#This Row],[Month]],'DB Money Supply'!$A:$D,2)</f>
        <v/>
      </c>
      <c r="C99" s="59">
        <f>(Table3032[[#This Row],[Real M1 Money Stock]]-B87)/B87</f>
        <v/>
      </c>
    </row>
    <row r="100">
      <c r="A100" s="25" t="n">
        <v>24412</v>
      </c>
      <c r="B100" s="26">
        <f>VLOOKUP(Table3032[[#This Row],[Month]],'DB Money Supply'!$A:$D,2)</f>
        <v/>
      </c>
      <c r="C100" s="59">
        <f>(Table3032[[#This Row],[Real M1 Money Stock]]-B88)/B88</f>
        <v/>
      </c>
    </row>
    <row r="101">
      <c r="A101" s="25" t="n">
        <v>24442</v>
      </c>
      <c r="B101" s="26">
        <f>VLOOKUP(Table3032[[#This Row],[Month]],'DB Money Supply'!$A:$D,2)</f>
        <v/>
      </c>
      <c r="C101" s="59">
        <f>(Table3032[[#This Row],[Real M1 Money Stock]]-B89)/B89</f>
        <v/>
      </c>
    </row>
    <row r="102">
      <c r="A102" s="25" t="n">
        <v>24473</v>
      </c>
      <c r="B102" s="26">
        <f>VLOOKUP(Table3032[[#This Row],[Month]],'DB Money Supply'!$A:$D,2)</f>
        <v/>
      </c>
      <c r="C102" s="59">
        <f>(Table3032[[#This Row],[Real M1 Money Stock]]-B90)/B90</f>
        <v/>
      </c>
    </row>
    <row r="103">
      <c r="A103" s="25" t="n">
        <v>24504</v>
      </c>
      <c r="B103" s="26">
        <f>VLOOKUP(Table3032[[#This Row],[Month]],'DB Money Supply'!$A:$D,2)</f>
        <v/>
      </c>
      <c r="C103" s="59">
        <f>(Table3032[[#This Row],[Real M1 Money Stock]]-B91)/B91</f>
        <v/>
      </c>
    </row>
    <row r="104">
      <c r="A104" s="25" t="n">
        <v>24532</v>
      </c>
      <c r="B104" s="26">
        <f>VLOOKUP(Table3032[[#This Row],[Month]],'DB Money Supply'!$A:$D,2)</f>
        <v/>
      </c>
      <c r="C104" s="59">
        <f>(Table3032[[#This Row],[Real M1 Money Stock]]-B92)/B92</f>
        <v/>
      </c>
    </row>
    <row r="105">
      <c r="A105" s="25" t="n">
        <v>24563</v>
      </c>
      <c r="B105" s="26">
        <f>VLOOKUP(Table3032[[#This Row],[Month]],'DB Money Supply'!$A:$D,2)</f>
        <v/>
      </c>
      <c r="C105" s="59">
        <f>(Table3032[[#This Row],[Real M1 Money Stock]]-B93)/B93</f>
        <v/>
      </c>
    </row>
    <row r="106">
      <c r="A106" s="25" t="n">
        <v>24593</v>
      </c>
      <c r="B106" s="26">
        <f>VLOOKUP(Table3032[[#This Row],[Month]],'DB Money Supply'!$A:$D,2)</f>
        <v/>
      </c>
      <c r="C106" s="59">
        <f>(Table3032[[#This Row],[Real M1 Money Stock]]-B94)/B94</f>
        <v/>
      </c>
    </row>
    <row r="107">
      <c r="A107" s="25" t="n">
        <v>24624</v>
      </c>
      <c r="B107" s="26">
        <f>VLOOKUP(Table3032[[#This Row],[Month]],'DB Money Supply'!$A:$D,2)</f>
        <v/>
      </c>
      <c r="C107" s="59">
        <f>(Table3032[[#This Row],[Real M1 Money Stock]]-B95)/B95</f>
        <v/>
      </c>
    </row>
    <row r="108">
      <c r="A108" s="25" t="n">
        <v>24654</v>
      </c>
      <c r="B108" s="26">
        <f>VLOOKUP(Table3032[[#This Row],[Month]],'DB Money Supply'!$A:$D,2)</f>
        <v/>
      </c>
      <c r="C108" s="59">
        <f>(Table3032[[#This Row],[Real M1 Money Stock]]-B96)/B96</f>
        <v/>
      </c>
    </row>
    <row r="109">
      <c r="A109" s="25" t="n">
        <v>24685</v>
      </c>
      <c r="B109" s="26">
        <f>VLOOKUP(Table3032[[#This Row],[Month]],'DB Money Supply'!$A:$D,2)</f>
        <v/>
      </c>
      <c r="C109" s="59">
        <f>(Table3032[[#This Row],[Real M1 Money Stock]]-B97)/B97</f>
        <v/>
      </c>
    </row>
    <row r="110">
      <c r="A110" s="25" t="n">
        <v>24716</v>
      </c>
      <c r="B110" s="26">
        <f>VLOOKUP(Table3032[[#This Row],[Month]],'DB Money Supply'!$A:$D,2)</f>
        <v/>
      </c>
      <c r="C110" s="59">
        <f>(Table3032[[#This Row],[Real M1 Money Stock]]-B98)/B98</f>
        <v/>
      </c>
    </row>
    <row r="111">
      <c r="A111" s="25" t="n">
        <v>24746</v>
      </c>
      <c r="B111" s="26">
        <f>VLOOKUP(Table3032[[#This Row],[Month]],'DB Money Supply'!$A:$D,2)</f>
        <v/>
      </c>
      <c r="C111" s="59">
        <f>(Table3032[[#This Row],[Real M1 Money Stock]]-B99)/B99</f>
        <v/>
      </c>
    </row>
    <row r="112">
      <c r="A112" s="25" t="n">
        <v>24777</v>
      </c>
      <c r="B112" s="26">
        <f>VLOOKUP(Table3032[[#This Row],[Month]],'DB Money Supply'!$A:$D,2)</f>
        <v/>
      </c>
      <c r="C112" s="59">
        <f>(Table3032[[#This Row],[Real M1 Money Stock]]-B100)/B100</f>
        <v/>
      </c>
    </row>
    <row r="113">
      <c r="A113" s="25" t="n">
        <v>24807</v>
      </c>
      <c r="B113" s="26">
        <f>VLOOKUP(Table3032[[#This Row],[Month]],'DB Money Supply'!$A:$D,2)</f>
        <v/>
      </c>
      <c r="C113" s="59">
        <f>(Table3032[[#This Row],[Real M1 Money Stock]]-B101)/B101</f>
        <v/>
      </c>
    </row>
    <row r="114">
      <c r="A114" s="25" t="n">
        <v>24838</v>
      </c>
      <c r="B114" s="26">
        <f>VLOOKUP(Table3032[[#This Row],[Month]],'DB Money Supply'!$A:$D,2)</f>
        <v/>
      </c>
      <c r="C114" s="59">
        <f>(Table3032[[#This Row],[Real M1 Money Stock]]-B102)/B102</f>
        <v/>
      </c>
    </row>
    <row r="115">
      <c r="A115" s="25" t="n">
        <v>24869</v>
      </c>
      <c r="B115" s="26">
        <f>VLOOKUP(Table3032[[#This Row],[Month]],'DB Money Supply'!$A:$D,2)</f>
        <v/>
      </c>
      <c r="C115" s="59">
        <f>(Table3032[[#This Row],[Real M1 Money Stock]]-B103)/B103</f>
        <v/>
      </c>
    </row>
    <row r="116">
      <c r="A116" s="25" t="n">
        <v>24898</v>
      </c>
      <c r="B116" s="26">
        <f>VLOOKUP(Table3032[[#This Row],[Month]],'DB Money Supply'!$A:$D,2)</f>
        <v/>
      </c>
      <c r="C116" s="59">
        <f>(Table3032[[#This Row],[Real M1 Money Stock]]-B104)/B104</f>
        <v/>
      </c>
    </row>
    <row r="117">
      <c r="A117" s="25" t="n">
        <v>24929</v>
      </c>
      <c r="B117" s="26">
        <f>VLOOKUP(Table3032[[#This Row],[Month]],'DB Money Supply'!$A:$D,2)</f>
        <v/>
      </c>
      <c r="C117" s="59">
        <f>(Table3032[[#This Row],[Real M1 Money Stock]]-B105)/B105</f>
        <v/>
      </c>
    </row>
    <row r="118">
      <c r="A118" s="25" t="n">
        <v>24959</v>
      </c>
      <c r="B118" s="26">
        <f>VLOOKUP(Table3032[[#This Row],[Month]],'DB Money Supply'!$A:$D,2)</f>
        <v/>
      </c>
      <c r="C118" s="59">
        <f>(Table3032[[#This Row],[Real M1 Money Stock]]-B106)/B106</f>
        <v/>
      </c>
    </row>
    <row r="119">
      <c r="A119" s="25" t="n">
        <v>24990</v>
      </c>
      <c r="B119" s="26">
        <f>VLOOKUP(Table3032[[#This Row],[Month]],'DB Money Supply'!$A:$D,2)</f>
        <v/>
      </c>
      <c r="C119" s="59">
        <f>(Table3032[[#This Row],[Real M1 Money Stock]]-B107)/B107</f>
        <v/>
      </c>
    </row>
    <row r="120">
      <c r="A120" s="25" t="n">
        <v>25020</v>
      </c>
      <c r="B120" s="26">
        <f>VLOOKUP(Table3032[[#This Row],[Month]],'DB Money Supply'!$A:$D,2)</f>
        <v/>
      </c>
      <c r="C120" s="59">
        <f>(Table3032[[#This Row],[Real M1 Money Stock]]-B108)/B108</f>
        <v/>
      </c>
    </row>
    <row r="121">
      <c r="A121" s="25" t="n">
        <v>25051</v>
      </c>
      <c r="B121" s="26">
        <f>VLOOKUP(Table3032[[#This Row],[Month]],'DB Money Supply'!$A:$D,2)</f>
        <v/>
      </c>
      <c r="C121" s="59">
        <f>(Table3032[[#This Row],[Real M1 Money Stock]]-B109)/B109</f>
        <v/>
      </c>
    </row>
    <row r="122">
      <c r="A122" s="25" t="n">
        <v>25082</v>
      </c>
      <c r="B122" s="26">
        <f>VLOOKUP(Table3032[[#This Row],[Month]],'DB Money Supply'!$A:$D,2)</f>
        <v/>
      </c>
      <c r="C122" s="59">
        <f>(Table3032[[#This Row],[Real M1 Money Stock]]-B110)/B110</f>
        <v/>
      </c>
    </row>
    <row r="123">
      <c r="A123" s="25" t="n">
        <v>25112</v>
      </c>
      <c r="B123" s="26">
        <f>VLOOKUP(Table3032[[#This Row],[Month]],'DB Money Supply'!$A:$D,2)</f>
        <v/>
      </c>
      <c r="C123" s="59">
        <f>(Table3032[[#This Row],[Real M1 Money Stock]]-B111)/B111</f>
        <v/>
      </c>
    </row>
    <row r="124">
      <c r="A124" s="25" t="n">
        <v>25143</v>
      </c>
      <c r="B124" s="26">
        <f>VLOOKUP(Table3032[[#This Row],[Month]],'DB Money Supply'!$A:$D,2)</f>
        <v/>
      </c>
      <c r="C124" s="59">
        <f>(Table3032[[#This Row],[Real M1 Money Stock]]-B112)/B112</f>
        <v/>
      </c>
    </row>
    <row r="125">
      <c r="A125" s="25" t="n">
        <v>25173</v>
      </c>
      <c r="B125" s="26">
        <f>VLOOKUP(Table3032[[#This Row],[Month]],'DB Money Supply'!$A:$D,2)</f>
        <v/>
      </c>
      <c r="C125" s="59">
        <f>(Table3032[[#This Row],[Real M1 Money Stock]]-B113)/B113</f>
        <v/>
      </c>
    </row>
    <row r="126">
      <c r="A126" s="25" t="n">
        <v>25204</v>
      </c>
      <c r="B126" s="26">
        <f>VLOOKUP(Table3032[[#This Row],[Month]],'DB Money Supply'!$A:$D,2)</f>
        <v/>
      </c>
      <c r="C126" s="59">
        <f>(Table3032[[#This Row],[Real M1 Money Stock]]-B114)/B114</f>
        <v/>
      </c>
    </row>
    <row r="127">
      <c r="A127" s="25" t="n">
        <v>25235</v>
      </c>
      <c r="B127" s="26">
        <f>VLOOKUP(Table3032[[#This Row],[Month]],'DB Money Supply'!$A:$D,2)</f>
        <v/>
      </c>
      <c r="C127" s="59">
        <f>(Table3032[[#This Row],[Real M1 Money Stock]]-B115)/B115</f>
        <v/>
      </c>
    </row>
    <row r="128">
      <c r="A128" s="25" t="n">
        <v>25263</v>
      </c>
      <c r="B128" s="26">
        <f>VLOOKUP(Table3032[[#This Row],[Month]],'DB Money Supply'!$A:$D,2)</f>
        <v/>
      </c>
      <c r="C128" s="59">
        <f>(Table3032[[#This Row],[Real M1 Money Stock]]-B116)/B116</f>
        <v/>
      </c>
    </row>
    <row r="129">
      <c r="A129" s="25" t="n">
        <v>25294</v>
      </c>
      <c r="B129" s="26">
        <f>VLOOKUP(Table3032[[#This Row],[Month]],'DB Money Supply'!$A:$D,2)</f>
        <v/>
      </c>
      <c r="C129" s="59">
        <f>(Table3032[[#This Row],[Real M1 Money Stock]]-B117)/B117</f>
        <v/>
      </c>
    </row>
    <row r="130">
      <c r="A130" s="25" t="n">
        <v>25324</v>
      </c>
      <c r="B130" s="26">
        <f>VLOOKUP(Table3032[[#This Row],[Month]],'DB Money Supply'!$A:$D,2)</f>
        <v/>
      </c>
      <c r="C130" s="59">
        <f>(Table3032[[#This Row],[Real M1 Money Stock]]-B118)/B118</f>
        <v/>
      </c>
    </row>
    <row r="131">
      <c r="A131" s="25" t="n">
        <v>25355</v>
      </c>
      <c r="B131" s="26">
        <f>VLOOKUP(Table3032[[#This Row],[Month]],'DB Money Supply'!$A:$D,2)</f>
        <v/>
      </c>
      <c r="C131" s="59">
        <f>(Table3032[[#This Row],[Real M1 Money Stock]]-B119)/B119</f>
        <v/>
      </c>
    </row>
    <row r="132">
      <c r="A132" s="25" t="n">
        <v>25385</v>
      </c>
      <c r="B132" s="26">
        <f>VLOOKUP(Table3032[[#This Row],[Month]],'DB Money Supply'!$A:$D,2)</f>
        <v/>
      </c>
      <c r="C132" s="59">
        <f>(Table3032[[#This Row],[Real M1 Money Stock]]-B120)/B120</f>
        <v/>
      </c>
    </row>
    <row r="133">
      <c r="A133" s="25" t="n">
        <v>25416</v>
      </c>
      <c r="B133" s="26">
        <f>VLOOKUP(Table3032[[#This Row],[Month]],'DB Money Supply'!$A:$D,2)</f>
        <v/>
      </c>
      <c r="C133" s="59">
        <f>(Table3032[[#This Row],[Real M1 Money Stock]]-B121)/B121</f>
        <v/>
      </c>
    </row>
    <row r="134">
      <c r="A134" s="25" t="n">
        <v>25447</v>
      </c>
      <c r="B134" s="26">
        <f>VLOOKUP(Table3032[[#This Row],[Month]],'DB Money Supply'!$A:$D,2)</f>
        <v/>
      </c>
      <c r="C134" s="59">
        <f>(Table3032[[#This Row],[Real M1 Money Stock]]-B122)/B122</f>
        <v/>
      </c>
    </row>
    <row r="135">
      <c r="A135" s="25" t="n">
        <v>25477</v>
      </c>
      <c r="B135" s="26">
        <f>VLOOKUP(Table3032[[#This Row],[Month]],'DB Money Supply'!$A:$D,2)</f>
        <v/>
      </c>
      <c r="C135" s="59">
        <f>(Table3032[[#This Row],[Real M1 Money Stock]]-B123)/B123</f>
        <v/>
      </c>
    </row>
    <row r="136">
      <c r="A136" s="25" t="n">
        <v>25508</v>
      </c>
      <c r="B136" s="26">
        <f>VLOOKUP(Table3032[[#This Row],[Month]],'DB Money Supply'!$A:$D,2)</f>
        <v/>
      </c>
      <c r="C136" s="59">
        <f>(Table3032[[#This Row],[Real M1 Money Stock]]-B124)/B124</f>
        <v/>
      </c>
    </row>
    <row r="137">
      <c r="A137" s="25" t="n">
        <v>25538</v>
      </c>
      <c r="B137" s="26">
        <f>VLOOKUP(Table3032[[#This Row],[Month]],'DB Money Supply'!$A:$D,2)</f>
        <v/>
      </c>
      <c r="C137" s="59">
        <f>(Table3032[[#This Row],[Real M1 Money Stock]]-B125)/B125</f>
        <v/>
      </c>
    </row>
    <row r="138">
      <c r="A138" s="25" t="n">
        <v>25569</v>
      </c>
      <c r="B138" s="26">
        <f>VLOOKUP(Table3032[[#This Row],[Month]],'DB Money Supply'!$A:$D,2)</f>
        <v/>
      </c>
      <c r="C138" s="59">
        <f>(Table3032[[#This Row],[Real M1 Money Stock]]-B126)/B126</f>
        <v/>
      </c>
    </row>
    <row r="139">
      <c r="A139" s="25" t="n">
        <v>25600</v>
      </c>
      <c r="B139" s="26">
        <f>VLOOKUP(Table3032[[#This Row],[Month]],'DB Money Supply'!$A:$D,2)</f>
        <v/>
      </c>
      <c r="C139" s="59">
        <f>(Table3032[[#This Row],[Real M1 Money Stock]]-B127)/B127</f>
        <v/>
      </c>
    </row>
    <row r="140">
      <c r="A140" s="25" t="n">
        <v>25628</v>
      </c>
      <c r="B140" s="26">
        <f>VLOOKUP(Table3032[[#This Row],[Month]],'DB Money Supply'!$A:$D,2)</f>
        <v/>
      </c>
      <c r="C140" s="59">
        <f>(Table3032[[#This Row],[Real M1 Money Stock]]-B128)/B128</f>
        <v/>
      </c>
    </row>
    <row r="141">
      <c r="A141" s="25" t="n">
        <v>25659</v>
      </c>
      <c r="B141" s="26">
        <f>VLOOKUP(Table3032[[#This Row],[Month]],'DB Money Supply'!$A:$D,2)</f>
        <v/>
      </c>
      <c r="C141" s="59">
        <f>(Table3032[[#This Row],[Real M1 Money Stock]]-B129)/B129</f>
        <v/>
      </c>
    </row>
    <row r="142">
      <c r="A142" s="25" t="n">
        <v>25689</v>
      </c>
      <c r="B142" s="26">
        <f>VLOOKUP(Table3032[[#This Row],[Month]],'DB Money Supply'!$A:$D,2)</f>
        <v/>
      </c>
      <c r="C142" s="59">
        <f>(Table3032[[#This Row],[Real M1 Money Stock]]-B130)/B130</f>
        <v/>
      </c>
    </row>
    <row r="143">
      <c r="A143" s="25" t="n">
        <v>25720</v>
      </c>
      <c r="B143" s="26">
        <f>VLOOKUP(Table3032[[#This Row],[Month]],'DB Money Supply'!$A:$D,2)</f>
        <v/>
      </c>
      <c r="C143" s="59">
        <f>(Table3032[[#This Row],[Real M1 Money Stock]]-B131)/B131</f>
        <v/>
      </c>
    </row>
    <row r="144">
      <c r="A144" s="25" t="n">
        <v>25750</v>
      </c>
      <c r="B144" s="26">
        <f>VLOOKUP(Table3032[[#This Row],[Month]],'DB Money Supply'!$A:$D,2)</f>
        <v/>
      </c>
      <c r="C144" s="59">
        <f>(Table3032[[#This Row],[Real M1 Money Stock]]-B132)/B132</f>
        <v/>
      </c>
    </row>
    <row r="145">
      <c r="A145" s="25" t="n">
        <v>25781</v>
      </c>
      <c r="B145" s="26">
        <f>VLOOKUP(Table3032[[#This Row],[Month]],'DB Money Supply'!$A:$D,2)</f>
        <v/>
      </c>
      <c r="C145" s="59">
        <f>(Table3032[[#This Row],[Real M1 Money Stock]]-B133)/B133</f>
        <v/>
      </c>
    </row>
    <row r="146">
      <c r="A146" s="25" t="n">
        <v>25812</v>
      </c>
      <c r="B146" s="26">
        <f>VLOOKUP(Table3032[[#This Row],[Month]],'DB Money Supply'!$A:$D,2)</f>
        <v/>
      </c>
      <c r="C146" s="59">
        <f>(Table3032[[#This Row],[Real M1 Money Stock]]-B134)/B134</f>
        <v/>
      </c>
    </row>
    <row r="147">
      <c r="A147" s="25" t="n">
        <v>25842</v>
      </c>
      <c r="B147" s="26">
        <f>VLOOKUP(Table3032[[#This Row],[Month]],'DB Money Supply'!$A:$D,2)</f>
        <v/>
      </c>
      <c r="C147" s="59">
        <f>(Table3032[[#This Row],[Real M1 Money Stock]]-B135)/B135</f>
        <v/>
      </c>
    </row>
    <row r="148">
      <c r="A148" s="25" t="n">
        <v>25873</v>
      </c>
      <c r="B148" s="26">
        <f>VLOOKUP(Table3032[[#This Row],[Month]],'DB Money Supply'!$A:$D,2)</f>
        <v/>
      </c>
      <c r="C148" s="59">
        <f>(Table3032[[#This Row],[Real M1 Money Stock]]-B136)/B136</f>
        <v/>
      </c>
    </row>
    <row r="149">
      <c r="A149" s="25" t="n">
        <v>25903</v>
      </c>
      <c r="B149" s="26">
        <f>VLOOKUP(Table3032[[#This Row],[Month]],'DB Money Supply'!$A:$D,2)</f>
        <v/>
      </c>
      <c r="C149" s="59">
        <f>(Table3032[[#This Row],[Real M1 Money Stock]]-B137)/B137</f>
        <v/>
      </c>
    </row>
    <row r="150">
      <c r="A150" s="25" t="n">
        <v>25934</v>
      </c>
      <c r="B150" s="26">
        <f>VLOOKUP(Table3032[[#This Row],[Month]],'DB Money Supply'!$A:$D,2)</f>
        <v/>
      </c>
      <c r="C150" s="59">
        <f>(Table3032[[#This Row],[Real M1 Money Stock]]-B138)/B138</f>
        <v/>
      </c>
    </row>
    <row r="151">
      <c r="A151" s="25" t="n">
        <v>25965</v>
      </c>
      <c r="B151" s="26">
        <f>VLOOKUP(Table3032[[#This Row],[Month]],'DB Money Supply'!$A:$D,2)</f>
        <v/>
      </c>
      <c r="C151" s="59">
        <f>(Table3032[[#This Row],[Real M1 Money Stock]]-B139)/B139</f>
        <v/>
      </c>
    </row>
    <row r="152">
      <c r="A152" s="25" t="n">
        <v>25993</v>
      </c>
      <c r="B152" s="26">
        <f>VLOOKUP(Table3032[[#This Row],[Month]],'DB Money Supply'!$A:$D,2)</f>
        <v/>
      </c>
      <c r="C152" s="59">
        <f>(Table3032[[#This Row],[Real M1 Money Stock]]-B140)/B140</f>
        <v/>
      </c>
    </row>
    <row r="153">
      <c r="A153" s="25" t="n">
        <v>26024</v>
      </c>
      <c r="B153" s="26">
        <f>VLOOKUP(Table3032[[#This Row],[Month]],'DB Money Supply'!$A:$D,2)</f>
        <v/>
      </c>
      <c r="C153" s="59">
        <f>(Table3032[[#This Row],[Real M1 Money Stock]]-B141)/B141</f>
        <v/>
      </c>
    </row>
    <row r="154">
      <c r="A154" s="25" t="n">
        <v>26054</v>
      </c>
      <c r="B154" s="26">
        <f>VLOOKUP(Table3032[[#This Row],[Month]],'DB Money Supply'!$A:$D,2)</f>
        <v/>
      </c>
      <c r="C154" s="59">
        <f>(Table3032[[#This Row],[Real M1 Money Stock]]-B142)/B142</f>
        <v/>
      </c>
    </row>
    <row r="155">
      <c r="A155" s="25" t="n">
        <v>26085</v>
      </c>
      <c r="B155" s="26">
        <f>VLOOKUP(Table3032[[#This Row],[Month]],'DB Money Supply'!$A:$D,2)</f>
        <v/>
      </c>
      <c r="C155" s="59">
        <f>(Table3032[[#This Row],[Real M1 Money Stock]]-B143)/B143</f>
        <v/>
      </c>
    </row>
    <row r="156">
      <c r="A156" s="25" t="n">
        <v>26115</v>
      </c>
      <c r="B156" s="26">
        <f>VLOOKUP(Table3032[[#This Row],[Month]],'DB Money Supply'!$A:$D,2)</f>
        <v/>
      </c>
      <c r="C156" s="59">
        <f>(Table3032[[#This Row],[Real M1 Money Stock]]-B144)/B144</f>
        <v/>
      </c>
    </row>
    <row r="157">
      <c r="A157" s="25" t="n">
        <v>26146</v>
      </c>
      <c r="B157" s="26">
        <f>VLOOKUP(Table3032[[#This Row],[Month]],'DB Money Supply'!$A:$D,2)</f>
        <v/>
      </c>
      <c r="C157" s="59">
        <f>(Table3032[[#This Row],[Real M1 Money Stock]]-B145)/B145</f>
        <v/>
      </c>
    </row>
    <row r="158">
      <c r="A158" s="25" t="n">
        <v>26177</v>
      </c>
      <c r="B158" s="26">
        <f>VLOOKUP(Table3032[[#This Row],[Month]],'DB Money Supply'!$A:$D,2)</f>
        <v/>
      </c>
      <c r="C158" s="59">
        <f>(Table3032[[#This Row],[Real M1 Money Stock]]-B146)/B146</f>
        <v/>
      </c>
    </row>
    <row r="159">
      <c r="A159" s="25" t="n">
        <v>26207</v>
      </c>
      <c r="B159" s="26">
        <f>VLOOKUP(Table3032[[#This Row],[Month]],'DB Money Supply'!$A:$D,2)</f>
        <v/>
      </c>
      <c r="C159" s="59">
        <f>(Table3032[[#This Row],[Real M1 Money Stock]]-B147)/B147</f>
        <v/>
      </c>
    </row>
    <row r="160">
      <c r="A160" s="25" t="n">
        <v>26238</v>
      </c>
      <c r="B160" s="26">
        <f>VLOOKUP(Table3032[[#This Row],[Month]],'DB Money Supply'!$A:$D,2)</f>
        <v/>
      </c>
      <c r="C160" s="59">
        <f>(Table3032[[#This Row],[Real M1 Money Stock]]-B148)/B148</f>
        <v/>
      </c>
    </row>
    <row r="161">
      <c r="A161" s="25" t="n">
        <v>26268</v>
      </c>
      <c r="B161" s="26">
        <f>VLOOKUP(Table3032[[#This Row],[Month]],'DB Money Supply'!$A:$D,2)</f>
        <v/>
      </c>
      <c r="C161" s="59">
        <f>(Table3032[[#This Row],[Real M1 Money Stock]]-B149)/B149</f>
        <v/>
      </c>
    </row>
    <row r="162">
      <c r="A162" s="25" t="n">
        <v>26299</v>
      </c>
      <c r="B162" s="26">
        <f>VLOOKUP(Table3032[[#This Row],[Month]],'DB Money Supply'!$A:$D,2)</f>
        <v/>
      </c>
      <c r="C162" s="59">
        <f>(Table3032[[#This Row],[Real M1 Money Stock]]-B150)/B150</f>
        <v/>
      </c>
    </row>
    <row r="163">
      <c r="A163" s="25" t="n">
        <v>26330</v>
      </c>
      <c r="B163" s="26">
        <f>VLOOKUP(Table3032[[#This Row],[Month]],'DB Money Supply'!$A:$D,2)</f>
        <v/>
      </c>
      <c r="C163" s="59">
        <f>(Table3032[[#This Row],[Real M1 Money Stock]]-B151)/B151</f>
        <v/>
      </c>
    </row>
    <row r="164">
      <c r="A164" s="25" t="n">
        <v>26359</v>
      </c>
      <c r="B164" s="26">
        <f>VLOOKUP(Table3032[[#This Row],[Month]],'DB Money Supply'!$A:$D,2)</f>
        <v/>
      </c>
      <c r="C164" s="59">
        <f>(Table3032[[#This Row],[Real M1 Money Stock]]-B152)/B152</f>
        <v/>
      </c>
    </row>
    <row r="165">
      <c r="A165" s="25" t="n">
        <v>26390</v>
      </c>
      <c r="B165" s="26">
        <f>VLOOKUP(Table3032[[#This Row],[Month]],'DB Money Supply'!$A:$D,2)</f>
        <v/>
      </c>
      <c r="C165" s="59">
        <f>(Table3032[[#This Row],[Real M1 Money Stock]]-B153)/B153</f>
        <v/>
      </c>
    </row>
    <row r="166">
      <c r="A166" s="25" t="n">
        <v>26420</v>
      </c>
      <c r="B166" s="26">
        <f>VLOOKUP(Table3032[[#This Row],[Month]],'DB Money Supply'!$A:$D,2)</f>
        <v/>
      </c>
      <c r="C166" s="59">
        <f>(Table3032[[#This Row],[Real M1 Money Stock]]-B154)/B154</f>
        <v/>
      </c>
    </row>
    <row r="167">
      <c r="A167" s="25" t="n">
        <v>26451</v>
      </c>
      <c r="B167" s="26">
        <f>VLOOKUP(Table3032[[#This Row],[Month]],'DB Money Supply'!$A:$D,2)</f>
        <v/>
      </c>
      <c r="C167" s="59">
        <f>(Table3032[[#This Row],[Real M1 Money Stock]]-B155)/B155</f>
        <v/>
      </c>
    </row>
    <row r="168">
      <c r="A168" s="25" t="n">
        <v>26481</v>
      </c>
      <c r="B168" s="26">
        <f>VLOOKUP(Table3032[[#This Row],[Month]],'DB Money Supply'!$A:$D,2)</f>
        <v/>
      </c>
      <c r="C168" s="59">
        <f>(Table3032[[#This Row],[Real M1 Money Stock]]-B156)/B156</f>
        <v/>
      </c>
    </row>
    <row r="169">
      <c r="A169" s="25" t="n">
        <v>26512</v>
      </c>
      <c r="B169" s="26">
        <f>VLOOKUP(Table3032[[#This Row],[Month]],'DB Money Supply'!$A:$D,2)</f>
        <v/>
      </c>
      <c r="C169" s="59">
        <f>(Table3032[[#This Row],[Real M1 Money Stock]]-B157)/B157</f>
        <v/>
      </c>
    </row>
    <row r="170">
      <c r="A170" s="25" t="n">
        <v>26543</v>
      </c>
      <c r="B170" s="26">
        <f>VLOOKUP(Table3032[[#This Row],[Month]],'DB Money Supply'!$A:$D,2)</f>
        <v/>
      </c>
      <c r="C170" s="59">
        <f>(Table3032[[#This Row],[Real M1 Money Stock]]-B158)/B158</f>
        <v/>
      </c>
    </row>
    <row r="171">
      <c r="A171" s="25" t="n">
        <v>26573</v>
      </c>
      <c r="B171" s="26">
        <f>VLOOKUP(Table3032[[#This Row],[Month]],'DB Money Supply'!$A:$D,2)</f>
        <v/>
      </c>
      <c r="C171" s="59">
        <f>(Table3032[[#This Row],[Real M1 Money Stock]]-B159)/B159</f>
        <v/>
      </c>
    </row>
    <row r="172">
      <c r="A172" s="25" t="n">
        <v>26604</v>
      </c>
      <c r="B172" s="26">
        <f>VLOOKUP(Table3032[[#This Row],[Month]],'DB Money Supply'!$A:$D,2)</f>
        <v/>
      </c>
      <c r="C172" s="59">
        <f>(Table3032[[#This Row],[Real M1 Money Stock]]-B160)/B160</f>
        <v/>
      </c>
    </row>
    <row r="173">
      <c r="A173" s="25" t="n">
        <v>26634</v>
      </c>
      <c r="B173" s="26">
        <f>VLOOKUP(Table3032[[#This Row],[Month]],'DB Money Supply'!$A:$D,2)</f>
        <v/>
      </c>
      <c r="C173" s="59">
        <f>(Table3032[[#This Row],[Real M1 Money Stock]]-B161)/B161</f>
        <v/>
      </c>
    </row>
    <row r="174">
      <c r="A174" s="25" t="n">
        <v>26665</v>
      </c>
      <c r="B174" s="26">
        <f>VLOOKUP(Table3032[[#This Row],[Month]],'DB Money Supply'!$A:$D,2)</f>
        <v/>
      </c>
      <c r="C174" s="59">
        <f>(Table3032[[#This Row],[Real M1 Money Stock]]-B162)/B162</f>
        <v/>
      </c>
    </row>
    <row r="175">
      <c r="A175" s="25" t="n">
        <v>26696</v>
      </c>
      <c r="B175" s="26">
        <f>VLOOKUP(Table3032[[#This Row],[Month]],'DB Money Supply'!$A:$D,2)</f>
        <v/>
      </c>
      <c r="C175" s="59">
        <f>(Table3032[[#This Row],[Real M1 Money Stock]]-B163)/B163</f>
        <v/>
      </c>
    </row>
    <row r="176">
      <c r="A176" s="25" t="n">
        <v>26724</v>
      </c>
      <c r="B176" s="26">
        <f>VLOOKUP(Table3032[[#This Row],[Month]],'DB Money Supply'!$A:$D,2)</f>
        <v/>
      </c>
      <c r="C176" s="59">
        <f>(Table3032[[#This Row],[Real M1 Money Stock]]-B164)/B164</f>
        <v/>
      </c>
    </row>
    <row r="177">
      <c r="A177" s="25" t="n">
        <v>26755</v>
      </c>
      <c r="B177" s="26">
        <f>VLOOKUP(Table3032[[#This Row],[Month]],'DB Money Supply'!$A:$D,2)</f>
        <v/>
      </c>
      <c r="C177" s="59">
        <f>(Table3032[[#This Row],[Real M1 Money Stock]]-B165)/B165</f>
        <v/>
      </c>
    </row>
    <row r="178">
      <c r="A178" s="25" t="n">
        <v>26785</v>
      </c>
      <c r="B178" s="26">
        <f>VLOOKUP(Table3032[[#This Row],[Month]],'DB Money Supply'!$A:$D,2)</f>
        <v/>
      </c>
      <c r="C178" s="59">
        <f>(Table3032[[#This Row],[Real M1 Money Stock]]-B166)/B166</f>
        <v/>
      </c>
    </row>
    <row r="179">
      <c r="A179" s="25" t="n">
        <v>26816</v>
      </c>
      <c r="B179" s="26">
        <f>VLOOKUP(Table3032[[#This Row],[Month]],'DB Money Supply'!$A:$D,2)</f>
        <v/>
      </c>
      <c r="C179" s="59">
        <f>(Table3032[[#This Row],[Real M1 Money Stock]]-B167)/B167</f>
        <v/>
      </c>
    </row>
    <row r="180">
      <c r="A180" s="25" t="n">
        <v>26846</v>
      </c>
      <c r="B180" s="26">
        <f>VLOOKUP(Table3032[[#This Row],[Month]],'DB Money Supply'!$A:$D,2)</f>
        <v/>
      </c>
      <c r="C180" s="59">
        <f>(Table3032[[#This Row],[Real M1 Money Stock]]-B168)/B168</f>
        <v/>
      </c>
    </row>
    <row r="181">
      <c r="A181" s="25" t="n">
        <v>26877</v>
      </c>
      <c r="B181" s="26">
        <f>VLOOKUP(Table3032[[#This Row],[Month]],'DB Money Supply'!$A:$D,2)</f>
        <v/>
      </c>
      <c r="C181" s="59">
        <f>(Table3032[[#This Row],[Real M1 Money Stock]]-B169)/B169</f>
        <v/>
      </c>
    </row>
    <row r="182">
      <c r="A182" s="25" t="n">
        <v>26908</v>
      </c>
      <c r="B182" s="26">
        <f>VLOOKUP(Table3032[[#This Row],[Month]],'DB Money Supply'!$A:$D,2)</f>
        <v/>
      </c>
      <c r="C182" s="59">
        <f>(Table3032[[#This Row],[Real M1 Money Stock]]-B170)/B170</f>
        <v/>
      </c>
    </row>
    <row r="183">
      <c r="A183" s="25" t="n">
        <v>26938</v>
      </c>
      <c r="B183" s="26">
        <f>VLOOKUP(Table3032[[#This Row],[Month]],'DB Money Supply'!$A:$D,2)</f>
        <v/>
      </c>
      <c r="C183" s="59">
        <f>(Table3032[[#This Row],[Real M1 Money Stock]]-B171)/B171</f>
        <v/>
      </c>
    </row>
    <row r="184">
      <c r="A184" s="25" t="n">
        <v>26969</v>
      </c>
      <c r="B184" s="26">
        <f>VLOOKUP(Table3032[[#This Row],[Month]],'DB Money Supply'!$A:$D,2)</f>
        <v/>
      </c>
      <c r="C184" s="59">
        <f>(Table3032[[#This Row],[Real M1 Money Stock]]-B172)/B172</f>
        <v/>
      </c>
    </row>
    <row r="185">
      <c r="A185" s="25" t="n">
        <v>26999</v>
      </c>
      <c r="B185" s="26">
        <f>VLOOKUP(Table3032[[#This Row],[Month]],'DB Money Supply'!$A:$D,2)</f>
        <v/>
      </c>
      <c r="C185" s="59">
        <f>(Table3032[[#This Row],[Real M1 Money Stock]]-B173)/B173</f>
        <v/>
      </c>
    </row>
    <row r="186">
      <c r="A186" s="25" t="n">
        <v>27030</v>
      </c>
      <c r="B186" s="26">
        <f>VLOOKUP(Table3032[[#This Row],[Month]],'DB Money Supply'!$A:$D,2)</f>
        <v/>
      </c>
      <c r="C186" s="59">
        <f>(Table3032[[#This Row],[Real M1 Money Stock]]-B174)/B174</f>
        <v/>
      </c>
    </row>
    <row r="187">
      <c r="A187" s="25" t="n">
        <v>27061</v>
      </c>
      <c r="B187" s="26">
        <f>VLOOKUP(Table3032[[#This Row],[Month]],'DB Money Supply'!$A:$D,2)</f>
        <v/>
      </c>
      <c r="C187" s="59">
        <f>(Table3032[[#This Row],[Real M1 Money Stock]]-B175)/B175</f>
        <v/>
      </c>
    </row>
    <row r="188">
      <c r="A188" s="25" t="n">
        <v>27089</v>
      </c>
      <c r="B188" s="26">
        <f>VLOOKUP(Table3032[[#This Row],[Month]],'DB Money Supply'!$A:$D,2)</f>
        <v/>
      </c>
      <c r="C188" s="59">
        <f>(Table3032[[#This Row],[Real M1 Money Stock]]-B176)/B176</f>
        <v/>
      </c>
    </row>
    <row r="189">
      <c r="A189" s="25" t="n">
        <v>27120</v>
      </c>
      <c r="B189" s="26">
        <f>VLOOKUP(Table3032[[#This Row],[Month]],'DB Money Supply'!$A:$D,2)</f>
        <v/>
      </c>
      <c r="C189" s="59">
        <f>(Table3032[[#This Row],[Real M1 Money Stock]]-B177)/B177</f>
        <v/>
      </c>
    </row>
    <row r="190">
      <c r="A190" s="25" t="n">
        <v>27150</v>
      </c>
      <c r="B190" s="26">
        <f>VLOOKUP(Table3032[[#This Row],[Month]],'DB Money Supply'!$A:$D,2)</f>
        <v/>
      </c>
      <c r="C190" s="59">
        <f>(Table3032[[#This Row],[Real M1 Money Stock]]-B178)/B178</f>
        <v/>
      </c>
    </row>
    <row r="191">
      <c r="A191" s="25" t="n">
        <v>27181</v>
      </c>
      <c r="B191" s="26">
        <f>VLOOKUP(Table3032[[#This Row],[Month]],'DB Money Supply'!$A:$D,2)</f>
        <v/>
      </c>
      <c r="C191" s="59">
        <f>(Table3032[[#This Row],[Real M1 Money Stock]]-B179)/B179</f>
        <v/>
      </c>
    </row>
    <row r="192">
      <c r="A192" s="25" t="n">
        <v>27211</v>
      </c>
      <c r="B192" s="26">
        <f>VLOOKUP(Table3032[[#This Row],[Month]],'DB Money Supply'!$A:$D,2)</f>
        <v/>
      </c>
      <c r="C192" s="59">
        <f>(Table3032[[#This Row],[Real M1 Money Stock]]-B180)/B180</f>
        <v/>
      </c>
    </row>
    <row r="193">
      <c r="A193" s="25" t="n">
        <v>27242</v>
      </c>
      <c r="B193" s="26">
        <f>VLOOKUP(Table3032[[#This Row],[Month]],'DB Money Supply'!$A:$D,2)</f>
        <v/>
      </c>
      <c r="C193" s="59">
        <f>(Table3032[[#This Row],[Real M1 Money Stock]]-B181)/B181</f>
        <v/>
      </c>
    </row>
    <row r="194">
      <c r="A194" s="25" t="n">
        <v>27273</v>
      </c>
      <c r="B194" s="26">
        <f>VLOOKUP(Table3032[[#This Row],[Month]],'DB Money Supply'!$A:$D,2)</f>
        <v/>
      </c>
      <c r="C194" s="59">
        <f>(Table3032[[#This Row],[Real M1 Money Stock]]-B182)/B182</f>
        <v/>
      </c>
    </row>
    <row r="195">
      <c r="A195" s="25" t="n">
        <v>27303</v>
      </c>
      <c r="B195" s="26">
        <f>VLOOKUP(Table3032[[#This Row],[Month]],'DB Money Supply'!$A:$D,2)</f>
        <v/>
      </c>
      <c r="C195" s="59">
        <f>(Table3032[[#This Row],[Real M1 Money Stock]]-B183)/B183</f>
        <v/>
      </c>
    </row>
    <row r="196">
      <c r="A196" s="25" t="n">
        <v>27334</v>
      </c>
      <c r="B196" s="26">
        <f>VLOOKUP(Table3032[[#This Row],[Month]],'DB Money Supply'!$A:$D,2)</f>
        <v/>
      </c>
      <c r="C196" s="59">
        <f>(Table3032[[#This Row],[Real M1 Money Stock]]-B184)/B184</f>
        <v/>
      </c>
    </row>
    <row r="197">
      <c r="A197" s="25" t="n">
        <v>27364</v>
      </c>
      <c r="B197" s="26">
        <f>VLOOKUP(Table3032[[#This Row],[Month]],'DB Money Supply'!$A:$D,2)</f>
        <v/>
      </c>
      <c r="C197" s="59">
        <f>(Table3032[[#This Row],[Real M1 Money Stock]]-B185)/B185</f>
        <v/>
      </c>
    </row>
    <row r="198">
      <c r="A198" s="25" t="n">
        <v>27395</v>
      </c>
      <c r="B198" s="26">
        <f>VLOOKUP(Table3032[[#This Row],[Month]],'DB Money Supply'!$A:$D,2)</f>
        <v/>
      </c>
      <c r="C198" s="59">
        <f>(Table3032[[#This Row],[Real M1 Money Stock]]-B186)/B186</f>
        <v/>
      </c>
    </row>
    <row r="199">
      <c r="A199" s="25" t="n">
        <v>27426</v>
      </c>
      <c r="B199" s="26">
        <f>VLOOKUP(Table3032[[#This Row],[Month]],'DB Money Supply'!$A:$D,2)</f>
        <v/>
      </c>
      <c r="C199" s="59">
        <f>(Table3032[[#This Row],[Real M1 Money Stock]]-B187)/B187</f>
        <v/>
      </c>
    </row>
    <row r="200">
      <c r="A200" s="25" t="n">
        <v>27454</v>
      </c>
      <c r="B200" s="26">
        <f>VLOOKUP(Table3032[[#This Row],[Month]],'DB Money Supply'!$A:$D,2)</f>
        <v/>
      </c>
      <c r="C200" s="59">
        <f>(Table3032[[#This Row],[Real M1 Money Stock]]-B188)/B188</f>
        <v/>
      </c>
    </row>
    <row r="201">
      <c r="A201" s="25" t="n">
        <v>27485</v>
      </c>
      <c r="B201" s="26">
        <f>VLOOKUP(Table3032[[#This Row],[Month]],'DB Money Supply'!$A:$D,2)</f>
        <v/>
      </c>
      <c r="C201" s="59">
        <f>(Table3032[[#This Row],[Real M1 Money Stock]]-B189)/B189</f>
        <v/>
      </c>
    </row>
    <row r="202">
      <c r="A202" s="25" t="n">
        <v>27515</v>
      </c>
      <c r="B202" s="26">
        <f>VLOOKUP(Table3032[[#This Row],[Month]],'DB Money Supply'!$A:$D,2)</f>
        <v/>
      </c>
      <c r="C202" s="59">
        <f>(Table3032[[#This Row],[Real M1 Money Stock]]-B190)/B190</f>
        <v/>
      </c>
    </row>
    <row r="203">
      <c r="A203" s="25" t="n">
        <v>27546</v>
      </c>
      <c r="B203" s="26">
        <f>VLOOKUP(Table3032[[#This Row],[Month]],'DB Money Supply'!$A:$D,2)</f>
        <v/>
      </c>
      <c r="C203" s="59">
        <f>(Table3032[[#This Row],[Real M1 Money Stock]]-B191)/B191</f>
        <v/>
      </c>
    </row>
    <row r="204">
      <c r="A204" s="25" t="n">
        <v>27576</v>
      </c>
      <c r="B204" s="26">
        <f>VLOOKUP(Table3032[[#This Row],[Month]],'DB Money Supply'!$A:$D,2)</f>
        <v/>
      </c>
      <c r="C204" s="59">
        <f>(Table3032[[#This Row],[Real M1 Money Stock]]-B192)/B192</f>
        <v/>
      </c>
    </row>
    <row r="205">
      <c r="A205" s="25" t="n">
        <v>27607</v>
      </c>
      <c r="B205" s="26">
        <f>VLOOKUP(Table3032[[#This Row],[Month]],'DB Money Supply'!$A:$D,2)</f>
        <v/>
      </c>
      <c r="C205" s="59">
        <f>(Table3032[[#This Row],[Real M1 Money Stock]]-B193)/B193</f>
        <v/>
      </c>
    </row>
    <row r="206">
      <c r="A206" s="25" t="n">
        <v>27638</v>
      </c>
      <c r="B206" s="26">
        <f>VLOOKUP(Table3032[[#This Row],[Month]],'DB Money Supply'!$A:$D,2)</f>
        <v/>
      </c>
      <c r="C206" s="59">
        <f>(Table3032[[#This Row],[Real M1 Money Stock]]-B194)/B194</f>
        <v/>
      </c>
    </row>
    <row r="207">
      <c r="A207" s="25" t="n">
        <v>27668</v>
      </c>
      <c r="B207" s="26">
        <f>VLOOKUP(Table3032[[#This Row],[Month]],'DB Money Supply'!$A:$D,2)</f>
        <v/>
      </c>
      <c r="C207" s="59">
        <f>(Table3032[[#This Row],[Real M1 Money Stock]]-B195)/B195</f>
        <v/>
      </c>
    </row>
    <row r="208">
      <c r="A208" s="25" t="n">
        <v>27699</v>
      </c>
      <c r="B208" s="26">
        <f>VLOOKUP(Table3032[[#This Row],[Month]],'DB Money Supply'!$A:$D,2)</f>
        <v/>
      </c>
      <c r="C208" s="59">
        <f>(Table3032[[#This Row],[Real M1 Money Stock]]-B196)/B196</f>
        <v/>
      </c>
    </row>
    <row r="209">
      <c r="A209" s="25" t="n">
        <v>27729</v>
      </c>
      <c r="B209" s="26">
        <f>VLOOKUP(Table3032[[#This Row],[Month]],'DB Money Supply'!$A:$D,2)</f>
        <v/>
      </c>
      <c r="C209" s="59">
        <f>(Table3032[[#This Row],[Real M1 Money Stock]]-B197)/B197</f>
        <v/>
      </c>
    </row>
    <row r="210">
      <c r="A210" s="25" t="n">
        <v>27760</v>
      </c>
      <c r="B210" s="26">
        <f>VLOOKUP(Table3032[[#This Row],[Month]],'DB Money Supply'!$A:$D,2)</f>
        <v/>
      </c>
      <c r="C210" s="59">
        <f>(Table3032[[#This Row],[Real M1 Money Stock]]-B198)/B198</f>
        <v/>
      </c>
    </row>
    <row r="211">
      <c r="A211" s="25" t="n">
        <v>27791</v>
      </c>
      <c r="B211" s="26">
        <f>VLOOKUP(Table3032[[#This Row],[Month]],'DB Money Supply'!$A:$D,2)</f>
        <v/>
      </c>
      <c r="C211" s="59">
        <f>(Table3032[[#This Row],[Real M1 Money Stock]]-B199)/B199</f>
        <v/>
      </c>
    </row>
    <row r="212">
      <c r="A212" s="25" t="n">
        <v>27820</v>
      </c>
      <c r="B212" s="26">
        <f>VLOOKUP(Table3032[[#This Row],[Month]],'DB Money Supply'!$A:$D,2)</f>
        <v/>
      </c>
      <c r="C212" s="59">
        <f>(Table3032[[#This Row],[Real M1 Money Stock]]-B200)/B200</f>
        <v/>
      </c>
    </row>
    <row r="213">
      <c r="A213" s="25" t="n">
        <v>27851</v>
      </c>
      <c r="B213" s="26">
        <f>VLOOKUP(Table3032[[#This Row],[Month]],'DB Money Supply'!$A:$D,2)</f>
        <v/>
      </c>
      <c r="C213" s="59">
        <f>(Table3032[[#This Row],[Real M1 Money Stock]]-B201)/B201</f>
        <v/>
      </c>
    </row>
    <row r="214">
      <c r="A214" s="25" t="n">
        <v>27881</v>
      </c>
      <c r="B214" s="26">
        <f>VLOOKUP(Table3032[[#This Row],[Month]],'DB Money Supply'!$A:$D,2)</f>
        <v/>
      </c>
      <c r="C214" s="59">
        <f>(Table3032[[#This Row],[Real M1 Money Stock]]-B202)/B202</f>
        <v/>
      </c>
    </row>
    <row r="215">
      <c r="A215" s="25" t="n">
        <v>27912</v>
      </c>
      <c r="B215" s="26">
        <f>VLOOKUP(Table3032[[#This Row],[Month]],'DB Money Supply'!$A:$D,2)</f>
        <v/>
      </c>
      <c r="C215" s="59">
        <f>(Table3032[[#This Row],[Real M1 Money Stock]]-B203)/B203</f>
        <v/>
      </c>
    </row>
    <row r="216">
      <c r="A216" s="25" t="n">
        <v>27942</v>
      </c>
      <c r="B216" s="26">
        <f>VLOOKUP(Table3032[[#This Row],[Month]],'DB Money Supply'!$A:$D,2)</f>
        <v/>
      </c>
      <c r="C216" s="59">
        <f>(Table3032[[#This Row],[Real M1 Money Stock]]-B204)/B204</f>
        <v/>
      </c>
    </row>
    <row r="217">
      <c r="A217" s="25" t="n">
        <v>27973</v>
      </c>
      <c r="B217" s="26">
        <f>VLOOKUP(Table3032[[#This Row],[Month]],'DB Money Supply'!$A:$D,2)</f>
        <v/>
      </c>
      <c r="C217" s="59">
        <f>(Table3032[[#This Row],[Real M1 Money Stock]]-B205)/B205</f>
        <v/>
      </c>
    </row>
    <row r="218">
      <c r="A218" s="25" t="n">
        <v>28004</v>
      </c>
      <c r="B218" s="26">
        <f>VLOOKUP(Table3032[[#This Row],[Month]],'DB Money Supply'!$A:$D,2)</f>
        <v/>
      </c>
      <c r="C218" s="59">
        <f>(Table3032[[#This Row],[Real M1 Money Stock]]-B206)/B206</f>
        <v/>
      </c>
    </row>
    <row r="219">
      <c r="A219" s="25" t="n">
        <v>28034</v>
      </c>
      <c r="B219" s="26">
        <f>VLOOKUP(Table3032[[#This Row],[Month]],'DB Money Supply'!$A:$D,2)</f>
        <v/>
      </c>
      <c r="C219" s="59">
        <f>(Table3032[[#This Row],[Real M1 Money Stock]]-B207)/B207</f>
        <v/>
      </c>
    </row>
    <row r="220">
      <c r="A220" s="25" t="n">
        <v>28065</v>
      </c>
      <c r="B220" s="26">
        <f>VLOOKUP(Table3032[[#This Row],[Month]],'DB Money Supply'!$A:$D,2)</f>
        <v/>
      </c>
      <c r="C220" s="59">
        <f>(Table3032[[#This Row],[Real M1 Money Stock]]-B208)/B208</f>
        <v/>
      </c>
    </row>
    <row r="221">
      <c r="A221" s="25" t="n">
        <v>28095</v>
      </c>
      <c r="B221" s="26">
        <f>VLOOKUP(Table3032[[#This Row],[Month]],'DB Money Supply'!$A:$D,2)</f>
        <v/>
      </c>
      <c r="C221" s="59">
        <f>(Table3032[[#This Row],[Real M1 Money Stock]]-B209)/B209</f>
        <v/>
      </c>
    </row>
    <row r="222">
      <c r="A222" s="25" t="n">
        <v>28126</v>
      </c>
      <c r="B222" s="26">
        <f>VLOOKUP(Table3032[[#This Row],[Month]],'DB Money Supply'!$A:$D,2)</f>
        <v/>
      </c>
      <c r="C222" s="59">
        <f>(Table3032[[#This Row],[Real M1 Money Stock]]-B210)/B210</f>
        <v/>
      </c>
    </row>
    <row r="223">
      <c r="A223" s="25" t="n">
        <v>28157</v>
      </c>
      <c r="B223" s="26">
        <f>VLOOKUP(Table3032[[#This Row],[Month]],'DB Money Supply'!$A:$D,2)</f>
        <v/>
      </c>
      <c r="C223" s="59">
        <f>(Table3032[[#This Row],[Real M1 Money Stock]]-B211)/B211</f>
        <v/>
      </c>
    </row>
    <row r="224">
      <c r="A224" s="25" t="n">
        <v>28185</v>
      </c>
      <c r="B224" s="26">
        <f>VLOOKUP(Table3032[[#This Row],[Month]],'DB Money Supply'!$A:$D,2)</f>
        <v/>
      </c>
      <c r="C224" s="59">
        <f>(Table3032[[#This Row],[Real M1 Money Stock]]-B212)/B212</f>
        <v/>
      </c>
    </row>
    <row r="225">
      <c r="A225" s="25" t="n">
        <v>28216</v>
      </c>
      <c r="B225" s="26">
        <f>VLOOKUP(Table3032[[#This Row],[Month]],'DB Money Supply'!$A:$D,2)</f>
        <v/>
      </c>
      <c r="C225" s="59">
        <f>(Table3032[[#This Row],[Real M1 Money Stock]]-B213)/B213</f>
        <v/>
      </c>
    </row>
    <row r="226">
      <c r="A226" s="25" t="n">
        <v>28246</v>
      </c>
      <c r="B226" s="26">
        <f>VLOOKUP(Table3032[[#This Row],[Month]],'DB Money Supply'!$A:$D,2)</f>
        <v/>
      </c>
      <c r="C226" s="59">
        <f>(Table3032[[#This Row],[Real M1 Money Stock]]-B214)/B214</f>
        <v/>
      </c>
    </row>
    <row r="227">
      <c r="A227" s="25" t="n">
        <v>28277</v>
      </c>
      <c r="B227" s="26">
        <f>VLOOKUP(Table3032[[#This Row],[Month]],'DB Money Supply'!$A:$D,2)</f>
        <v/>
      </c>
      <c r="C227" s="59">
        <f>(Table3032[[#This Row],[Real M1 Money Stock]]-B215)/B215</f>
        <v/>
      </c>
    </row>
    <row r="228">
      <c r="A228" s="25" t="n">
        <v>28307</v>
      </c>
      <c r="B228" s="26">
        <f>VLOOKUP(Table3032[[#This Row],[Month]],'DB Money Supply'!$A:$D,2)</f>
        <v/>
      </c>
      <c r="C228" s="59">
        <f>(Table3032[[#This Row],[Real M1 Money Stock]]-B216)/B216</f>
        <v/>
      </c>
    </row>
    <row r="229">
      <c r="A229" s="25" t="n">
        <v>28338</v>
      </c>
      <c r="B229" s="26">
        <f>VLOOKUP(Table3032[[#This Row],[Month]],'DB Money Supply'!$A:$D,2)</f>
        <v/>
      </c>
      <c r="C229" s="59">
        <f>(Table3032[[#This Row],[Real M1 Money Stock]]-B217)/B217</f>
        <v/>
      </c>
    </row>
    <row r="230">
      <c r="A230" s="25" t="n">
        <v>28369</v>
      </c>
      <c r="B230" s="26">
        <f>VLOOKUP(Table3032[[#This Row],[Month]],'DB Money Supply'!$A:$D,2)</f>
        <v/>
      </c>
      <c r="C230" s="59">
        <f>(Table3032[[#This Row],[Real M1 Money Stock]]-B218)/B218</f>
        <v/>
      </c>
    </row>
    <row r="231">
      <c r="A231" s="25" t="n">
        <v>28399</v>
      </c>
      <c r="B231" s="26">
        <f>VLOOKUP(Table3032[[#This Row],[Month]],'DB Money Supply'!$A:$D,2)</f>
        <v/>
      </c>
      <c r="C231" s="59">
        <f>(Table3032[[#This Row],[Real M1 Money Stock]]-B219)/B219</f>
        <v/>
      </c>
    </row>
    <row r="232">
      <c r="A232" s="25" t="n">
        <v>28430</v>
      </c>
      <c r="B232" s="26">
        <f>VLOOKUP(Table3032[[#This Row],[Month]],'DB Money Supply'!$A:$D,2)</f>
        <v/>
      </c>
      <c r="C232" s="59">
        <f>(Table3032[[#This Row],[Real M1 Money Stock]]-B220)/B220</f>
        <v/>
      </c>
    </row>
    <row r="233">
      <c r="A233" s="25" t="n">
        <v>28460</v>
      </c>
      <c r="B233" s="26">
        <f>VLOOKUP(Table3032[[#This Row],[Month]],'DB Money Supply'!$A:$D,2)</f>
        <v/>
      </c>
      <c r="C233" s="59">
        <f>(Table3032[[#This Row],[Real M1 Money Stock]]-B221)/B221</f>
        <v/>
      </c>
    </row>
    <row r="234">
      <c r="A234" s="25" t="n">
        <v>28491</v>
      </c>
      <c r="B234" s="26">
        <f>VLOOKUP(Table3032[[#This Row],[Month]],'DB Money Supply'!$A:$D,2)</f>
        <v/>
      </c>
      <c r="C234" s="59">
        <f>(Table3032[[#This Row],[Real M1 Money Stock]]-B222)/B222</f>
        <v/>
      </c>
    </row>
    <row r="235">
      <c r="A235" s="25" t="n">
        <v>28522</v>
      </c>
      <c r="B235" s="26">
        <f>VLOOKUP(Table3032[[#This Row],[Month]],'DB Money Supply'!$A:$D,2)</f>
        <v/>
      </c>
      <c r="C235" s="59">
        <f>(Table3032[[#This Row],[Real M1 Money Stock]]-B223)/B223</f>
        <v/>
      </c>
    </row>
    <row r="236">
      <c r="A236" s="25" t="n">
        <v>28550</v>
      </c>
      <c r="B236" s="26">
        <f>VLOOKUP(Table3032[[#This Row],[Month]],'DB Money Supply'!$A:$D,2)</f>
        <v/>
      </c>
      <c r="C236" s="59">
        <f>(Table3032[[#This Row],[Real M1 Money Stock]]-B224)/B224</f>
        <v/>
      </c>
    </row>
    <row r="237">
      <c r="A237" s="25" t="n">
        <v>28581</v>
      </c>
      <c r="B237" s="26">
        <f>VLOOKUP(Table3032[[#This Row],[Month]],'DB Money Supply'!$A:$D,2)</f>
        <v/>
      </c>
      <c r="C237" s="59">
        <f>(Table3032[[#This Row],[Real M1 Money Stock]]-B225)/B225</f>
        <v/>
      </c>
    </row>
    <row r="238">
      <c r="A238" s="25" t="n">
        <v>28611</v>
      </c>
      <c r="B238" s="26">
        <f>VLOOKUP(Table3032[[#This Row],[Month]],'DB Money Supply'!$A:$D,2)</f>
        <v/>
      </c>
      <c r="C238" s="59">
        <f>(Table3032[[#This Row],[Real M1 Money Stock]]-B226)/B226</f>
        <v/>
      </c>
    </row>
    <row r="239">
      <c r="A239" s="25" t="n">
        <v>28642</v>
      </c>
      <c r="B239" s="26">
        <f>VLOOKUP(Table3032[[#This Row],[Month]],'DB Money Supply'!$A:$D,2)</f>
        <v/>
      </c>
      <c r="C239" s="59">
        <f>(Table3032[[#This Row],[Real M1 Money Stock]]-B227)/B227</f>
        <v/>
      </c>
    </row>
    <row r="240">
      <c r="A240" s="25" t="n">
        <v>28672</v>
      </c>
      <c r="B240" s="26">
        <f>VLOOKUP(Table3032[[#This Row],[Month]],'DB Money Supply'!$A:$D,2)</f>
        <v/>
      </c>
      <c r="C240" s="59">
        <f>(Table3032[[#This Row],[Real M1 Money Stock]]-B228)/B228</f>
        <v/>
      </c>
    </row>
    <row r="241">
      <c r="A241" s="25" t="n">
        <v>28703</v>
      </c>
      <c r="B241" s="26">
        <f>VLOOKUP(Table3032[[#This Row],[Month]],'DB Money Supply'!$A:$D,2)</f>
        <v/>
      </c>
      <c r="C241" s="59">
        <f>(Table3032[[#This Row],[Real M1 Money Stock]]-B229)/B229</f>
        <v/>
      </c>
    </row>
    <row r="242">
      <c r="A242" s="25" t="n">
        <v>28734</v>
      </c>
      <c r="B242" s="26">
        <f>VLOOKUP(Table3032[[#This Row],[Month]],'DB Money Supply'!$A:$D,2)</f>
        <v/>
      </c>
      <c r="C242" s="59">
        <f>(Table3032[[#This Row],[Real M1 Money Stock]]-B230)/B230</f>
        <v/>
      </c>
    </row>
    <row r="243">
      <c r="A243" s="25" t="n">
        <v>28764</v>
      </c>
      <c r="B243" s="26">
        <f>VLOOKUP(Table3032[[#This Row],[Month]],'DB Money Supply'!$A:$D,2)</f>
        <v/>
      </c>
      <c r="C243" s="59">
        <f>(Table3032[[#This Row],[Real M1 Money Stock]]-B231)/B231</f>
        <v/>
      </c>
    </row>
    <row r="244">
      <c r="A244" s="25" t="n">
        <v>28795</v>
      </c>
      <c r="B244" s="26">
        <f>VLOOKUP(Table3032[[#This Row],[Month]],'DB Money Supply'!$A:$D,2)</f>
        <v/>
      </c>
      <c r="C244" s="59">
        <f>(Table3032[[#This Row],[Real M1 Money Stock]]-B232)/B232</f>
        <v/>
      </c>
    </row>
    <row r="245">
      <c r="A245" s="25" t="n">
        <v>28825</v>
      </c>
      <c r="B245" s="26">
        <f>VLOOKUP(Table3032[[#This Row],[Month]],'DB Money Supply'!$A:$D,2)</f>
        <v/>
      </c>
      <c r="C245" s="59">
        <f>(Table3032[[#This Row],[Real M1 Money Stock]]-B233)/B233</f>
        <v/>
      </c>
    </row>
    <row r="246">
      <c r="A246" s="25" t="n">
        <v>28856</v>
      </c>
      <c r="B246" s="26">
        <f>VLOOKUP(Table3032[[#This Row],[Month]],'DB Money Supply'!$A:$D,2)</f>
        <v/>
      </c>
      <c r="C246" s="59">
        <f>(Table3032[[#This Row],[Real M1 Money Stock]]-B234)/B234</f>
        <v/>
      </c>
    </row>
    <row r="247">
      <c r="A247" s="25" t="n">
        <v>28887</v>
      </c>
      <c r="B247" s="26">
        <f>VLOOKUP(Table3032[[#This Row],[Month]],'DB Money Supply'!$A:$D,2)</f>
        <v/>
      </c>
      <c r="C247" s="59">
        <f>(Table3032[[#This Row],[Real M1 Money Stock]]-B235)/B235</f>
        <v/>
      </c>
    </row>
    <row r="248">
      <c r="A248" s="25" t="n">
        <v>28915</v>
      </c>
      <c r="B248" s="26">
        <f>VLOOKUP(Table3032[[#This Row],[Month]],'DB Money Supply'!$A:$D,2)</f>
        <v/>
      </c>
      <c r="C248" s="59">
        <f>(Table3032[[#This Row],[Real M1 Money Stock]]-B236)/B236</f>
        <v/>
      </c>
    </row>
    <row r="249">
      <c r="A249" s="25" t="n">
        <v>28946</v>
      </c>
      <c r="B249" s="26">
        <f>VLOOKUP(Table3032[[#This Row],[Month]],'DB Money Supply'!$A:$D,2)</f>
        <v/>
      </c>
      <c r="C249" s="59">
        <f>(Table3032[[#This Row],[Real M1 Money Stock]]-B237)/B237</f>
        <v/>
      </c>
    </row>
    <row r="250">
      <c r="A250" s="25" t="n">
        <v>28976</v>
      </c>
      <c r="B250" s="26">
        <f>VLOOKUP(Table3032[[#This Row],[Month]],'DB Money Supply'!$A:$D,2)</f>
        <v/>
      </c>
      <c r="C250" s="59">
        <f>(Table3032[[#This Row],[Real M1 Money Stock]]-B238)/B238</f>
        <v/>
      </c>
    </row>
    <row r="251">
      <c r="A251" s="25" t="n">
        <v>29007</v>
      </c>
      <c r="B251" s="26">
        <f>VLOOKUP(Table3032[[#This Row],[Month]],'DB Money Supply'!$A:$D,2)</f>
        <v/>
      </c>
      <c r="C251" s="59">
        <f>(Table3032[[#This Row],[Real M1 Money Stock]]-B239)/B239</f>
        <v/>
      </c>
    </row>
    <row r="252">
      <c r="A252" s="25" t="n">
        <v>29037</v>
      </c>
      <c r="B252" s="26">
        <f>VLOOKUP(Table3032[[#This Row],[Month]],'DB Money Supply'!$A:$D,2)</f>
        <v/>
      </c>
      <c r="C252" s="59">
        <f>(Table3032[[#This Row],[Real M1 Money Stock]]-B240)/B240</f>
        <v/>
      </c>
    </row>
    <row r="253">
      <c r="A253" s="25" t="n">
        <v>29068</v>
      </c>
      <c r="B253" s="26">
        <f>VLOOKUP(Table3032[[#This Row],[Month]],'DB Money Supply'!$A:$D,2)</f>
        <v/>
      </c>
      <c r="C253" s="59">
        <f>(Table3032[[#This Row],[Real M1 Money Stock]]-B241)/B241</f>
        <v/>
      </c>
    </row>
    <row r="254">
      <c r="A254" s="25" t="n">
        <v>29099</v>
      </c>
      <c r="B254" s="26">
        <f>VLOOKUP(Table3032[[#This Row],[Month]],'DB Money Supply'!$A:$D,2)</f>
        <v/>
      </c>
      <c r="C254" s="59">
        <f>(Table3032[[#This Row],[Real M1 Money Stock]]-B242)/B242</f>
        <v/>
      </c>
    </row>
    <row r="255">
      <c r="A255" s="25" t="n">
        <v>29129</v>
      </c>
      <c r="B255" s="26">
        <f>VLOOKUP(Table3032[[#This Row],[Month]],'DB Money Supply'!$A:$D,2)</f>
        <v/>
      </c>
      <c r="C255" s="59">
        <f>(Table3032[[#This Row],[Real M1 Money Stock]]-B243)/B243</f>
        <v/>
      </c>
    </row>
    <row r="256">
      <c r="A256" s="25" t="n">
        <v>29160</v>
      </c>
      <c r="B256" s="26">
        <f>VLOOKUP(Table3032[[#This Row],[Month]],'DB Money Supply'!$A:$D,2)</f>
        <v/>
      </c>
      <c r="C256" s="59">
        <f>(Table3032[[#This Row],[Real M1 Money Stock]]-B244)/B244</f>
        <v/>
      </c>
    </row>
    <row r="257">
      <c r="A257" s="25" t="n">
        <v>29190</v>
      </c>
      <c r="B257" s="26">
        <f>VLOOKUP(Table3032[[#This Row],[Month]],'DB Money Supply'!$A:$D,2)</f>
        <v/>
      </c>
      <c r="C257" s="59">
        <f>(Table3032[[#This Row],[Real M1 Money Stock]]-B245)/B245</f>
        <v/>
      </c>
    </row>
    <row r="258">
      <c r="A258" s="25" t="n">
        <v>29221</v>
      </c>
      <c r="B258" s="26">
        <f>VLOOKUP(Table3032[[#This Row],[Month]],'DB Money Supply'!$A:$D,2)</f>
        <v/>
      </c>
      <c r="C258" s="59">
        <f>(Table3032[[#This Row],[Real M1 Money Stock]]-B246)/B246</f>
        <v/>
      </c>
    </row>
    <row r="259">
      <c r="A259" s="25" t="n">
        <v>29252</v>
      </c>
      <c r="B259" s="26">
        <f>VLOOKUP(Table3032[[#This Row],[Month]],'DB Money Supply'!$A:$D,2)</f>
        <v/>
      </c>
      <c r="C259" s="59">
        <f>(Table3032[[#This Row],[Real M1 Money Stock]]-B247)/B247</f>
        <v/>
      </c>
    </row>
    <row r="260">
      <c r="A260" s="25" t="n">
        <v>29281</v>
      </c>
      <c r="B260" s="26">
        <f>VLOOKUP(Table3032[[#This Row],[Month]],'DB Money Supply'!$A:$D,2)</f>
        <v/>
      </c>
      <c r="C260" s="59">
        <f>(Table3032[[#This Row],[Real M1 Money Stock]]-B248)/B248</f>
        <v/>
      </c>
    </row>
    <row r="261">
      <c r="A261" s="25" t="n">
        <v>29312</v>
      </c>
      <c r="B261" s="26">
        <f>VLOOKUP(Table3032[[#This Row],[Month]],'DB Money Supply'!$A:$D,2)</f>
        <v/>
      </c>
      <c r="C261" s="59">
        <f>(Table3032[[#This Row],[Real M1 Money Stock]]-B249)/B249</f>
        <v/>
      </c>
    </row>
    <row r="262">
      <c r="A262" s="25" t="n">
        <v>29342</v>
      </c>
      <c r="B262" s="26">
        <f>VLOOKUP(Table3032[[#This Row],[Month]],'DB Money Supply'!$A:$D,2)</f>
        <v/>
      </c>
      <c r="C262" s="59">
        <f>(Table3032[[#This Row],[Real M1 Money Stock]]-B250)/B250</f>
        <v/>
      </c>
    </row>
    <row r="263">
      <c r="A263" s="25" t="n">
        <v>29373</v>
      </c>
      <c r="B263" s="26">
        <f>VLOOKUP(Table3032[[#This Row],[Month]],'DB Money Supply'!$A:$D,2)</f>
        <v/>
      </c>
      <c r="C263" s="59">
        <f>(Table3032[[#This Row],[Real M1 Money Stock]]-B251)/B251</f>
        <v/>
      </c>
    </row>
    <row r="264">
      <c r="A264" s="25" t="n">
        <v>29403</v>
      </c>
      <c r="B264" s="26">
        <f>VLOOKUP(Table3032[[#This Row],[Month]],'DB Money Supply'!$A:$D,2)</f>
        <v/>
      </c>
      <c r="C264" s="59">
        <f>(Table3032[[#This Row],[Real M1 Money Stock]]-B252)/B252</f>
        <v/>
      </c>
    </row>
    <row r="265">
      <c r="A265" s="25" t="n">
        <v>29434</v>
      </c>
      <c r="B265" s="26">
        <f>VLOOKUP(Table3032[[#This Row],[Month]],'DB Money Supply'!$A:$D,2)</f>
        <v/>
      </c>
      <c r="C265" s="59">
        <f>(Table3032[[#This Row],[Real M1 Money Stock]]-B253)/B253</f>
        <v/>
      </c>
    </row>
    <row r="266">
      <c r="A266" s="25" t="n">
        <v>29465</v>
      </c>
      <c r="B266" s="26">
        <f>VLOOKUP(Table3032[[#This Row],[Month]],'DB Money Supply'!$A:$D,2)</f>
        <v/>
      </c>
      <c r="C266" s="59">
        <f>(Table3032[[#This Row],[Real M1 Money Stock]]-B254)/B254</f>
        <v/>
      </c>
    </row>
    <row r="267">
      <c r="A267" s="25" t="n">
        <v>29495</v>
      </c>
      <c r="B267" s="26">
        <f>VLOOKUP(Table3032[[#This Row],[Month]],'DB Money Supply'!$A:$D,2)</f>
        <v/>
      </c>
      <c r="C267" s="59">
        <f>(Table3032[[#This Row],[Real M1 Money Stock]]-B255)/B255</f>
        <v/>
      </c>
    </row>
    <row r="268">
      <c r="A268" s="25" t="n">
        <v>29526</v>
      </c>
      <c r="B268" s="26">
        <f>VLOOKUP(Table3032[[#This Row],[Month]],'DB Money Supply'!$A:$D,2)</f>
        <v/>
      </c>
      <c r="C268" s="59">
        <f>(Table3032[[#This Row],[Real M1 Money Stock]]-B256)/B256</f>
        <v/>
      </c>
    </row>
    <row r="269">
      <c r="A269" s="25" t="n">
        <v>29556</v>
      </c>
      <c r="B269" s="26">
        <f>VLOOKUP(Table3032[[#This Row],[Month]],'DB Money Supply'!$A:$D,2)</f>
        <v/>
      </c>
      <c r="C269" s="59">
        <f>(Table3032[[#This Row],[Real M1 Money Stock]]-B257)/B257</f>
        <v/>
      </c>
    </row>
    <row r="270">
      <c r="A270" s="25" t="n">
        <v>29587</v>
      </c>
      <c r="B270" s="26">
        <f>VLOOKUP(Table3032[[#This Row],[Month]],'DB Money Supply'!$A:$D,2)</f>
        <v/>
      </c>
      <c r="C270" s="59">
        <f>(Table3032[[#This Row],[Real M1 Money Stock]]-B258)/B258</f>
        <v/>
      </c>
    </row>
    <row r="271">
      <c r="A271" s="25" t="n">
        <v>29618</v>
      </c>
      <c r="B271" s="26">
        <f>VLOOKUP(Table3032[[#This Row],[Month]],'DB Money Supply'!$A:$D,2)</f>
        <v/>
      </c>
      <c r="C271" s="59">
        <f>(Table3032[[#This Row],[Real M1 Money Stock]]-B259)/B259</f>
        <v/>
      </c>
    </row>
    <row r="272">
      <c r="A272" s="25" t="n">
        <v>29646</v>
      </c>
      <c r="B272" s="26">
        <f>VLOOKUP(Table3032[[#This Row],[Month]],'DB Money Supply'!$A:$D,2)</f>
        <v/>
      </c>
      <c r="C272" s="59">
        <f>(Table3032[[#This Row],[Real M1 Money Stock]]-B260)/B260</f>
        <v/>
      </c>
    </row>
    <row r="273">
      <c r="A273" s="25" t="n">
        <v>29677</v>
      </c>
      <c r="B273" s="26">
        <f>VLOOKUP(Table3032[[#This Row],[Month]],'DB Money Supply'!$A:$D,2)</f>
        <v/>
      </c>
      <c r="C273" s="59">
        <f>(Table3032[[#This Row],[Real M1 Money Stock]]-B261)/B261</f>
        <v/>
      </c>
    </row>
    <row r="274">
      <c r="A274" s="25" t="n">
        <v>29707</v>
      </c>
      <c r="B274" s="26">
        <f>VLOOKUP(Table3032[[#This Row],[Month]],'DB Money Supply'!$A:$D,2)</f>
        <v/>
      </c>
      <c r="C274" s="59">
        <f>(Table3032[[#This Row],[Real M1 Money Stock]]-B262)/B262</f>
        <v/>
      </c>
    </row>
    <row r="275">
      <c r="A275" s="25" t="n">
        <v>29738</v>
      </c>
      <c r="B275" s="26">
        <f>VLOOKUP(Table3032[[#This Row],[Month]],'DB Money Supply'!$A:$D,2)</f>
        <v/>
      </c>
      <c r="C275" s="59">
        <f>(Table3032[[#This Row],[Real M1 Money Stock]]-B263)/B263</f>
        <v/>
      </c>
    </row>
    <row r="276">
      <c r="A276" s="25" t="n">
        <v>29768</v>
      </c>
      <c r="B276" s="26">
        <f>VLOOKUP(Table3032[[#This Row],[Month]],'DB Money Supply'!$A:$D,2)</f>
        <v/>
      </c>
      <c r="C276" s="59">
        <f>(Table3032[[#This Row],[Real M1 Money Stock]]-B264)/B264</f>
        <v/>
      </c>
    </row>
    <row r="277">
      <c r="A277" s="25" t="n">
        <v>29799</v>
      </c>
      <c r="B277" s="26">
        <f>VLOOKUP(Table3032[[#This Row],[Month]],'DB Money Supply'!$A:$D,2)</f>
        <v/>
      </c>
      <c r="C277" s="59">
        <f>(Table3032[[#This Row],[Real M1 Money Stock]]-B265)/B265</f>
        <v/>
      </c>
    </row>
    <row r="278">
      <c r="A278" s="25" t="n">
        <v>29830</v>
      </c>
      <c r="B278" s="26">
        <f>VLOOKUP(Table3032[[#This Row],[Month]],'DB Money Supply'!$A:$D,2)</f>
        <v/>
      </c>
      <c r="C278" s="59">
        <f>(Table3032[[#This Row],[Real M1 Money Stock]]-B266)/B266</f>
        <v/>
      </c>
    </row>
    <row r="279">
      <c r="A279" s="25" t="n">
        <v>29860</v>
      </c>
      <c r="B279" s="26">
        <f>VLOOKUP(Table3032[[#This Row],[Month]],'DB Money Supply'!$A:$D,2)</f>
        <v/>
      </c>
      <c r="C279" s="59">
        <f>(Table3032[[#This Row],[Real M1 Money Stock]]-B267)/B267</f>
        <v/>
      </c>
    </row>
    <row r="280">
      <c r="A280" s="25" t="n">
        <v>29891</v>
      </c>
      <c r="B280" s="26">
        <f>VLOOKUP(Table3032[[#This Row],[Month]],'DB Money Supply'!$A:$D,2)</f>
        <v/>
      </c>
      <c r="C280" s="59">
        <f>(Table3032[[#This Row],[Real M1 Money Stock]]-B268)/B268</f>
        <v/>
      </c>
    </row>
    <row r="281">
      <c r="A281" s="25" t="n">
        <v>29921</v>
      </c>
      <c r="B281" s="26">
        <f>VLOOKUP(Table3032[[#This Row],[Month]],'DB Money Supply'!$A:$D,2)</f>
        <v/>
      </c>
      <c r="C281" s="59">
        <f>(Table3032[[#This Row],[Real M1 Money Stock]]-B269)/B269</f>
        <v/>
      </c>
    </row>
    <row r="282">
      <c r="A282" s="25" t="n">
        <v>29952</v>
      </c>
      <c r="B282" s="26">
        <f>VLOOKUP(Table3032[[#This Row],[Month]],'DB Money Supply'!$A:$D,2)</f>
        <v/>
      </c>
      <c r="C282" s="59">
        <f>(Table3032[[#This Row],[Real M1 Money Stock]]-B270)/B270</f>
        <v/>
      </c>
    </row>
    <row r="283">
      <c r="A283" s="25" t="n">
        <v>29983</v>
      </c>
      <c r="B283" s="26">
        <f>VLOOKUP(Table3032[[#This Row],[Month]],'DB Money Supply'!$A:$D,2)</f>
        <v/>
      </c>
      <c r="C283" s="59">
        <f>(Table3032[[#This Row],[Real M1 Money Stock]]-B271)/B271</f>
        <v/>
      </c>
    </row>
    <row r="284">
      <c r="A284" s="25" t="n">
        <v>30011</v>
      </c>
      <c r="B284" s="26">
        <f>VLOOKUP(Table3032[[#This Row],[Month]],'DB Money Supply'!$A:$D,2)</f>
        <v/>
      </c>
      <c r="C284" s="59">
        <f>(Table3032[[#This Row],[Real M1 Money Stock]]-B272)/B272</f>
        <v/>
      </c>
    </row>
    <row r="285">
      <c r="A285" s="25" t="n">
        <v>30042</v>
      </c>
      <c r="B285" s="26">
        <f>VLOOKUP(Table3032[[#This Row],[Month]],'DB Money Supply'!$A:$D,2)</f>
        <v/>
      </c>
      <c r="C285" s="59">
        <f>(Table3032[[#This Row],[Real M1 Money Stock]]-B273)/B273</f>
        <v/>
      </c>
    </row>
    <row r="286">
      <c r="A286" s="25" t="n">
        <v>30072</v>
      </c>
      <c r="B286" s="26">
        <f>VLOOKUP(Table3032[[#This Row],[Month]],'DB Money Supply'!$A:$D,2)</f>
        <v/>
      </c>
      <c r="C286" s="59">
        <f>(Table3032[[#This Row],[Real M1 Money Stock]]-B274)/B274</f>
        <v/>
      </c>
    </row>
    <row r="287">
      <c r="A287" s="25" t="n">
        <v>30103</v>
      </c>
      <c r="B287" s="26">
        <f>VLOOKUP(Table3032[[#This Row],[Month]],'DB Money Supply'!$A:$D,2)</f>
        <v/>
      </c>
      <c r="C287" s="59">
        <f>(Table3032[[#This Row],[Real M1 Money Stock]]-B275)/B275</f>
        <v/>
      </c>
    </row>
    <row r="288">
      <c r="A288" s="25" t="n">
        <v>30133</v>
      </c>
      <c r="B288" s="26">
        <f>VLOOKUP(Table3032[[#This Row],[Month]],'DB Money Supply'!$A:$D,2)</f>
        <v/>
      </c>
      <c r="C288" s="59">
        <f>(Table3032[[#This Row],[Real M1 Money Stock]]-B276)/B276</f>
        <v/>
      </c>
    </row>
    <row r="289">
      <c r="A289" s="25" t="n">
        <v>30164</v>
      </c>
      <c r="B289" s="26">
        <f>VLOOKUP(Table3032[[#This Row],[Month]],'DB Money Supply'!$A:$D,2)</f>
        <v/>
      </c>
      <c r="C289" s="59">
        <f>(Table3032[[#This Row],[Real M1 Money Stock]]-B277)/B277</f>
        <v/>
      </c>
    </row>
    <row r="290">
      <c r="A290" s="25" t="n">
        <v>30195</v>
      </c>
      <c r="B290" s="26">
        <f>VLOOKUP(Table3032[[#This Row],[Month]],'DB Money Supply'!$A:$D,2)</f>
        <v/>
      </c>
      <c r="C290" s="59">
        <f>(Table3032[[#This Row],[Real M1 Money Stock]]-B278)/B278</f>
        <v/>
      </c>
    </row>
    <row r="291">
      <c r="A291" s="25" t="n">
        <v>30225</v>
      </c>
      <c r="B291" s="26">
        <f>VLOOKUP(Table3032[[#This Row],[Month]],'DB Money Supply'!$A:$D,2)</f>
        <v/>
      </c>
      <c r="C291" s="59">
        <f>(Table3032[[#This Row],[Real M1 Money Stock]]-B279)/B279</f>
        <v/>
      </c>
    </row>
    <row r="292">
      <c r="A292" s="25" t="n">
        <v>30256</v>
      </c>
      <c r="B292" s="26">
        <f>VLOOKUP(Table3032[[#This Row],[Month]],'DB Money Supply'!$A:$D,2)</f>
        <v/>
      </c>
      <c r="C292" s="59">
        <f>(Table3032[[#This Row],[Real M1 Money Stock]]-B280)/B280</f>
        <v/>
      </c>
    </row>
    <row r="293">
      <c r="A293" s="25" t="n">
        <v>30286</v>
      </c>
      <c r="B293" s="26">
        <f>VLOOKUP(Table3032[[#This Row],[Month]],'DB Money Supply'!$A:$D,2)</f>
        <v/>
      </c>
      <c r="C293" s="59">
        <f>(Table3032[[#This Row],[Real M1 Money Stock]]-B281)/B281</f>
        <v/>
      </c>
    </row>
    <row r="294">
      <c r="A294" s="25" t="n">
        <v>30317</v>
      </c>
      <c r="B294" s="26">
        <f>VLOOKUP(Table3032[[#This Row],[Month]],'DB Money Supply'!$A:$D,2)</f>
        <v/>
      </c>
      <c r="C294" s="59">
        <f>(Table3032[[#This Row],[Real M1 Money Stock]]-B282)/B282</f>
        <v/>
      </c>
    </row>
    <row r="295">
      <c r="A295" s="25" t="n">
        <v>30348</v>
      </c>
      <c r="B295" s="26">
        <f>VLOOKUP(Table3032[[#This Row],[Month]],'DB Money Supply'!$A:$D,2)</f>
        <v/>
      </c>
      <c r="C295" s="59">
        <f>(Table3032[[#This Row],[Real M1 Money Stock]]-B283)/B283</f>
        <v/>
      </c>
    </row>
    <row r="296">
      <c r="A296" s="25" t="n">
        <v>30376</v>
      </c>
      <c r="B296" s="26">
        <f>VLOOKUP(Table3032[[#This Row],[Month]],'DB Money Supply'!$A:$D,2)</f>
        <v/>
      </c>
      <c r="C296" s="59">
        <f>(Table3032[[#This Row],[Real M1 Money Stock]]-B284)/B284</f>
        <v/>
      </c>
    </row>
    <row r="297">
      <c r="A297" s="25" t="n">
        <v>30407</v>
      </c>
      <c r="B297" s="26">
        <f>VLOOKUP(Table3032[[#This Row],[Month]],'DB Money Supply'!$A:$D,2)</f>
        <v/>
      </c>
      <c r="C297" s="59">
        <f>(Table3032[[#This Row],[Real M1 Money Stock]]-B285)/B285</f>
        <v/>
      </c>
    </row>
    <row r="298">
      <c r="A298" s="25" t="n">
        <v>30437</v>
      </c>
      <c r="B298" s="26">
        <f>VLOOKUP(Table3032[[#This Row],[Month]],'DB Money Supply'!$A:$D,2)</f>
        <v/>
      </c>
      <c r="C298" s="59">
        <f>(Table3032[[#This Row],[Real M1 Money Stock]]-B286)/B286</f>
        <v/>
      </c>
    </row>
    <row r="299">
      <c r="A299" s="25" t="n">
        <v>30468</v>
      </c>
      <c r="B299" s="26">
        <f>VLOOKUP(Table3032[[#This Row],[Month]],'DB Money Supply'!$A:$D,2)</f>
        <v/>
      </c>
      <c r="C299" s="59">
        <f>(Table3032[[#This Row],[Real M1 Money Stock]]-B287)/B287</f>
        <v/>
      </c>
    </row>
    <row r="300">
      <c r="A300" s="25" t="n">
        <v>30498</v>
      </c>
      <c r="B300" s="26">
        <f>VLOOKUP(Table3032[[#This Row],[Month]],'DB Money Supply'!$A:$D,2)</f>
        <v/>
      </c>
      <c r="C300" s="59">
        <f>(Table3032[[#This Row],[Real M1 Money Stock]]-B288)/B288</f>
        <v/>
      </c>
    </row>
    <row r="301">
      <c r="A301" s="25" t="n">
        <v>30529</v>
      </c>
      <c r="B301" s="26">
        <f>VLOOKUP(Table3032[[#This Row],[Month]],'DB Money Supply'!$A:$D,2)</f>
        <v/>
      </c>
      <c r="C301" s="59">
        <f>(Table3032[[#This Row],[Real M1 Money Stock]]-B289)/B289</f>
        <v/>
      </c>
    </row>
    <row r="302">
      <c r="A302" s="25" t="n">
        <v>30560</v>
      </c>
      <c r="B302" s="26">
        <f>VLOOKUP(Table3032[[#This Row],[Month]],'DB Money Supply'!$A:$D,2)</f>
        <v/>
      </c>
      <c r="C302" s="59">
        <f>(Table3032[[#This Row],[Real M1 Money Stock]]-B290)/B290</f>
        <v/>
      </c>
    </row>
    <row r="303">
      <c r="A303" s="25" t="n">
        <v>30590</v>
      </c>
      <c r="B303" s="26">
        <f>VLOOKUP(Table3032[[#This Row],[Month]],'DB Money Supply'!$A:$D,2)</f>
        <v/>
      </c>
      <c r="C303" s="59">
        <f>(Table3032[[#This Row],[Real M1 Money Stock]]-B291)/B291</f>
        <v/>
      </c>
    </row>
    <row r="304">
      <c r="A304" s="25" t="n">
        <v>30621</v>
      </c>
      <c r="B304" s="26">
        <f>VLOOKUP(Table3032[[#This Row],[Month]],'DB Money Supply'!$A:$D,2)</f>
        <v/>
      </c>
      <c r="C304" s="59">
        <f>(Table3032[[#This Row],[Real M1 Money Stock]]-B292)/B292</f>
        <v/>
      </c>
    </row>
    <row r="305">
      <c r="A305" s="25" t="n">
        <v>30651</v>
      </c>
      <c r="B305" s="26">
        <f>VLOOKUP(Table3032[[#This Row],[Month]],'DB Money Supply'!$A:$D,2)</f>
        <v/>
      </c>
      <c r="C305" s="59">
        <f>(Table3032[[#This Row],[Real M1 Money Stock]]-B293)/B293</f>
        <v/>
      </c>
    </row>
    <row r="306">
      <c r="A306" s="25" t="n">
        <v>30682</v>
      </c>
      <c r="B306" s="26">
        <f>VLOOKUP(Table3032[[#This Row],[Month]],'DB Money Supply'!$A:$D,2)</f>
        <v/>
      </c>
      <c r="C306" s="59">
        <f>(Table3032[[#This Row],[Real M1 Money Stock]]-B294)/B294</f>
        <v/>
      </c>
    </row>
    <row r="307">
      <c r="A307" s="25" t="n">
        <v>30713</v>
      </c>
      <c r="B307" s="26">
        <f>VLOOKUP(Table3032[[#This Row],[Month]],'DB Money Supply'!$A:$D,2)</f>
        <v/>
      </c>
      <c r="C307" s="59">
        <f>(Table3032[[#This Row],[Real M1 Money Stock]]-B295)/B295</f>
        <v/>
      </c>
    </row>
    <row r="308">
      <c r="A308" s="25" t="n">
        <v>30742</v>
      </c>
      <c r="B308" s="26">
        <f>VLOOKUP(Table3032[[#This Row],[Month]],'DB Money Supply'!$A:$D,2)</f>
        <v/>
      </c>
      <c r="C308" s="59">
        <f>(Table3032[[#This Row],[Real M1 Money Stock]]-B296)/B296</f>
        <v/>
      </c>
    </row>
    <row r="309">
      <c r="A309" s="25" t="n">
        <v>30773</v>
      </c>
      <c r="B309" s="26">
        <f>VLOOKUP(Table3032[[#This Row],[Month]],'DB Money Supply'!$A:$D,2)</f>
        <v/>
      </c>
      <c r="C309" s="59">
        <f>(Table3032[[#This Row],[Real M1 Money Stock]]-B297)/B297</f>
        <v/>
      </c>
    </row>
    <row r="310">
      <c r="A310" s="25" t="n">
        <v>30803</v>
      </c>
      <c r="B310" s="26">
        <f>VLOOKUP(Table3032[[#This Row],[Month]],'DB Money Supply'!$A:$D,2)</f>
        <v/>
      </c>
      <c r="C310" s="59">
        <f>(Table3032[[#This Row],[Real M1 Money Stock]]-B298)/B298</f>
        <v/>
      </c>
    </row>
    <row r="311">
      <c r="A311" s="25" t="n">
        <v>30834</v>
      </c>
      <c r="B311" s="26">
        <f>VLOOKUP(Table3032[[#This Row],[Month]],'DB Money Supply'!$A:$D,2)</f>
        <v/>
      </c>
      <c r="C311" s="59">
        <f>(Table3032[[#This Row],[Real M1 Money Stock]]-B299)/B299</f>
        <v/>
      </c>
    </row>
    <row r="312">
      <c r="A312" s="25" t="n">
        <v>30864</v>
      </c>
      <c r="B312" s="26">
        <f>VLOOKUP(Table3032[[#This Row],[Month]],'DB Money Supply'!$A:$D,2)</f>
        <v/>
      </c>
      <c r="C312" s="59">
        <f>(Table3032[[#This Row],[Real M1 Money Stock]]-B300)/B300</f>
        <v/>
      </c>
    </row>
    <row r="313">
      <c r="A313" s="25" t="n">
        <v>30895</v>
      </c>
      <c r="B313" s="26">
        <f>VLOOKUP(Table3032[[#This Row],[Month]],'DB Money Supply'!$A:$D,2)</f>
        <v/>
      </c>
      <c r="C313" s="59">
        <f>(Table3032[[#This Row],[Real M1 Money Stock]]-B301)/B301</f>
        <v/>
      </c>
    </row>
    <row r="314">
      <c r="A314" s="25" t="n">
        <v>30926</v>
      </c>
      <c r="B314" s="26">
        <f>VLOOKUP(Table3032[[#This Row],[Month]],'DB Money Supply'!$A:$D,2)</f>
        <v/>
      </c>
      <c r="C314" s="59">
        <f>(Table3032[[#This Row],[Real M1 Money Stock]]-B302)/B302</f>
        <v/>
      </c>
    </row>
    <row r="315">
      <c r="A315" s="25" t="n">
        <v>30956</v>
      </c>
      <c r="B315" s="26">
        <f>VLOOKUP(Table3032[[#This Row],[Month]],'DB Money Supply'!$A:$D,2)</f>
        <v/>
      </c>
      <c r="C315" s="59">
        <f>(Table3032[[#This Row],[Real M1 Money Stock]]-B303)/B303</f>
        <v/>
      </c>
    </row>
    <row r="316">
      <c r="A316" s="25" t="n">
        <v>30987</v>
      </c>
      <c r="B316" s="26">
        <f>VLOOKUP(Table3032[[#This Row],[Month]],'DB Money Supply'!$A:$D,2)</f>
        <v/>
      </c>
      <c r="C316" s="59">
        <f>(Table3032[[#This Row],[Real M1 Money Stock]]-B304)/B304</f>
        <v/>
      </c>
    </row>
    <row r="317">
      <c r="A317" s="25" t="n">
        <v>31017</v>
      </c>
      <c r="B317" s="26">
        <f>VLOOKUP(Table3032[[#This Row],[Month]],'DB Money Supply'!$A:$D,2)</f>
        <v/>
      </c>
      <c r="C317" s="59">
        <f>(Table3032[[#This Row],[Real M1 Money Stock]]-B305)/B305</f>
        <v/>
      </c>
    </row>
    <row r="318">
      <c r="A318" s="25" t="n">
        <v>31048</v>
      </c>
      <c r="B318" s="26">
        <f>VLOOKUP(Table3032[[#This Row],[Month]],'DB Money Supply'!$A:$D,2)</f>
        <v/>
      </c>
      <c r="C318" s="59">
        <f>(Table3032[[#This Row],[Real M1 Money Stock]]-B306)/B306</f>
        <v/>
      </c>
    </row>
    <row r="319">
      <c r="A319" s="25" t="n">
        <v>31079</v>
      </c>
      <c r="B319" s="26">
        <f>VLOOKUP(Table3032[[#This Row],[Month]],'DB Money Supply'!$A:$D,2)</f>
        <v/>
      </c>
      <c r="C319" s="59">
        <f>(Table3032[[#This Row],[Real M1 Money Stock]]-B307)/B307</f>
        <v/>
      </c>
    </row>
    <row r="320">
      <c r="A320" s="25" t="n">
        <v>31107</v>
      </c>
      <c r="B320" s="26">
        <f>VLOOKUP(Table3032[[#This Row],[Month]],'DB Money Supply'!$A:$D,2)</f>
        <v/>
      </c>
      <c r="C320" s="59">
        <f>(Table3032[[#This Row],[Real M1 Money Stock]]-B308)/B308</f>
        <v/>
      </c>
    </row>
    <row r="321">
      <c r="A321" s="25" t="n">
        <v>31138</v>
      </c>
      <c r="B321" s="26">
        <f>VLOOKUP(Table3032[[#This Row],[Month]],'DB Money Supply'!$A:$D,2)</f>
        <v/>
      </c>
      <c r="C321" s="59">
        <f>(Table3032[[#This Row],[Real M1 Money Stock]]-B309)/B309</f>
        <v/>
      </c>
    </row>
    <row r="322">
      <c r="A322" s="25" t="n">
        <v>31168</v>
      </c>
      <c r="B322" s="26">
        <f>VLOOKUP(Table3032[[#This Row],[Month]],'DB Money Supply'!$A:$D,2)</f>
        <v/>
      </c>
      <c r="C322" s="59">
        <f>(Table3032[[#This Row],[Real M1 Money Stock]]-B310)/B310</f>
        <v/>
      </c>
    </row>
    <row r="323">
      <c r="A323" s="25" t="n">
        <v>31199</v>
      </c>
      <c r="B323" s="26">
        <f>VLOOKUP(Table3032[[#This Row],[Month]],'DB Money Supply'!$A:$D,2)</f>
        <v/>
      </c>
      <c r="C323" s="59">
        <f>(Table3032[[#This Row],[Real M1 Money Stock]]-B311)/B311</f>
        <v/>
      </c>
    </row>
    <row r="324">
      <c r="A324" s="25" t="n">
        <v>31229</v>
      </c>
      <c r="B324" s="26">
        <f>VLOOKUP(Table3032[[#This Row],[Month]],'DB Money Supply'!$A:$D,2)</f>
        <v/>
      </c>
      <c r="C324" s="59">
        <f>(Table3032[[#This Row],[Real M1 Money Stock]]-B312)/B312</f>
        <v/>
      </c>
    </row>
    <row r="325">
      <c r="A325" s="25" t="n">
        <v>31260</v>
      </c>
      <c r="B325" s="26">
        <f>VLOOKUP(Table3032[[#This Row],[Month]],'DB Money Supply'!$A:$D,2)</f>
        <v/>
      </c>
      <c r="C325" s="59">
        <f>(Table3032[[#This Row],[Real M1 Money Stock]]-B313)/B313</f>
        <v/>
      </c>
    </row>
    <row r="326">
      <c r="A326" s="25" t="n">
        <v>31291</v>
      </c>
      <c r="B326" s="26">
        <f>VLOOKUP(Table3032[[#This Row],[Month]],'DB Money Supply'!$A:$D,2)</f>
        <v/>
      </c>
      <c r="C326" s="59">
        <f>(Table3032[[#This Row],[Real M1 Money Stock]]-B314)/B314</f>
        <v/>
      </c>
    </row>
    <row r="327">
      <c r="A327" s="25" t="n">
        <v>31321</v>
      </c>
      <c r="B327" s="26">
        <f>VLOOKUP(Table3032[[#This Row],[Month]],'DB Money Supply'!$A:$D,2)</f>
        <v/>
      </c>
      <c r="C327" s="59">
        <f>(Table3032[[#This Row],[Real M1 Money Stock]]-B315)/B315</f>
        <v/>
      </c>
    </row>
    <row r="328">
      <c r="A328" s="25" t="n">
        <v>31352</v>
      </c>
      <c r="B328" s="26">
        <f>VLOOKUP(Table3032[[#This Row],[Month]],'DB Money Supply'!$A:$D,2)</f>
        <v/>
      </c>
      <c r="C328" s="59">
        <f>(Table3032[[#This Row],[Real M1 Money Stock]]-B316)/B316</f>
        <v/>
      </c>
    </row>
    <row r="329">
      <c r="A329" s="25" t="n">
        <v>31382</v>
      </c>
      <c r="B329" s="26">
        <f>VLOOKUP(Table3032[[#This Row],[Month]],'DB Money Supply'!$A:$D,2)</f>
        <v/>
      </c>
      <c r="C329" s="59">
        <f>(Table3032[[#This Row],[Real M1 Money Stock]]-B317)/B317</f>
        <v/>
      </c>
    </row>
    <row r="330">
      <c r="A330" s="25" t="n">
        <v>31413</v>
      </c>
      <c r="B330" s="26">
        <f>VLOOKUP(Table3032[[#This Row],[Month]],'DB Money Supply'!$A:$D,2)</f>
        <v/>
      </c>
      <c r="C330" s="59">
        <f>(Table3032[[#This Row],[Real M1 Money Stock]]-B318)/B318</f>
        <v/>
      </c>
    </row>
    <row r="331">
      <c r="A331" s="25" t="n">
        <v>31444</v>
      </c>
      <c r="B331" s="26">
        <f>VLOOKUP(Table3032[[#This Row],[Month]],'DB Money Supply'!$A:$D,2)</f>
        <v/>
      </c>
      <c r="C331" s="59">
        <f>(Table3032[[#This Row],[Real M1 Money Stock]]-B319)/B319</f>
        <v/>
      </c>
    </row>
    <row r="332">
      <c r="A332" s="25" t="n">
        <v>31472</v>
      </c>
      <c r="B332" s="26">
        <f>VLOOKUP(Table3032[[#This Row],[Month]],'DB Money Supply'!$A:$D,2)</f>
        <v/>
      </c>
      <c r="C332" s="59">
        <f>(Table3032[[#This Row],[Real M1 Money Stock]]-B320)/B320</f>
        <v/>
      </c>
    </row>
    <row r="333">
      <c r="A333" s="25" t="n">
        <v>31503</v>
      </c>
      <c r="B333" s="26">
        <f>VLOOKUP(Table3032[[#This Row],[Month]],'DB Money Supply'!$A:$D,2)</f>
        <v/>
      </c>
      <c r="C333" s="59">
        <f>(Table3032[[#This Row],[Real M1 Money Stock]]-B321)/B321</f>
        <v/>
      </c>
    </row>
    <row r="334">
      <c r="A334" s="25" t="n">
        <v>31533</v>
      </c>
      <c r="B334" s="26">
        <f>VLOOKUP(Table3032[[#This Row],[Month]],'DB Money Supply'!$A:$D,2)</f>
        <v/>
      </c>
      <c r="C334" s="59">
        <f>(Table3032[[#This Row],[Real M1 Money Stock]]-B322)/B322</f>
        <v/>
      </c>
    </row>
    <row r="335">
      <c r="A335" s="25" t="n">
        <v>31564</v>
      </c>
      <c r="B335" s="26">
        <f>VLOOKUP(Table3032[[#This Row],[Month]],'DB Money Supply'!$A:$D,2)</f>
        <v/>
      </c>
      <c r="C335" s="59">
        <f>(Table3032[[#This Row],[Real M1 Money Stock]]-B323)/B323</f>
        <v/>
      </c>
    </row>
    <row r="336">
      <c r="A336" s="25" t="n">
        <v>31594</v>
      </c>
      <c r="B336" s="26">
        <f>VLOOKUP(Table3032[[#This Row],[Month]],'DB Money Supply'!$A:$D,2)</f>
        <v/>
      </c>
      <c r="C336" s="59">
        <f>(Table3032[[#This Row],[Real M1 Money Stock]]-B324)/B324</f>
        <v/>
      </c>
    </row>
    <row r="337">
      <c r="A337" s="25" t="n">
        <v>31625</v>
      </c>
      <c r="B337" s="26">
        <f>VLOOKUP(Table3032[[#This Row],[Month]],'DB Money Supply'!$A:$D,2)</f>
        <v/>
      </c>
      <c r="C337" s="59">
        <f>(Table3032[[#This Row],[Real M1 Money Stock]]-B325)/B325</f>
        <v/>
      </c>
    </row>
    <row r="338">
      <c r="A338" s="25" t="n">
        <v>31656</v>
      </c>
      <c r="B338" s="26">
        <f>VLOOKUP(Table3032[[#This Row],[Month]],'DB Money Supply'!$A:$D,2)</f>
        <v/>
      </c>
      <c r="C338" s="59">
        <f>(Table3032[[#This Row],[Real M1 Money Stock]]-B326)/B326</f>
        <v/>
      </c>
    </row>
    <row r="339">
      <c r="A339" s="25" t="n">
        <v>31686</v>
      </c>
      <c r="B339" s="26">
        <f>VLOOKUP(Table3032[[#This Row],[Month]],'DB Money Supply'!$A:$D,2)</f>
        <v/>
      </c>
      <c r="C339" s="59">
        <f>(Table3032[[#This Row],[Real M1 Money Stock]]-B327)/B327</f>
        <v/>
      </c>
    </row>
    <row r="340">
      <c r="A340" s="25" t="n">
        <v>31717</v>
      </c>
      <c r="B340" s="26">
        <f>VLOOKUP(Table3032[[#This Row],[Month]],'DB Money Supply'!$A:$D,2)</f>
        <v/>
      </c>
      <c r="C340" s="59">
        <f>(Table3032[[#This Row],[Real M1 Money Stock]]-B328)/B328</f>
        <v/>
      </c>
    </row>
    <row r="341">
      <c r="A341" s="25" t="n">
        <v>31747</v>
      </c>
      <c r="B341" s="26">
        <f>VLOOKUP(Table3032[[#This Row],[Month]],'DB Money Supply'!$A:$D,2)</f>
        <v/>
      </c>
      <c r="C341" s="59">
        <f>(Table3032[[#This Row],[Real M1 Money Stock]]-B329)/B329</f>
        <v/>
      </c>
    </row>
    <row r="342">
      <c r="A342" s="25" t="n">
        <v>31778</v>
      </c>
      <c r="B342" s="26">
        <f>VLOOKUP(Table3032[[#This Row],[Month]],'DB Money Supply'!$A:$D,2)</f>
        <v/>
      </c>
      <c r="C342" s="59">
        <f>(Table3032[[#This Row],[Real M1 Money Stock]]-B330)/B330</f>
        <v/>
      </c>
    </row>
    <row r="343">
      <c r="A343" s="25" t="n">
        <v>31809</v>
      </c>
      <c r="B343" s="26">
        <f>VLOOKUP(Table3032[[#This Row],[Month]],'DB Money Supply'!$A:$D,2)</f>
        <v/>
      </c>
      <c r="C343" s="59">
        <f>(Table3032[[#This Row],[Real M1 Money Stock]]-B331)/B331</f>
        <v/>
      </c>
    </row>
    <row r="344">
      <c r="A344" s="25" t="n">
        <v>31837</v>
      </c>
      <c r="B344" s="26">
        <f>VLOOKUP(Table3032[[#This Row],[Month]],'DB Money Supply'!$A:$D,2)</f>
        <v/>
      </c>
      <c r="C344" s="59">
        <f>(Table3032[[#This Row],[Real M1 Money Stock]]-B332)/B332</f>
        <v/>
      </c>
    </row>
    <row r="345">
      <c r="A345" s="25" t="n">
        <v>31868</v>
      </c>
      <c r="B345" s="26">
        <f>VLOOKUP(Table3032[[#This Row],[Month]],'DB Money Supply'!$A:$D,2)</f>
        <v/>
      </c>
      <c r="C345" s="59">
        <f>(Table3032[[#This Row],[Real M1 Money Stock]]-B333)/B333</f>
        <v/>
      </c>
    </row>
    <row r="346">
      <c r="A346" s="25" t="n">
        <v>31898</v>
      </c>
      <c r="B346" s="26">
        <f>VLOOKUP(Table3032[[#This Row],[Month]],'DB Money Supply'!$A:$D,2)</f>
        <v/>
      </c>
      <c r="C346" s="59">
        <f>(Table3032[[#This Row],[Real M1 Money Stock]]-B334)/B334</f>
        <v/>
      </c>
    </row>
    <row r="347">
      <c r="A347" s="25" t="n">
        <v>31929</v>
      </c>
      <c r="B347" s="26">
        <f>VLOOKUP(Table3032[[#This Row],[Month]],'DB Money Supply'!$A:$D,2)</f>
        <v/>
      </c>
      <c r="C347" s="59">
        <f>(Table3032[[#This Row],[Real M1 Money Stock]]-B335)/B335</f>
        <v/>
      </c>
    </row>
    <row r="348">
      <c r="A348" s="25" t="n">
        <v>31959</v>
      </c>
      <c r="B348" s="26">
        <f>VLOOKUP(Table3032[[#This Row],[Month]],'DB Money Supply'!$A:$D,2)</f>
        <v/>
      </c>
      <c r="C348" s="59">
        <f>(Table3032[[#This Row],[Real M1 Money Stock]]-B336)/B336</f>
        <v/>
      </c>
    </row>
    <row r="349">
      <c r="A349" s="25" t="n">
        <v>31990</v>
      </c>
      <c r="B349" s="26">
        <f>VLOOKUP(Table3032[[#This Row],[Month]],'DB Money Supply'!$A:$D,2)</f>
        <v/>
      </c>
      <c r="C349" s="59">
        <f>(Table3032[[#This Row],[Real M1 Money Stock]]-B337)/B337</f>
        <v/>
      </c>
    </row>
    <row r="350">
      <c r="A350" s="25" t="n">
        <v>32021</v>
      </c>
      <c r="B350" s="26">
        <f>VLOOKUP(Table3032[[#This Row],[Month]],'DB Money Supply'!$A:$D,2)</f>
        <v/>
      </c>
      <c r="C350" s="59">
        <f>(Table3032[[#This Row],[Real M1 Money Stock]]-B338)/B338</f>
        <v/>
      </c>
    </row>
    <row r="351">
      <c r="A351" s="25" t="n">
        <v>32051</v>
      </c>
      <c r="B351" s="26">
        <f>VLOOKUP(Table3032[[#This Row],[Month]],'DB Money Supply'!$A:$D,2)</f>
        <v/>
      </c>
      <c r="C351" s="59">
        <f>(Table3032[[#This Row],[Real M1 Money Stock]]-B339)/B339</f>
        <v/>
      </c>
    </row>
    <row r="352">
      <c r="A352" s="25" t="n">
        <v>32082</v>
      </c>
      <c r="B352" s="26">
        <f>VLOOKUP(Table3032[[#This Row],[Month]],'DB Money Supply'!$A:$D,2)</f>
        <v/>
      </c>
      <c r="C352" s="59">
        <f>(Table3032[[#This Row],[Real M1 Money Stock]]-B340)/B340</f>
        <v/>
      </c>
    </row>
    <row r="353">
      <c r="A353" s="25" t="n">
        <v>32112</v>
      </c>
      <c r="B353" s="26">
        <f>VLOOKUP(Table3032[[#This Row],[Month]],'DB Money Supply'!$A:$D,2)</f>
        <v/>
      </c>
      <c r="C353" s="59">
        <f>(Table3032[[#This Row],[Real M1 Money Stock]]-B341)/B341</f>
        <v/>
      </c>
    </row>
    <row r="354">
      <c r="A354" s="25" t="n">
        <v>32143</v>
      </c>
      <c r="B354" s="26">
        <f>VLOOKUP(Table3032[[#This Row],[Month]],'DB Money Supply'!$A:$D,2)</f>
        <v/>
      </c>
      <c r="C354" s="59">
        <f>(Table3032[[#This Row],[Real M1 Money Stock]]-B342)/B342</f>
        <v/>
      </c>
    </row>
    <row r="355">
      <c r="A355" s="25" t="n">
        <v>32174</v>
      </c>
      <c r="B355" s="26">
        <f>VLOOKUP(Table3032[[#This Row],[Month]],'DB Money Supply'!$A:$D,2)</f>
        <v/>
      </c>
      <c r="C355" s="59">
        <f>(Table3032[[#This Row],[Real M1 Money Stock]]-B343)/B343</f>
        <v/>
      </c>
    </row>
    <row r="356">
      <c r="A356" s="25" t="n">
        <v>32203</v>
      </c>
      <c r="B356" s="26">
        <f>VLOOKUP(Table3032[[#This Row],[Month]],'DB Money Supply'!$A:$D,2)</f>
        <v/>
      </c>
      <c r="C356" s="59">
        <f>(Table3032[[#This Row],[Real M1 Money Stock]]-B344)/B344</f>
        <v/>
      </c>
    </row>
    <row r="357">
      <c r="A357" s="25" t="n">
        <v>32234</v>
      </c>
      <c r="B357" s="26">
        <f>VLOOKUP(Table3032[[#This Row],[Month]],'DB Money Supply'!$A:$D,2)</f>
        <v/>
      </c>
      <c r="C357" s="59">
        <f>(Table3032[[#This Row],[Real M1 Money Stock]]-B345)/B345</f>
        <v/>
      </c>
    </row>
    <row r="358">
      <c r="A358" s="25" t="n">
        <v>32264</v>
      </c>
      <c r="B358" s="26">
        <f>VLOOKUP(Table3032[[#This Row],[Month]],'DB Money Supply'!$A:$D,2)</f>
        <v/>
      </c>
      <c r="C358" s="59">
        <f>(Table3032[[#This Row],[Real M1 Money Stock]]-B346)/B346</f>
        <v/>
      </c>
    </row>
    <row r="359">
      <c r="A359" s="25" t="n">
        <v>32295</v>
      </c>
      <c r="B359" s="26">
        <f>VLOOKUP(Table3032[[#This Row],[Month]],'DB Money Supply'!$A:$D,2)</f>
        <v/>
      </c>
      <c r="C359" s="59">
        <f>(Table3032[[#This Row],[Real M1 Money Stock]]-B347)/B347</f>
        <v/>
      </c>
    </row>
    <row r="360">
      <c r="A360" s="25" t="n">
        <v>32325</v>
      </c>
      <c r="B360" s="26">
        <f>VLOOKUP(Table3032[[#This Row],[Month]],'DB Money Supply'!$A:$D,2)</f>
        <v/>
      </c>
      <c r="C360" s="59">
        <f>(Table3032[[#This Row],[Real M1 Money Stock]]-B348)/B348</f>
        <v/>
      </c>
    </row>
    <row r="361">
      <c r="A361" s="25" t="n">
        <v>32356</v>
      </c>
      <c r="B361" s="26">
        <f>VLOOKUP(Table3032[[#This Row],[Month]],'DB Money Supply'!$A:$D,2)</f>
        <v/>
      </c>
      <c r="C361" s="59">
        <f>(Table3032[[#This Row],[Real M1 Money Stock]]-B349)/B349</f>
        <v/>
      </c>
    </row>
    <row r="362">
      <c r="A362" s="25" t="n">
        <v>32387</v>
      </c>
      <c r="B362" s="26">
        <f>VLOOKUP(Table3032[[#This Row],[Month]],'DB Money Supply'!$A:$D,2)</f>
        <v/>
      </c>
      <c r="C362" s="59">
        <f>(Table3032[[#This Row],[Real M1 Money Stock]]-B350)/B350</f>
        <v/>
      </c>
    </row>
    <row r="363">
      <c r="A363" s="25" t="n">
        <v>32417</v>
      </c>
      <c r="B363" s="26">
        <f>VLOOKUP(Table3032[[#This Row],[Month]],'DB Money Supply'!$A:$D,2)</f>
        <v/>
      </c>
      <c r="C363" s="59">
        <f>(Table3032[[#This Row],[Real M1 Money Stock]]-B351)/B351</f>
        <v/>
      </c>
    </row>
    <row r="364">
      <c r="A364" s="25" t="n">
        <v>32448</v>
      </c>
      <c r="B364" s="26">
        <f>VLOOKUP(Table3032[[#This Row],[Month]],'DB Money Supply'!$A:$D,2)</f>
        <v/>
      </c>
      <c r="C364" s="59">
        <f>(Table3032[[#This Row],[Real M1 Money Stock]]-B352)/B352</f>
        <v/>
      </c>
    </row>
    <row r="365">
      <c r="A365" s="25" t="n">
        <v>32478</v>
      </c>
      <c r="B365" s="26">
        <f>VLOOKUP(Table3032[[#This Row],[Month]],'DB Money Supply'!$A:$D,2)</f>
        <v/>
      </c>
      <c r="C365" s="59">
        <f>(Table3032[[#This Row],[Real M1 Money Stock]]-B353)/B353</f>
        <v/>
      </c>
    </row>
    <row r="366">
      <c r="A366" s="25" t="n">
        <v>32509</v>
      </c>
      <c r="B366" s="26">
        <f>VLOOKUP(Table3032[[#This Row],[Month]],'DB Money Supply'!$A:$D,2)</f>
        <v/>
      </c>
      <c r="C366" s="59">
        <f>(Table3032[[#This Row],[Real M1 Money Stock]]-B354)/B354</f>
        <v/>
      </c>
    </row>
    <row r="367">
      <c r="A367" s="25" t="n">
        <v>32540</v>
      </c>
      <c r="B367" s="26">
        <f>VLOOKUP(Table3032[[#This Row],[Month]],'DB Money Supply'!$A:$D,2)</f>
        <v/>
      </c>
      <c r="C367" s="59">
        <f>(Table3032[[#This Row],[Real M1 Money Stock]]-B355)/B355</f>
        <v/>
      </c>
    </row>
    <row r="368">
      <c r="A368" s="25" t="n">
        <v>32568</v>
      </c>
      <c r="B368" s="26">
        <f>VLOOKUP(Table3032[[#This Row],[Month]],'DB Money Supply'!$A:$D,2)</f>
        <v/>
      </c>
      <c r="C368" s="59">
        <f>(Table3032[[#This Row],[Real M1 Money Stock]]-B356)/B356</f>
        <v/>
      </c>
    </row>
    <row r="369">
      <c r="A369" s="25" t="n">
        <v>32599</v>
      </c>
      <c r="B369" s="26">
        <f>VLOOKUP(Table3032[[#This Row],[Month]],'DB Money Supply'!$A:$D,2)</f>
        <v/>
      </c>
      <c r="C369" s="59">
        <f>(Table3032[[#This Row],[Real M1 Money Stock]]-B357)/B357</f>
        <v/>
      </c>
    </row>
    <row r="370">
      <c r="A370" s="25" t="n">
        <v>32629</v>
      </c>
      <c r="B370" s="26">
        <f>VLOOKUP(Table3032[[#This Row],[Month]],'DB Money Supply'!$A:$D,2)</f>
        <v/>
      </c>
      <c r="C370" s="59">
        <f>(Table3032[[#This Row],[Real M1 Money Stock]]-B358)/B358</f>
        <v/>
      </c>
    </row>
    <row r="371">
      <c r="A371" s="25" t="n">
        <v>32660</v>
      </c>
      <c r="B371" s="26">
        <f>VLOOKUP(Table3032[[#This Row],[Month]],'DB Money Supply'!$A:$D,2)</f>
        <v/>
      </c>
      <c r="C371" s="59">
        <f>(Table3032[[#This Row],[Real M1 Money Stock]]-B359)/B359</f>
        <v/>
      </c>
    </row>
    <row r="372">
      <c r="A372" s="25" t="n">
        <v>32690</v>
      </c>
      <c r="B372" s="26">
        <f>VLOOKUP(Table3032[[#This Row],[Month]],'DB Money Supply'!$A:$D,2)</f>
        <v/>
      </c>
      <c r="C372" s="59">
        <f>(Table3032[[#This Row],[Real M1 Money Stock]]-B360)/B360</f>
        <v/>
      </c>
    </row>
    <row r="373">
      <c r="A373" s="25" t="n">
        <v>32721</v>
      </c>
      <c r="B373" s="26">
        <f>VLOOKUP(Table3032[[#This Row],[Month]],'DB Money Supply'!$A:$D,2)</f>
        <v/>
      </c>
      <c r="C373" s="59">
        <f>(Table3032[[#This Row],[Real M1 Money Stock]]-B361)/B361</f>
        <v/>
      </c>
    </row>
    <row r="374">
      <c r="A374" s="25" t="n">
        <v>32752</v>
      </c>
      <c r="B374" s="26">
        <f>VLOOKUP(Table3032[[#This Row],[Month]],'DB Money Supply'!$A:$D,2)</f>
        <v/>
      </c>
      <c r="C374" s="59">
        <f>(Table3032[[#This Row],[Real M1 Money Stock]]-B362)/B362</f>
        <v/>
      </c>
    </row>
    <row r="375">
      <c r="A375" s="25" t="n">
        <v>32782</v>
      </c>
      <c r="B375" s="26">
        <f>VLOOKUP(Table3032[[#This Row],[Month]],'DB Money Supply'!$A:$D,2)</f>
        <v/>
      </c>
      <c r="C375" s="59">
        <f>(Table3032[[#This Row],[Real M1 Money Stock]]-B363)/B363</f>
        <v/>
      </c>
    </row>
    <row r="376">
      <c r="A376" s="25" t="n">
        <v>32813</v>
      </c>
      <c r="B376" s="26">
        <f>VLOOKUP(Table3032[[#This Row],[Month]],'DB Money Supply'!$A:$D,2)</f>
        <v/>
      </c>
      <c r="C376" s="59">
        <f>(Table3032[[#This Row],[Real M1 Money Stock]]-B364)/B364</f>
        <v/>
      </c>
    </row>
    <row r="377">
      <c r="A377" s="25" t="n">
        <v>32843</v>
      </c>
      <c r="B377" s="26">
        <f>VLOOKUP(Table3032[[#This Row],[Month]],'DB Money Supply'!$A:$D,2)</f>
        <v/>
      </c>
      <c r="C377" s="59">
        <f>(Table3032[[#This Row],[Real M1 Money Stock]]-B365)/B365</f>
        <v/>
      </c>
    </row>
    <row r="378">
      <c r="A378" s="25" t="n">
        <v>32874</v>
      </c>
      <c r="B378" s="26">
        <f>VLOOKUP(Table3032[[#This Row],[Month]],'DB Money Supply'!$A:$D,2)</f>
        <v/>
      </c>
      <c r="C378" s="59">
        <f>(Table3032[[#This Row],[Real M1 Money Stock]]-B366)/B366</f>
        <v/>
      </c>
    </row>
    <row r="379">
      <c r="A379" s="25" t="n">
        <v>32905</v>
      </c>
      <c r="B379" s="26">
        <f>VLOOKUP(Table3032[[#This Row],[Month]],'DB Money Supply'!$A:$D,2)</f>
        <v/>
      </c>
      <c r="C379" s="59">
        <f>(Table3032[[#This Row],[Real M1 Money Stock]]-B367)/B367</f>
        <v/>
      </c>
    </row>
    <row r="380">
      <c r="A380" s="25" t="n">
        <v>32933</v>
      </c>
      <c r="B380" s="26">
        <f>VLOOKUP(Table3032[[#This Row],[Month]],'DB Money Supply'!$A:$D,2)</f>
        <v/>
      </c>
      <c r="C380" s="59">
        <f>(Table3032[[#This Row],[Real M1 Money Stock]]-B368)/B368</f>
        <v/>
      </c>
    </row>
    <row r="381">
      <c r="A381" s="25" t="n">
        <v>32964</v>
      </c>
      <c r="B381" s="26">
        <f>VLOOKUP(Table3032[[#This Row],[Month]],'DB Money Supply'!$A:$D,2)</f>
        <v/>
      </c>
      <c r="C381" s="59">
        <f>(Table3032[[#This Row],[Real M1 Money Stock]]-B369)/B369</f>
        <v/>
      </c>
    </row>
    <row r="382">
      <c r="A382" s="25" t="n">
        <v>32994</v>
      </c>
      <c r="B382" s="26">
        <f>VLOOKUP(Table3032[[#This Row],[Month]],'DB Money Supply'!$A:$D,2)</f>
        <v/>
      </c>
      <c r="C382" s="59">
        <f>(Table3032[[#This Row],[Real M1 Money Stock]]-B370)/B370</f>
        <v/>
      </c>
    </row>
    <row r="383">
      <c r="A383" s="25" t="n">
        <v>33025</v>
      </c>
      <c r="B383" s="26">
        <f>VLOOKUP(Table3032[[#This Row],[Month]],'DB Money Supply'!$A:$D,2)</f>
        <v/>
      </c>
      <c r="C383" s="59">
        <f>(Table3032[[#This Row],[Real M1 Money Stock]]-B371)/B371</f>
        <v/>
      </c>
    </row>
    <row r="384">
      <c r="A384" s="25" t="n">
        <v>33055</v>
      </c>
      <c r="B384" s="26">
        <f>VLOOKUP(Table3032[[#This Row],[Month]],'DB Money Supply'!$A:$D,2)</f>
        <v/>
      </c>
      <c r="C384" s="59">
        <f>(Table3032[[#This Row],[Real M1 Money Stock]]-B372)/B372</f>
        <v/>
      </c>
    </row>
    <row r="385">
      <c r="A385" s="25" t="n">
        <v>33086</v>
      </c>
      <c r="B385" s="26">
        <f>VLOOKUP(Table3032[[#This Row],[Month]],'DB Money Supply'!$A:$D,2)</f>
        <v/>
      </c>
      <c r="C385" s="59">
        <f>(Table3032[[#This Row],[Real M1 Money Stock]]-B373)/B373</f>
        <v/>
      </c>
    </row>
    <row r="386">
      <c r="A386" s="25" t="n">
        <v>33117</v>
      </c>
      <c r="B386" s="26">
        <f>VLOOKUP(Table3032[[#This Row],[Month]],'DB Money Supply'!$A:$D,2)</f>
        <v/>
      </c>
      <c r="C386" s="59">
        <f>(Table3032[[#This Row],[Real M1 Money Stock]]-B374)/B374</f>
        <v/>
      </c>
    </row>
    <row r="387">
      <c r="A387" s="25" t="n">
        <v>33147</v>
      </c>
      <c r="B387" s="26">
        <f>VLOOKUP(Table3032[[#This Row],[Month]],'DB Money Supply'!$A:$D,2)</f>
        <v/>
      </c>
      <c r="C387" s="59">
        <f>(Table3032[[#This Row],[Real M1 Money Stock]]-B375)/B375</f>
        <v/>
      </c>
    </row>
    <row r="388">
      <c r="A388" s="25" t="n">
        <v>33178</v>
      </c>
      <c r="B388" s="26">
        <f>VLOOKUP(Table3032[[#This Row],[Month]],'DB Money Supply'!$A:$D,2)</f>
        <v/>
      </c>
      <c r="C388" s="59">
        <f>(Table3032[[#This Row],[Real M1 Money Stock]]-B376)/B376</f>
        <v/>
      </c>
    </row>
    <row r="389">
      <c r="A389" s="25" t="n">
        <v>33208</v>
      </c>
      <c r="B389" s="26">
        <f>VLOOKUP(Table3032[[#This Row],[Month]],'DB Money Supply'!$A:$D,2)</f>
        <v/>
      </c>
      <c r="C389" s="59">
        <f>(Table3032[[#This Row],[Real M1 Money Stock]]-B377)/B377</f>
        <v/>
      </c>
    </row>
    <row r="390">
      <c r="A390" s="25" t="n">
        <v>33239</v>
      </c>
      <c r="B390" s="26">
        <f>VLOOKUP(Table3032[[#This Row],[Month]],'DB Money Supply'!$A:$D,2)</f>
        <v/>
      </c>
      <c r="C390" s="59">
        <f>(Table3032[[#This Row],[Real M1 Money Stock]]-B378)/B378</f>
        <v/>
      </c>
    </row>
    <row r="391">
      <c r="A391" s="25" t="n">
        <v>33270</v>
      </c>
      <c r="B391" s="26">
        <f>VLOOKUP(Table3032[[#This Row],[Month]],'DB Money Supply'!$A:$D,2)</f>
        <v/>
      </c>
      <c r="C391" s="59">
        <f>(Table3032[[#This Row],[Real M1 Money Stock]]-B379)/B379</f>
        <v/>
      </c>
    </row>
    <row r="392">
      <c r="A392" s="25" t="n">
        <v>33298</v>
      </c>
      <c r="B392" s="26">
        <f>VLOOKUP(Table3032[[#This Row],[Month]],'DB Money Supply'!$A:$D,2)</f>
        <v/>
      </c>
      <c r="C392" s="59">
        <f>(Table3032[[#This Row],[Real M1 Money Stock]]-B380)/B380</f>
        <v/>
      </c>
    </row>
    <row r="393">
      <c r="A393" s="25" t="n">
        <v>33329</v>
      </c>
      <c r="B393" s="26">
        <f>VLOOKUP(Table3032[[#This Row],[Month]],'DB Money Supply'!$A:$D,2)</f>
        <v/>
      </c>
      <c r="C393" s="59">
        <f>(Table3032[[#This Row],[Real M1 Money Stock]]-B381)/B381</f>
        <v/>
      </c>
    </row>
    <row r="394">
      <c r="A394" s="25" t="n">
        <v>33359</v>
      </c>
      <c r="B394" s="26">
        <f>VLOOKUP(Table3032[[#This Row],[Month]],'DB Money Supply'!$A:$D,2)</f>
        <v/>
      </c>
      <c r="C394" s="59">
        <f>(Table3032[[#This Row],[Real M1 Money Stock]]-B382)/B382</f>
        <v/>
      </c>
    </row>
    <row r="395">
      <c r="A395" s="25" t="n">
        <v>33390</v>
      </c>
      <c r="B395" s="26">
        <f>VLOOKUP(Table3032[[#This Row],[Month]],'DB Money Supply'!$A:$D,2)</f>
        <v/>
      </c>
      <c r="C395" s="59">
        <f>(Table3032[[#This Row],[Real M1 Money Stock]]-B383)/B383</f>
        <v/>
      </c>
    </row>
    <row r="396">
      <c r="A396" s="25" t="n">
        <v>33420</v>
      </c>
      <c r="B396" s="26">
        <f>VLOOKUP(Table3032[[#This Row],[Month]],'DB Money Supply'!$A:$D,2)</f>
        <v/>
      </c>
      <c r="C396" s="59">
        <f>(Table3032[[#This Row],[Real M1 Money Stock]]-B384)/B384</f>
        <v/>
      </c>
    </row>
    <row r="397">
      <c r="A397" s="25" t="n">
        <v>33451</v>
      </c>
      <c r="B397" s="26">
        <f>VLOOKUP(Table3032[[#This Row],[Month]],'DB Money Supply'!$A:$D,2)</f>
        <v/>
      </c>
      <c r="C397" s="59">
        <f>(Table3032[[#This Row],[Real M1 Money Stock]]-B385)/B385</f>
        <v/>
      </c>
    </row>
    <row r="398">
      <c r="A398" s="25" t="n">
        <v>33482</v>
      </c>
      <c r="B398" s="26">
        <f>VLOOKUP(Table3032[[#This Row],[Month]],'DB Money Supply'!$A:$D,2)</f>
        <v/>
      </c>
      <c r="C398" s="59">
        <f>(Table3032[[#This Row],[Real M1 Money Stock]]-B386)/B386</f>
        <v/>
      </c>
    </row>
    <row r="399">
      <c r="A399" s="25" t="n">
        <v>33512</v>
      </c>
      <c r="B399" s="26">
        <f>VLOOKUP(Table3032[[#This Row],[Month]],'DB Money Supply'!$A:$D,2)</f>
        <v/>
      </c>
      <c r="C399" s="59">
        <f>(Table3032[[#This Row],[Real M1 Money Stock]]-B387)/B387</f>
        <v/>
      </c>
    </row>
    <row r="400">
      <c r="A400" s="25" t="n">
        <v>33543</v>
      </c>
      <c r="B400" s="26">
        <f>VLOOKUP(Table3032[[#This Row],[Month]],'DB Money Supply'!$A:$D,2)</f>
        <v/>
      </c>
      <c r="C400" s="59">
        <f>(Table3032[[#This Row],[Real M1 Money Stock]]-B388)/B388</f>
        <v/>
      </c>
    </row>
    <row r="401">
      <c r="A401" s="25" t="n">
        <v>33573</v>
      </c>
      <c r="B401" s="26">
        <f>VLOOKUP(Table3032[[#This Row],[Month]],'DB Money Supply'!$A:$D,2)</f>
        <v/>
      </c>
      <c r="C401" s="59">
        <f>(Table3032[[#This Row],[Real M1 Money Stock]]-B389)/B389</f>
        <v/>
      </c>
    </row>
    <row r="402">
      <c r="A402" s="25" t="n">
        <v>33604</v>
      </c>
      <c r="B402" s="26">
        <f>VLOOKUP(Table3032[[#This Row],[Month]],'DB Money Supply'!$A:$D,2)</f>
        <v/>
      </c>
      <c r="C402" s="59">
        <f>(Table3032[[#This Row],[Real M1 Money Stock]]-B390)/B390</f>
        <v/>
      </c>
    </row>
    <row r="403">
      <c r="A403" s="25" t="n">
        <v>33635</v>
      </c>
      <c r="B403" s="26">
        <f>VLOOKUP(Table3032[[#This Row],[Month]],'DB Money Supply'!$A:$D,2)</f>
        <v/>
      </c>
      <c r="C403" s="59">
        <f>(Table3032[[#This Row],[Real M1 Money Stock]]-B391)/B391</f>
        <v/>
      </c>
    </row>
    <row r="404">
      <c r="A404" s="25" t="n">
        <v>33664</v>
      </c>
      <c r="B404" s="26">
        <f>VLOOKUP(Table3032[[#This Row],[Month]],'DB Money Supply'!$A:$D,2)</f>
        <v/>
      </c>
      <c r="C404" s="59">
        <f>(Table3032[[#This Row],[Real M1 Money Stock]]-B392)/B392</f>
        <v/>
      </c>
    </row>
    <row r="405">
      <c r="A405" s="25" t="n">
        <v>33695</v>
      </c>
      <c r="B405" s="26">
        <f>VLOOKUP(Table3032[[#This Row],[Month]],'DB Money Supply'!$A:$D,2)</f>
        <v/>
      </c>
      <c r="C405" s="59">
        <f>(Table3032[[#This Row],[Real M1 Money Stock]]-B393)/B393</f>
        <v/>
      </c>
    </row>
    <row r="406">
      <c r="A406" s="25" t="n">
        <v>33725</v>
      </c>
      <c r="B406" s="26">
        <f>VLOOKUP(Table3032[[#This Row],[Month]],'DB Money Supply'!$A:$D,2)</f>
        <v/>
      </c>
      <c r="C406" s="59">
        <f>(Table3032[[#This Row],[Real M1 Money Stock]]-B394)/B394</f>
        <v/>
      </c>
    </row>
    <row r="407">
      <c r="A407" s="25" t="n">
        <v>33756</v>
      </c>
      <c r="B407" s="26">
        <f>VLOOKUP(Table3032[[#This Row],[Month]],'DB Money Supply'!$A:$D,2)</f>
        <v/>
      </c>
      <c r="C407" s="59">
        <f>(Table3032[[#This Row],[Real M1 Money Stock]]-B395)/B395</f>
        <v/>
      </c>
    </row>
    <row r="408">
      <c r="A408" s="25" t="n">
        <v>33786</v>
      </c>
      <c r="B408" s="26">
        <f>VLOOKUP(Table3032[[#This Row],[Month]],'DB Money Supply'!$A:$D,2)</f>
        <v/>
      </c>
      <c r="C408" s="59">
        <f>(Table3032[[#This Row],[Real M1 Money Stock]]-B396)/B396</f>
        <v/>
      </c>
    </row>
    <row r="409">
      <c r="A409" s="25" t="n">
        <v>33817</v>
      </c>
      <c r="B409" s="26">
        <f>VLOOKUP(Table3032[[#This Row],[Month]],'DB Money Supply'!$A:$D,2)</f>
        <v/>
      </c>
      <c r="C409" s="59">
        <f>(Table3032[[#This Row],[Real M1 Money Stock]]-B397)/B397</f>
        <v/>
      </c>
    </row>
    <row r="410">
      <c r="A410" s="25" t="n">
        <v>33848</v>
      </c>
      <c r="B410" s="26">
        <f>VLOOKUP(Table3032[[#This Row],[Month]],'DB Money Supply'!$A:$D,2)</f>
        <v/>
      </c>
      <c r="C410" s="59">
        <f>(Table3032[[#This Row],[Real M1 Money Stock]]-B398)/B398</f>
        <v/>
      </c>
    </row>
    <row r="411">
      <c r="A411" s="25" t="n">
        <v>33878</v>
      </c>
      <c r="B411" s="26">
        <f>VLOOKUP(Table3032[[#This Row],[Month]],'DB Money Supply'!$A:$D,2)</f>
        <v/>
      </c>
      <c r="C411" s="59">
        <f>(Table3032[[#This Row],[Real M1 Money Stock]]-B399)/B399</f>
        <v/>
      </c>
    </row>
    <row r="412">
      <c r="A412" s="25" t="n">
        <v>33909</v>
      </c>
      <c r="B412" s="26">
        <f>VLOOKUP(Table3032[[#This Row],[Month]],'DB Money Supply'!$A:$D,2)</f>
        <v/>
      </c>
      <c r="C412" s="59">
        <f>(Table3032[[#This Row],[Real M1 Money Stock]]-B400)/B400</f>
        <v/>
      </c>
    </row>
    <row r="413">
      <c r="A413" s="25" t="n">
        <v>33939</v>
      </c>
      <c r="B413" s="26">
        <f>VLOOKUP(Table3032[[#This Row],[Month]],'DB Money Supply'!$A:$D,2)</f>
        <v/>
      </c>
      <c r="C413" s="59">
        <f>(Table3032[[#This Row],[Real M1 Money Stock]]-B401)/B401</f>
        <v/>
      </c>
    </row>
    <row r="414">
      <c r="A414" s="25" t="n">
        <v>33970</v>
      </c>
      <c r="B414" s="26">
        <f>VLOOKUP(Table3032[[#This Row],[Month]],'DB Money Supply'!$A:$D,2)</f>
        <v/>
      </c>
      <c r="C414" s="59">
        <f>(Table3032[[#This Row],[Real M1 Money Stock]]-B402)/B402</f>
        <v/>
      </c>
    </row>
    <row r="415">
      <c r="A415" s="25" t="n">
        <v>34001</v>
      </c>
      <c r="B415" s="26">
        <f>VLOOKUP(Table3032[[#This Row],[Month]],'DB Money Supply'!$A:$D,2)</f>
        <v/>
      </c>
      <c r="C415" s="59">
        <f>(Table3032[[#This Row],[Real M1 Money Stock]]-B403)/B403</f>
        <v/>
      </c>
    </row>
    <row r="416">
      <c r="A416" s="25" t="n">
        <v>34029</v>
      </c>
      <c r="B416" s="26">
        <f>VLOOKUP(Table3032[[#This Row],[Month]],'DB Money Supply'!$A:$D,2)</f>
        <v/>
      </c>
      <c r="C416" s="59">
        <f>(Table3032[[#This Row],[Real M1 Money Stock]]-B404)/B404</f>
        <v/>
      </c>
    </row>
    <row r="417">
      <c r="A417" s="25" t="n">
        <v>34060</v>
      </c>
      <c r="B417" s="26">
        <f>VLOOKUP(Table3032[[#This Row],[Month]],'DB Money Supply'!$A:$D,2)</f>
        <v/>
      </c>
      <c r="C417" s="59">
        <f>(Table3032[[#This Row],[Real M1 Money Stock]]-B405)/B405</f>
        <v/>
      </c>
    </row>
    <row r="418">
      <c r="A418" s="25" t="n">
        <v>34090</v>
      </c>
      <c r="B418" s="26">
        <f>VLOOKUP(Table3032[[#This Row],[Month]],'DB Money Supply'!$A:$D,2)</f>
        <v/>
      </c>
      <c r="C418" s="59">
        <f>(Table3032[[#This Row],[Real M1 Money Stock]]-B406)/B406</f>
        <v/>
      </c>
    </row>
    <row r="419">
      <c r="A419" s="25" t="n">
        <v>34121</v>
      </c>
      <c r="B419" s="26">
        <f>VLOOKUP(Table3032[[#This Row],[Month]],'DB Money Supply'!$A:$D,2)</f>
        <v/>
      </c>
      <c r="C419" s="59">
        <f>(Table3032[[#This Row],[Real M1 Money Stock]]-B407)/B407</f>
        <v/>
      </c>
    </row>
    <row r="420">
      <c r="A420" s="25" t="n">
        <v>34151</v>
      </c>
      <c r="B420" s="26">
        <f>VLOOKUP(Table3032[[#This Row],[Month]],'DB Money Supply'!$A:$D,2)</f>
        <v/>
      </c>
      <c r="C420" s="59">
        <f>(Table3032[[#This Row],[Real M1 Money Stock]]-B408)/B408</f>
        <v/>
      </c>
    </row>
    <row r="421">
      <c r="A421" s="25" t="n">
        <v>34182</v>
      </c>
      <c r="B421" s="26">
        <f>VLOOKUP(Table3032[[#This Row],[Month]],'DB Money Supply'!$A:$D,2)</f>
        <v/>
      </c>
      <c r="C421" s="59">
        <f>(Table3032[[#This Row],[Real M1 Money Stock]]-B409)/B409</f>
        <v/>
      </c>
    </row>
    <row r="422">
      <c r="A422" s="25" t="n">
        <v>34213</v>
      </c>
      <c r="B422" s="26">
        <f>VLOOKUP(Table3032[[#This Row],[Month]],'DB Money Supply'!$A:$D,2)</f>
        <v/>
      </c>
      <c r="C422" s="59">
        <f>(Table3032[[#This Row],[Real M1 Money Stock]]-B410)/B410</f>
        <v/>
      </c>
    </row>
    <row r="423">
      <c r="A423" s="25" t="n">
        <v>34243</v>
      </c>
      <c r="B423" s="26">
        <f>VLOOKUP(Table3032[[#This Row],[Month]],'DB Money Supply'!$A:$D,2)</f>
        <v/>
      </c>
      <c r="C423" s="59">
        <f>(Table3032[[#This Row],[Real M1 Money Stock]]-B411)/B411</f>
        <v/>
      </c>
    </row>
    <row r="424">
      <c r="A424" s="25" t="n">
        <v>34274</v>
      </c>
      <c r="B424" s="26">
        <f>VLOOKUP(Table3032[[#This Row],[Month]],'DB Money Supply'!$A:$D,2)</f>
        <v/>
      </c>
      <c r="C424" s="59">
        <f>(Table3032[[#This Row],[Real M1 Money Stock]]-B412)/B412</f>
        <v/>
      </c>
    </row>
    <row r="425">
      <c r="A425" s="25" t="n">
        <v>34304</v>
      </c>
      <c r="B425" s="26">
        <f>VLOOKUP(Table3032[[#This Row],[Month]],'DB Money Supply'!$A:$D,2)</f>
        <v/>
      </c>
      <c r="C425" s="59">
        <f>(Table3032[[#This Row],[Real M1 Money Stock]]-B413)/B413</f>
        <v/>
      </c>
    </row>
    <row r="426">
      <c r="A426" s="25" t="n">
        <v>34335</v>
      </c>
      <c r="B426" s="26">
        <f>VLOOKUP(Table3032[[#This Row],[Month]],'DB Money Supply'!$A:$D,2)</f>
        <v/>
      </c>
      <c r="C426" s="59">
        <f>(Table3032[[#This Row],[Real M1 Money Stock]]-B414)/B414</f>
        <v/>
      </c>
    </row>
    <row r="427">
      <c r="A427" s="25" t="n">
        <v>34366</v>
      </c>
      <c r="B427" s="26">
        <f>VLOOKUP(Table3032[[#This Row],[Month]],'DB Money Supply'!$A:$D,2)</f>
        <v/>
      </c>
      <c r="C427" s="59">
        <f>(Table3032[[#This Row],[Real M1 Money Stock]]-B415)/B415</f>
        <v/>
      </c>
    </row>
    <row r="428">
      <c r="A428" s="25" t="n">
        <v>34394</v>
      </c>
      <c r="B428" s="26">
        <f>VLOOKUP(Table3032[[#This Row],[Month]],'DB Money Supply'!$A:$D,2)</f>
        <v/>
      </c>
      <c r="C428" s="59">
        <f>(Table3032[[#This Row],[Real M1 Money Stock]]-B416)/B416</f>
        <v/>
      </c>
    </row>
    <row r="429">
      <c r="A429" s="25" t="n">
        <v>34425</v>
      </c>
      <c r="B429" s="26">
        <f>VLOOKUP(Table3032[[#This Row],[Month]],'DB Money Supply'!$A:$D,2)</f>
        <v/>
      </c>
      <c r="C429" s="59">
        <f>(Table3032[[#This Row],[Real M1 Money Stock]]-B417)/B417</f>
        <v/>
      </c>
    </row>
    <row r="430">
      <c r="A430" s="25" t="n">
        <v>34455</v>
      </c>
      <c r="B430" s="26">
        <f>VLOOKUP(Table3032[[#This Row],[Month]],'DB Money Supply'!$A:$D,2)</f>
        <v/>
      </c>
      <c r="C430" s="59">
        <f>(Table3032[[#This Row],[Real M1 Money Stock]]-B418)/B418</f>
        <v/>
      </c>
    </row>
    <row r="431">
      <c r="A431" s="25" t="n">
        <v>34486</v>
      </c>
      <c r="B431" s="26">
        <f>VLOOKUP(Table3032[[#This Row],[Month]],'DB Money Supply'!$A:$D,2)</f>
        <v/>
      </c>
      <c r="C431" s="59">
        <f>(Table3032[[#This Row],[Real M1 Money Stock]]-B419)/B419</f>
        <v/>
      </c>
    </row>
    <row r="432">
      <c r="A432" s="25" t="n">
        <v>34516</v>
      </c>
      <c r="B432" s="26">
        <f>VLOOKUP(Table3032[[#This Row],[Month]],'DB Money Supply'!$A:$D,2)</f>
        <v/>
      </c>
      <c r="C432" s="59">
        <f>(Table3032[[#This Row],[Real M1 Money Stock]]-B420)/B420</f>
        <v/>
      </c>
    </row>
    <row r="433">
      <c r="A433" s="25" t="n">
        <v>34547</v>
      </c>
      <c r="B433" s="26">
        <f>VLOOKUP(Table3032[[#This Row],[Month]],'DB Money Supply'!$A:$D,2)</f>
        <v/>
      </c>
      <c r="C433" s="59">
        <f>(Table3032[[#This Row],[Real M1 Money Stock]]-B421)/B421</f>
        <v/>
      </c>
    </row>
    <row r="434">
      <c r="A434" s="25" t="n">
        <v>34578</v>
      </c>
      <c r="B434" s="26">
        <f>VLOOKUP(Table3032[[#This Row],[Month]],'DB Money Supply'!$A:$D,2)</f>
        <v/>
      </c>
      <c r="C434" s="59">
        <f>(Table3032[[#This Row],[Real M1 Money Stock]]-B422)/B422</f>
        <v/>
      </c>
    </row>
    <row r="435">
      <c r="A435" s="25" t="n">
        <v>34608</v>
      </c>
      <c r="B435" s="26">
        <f>VLOOKUP(Table3032[[#This Row],[Month]],'DB Money Supply'!$A:$D,2)</f>
        <v/>
      </c>
      <c r="C435" s="59">
        <f>(Table3032[[#This Row],[Real M1 Money Stock]]-B423)/B423</f>
        <v/>
      </c>
    </row>
    <row r="436">
      <c r="A436" s="25" t="n">
        <v>34639</v>
      </c>
      <c r="B436" s="26">
        <f>VLOOKUP(Table3032[[#This Row],[Month]],'DB Money Supply'!$A:$D,2)</f>
        <v/>
      </c>
      <c r="C436" s="59">
        <f>(Table3032[[#This Row],[Real M1 Money Stock]]-B424)/B424</f>
        <v/>
      </c>
    </row>
    <row r="437">
      <c r="A437" s="25" t="n">
        <v>34669</v>
      </c>
      <c r="B437" s="26">
        <f>VLOOKUP(Table3032[[#This Row],[Month]],'DB Money Supply'!$A:$D,2)</f>
        <v/>
      </c>
      <c r="C437" s="59">
        <f>(Table3032[[#This Row],[Real M1 Money Stock]]-B425)/B425</f>
        <v/>
      </c>
    </row>
    <row r="438">
      <c r="A438" s="25" t="n">
        <v>34700</v>
      </c>
      <c r="B438" s="26">
        <f>VLOOKUP(Table3032[[#This Row],[Month]],'DB Money Supply'!$A:$D,2)</f>
        <v/>
      </c>
      <c r="C438" s="59">
        <f>(Table3032[[#This Row],[Real M1 Money Stock]]-B426)/B426</f>
        <v/>
      </c>
    </row>
    <row r="439">
      <c r="A439" s="25" t="n">
        <v>34731</v>
      </c>
      <c r="B439" s="26">
        <f>VLOOKUP(Table3032[[#This Row],[Month]],'DB Money Supply'!$A:$D,2)</f>
        <v/>
      </c>
      <c r="C439" s="59">
        <f>(Table3032[[#This Row],[Real M1 Money Stock]]-B427)/B427</f>
        <v/>
      </c>
    </row>
    <row r="440">
      <c r="A440" s="25" t="n">
        <v>34759</v>
      </c>
      <c r="B440" s="26">
        <f>VLOOKUP(Table3032[[#This Row],[Month]],'DB Money Supply'!$A:$D,2)</f>
        <v/>
      </c>
      <c r="C440" s="59">
        <f>(Table3032[[#This Row],[Real M1 Money Stock]]-B428)/B428</f>
        <v/>
      </c>
    </row>
    <row r="441">
      <c r="A441" s="25" t="n">
        <v>34790</v>
      </c>
      <c r="B441" s="26">
        <f>VLOOKUP(Table3032[[#This Row],[Month]],'DB Money Supply'!$A:$D,2)</f>
        <v/>
      </c>
      <c r="C441" s="59">
        <f>(Table3032[[#This Row],[Real M1 Money Stock]]-B429)/B429</f>
        <v/>
      </c>
    </row>
    <row r="442">
      <c r="A442" s="25" t="n">
        <v>34820</v>
      </c>
      <c r="B442" s="26">
        <f>VLOOKUP(Table3032[[#This Row],[Month]],'DB Money Supply'!$A:$D,2)</f>
        <v/>
      </c>
      <c r="C442" s="59">
        <f>(Table3032[[#This Row],[Real M1 Money Stock]]-B430)/B430</f>
        <v/>
      </c>
    </row>
    <row r="443">
      <c r="A443" s="25" t="n">
        <v>34851</v>
      </c>
      <c r="B443" s="26">
        <f>VLOOKUP(Table3032[[#This Row],[Month]],'DB Money Supply'!$A:$D,2)</f>
        <v/>
      </c>
      <c r="C443" s="59">
        <f>(Table3032[[#This Row],[Real M1 Money Stock]]-B431)/B431</f>
        <v/>
      </c>
    </row>
    <row r="444">
      <c r="A444" s="25" t="n">
        <v>34881</v>
      </c>
      <c r="B444" s="26">
        <f>VLOOKUP(Table3032[[#This Row],[Month]],'DB Money Supply'!$A:$D,2)</f>
        <v/>
      </c>
      <c r="C444" s="59">
        <f>(Table3032[[#This Row],[Real M1 Money Stock]]-B432)/B432</f>
        <v/>
      </c>
    </row>
    <row r="445">
      <c r="A445" s="25" t="n">
        <v>34912</v>
      </c>
      <c r="B445" s="26">
        <f>VLOOKUP(Table3032[[#This Row],[Month]],'DB Money Supply'!$A:$D,2)</f>
        <v/>
      </c>
      <c r="C445" s="59">
        <f>(Table3032[[#This Row],[Real M1 Money Stock]]-B433)/B433</f>
        <v/>
      </c>
    </row>
    <row r="446">
      <c r="A446" s="25" t="n">
        <v>34943</v>
      </c>
      <c r="B446" s="26">
        <f>VLOOKUP(Table3032[[#This Row],[Month]],'DB Money Supply'!$A:$D,2)</f>
        <v/>
      </c>
      <c r="C446" s="59">
        <f>(Table3032[[#This Row],[Real M1 Money Stock]]-B434)/B434</f>
        <v/>
      </c>
    </row>
    <row r="447">
      <c r="A447" s="25" t="n">
        <v>34973</v>
      </c>
      <c r="B447" s="26">
        <f>VLOOKUP(Table3032[[#This Row],[Month]],'DB Money Supply'!$A:$D,2)</f>
        <v/>
      </c>
      <c r="C447" s="59">
        <f>(Table3032[[#This Row],[Real M1 Money Stock]]-B435)/B435</f>
        <v/>
      </c>
    </row>
    <row r="448">
      <c r="A448" s="25" t="n">
        <v>35004</v>
      </c>
      <c r="B448" s="26">
        <f>VLOOKUP(Table3032[[#This Row],[Month]],'DB Money Supply'!$A:$D,2)</f>
        <v/>
      </c>
      <c r="C448" s="59">
        <f>(Table3032[[#This Row],[Real M1 Money Stock]]-B436)/B436</f>
        <v/>
      </c>
    </row>
    <row r="449">
      <c r="A449" s="25" t="n">
        <v>35034</v>
      </c>
      <c r="B449" s="26">
        <f>VLOOKUP(Table3032[[#This Row],[Month]],'DB Money Supply'!$A:$D,2)</f>
        <v/>
      </c>
      <c r="C449" s="59">
        <f>(Table3032[[#This Row],[Real M1 Money Stock]]-B437)/B437</f>
        <v/>
      </c>
    </row>
    <row r="450">
      <c r="A450" s="25" t="n">
        <v>35065</v>
      </c>
      <c r="B450" s="26">
        <f>VLOOKUP(Table3032[[#This Row],[Month]],'DB Money Supply'!$A:$D,2)</f>
        <v/>
      </c>
      <c r="C450" s="59">
        <f>(Table3032[[#This Row],[Real M1 Money Stock]]-B438)/B438</f>
        <v/>
      </c>
    </row>
    <row r="451">
      <c r="A451" s="25" t="n">
        <v>35096</v>
      </c>
      <c r="B451" s="26">
        <f>VLOOKUP(Table3032[[#This Row],[Month]],'DB Money Supply'!$A:$D,2)</f>
        <v/>
      </c>
      <c r="C451" s="59">
        <f>(Table3032[[#This Row],[Real M1 Money Stock]]-B439)/B439</f>
        <v/>
      </c>
    </row>
    <row r="452">
      <c r="A452" s="25" t="n">
        <v>35125</v>
      </c>
      <c r="B452" s="26">
        <f>VLOOKUP(Table3032[[#This Row],[Month]],'DB Money Supply'!$A:$D,2)</f>
        <v/>
      </c>
      <c r="C452" s="59">
        <f>(Table3032[[#This Row],[Real M1 Money Stock]]-B440)/B440</f>
        <v/>
      </c>
    </row>
    <row r="453">
      <c r="A453" s="25" t="n">
        <v>35156</v>
      </c>
      <c r="B453" s="26">
        <f>VLOOKUP(Table3032[[#This Row],[Month]],'DB Money Supply'!$A:$D,2)</f>
        <v/>
      </c>
      <c r="C453" s="59">
        <f>(Table3032[[#This Row],[Real M1 Money Stock]]-B441)/B441</f>
        <v/>
      </c>
    </row>
    <row r="454">
      <c r="A454" s="25" t="n">
        <v>35186</v>
      </c>
      <c r="B454" s="26">
        <f>VLOOKUP(Table3032[[#This Row],[Month]],'DB Money Supply'!$A:$D,2)</f>
        <v/>
      </c>
      <c r="C454" s="59">
        <f>(Table3032[[#This Row],[Real M1 Money Stock]]-B442)/B442</f>
        <v/>
      </c>
    </row>
    <row r="455">
      <c r="A455" s="25" t="n">
        <v>35217</v>
      </c>
      <c r="B455" s="26">
        <f>VLOOKUP(Table3032[[#This Row],[Month]],'DB Money Supply'!$A:$D,2)</f>
        <v/>
      </c>
      <c r="C455" s="59">
        <f>(Table3032[[#This Row],[Real M1 Money Stock]]-B443)/B443</f>
        <v/>
      </c>
    </row>
    <row r="456">
      <c r="A456" s="25" t="n">
        <v>35247</v>
      </c>
      <c r="B456" s="26">
        <f>VLOOKUP(Table3032[[#This Row],[Month]],'DB Money Supply'!$A:$D,2)</f>
        <v/>
      </c>
      <c r="C456" s="59">
        <f>(Table3032[[#This Row],[Real M1 Money Stock]]-B444)/B444</f>
        <v/>
      </c>
    </row>
    <row r="457">
      <c r="A457" s="25" t="n">
        <v>35278</v>
      </c>
      <c r="B457" s="26">
        <f>VLOOKUP(Table3032[[#This Row],[Month]],'DB Money Supply'!$A:$D,2)</f>
        <v/>
      </c>
      <c r="C457" s="59">
        <f>(Table3032[[#This Row],[Real M1 Money Stock]]-B445)/B445</f>
        <v/>
      </c>
    </row>
    <row r="458">
      <c r="A458" s="25" t="n">
        <v>35309</v>
      </c>
      <c r="B458" s="26">
        <f>VLOOKUP(Table3032[[#This Row],[Month]],'DB Money Supply'!$A:$D,2)</f>
        <v/>
      </c>
      <c r="C458" s="59">
        <f>(Table3032[[#This Row],[Real M1 Money Stock]]-B446)/B446</f>
        <v/>
      </c>
    </row>
    <row r="459">
      <c r="A459" s="25" t="n">
        <v>35339</v>
      </c>
      <c r="B459" s="26">
        <f>VLOOKUP(Table3032[[#This Row],[Month]],'DB Money Supply'!$A:$D,2)</f>
        <v/>
      </c>
      <c r="C459" s="59">
        <f>(Table3032[[#This Row],[Real M1 Money Stock]]-B447)/B447</f>
        <v/>
      </c>
    </row>
    <row r="460">
      <c r="A460" s="25" t="n">
        <v>35370</v>
      </c>
      <c r="B460" s="26">
        <f>VLOOKUP(Table3032[[#This Row],[Month]],'DB Money Supply'!$A:$D,2)</f>
        <v/>
      </c>
      <c r="C460" s="59">
        <f>(Table3032[[#This Row],[Real M1 Money Stock]]-B448)/B448</f>
        <v/>
      </c>
    </row>
    <row r="461">
      <c r="A461" s="25" t="n">
        <v>35400</v>
      </c>
      <c r="B461" s="26">
        <f>VLOOKUP(Table3032[[#This Row],[Month]],'DB Money Supply'!$A:$D,2)</f>
        <v/>
      </c>
      <c r="C461" s="59">
        <f>(Table3032[[#This Row],[Real M1 Money Stock]]-B449)/B449</f>
        <v/>
      </c>
    </row>
    <row r="462">
      <c r="A462" s="25" t="n">
        <v>35431</v>
      </c>
      <c r="B462" s="26">
        <f>VLOOKUP(Table3032[[#This Row],[Month]],'DB Money Supply'!$A:$D,2)</f>
        <v/>
      </c>
      <c r="C462" s="59">
        <f>(Table3032[[#This Row],[Real M1 Money Stock]]-B450)/B450</f>
        <v/>
      </c>
    </row>
    <row r="463">
      <c r="A463" s="25" t="n">
        <v>35462</v>
      </c>
      <c r="B463" s="26">
        <f>VLOOKUP(Table3032[[#This Row],[Month]],'DB Money Supply'!$A:$D,2)</f>
        <v/>
      </c>
      <c r="C463" s="59">
        <f>(Table3032[[#This Row],[Real M1 Money Stock]]-B451)/B451</f>
        <v/>
      </c>
    </row>
    <row r="464">
      <c r="A464" s="25" t="n">
        <v>35490</v>
      </c>
      <c r="B464" s="26">
        <f>VLOOKUP(Table3032[[#This Row],[Month]],'DB Money Supply'!$A:$D,2)</f>
        <v/>
      </c>
      <c r="C464" s="59">
        <f>(Table3032[[#This Row],[Real M1 Money Stock]]-B452)/B452</f>
        <v/>
      </c>
    </row>
    <row r="465">
      <c r="A465" s="25" t="n">
        <v>35521</v>
      </c>
      <c r="B465" s="26">
        <f>VLOOKUP(Table3032[[#This Row],[Month]],'DB Money Supply'!$A:$D,2)</f>
        <v/>
      </c>
      <c r="C465" s="59">
        <f>(Table3032[[#This Row],[Real M1 Money Stock]]-B453)/B453</f>
        <v/>
      </c>
    </row>
    <row r="466">
      <c r="A466" s="25" t="n">
        <v>35551</v>
      </c>
      <c r="B466" s="26">
        <f>VLOOKUP(Table3032[[#This Row],[Month]],'DB Money Supply'!$A:$D,2)</f>
        <v/>
      </c>
      <c r="C466" s="59">
        <f>(Table3032[[#This Row],[Real M1 Money Stock]]-B454)/B454</f>
        <v/>
      </c>
    </row>
    <row r="467">
      <c r="A467" s="25" t="n">
        <v>35582</v>
      </c>
      <c r="B467" s="26">
        <f>VLOOKUP(Table3032[[#This Row],[Month]],'DB Money Supply'!$A:$D,2)</f>
        <v/>
      </c>
      <c r="C467" s="59">
        <f>(Table3032[[#This Row],[Real M1 Money Stock]]-B455)/B455</f>
        <v/>
      </c>
    </row>
    <row r="468">
      <c r="A468" s="25" t="n">
        <v>35612</v>
      </c>
      <c r="B468" s="26">
        <f>VLOOKUP(Table3032[[#This Row],[Month]],'DB Money Supply'!$A:$D,2)</f>
        <v/>
      </c>
      <c r="C468" s="59">
        <f>(Table3032[[#This Row],[Real M1 Money Stock]]-B456)/B456</f>
        <v/>
      </c>
    </row>
    <row r="469">
      <c r="A469" s="25" t="n">
        <v>35643</v>
      </c>
      <c r="B469" s="26">
        <f>VLOOKUP(Table3032[[#This Row],[Month]],'DB Money Supply'!$A:$D,2)</f>
        <v/>
      </c>
      <c r="C469" s="59">
        <f>(Table3032[[#This Row],[Real M1 Money Stock]]-B457)/B457</f>
        <v/>
      </c>
    </row>
    <row r="470">
      <c r="A470" s="25" t="n">
        <v>35674</v>
      </c>
      <c r="B470" s="26">
        <f>VLOOKUP(Table3032[[#This Row],[Month]],'DB Money Supply'!$A:$D,2)</f>
        <v/>
      </c>
      <c r="C470" s="59">
        <f>(Table3032[[#This Row],[Real M1 Money Stock]]-B458)/B458</f>
        <v/>
      </c>
    </row>
    <row r="471">
      <c r="A471" s="25" t="n">
        <v>35704</v>
      </c>
      <c r="B471" s="26">
        <f>VLOOKUP(Table3032[[#This Row],[Month]],'DB Money Supply'!$A:$D,2)</f>
        <v/>
      </c>
      <c r="C471" s="59">
        <f>(Table3032[[#This Row],[Real M1 Money Stock]]-B459)/B459</f>
        <v/>
      </c>
    </row>
    <row r="472">
      <c r="A472" s="25" t="n">
        <v>35735</v>
      </c>
      <c r="B472" s="26">
        <f>VLOOKUP(Table3032[[#This Row],[Month]],'DB Money Supply'!$A:$D,2)</f>
        <v/>
      </c>
      <c r="C472" s="59">
        <f>(Table3032[[#This Row],[Real M1 Money Stock]]-B460)/B460</f>
        <v/>
      </c>
    </row>
    <row r="473">
      <c r="A473" s="25" t="n">
        <v>35765</v>
      </c>
      <c r="B473" s="26">
        <f>VLOOKUP(Table3032[[#This Row],[Month]],'DB Money Supply'!$A:$D,2)</f>
        <v/>
      </c>
      <c r="C473" s="59">
        <f>(Table3032[[#This Row],[Real M1 Money Stock]]-B461)/B461</f>
        <v/>
      </c>
    </row>
    <row r="474">
      <c r="A474" s="25" t="n">
        <v>35796</v>
      </c>
      <c r="B474" s="26">
        <f>VLOOKUP(Table3032[[#This Row],[Month]],'DB Money Supply'!$A:$D,2)</f>
        <v/>
      </c>
      <c r="C474" s="59">
        <f>(Table3032[[#This Row],[Real M1 Money Stock]]-B462)/B462</f>
        <v/>
      </c>
    </row>
    <row r="475">
      <c r="A475" s="25" t="n">
        <v>35827</v>
      </c>
      <c r="B475" s="26">
        <f>VLOOKUP(Table3032[[#This Row],[Month]],'DB Money Supply'!$A:$D,2)</f>
        <v/>
      </c>
      <c r="C475" s="59">
        <f>(Table3032[[#This Row],[Real M1 Money Stock]]-B463)/B463</f>
        <v/>
      </c>
    </row>
    <row r="476">
      <c r="A476" s="25" t="n">
        <v>35855</v>
      </c>
      <c r="B476" s="26">
        <f>VLOOKUP(Table3032[[#This Row],[Month]],'DB Money Supply'!$A:$D,2)</f>
        <v/>
      </c>
      <c r="C476" s="59">
        <f>(Table3032[[#This Row],[Real M1 Money Stock]]-B464)/B464</f>
        <v/>
      </c>
    </row>
    <row r="477">
      <c r="A477" s="25" t="n">
        <v>35886</v>
      </c>
      <c r="B477" s="26">
        <f>VLOOKUP(Table3032[[#This Row],[Month]],'DB Money Supply'!$A:$D,2)</f>
        <v/>
      </c>
      <c r="C477" s="59">
        <f>(Table3032[[#This Row],[Real M1 Money Stock]]-B465)/B465</f>
        <v/>
      </c>
    </row>
    <row r="478">
      <c r="A478" s="25" t="n">
        <v>35916</v>
      </c>
      <c r="B478" s="26">
        <f>VLOOKUP(Table3032[[#This Row],[Month]],'DB Money Supply'!$A:$D,2)</f>
        <v/>
      </c>
      <c r="C478" s="59">
        <f>(Table3032[[#This Row],[Real M1 Money Stock]]-B466)/B466</f>
        <v/>
      </c>
    </row>
    <row r="479">
      <c r="A479" s="25" t="n">
        <v>35947</v>
      </c>
      <c r="B479" s="26">
        <f>VLOOKUP(Table3032[[#This Row],[Month]],'DB Money Supply'!$A:$D,2)</f>
        <v/>
      </c>
      <c r="C479" s="59">
        <f>(Table3032[[#This Row],[Real M1 Money Stock]]-B467)/B467</f>
        <v/>
      </c>
    </row>
    <row r="480">
      <c r="A480" s="25" t="n">
        <v>35977</v>
      </c>
      <c r="B480" s="26">
        <f>VLOOKUP(Table3032[[#This Row],[Month]],'DB Money Supply'!$A:$D,2)</f>
        <v/>
      </c>
      <c r="C480" s="59">
        <f>(Table3032[[#This Row],[Real M1 Money Stock]]-B468)/B468</f>
        <v/>
      </c>
    </row>
    <row r="481">
      <c r="A481" s="25" t="n">
        <v>36008</v>
      </c>
      <c r="B481" s="26">
        <f>VLOOKUP(Table3032[[#This Row],[Month]],'DB Money Supply'!$A:$D,2)</f>
        <v/>
      </c>
      <c r="C481" s="59">
        <f>(Table3032[[#This Row],[Real M1 Money Stock]]-B469)/B469</f>
        <v/>
      </c>
    </row>
    <row r="482">
      <c r="A482" s="25" t="n">
        <v>36039</v>
      </c>
      <c r="B482" s="26">
        <f>VLOOKUP(Table3032[[#This Row],[Month]],'DB Money Supply'!$A:$D,2)</f>
        <v/>
      </c>
      <c r="C482" s="59">
        <f>(Table3032[[#This Row],[Real M1 Money Stock]]-B470)/B470</f>
        <v/>
      </c>
    </row>
    <row r="483">
      <c r="A483" s="25" t="n">
        <v>36069</v>
      </c>
      <c r="B483" s="26">
        <f>VLOOKUP(Table3032[[#This Row],[Month]],'DB Money Supply'!$A:$D,2)</f>
        <v/>
      </c>
      <c r="C483" s="59">
        <f>(Table3032[[#This Row],[Real M1 Money Stock]]-B471)/B471</f>
        <v/>
      </c>
    </row>
    <row r="484">
      <c r="A484" s="25" t="n">
        <v>36100</v>
      </c>
      <c r="B484" s="26">
        <f>VLOOKUP(Table3032[[#This Row],[Month]],'DB Money Supply'!$A:$D,2)</f>
        <v/>
      </c>
      <c r="C484" s="59">
        <f>(Table3032[[#This Row],[Real M1 Money Stock]]-B472)/B472</f>
        <v/>
      </c>
    </row>
    <row r="485">
      <c r="A485" s="25" t="n">
        <v>36130</v>
      </c>
      <c r="B485" s="26">
        <f>VLOOKUP(Table3032[[#This Row],[Month]],'DB Money Supply'!$A:$D,2)</f>
        <v/>
      </c>
      <c r="C485" s="59">
        <f>(Table3032[[#This Row],[Real M1 Money Stock]]-B473)/B473</f>
        <v/>
      </c>
    </row>
    <row r="486">
      <c r="A486" s="25" t="n">
        <v>36161</v>
      </c>
      <c r="B486" s="26">
        <f>VLOOKUP(Table3032[[#This Row],[Month]],'DB Money Supply'!$A:$D,2)</f>
        <v/>
      </c>
      <c r="C486" s="59">
        <f>(Table3032[[#This Row],[Real M1 Money Stock]]-B474)/B474</f>
        <v/>
      </c>
    </row>
    <row r="487">
      <c r="A487" s="25" t="n">
        <v>36192</v>
      </c>
      <c r="B487" s="26">
        <f>VLOOKUP(Table3032[[#This Row],[Month]],'DB Money Supply'!$A:$D,2)</f>
        <v/>
      </c>
      <c r="C487" s="59">
        <f>(Table3032[[#This Row],[Real M1 Money Stock]]-B475)/B475</f>
        <v/>
      </c>
    </row>
    <row r="488">
      <c r="A488" s="25" t="n">
        <v>36220</v>
      </c>
      <c r="B488" s="26">
        <f>VLOOKUP(Table3032[[#This Row],[Month]],'DB Money Supply'!$A:$D,2)</f>
        <v/>
      </c>
      <c r="C488" s="59">
        <f>(Table3032[[#This Row],[Real M1 Money Stock]]-B476)/B476</f>
        <v/>
      </c>
    </row>
    <row r="489">
      <c r="A489" s="25" t="n">
        <v>36251</v>
      </c>
      <c r="B489" s="26">
        <f>VLOOKUP(Table3032[[#This Row],[Month]],'DB Money Supply'!$A:$D,2)</f>
        <v/>
      </c>
      <c r="C489" s="59">
        <f>(Table3032[[#This Row],[Real M1 Money Stock]]-B477)/B477</f>
        <v/>
      </c>
    </row>
    <row r="490">
      <c r="A490" s="25" t="n">
        <v>36281</v>
      </c>
      <c r="B490" s="26">
        <f>VLOOKUP(Table3032[[#This Row],[Month]],'DB Money Supply'!$A:$D,2)</f>
        <v/>
      </c>
      <c r="C490" s="59">
        <f>(Table3032[[#This Row],[Real M1 Money Stock]]-B478)/B478</f>
        <v/>
      </c>
    </row>
    <row r="491">
      <c r="A491" s="25" t="n">
        <v>36312</v>
      </c>
      <c r="B491" s="26">
        <f>VLOOKUP(Table3032[[#This Row],[Month]],'DB Money Supply'!$A:$D,2)</f>
        <v/>
      </c>
      <c r="C491" s="59">
        <f>(Table3032[[#This Row],[Real M1 Money Stock]]-B479)/B479</f>
        <v/>
      </c>
    </row>
    <row r="492">
      <c r="A492" s="25" t="n">
        <v>36342</v>
      </c>
      <c r="B492" s="26">
        <f>VLOOKUP(Table3032[[#This Row],[Month]],'DB Money Supply'!$A:$D,2)</f>
        <v/>
      </c>
      <c r="C492" s="59">
        <f>(Table3032[[#This Row],[Real M1 Money Stock]]-B480)/B480</f>
        <v/>
      </c>
    </row>
    <row r="493">
      <c r="A493" s="25" t="n">
        <v>36373</v>
      </c>
      <c r="B493" s="26">
        <f>VLOOKUP(Table3032[[#This Row],[Month]],'DB Money Supply'!$A:$D,2)</f>
        <v/>
      </c>
      <c r="C493" s="59">
        <f>(Table3032[[#This Row],[Real M1 Money Stock]]-B481)/B481</f>
        <v/>
      </c>
    </row>
    <row r="494">
      <c r="A494" s="25" t="n">
        <v>36404</v>
      </c>
      <c r="B494" s="26">
        <f>VLOOKUP(Table3032[[#This Row],[Month]],'DB Money Supply'!$A:$D,2)</f>
        <v/>
      </c>
      <c r="C494" s="59">
        <f>(Table3032[[#This Row],[Real M1 Money Stock]]-B482)/B482</f>
        <v/>
      </c>
    </row>
    <row r="495">
      <c r="A495" s="25" t="n">
        <v>36434</v>
      </c>
      <c r="B495" s="26">
        <f>VLOOKUP(Table3032[[#This Row],[Month]],'DB Money Supply'!$A:$D,2)</f>
        <v/>
      </c>
      <c r="C495" s="59">
        <f>(Table3032[[#This Row],[Real M1 Money Stock]]-B483)/B483</f>
        <v/>
      </c>
    </row>
    <row r="496">
      <c r="A496" s="25" t="n">
        <v>36465</v>
      </c>
      <c r="B496" s="26">
        <f>VLOOKUP(Table3032[[#This Row],[Month]],'DB Money Supply'!$A:$D,2)</f>
        <v/>
      </c>
      <c r="C496" s="59">
        <f>(Table3032[[#This Row],[Real M1 Money Stock]]-B484)/B484</f>
        <v/>
      </c>
    </row>
    <row r="497">
      <c r="A497" s="25" t="n">
        <v>36495</v>
      </c>
      <c r="B497" s="26">
        <f>VLOOKUP(Table3032[[#This Row],[Month]],'DB Money Supply'!$A:$D,2)</f>
        <v/>
      </c>
      <c r="C497" s="59">
        <f>(Table3032[[#This Row],[Real M1 Money Stock]]-B485)/B485</f>
        <v/>
      </c>
    </row>
    <row r="498">
      <c r="A498" s="25" t="n">
        <v>36526</v>
      </c>
      <c r="B498" s="26">
        <f>VLOOKUP(Table3032[[#This Row],[Month]],'DB Money Supply'!$A:$D,2)</f>
        <v/>
      </c>
      <c r="C498" s="59">
        <f>(Table3032[[#This Row],[Real M1 Money Stock]]-B486)/B486</f>
        <v/>
      </c>
    </row>
    <row r="499">
      <c r="A499" s="25" t="n">
        <v>36557</v>
      </c>
      <c r="B499" s="26">
        <f>VLOOKUP(Table3032[[#This Row],[Month]],'DB Money Supply'!$A:$D,2)</f>
        <v/>
      </c>
      <c r="C499" s="59">
        <f>(Table3032[[#This Row],[Real M1 Money Stock]]-B487)/B487</f>
        <v/>
      </c>
    </row>
    <row r="500">
      <c r="A500" s="25" t="n">
        <v>36586</v>
      </c>
      <c r="B500" s="26">
        <f>VLOOKUP(Table3032[[#This Row],[Month]],'DB Money Supply'!$A:$D,2)</f>
        <v/>
      </c>
      <c r="C500" s="59">
        <f>(Table3032[[#This Row],[Real M1 Money Stock]]-B488)/B488</f>
        <v/>
      </c>
    </row>
    <row r="501">
      <c r="A501" s="25" t="n">
        <v>36617</v>
      </c>
      <c r="B501" s="26">
        <f>VLOOKUP(Table3032[[#This Row],[Month]],'DB Money Supply'!$A:$D,2)</f>
        <v/>
      </c>
      <c r="C501" s="59">
        <f>(Table3032[[#This Row],[Real M1 Money Stock]]-B489)/B489</f>
        <v/>
      </c>
    </row>
    <row r="502">
      <c r="A502" s="25" t="n">
        <v>36647</v>
      </c>
      <c r="B502" s="26">
        <f>VLOOKUP(Table3032[[#This Row],[Month]],'DB Money Supply'!$A:$D,2)</f>
        <v/>
      </c>
      <c r="C502" s="59">
        <f>(Table3032[[#This Row],[Real M1 Money Stock]]-B490)/B490</f>
        <v/>
      </c>
    </row>
    <row r="503">
      <c r="A503" s="25" t="n">
        <v>36678</v>
      </c>
      <c r="B503" s="26">
        <f>VLOOKUP(Table3032[[#This Row],[Month]],'DB Money Supply'!$A:$D,2)</f>
        <v/>
      </c>
      <c r="C503" s="59">
        <f>(Table3032[[#This Row],[Real M1 Money Stock]]-B491)/B491</f>
        <v/>
      </c>
    </row>
    <row r="504">
      <c r="A504" s="25" t="n">
        <v>36708</v>
      </c>
      <c r="B504" s="26">
        <f>VLOOKUP(Table3032[[#This Row],[Month]],'DB Money Supply'!$A:$D,2)</f>
        <v/>
      </c>
      <c r="C504" s="59">
        <f>(Table3032[[#This Row],[Real M1 Money Stock]]-B492)/B492</f>
        <v/>
      </c>
    </row>
    <row r="505">
      <c r="A505" s="25" t="n">
        <v>36739</v>
      </c>
      <c r="B505" s="26">
        <f>VLOOKUP(Table3032[[#This Row],[Month]],'DB Money Supply'!$A:$D,2)</f>
        <v/>
      </c>
      <c r="C505" s="59">
        <f>(Table3032[[#This Row],[Real M1 Money Stock]]-B493)/B493</f>
        <v/>
      </c>
    </row>
    <row r="506">
      <c r="A506" s="25" t="n">
        <v>36770</v>
      </c>
      <c r="B506" s="26">
        <f>VLOOKUP(Table3032[[#This Row],[Month]],'DB Money Supply'!$A:$D,2)</f>
        <v/>
      </c>
      <c r="C506" s="59">
        <f>(Table3032[[#This Row],[Real M1 Money Stock]]-B494)/B494</f>
        <v/>
      </c>
    </row>
    <row r="507">
      <c r="A507" s="25" t="n">
        <v>36800</v>
      </c>
      <c r="B507" s="26">
        <f>VLOOKUP(Table3032[[#This Row],[Month]],'DB Money Supply'!$A:$D,2)</f>
        <v/>
      </c>
      <c r="C507" s="59">
        <f>(Table3032[[#This Row],[Real M1 Money Stock]]-B495)/B495</f>
        <v/>
      </c>
    </row>
    <row r="508">
      <c r="A508" s="25" t="n">
        <v>36831</v>
      </c>
      <c r="B508" s="26">
        <f>VLOOKUP(Table3032[[#This Row],[Month]],'DB Money Supply'!$A:$D,2)</f>
        <v/>
      </c>
      <c r="C508" s="59">
        <f>(Table3032[[#This Row],[Real M1 Money Stock]]-B496)/B496</f>
        <v/>
      </c>
    </row>
    <row r="509">
      <c r="A509" s="25" t="n">
        <v>36861</v>
      </c>
      <c r="B509" s="26">
        <f>VLOOKUP(Table3032[[#This Row],[Month]],'DB Money Supply'!$A:$D,2)</f>
        <v/>
      </c>
      <c r="C509" s="59">
        <f>(Table3032[[#This Row],[Real M1 Money Stock]]-B497)/B497</f>
        <v/>
      </c>
    </row>
    <row r="510">
      <c r="A510" s="25" t="n">
        <v>36892</v>
      </c>
      <c r="B510" s="26">
        <f>VLOOKUP(Table3032[[#This Row],[Month]],'DB Money Supply'!$A:$D,2)</f>
        <v/>
      </c>
      <c r="C510" s="59">
        <f>(Table3032[[#This Row],[Real M1 Money Stock]]-B498)/B498</f>
        <v/>
      </c>
    </row>
    <row r="511">
      <c r="A511" s="25" t="n">
        <v>36923</v>
      </c>
      <c r="B511" s="26">
        <f>VLOOKUP(Table3032[[#This Row],[Month]],'DB Money Supply'!$A:$D,2)</f>
        <v/>
      </c>
      <c r="C511" s="59">
        <f>(Table3032[[#This Row],[Real M1 Money Stock]]-B499)/B499</f>
        <v/>
      </c>
    </row>
    <row r="512">
      <c r="A512" s="25" t="n">
        <v>36951</v>
      </c>
      <c r="B512" s="26">
        <f>VLOOKUP(Table3032[[#This Row],[Month]],'DB Money Supply'!$A:$D,2)</f>
        <v/>
      </c>
      <c r="C512" s="59">
        <f>(Table3032[[#This Row],[Real M1 Money Stock]]-B500)/B500</f>
        <v/>
      </c>
    </row>
    <row r="513">
      <c r="A513" s="25" t="n">
        <v>36982</v>
      </c>
      <c r="B513" s="26">
        <f>VLOOKUP(Table3032[[#This Row],[Month]],'DB Money Supply'!$A:$D,2)</f>
        <v/>
      </c>
      <c r="C513" s="59">
        <f>(Table3032[[#This Row],[Real M1 Money Stock]]-B501)/B501</f>
        <v/>
      </c>
    </row>
    <row r="514">
      <c r="A514" s="25" t="n">
        <v>37012</v>
      </c>
      <c r="B514" s="26">
        <f>VLOOKUP(Table3032[[#This Row],[Month]],'DB Money Supply'!$A:$D,2)</f>
        <v/>
      </c>
      <c r="C514" s="59">
        <f>(Table3032[[#This Row],[Real M1 Money Stock]]-B502)/B502</f>
        <v/>
      </c>
    </row>
    <row r="515">
      <c r="A515" s="25" t="n">
        <v>37043</v>
      </c>
      <c r="B515" s="26">
        <f>VLOOKUP(Table3032[[#This Row],[Month]],'DB Money Supply'!$A:$D,2)</f>
        <v/>
      </c>
      <c r="C515" s="59">
        <f>(Table3032[[#This Row],[Real M1 Money Stock]]-B503)/B503</f>
        <v/>
      </c>
    </row>
    <row r="516">
      <c r="A516" s="25" t="n">
        <v>37073</v>
      </c>
      <c r="B516" s="26">
        <f>VLOOKUP(Table3032[[#This Row],[Month]],'DB Money Supply'!$A:$D,2)</f>
        <v/>
      </c>
      <c r="C516" s="59">
        <f>(Table3032[[#This Row],[Real M1 Money Stock]]-B504)/B504</f>
        <v/>
      </c>
    </row>
    <row r="517">
      <c r="A517" s="25" t="n">
        <v>37104</v>
      </c>
      <c r="B517" s="26">
        <f>VLOOKUP(Table3032[[#This Row],[Month]],'DB Money Supply'!$A:$D,2)</f>
        <v/>
      </c>
      <c r="C517" s="59">
        <f>(Table3032[[#This Row],[Real M1 Money Stock]]-B505)/B505</f>
        <v/>
      </c>
    </row>
    <row r="518">
      <c r="A518" s="25" t="n">
        <v>37135</v>
      </c>
      <c r="B518" s="26">
        <f>VLOOKUP(Table3032[[#This Row],[Month]],'DB Money Supply'!$A:$D,2)</f>
        <v/>
      </c>
      <c r="C518" s="59">
        <f>(Table3032[[#This Row],[Real M1 Money Stock]]-B506)/B506</f>
        <v/>
      </c>
    </row>
    <row r="519">
      <c r="A519" s="25" t="n">
        <v>37165</v>
      </c>
      <c r="B519" s="26">
        <f>VLOOKUP(Table3032[[#This Row],[Month]],'DB Money Supply'!$A:$D,2)</f>
        <v/>
      </c>
      <c r="C519" s="59">
        <f>(Table3032[[#This Row],[Real M1 Money Stock]]-B507)/B507</f>
        <v/>
      </c>
    </row>
    <row r="520">
      <c r="A520" s="25" t="n">
        <v>37196</v>
      </c>
      <c r="B520" s="26">
        <f>VLOOKUP(Table3032[[#This Row],[Month]],'DB Money Supply'!$A:$D,2)</f>
        <v/>
      </c>
      <c r="C520" s="59">
        <f>(Table3032[[#This Row],[Real M1 Money Stock]]-B508)/B508</f>
        <v/>
      </c>
    </row>
    <row r="521">
      <c r="A521" s="25" t="n">
        <v>37226</v>
      </c>
      <c r="B521" s="26">
        <f>VLOOKUP(Table3032[[#This Row],[Month]],'DB Money Supply'!$A:$D,2)</f>
        <v/>
      </c>
      <c r="C521" s="59">
        <f>(Table3032[[#This Row],[Real M1 Money Stock]]-B509)/B509</f>
        <v/>
      </c>
    </row>
    <row r="522">
      <c r="A522" s="25" t="n">
        <v>37257</v>
      </c>
      <c r="B522" s="26">
        <f>VLOOKUP(Table3032[[#This Row],[Month]],'DB Money Supply'!$A:$D,2)</f>
        <v/>
      </c>
      <c r="C522" s="59">
        <f>(Table3032[[#This Row],[Real M1 Money Stock]]-B510)/B510</f>
        <v/>
      </c>
    </row>
    <row r="523">
      <c r="A523" s="25" t="n">
        <v>37288</v>
      </c>
      <c r="B523" s="26">
        <f>VLOOKUP(Table3032[[#This Row],[Month]],'DB Money Supply'!$A:$D,2)</f>
        <v/>
      </c>
      <c r="C523" s="59">
        <f>(Table3032[[#This Row],[Real M1 Money Stock]]-B511)/B511</f>
        <v/>
      </c>
    </row>
    <row r="524">
      <c r="A524" s="25" t="n">
        <v>37316</v>
      </c>
      <c r="B524" s="26">
        <f>VLOOKUP(Table3032[[#This Row],[Month]],'DB Money Supply'!$A:$D,2)</f>
        <v/>
      </c>
      <c r="C524" s="59">
        <f>(Table3032[[#This Row],[Real M1 Money Stock]]-B512)/B512</f>
        <v/>
      </c>
    </row>
    <row r="525">
      <c r="A525" s="25" t="n">
        <v>37347</v>
      </c>
      <c r="B525" s="26">
        <f>VLOOKUP(Table3032[[#This Row],[Month]],'DB Money Supply'!$A:$D,2)</f>
        <v/>
      </c>
      <c r="C525" s="59">
        <f>(Table3032[[#This Row],[Real M1 Money Stock]]-B513)/B513</f>
        <v/>
      </c>
    </row>
    <row r="526">
      <c r="A526" s="25" t="n">
        <v>37377</v>
      </c>
      <c r="B526" s="26">
        <f>VLOOKUP(Table3032[[#This Row],[Month]],'DB Money Supply'!$A:$D,2)</f>
        <v/>
      </c>
      <c r="C526" s="59">
        <f>(Table3032[[#This Row],[Real M1 Money Stock]]-B514)/B514</f>
        <v/>
      </c>
    </row>
    <row r="527">
      <c r="A527" s="25" t="n">
        <v>37408</v>
      </c>
      <c r="B527" s="26">
        <f>VLOOKUP(Table3032[[#This Row],[Month]],'DB Money Supply'!$A:$D,2)</f>
        <v/>
      </c>
      <c r="C527" s="59">
        <f>(Table3032[[#This Row],[Real M1 Money Stock]]-B515)/B515</f>
        <v/>
      </c>
    </row>
    <row r="528">
      <c r="A528" s="25" t="n">
        <v>37438</v>
      </c>
      <c r="B528" s="26">
        <f>VLOOKUP(Table3032[[#This Row],[Month]],'DB Money Supply'!$A:$D,2)</f>
        <v/>
      </c>
      <c r="C528" s="59">
        <f>(Table3032[[#This Row],[Real M1 Money Stock]]-B516)/B516</f>
        <v/>
      </c>
    </row>
    <row r="529">
      <c r="A529" s="25" t="n">
        <v>37469</v>
      </c>
      <c r="B529" s="26">
        <f>VLOOKUP(Table3032[[#This Row],[Month]],'DB Money Supply'!$A:$D,2)</f>
        <v/>
      </c>
      <c r="C529" s="59">
        <f>(Table3032[[#This Row],[Real M1 Money Stock]]-B517)/B517</f>
        <v/>
      </c>
    </row>
    <row r="530">
      <c r="A530" s="25" t="n">
        <v>37500</v>
      </c>
      <c r="B530" s="26">
        <f>VLOOKUP(Table3032[[#This Row],[Month]],'DB Money Supply'!$A:$D,2)</f>
        <v/>
      </c>
      <c r="C530" s="59">
        <f>(Table3032[[#This Row],[Real M1 Money Stock]]-B518)/B518</f>
        <v/>
      </c>
    </row>
    <row r="531">
      <c r="A531" s="25" t="n">
        <v>37530</v>
      </c>
      <c r="B531" s="26">
        <f>VLOOKUP(Table3032[[#This Row],[Month]],'DB Money Supply'!$A:$D,2)</f>
        <v/>
      </c>
      <c r="C531" s="59">
        <f>(Table3032[[#This Row],[Real M1 Money Stock]]-B519)/B519</f>
        <v/>
      </c>
    </row>
    <row r="532">
      <c r="A532" s="25" t="n">
        <v>37561</v>
      </c>
      <c r="B532" s="26">
        <f>VLOOKUP(Table3032[[#This Row],[Month]],'DB Money Supply'!$A:$D,2)</f>
        <v/>
      </c>
      <c r="C532" s="59">
        <f>(Table3032[[#This Row],[Real M1 Money Stock]]-B520)/B520</f>
        <v/>
      </c>
    </row>
    <row r="533">
      <c r="A533" s="25" t="n">
        <v>37591</v>
      </c>
      <c r="B533" s="26">
        <f>VLOOKUP(Table3032[[#This Row],[Month]],'DB Money Supply'!$A:$D,2)</f>
        <v/>
      </c>
      <c r="C533" s="59">
        <f>(Table3032[[#This Row],[Real M1 Money Stock]]-B521)/B521</f>
        <v/>
      </c>
    </row>
    <row r="534">
      <c r="A534" s="25" t="n">
        <v>37622</v>
      </c>
      <c r="B534" s="26">
        <f>VLOOKUP(Table3032[[#This Row],[Month]],'DB Money Supply'!$A:$D,2)</f>
        <v/>
      </c>
      <c r="C534" s="59">
        <f>(Table3032[[#This Row],[Real M1 Money Stock]]-B522)/B522</f>
        <v/>
      </c>
    </row>
    <row r="535">
      <c r="A535" s="25" t="n">
        <v>37653</v>
      </c>
      <c r="B535" s="26">
        <f>VLOOKUP(Table3032[[#This Row],[Month]],'DB Money Supply'!$A:$D,2)</f>
        <v/>
      </c>
      <c r="C535" s="59">
        <f>(Table3032[[#This Row],[Real M1 Money Stock]]-B523)/B523</f>
        <v/>
      </c>
    </row>
    <row r="536">
      <c r="A536" s="25" t="n">
        <v>37681</v>
      </c>
      <c r="B536" s="26">
        <f>VLOOKUP(Table3032[[#This Row],[Month]],'DB Money Supply'!$A:$D,2)</f>
        <v/>
      </c>
      <c r="C536" s="59">
        <f>(Table3032[[#This Row],[Real M1 Money Stock]]-B524)/B524</f>
        <v/>
      </c>
    </row>
    <row r="537">
      <c r="A537" s="25" t="n">
        <v>37712</v>
      </c>
      <c r="B537" s="26">
        <f>VLOOKUP(Table3032[[#This Row],[Month]],'DB Money Supply'!$A:$D,2)</f>
        <v/>
      </c>
      <c r="C537" s="59">
        <f>(Table3032[[#This Row],[Real M1 Money Stock]]-B525)/B525</f>
        <v/>
      </c>
    </row>
    <row r="538">
      <c r="A538" s="25" t="n">
        <v>37742</v>
      </c>
      <c r="B538" s="26">
        <f>VLOOKUP(Table3032[[#This Row],[Month]],'DB Money Supply'!$A:$D,2)</f>
        <v/>
      </c>
      <c r="C538" s="59">
        <f>(Table3032[[#This Row],[Real M1 Money Stock]]-B526)/B526</f>
        <v/>
      </c>
    </row>
    <row r="539">
      <c r="A539" s="25" t="n">
        <v>37773</v>
      </c>
      <c r="B539" s="26">
        <f>VLOOKUP(Table3032[[#This Row],[Month]],'DB Money Supply'!$A:$D,2)</f>
        <v/>
      </c>
      <c r="C539" s="59">
        <f>(Table3032[[#This Row],[Real M1 Money Stock]]-B527)/B527</f>
        <v/>
      </c>
    </row>
    <row r="540">
      <c r="A540" s="25" t="n">
        <v>37803</v>
      </c>
      <c r="B540" s="26">
        <f>VLOOKUP(Table3032[[#This Row],[Month]],'DB Money Supply'!$A:$D,2)</f>
        <v/>
      </c>
      <c r="C540" s="59">
        <f>(Table3032[[#This Row],[Real M1 Money Stock]]-B528)/B528</f>
        <v/>
      </c>
    </row>
    <row r="541">
      <c r="A541" s="25" t="n">
        <v>37834</v>
      </c>
      <c r="B541" s="26">
        <f>VLOOKUP(Table3032[[#This Row],[Month]],'DB Money Supply'!$A:$D,2)</f>
        <v/>
      </c>
      <c r="C541" s="59">
        <f>(Table3032[[#This Row],[Real M1 Money Stock]]-B529)/B529</f>
        <v/>
      </c>
    </row>
    <row r="542">
      <c r="A542" s="25" t="n">
        <v>37865</v>
      </c>
      <c r="B542" s="26">
        <f>VLOOKUP(Table3032[[#This Row],[Month]],'DB Money Supply'!$A:$D,2)</f>
        <v/>
      </c>
      <c r="C542" s="59">
        <f>(Table3032[[#This Row],[Real M1 Money Stock]]-B530)/B530</f>
        <v/>
      </c>
    </row>
    <row r="543">
      <c r="A543" s="25" t="n">
        <v>37895</v>
      </c>
      <c r="B543" s="26">
        <f>VLOOKUP(Table3032[[#This Row],[Month]],'DB Money Supply'!$A:$D,2)</f>
        <v/>
      </c>
      <c r="C543" s="59">
        <f>(Table3032[[#This Row],[Real M1 Money Stock]]-B531)/B531</f>
        <v/>
      </c>
    </row>
    <row r="544">
      <c r="A544" s="25" t="n">
        <v>37926</v>
      </c>
      <c r="B544" s="26">
        <f>VLOOKUP(Table3032[[#This Row],[Month]],'DB Money Supply'!$A:$D,2)</f>
        <v/>
      </c>
      <c r="C544" s="59">
        <f>(Table3032[[#This Row],[Real M1 Money Stock]]-B532)/B532</f>
        <v/>
      </c>
    </row>
    <row r="545">
      <c r="A545" s="25" t="n">
        <v>37956</v>
      </c>
      <c r="B545" s="26">
        <f>VLOOKUP(Table3032[[#This Row],[Month]],'DB Money Supply'!$A:$D,2)</f>
        <v/>
      </c>
      <c r="C545" s="59">
        <f>(Table3032[[#This Row],[Real M1 Money Stock]]-B533)/B533</f>
        <v/>
      </c>
    </row>
    <row r="546">
      <c r="A546" s="25" t="n">
        <v>37987</v>
      </c>
      <c r="B546" s="26">
        <f>VLOOKUP(Table3032[[#This Row],[Month]],'DB Money Supply'!$A:$D,2)</f>
        <v/>
      </c>
      <c r="C546" s="59">
        <f>(Table3032[[#This Row],[Real M1 Money Stock]]-B534)/B534</f>
        <v/>
      </c>
    </row>
    <row r="547">
      <c r="A547" s="25" t="n">
        <v>38018</v>
      </c>
      <c r="B547" s="26">
        <f>VLOOKUP(Table3032[[#This Row],[Month]],'DB Money Supply'!$A:$D,2)</f>
        <v/>
      </c>
      <c r="C547" s="59">
        <f>(Table3032[[#This Row],[Real M1 Money Stock]]-B535)/B535</f>
        <v/>
      </c>
    </row>
    <row r="548">
      <c r="A548" s="25" t="n">
        <v>38047</v>
      </c>
      <c r="B548" s="26">
        <f>VLOOKUP(Table3032[[#This Row],[Month]],'DB Money Supply'!$A:$D,2)</f>
        <v/>
      </c>
      <c r="C548" s="59">
        <f>(Table3032[[#This Row],[Real M1 Money Stock]]-B536)/B536</f>
        <v/>
      </c>
    </row>
    <row r="549">
      <c r="A549" s="25" t="n">
        <v>38078</v>
      </c>
      <c r="B549" s="26">
        <f>VLOOKUP(Table3032[[#This Row],[Month]],'DB Money Supply'!$A:$D,2)</f>
        <v/>
      </c>
      <c r="C549" s="59">
        <f>(Table3032[[#This Row],[Real M1 Money Stock]]-B537)/B537</f>
        <v/>
      </c>
    </row>
    <row r="550">
      <c r="A550" s="25" t="n">
        <v>38108</v>
      </c>
      <c r="B550" s="26">
        <f>VLOOKUP(Table3032[[#This Row],[Month]],'DB Money Supply'!$A:$D,2)</f>
        <v/>
      </c>
      <c r="C550" s="59">
        <f>(Table3032[[#This Row],[Real M1 Money Stock]]-B538)/B538</f>
        <v/>
      </c>
    </row>
    <row r="551">
      <c r="A551" s="25" t="n">
        <v>38139</v>
      </c>
      <c r="B551" s="26">
        <f>VLOOKUP(Table3032[[#This Row],[Month]],'DB Money Supply'!$A:$D,2)</f>
        <v/>
      </c>
      <c r="C551" s="59">
        <f>(Table3032[[#This Row],[Real M1 Money Stock]]-B539)/B539</f>
        <v/>
      </c>
    </row>
    <row r="552">
      <c r="A552" s="25" t="n">
        <v>38169</v>
      </c>
      <c r="B552" s="26">
        <f>VLOOKUP(Table3032[[#This Row],[Month]],'DB Money Supply'!$A:$D,2)</f>
        <v/>
      </c>
      <c r="C552" s="59">
        <f>(Table3032[[#This Row],[Real M1 Money Stock]]-B540)/B540</f>
        <v/>
      </c>
    </row>
    <row r="553">
      <c r="A553" s="25" t="n">
        <v>38200</v>
      </c>
      <c r="B553" s="26">
        <f>VLOOKUP(Table3032[[#This Row],[Month]],'DB Money Supply'!$A:$D,2)</f>
        <v/>
      </c>
      <c r="C553" s="59">
        <f>(Table3032[[#This Row],[Real M1 Money Stock]]-B541)/B541</f>
        <v/>
      </c>
    </row>
    <row r="554">
      <c r="A554" s="25" t="n">
        <v>38231</v>
      </c>
      <c r="B554" s="26">
        <f>VLOOKUP(Table3032[[#This Row],[Month]],'DB Money Supply'!$A:$D,2)</f>
        <v/>
      </c>
      <c r="C554" s="59">
        <f>(Table3032[[#This Row],[Real M1 Money Stock]]-B542)/B542</f>
        <v/>
      </c>
    </row>
    <row r="555">
      <c r="A555" s="25" t="n">
        <v>38261</v>
      </c>
      <c r="B555" s="26">
        <f>VLOOKUP(Table3032[[#This Row],[Month]],'DB Money Supply'!$A:$D,2)</f>
        <v/>
      </c>
      <c r="C555" s="59">
        <f>(Table3032[[#This Row],[Real M1 Money Stock]]-B543)/B543</f>
        <v/>
      </c>
    </row>
    <row r="556">
      <c r="A556" s="25" t="n">
        <v>38292</v>
      </c>
      <c r="B556" s="26">
        <f>VLOOKUP(Table3032[[#This Row],[Month]],'DB Money Supply'!$A:$D,2)</f>
        <v/>
      </c>
      <c r="C556" s="59">
        <f>(Table3032[[#This Row],[Real M1 Money Stock]]-B544)/B544</f>
        <v/>
      </c>
    </row>
    <row r="557">
      <c r="A557" s="25" t="n">
        <v>38322</v>
      </c>
      <c r="B557" s="26">
        <f>VLOOKUP(Table3032[[#This Row],[Month]],'DB Money Supply'!$A:$D,2)</f>
        <v/>
      </c>
      <c r="C557" s="59">
        <f>(Table3032[[#This Row],[Real M1 Money Stock]]-B545)/B545</f>
        <v/>
      </c>
    </row>
    <row r="558">
      <c r="A558" s="25" t="n">
        <v>38353</v>
      </c>
      <c r="B558" s="26">
        <f>VLOOKUP(Table3032[[#This Row],[Month]],'DB Money Supply'!$A:$D,2)</f>
        <v/>
      </c>
      <c r="C558" s="59">
        <f>(Table3032[[#This Row],[Real M1 Money Stock]]-B546)/B546</f>
        <v/>
      </c>
    </row>
    <row r="559">
      <c r="A559" s="25" t="n">
        <v>38384</v>
      </c>
      <c r="B559" s="26">
        <f>VLOOKUP(Table3032[[#This Row],[Month]],'DB Money Supply'!$A:$D,2)</f>
        <v/>
      </c>
      <c r="C559" s="59">
        <f>(Table3032[[#This Row],[Real M1 Money Stock]]-B547)/B547</f>
        <v/>
      </c>
    </row>
    <row r="560">
      <c r="A560" s="25" t="n">
        <v>38412</v>
      </c>
      <c r="B560" s="26">
        <f>VLOOKUP(Table3032[[#This Row],[Month]],'DB Money Supply'!$A:$D,2)</f>
        <v/>
      </c>
      <c r="C560" s="59">
        <f>(Table3032[[#This Row],[Real M1 Money Stock]]-B548)/B548</f>
        <v/>
      </c>
    </row>
    <row r="561">
      <c r="A561" s="25" t="n">
        <v>38443</v>
      </c>
      <c r="B561" s="26">
        <f>VLOOKUP(Table3032[[#This Row],[Month]],'DB Money Supply'!$A:$D,2)</f>
        <v/>
      </c>
      <c r="C561" s="59">
        <f>(Table3032[[#This Row],[Real M1 Money Stock]]-B549)/B549</f>
        <v/>
      </c>
    </row>
    <row r="562">
      <c r="A562" s="25" t="n">
        <v>38473</v>
      </c>
      <c r="B562" s="26">
        <f>VLOOKUP(Table3032[[#This Row],[Month]],'DB Money Supply'!$A:$D,2)</f>
        <v/>
      </c>
      <c r="C562" s="59">
        <f>(Table3032[[#This Row],[Real M1 Money Stock]]-B550)/B550</f>
        <v/>
      </c>
    </row>
    <row r="563">
      <c r="A563" s="25" t="n">
        <v>38504</v>
      </c>
      <c r="B563" s="26">
        <f>VLOOKUP(Table3032[[#This Row],[Month]],'DB Money Supply'!$A:$D,2)</f>
        <v/>
      </c>
      <c r="C563" s="59">
        <f>(Table3032[[#This Row],[Real M1 Money Stock]]-B551)/B551</f>
        <v/>
      </c>
    </row>
    <row r="564">
      <c r="A564" s="25" t="n">
        <v>38534</v>
      </c>
      <c r="B564" s="26">
        <f>VLOOKUP(Table3032[[#This Row],[Month]],'DB Money Supply'!$A:$D,2)</f>
        <v/>
      </c>
      <c r="C564" s="59">
        <f>(Table3032[[#This Row],[Real M1 Money Stock]]-B552)/B552</f>
        <v/>
      </c>
    </row>
    <row r="565">
      <c r="A565" s="25" t="n">
        <v>38565</v>
      </c>
      <c r="B565" s="26">
        <f>VLOOKUP(Table3032[[#This Row],[Month]],'DB Money Supply'!$A:$D,2)</f>
        <v/>
      </c>
      <c r="C565" s="59">
        <f>(Table3032[[#This Row],[Real M1 Money Stock]]-B553)/B553</f>
        <v/>
      </c>
    </row>
    <row r="566">
      <c r="A566" s="25" t="n">
        <v>38596</v>
      </c>
      <c r="B566" s="26">
        <f>VLOOKUP(Table3032[[#This Row],[Month]],'DB Money Supply'!$A:$D,2)</f>
        <v/>
      </c>
      <c r="C566" s="59">
        <f>(Table3032[[#This Row],[Real M1 Money Stock]]-B554)/B554</f>
        <v/>
      </c>
    </row>
    <row r="567">
      <c r="A567" s="25" t="n">
        <v>38626</v>
      </c>
      <c r="B567" s="26">
        <f>VLOOKUP(Table3032[[#This Row],[Month]],'DB Money Supply'!$A:$D,2)</f>
        <v/>
      </c>
      <c r="C567" s="59">
        <f>(Table3032[[#This Row],[Real M1 Money Stock]]-B555)/B555</f>
        <v/>
      </c>
    </row>
    <row r="568">
      <c r="A568" s="25" t="n">
        <v>38657</v>
      </c>
      <c r="B568" s="26">
        <f>VLOOKUP(Table3032[[#This Row],[Month]],'DB Money Supply'!$A:$D,2)</f>
        <v/>
      </c>
      <c r="C568" s="59">
        <f>(Table3032[[#This Row],[Real M1 Money Stock]]-B556)/B556</f>
        <v/>
      </c>
    </row>
    <row r="569">
      <c r="A569" s="25" t="n">
        <v>38687</v>
      </c>
      <c r="B569" s="26">
        <f>VLOOKUP(Table3032[[#This Row],[Month]],'DB Money Supply'!$A:$D,2)</f>
        <v/>
      </c>
      <c r="C569" s="59">
        <f>(Table3032[[#This Row],[Real M1 Money Stock]]-B557)/B557</f>
        <v/>
      </c>
    </row>
    <row r="570">
      <c r="A570" s="25" t="n">
        <v>38718</v>
      </c>
      <c r="B570" s="26">
        <f>VLOOKUP(Table3032[[#This Row],[Month]],'DB Money Supply'!$A:$D,2)</f>
        <v/>
      </c>
      <c r="C570" s="59">
        <f>(Table3032[[#This Row],[Real M1 Money Stock]]-B558)/B558</f>
        <v/>
      </c>
    </row>
    <row r="571">
      <c r="A571" s="25" t="n">
        <v>38749</v>
      </c>
      <c r="B571" s="26">
        <f>VLOOKUP(Table3032[[#This Row],[Month]],'DB Money Supply'!$A:$D,2)</f>
        <v/>
      </c>
      <c r="C571" s="59">
        <f>(Table3032[[#This Row],[Real M1 Money Stock]]-B559)/B559</f>
        <v/>
      </c>
    </row>
    <row r="572">
      <c r="A572" s="25" t="n">
        <v>38777</v>
      </c>
      <c r="B572" s="26">
        <f>VLOOKUP(Table3032[[#This Row],[Month]],'DB Money Supply'!$A:$D,2)</f>
        <v/>
      </c>
      <c r="C572" s="59">
        <f>(Table3032[[#This Row],[Real M1 Money Stock]]-B560)/B560</f>
        <v/>
      </c>
    </row>
    <row r="573">
      <c r="A573" s="25" t="n">
        <v>38808</v>
      </c>
      <c r="B573" s="26">
        <f>VLOOKUP(Table3032[[#This Row],[Month]],'DB Money Supply'!$A:$D,2)</f>
        <v/>
      </c>
      <c r="C573" s="59">
        <f>(Table3032[[#This Row],[Real M1 Money Stock]]-B561)/B561</f>
        <v/>
      </c>
    </row>
    <row r="574">
      <c r="A574" s="25" t="n">
        <v>38838</v>
      </c>
      <c r="B574" s="26">
        <f>VLOOKUP(Table3032[[#This Row],[Month]],'DB Money Supply'!$A:$D,2)</f>
        <v/>
      </c>
      <c r="C574" s="59">
        <f>(Table3032[[#This Row],[Real M1 Money Stock]]-B562)/B562</f>
        <v/>
      </c>
    </row>
    <row r="575">
      <c r="A575" s="25" t="n">
        <v>38869</v>
      </c>
      <c r="B575" s="26">
        <f>VLOOKUP(Table3032[[#This Row],[Month]],'DB Money Supply'!$A:$D,2)</f>
        <v/>
      </c>
      <c r="C575" s="59">
        <f>(Table3032[[#This Row],[Real M1 Money Stock]]-B563)/B563</f>
        <v/>
      </c>
    </row>
    <row r="576">
      <c r="A576" s="25" t="n">
        <v>38899</v>
      </c>
      <c r="B576" s="26">
        <f>VLOOKUP(Table3032[[#This Row],[Month]],'DB Money Supply'!$A:$D,2)</f>
        <v/>
      </c>
      <c r="C576" s="59">
        <f>(Table3032[[#This Row],[Real M1 Money Stock]]-B564)/B564</f>
        <v/>
      </c>
    </row>
    <row r="577">
      <c r="A577" s="25" t="n">
        <v>38930</v>
      </c>
      <c r="B577" s="26">
        <f>VLOOKUP(Table3032[[#This Row],[Month]],'DB Money Supply'!$A:$D,2)</f>
        <v/>
      </c>
      <c r="C577" s="59">
        <f>(Table3032[[#This Row],[Real M1 Money Stock]]-B565)/B565</f>
        <v/>
      </c>
    </row>
    <row r="578">
      <c r="A578" s="25" t="n">
        <v>38961</v>
      </c>
      <c r="B578" s="26">
        <f>VLOOKUP(Table3032[[#This Row],[Month]],'DB Money Supply'!$A:$D,2)</f>
        <v/>
      </c>
      <c r="C578" s="59">
        <f>(Table3032[[#This Row],[Real M1 Money Stock]]-B566)/B566</f>
        <v/>
      </c>
    </row>
    <row r="579">
      <c r="A579" s="25" t="n">
        <v>38991</v>
      </c>
      <c r="B579" s="26">
        <f>VLOOKUP(Table3032[[#This Row],[Month]],'DB Money Supply'!$A:$D,2)</f>
        <v/>
      </c>
      <c r="C579" s="59">
        <f>(Table3032[[#This Row],[Real M1 Money Stock]]-B567)/B567</f>
        <v/>
      </c>
    </row>
    <row r="580">
      <c r="A580" s="25" t="n">
        <v>39022</v>
      </c>
      <c r="B580" s="26">
        <f>VLOOKUP(Table3032[[#This Row],[Month]],'DB Money Supply'!$A:$D,2)</f>
        <v/>
      </c>
      <c r="C580" s="59">
        <f>(Table3032[[#This Row],[Real M1 Money Stock]]-B568)/B568</f>
        <v/>
      </c>
    </row>
    <row r="581">
      <c r="A581" s="25" t="n">
        <v>39052</v>
      </c>
      <c r="B581" s="26">
        <f>VLOOKUP(Table3032[[#This Row],[Month]],'DB Money Supply'!$A:$D,2)</f>
        <v/>
      </c>
      <c r="C581" s="59">
        <f>(Table3032[[#This Row],[Real M1 Money Stock]]-B569)/B569</f>
        <v/>
      </c>
    </row>
    <row r="582">
      <c r="A582" s="25" t="n">
        <v>39083</v>
      </c>
      <c r="B582" s="26">
        <f>VLOOKUP(Table3032[[#This Row],[Month]],'DB Money Supply'!$A:$D,2)</f>
        <v/>
      </c>
      <c r="C582" s="59">
        <f>(Table3032[[#This Row],[Real M1 Money Stock]]-B570)/B570</f>
        <v/>
      </c>
    </row>
    <row r="583">
      <c r="A583" s="25" t="n">
        <v>39114</v>
      </c>
      <c r="B583" s="26">
        <f>VLOOKUP(Table3032[[#This Row],[Month]],'DB Money Supply'!$A:$D,2)</f>
        <v/>
      </c>
      <c r="C583" s="59">
        <f>(Table3032[[#This Row],[Real M1 Money Stock]]-B571)/B571</f>
        <v/>
      </c>
    </row>
    <row r="584">
      <c r="A584" s="25" t="n">
        <v>39142</v>
      </c>
      <c r="B584" s="26">
        <f>VLOOKUP(Table3032[[#This Row],[Month]],'DB Money Supply'!$A:$D,2)</f>
        <v/>
      </c>
      <c r="C584" s="59">
        <f>(Table3032[[#This Row],[Real M1 Money Stock]]-B572)/B572</f>
        <v/>
      </c>
    </row>
    <row r="585">
      <c r="A585" s="25" t="n">
        <v>39173</v>
      </c>
      <c r="B585" s="26">
        <f>VLOOKUP(Table3032[[#This Row],[Month]],'DB Money Supply'!$A:$D,2)</f>
        <v/>
      </c>
      <c r="C585" s="59">
        <f>(Table3032[[#This Row],[Real M1 Money Stock]]-B573)/B573</f>
        <v/>
      </c>
    </row>
    <row r="586">
      <c r="A586" s="25" t="n">
        <v>39203</v>
      </c>
      <c r="B586" s="26">
        <f>VLOOKUP(Table3032[[#This Row],[Month]],'DB Money Supply'!$A:$D,2)</f>
        <v/>
      </c>
      <c r="C586" s="59">
        <f>(Table3032[[#This Row],[Real M1 Money Stock]]-B574)/B574</f>
        <v/>
      </c>
    </row>
    <row r="587">
      <c r="A587" s="25" t="n">
        <v>39234</v>
      </c>
      <c r="B587" s="26">
        <f>VLOOKUP(Table3032[[#This Row],[Month]],'DB Money Supply'!$A:$D,2)</f>
        <v/>
      </c>
      <c r="C587" s="59">
        <f>(Table3032[[#This Row],[Real M1 Money Stock]]-B575)/B575</f>
        <v/>
      </c>
    </row>
    <row r="588">
      <c r="A588" s="25" t="n">
        <v>39264</v>
      </c>
      <c r="B588" s="26">
        <f>VLOOKUP(Table3032[[#This Row],[Month]],'DB Money Supply'!$A:$D,2)</f>
        <v/>
      </c>
      <c r="C588" s="59">
        <f>(Table3032[[#This Row],[Real M1 Money Stock]]-B576)/B576</f>
        <v/>
      </c>
    </row>
    <row r="589">
      <c r="A589" s="25" t="n">
        <v>39295</v>
      </c>
      <c r="B589" s="26">
        <f>VLOOKUP(Table3032[[#This Row],[Month]],'DB Money Supply'!$A:$D,2)</f>
        <v/>
      </c>
      <c r="C589" s="59">
        <f>(Table3032[[#This Row],[Real M1 Money Stock]]-B577)/B577</f>
        <v/>
      </c>
    </row>
    <row r="590">
      <c r="A590" s="25" t="n">
        <v>39326</v>
      </c>
      <c r="B590" s="26">
        <f>VLOOKUP(Table3032[[#This Row],[Month]],'DB Money Supply'!$A:$D,2)</f>
        <v/>
      </c>
      <c r="C590" s="59">
        <f>(Table3032[[#This Row],[Real M1 Money Stock]]-B578)/B578</f>
        <v/>
      </c>
    </row>
    <row r="591">
      <c r="A591" s="25" t="n">
        <v>39356</v>
      </c>
      <c r="B591" s="26">
        <f>VLOOKUP(Table3032[[#This Row],[Month]],'DB Money Supply'!$A:$D,2)</f>
        <v/>
      </c>
      <c r="C591" s="59">
        <f>(Table3032[[#This Row],[Real M1 Money Stock]]-B579)/B579</f>
        <v/>
      </c>
    </row>
    <row r="592">
      <c r="A592" s="25" t="n">
        <v>39387</v>
      </c>
      <c r="B592" s="26">
        <f>VLOOKUP(Table3032[[#This Row],[Month]],'DB Money Supply'!$A:$D,2)</f>
        <v/>
      </c>
      <c r="C592" s="59">
        <f>(Table3032[[#This Row],[Real M1 Money Stock]]-B580)/B580</f>
        <v/>
      </c>
    </row>
    <row r="593">
      <c r="A593" s="25" t="n">
        <v>39417</v>
      </c>
      <c r="B593" s="26">
        <f>VLOOKUP(Table3032[[#This Row],[Month]],'DB Money Supply'!$A:$D,2)</f>
        <v/>
      </c>
      <c r="C593" s="59">
        <f>(Table3032[[#This Row],[Real M1 Money Stock]]-B581)/B581</f>
        <v/>
      </c>
    </row>
    <row r="594">
      <c r="A594" s="25" t="n">
        <v>39448</v>
      </c>
      <c r="B594" s="26">
        <f>VLOOKUP(Table3032[[#This Row],[Month]],'DB Money Supply'!$A:$D,2)</f>
        <v/>
      </c>
      <c r="C594" s="59">
        <f>(Table3032[[#This Row],[Real M1 Money Stock]]-B582)/B582</f>
        <v/>
      </c>
    </row>
    <row r="595">
      <c r="A595" s="25" t="n">
        <v>39479</v>
      </c>
      <c r="B595" s="26">
        <f>VLOOKUP(Table3032[[#This Row],[Month]],'DB Money Supply'!$A:$D,2)</f>
        <v/>
      </c>
      <c r="C595" s="59">
        <f>(Table3032[[#This Row],[Real M1 Money Stock]]-B583)/B583</f>
        <v/>
      </c>
    </row>
    <row r="596">
      <c r="A596" s="25" t="n">
        <v>39508</v>
      </c>
      <c r="B596" s="26">
        <f>VLOOKUP(Table3032[[#This Row],[Month]],'DB Money Supply'!$A:$D,2)</f>
        <v/>
      </c>
      <c r="C596" s="59">
        <f>(Table3032[[#This Row],[Real M1 Money Stock]]-B584)/B584</f>
        <v/>
      </c>
    </row>
    <row r="597">
      <c r="A597" s="25" t="n">
        <v>39539</v>
      </c>
      <c r="B597" s="26">
        <f>VLOOKUP(Table3032[[#This Row],[Month]],'DB Money Supply'!$A:$D,2)</f>
        <v/>
      </c>
      <c r="C597" s="59">
        <f>(Table3032[[#This Row],[Real M1 Money Stock]]-B585)/B585</f>
        <v/>
      </c>
    </row>
    <row r="598">
      <c r="A598" s="25" t="n">
        <v>39569</v>
      </c>
      <c r="B598" s="26">
        <f>VLOOKUP(Table3032[[#This Row],[Month]],'DB Money Supply'!$A:$D,2)</f>
        <v/>
      </c>
      <c r="C598" s="59">
        <f>(Table3032[[#This Row],[Real M1 Money Stock]]-B586)/B586</f>
        <v/>
      </c>
    </row>
    <row r="599">
      <c r="A599" s="25" t="n">
        <v>39600</v>
      </c>
      <c r="B599" s="26">
        <f>VLOOKUP(Table3032[[#This Row],[Month]],'DB Money Supply'!$A:$D,2)</f>
        <v/>
      </c>
      <c r="C599" s="59">
        <f>(Table3032[[#This Row],[Real M1 Money Stock]]-B587)/B587</f>
        <v/>
      </c>
    </row>
    <row r="600">
      <c r="A600" s="25" t="n">
        <v>39630</v>
      </c>
      <c r="B600" s="26">
        <f>VLOOKUP(Table3032[[#This Row],[Month]],'DB Money Supply'!$A:$D,2)</f>
        <v/>
      </c>
      <c r="C600" s="59">
        <f>(Table3032[[#This Row],[Real M1 Money Stock]]-B588)/B588</f>
        <v/>
      </c>
    </row>
    <row r="601">
      <c r="A601" s="25" t="n">
        <v>39661</v>
      </c>
      <c r="B601" s="26">
        <f>VLOOKUP(Table3032[[#This Row],[Month]],'DB Money Supply'!$A:$D,2)</f>
        <v/>
      </c>
      <c r="C601" s="59">
        <f>(Table3032[[#This Row],[Real M1 Money Stock]]-B589)/B589</f>
        <v/>
      </c>
    </row>
    <row r="602">
      <c r="A602" s="25" t="n">
        <v>39692</v>
      </c>
      <c r="B602" s="26">
        <f>VLOOKUP(Table3032[[#This Row],[Month]],'DB Money Supply'!$A:$D,2)</f>
        <v/>
      </c>
      <c r="C602" s="59">
        <f>(Table3032[[#This Row],[Real M1 Money Stock]]-B590)/B590</f>
        <v/>
      </c>
    </row>
    <row r="603">
      <c r="A603" s="25" t="n">
        <v>39722</v>
      </c>
      <c r="B603" s="26">
        <f>VLOOKUP(Table3032[[#This Row],[Month]],'DB Money Supply'!$A:$D,2)</f>
        <v/>
      </c>
      <c r="C603" s="59">
        <f>(Table3032[[#This Row],[Real M1 Money Stock]]-B591)/B591</f>
        <v/>
      </c>
    </row>
    <row r="604">
      <c r="A604" s="25" t="n">
        <v>39753</v>
      </c>
      <c r="B604" s="26">
        <f>VLOOKUP(Table3032[[#This Row],[Month]],'DB Money Supply'!$A:$D,2)</f>
        <v/>
      </c>
      <c r="C604" s="59">
        <f>(Table3032[[#This Row],[Real M1 Money Stock]]-B592)/B592</f>
        <v/>
      </c>
    </row>
    <row r="605">
      <c r="A605" s="25" t="n">
        <v>39783</v>
      </c>
      <c r="B605" s="26">
        <f>VLOOKUP(Table3032[[#This Row],[Month]],'DB Money Supply'!$A:$D,2)</f>
        <v/>
      </c>
      <c r="C605" s="59">
        <f>(Table3032[[#This Row],[Real M1 Money Stock]]-B593)/B593</f>
        <v/>
      </c>
    </row>
    <row r="606">
      <c r="A606" s="25" t="n">
        <v>39814</v>
      </c>
      <c r="B606" s="26">
        <f>VLOOKUP(Table3032[[#This Row],[Month]],'DB Money Supply'!$A:$D,2)</f>
        <v/>
      </c>
      <c r="C606" s="59">
        <f>(Table3032[[#This Row],[Real M1 Money Stock]]-B594)/B594</f>
        <v/>
      </c>
    </row>
    <row r="607">
      <c r="A607" s="25" t="n">
        <v>39845</v>
      </c>
      <c r="B607" s="26">
        <f>VLOOKUP(Table3032[[#This Row],[Month]],'DB Money Supply'!$A:$D,2)</f>
        <v/>
      </c>
      <c r="C607" s="59">
        <f>(Table3032[[#This Row],[Real M1 Money Stock]]-B595)/B595</f>
        <v/>
      </c>
    </row>
    <row r="608">
      <c r="A608" s="25" t="n">
        <v>39873</v>
      </c>
      <c r="B608" s="26">
        <f>VLOOKUP(Table3032[[#This Row],[Month]],'DB Money Supply'!$A:$D,2)</f>
        <v/>
      </c>
      <c r="C608" s="59">
        <f>(Table3032[[#This Row],[Real M1 Money Stock]]-B596)/B596</f>
        <v/>
      </c>
    </row>
    <row r="609">
      <c r="A609" s="25" t="n">
        <v>39904</v>
      </c>
      <c r="B609" s="26">
        <f>VLOOKUP(Table3032[[#This Row],[Month]],'DB Money Supply'!$A:$D,2)</f>
        <v/>
      </c>
      <c r="C609" s="59">
        <f>(Table3032[[#This Row],[Real M1 Money Stock]]-B597)/B597</f>
        <v/>
      </c>
    </row>
    <row r="610">
      <c r="A610" s="25" t="n">
        <v>39934</v>
      </c>
      <c r="B610" s="26">
        <f>VLOOKUP(Table3032[[#This Row],[Month]],'DB Money Supply'!$A:$D,2)</f>
        <v/>
      </c>
      <c r="C610" s="59">
        <f>(Table3032[[#This Row],[Real M1 Money Stock]]-B598)/B598</f>
        <v/>
      </c>
    </row>
    <row r="611">
      <c r="A611" s="25" t="n">
        <v>39965</v>
      </c>
      <c r="B611" s="26">
        <f>VLOOKUP(Table3032[[#This Row],[Month]],'DB Money Supply'!$A:$D,2)</f>
        <v/>
      </c>
      <c r="C611" s="59">
        <f>(Table3032[[#This Row],[Real M1 Money Stock]]-B599)/B599</f>
        <v/>
      </c>
    </row>
    <row r="612">
      <c r="A612" s="25" t="n">
        <v>39995</v>
      </c>
      <c r="B612" s="26">
        <f>VLOOKUP(Table3032[[#This Row],[Month]],'DB Money Supply'!$A:$D,2)</f>
        <v/>
      </c>
      <c r="C612" s="59">
        <f>(Table3032[[#This Row],[Real M1 Money Stock]]-B600)/B600</f>
        <v/>
      </c>
    </row>
    <row r="613">
      <c r="A613" s="25" t="n">
        <v>40026</v>
      </c>
      <c r="B613" s="26">
        <f>VLOOKUP(Table3032[[#This Row],[Month]],'DB Money Supply'!$A:$D,2)</f>
        <v/>
      </c>
      <c r="C613" s="59">
        <f>(Table3032[[#This Row],[Real M1 Money Stock]]-B601)/B601</f>
        <v/>
      </c>
    </row>
    <row r="614">
      <c r="A614" s="25" t="n">
        <v>40057</v>
      </c>
      <c r="B614" s="26">
        <f>VLOOKUP(Table3032[[#This Row],[Month]],'DB Money Supply'!$A:$D,2)</f>
        <v/>
      </c>
      <c r="C614" s="59">
        <f>(Table3032[[#This Row],[Real M1 Money Stock]]-B602)/B602</f>
        <v/>
      </c>
    </row>
    <row r="615">
      <c r="A615" s="25" t="n">
        <v>40087</v>
      </c>
      <c r="B615" s="26">
        <f>VLOOKUP(Table3032[[#This Row],[Month]],'DB Money Supply'!$A:$D,2)</f>
        <v/>
      </c>
      <c r="C615" s="59">
        <f>(Table3032[[#This Row],[Real M1 Money Stock]]-B603)/B603</f>
        <v/>
      </c>
    </row>
    <row r="616">
      <c r="A616" s="25" t="n">
        <v>40118</v>
      </c>
      <c r="B616" s="26">
        <f>VLOOKUP(Table3032[[#This Row],[Month]],'DB Money Supply'!$A:$D,2)</f>
        <v/>
      </c>
      <c r="C616" s="59">
        <f>(Table3032[[#This Row],[Real M1 Money Stock]]-B604)/B604</f>
        <v/>
      </c>
    </row>
    <row r="617">
      <c r="A617" s="25" t="n">
        <v>40148</v>
      </c>
      <c r="B617" s="26">
        <f>VLOOKUP(Table3032[[#This Row],[Month]],'DB Money Supply'!$A:$D,2)</f>
        <v/>
      </c>
      <c r="C617" s="59">
        <f>(Table3032[[#This Row],[Real M1 Money Stock]]-B605)/B605</f>
        <v/>
      </c>
    </row>
    <row r="618">
      <c r="A618" s="25" t="n">
        <v>40179</v>
      </c>
      <c r="B618" s="26">
        <f>VLOOKUP(Table3032[[#This Row],[Month]],'DB Money Supply'!$A:$D,2)</f>
        <v/>
      </c>
      <c r="C618" s="59">
        <f>(Table3032[[#This Row],[Real M1 Money Stock]]-B606)/B606</f>
        <v/>
      </c>
    </row>
    <row r="619">
      <c r="A619" s="25" t="n">
        <v>40210</v>
      </c>
      <c r="B619" s="26">
        <f>VLOOKUP(Table3032[[#This Row],[Month]],'DB Money Supply'!$A:$D,2)</f>
        <v/>
      </c>
      <c r="C619" s="59">
        <f>(Table3032[[#This Row],[Real M1 Money Stock]]-B607)/B607</f>
        <v/>
      </c>
    </row>
    <row r="620">
      <c r="A620" s="25" t="n">
        <v>40238</v>
      </c>
      <c r="B620" s="26">
        <f>VLOOKUP(Table3032[[#This Row],[Month]],'DB Money Supply'!$A:$D,2)</f>
        <v/>
      </c>
      <c r="C620" s="59">
        <f>(Table3032[[#This Row],[Real M1 Money Stock]]-B608)/B608</f>
        <v/>
      </c>
    </row>
    <row r="621">
      <c r="A621" s="25" t="n">
        <v>40269</v>
      </c>
      <c r="B621" s="26">
        <f>VLOOKUP(Table3032[[#This Row],[Month]],'DB Money Supply'!$A:$D,2)</f>
        <v/>
      </c>
      <c r="C621" s="59">
        <f>(Table3032[[#This Row],[Real M1 Money Stock]]-B609)/B609</f>
        <v/>
      </c>
    </row>
    <row r="622">
      <c r="A622" s="25" t="n">
        <v>40299</v>
      </c>
      <c r="B622" s="26">
        <f>VLOOKUP(Table3032[[#This Row],[Month]],'DB Money Supply'!$A:$D,2)</f>
        <v/>
      </c>
      <c r="C622" s="59">
        <f>(Table3032[[#This Row],[Real M1 Money Stock]]-B610)/B610</f>
        <v/>
      </c>
    </row>
    <row r="623">
      <c r="A623" s="25" t="n">
        <v>40330</v>
      </c>
      <c r="B623" s="26">
        <f>VLOOKUP(Table3032[[#This Row],[Month]],'DB Money Supply'!$A:$D,2)</f>
        <v/>
      </c>
      <c r="C623" s="59">
        <f>(Table3032[[#This Row],[Real M1 Money Stock]]-B611)/B611</f>
        <v/>
      </c>
    </row>
    <row r="624">
      <c r="A624" s="25" t="n">
        <v>40360</v>
      </c>
      <c r="B624" s="26">
        <f>VLOOKUP(Table3032[[#This Row],[Month]],'DB Money Supply'!$A:$D,2)</f>
        <v/>
      </c>
      <c r="C624" s="59">
        <f>(Table3032[[#This Row],[Real M1 Money Stock]]-B612)/B612</f>
        <v/>
      </c>
    </row>
    <row r="625">
      <c r="A625" s="25" t="n">
        <v>40391</v>
      </c>
      <c r="B625" s="26">
        <f>VLOOKUP(Table3032[[#This Row],[Month]],'DB Money Supply'!$A:$D,2)</f>
        <v/>
      </c>
      <c r="C625" s="59">
        <f>(Table3032[[#This Row],[Real M1 Money Stock]]-B613)/B613</f>
        <v/>
      </c>
    </row>
    <row r="626">
      <c r="A626" s="25" t="n">
        <v>40422</v>
      </c>
      <c r="B626" s="26">
        <f>VLOOKUP(Table3032[[#This Row],[Month]],'DB Money Supply'!$A:$D,2)</f>
        <v/>
      </c>
      <c r="C626" s="59">
        <f>(Table3032[[#This Row],[Real M1 Money Stock]]-B614)/B614</f>
        <v/>
      </c>
    </row>
    <row r="627">
      <c r="A627" s="25" t="n">
        <v>40452</v>
      </c>
      <c r="B627" s="26">
        <f>VLOOKUP(Table3032[[#This Row],[Month]],'DB Money Supply'!$A:$D,2)</f>
        <v/>
      </c>
      <c r="C627" s="59">
        <f>(Table3032[[#This Row],[Real M1 Money Stock]]-B615)/B615</f>
        <v/>
      </c>
    </row>
    <row r="628">
      <c r="A628" s="25" t="n">
        <v>40483</v>
      </c>
      <c r="B628" s="26">
        <f>VLOOKUP(Table3032[[#This Row],[Month]],'DB Money Supply'!$A:$D,2)</f>
        <v/>
      </c>
      <c r="C628" s="59">
        <f>(Table3032[[#This Row],[Real M1 Money Stock]]-B616)/B616</f>
        <v/>
      </c>
    </row>
    <row r="629">
      <c r="A629" s="25" t="n">
        <v>40513</v>
      </c>
      <c r="B629" s="26">
        <f>VLOOKUP(Table3032[[#This Row],[Month]],'DB Money Supply'!$A:$D,2)</f>
        <v/>
      </c>
      <c r="C629" s="59">
        <f>(Table3032[[#This Row],[Real M1 Money Stock]]-B617)/B617</f>
        <v/>
      </c>
    </row>
    <row r="630">
      <c r="A630" s="25" t="n">
        <v>40544</v>
      </c>
      <c r="B630" s="26">
        <f>VLOOKUP(Table3032[[#This Row],[Month]],'DB Money Supply'!$A:$D,2)</f>
        <v/>
      </c>
      <c r="C630" s="59">
        <f>(Table3032[[#This Row],[Real M1 Money Stock]]-B618)/B618</f>
        <v/>
      </c>
    </row>
    <row r="631">
      <c r="A631" s="25" t="n">
        <v>40575</v>
      </c>
      <c r="B631" s="26">
        <f>VLOOKUP(Table3032[[#This Row],[Month]],'DB Money Supply'!$A:$D,2)</f>
        <v/>
      </c>
      <c r="C631" s="59">
        <f>(Table3032[[#This Row],[Real M1 Money Stock]]-B619)/B619</f>
        <v/>
      </c>
    </row>
    <row r="632">
      <c r="A632" s="25" t="n">
        <v>40603</v>
      </c>
      <c r="B632" s="26">
        <f>VLOOKUP(Table3032[[#This Row],[Month]],'DB Money Supply'!$A:$D,2)</f>
        <v/>
      </c>
      <c r="C632" s="59">
        <f>(Table3032[[#This Row],[Real M1 Money Stock]]-B620)/B620</f>
        <v/>
      </c>
    </row>
    <row r="633">
      <c r="A633" s="25" t="n">
        <v>40634</v>
      </c>
      <c r="B633" s="26">
        <f>VLOOKUP(Table3032[[#This Row],[Month]],'DB Money Supply'!$A:$D,2)</f>
        <v/>
      </c>
      <c r="C633" s="59">
        <f>(Table3032[[#This Row],[Real M1 Money Stock]]-B621)/B621</f>
        <v/>
      </c>
    </row>
    <row r="634">
      <c r="A634" s="25" t="n">
        <v>40664</v>
      </c>
      <c r="B634" s="26">
        <f>VLOOKUP(Table3032[[#This Row],[Month]],'DB Money Supply'!$A:$D,2)</f>
        <v/>
      </c>
      <c r="C634" s="59">
        <f>(Table3032[[#This Row],[Real M1 Money Stock]]-B622)/B622</f>
        <v/>
      </c>
    </row>
    <row r="635">
      <c r="A635" s="25" t="n">
        <v>40695</v>
      </c>
      <c r="B635" s="26">
        <f>VLOOKUP(Table3032[[#This Row],[Month]],'DB Money Supply'!$A:$D,2)</f>
        <v/>
      </c>
      <c r="C635" s="59">
        <f>(Table3032[[#This Row],[Real M1 Money Stock]]-B623)/B623</f>
        <v/>
      </c>
    </row>
    <row r="636">
      <c r="A636" s="25" t="n">
        <v>40725</v>
      </c>
      <c r="B636" s="26">
        <f>VLOOKUP(Table3032[[#This Row],[Month]],'DB Money Supply'!$A:$D,2)</f>
        <v/>
      </c>
      <c r="C636" s="59">
        <f>(Table3032[[#This Row],[Real M1 Money Stock]]-B624)/B624</f>
        <v/>
      </c>
    </row>
    <row r="637">
      <c r="A637" s="25" t="n">
        <v>40756</v>
      </c>
      <c r="B637" s="26">
        <f>VLOOKUP(Table3032[[#This Row],[Month]],'DB Money Supply'!$A:$D,2)</f>
        <v/>
      </c>
      <c r="C637" s="59">
        <f>(Table3032[[#This Row],[Real M1 Money Stock]]-B625)/B625</f>
        <v/>
      </c>
    </row>
    <row r="638">
      <c r="A638" s="25" t="n">
        <v>40787</v>
      </c>
      <c r="B638" s="26">
        <f>VLOOKUP(Table3032[[#This Row],[Month]],'DB Money Supply'!$A:$D,2)</f>
        <v/>
      </c>
      <c r="C638" s="59">
        <f>(Table3032[[#This Row],[Real M1 Money Stock]]-B626)/B626</f>
        <v/>
      </c>
    </row>
    <row r="639">
      <c r="A639" s="25" t="n">
        <v>40817</v>
      </c>
      <c r="B639" s="26">
        <f>VLOOKUP(Table3032[[#This Row],[Month]],'DB Money Supply'!$A:$D,2)</f>
        <v/>
      </c>
      <c r="C639" s="59">
        <f>(Table3032[[#This Row],[Real M1 Money Stock]]-B627)/B627</f>
        <v/>
      </c>
    </row>
    <row r="640">
      <c r="A640" s="25" t="n">
        <v>40848</v>
      </c>
      <c r="B640" s="26">
        <f>VLOOKUP(Table3032[[#This Row],[Month]],'DB Money Supply'!$A:$D,2)</f>
        <v/>
      </c>
      <c r="C640" s="59">
        <f>(Table3032[[#This Row],[Real M1 Money Stock]]-B628)/B628</f>
        <v/>
      </c>
    </row>
    <row r="641">
      <c r="A641" s="25" t="n">
        <v>40878</v>
      </c>
      <c r="B641" s="26">
        <f>VLOOKUP(Table3032[[#This Row],[Month]],'DB Money Supply'!$A:$D,2)</f>
        <v/>
      </c>
      <c r="C641" s="59">
        <f>(Table3032[[#This Row],[Real M1 Money Stock]]-B629)/B629</f>
        <v/>
      </c>
    </row>
    <row r="642">
      <c r="A642" s="25" t="n">
        <v>40909</v>
      </c>
      <c r="B642" s="26">
        <f>VLOOKUP(Table3032[[#This Row],[Month]],'DB Money Supply'!$A:$D,2)</f>
        <v/>
      </c>
      <c r="C642" s="59">
        <f>(Table3032[[#This Row],[Real M1 Money Stock]]-B630)/B630</f>
        <v/>
      </c>
    </row>
    <row r="643">
      <c r="A643" s="25" t="n">
        <v>40940</v>
      </c>
      <c r="B643" s="26">
        <f>VLOOKUP(Table3032[[#This Row],[Month]],'DB Money Supply'!$A:$D,2)</f>
        <v/>
      </c>
      <c r="C643" s="59">
        <f>(Table3032[[#This Row],[Real M1 Money Stock]]-B631)/B631</f>
        <v/>
      </c>
    </row>
    <row r="644">
      <c r="A644" s="25" t="n">
        <v>40969</v>
      </c>
      <c r="B644" s="26">
        <f>VLOOKUP(Table3032[[#This Row],[Month]],'DB Money Supply'!$A:$D,2)</f>
        <v/>
      </c>
      <c r="C644" s="59">
        <f>(Table3032[[#This Row],[Real M1 Money Stock]]-B632)/B632</f>
        <v/>
      </c>
    </row>
    <row r="645">
      <c r="A645" s="25" t="n">
        <v>41000</v>
      </c>
      <c r="B645" s="26">
        <f>VLOOKUP(Table3032[[#This Row],[Month]],'DB Money Supply'!$A:$D,2)</f>
        <v/>
      </c>
      <c r="C645" s="59">
        <f>(Table3032[[#This Row],[Real M1 Money Stock]]-B633)/B633</f>
        <v/>
      </c>
    </row>
    <row r="646">
      <c r="A646" s="25" t="n">
        <v>41030</v>
      </c>
      <c r="B646" s="26">
        <f>VLOOKUP(Table3032[[#This Row],[Month]],'DB Money Supply'!$A:$D,2)</f>
        <v/>
      </c>
      <c r="C646" s="59">
        <f>(Table3032[[#This Row],[Real M1 Money Stock]]-B634)/B634</f>
        <v/>
      </c>
    </row>
    <row r="647">
      <c r="A647" s="25" t="n">
        <v>41061</v>
      </c>
      <c r="B647" s="26">
        <f>VLOOKUP(Table3032[[#This Row],[Month]],'DB Money Supply'!$A:$D,2)</f>
        <v/>
      </c>
      <c r="C647" s="59">
        <f>(Table3032[[#This Row],[Real M1 Money Stock]]-B635)/B635</f>
        <v/>
      </c>
    </row>
    <row r="648">
      <c r="A648" s="25" t="n">
        <v>41091</v>
      </c>
      <c r="B648" s="26">
        <f>VLOOKUP(Table3032[[#This Row],[Month]],'DB Money Supply'!$A:$D,2)</f>
        <v/>
      </c>
      <c r="C648" s="59">
        <f>(Table3032[[#This Row],[Real M1 Money Stock]]-B636)/B636</f>
        <v/>
      </c>
    </row>
    <row r="649">
      <c r="A649" s="25" t="n">
        <v>41122</v>
      </c>
      <c r="B649" s="26">
        <f>VLOOKUP(Table3032[[#This Row],[Month]],'DB Money Supply'!$A:$D,2)</f>
        <v/>
      </c>
      <c r="C649" s="59">
        <f>(Table3032[[#This Row],[Real M1 Money Stock]]-B637)/B637</f>
        <v/>
      </c>
    </row>
    <row r="650">
      <c r="A650" s="25" t="n">
        <v>41153</v>
      </c>
      <c r="B650" s="26">
        <f>VLOOKUP(Table3032[[#This Row],[Month]],'DB Money Supply'!$A:$D,2)</f>
        <v/>
      </c>
      <c r="C650" s="59">
        <f>(Table3032[[#This Row],[Real M1 Money Stock]]-B638)/B638</f>
        <v/>
      </c>
    </row>
    <row r="651">
      <c r="A651" s="25" t="n">
        <v>41183</v>
      </c>
      <c r="B651" s="26">
        <f>VLOOKUP(Table3032[[#This Row],[Month]],'DB Money Supply'!$A:$D,2)</f>
        <v/>
      </c>
      <c r="C651" s="59">
        <f>(Table3032[[#This Row],[Real M1 Money Stock]]-B639)/B639</f>
        <v/>
      </c>
    </row>
    <row r="652">
      <c r="A652" s="25" t="n">
        <v>41214</v>
      </c>
      <c r="B652" s="26">
        <f>VLOOKUP(Table3032[[#This Row],[Month]],'DB Money Supply'!$A:$D,2)</f>
        <v/>
      </c>
      <c r="C652" s="59">
        <f>(Table3032[[#This Row],[Real M1 Money Stock]]-B640)/B640</f>
        <v/>
      </c>
    </row>
    <row r="653">
      <c r="A653" s="25" t="n">
        <v>41244</v>
      </c>
      <c r="B653" s="26">
        <f>VLOOKUP(Table3032[[#This Row],[Month]],'DB Money Supply'!$A:$D,2)</f>
        <v/>
      </c>
      <c r="C653" s="59">
        <f>(Table3032[[#This Row],[Real M1 Money Stock]]-B641)/B641</f>
        <v/>
      </c>
    </row>
    <row r="654">
      <c r="A654" s="25" t="n">
        <v>41275</v>
      </c>
      <c r="B654" s="26">
        <f>VLOOKUP(Table3032[[#This Row],[Month]],'DB Money Supply'!$A:$D,2)</f>
        <v/>
      </c>
      <c r="C654" s="59">
        <f>(Table3032[[#This Row],[Real M1 Money Stock]]-B642)/B642</f>
        <v/>
      </c>
    </row>
    <row r="655">
      <c r="A655" s="25" t="n">
        <v>41306</v>
      </c>
      <c r="B655" s="26">
        <f>VLOOKUP(Table3032[[#This Row],[Month]],'DB Money Supply'!$A:$D,2)</f>
        <v/>
      </c>
      <c r="C655" s="59">
        <f>(Table3032[[#This Row],[Real M1 Money Stock]]-B643)/B643</f>
        <v/>
      </c>
    </row>
    <row r="656">
      <c r="A656" s="25" t="n">
        <v>41334</v>
      </c>
      <c r="B656" s="26">
        <f>VLOOKUP(Table3032[[#This Row],[Month]],'DB Money Supply'!$A:$D,2)</f>
        <v/>
      </c>
      <c r="C656" s="59">
        <f>(Table3032[[#This Row],[Real M1 Money Stock]]-B644)/B644</f>
        <v/>
      </c>
    </row>
    <row r="657">
      <c r="A657" s="25" t="n">
        <v>41365</v>
      </c>
      <c r="B657" s="26">
        <f>VLOOKUP(Table3032[[#This Row],[Month]],'DB Money Supply'!$A:$D,2)</f>
        <v/>
      </c>
      <c r="C657" s="59">
        <f>(Table3032[[#This Row],[Real M1 Money Stock]]-B645)/B645</f>
        <v/>
      </c>
    </row>
    <row r="658">
      <c r="A658" s="25" t="n">
        <v>41395</v>
      </c>
      <c r="B658" s="26">
        <f>VLOOKUP(Table3032[[#This Row],[Month]],'DB Money Supply'!$A:$D,2)</f>
        <v/>
      </c>
      <c r="C658" s="59">
        <f>(Table3032[[#This Row],[Real M1 Money Stock]]-B646)/B646</f>
        <v/>
      </c>
    </row>
    <row r="659">
      <c r="A659" s="25" t="n">
        <v>41426</v>
      </c>
      <c r="B659" s="26">
        <f>VLOOKUP(Table3032[[#This Row],[Month]],'DB Money Supply'!$A:$D,2)</f>
        <v/>
      </c>
      <c r="C659" s="59">
        <f>(Table3032[[#This Row],[Real M1 Money Stock]]-B647)/B647</f>
        <v/>
      </c>
    </row>
    <row r="660">
      <c r="A660" s="25" t="n">
        <v>41456</v>
      </c>
      <c r="B660" s="26">
        <f>VLOOKUP(Table3032[[#This Row],[Month]],'DB Money Supply'!$A:$D,2)</f>
        <v/>
      </c>
      <c r="C660" s="59">
        <f>(Table3032[[#This Row],[Real M1 Money Stock]]-B648)/B648</f>
        <v/>
      </c>
    </row>
    <row r="661">
      <c r="A661" s="25" t="n">
        <v>41487</v>
      </c>
      <c r="B661" s="26">
        <f>VLOOKUP(Table3032[[#This Row],[Month]],'DB Money Supply'!$A:$D,2)</f>
        <v/>
      </c>
      <c r="C661" s="59">
        <f>(Table3032[[#This Row],[Real M1 Money Stock]]-B649)/B649</f>
        <v/>
      </c>
    </row>
    <row r="662">
      <c r="A662" s="25" t="n">
        <v>41518</v>
      </c>
      <c r="B662" s="26">
        <f>VLOOKUP(Table3032[[#This Row],[Month]],'DB Money Supply'!$A:$D,2)</f>
        <v/>
      </c>
      <c r="C662" s="59">
        <f>(Table3032[[#This Row],[Real M1 Money Stock]]-B650)/B650</f>
        <v/>
      </c>
    </row>
    <row r="663">
      <c r="A663" s="25" t="n">
        <v>41548</v>
      </c>
      <c r="B663" s="26">
        <f>VLOOKUP(Table3032[[#This Row],[Month]],'DB Money Supply'!$A:$D,2)</f>
        <v/>
      </c>
      <c r="C663" s="59">
        <f>(Table3032[[#This Row],[Real M1 Money Stock]]-B651)/B651</f>
        <v/>
      </c>
    </row>
    <row r="664">
      <c r="A664" s="25" t="n">
        <v>41579</v>
      </c>
      <c r="B664" s="26">
        <f>VLOOKUP(Table3032[[#This Row],[Month]],'DB Money Supply'!$A:$D,2)</f>
        <v/>
      </c>
      <c r="C664" s="59">
        <f>(Table3032[[#This Row],[Real M1 Money Stock]]-B652)/B652</f>
        <v/>
      </c>
    </row>
    <row r="665">
      <c r="A665" s="25" t="n">
        <v>41609</v>
      </c>
      <c r="B665" s="26">
        <f>VLOOKUP(Table3032[[#This Row],[Month]],'DB Money Supply'!$A:$D,2)</f>
        <v/>
      </c>
      <c r="C665" s="59">
        <f>(Table3032[[#This Row],[Real M1 Money Stock]]-B653)/B653</f>
        <v/>
      </c>
    </row>
    <row r="666">
      <c r="A666" s="25" t="n">
        <v>41640</v>
      </c>
      <c r="B666" s="26">
        <f>VLOOKUP(Table3032[[#This Row],[Month]],'DB Money Supply'!$A:$D,2)</f>
        <v/>
      </c>
      <c r="C666" s="59">
        <f>(Table3032[[#This Row],[Real M1 Money Stock]]-B654)/B654</f>
        <v/>
      </c>
    </row>
    <row r="667">
      <c r="A667" s="25" t="n">
        <v>41671</v>
      </c>
      <c r="B667" s="26">
        <f>VLOOKUP(Table3032[[#This Row],[Month]],'DB Money Supply'!$A:$D,2)</f>
        <v/>
      </c>
      <c r="C667" s="59">
        <f>(Table3032[[#This Row],[Real M1 Money Stock]]-B655)/B655</f>
        <v/>
      </c>
    </row>
    <row r="668">
      <c r="A668" s="25" t="n">
        <v>41699</v>
      </c>
      <c r="B668" s="26">
        <f>VLOOKUP(Table3032[[#This Row],[Month]],'DB Money Supply'!$A:$D,2)</f>
        <v/>
      </c>
      <c r="C668" s="59">
        <f>(Table3032[[#This Row],[Real M1 Money Stock]]-B656)/B656</f>
        <v/>
      </c>
    </row>
    <row r="669">
      <c r="A669" s="25" t="n">
        <v>41730</v>
      </c>
      <c r="B669" s="26">
        <f>VLOOKUP(Table3032[[#This Row],[Month]],'DB Money Supply'!$A:$D,2)</f>
        <v/>
      </c>
      <c r="C669" s="59">
        <f>(Table3032[[#This Row],[Real M1 Money Stock]]-B657)/B657</f>
        <v/>
      </c>
    </row>
    <row r="670">
      <c r="A670" s="25" t="n">
        <v>41760</v>
      </c>
      <c r="B670" s="26">
        <f>VLOOKUP(Table3032[[#This Row],[Month]],'DB Money Supply'!$A:$D,2)</f>
        <v/>
      </c>
      <c r="C670" s="59">
        <f>(Table3032[[#This Row],[Real M1 Money Stock]]-B658)/B658</f>
        <v/>
      </c>
    </row>
    <row r="671">
      <c r="A671" s="25" t="n">
        <v>41791</v>
      </c>
      <c r="B671" s="26">
        <f>VLOOKUP(Table3032[[#This Row],[Month]],'DB Money Supply'!$A:$D,2)</f>
        <v/>
      </c>
      <c r="C671" s="59">
        <f>(Table3032[[#This Row],[Real M1 Money Stock]]-B659)/B659</f>
        <v/>
      </c>
    </row>
    <row r="672">
      <c r="A672" s="25" t="n">
        <v>41821</v>
      </c>
      <c r="B672" s="26">
        <f>VLOOKUP(Table3032[[#This Row],[Month]],'DB Money Supply'!$A:$D,2)</f>
        <v/>
      </c>
      <c r="C672" s="59">
        <f>(Table3032[[#This Row],[Real M1 Money Stock]]-B660)/B660</f>
        <v/>
      </c>
    </row>
    <row r="673">
      <c r="A673" s="25" t="n">
        <v>41852</v>
      </c>
      <c r="B673" s="26">
        <f>VLOOKUP(Table3032[[#This Row],[Month]],'DB Money Supply'!$A:$D,2)</f>
        <v/>
      </c>
      <c r="C673" s="59">
        <f>(Table3032[[#This Row],[Real M1 Money Stock]]-B661)/B661</f>
        <v/>
      </c>
    </row>
    <row r="674">
      <c r="A674" s="25" t="n">
        <v>41883</v>
      </c>
      <c r="B674" s="26">
        <f>VLOOKUP(Table3032[[#This Row],[Month]],'DB Money Supply'!$A:$D,2)</f>
        <v/>
      </c>
      <c r="C674" s="59">
        <f>(Table3032[[#This Row],[Real M1 Money Stock]]-B662)/B662</f>
        <v/>
      </c>
    </row>
    <row r="675">
      <c r="A675" s="25" t="n">
        <v>41913</v>
      </c>
      <c r="B675" s="26">
        <f>VLOOKUP(Table3032[[#This Row],[Month]],'DB Money Supply'!$A:$D,2)</f>
        <v/>
      </c>
      <c r="C675" s="59">
        <f>(Table3032[[#This Row],[Real M1 Money Stock]]-B663)/B663</f>
        <v/>
      </c>
    </row>
    <row r="676">
      <c r="A676" s="25" t="n">
        <v>41944</v>
      </c>
      <c r="B676" s="26">
        <f>VLOOKUP(Table3032[[#This Row],[Month]],'DB Money Supply'!$A:$D,2)</f>
        <v/>
      </c>
      <c r="C676" s="59">
        <f>(Table3032[[#This Row],[Real M1 Money Stock]]-B664)/B664</f>
        <v/>
      </c>
    </row>
    <row r="677">
      <c r="A677" s="25" t="n">
        <v>41974</v>
      </c>
      <c r="B677" s="26">
        <f>VLOOKUP(Table3032[[#This Row],[Month]],'DB Money Supply'!$A:$D,2)</f>
        <v/>
      </c>
      <c r="C677" s="59">
        <f>(Table3032[[#This Row],[Real M1 Money Stock]]-B665)/B665</f>
        <v/>
      </c>
    </row>
    <row r="678">
      <c r="A678" s="25" t="n">
        <v>42005</v>
      </c>
      <c r="B678" s="26">
        <f>VLOOKUP(Table3032[[#This Row],[Month]],'DB Money Supply'!$A:$D,2)</f>
        <v/>
      </c>
      <c r="C678" s="59">
        <f>(Table3032[[#This Row],[Real M1 Money Stock]]-B666)/B666</f>
        <v/>
      </c>
    </row>
    <row r="679">
      <c r="A679" s="25" t="n">
        <v>42036</v>
      </c>
      <c r="B679" s="26">
        <f>VLOOKUP(Table3032[[#This Row],[Month]],'DB Money Supply'!$A:$D,2)</f>
        <v/>
      </c>
      <c r="C679" s="59">
        <f>(Table3032[[#This Row],[Real M1 Money Stock]]-B667)/B667</f>
        <v/>
      </c>
    </row>
    <row r="680">
      <c r="A680" s="25" t="n">
        <v>42064</v>
      </c>
      <c r="B680" s="26">
        <f>VLOOKUP(Table3032[[#This Row],[Month]],'DB Money Supply'!$A:$D,2)</f>
        <v/>
      </c>
      <c r="C680" s="59">
        <f>(Table3032[[#This Row],[Real M1 Money Stock]]-B668)/B668</f>
        <v/>
      </c>
    </row>
    <row r="681">
      <c r="A681" s="25" t="n">
        <v>42095</v>
      </c>
      <c r="B681" s="26">
        <f>VLOOKUP(Table3032[[#This Row],[Month]],'DB Money Supply'!$A:$D,2)</f>
        <v/>
      </c>
      <c r="C681" s="59">
        <f>(Table3032[[#This Row],[Real M1 Money Stock]]-B669)/B669</f>
        <v/>
      </c>
    </row>
    <row r="682">
      <c r="A682" s="25" t="n">
        <v>42125</v>
      </c>
      <c r="B682" s="26">
        <f>VLOOKUP(Table3032[[#This Row],[Month]],'DB Money Supply'!$A:$D,2)</f>
        <v/>
      </c>
      <c r="C682" s="59">
        <f>(Table3032[[#This Row],[Real M1 Money Stock]]-B670)/B670</f>
        <v/>
      </c>
    </row>
    <row r="683">
      <c r="A683" s="25" t="n">
        <v>42156</v>
      </c>
      <c r="B683" s="26">
        <f>VLOOKUP(Table3032[[#This Row],[Month]],'DB Money Supply'!$A:$D,2)</f>
        <v/>
      </c>
      <c r="C683" s="59">
        <f>(Table3032[[#This Row],[Real M1 Money Stock]]-B671)/B671</f>
        <v/>
      </c>
    </row>
    <row r="684">
      <c r="A684" s="25" t="n">
        <v>42186</v>
      </c>
      <c r="B684" s="26">
        <f>VLOOKUP(Table3032[[#This Row],[Month]],'DB Money Supply'!$A:$D,2)</f>
        <v/>
      </c>
      <c r="C684" s="59">
        <f>(Table3032[[#This Row],[Real M1 Money Stock]]-B672)/B672</f>
        <v/>
      </c>
    </row>
    <row r="685">
      <c r="A685" s="25" t="n">
        <v>42217</v>
      </c>
      <c r="B685" s="26">
        <f>VLOOKUP(Table3032[[#This Row],[Month]],'DB Money Supply'!$A:$D,2)</f>
        <v/>
      </c>
      <c r="C685" s="59">
        <f>(Table3032[[#This Row],[Real M1 Money Stock]]-B673)/B673</f>
        <v/>
      </c>
    </row>
    <row r="686">
      <c r="A686" s="25" t="n">
        <v>42248</v>
      </c>
      <c r="B686" s="26">
        <f>VLOOKUP(Table3032[[#This Row],[Month]],'DB Money Supply'!$A:$D,2)</f>
        <v/>
      </c>
      <c r="C686" s="59">
        <f>(Table3032[[#This Row],[Real M1 Money Stock]]-B674)/B674</f>
        <v/>
      </c>
    </row>
    <row r="687">
      <c r="A687" s="25" t="n">
        <v>42278</v>
      </c>
      <c r="B687" s="26">
        <f>VLOOKUP(Table3032[[#This Row],[Month]],'DB Money Supply'!$A:$D,2)</f>
        <v/>
      </c>
      <c r="C687" s="59">
        <f>(Table3032[[#This Row],[Real M1 Money Stock]]-B675)/B675</f>
        <v/>
      </c>
    </row>
    <row r="688">
      <c r="A688" s="25" t="n">
        <v>42309</v>
      </c>
      <c r="B688" s="26">
        <f>VLOOKUP(Table3032[[#This Row],[Month]],'DB Money Supply'!$A:$D,2)</f>
        <v/>
      </c>
      <c r="C688" s="59">
        <f>(Table3032[[#This Row],[Real M1 Money Stock]]-B676)/B676</f>
        <v/>
      </c>
    </row>
    <row r="689">
      <c r="A689" s="25" t="n">
        <v>42339</v>
      </c>
      <c r="B689" s="26">
        <f>VLOOKUP(Table3032[[#This Row],[Month]],'DB Money Supply'!$A:$D,2)</f>
        <v/>
      </c>
      <c r="C689" s="59">
        <f>(Table3032[[#This Row],[Real M1 Money Stock]]-B677)/B677</f>
        <v/>
      </c>
    </row>
    <row r="690">
      <c r="A690" s="25" t="n">
        <v>42370</v>
      </c>
      <c r="B690" s="26">
        <f>VLOOKUP(Table3032[[#This Row],[Month]],'DB Money Supply'!$A:$D,2)</f>
        <v/>
      </c>
      <c r="C690" s="59">
        <f>(Table3032[[#This Row],[Real M1 Money Stock]]-B678)/B678</f>
        <v/>
      </c>
    </row>
    <row r="691">
      <c r="A691" s="25" t="n">
        <v>42401</v>
      </c>
      <c r="B691" s="26">
        <f>VLOOKUP(Table3032[[#This Row],[Month]],'DB Money Supply'!$A:$D,2)</f>
        <v/>
      </c>
      <c r="C691" s="59">
        <f>(Table3032[[#This Row],[Real M1 Money Stock]]-B679)/B679</f>
        <v/>
      </c>
    </row>
    <row r="692">
      <c r="A692" s="25" t="n">
        <v>42430</v>
      </c>
      <c r="B692" s="26">
        <f>VLOOKUP(Table3032[[#This Row],[Month]],'DB Money Supply'!$A:$D,2)</f>
        <v/>
      </c>
      <c r="C692" s="59">
        <f>(Table3032[[#This Row],[Real M1 Money Stock]]-B680)/B680</f>
        <v/>
      </c>
    </row>
    <row r="693">
      <c r="A693" s="25" t="n">
        <v>42461</v>
      </c>
      <c r="B693" s="26">
        <f>VLOOKUP(Table3032[[#This Row],[Month]],'DB Money Supply'!$A:$D,2)</f>
        <v/>
      </c>
      <c r="C693" s="59">
        <f>(Table3032[[#This Row],[Real M1 Money Stock]]-B681)/B681</f>
        <v/>
      </c>
    </row>
    <row r="694">
      <c r="A694" s="25" t="n">
        <v>42491</v>
      </c>
      <c r="B694" s="26">
        <f>VLOOKUP(Table3032[[#This Row],[Month]],'DB Money Supply'!$A:$D,2)</f>
        <v/>
      </c>
      <c r="C694" s="59">
        <f>(Table3032[[#This Row],[Real M1 Money Stock]]-B682)/B682</f>
        <v/>
      </c>
    </row>
    <row r="695">
      <c r="A695" s="25" t="n">
        <v>42522</v>
      </c>
      <c r="B695" s="26">
        <f>VLOOKUP(Table3032[[#This Row],[Month]],'DB Money Supply'!$A:$D,2)</f>
        <v/>
      </c>
      <c r="C695" s="59">
        <f>(Table3032[[#This Row],[Real M1 Money Stock]]-B683)/B683</f>
        <v/>
      </c>
    </row>
    <row r="696">
      <c r="A696" s="25" t="n">
        <v>42552</v>
      </c>
      <c r="B696" s="26">
        <f>VLOOKUP(Table3032[[#This Row],[Month]],'DB Money Supply'!$A:$D,2)</f>
        <v/>
      </c>
      <c r="C696" s="59">
        <f>(Table3032[[#This Row],[Real M1 Money Stock]]-B684)/B684</f>
        <v/>
      </c>
    </row>
    <row r="697">
      <c r="A697" s="25" t="n">
        <v>42583</v>
      </c>
      <c r="B697" s="26">
        <f>VLOOKUP(Table3032[[#This Row],[Month]],'DB Money Supply'!$A:$D,2)</f>
        <v/>
      </c>
      <c r="C697" s="59">
        <f>(Table3032[[#This Row],[Real M1 Money Stock]]-B685)/B685</f>
        <v/>
      </c>
    </row>
    <row r="698">
      <c r="A698" s="25" t="n">
        <v>42614</v>
      </c>
      <c r="B698" s="26">
        <f>VLOOKUP(Table3032[[#This Row],[Month]],'DB Money Supply'!$A:$D,2)</f>
        <v/>
      </c>
      <c r="C698" s="59">
        <f>(Table3032[[#This Row],[Real M1 Money Stock]]-B686)/B686</f>
        <v/>
      </c>
    </row>
    <row r="699">
      <c r="A699" s="25" t="n">
        <v>42644</v>
      </c>
      <c r="B699" s="26">
        <f>VLOOKUP(Table3032[[#This Row],[Month]],'DB Money Supply'!$A:$D,2)</f>
        <v/>
      </c>
      <c r="C699" s="59">
        <f>(Table3032[[#This Row],[Real M1 Money Stock]]-B687)/B687</f>
        <v/>
      </c>
    </row>
    <row r="700">
      <c r="A700" s="25" t="n">
        <v>42675</v>
      </c>
      <c r="B700" s="26">
        <f>VLOOKUP(Table3032[[#This Row],[Month]],'DB Money Supply'!$A:$D,2)</f>
        <v/>
      </c>
      <c r="C700" s="59">
        <f>(Table3032[[#This Row],[Real M1 Money Stock]]-B688)/B688</f>
        <v/>
      </c>
    </row>
    <row r="701">
      <c r="A701" s="25" t="n">
        <v>42705</v>
      </c>
      <c r="B701" s="26">
        <f>VLOOKUP(Table3032[[#This Row],[Month]],'DB Money Supply'!$A:$D,2)</f>
        <v/>
      </c>
      <c r="C701" s="59">
        <f>(Table3032[[#This Row],[Real M1 Money Stock]]-B689)/B689</f>
        <v/>
      </c>
    </row>
    <row r="702">
      <c r="A702" s="25" t="n">
        <v>42736</v>
      </c>
      <c r="B702" s="26">
        <f>VLOOKUP(Table3032[[#This Row],[Month]],'DB Money Supply'!$A:$D,2)</f>
        <v/>
      </c>
      <c r="C702" s="59">
        <f>(Table3032[[#This Row],[Real M1 Money Stock]]-B690)/B690</f>
        <v/>
      </c>
    </row>
    <row r="703">
      <c r="A703" s="25" t="n">
        <v>42767</v>
      </c>
      <c r="B703" s="26">
        <f>VLOOKUP(Table3032[[#This Row],[Month]],'DB Money Supply'!$A:$D,2)</f>
        <v/>
      </c>
      <c r="C703" s="59">
        <f>(Table3032[[#This Row],[Real M1 Money Stock]]-B691)/B691</f>
        <v/>
      </c>
    </row>
    <row r="704">
      <c r="A704" s="25" t="n">
        <v>42795</v>
      </c>
      <c r="B704" s="26">
        <f>VLOOKUP(Table3032[[#This Row],[Month]],'DB Money Supply'!$A:$D,2)</f>
        <v/>
      </c>
      <c r="C704" s="59">
        <f>(Table3032[[#This Row],[Real M1 Money Stock]]-B692)/B692</f>
        <v/>
      </c>
    </row>
    <row r="705">
      <c r="A705" s="25" t="n">
        <v>42826</v>
      </c>
      <c r="B705" s="26">
        <f>VLOOKUP(Table3032[[#This Row],[Month]],'DB Money Supply'!$A:$D,2)</f>
        <v/>
      </c>
      <c r="C705" s="59">
        <f>(Table3032[[#This Row],[Real M1 Money Stock]]-B693)/B693</f>
        <v/>
      </c>
    </row>
    <row r="706">
      <c r="A706" s="25" t="n">
        <v>42856</v>
      </c>
      <c r="B706" s="26">
        <f>VLOOKUP(Table3032[[#This Row],[Month]],'DB Money Supply'!$A:$D,2)</f>
        <v/>
      </c>
      <c r="C706" s="59">
        <f>(Table3032[[#This Row],[Real M1 Money Stock]]-B694)/B694</f>
        <v/>
      </c>
    </row>
    <row r="707">
      <c r="A707" s="25" t="n">
        <v>42887</v>
      </c>
      <c r="B707" s="26">
        <f>VLOOKUP(Table3032[[#This Row],[Month]],'DB Money Supply'!$A:$D,2)</f>
        <v/>
      </c>
      <c r="C707" s="59">
        <f>(Table3032[[#This Row],[Real M1 Money Stock]]-B695)/B695</f>
        <v/>
      </c>
    </row>
    <row r="708">
      <c r="A708" s="25" t="n">
        <v>42917</v>
      </c>
      <c r="B708" s="26">
        <f>VLOOKUP(Table3032[[#This Row],[Month]],'DB Money Supply'!$A:$D,2)</f>
        <v/>
      </c>
      <c r="C708" s="59">
        <f>(Table3032[[#This Row],[Real M1 Money Stock]]-B696)/B696</f>
        <v/>
      </c>
    </row>
    <row r="709">
      <c r="A709" s="25" t="n">
        <v>42948</v>
      </c>
      <c r="B709" s="26">
        <f>VLOOKUP(Table3032[[#This Row],[Month]],'DB Money Supply'!$A:$D,2)</f>
        <v/>
      </c>
      <c r="C709" s="59">
        <f>(Table3032[[#This Row],[Real M1 Money Stock]]-B697)/B697</f>
        <v/>
      </c>
    </row>
    <row r="710">
      <c r="A710" s="25" t="n">
        <v>42979</v>
      </c>
      <c r="B710" s="26">
        <f>VLOOKUP(Table3032[[#This Row],[Month]],'DB Money Supply'!$A:$D,2)</f>
        <v/>
      </c>
      <c r="C710" s="59">
        <f>(Table3032[[#This Row],[Real M1 Money Stock]]-B698)/B698</f>
        <v/>
      </c>
    </row>
    <row r="711">
      <c r="A711" s="25" t="n">
        <v>43009</v>
      </c>
      <c r="B711" s="26">
        <f>VLOOKUP(Table3032[[#This Row],[Month]],'DB Money Supply'!$A:$D,2)</f>
        <v/>
      </c>
      <c r="C711" s="59">
        <f>(Table3032[[#This Row],[Real M1 Money Stock]]-B699)/B699</f>
        <v/>
      </c>
    </row>
    <row r="712">
      <c r="A712" s="25" t="n">
        <v>43040</v>
      </c>
      <c r="B712" s="26">
        <f>VLOOKUP(Table3032[[#This Row],[Month]],'DB Money Supply'!$A:$D,2)</f>
        <v/>
      </c>
      <c r="C712" s="59">
        <f>(Table3032[[#This Row],[Real M1 Money Stock]]-B700)/B700</f>
        <v/>
      </c>
    </row>
    <row r="713">
      <c r="A713" s="25" t="n">
        <v>43070</v>
      </c>
      <c r="B713" s="26">
        <f>VLOOKUP(Table3032[[#This Row],[Month]],'DB Money Supply'!$A:$D,2)</f>
        <v/>
      </c>
      <c r="C713" s="59">
        <f>(Table3032[[#This Row],[Real M1 Money Stock]]-B701)/B701</f>
        <v/>
      </c>
    </row>
    <row r="714">
      <c r="A714" s="25" t="n">
        <v>43101</v>
      </c>
      <c r="B714" s="26">
        <f>VLOOKUP(Table3032[[#This Row],[Month]],'DB Money Supply'!$A:$D,2)</f>
        <v/>
      </c>
      <c r="C714" s="59">
        <f>(Table3032[[#This Row],[Real M1 Money Stock]]-B702)/B702</f>
        <v/>
      </c>
    </row>
    <row r="715">
      <c r="A715" s="25" t="n">
        <v>43132</v>
      </c>
      <c r="B715" s="26">
        <f>VLOOKUP(Table3032[[#This Row],[Month]],'DB Money Supply'!$A:$D,2)</f>
        <v/>
      </c>
      <c r="C715" s="59">
        <f>(Table3032[[#This Row],[Real M1 Money Stock]]-B703)/B703</f>
        <v/>
      </c>
    </row>
    <row r="716">
      <c r="A716" s="25" t="n">
        <v>43160</v>
      </c>
      <c r="B716" s="26">
        <f>VLOOKUP(Table3032[[#This Row],[Month]],'DB Money Supply'!$A:$D,2)</f>
        <v/>
      </c>
      <c r="C716" s="59">
        <f>(Table3032[[#This Row],[Real M1 Money Stock]]-B704)/B704</f>
        <v/>
      </c>
    </row>
    <row r="717">
      <c r="A717" s="25" t="n">
        <v>43191</v>
      </c>
      <c r="B717" s="26">
        <f>VLOOKUP(Table3032[[#This Row],[Month]],'DB Money Supply'!$A:$D,2)</f>
        <v/>
      </c>
      <c r="C717" s="59">
        <f>(Table3032[[#This Row],[Real M1 Money Stock]]-B705)/B705</f>
        <v/>
      </c>
    </row>
    <row r="718">
      <c r="A718" s="25" t="n">
        <v>43221</v>
      </c>
      <c r="B718" s="26">
        <f>VLOOKUP(Table3032[[#This Row],[Month]],'DB Money Supply'!$A:$D,2)</f>
        <v/>
      </c>
      <c r="C718" s="59">
        <f>(Table3032[[#This Row],[Real M1 Money Stock]]-B706)/B706</f>
        <v/>
      </c>
    </row>
    <row r="719">
      <c r="A719" s="25" t="n">
        <v>43252</v>
      </c>
      <c r="B719" s="26">
        <f>VLOOKUP(Table3032[[#This Row],[Month]],'DB Money Supply'!$A:$D,2)</f>
        <v/>
      </c>
      <c r="C719" s="59">
        <f>(Table3032[[#This Row],[Real M1 Money Stock]]-B707)/B707</f>
        <v/>
      </c>
    </row>
    <row r="720">
      <c r="A720" s="25" t="n">
        <v>43282</v>
      </c>
      <c r="B720" s="26">
        <f>VLOOKUP(Table3032[[#This Row],[Month]],'DB Money Supply'!$A:$D,2)</f>
        <v/>
      </c>
      <c r="C720" s="59">
        <f>(Table3032[[#This Row],[Real M1 Money Stock]]-B708)/B708</f>
        <v/>
      </c>
    </row>
    <row r="721">
      <c r="A721" s="25" t="n">
        <v>43313</v>
      </c>
      <c r="B721" s="26">
        <f>VLOOKUP(Table3032[[#This Row],[Month]],'DB Money Supply'!$A:$D,2)</f>
        <v/>
      </c>
      <c r="C721" s="59">
        <f>(Table3032[[#This Row],[Real M1 Money Stock]]-B709)/B709</f>
        <v/>
      </c>
    </row>
    <row r="722">
      <c r="A722" s="25" t="n">
        <v>43344</v>
      </c>
      <c r="B722" s="26">
        <f>VLOOKUP(Table3032[[#This Row],[Month]],'DB Money Supply'!$A:$D,2)</f>
        <v/>
      </c>
      <c r="C722" s="59">
        <f>(Table3032[[#This Row],[Real M1 Money Stock]]-B710)/B710</f>
        <v/>
      </c>
    </row>
    <row r="723">
      <c r="A723" s="25" t="n">
        <v>43374</v>
      </c>
      <c r="B723" s="26">
        <f>VLOOKUP(Table3032[[#This Row],[Month]],'DB Money Supply'!$A:$D,2)</f>
        <v/>
      </c>
      <c r="C723" s="59">
        <f>(Table3032[[#This Row],[Real M1 Money Stock]]-B711)/B711</f>
        <v/>
      </c>
    </row>
    <row r="724">
      <c r="A724" s="25" t="n">
        <v>43405</v>
      </c>
      <c r="B724" s="26">
        <f>VLOOKUP(Table3032[[#This Row],[Month]],'DB Money Supply'!$A:$D,2)</f>
        <v/>
      </c>
      <c r="C724" s="59">
        <f>(Table3032[[#This Row],[Real M1 Money Stock]]-B712)/B712</f>
        <v/>
      </c>
    </row>
    <row r="725">
      <c r="A725" s="25" t="n">
        <v>43435</v>
      </c>
      <c r="B725" s="26">
        <f>VLOOKUP(Table3032[[#This Row],[Month]],'DB Money Supply'!$A:$D,2)</f>
        <v/>
      </c>
      <c r="C725" s="59">
        <f>(Table3032[[#This Row],[Real M1 Money Stock]]-B713)/B713</f>
        <v/>
      </c>
    </row>
    <row r="726">
      <c r="A726" s="25" t="n">
        <v>43466</v>
      </c>
      <c r="B726" s="26">
        <f>VLOOKUP(Table3032[[#This Row],[Month]],'DB Money Supply'!$A:$D,2)</f>
        <v/>
      </c>
      <c r="C726" s="59">
        <f>(Table3032[[#This Row],[Real M1 Money Stock]]-B714)/B714</f>
        <v/>
      </c>
    </row>
    <row r="727">
      <c r="A727" s="25" t="n">
        <v>43497</v>
      </c>
      <c r="B727" s="26">
        <f>VLOOKUP(Table3032[[#This Row],[Month]],'DB Money Supply'!$A:$D,2)</f>
        <v/>
      </c>
      <c r="C727" s="59">
        <f>(Table3032[[#This Row],[Real M1 Money Stock]]-B715)/B715</f>
        <v/>
      </c>
    </row>
    <row r="728">
      <c r="A728" s="25" t="n">
        <v>43525</v>
      </c>
      <c r="B728" s="26">
        <f>VLOOKUP(Table3032[[#This Row],[Month]],'DB Money Supply'!$A:$D,2)</f>
        <v/>
      </c>
      <c r="C728" s="59">
        <f>(Table3032[[#This Row],[Real M1 Money Stock]]-B716)/B716</f>
        <v/>
      </c>
    </row>
    <row r="729">
      <c r="A729" s="25" t="n">
        <v>43556</v>
      </c>
      <c r="B729" s="26">
        <f>VLOOKUP(Table3032[[#This Row],[Month]],'DB Money Supply'!$A:$D,2)</f>
        <v/>
      </c>
      <c r="C729" s="59">
        <f>(Table3032[[#This Row],[Real M1 Money Stock]]-B717)/B717</f>
        <v/>
      </c>
    </row>
    <row r="730">
      <c r="A730" s="25" t="n">
        <v>43586</v>
      </c>
      <c r="B730" s="26">
        <f>VLOOKUP(Table3032[[#This Row],[Month]],'DB Money Supply'!$A:$D,2)</f>
        <v/>
      </c>
      <c r="C730" s="59">
        <f>(Table3032[[#This Row],[Real M1 Money Stock]]-B718)/B718</f>
        <v/>
      </c>
    </row>
    <row r="731">
      <c r="A731" s="25" t="n">
        <v>43617</v>
      </c>
      <c r="B731" s="26">
        <f>VLOOKUP(Table3032[[#This Row],[Month]],'DB Money Supply'!$A:$D,2)</f>
        <v/>
      </c>
      <c r="C731" s="59">
        <f>(Table3032[[#This Row],[Real M1 Money Stock]]-B719)/B719</f>
        <v/>
      </c>
    </row>
    <row r="732">
      <c r="A732" s="25" t="n">
        <v>43647</v>
      </c>
      <c r="B732" s="26">
        <f>VLOOKUP(Table3032[[#This Row],[Month]],'DB Money Supply'!$A:$D,2)</f>
        <v/>
      </c>
      <c r="C732" s="59">
        <f>(Table3032[[#This Row],[Real M1 Money Stock]]-B720)/B720</f>
        <v/>
      </c>
    </row>
    <row r="733">
      <c r="A733" s="25" t="n">
        <v>43678</v>
      </c>
      <c r="B733" s="26">
        <f>VLOOKUP(Table3032[[#This Row],[Month]],'DB Money Supply'!$A:$D,2)</f>
        <v/>
      </c>
      <c r="C733" s="59">
        <f>(Table3032[[#This Row],[Real M1 Money Stock]]-B721)/B721</f>
        <v/>
      </c>
    </row>
    <row r="734">
      <c r="A734" s="25" t="n">
        <v>43709</v>
      </c>
      <c r="B734" s="26">
        <f>VLOOKUP(Table3032[[#This Row],[Month]],'DB Money Supply'!$A:$D,2)</f>
        <v/>
      </c>
      <c r="C734" s="59">
        <f>(Table3032[[#This Row],[Real M1 Money Stock]]-B722)/B722</f>
        <v/>
      </c>
    </row>
    <row r="735">
      <c r="A735" s="25" t="n">
        <v>43739</v>
      </c>
      <c r="B735" s="26">
        <f>VLOOKUP(Table3032[[#This Row],[Month]],'DB Money Supply'!$A:$D,2)</f>
        <v/>
      </c>
      <c r="C735" s="59">
        <f>(Table3032[[#This Row],[Real M1 Money Stock]]-B723)/B723</f>
        <v/>
      </c>
    </row>
    <row r="736">
      <c r="A736" s="25" t="n">
        <v>43770</v>
      </c>
      <c r="B736" s="26">
        <f>VLOOKUP(Table3032[[#This Row],[Month]],'DB Money Supply'!$A:$D,2)</f>
        <v/>
      </c>
      <c r="C736" s="59">
        <f>(Table3032[[#This Row],[Real M1 Money Stock]]-B724)/B724</f>
        <v/>
      </c>
    </row>
    <row r="737">
      <c r="A737" s="25" t="n">
        <v>43800</v>
      </c>
      <c r="B737" s="26">
        <f>VLOOKUP(Table3032[[#This Row],[Month]],'DB Money Supply'!$A:$D,2)</f>
        <v/>
      </c>
      <c r="C737" s="59">
        <f>(Table3032[[#This Row],[Real M1 Money Stock]]-B725)/B725</f>
        <v/>
      </c>
    </row>
    <row r="738">
      <c r="A738" s="25" t="n">
        <v>43831</v>
      </c>
      <c r="B738" s="26">
        <f>VLOOKUP(Table3032[[#This Row],[Month]],'DB Money Supply'!$A:$D,2)</f>
        <v/>
      </c>
      <c r="C738" s="59">
        <f>(Table3032[[#This Row],[Real M1 Money Stock]]-B726)/B726</f>
        <v/>
      </c>
    </row>
    <row r="739">
      <c r="A739" s="25" t="n">
        <v>43862</v>
      </c>
      <c r="B739" s="26">
        <f>VLOOKUP(Table3032[[#This Row],[Month]],'DB Money Supply'!$A:$D,2)</f>
        <v/>
      </c>
      <c r="C739" s="59">
        <f>(Table3032[[#This Row],[Real M1 Money Stock]]-B727)/B727</f>
        <v/>
      </c>
    </row>
    <row r="740">
      <c r="A740" s="25" t="n">
        <v>43891</v>
      </c>
      <c r="B740" s="26">
        <f>VLOOKUP(Table3032[[#This Row],[Month]],'DB Money Supply'!$A:$D,2)</f>
        <v/>
      </c>
      <c r="C740" s="59">
        <f>(Table3032[[#This Row],[Real M1 Money Stock]]-B728)/B728</f>
        <v/>
      </c>
    </row>
    <row r="741">
      <c r="A741" s="25" t="n">
        <v>43922</v>
      </c>
      <c r="B741" s="26">
        <f>VLOOKUP(Table3032[[#This Row],[Month]],'DB Money Supply'!$A:$D,2)</f>
        <v/>
      </c>
      <c r="C741" s="59">
        <f>(Table3032[[#This Row],[Real M1 Money Stock]]-B729)/B729</f>
        <v/>
      </c>
    </row>
    <row r="742">
      <c r="A742" s="25" t="n">
        <v>43952</v>
      </c>
      <c r="B742" s="26">
        <f>VLOOKUP(Table3032[[#This Row],[Month]],'DB Money Supply'!$A:$D,2)</f>
        <v/>
      </c>
      <c r="C742" s="59">
        <f>(Table3032[[#This Row],[Real M1 Money Stock]]-B730)/B730</f>
        <v/>
      </c>
    </row>
    <row r="743">
      <c r="A743" s="25" t="n">
        <v>43983</v>
      </c>
      <c r="B743" s="26">
        <f>VLOOKUP(Table3032[[#This Row],[Month]],'DB Money Supply'!$A:$D,2)</f>
        <v/>
      </c>
      <c r="C743" s="59">
        <f>(Table3032[[#This Row],[Real M1 Money Stock]]-B731)/B731</f>
        <v/>
      </c>
    </row>
    <row r="744">
      <c r="A744" s="25" t="n">
        <v>44013</v>
      </c>
      <c r="B744" s="26">
        <f>VLOOKUP(Table3032[[#This Row],[Month]],'DB Money Supply'!$A:$D,2)</f>
        <v/>
      </c>
      <c r="C744" s="59">
        <f>(Table3032[[#This Row],[Real M1 Money Stock]]-B732)/B732</f>
        <v/>
      </c>
    </row>
    <row r="745">
      <c r="A745" s="25" t="n">
        <v>44044</v>
      </c>
      <c r="B745" s="26">
        <f>VLOOKUP(Table3032[[#This Row],[Month]],'DB Money Supply'!$A:$D,2)</f>
        <v/>
      </c>
      <c r="C745" s="59">
        <f>(Table3032[[#This Row],[Real M1 Money Stock]]-B733)/B733</f>
        <v/>
      </c>
    </row>
    <row r="746">
      <c r="A746" s="25" t="n">
        <v>44075</v>
      </c>
      <c r="B746" s="26">
        <f>VLOOKUP(Table3032[[#This Row],[Month]],'DB Money Supply'!$A:$D,2)</f>
        <v/>
      </c>
      <c r="C746" s="59">
        <f>(Table3032[[#This Row],[Real M1 Money Stock]]-B734)/B734</f>
        <v/>
      </c>
    </row>
    <row r="747">
      <c r="A747" s="25" t="n">
        <v>44105</v>
      </c>
      <c r="B747" s="26">
        <f>VLOOKUP(Table3032[[#This Row],[Month]],'DB Money Supply'!$A:$D,2)</f>
        <v/>
      </c>
      <c r="C747" s="59">
        <f>(Table3032[[#This Row],[Real M1 Money Stock]]-B735)/B735</f>
        <v/>
      </c>
    </row>
    <row r="748">
      <c r="A748" s="25" t="n">
        <v>44136</v>
      </c>
      <c r="B748" s="26">
        <f>VLOOKUP(Table3032[[#This Row],[Month]],'DB Money Supply'!$A:$D,2)</f>
        <v/>
      </c>
      <c r="C748" s="59">
        <f>(Table3032[[#This Row],[Real M1 Money Stock]]-B736)/B736</f>
        <v/>
      </c>
    </row>
    <row r="749">
      <c r="A749" s="25" t="n">
        <v>44166</v>
      </c>
      <c r="B749" s="26">
        <f>VLOOKUP(Table3032[[#This Row],[Month]],'DB Money Supply'!$A:$D,2)</f>
        <v/>
      </c>
      <c r="C749" s="59">
        <f>(Table3032[[#This Row],[Real M1 Money Stock]]-B737)/B737</f>
        <v/>
      </c>
    </row>
    <row r="750">
      <c r="A750" s="25" t="n">
        <v>44197</v>
      </c>
      <c r="B750" s="26">
        <f>VLOOKUP(Table3032[[#This Row],[Month]],'DB Money Supply'!$A:$D,2)</f>
        <v/>
      </c>
      <c r="C750" s="59">
        <f>(Table3032[[#This Row],[Real M1 Money Stock]]-B738)/B738</f>
        <v/>
      </c>
    </row>
    <row r="751">
      <c r="A751" s="25" t="n">
        <v>44228</v>
      </c>
      <c r="B751" s="26">
        <f>VLOOKUP(Table3032[[#This Row],[Month]],'DB Money Supply'!$A:$D,2)</f>
        <v/>
      </c>
      <c r="C751" s="59">
        <f>(Table3032[[#This Row],[Real M1 Money Stock]]-B739)/B739</f>
        <v/>
      </c>
    </row>
    <row r="752">
      <c r="A752" s="25" t="n">
        <v>44256</v>
      </c>
      <c r="B752" s="26">
        <f>VLOOKUP(Table3032[[#This Row],[Month]],'DB Money Supply'!$A:$D,2)</f>
        <v/>
      </c>
      <c r="C752" s="59">
        <f>(Table3032[[#This Row],[Real M1 Money Stock]]-B740)/B740</f>
        <v/>
      </c>
    </row>
    <row r="753">
      <c r="A753" s="25" t="n">
        <v>44287</v>
      </c>
      <c r="B753" s="26">
        <f>VLOOKUP(Table3032[[#This Row],[Month]],'DB Money Supply'!$A:$D,2)</f>
        <v/>
      </c>
      <c r="C753" s="59">
        <f>(Table3032[[#This Row],[Real M1 Money Stock]]-B741)/B741</f>
        <v/>
      </c>
    </row>
    <row r="754">
      <c r="A754" s="25" t="n">
        <v>44317</v>
      </c>
      <c r="B754" s="26">
        <f>VLOOKUP(Table3032[[#This Row],[Month]],'DB Money Supply'!$A:$D,2)</f>
        <v/>
      </c>
      <c r="C754" s="59">
        <f>(Table3032[[#This Row],[Real M1 Money Stock]]-B742)/B742</f>
        <v/>
      </c>
    </row>
    <row r="755">
      <c r="A755" s="25" t="n">
        <v>44348</v>
      </c>
      <c r="B755" s="26">
        <f>VLOOKUP(Table3032[[#This Row],[Month]],'DB Money Supply'!$A:$D,2)</f>
        <v/>
      </c>
      <c r="C755" s="59">
        <f>(Table3032[[#This Row],[Real M1 Money Stock]]-B743)/B743</f>
        <v/>
      </c>
    </row>
    <row r="756">
      <c r="A756" s="25" t="n">
        <v>44378</v>
      </c>
      <c r="B756" s="26">
        <f>VLOOKUP(Table3032[[#This Row],[Month]],'DB Money Supply'!$A:$D,2)</f>
        <v/>
      </c>
      <c r="C756" s="59">
        <f>(Table3032[[#This Row],[Real M1 Money Stock]]-B744)/B744</f>
        <v/>
      </c>
    </row>
    <row r="757">
      <c r="A757" s="25" t="n">
        <v>44409</v>
      </c>
      <c r="B757" s="26">
        <f>VLOOKUP(Table3032[[#This Row],[Month]],'DB Money Supply'!$A:$D,2)</f>
        <v/>
      </c>
      <c r="C757" s="59">
        <f>(Table3032[[#This Row],[Real M1 Money Stock]]-B745)/B745</f>
        <v/>
      </c>
    </row>
    <row r="758">
      <c r="A758" s="25" t="n">
        <v>44440</v>
      </c>
      <c r="B758" s="26">
        <f>VLOOKUP(Table3032[[#This Row],[Month]],'DB Money Supply'!$A:$D,2)</f>
        <v/>
      </c>
      <c r="C758" s="59">
        <f>(Table3032[[#This Row],[Real M1 Money Stock]]-B746)/B746</f>
        <v/>
      </c>
    </row>
    <row r="759">
      <c r="A759" s="25" t="n">
        <v>44470</v>
      </c>
      <c r="B759" s="26">
        <f>VLOOKUP(Table3032[[#This Row],[Month]],'DB Money Supply'!$A:$D,2)</f>
        <v/>
      </c>
      <c r="C759" s="59">
        <f>(Table3032[[#This Row],[Real M1 Money Stock]]-B747)/B747</f>
        <v/>
      </c>
    </row>
    <row r="760">
      <c r="A760" s="25" t="n">
        <v>44501</v>
      </c>
      <c r="B760" s="26">
        <f>VLOOKUP(Table3032[[#This Row],[Month]],'DB Money Supply'!$A:$D,2)</f>
        <v/>
      </c>
      <c r="C760" s="59">
        <f>(Table3032[[#This Row],[Real M1 Money Stock]]-B748)/B748</f>
        <v/>
      </c>
    </row>
    <row r="761">
      <c r="A761" s="25" t="n">
        <v>44531</v>
      </c>
      <c r="B761" s="26">
        <f>VLOOKUP(Table3032[[#This Row],[Month]],'DB Money Supply'!$A:$D,2)</f>
        <v/>
      </c>
      <c r="C761" s="59">
        <f>(Table3032[[#This Row],[Real M1 Money Stock]]-B749)/B749</f>
        <v/>
      </c>
    </row>
    <row r="762">
      <c r="A762" s="25" t="n">
        <v>44562</v>
      </c>
      <c r="B762" s="26">
        <f>VLOOKUP(Table3032[[#This Row],[Month]],'DB Money Supply'!$A:$D,2)</f>
        <v/>
      </c>
      <c r="C762" s="59">
        <f>(Table3032[[#This Row],[Real M1 Money Stock]]-B750)/B750</f>
        <v/>
      </c>
    </row>
    <row r="763">
      <c r="A763" s="25" t="n">
        <v>44593</v>
      </c>
      <c r="B763" s="26">
        <f>VLOOKUP(Table3032[[#This Row],[Month]],'DB Money Supply'!$A:$D,2)</f>
        <v/>
      </c>
      <c r="C763" s="59">
        <f>(Table3032[[#This Row],[Real M1 Money Stock]]-B751)/B751</f>
        <v/>
      </c>
    </row>
    <row r="764">
      <c r="A764" s="25" t="n">
        <v>44621</v>
      </c>
      <c r="B764" s="26">
        <f>VLOOKUP(Table3032[[#This Row],[Month]],'DB Money Supply'!$A:$D,2)</f>
        <v/>
      </c>
      <c r="C764" s="59">
        <f>(Table3032[[#This Row],[Real M1 Money Stock]]-B752)/B752</f>
        <v/>
      </c>
    </row>
    <row r="765">
      <c r="A765" s="25" t="n">
        <v>44652</v>
      </c>
      <c r="B765" s="26">
        <f>VLOOKUP(Table3032[[#This Row],[Month]],'DB Money Supply'!$A:$D,2)</f>
        <v/>
      </c>
      <c r="C765" s="59">
        <f>(Table3032[[#This Row],[Real M1 Money Stock]]-B753)/B753</f>
        <v/>
      </c>
    </row>
    <row r="766">
      <c r="A766" s="25" t="n">
        <v>44682</v>
      </c>
      <c r="B766" s="26">
        <f>VLOOKUP(Table3032[[#This Row],[Month]],'DB Money Supply'!$A:$D,2)</f>
        <v/>
      </c>
      <c r="C766" s="59">
        <f>(Table3032[[#This Row],[Real M1 Money Stock]]-B754)/B754</f>
        <v/>
      </c>
    </row>
    <row r="767">
      <c r="A767" s="25" t="n">
        <v>44713</v>
      </c>
      <c r="B767" s="26">
        <f>VLOOKUP(Table3032[[#This Row],[Month]],'DB Money Supply'!$A:$D,2)</f>
        <v/>
      </c>
      <c r="C767" s="59">
        <f>(Table3032[[#This Row],[Real M1 Money Stock]]-B755)/B755</f>
        <v/>
      </c>
    </row>
    <row r="768">
      <c r="A768" s="25" t="n">
        <v>44743</v>
      </c>
      <c r="B768" s="26">
        <f>VLOOKUP(Table3032[[#This Row],[Month]],'DB Money Supply'!$A:$D,2)</f>
        <v/>
      </c>
      <c r="C768" s="59">
        <f>(Table3032[[#This Row],[Real M1 Money Stock]]-B756)/B756</f>
        <v/>
      </c>
    </row>
    <row r="769">
      <c r="A769" s="25" t="n">
        <v>44774</v>
      </c>
      <c r="B769" s="26">
        <f>VLOOKUP(Table3032[[#This Row],[Month]],'DB Money Supply'!$A:$D,2)</f>
        <v/>
      </c>
      <c r="C769" s="59">
        <f>(Table3032[[#This Row],[Real M1 Money Stock]]-B757)/B757</f>
        <v/>
      </c>
    </row>
    <row r="770">
      <c r="A770" s="25" t="n">
        <v>44805</v>
      </c>
      <c r="B770" s="26">
        <f>VLOOKUP(Table3032[[#This Row],[Month]],'DB Money Supply'!$A:$D,2)</f>
        <v/>
      </c>
      <c r="C770" s="59">
        <f>(Table3032[[#This Row],[Real M1 Money Stock]]-B758)/B758</f>
        <v/>
      </c>
    </row>
    <row r="771">
      <c r="A771" s="25" t="n">
        <v>44835</v>
      </c>
      <c r="B771" s="26">
        <f>VLOOKUP(Table3032[[#This Row],[Month]],'DB Money Supply'!$A:$D,2)</f>
        <v/>
      </c>
      <c r="C771" s="59">
        <f>(Table3032[[#This Row],[Real M1 Money Stock]]-B759)/B759</f>
        <v/>
      </c>
    </row>
    <row r="772">
      <c r="A772" s="25" t="n">
        <v>44866</v>
      </c>
      <c r="B772" s="26">
        <f>VLOOKUP(Table3032[[#This Row],[Month]],'DB Money Supply'!$A:$D,2)</f>
        <v/>
      </c>
      <c r="C772" s="59">
        <f>(Table3032[[#This Row],[Real M1 Money Stock]]-B760)/B760</f>
        <v/>
      </c>
    </row>
    <row r="773">
      <c r="A773" s="25" t="n">
        <v>44896</v>
      </c>
      <c r="B773" s="26">
        <f>VLOOKUP(Table3032[[#This Row],[Month]],'DB Money Supply'!$A:$D,2)</f>
        <v/>
      </c>
      <c r="C773" s="59">
        <f>(Table3032[[#This Row],[Real M1 Money Stock]]-B761)/B761</f>
        <v/>
      </c>
    </row>
    <row r="774">
      <c r="A774" s="25" t="n">
        <v>44927</v>
      </c>
      <c r="B774" s="26">
        <f>VLOOKUP(Table3032[[#This Row],[Month]],'DB Money Supply'!$A:$D,2)</f>
        <v/>
      </c>
      <c r="C774" s="59">
        <f>(Table3032[[#This Row],[Real M1 Money Stock]]-B762)/B762</f>
        <v/>
      </c>
    </row>
    <row r="775">
      <c r="A775" s="25" t="n">
        <v>44958</v>
      </c>
      <c r="B775" s="26">
        <f>VLOOKUP(Table3032[[#This Row],[Month]],'DB Money Supply'!$A:$D,2)</f>
        <v/>
      </c>
      <c r="C775" s="59">
        <f>(Table3032[[#This Row],[Real M1 Money Stock]]-B763)/B763</f>
        <v/>
      </c>
    </row>
  </sheetData>
  <conditionalFormatting sqref="C18:C775">
    <cfRule type="colorScale" priority="2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7.xml><?xml version="1.0" encoding="utf-8"?>
<worksheet xmlns="http://schemas.openxmlformats.org/spreadsheetml/2006/main">
  <sheetPr codeName="Sheet15">
    <outlinePr summaryBelow="1" summaryRight="1"/>
    <pageSetUpPr/>
  </sheetPr>
  <dimension ref="A1:M775"/>
  <sheetViews>
    <sheetView zoomScale="70" zoomScaleNormal="70" workbookViewId="0">
      <pane ySplit="5" topLeftCell="A747" activePane="bottomLeft" state="frozen"/>
      <selection activeCell="F826" sqref="F826"/>
      <selection pane="bottomLeft" activeCell="R3" sqref="R3"/>
    </sheetView>
  </sheetViews>
  <sheetFormatPr baseColWidth="8" defaultColWidth="9.1796875" defaultRowHeight="14.5"/>
  <cols>
    <col width="11.6328125" customWidth="1" style="16" min="1" max="1"/>
    <col width="12" customWidth="1" style="16" min="2" max="2"/>
    <col width="14.6328125" customWidth="1" style="16" min="3" max="3"/>
    <col width="9.1796875" customWidth="1" style="77" min="4" max="6"/>
    <col width="13.36328125" customWidth="1" style="77" min="7" max="7"/>
    <col width="9.1796875" customWidth="1" style="77" min="8" max="46"/>
    <col width="9.1796875" customWidth="1" style="77" min="47" max="16384"/>
  </cols>
  <sheetData>
    <row r="1">
      <c r="A1" s="1" t="inlineStr">
        <is>
          <t>https://fred.stlouisfed.org/series/M2REAL</t>
        </is>
      </c>
    </row>
    <row r="2">
      <c r="A2" s="77" t="inlineStr">
        <is>
          <t>Billions of 1982-84 Dollars, Seasonally Adjusted</t>
        </is>
      </c>
      <c r="E2" s="21" t="n"/>
      <c r="F2" s="21" t="n"/>
      <c r="G2" s="21" t="n"/>
      <c r="H2" s="21" t="n"/>
      <c r="I2" s="21" t="n"/>
      <c r="J2" s="21" t="n"/>
      <c r="K2" s="21" t="n"/>
      <c r="L2" s="21" t="n"/>
      <c r="M2" s="21" t="n"/>
    </row>
    <row r="3">
      <c r="A3" s="1" t="n"/>
    </row>
    <row r="5" ht="31.5" customHeight="1">
      <c r="A5" s="47" t="inlineStr">
        <is>
          <t>Month</t>
        </is>
      </c>
      <c r="B5" s="48" t="inlineStr">
        <is>
          <t>Real M2 Money Stock</t>
        </is>
      </c>
      <c r="C5" s="49" t="inlineStr">
        <is>
          <t>M2 Money Stock % yoy</t>
        </is>
      </c>
    </row>
    <row r="6">
      <c r="A6" s="22" t="n">
        <v>21551</v>
      </c>
      <c r="B6" s="24">
        <f>VLOOKUP(Table30[[#This Row],[Month]],'DB Money Supply'!$A:$D,3)</f>
        <v/>
      </c>
      <c r="C6" s="23" t="n"/>
    </row>
    <row r="7">
      <c r="A7" s="22" t="n">
        <v>21582</v>
      </c>
      <c r="B7" s="24">
        <f>VLOOKUP(Table30[[#This Row],[Month]],'DB Money Supply'!$A:$D,3)</f>
        <v/>
      </c>
      <c r="C7" s="23" t="n"/>
    </row>
    <row r="8">
      <c r="A8" s="22" t="n">
        <v>21610</v>
      </c>
      <c r="B8" s="24">
        <f>VLOOKUP(Table30[[#This Row],[Month]],'DB Money Supply'!$A:$D,3)</f>
        <v/>
      </c>
      <c r="C8" s="23" t="n"/>
    </row>
    <row r="9">
      <c r="A9" s="22" t="n">
        <v>21641</v>
      </c>
      <c r="B9" s="24">
        <f>VLOOKUP(Table30[[#This Row],[Month]],'DB Money Supply'!$A:$D,3)</f>
        <v/>
      </c>
      <c r="C9" s="23" t="n"/>
    </row>
    <row r="10">
      <c r="A10" s="22" t="n">
        <v>21671</v>
      </c>
      <c r="B10" s="24">
        <f>VLOOKUP(Table30[[#This Row],[Month]],'DB Money Supply'!$A:$D,3)</f>
        <v/>
      </c>
      <c r="C10" s="23" t="n"/>
    </row>
    <row r="11">
      <c r="A11" s="22" t="n">
        <v>21702</v>
      </c>
      <c r="B11" s="24">
        <f>VLOOKUP(Table30[[#This Row],[Month]],'DB Money Supply'!$A:$D,3)</f>
        <v/>
      </c>
      <c r="C11" s="23" t="n"/>
    </row>
    <row r="12">
      <c r="A12" s="22" t="n">
        <v>21732</v>
      </c>
      <c r="B12" s="24">
        <f>VLOOKUP(Table30[[#This Row],[Month]],'DB Money Supply'!$A:$D,3)</f>
        <v/>
      </c>
      <c r="C12" s="23" t="n"/>
    </row>
    <row r="13">
      <c r="A13" s="22" t="n">
        <v>21763</v>
      </c>
      <c r="B13" s="24">
        <f>VLOOKUP(Table30[[#This Row],[Month]],'DB Money Supply'!$A:$D,3)</f>
        <v/>
      </c>
      <c r="C13" s="23" t="n"/>
    </row>
    <row r="14">
      <c r="A14" s="22" t="n">
        <v>21794</v>
      </c>
      <c r="B14" s="24">
        <f>VLOOKUP(Table30[[#This Row],[Month]],'DB Money Supply'!$A:$D,3)</f>
        <v/>
      </c>
      <c r="C14" s="23" t="n"/>
    </row>
    <row r="15">
      <c r="A15" s="22" t="n">
        <v>21824</v>
      </c>
      <c r="B15" s="24">
        <f>VLOOKUP(Table30[[#This Row],[Month]],'DB Money Supply'!$A:$D,3)</f>
        <v/>
      </c>
      <c r="C15" s="23" t="n"/>
    </row>
    <row r="16">
      <c r="A16" s="22" t="n">
        <v>21855</v>
      </c>
      <c r="B16" s="24">
        <f>VLOOKUP(Table30[[#This Row],[Month]],'DB Money Supply'!$A:$D,3)</f>
        <v/>
      </c>
      <c r="C16" s="23" t="n"/>
    </row>
    <row r="17">
      <c r="A17" s="22" t="n">
        <v>21885</v>
      </c>
      <c r="B17" s="24">
        <f>VLOOKUP(Table30[[#This Row],[Month]],'DB Money Supply'!$A:$D,3)</f>
        <v/>
      </c>
      <c r="C17" s="23" t="n"/>
    </row>
    <row r="18">
      <c r="A18" s="22" t="n">
        <v>21916</v>
      </c>
      <c r="B18" s="24">
        <f>VLOOKUP(Table30[[#This Row],[Month]],'DB Money Supply'!$A:$D,3)</f>
        <v/>
      </c>
      <c r="C18" s="59">
        <f>(Table30[[#This Row],[Real M2 Money Stock]]-B6)/B6</f>
        <v/>
      </c>
    </row>
    <row r="19">
      <c r="A19" s="22" t="n">
        <v>21947</v>
      </c>
      <c r="B19" s="24">
        <f>VLOOKUP(Table30[[#This Row],[Month]],'DB Money Supply'!$A:$D,3)</f>
        <v/>
      </c>
      <c r="C19" s="59">
        <f>(Table30[[#This Row],[Real M2 Money Stock]]-B7)/B7</f>
        <v/>
      </c>
    </row>
    <row r="20">
      <c r="A20" s="22" t="n">
        <v>21976</v>
      </c>
      <c r="B20" s="24">
        <f>VLOOKUP(Table30[[#This Row],[Month]],'DB Money Supply'!$A:$D,3)</f>
        <v/>
      </c>
      <c r="C20" s="59">
        <f>(Table30[[#This Row],[Real M2 Money Stock]]-B8)/B8</f>
        <v/>
      </c>
    </row>
    <row r="21">
      <c r="A21" s="22" t="n">
        <v>22007</v>
      </c>
      <c r="B21" s="24">
        <f>VLOOKUP(Table30[[#This Row],[Month]],'DB Money Supply'!$A:$D,3)</f>
        <v/>
      </c>
      <c r="C21" s="59">
        <f>(Table30[[#This Row],[Real M2 Money Stock]]-B9)/B9</f>
        <v/>
      </c>
    </row>
    <row r="22">
      <c r="A22" s="22" t="n">
        <v>22037</v>
      </c>
      <c r="B22" s="24">
        <f>VLOOKUP(Table30[[#This Row],[Month]],'DB Money Supply'!$A:$D,3)</f>
        <v/>
      </c>
      <c r="C22" s="59">
        <f>(Table30[[#This Row],[Real M2 Money Stock]]-B10)/B10</f>
        <v/>
      </c>
    </row>
    <row r="23">
      <c r="A23" s="22" t="n">
        <v>22068</v>
      </c>
      <c r="B23" s="24">
        <f>VLOOKUP(Table30[[#This Row],[Month]],'DB Money Supply'!$A:$D,3)</f>
        <v/>
      </c>
      <c r="C23" s="59">
        <f>(Table30[[#This Row],[Real M2 Money Stock]]-B11)/B11</f>
        <v/>
      </c>
    </row>
    <row r="24">
      <c r="A24" s="22" t="n">
        <v>22098</v>
      </c>
      <c r="B24" s="24">
        <f>VLOOKUP(Table30[[#This Row],[Month]],'DB Money Supply'!$A:$D,3)</f>
        <v/>
      </c>
      <c r="C24" s="59">
        <f>(Table30[[#This Row],[Real M2 Money Stock]]-B12)/B12</f>
        <v/>
      </c>
    </row>
    <row r="25">
      <c r="A25" s="22" t="n">
        <v>22129</v>
      </c>
      <c r="B25" s="24">
        <f>VLOOKUP(Table30[[#This Row],[Month]],'DB Money Supply'!$A:$D,3)</f>
        <v/>
      </c>
      <c r="C25" s="59">
        <f>(Table30[[#This Row],[Real M2 Money Stock]]-B13)/B13</f>
        <v/>
      </c>
    </row>
    <row r="26">
      <c r="A26" s="22" t="n">
        <v>22160</v>
      </c>
      <c r="B26" s="24">
        <f>VLOOKUP(Table30[[#This Row],[Month]],'DB Money Supply'!$A:$D,3)</f>
        <v/>
      </c>
      <c r="C26" s="59">
        <f>(Table30[[#This Row],[Real M2 Money Stock]]-B14)/B14</f>
        <v/>
      </c>
    </row>
    <row r="27">
      <c r="A27" s="22" t="n">
        <v>22190</v>
      </c>
      <c r="B27" s="24">
        <f>VLOOKUP(Table30[[#This Row],[Month]],'DB Money Supply'!$A:$D,3)</f>
        <v/>
      </c>
      <c r="C27" s="59">
        <f>(Table30[[#This Row],[Real M2 Money Stock]]-B15)/B15</f>
        <v/>
      </c>
    </row>
    <row r="28">
      <c r="A28" s="22" t="n">
        <v>22221</v>
      </c>
      <c r="B28" s="24">
        <f>VLOOKUP(Table30[[#This Row],[Month]],'DB Money Supply'!$A:$D,3)</f>
        <v/>
      </c>
      <c r="C28" s="59">
        <f>(Table30[[#This Row],[Real M2 Money Stock]]-B16)/B16</f>
        <v/>
      </c>
    </row>
    <row r="29">
      <c r="A29" s="22" t="n">
        <v>22251</v>
      </c>
      <c r="B29" s="24">
        <f>VLOOKUP(Table30[[#This Row],[Month]],'DB Money Supply'!$A:$D,3)</f>
        <v/>
      </c>
      <c r="C29" s="59">
        <f>(Table30[[#This Row],[Real M2 Money Stock]]-B17)/B17</f>
        <v/>
      </c>
    </row>
    <row r="30">
      <c r="A30" s="22" t="n">
        <v>22282</v>
      </c>
      <c r="B30" s="24">
        <f>VLOOKUP(Table30[[#This Row],[Month]],'DB Money Supply'!$A:$D,3)</f>
        <v/>
      </c>
      <c r="C30" s="59">
        <f>(Table30[[#This Row],[Real M2 Money Stock]]-B18)/B18</f>
        <v/>
      </c>
    </row>
    <row r="31">
      <c r="A31" s="22" t="n">
        <v>22313</v>
      </c>
      <c r="B31" s="24">
        <f>VLOOKUP(Table30[[#This Row],[Month]],'DB Money Supply'!$A:$D,3)</f>
        <v/>
      </c>
      <c r="C31" s="59">
        <f>(Table30[[#This Row],[Real M2 Money Stock]]-B19)/B19</f>
        <v/>
      </c>
    </row>
    <row r="32">
      <c r="A32" s="22" t="n">
        <v>22341</v>
      </c>
      <c r="B32" s="24">
        <f>VLOOKUP(Table30[[#This Row],[Month]],'DB Money Supply'!$A:$D,3)</f>
        <v/>
      </c>
      <c r="C32" s="59">
        <f>(Table30[[#This Row],[Real M2 Money Stock]]-B20)/B20</f>
        <v/>
      </c>
    </row>
    <row r="33">
      <c r="A33" s="22" t="n">
        <v>22372</v>
      </c>
      <c r="B33" s="24">
        <f>VLOOKUP(Table30[[#This Row],[Month]],'DB Money Supply'!$A:$D,3)</f>
        <v/>
      </c>
      <c r="C33" s="59">
        <f>(Table30[[#This Row],[Real M2 Money Stock]]-B21)/B21</f>
        <v/>
      </c>
    </row>
    <row r="34">
      <c r="A34" s="22" t="n">
        <v>22402</v>
      </c>
      <c r="B34" s="24">
        <f>VLOOKUP(Table30[[#This Row],[Month]],'DB Money Supply'!$A:$D,3)</f>
        <v/>
      </c>
      <c r="C34" s="59">
        <f>(Table30[[#This Row],[Real M2 Money Stock]]-B22)/B22</f>
        <v/>
      </c>
    </row>
    <row r="35">
      <c r="A35" s="22" t="n">
        <v>22433</v>
      </c>
      <c r="B35" s="24">
        <f>VLOOKUP(Table30[[#This Row],[Month]],'DB Money Supply'!$A:$D,3)</f>
        <v/>
      </c>
      <c r="C35" s="59">
        <f>(Table30[[#This Row],[Real M2 Money Stock]]-B23)/B23</f>
        <v/>
      </c>
    </row>
    <row r="36">
      <c r="A36" s="22" t="n">
        <v>22463</v>
      </c>
      <c r="B36" s="24">
        <f>VLOOKUP(Table30[[#This Row],[Month]],'DB Money Supply'!$A:$D,3)</f>
        <v/>
      </c>
      <c r="C36" s="59">
        <f>(Table30[[#This Row],[Real M2 Money Stock]]-B24)/B24</f>
        <v/>
      </c>
    </row>
    <row r="37">
      <c r="A37" s="22" t="n">
        <v>22494</v>
      </c>
      <c r="B37" s="24">
        <f>VLOOKUP(Table30[[#This Row],[Month]],'DB Money Supply'!$A:$D,3)</f>
        <v/>
      </c>
      <c r="C37" s="59">
        <f>(Table30[[#This Row],[Real M2 Money Stock]]-B25)/B25</f>
        <v/>
      </c>
    </row>
    <row r="38">
      <c r="A38" s="22" t="n">
        <v>22525</v>
      </c>
      <c r="B38" s="24">
        <f>VLOOKUP(Table30[[#This Row],[Month]],'DB Money Supply'!$A:$D,3)</f>
        <v/>
      </c>
      <c r="C38" s="59">
        <f>(Table30[[#This Row],[Real M2 Money Stock]]-B26)/B26</f>
        <v/>
      </c>
    </row>
    <row r="39">
      <c r="A39" s="22" t="n">
        <v>22555</v>
      </c>
      <c r="B39" s="24">
        <f>VLOOKUP(Table30[[#This Row],[Month]],'DB Money Supply'!$A:$D,3)</f>
        <v/>
      </c>
      <c r="C39" s="59">
        <f>(Table30[[#This Row],[Real M2 Money Stock]]-B27)/B27</f>
        <v/>
      </c>
    </row>
    <row r="40">
      <c r="A40" s="22" t="n">
        <v>22586</v>
      </c>
      <c r="B40" s="24">
        <f>VLOOKUP(Table30[[#This Row],[Month]],'DB Money Supply'!$A:$D,3)</f>
        <v/>
      </c>
      <c r="C40" s="59">
        <f>(Table30[[#This Row],[Real M2 Money Stock]]-B28)/B28</f>
        <v/>
      </c>
    </row>
    <row r="41">
      <c r="A41" s="22" t="n">
        <v>22616</v>
      </c>
      <c r="B41" s="24">
        <f>VLOOKUP(Table30[[#This Row],[Month]],'DB Money Supply'!$A:$D,3)</f>
        <v/>
      </c>
      <c r="C41" s="59">
        <f>(Table30[[#This Row],[Real M2 Money Stock]]-B29)/B29</f>
        <v/>
      </c>
    </row>
    <row r="42">
      <c r="A42" s="22" t="n">
        <v>22647</v>
      </c>
      <c r="B42" s="24">
        <f>VLOOKUP(Table30[[#This Row],[Month]],'DB Money Supply'!$A:$D,3)</f>
        <v/>
      </c>
      <c r="C42" s="59">
        <f>(Table30[[#This Row],[Real M2 Money Stock]]-B30)/B30</f>
        <v/>
      </c>
    </row>
    <row r="43">
      <c r="A43" s="22" t="n">
        <v>22678</v>
      </c>
      <c r="B43" s="24">
        <f>VLOOKUP(Table30[[#This Row],[Month]],'DB Money Supply'!$A:$D,3)</f>
        <v/>
      </c>
      <c r="C43" s="59">
        <f>(Table30[[#This Row],[Real M2 Money Stock]]-B31)/B31</f>
        <v/>
      </c>
    </row>
    <row r="44">
      <c r="A44" s="22" t="n">
        <v>22706</v>
      </c>
      <c r="B44" s="24">
        <f>VLOOKUP(Table30[[#This Row],[Month]],'DB Money Supply'!$A:$D,3)</f>
        <v/>
      </c>
      <c r="C44" s="59">
        <f>(Table30[[#This Row],[Real M2 Money Stock]]-B32)/B32</f>
        <v/>
      </c>
    </row>
    <row r="45">
      <c r="A45" s="22" t="n">
        <v>22737</v>
      </c>
      <c r="B45" s="24">
        <f>VLOOKUP(Table30[[#This Row],[Month]],'DB Money Supply'!$A:$D,3)</f>
        <v/>
      </c>
      <c r="C45" s="59">
        <f>(Table30[[#This Row],[Real M2 Money Stock]]-B33)/B33</f>
        <v/>
      </c>
    </row>
    <row r="46">
      <c r="A46" s="22" t="n">
        <v>22767</v>
      </c>
      <c r="B46" s="24">
        <f>VLOOKUP(Table30[[#This Row],[Month]],'DB Money Supply'!$A:$D,3)</f>
        <v/>
      </c>
      <c r="C46" s="59">
        <f>(Table30[[#This Row],[Real M2 Money Stock]]-B34)/B34</f>
        <v/>
      </c>
    </row>
    <row r="47">
      <c r="A47" s="22" t="n">
        <v>22798</v>
      </c>
      <c r="B47" s="24">
        <f>VLOOKUP(Table30[[#This Row],[Month]],'DB Money Supply'!$A:$D,3)</f>
        <v/>
      </c>
      <c r="C47" s="59">
        <f>(Table30[[#This Row],[Real M2 Money Stock]]-B35)/B35</f>
        <v/>
      </c>
    </row>
    <row r="48">
      <c r="A48" s="22" t="n">
        <v>22828</v>
      </c>
      <c r="B48" s="24">
        <f>VLOOKUP(Table30[[#This Row],[Month]],'DB Money Supply'!$A:$D,3)</f>
        <v/>
      </c>
      <c r="C48" s="59">
        <f>(Table30[[#This Row],[Real M2 Money Stock]]-B36)/B36</f>
        <v/>
      </c>
    </row>
    <row r="49">
      <c r="A49" s="22" t="n">
        <v>22859</v>
      </c>
      <c r="B49" s="24">
        <f>VLOOKUP(Table30[[#This Row],[Month]],'DB Money Supply'!$A:$D,3)</f>
        <v/>
      </c>
      <c r="C49" s="59">
        <f>(Table30[[#This Row],[Real M2 Money Stock]]-B37)/B37</f>
        <v/>
      </c>
    </row>
    <row r="50">
      <c r="A50" s="22" t="n">
        <v>22890</v>
      </c>
      <c r="B50" s="24">
        <f>VLOOKUP(Table30[[#This Row],[Month]],'DB Money Supply'!$A:$D,3)</f>
        <v/>
      </c>
      <c r="C50" s="59">
        <f>(Table30[[#This Row],[Real M2 Money Stock]]-B38)/B38</f>
        <v/>
      </c>
    </row>
    <row r="51">
      <c r="A51" s="22" t="n">
        <v>22920</v>
      </c>
      <c r="B51" s="24">
        <f>VLOOKUP(Table30[[#This Row],[Month]],'DB Money Supply'!$A:$D,3)</f>
        <v/>
      </c>
      <c r="C51" s="59">
        <f>(Table30[[#This Row],[Real M2 Money Stock]]-B39)/B39</f>
        <v/>
      </c>
    </row>
    <row r="52">
      <c r="A52" s="22" t="n">
        <v>22951</v>
      </c>
      <c r="B52" s="24">
        <f>VLOOKUP(Table30[[#This Row],[Month]],'DB Money Supply'!$A:$D,3)</f>
        <v/>
      </c>
      <c r="C52" s="59">
        <f>(Table30[[#This Row],[Real M2 Money Stock]]-B40)/B40</f>
        <v/>
      </c>
    </row>
    <row r="53">
      <c r="A53" s="22" t="n">
        <v>22981</v>
      </c>
      <c r="B53" s="24">
        <f>VLOOKUP(Table30[[#This Row],[Month]],'DB Money Supply'!$A:$D,3)</f>
        <v/>
      </c>
      <c r="C53" s="59">
        <f>(Table30[[#This Row],[Real M2 Money Stock]]-B41)/B41</f>
        <v/>
      </c>
    </row>
    <row r="54">
      <c r="A54" s="22" t="n">
        <v>23012</v>
      </c>
      <c r="B54" s="24">
        <f>VLOOKUP(Table30[[#This Row],[Month]],'DB Money Supply'!$A:$D,3)</f>
        <v/>
      </c>
      <c r="C54" s="59">
        <f>(Table30[[#This Row],[Real M2 Money Stock]]-B42)/B42</f>
        <v/>
      </c>
    </row>
    <row r="55">
      <c r="A55" s="22" t="n">
        <v>23043</v>
      </c>
      <c r="B55" s="24">
        <f>VLOOKUP(Table30[[#This Row],[Month]],'DB Money Supply'!$A:$D,3)</f>
        <v/>
      </c>
      <c r="C55" s="59">
        <f>(Table30[[#This Row],[Real M2 Money Stock]]-B43)/B43</f>
        <v/>
      </c>
    </row>
    <row r="56">
      <c r="A56" s="22" t="n">
        <v>23071</v>
      </c>
      <c r="B56" s="24">
        <f>VLOOKUP(Table30[[#This Row],[Month]],'DB Money Supply'!$A:$D,3)</f>
        <v/>
      </c>
      <c r="C56" s="59">
        <f>(Table30[[#This Row],[Real M2 Money Stock]]-B44)/B44</f>
        <v/>
      </c>
    </row>
    <row r="57">
      <c r="A57" s="22" t="n">
        <v>23102</v>
      </c>
      <c r="B57" s="24">
        <f>VLOOKUP(Table30[[#This Row],[Month]],'DB Money Supply'!$A:$D,3)</f>
        <v/>
      </c>
      <c r="C57" s="59">
        <f>(Table30[[#This Row],[Real M2 Money Stock]]-B45)/B45</f>
        <v/>
      </c>
    </row>
    <row r="58">
      <c r="A58" s="22" t="n">
        <v>23132</v>
      </c>
      <c r="B58" s="24">
        <f>VLOOKUP(Table30[[#This Row],[Month]],'DB Money Supply'!$A:$D,3)</f>
        <v/>
      </c>
      <c r="C58" s="59">
        <f>(Table30[[#This Row],[Real M2 Money Stock]]-B46)/B46</f>
        <v/>
      </c>
    </row>
    <row r="59">
      <c r="A59" s="22" t="n">
        <v>23163</v>
      </c>
      <c r="B59" s="24">
        <f>VLOOKUP(Table30[[#This Row],[Month]],'DB Money Supply'!$A:$D,3)</f>
        <v/>
      </c>
      <c r="C59" s="59">
        <f>(Table30[[#This Row],[Real M2 Money Stock]]-B47)/B47</f>
        <v/>
      </c>
    </row>
    <row r="60">
      <c r="A60" s="22" t="n">
        <v>23193</v>
      </c>
      <c r="B60" s="24">
        <f>VLOOKUP(Table30[[#This Row],[Month]],'DB Money Supply'!$A:$D,3)</f>
        <v/>
      </c>
      <c r="C60" s="59">
        <f>(Table30[[#This Row],[Real M2 Money Stock]]-B48)/B48</f>
        <v/>
      </c>
    </row>
    <row r="61">
      <c r="A61" s="22" t="n">
        <v>23224</v>
      </c>
      <c r="B61" s="24">
        <f>VLOOKUP(Table30[[#This Row],[Month]],'DB Money Supply'!$A:$D,3)</f>
        <v/>
      </c>
      <c r="C61" s="59">
        <f>(Table30[[#This Row],[Real M2 Money Stock]]-B49)/B49</f>
        <v/>
      </c>
    </row>
    <row r="62">
      <c r="A62" s="22" t="n">
        <v>23255</v>
      </c>
      <c r="B62" s="24">
        <f>VLOOKUP(Table30[[#This Row],[Month]],'DB Money Supply'!$A:$D,3)</f>
        <v/>
      </c>
      <c r="C62" s="59">
        <f>(Table30[[#This Row],[Real M2 Money Stock]]-B50)/B50</f>
        <v/>
      </c>
    </row>
    <row r="63">
      <c r="A63" s="22" t="n">
        <v>23285</v>
      </c>
      <c r="B63" s="24">
        <f>VLOOKUP(Table30[[#This Row],[Month]],'DB Money Supply'!$A:$D,3)</f>
        <v/>
      </c>
      <c r="C63" s="59">
        <f>(Table30[[#This Row],[Real M2 Money Stock]]-B51)/B51</f>
        <v/>
      </c>
    </row>
    <row r="64">
      <c r="A64" s="22" t="n">
        <v>23316</v>
      </c>
      <c r="B64" s="24">
        <f>VLOOKUP(Table30[[#This Row],[Month]],'DB Money Supply'!$A:$D,3)</f>
        <v/>
      </c>
      <c r="C64" s="59">
        <f>(Table30[[#This Row],[Real M2 Money Stock]]-B52)/B52</f>
        <v/>
      </c>
    </row>
    <row r="65">
      <c r="A65" s="22" t="n">
        <v>23346</v>
      </c>
      <c r="B65" s="24">
        <f>VLOOKUP(Table30[[#This Row],[Month]],'DB Money Supply'!$A:$D,3)</f>
        <v/>
      </c>
      <c r="C65" s="59">
        <f>(Table30[[#This Row],[Real M2 Money Stock]]-B53)/B53</f>
        <v/>
      </c>
    </row>
    <row r="66">
      <c r="A66" s="22" t="n">
        <v>23377</v>
      </c>
      <c r="B66" s="24">
        <f>VLOOKUP(Table30[[#This Row],[Month]],'DB Money Supply'!$A:$D,3)</f>
        <v/>
      </c>
      <c r="C66" s="59">
        <f>(Table30[[#This Row],[Real M2 Money Stock]]-B54)/B54</f>
        <v/>
      </c>
    </row>
    <row r="67">
      <c r="A67" s="22" t="n">
        <v>23408</v>
      </c>
      <c r="B67" s="24">
        <f>VLOOKUP(Table30[[#This Row],[Month]],'DB Money Supply'!$A:$D,3)</f>
        <v/>
      </c>
      <c r="C67" s="59">
        <f>(Table30[[#This Row],[Real M2 Money Stock]]-B55)/B55</f>
        <v/>
      </c>
    </row>
    <row r="68">
      <c r="A68" s="22" t="n">
        <v>23437</v>
      </c>
      <c r="B68" s="24">
        <f>VLOOKUP(Table30[[#This Row],[Month]],'DB Money Supply'!$A:$D,3)</f>
        <v/>
      </c>
      <c r="C68" s="59">
        <f>(Table30[[#This Row],[Real M2 Money Stock]]-B56)/B56</f>
        <v/>
      </c>
    </row>
    <row r="69">
      <c r="A69" s="22" t="n">
        <v>23468</v>
      </c>
      <c r="B69" s="24">
        <f>VLOOKUP(Table30[[#This Row],[Month]],'DB Money Supply'!$A:$D,3)</f>
        <v/>
      </c>
      <c r="C69" s="59">
        <f>(Table30[[#This Row],[Real M2 Money Stock]]-B57)/B57</f>
        <v/>
      </c>
    </row>
    <row r="70">
      <c r="A70" s="22" t="n">
        <v>23498</v>
      </c>
      <c r="B70" s="24">
        <f>VLOOKUP(Table30[[#This Row],[Month]],'DB Money Supply'!$A:$D,3)</f>
        <v/>
      </c>
      <c r="C70" s="59">
        <f>(Table30[[#This Row],[Real M2 Money Stock]]-B58)/B58</f>
        <v/>
      </c>
    </row>
    <row r="71">
      <c r="A71" s="22" t="n">
        <v>23529</v>
      </c>
      <c r="B71" s="24">
        <f>VLOOKUP(Table30[[#This Row],[Month]],'DB Money Supply'!$A:$D,3)</f>
        <v/>
      </c>
      <c r="C71" s="59">
        <f>(Table30[[#This Row],[Real M2 Money Stock]]-B59)/B59</f>
        <v/>
      </c>
    </row>
    <row r="72">
      <c r="A72" s="22" t="n">
        <v>23559</v>
      </c>
      <c r="B72" s="24">
        <f>VLOOKUP(Table30[[#This Row],[Month]],'DB Money Supply'!$A:$D,3)</f>
        <v/>
      </c>
      <c r="C72" s="59">
        <f>(Table30[[#This Row],[Real M2 Money Stock]]-B60)/B60</f>
        <v/>
      </c>
    </row>
    <row r="73">
      <c r="A73" s="22" t="n">
        <v>23590</v>
      </c>
      <c r="B73" s="24">
        <f>VLOOKUP(Table30[[#This Row],[Month]],'DB Money Supply'!$A:$D,3)</f>
        <v/>
      </c>
      <c r="C73" s="59">
        <f>(Table30[[#This Row],[Real M2 Money Stock]]-B61)/B61</f>
        <v/>
      </c>
    </row>
    <row r="74">
      <c r="A74" s="22" t="n">
        <v>23621</v>
      </c>
      <c r="B74" s="24">
        <f>VLOOKUP(Table30[[#This Row],[Month]],'DB Money Supply'!$A:$D,3)</f>
        <v/>
      </c>
      <c r="C74" s="59">
        <f>(Table30[[#This Row],[Real M2 Money Stock]]-B62)/B62</f>
        <v/>
      </c>
    </row>
    <row r="75">
      <c r="A75" s="22" t="n">
        <v>23651</v>
      </c>
      <c r="B75" s="24">
        <f>VLOOKUP(Table30[[#This Row],[Month]],'DB Money Supply'!$A:$D,3)</f>
        <v/>
      </c>
      <c r="C75" s="59">
        <f>(Table30[[#This Row],[Real M2 Money Stock]]-B63)/B63</f>
        <v/>
      </c>
    </row>
    <row r="76">
      <c r="A76" s="22" t="n">
        <v>23682</v>
      </c>
      <c r="B76" s="24">
        <f>VLOOKUP(Table30[[#This Row],[Month]],'DB Money Supply'!$A:$D,3)</f>
        <v/>
      </c>
      <c r="C76" s="59">
        <f>(Table30[[#This Row],[Real M2 Money Stock]]-B64)/B64</f>
        <v/>
      </c>
    </row>
    <row r="77">
      <c r="A77" s="22" t="n">
        <v>23712</v>
      </c>
      <c r="B77" s="24">
        <f>VLOOKUP(Table30[[#This Row],[Month]],'DB Money Supply'!$A:$D,3)</f>
        <v/>
      </c>
      <c r="C77" s="59">
        <f>(Table30[[#This Row],[Real M2 Money Stock]]-B65)/B65</f>
        <v/>
      </c>
    </row>
    <row r="78">
      <c r="A78" s="22" t="n">
        <v>23743</v>
      </c>
      <c r="B78" s="24">
        <f>VLOOKUP(Table30[[#This Row],[Month]],'DB Money Supply'!$A:$D,3)</f>
        <v/>
      </c>
      <c r="C78" s="59">
        <f>(Table30[[#This Row],[Real M2 Money Stock]]-B66)/B66</f>
        <v/>
      </c>
    </row>
    <row r="79">
      <c r="A79" s="22" t="n">
        <v>23774</v>
      </c>
      <c r="B79" s="24">
        <f>VLOOKUP(Table30[[#This Row],[Month]],'DB Money Supply'!$A:$D,3)</f>
        <v/>
      </c>
      <c r="C79" s="59">
        <f>(Table30[[#This Row],[Real M2 Money Stock]]-B67)/B67</f>
        <v/>
      </c>
    </row>
    <row r="80">
      <c r="A80" s="22" t="n">
        <v>23802</v>
      </c>
      <c r="B80" s="24">
        <f>VLOOKUP(Table30[[#This Row],[Month]],'DB Money Supply'!$A:$D,3)</f>
        <v/>
      </c>
      <c r="C80" s="59">
        <f>(Table30[[#This Row],[Real M2 Money Stock]]-B68)/B68</f>
        <v/>
      </c>
    </row>
    <row r="81">
      <c r="A81" s="22" t="n">
        <v>23833</v>
      </c>
      <c r="B81" s="24">
        <f>VLOOKUP(Table30[[#This Row],[Month]],'DB Money Supply'!$A:$D,3)</f>
        <v/>
      </c>
      <c r="C81" s="59">
        <f>(Table30[[#This Row],[Real M2 Money Stock]]-B69)/B69</f>
        <v/>
      </c>
    </row>
    <row r="82">
      <c r="A82" s="22" t="n">
        <v>23863</v>
      </c>
      <c r="B82" s="24">
        <f>VLOOKUP(Table30[[#This Row],[Month]],'DB Money Supply'!$A:$D,3)</f>
        <v/>
      </c>
      <c r="C82" s="59">
        <f>(Table30[[#This Row],[Real M2 Money Stock]]-B70)/B70</f>
        <v/>
      </c>
    </row>
    <row r="83">
      <c r="A83" s="22" t="n">
        <v>23894</v>
      </c>
      <c r="B83" s="24">
        <f>VLOOKUP(Table30[[#This Row],[Month]],'DB Money Supply'!$A:$D,3)</f>
        <v/>
      </c>
      <c r="C83" s="59">
        <f>(Table30[[#This Row],[Real M2 Money Stock]]-B71)/B71</f>
        <v/>
      </c>
    </row>
    <row r="84">
      <c r="A84" s="22" t="n">
        <v>23924</v>
      </c>
      <c r="B84" s="24">
        <f>VLOOKUP(Table30[[#This Row],[Month]],'DB Money Supply'!$A:$D,3)</f>
        <v/>
      </c>
      <c r="C84" s="59">
        <f>(Table30[[#This Row],[Real M2 Money Stock]]-B72)/B72</f>
        <v/>
      </c>
    </row>
    <row r="85">
      <c r="A85" s="22" t="n">
        <v>23955</v>
      </c>
      <c r="B85" s="24">
        <f>VLOOKUP(Table30[[#This Row],[Month]],'DB Money Supply'!$A:$D,3)</f>
        <v/>
      </c>
      <c r="C85" s="59">
        <f>(Table30[[#This Row],[Real M2 Money Stock]]-B73)/B73</f>
        <v/>
      </c>
    </row>
    <row r="86">
      <c r="A86" s="22" t="n">
        <v>23986</v>
      </c>
      <c r="B86" s="24">
        <f>VLOOKUP(Table30[[#This Row],[Month]],'DB Money Supply'!$A:$D,3)</f>
        <v/>
      </c>
      <c r="C86" s="59">
        <f>(Table30[[#This Row],[Real M2 Money Stock]]-B74)/B74</f>
        <v/>
      </c>
    </row>
    <row r="87">
      <c r="A87" s="22" t="n">
        <v>24016</v>
      </c>
      <c r="B87" s="24">
        <f>VLOOKUP(Table30[[#This Row],[Month]],'DB Money Supply'!$A:$D,3)</f>
        <v/>
      </c>
      <c r="C87" s="59">
        <f>(Table30[[#This Row],[Real M2 Money Stock]]-B75)/B75</f>
        <v/>
      </c>
    </row>
    <row r="88">
      <c r="A88" s="22" t="n">
        <v>24047</v>
      </c>
      <c r="B88" s="24">
        <f>VLOOKUP(Table30[[#This Row],[Month]],'DB Money Supply'!$A:$D,3)</f>
        <v/>
      </c>
      <c r="C88" s="59">
        <f>(Table30[[#This Row],[Real M2 Money Stock]]-B76)/B76</f>
        <v/>
      </c>
    </row>
    <row r="89">
      <c r="A89" s="22" t="n">
        <v>24077</v>
      </c>
      <c r="B89" s="24">
        <f>VLOOKUP(Table30[[#This Row],[Month]],'DB Money Supply'!$A:$D,3)</f>
        <v/>
      </c>
      <c r="C89" s="59">
        <f>(Table30[[#This Row],[Real M2 Money Stock]]-B77)/B77</f>
        <v/>
      </c>
    </row>
    <row r="90">
      <c r="A90" s="22" t="n">
        <v>24108</v>
      </c>
      <c r="B90" s="24">
        <f>VLOOKUP(Table30[[#This Row],[Month]],'DB Money Supply'!$A:$D,3)</f>
        <v/>
      </c>
      <c r="C90" s="59">
        <f>(Table30[[#This Row],[Real M2 Money Stock]]-B78)/B78</f>
        <v/>
      </c>
    </row>
    <row r="91">
      <c r="A91" s="22" t="n">
        <v>24139</v>
      </c>
      <c r="B91" s="24">
        <f>VLOOKUP(Table30[[#This Row],[Month]],'DB Money Supply'!$A:$D,3)</f>
        <v/>
      </c>
      <c r="C91" s="59">
        <f>(Table30[[#This Row],[Real M2 Money Stock]]-B79)/B79</f>
        <v/>
      </c>
    </row>
    <row r="92">
      <c r="A92" s="22" t="n">
        <v>24167</v>
      </c>
      <c r="B92" s="24">
        <f>VLOOKUP(Table30[[#This Row],[Month]],'DB Money Supply'!$A:$D,3)</f>
        <v/>
      </c>
      <c r="C92" s="59">
        <f>(Table30[[#This Row],[Real M2 Money Stock]]-B80)/B80</f>
        <v/>
      </c>
    </row>
    <row r="93">
      <c r="A93" s="22" t="n">
        <v>24198</v>
      </c>
      <c r="B93" s="24">
        <f>VLOOKUP(Table30[[#This Row],[Month]],'DB Money Supply'!$A:$D,3)</f>
        <v/>
      </c>
      <c r="C93" s="59">
        <f>(Table30[[#This Row],[Real M2 Money Stock]]-B81)/B81</f>
        <v/>
      </c>
    </row>
    <row r="94">
      <c r="A94" s="22" t="n">
        <v>24228</v>
      </c>
      <c r="B94" s="24">
        <f>VLOOKUP(Table30[[#This Row],[Month]],'DB Money Supply'!$A:$D,3)</f>
        <v/>
      </c>
      <c r="C94" s="59">
        <f>(Table30[[#This Row],[Real M2 Money Stock]]-B82)/B82</f>
        <v/>
      </c>
    </row>
    <row r="95">
      <c r="A95" s="22" t="n">
        <v>24259</v>
      </c>
      <c r="B95" s="24">
        <f>VLOOKUP(Table30[[#This Row],[Month]],'DB Money Supply'!$A:$D,3)</f>
        <v/>
      </c>
      <c r="C95" s="59">
        <f>(Table30[[#This Row],[Real M2 Money Stock]]-B83)/B83</f>
        <v/>
      </c>
    </row>
    <row r="96">
      <c r="A96" s="22" t="n">
        <v>24289</v>
      </c>
      <c r="B96" s="24">
        <f>VLOOKUP(Table30[[#This Row],[Month]],'DB Money Supply'!$A:$D,3)</f>
        <v/>
      </c>
      <c r="C96" s="59">
        <f>(Table30[[#This Row],[Real M2 Money Stock]]-B84)/B84</f>
        <v/>
      </c>
    </row>
    <row r="97">
      <c r="A97" s="22" t="n">
        <v>24320</v>
      </c>
      <c r="B97" s="24">
        <f>VLOOKUP(Table30[[#This Row],[Month]],'DB Money Supply'!$A:$D,3)</f>
        <v/>
      </c>
      <c r="C97" s="59">
        <f>(Table30[[#This Row],[Real M2 Money Stock]]-B85)/B85</f>
        <v/>
      </c>
    </row>
    <row r="98">
      <c r="A98" s="22" t="n">
        <v>24351</v>
      </c>
      <c r="B98" s="24">
        <f>VLOOKUP(Table30[[#This Row],[Month]],'DB Money Supply'!$A:$D,3)</f>
        <v/>
      </c>
      <c r="C98" s="59">
        <f>(Table30[[#This Row],[Real M2 Money Stock]]-B86)/B86</f>
        <v/>
      </c>
    </row>
    <row r="99">
      <c r="A99" s="22" t="n">
        <v>24381</v>
      </c>
      <c r="B99" s="24">
        <f>VLOOKUP(Table30[[#This Row],[Month]],'DB Money Supply'!$A:$D,3)</f>
        <v/>
      </c>
      <c r="C99" s="59">
        <f>(Table30[[#This Row],[Real M2 Money Stock]]-B87)/B87</f>
        <v/>
      </c>
    </row>
    <row r="100">
      <c r="A100" s="22" t="n">
        <v>24412</v>
      </c>
      <c r="B100" s="24">
        <f>VLOOKUP(Table30[[#This Row],[Month]],'DB Money Supply'!$A:$D,3)</f>
        <v/>
      </c>
      <c r="C100" s="59">
        <f>(Table30[[#This Row],[Real M2 Money Stock]]-B88)/B88</f>
        <v/>
      </c>
    </row>
    <row r="101">
      <c r="A101" s="22" t="n">
        <v>24442</v>
      </c>
      <c r="B101" s="24">
        <f>VLOOKUP(Table30[[#This Row],[Month]],'DB Money Supply'!$A:$D,3)</f>
        <v/>
      </c>
      <c r="C101" s="59">
        <f>(Table30[[#This Row],[Real M2 Money Stock]]-B89)/B89</f>
        <v/>
      </c>
    </row>
    <row r="102">
      <c r="A102" s="22" t="n">
        <v>24473</v>
      </c>
      <c r="B102" s="24">
        <f>VLOOKUP(Table30[[#This Row],[Month]],'DB Money Supply'!$A:$D,3)</f>
        <v/>
      </c>
      <c r="C102" s="59">
        <f>(Table30[[#This Row],[Real M2 Money Stock]]-B90)/B90</f>
        <v/>
      </c>
    </row>
    <row r="103">
      <c r="A103" s="22" t="n">
        <v>24504</v>
      </c>
      <c r="B103" s="24">
        <f>VLOOKUP(Table30[[#This Row],[Month]],'DB Money Supply'!$A:$D,3)</f>
        <v/>
      </c>
      <c r="C103" s="59">
        <f>(Table30[[#This Row],[Real M2 Money Stock]]-B91)/B91</f>
        <v/>
      </c>
    </row>
    <row r="104">
      <c r="A104" s="22" t="n">
        <v>24532</v>
      </c>
      <c r="B104" s="24">
        <f>VLOOKUP(Table30[[#This Row],[Month]],'DB Money Supply'!$A:$D,3)</f>
        <v/>
      </c>
      <c r="C104" s="59">
        <f>(Table30[[#This Row],[Real M2 Money Stock]]-B92)/B92</f>
        <v/>
      </c>
    </row>
    <row r="105">
      <c r="A105" s="22" t="n">
        <v>24563</v>
      </c>
      <c r="B105" s="24">
        <f>VLOOKUP(Table30[[#This Row],[Month]],'DB Money Supply'!$A:$D,3)</f>
        <v/>
      </c>
      <c r="C105" s="59">
        <f>(Table30[[#This Row],[Real M2 Money Stock]]-B93)/B93</f>
        <v/>
      </c>
    </row>
    <row r="106">
      <c r="A106" s="22" t="n">
        <v>24593</v>
      </c>
      <c r="B106" s="24">
        <f>VLOOKUP(Table30[[#This Row],[Month]],'DB Money Supply'!$A:$D,3)</f>
        <v/>
      </c>
      <c r="C106" s="59">
        <f>(Table30[[#This Row],[Real M2 Money Stock]]-B94)/B94</f>
        <v/>
      </c>
    </row>
    <row r="107">
      <c r="A107" s="22" t="n">
        <v>24624</v>
      </c>
      <c r="B107" s="24">
        <f>VLOOKUP(Table30[[#This Row],[Month]],'DB Money Supply'!$A:$D,3)</f>
        <v/>
      </c>
      <c r="C107" s="59">
        <f>(Table30[[#This Row],[Real M2 Money Stock]]-B95)/B95</f>
        <v/>
      </c>
    </row>
    <row r="108">
      <c r="A108" s="22" t="n">
        <v>24654</v>
      </c>
      <c r="B108" s="24">
        <f>VLOOKUP(Table30[[#This Row],[Month]],'DB Money Supply'!$A:$D,3)</f>
        <v/>
      </c>
      <c r="C108" s="59">
        <f>(Table30[[#This Row],[Real M2 Money Stock]]-B96)/B96</f>
        <v/>
      </c>
    </row>
    <row r="109">
      <c r="A109" s="22" t="n">
        <v>24685</v>
      </c>
      <c r="B109" s="24">
        <f>VLOOKUP(Table30[[#This Row],[Month]],'DB Money Supply'!$A:$D,3)</f>
        <v/>
      </c>
      <c r="C109" s="59">
        <f>(Table30[[#This Row],[Real M2 Money Stock]]-B97)/B97</f>
        <v/>
      </c>
    </row>
    <row r="110">
      <c r="A110" s="22" t="n">
        <v>24716</v>
      </c>
      <c r="B110" s="24">
        <f>VLOOKUP(Table30[[#This Row],[Month]],'DB Money Supply'!$A:$D,3)</f>
        <v/>
      </c>
      <c r="C110" s="59">
        <f>(Table30[[#This Row],[Real M2 Money Stock]]-B98)/B98</f>
        <v/>
      </c>
    </row>
    <row r="111">
      <c r="A111" s="22" t="n">
        <v>24746</v>
      </c>
      <c r="B111" s="24">
        <f>VLOOKUP(Table30[[#This Row],[Month]],'DB Money Supply'!$A:$D,3)</f>
        <v/>
      </c>
      <c r="C111" s="59">
        <f>(Table30[[#This Row],[Real M2 Money Stock]]-B99)/B99</f>
        <v/>
      </c>
    </row>
    <row r="112">
      <c r="A112" s="22" t="n">
        <v>24777</v>
      </c>
      <c r="B112" s="24">
        <f>VLOOKUP(Table30[[#This Row],[Month]],'DB Money Supply'!$A:$D,3)</f>
        <v/>
      </c>
      <c r="C112" s="59">
        <f>(Table30[[#This Row],[Real M2 Money Stock]]-B100)/B100</f>
        <v/>
      </c>
    </row>
    <row r="113">
      <c r="A113" s="22" t="n">
        <v>24807</v>
      </c>
      <c r="B113" s="24">
        <f>VLOOKUP(Table30[[#This Row],[Month]],'DB Money Supply'!$A:$D,3)</f>
        <v/>
      </c>
      <c r="C113" s="59">
        <f>(Table30[[#This Row],[Real M2 Money Stock]]-B101)/B101</f>
        <v/>
      </c>
    </row>
    <row r="114">
      <c r="A114" s="22" t="n">
        <v>24838</v>
      </c>
      <c r="B114" s="24">
        <f>VLOOKUP(Table30[[#This Row],[Month]],'DB Money Supply'!$A:$D,3)</f>
        <v/>
      </c>
      <c r="C114" s="59">
        <f>(Table30[[#This Row],[Real M2 Money Stock]]-B102)/B102</f>
        <v/>
      </c>
    </row>
    <row r="115">
      <c r="A115" s="22" t="n">
        <v>24869</v>
      </c>
      <c r="B115" s="24">
        <f>VLOOKUP(Table30[[#This Row],[Month]],'DB Money Supply'!$A:$D,3)</f>
        <v/>
      </c>
      <c r="C115" s="59">
        <f>(Table30[[#This Row],[Real M2 Money Stock]]-B103)/B103</f>
        <v/>
      </c>
    </row>
    <row r="116">
      <c r="A116" s="22" t="n">
        <v>24898</v>
      </c>
      <c r="B116" s="24">
        <f>VLOOKUP(Table30[[#This Row],[Month]],'DB Money Supply'!$A:$D,3)</f>
        <v/>
      </c>
      <c r="C116" s="59">
        <f>(Table30[[#This Row],[Real M2 Money Stock]]-B104)/B104</f>
        <v/>
      </c>
    </row>
    <row r="117">
      <c r="A117" s="22" t="n">
        <v>24929</v>
      </c>
      <c r="B117" s="24">
        <f>VLOOKUP(Table30[[#This Row],[Month]],'DB Money Supply'!$A:$D,3)</f>
        <v/>
      </c>
      <c r="C117" s="59">
        <f>(Table30[[#This Row],[Real M2 Money Stock]]-B105)/B105</f>
        <v/>
      </c>
    </row>
    <row r="118">
      <c r="A118" s="22" t="n">
        <v>24959</v>
      </c>
      <c r="B118" s="24">
        <f>VLOOKUP(Table30[[#This Row],[Month]],'DB Money Supply'!$A:$D,3)</f>
        <v/>
      </c>
      <c r="C118" s="59">
        <f>(Table30[[#This Row],[Real M2 Money Stock]]-B106)/B106</f>
        <v/>
      </c>
    </row>
    <row r="119">
      <c r="A119" s="22" t="n">
        <v>24990</v>
      </c>
      <c r="B119" s="24">
        <f>VLOOKUP(Table30[[#This Row],[Month]],'DB Money Supply'!$A:$D,3)</f>
        <v/>
      </c>
      <c r="C119" s="59">
        <f>(Table30[[#This Row],[Real M2 Money Stock]]-B107)/B107</f>
        <v/>
      </c>
    </row>
    <row r="120">
      <c r="A120" s="22" t="n">
        <v>25020</v>
      </c>
      <c r="B120" s="24">
        <f>VLOOKUP(Table30[[#This Row],[Month]],'DB Money Supply'!$A:$D,3)</f>
        <v/>
      </c>
      <c r="C120" s="59">
        <f>(Table30[[#This Row],[Real M2 Money Stock]]-B108)/B108</f>
        <v/>
      </c>
    </row>
    <row r="121">
      <c r="A121" s="22" t="n">
        <v>25051</v>
      </c>
      <c r="B121" s="24">
        <f>VLOOKUP(Table30[[#This Row],[Month]],'DB Money Supply'!$A:$D,3)</f>
        <v/>
      </c>
      <c r="C121" s="59">
        <f>(Table30[[#This Row],[Real M2 Money Stock]]-B109)/B109</f>
        <v/>
      </c>
    </row>
    <row r="122">
      <c r="A122" s="22" t="n">
        <v>25082</v>
      </c>
      <c r="B122" s="24">
        <f>VLOOKUP(Table30[[#This Row],[Month]],'DB Money Supply'!$A:$D,3)</f>
        <v/>
      </c>
      <c r="C122" s="59">
        <f>(Table30[[#This Row],[Real M2 Money Stock]]-B110)/B110</f>
        <v/>
      </c>
    </row>
    <row r="123">
      <c r="A123" s="22" t="n">
        <v>25112</v>
      </c>
      <c r="B123" s="24">
        <f>VLOOKUP(Table30[[#This Row],[Month]],'DB Money Supply'!$A:$D,3)</f>
        <v/>
      </c>
      <c r="C123" s="59">
        <f>(Table30[[#This Row],[Real M2 Money Stock]]-B111)/B111</f>
        <v/>
      </c>
    </row>
    <row r="124">
      <c r="A124" s="22" t="n">
        <v>25143</v>
      </c>
      <c r="B124" s="24">
        <f>VLOOKUP(Table30[[#This Row],[Month]],'DB Money Supply'!$A:$D,3)</f>
        <v/>
      </c>
      <c r="C124" s="59">
        <f>(Table30[[#This Row],[Real M2 Money Stock]]-B112)/B112</f>
        <v/>
      </c>
    </row>
    <row r="125">
      <c r="A125" s="22" t="n">
        <v>25173</v>
      </c>
      <c r="B125" s="24">
        <f>VLOOKUP(Table30[[#This Row],[Month]],'DB Money Supply'!$A:$D,3)</f>
        <v/>
      </c>
      <c r="C125" s="59">
        <f>(Table30[[#This Row],[Real M2 Money Stock]]-B113)/B113</f>
        <v/>
      </c>
    </row>
    <row r="126">
      <c r="A126" s="22" t="n">
        <v>25204</v>
      </c>
      <c r="B126" s="24">
        <f>VLOOKUP(Table30[[#This Row],[Month]],'DB Money Supply'!$A:$D,3)</f>
        <v/>
      </c>
      <c r="C126" s="59">
        <f>(Table30[[#This Row],[Real M2 Money Stock]]-B114)/B114</f>
        <v/>
      </c>
    </row>
    <row r="127">
      <c r="A127" s="22" t="n">
        <v>25235</v>
      </c>
      <c r="B127" s="24">
        <f>VLOOKUP(Table30[[#This Row],[Month]],'DB Money Supply'!$A:$D,3)</f>
        <v/>
      </c>
      <c r="C127" s="59">
        <f>(Table30[[#This Row],[Real M2 Money Stock]]-B115)/B115</f>
        <v/>
      </c>
    </row>
    <row r="128">
      <c r="A128" s="22" t="n">
        <v>25263</v>
      </c>
      <c r="B128" s="24">
        <f>VLOOKUP(Table30[[#This Row],[Month]],'DB Money Supply'!$A:$D,3)</f>
        <v/>
      </c>
      <c r="C128" s="59">
        <f>(Table30[[#This Row],[Real M2 Money Stock]]-B116)/B116</f>
        <v/>
      </c>
    </row>
    <row r="129">
      <c r="A129" s="22" t="n">
        <v>25294</v>
      </c>
      <c r="B129" s="24">
        <f>VLOOKUP(Table30[[#This Row],[Month]],'DB Money Supply'!$A:$D,3)</f>
        <v/>
      </c>
      <c r="C129" s="59">
        <f>(Table30[[#This Row],[Real M2 Money Stock]]-B117)/B117</f>
        <v/>
      </c>
    </row>
    <row r="130">
      <c r="A130" s="22" t="n">
        <v>25324</v>
      </c>
      <c r="B130" s="24">
        <f>VLOOKUP(Table30[[#This Row],[Month]],'DB Money Supply'!$A:$D,3)</f>
        <v/>
      </c>
      <c r="C130" s="59">
        <f>(Table30[[#This Row],[Real M2 Money Stock]]-B118)/B118</f>
        <v/>
      </c>
    </row>
    <row r="131">
      <c r="A131" s="22" t="n">
        <v>25355</v>
      </c>
      <c r="B131" s="24">
        <f>VLOOKUP(Table30[[#This Row],[Month]],'DB Money Supply'!$A:$D,3)</f>
        <v/>
      </c>
      <c r="C131" s="59">
        <f>(Table30[[#This Row],[Real M2 Money Stock]]-B119)/B119</f>
        <v/>
      </c>
    </row>
    <row r="132">
      <c r="A132" s="22" t="n">
        <v>25385</v>
      </c>
      <c r="B132" s="24">
        <f>VLOOKUP(Table30[[#This Row],[Month]],'DB Money Supply'!$A:$D,3)</f>
        <v/>
      </c>
      <c r="C132" s="59">
        <f>(Table30[[#This Row],[Real M2 Money Stock]]-B120)/B120</f>
        <v/>
      </c>
    </row>
    <row r="133">
      <c r="A133" s="22" t="n">
        <v>25416</v>
      </c>
      <c r="B133" s="24">
        <f>VLOOKUP(Table30[[#This Row],[Month]],'DB Money Supply'!$A:$D,3)</f>
        <v/>
      </c>
      <c r="C133" s="59">
        <f>(Table30[[#This Row],[Real M2 Money Stock]]-B121)/B121</f>
        <v/>
      </c>
    </row>
    <row r="134">
      <c r="A134" s="22" t="n">
        <v>25447</v>
      </c>
      <c r="B134" s="24">
        <f>VLOOKUP(Table30[[#This Row],[Month]],'DB Money Supply'!$A:$D,3)</f>
        <v/>
      </c>
      <c r="C134" s="59">
        <f>(Table30[[#This Row],[Real M2 Money Stock]]-B122)/B122</f>
        <v/>
      </c>
    </row>
    <row r="135">
      <c r="A135" s="22" t="n">
        <v>25477</v>
      </c>
      <c r="B135" s="24">
        <f>VLOOKUP(Table30[[#This Row],[Month]],'DB Money Supply'!$A:$D,3)</f>
        <v/>
      </c>
      <c r="C135" s="59">
        <f>(Table30[[#This Row],[Real M2 Money Stock]]-B123)/B123</f>
        <v/>
      </c>
    </row>
    <row r="136">
      <c r="A136" s="22" t="n">
        <v>25508</v>
      </c>
      <c r="B136" s="24">
        <f>VLOOKUP(Table30[[#This Row],[Month]],'DB Money Supply'!$A:$D,3)</f>
        <v/>
      </c>
      <c r="C136" s="59">
        <f>(Table30[[#This Row],[Real M2 Money Stock]]-B124)/B124</f>
        <v/>
      </c>
    </row>
    <row r="137">
      <c r="A137" s="22" t="n">
        <v>25538</v>
      </c>
      <c r="B137" s="24">
        <f>VLOOKUP(Table30[[#This Row],[Month]],'DB Money Supply'!$A:$D,3)</f>
        <v/>
      </c>
      <c r="C137" s="59">
        <f>(Table30[[#This Row],[Real M2 Money Stock]]-B125)/B125</f>
        <v/>
      </c>
    </row>
    <row r="138">
      <c r="A138" s="22" t="n">
        <v>25569</v>
      </c>
      <c r="B138" s="24">
        <f>VLOOKUP(Table30[[#This Row],[Month]],'DB Money Supply'!$A:$D,3)</f>
        <v/>
      </c>
      <c r="C138" s="59">
        <f>(Table30[[#This Row],[Real M2 Money Stock]]-B126)/B126</f>
        <v/>
      </c>
    </row>
    <row r="139">
      <c r="A139" s="22" t="n">
        <v>25600</v>
      </c>
      <c r="B139" s="24">
        <f>VLOOKUP(Table30[[#This Row],[Month]],'DB Money Supply'!$A:$D,3)</f>
        <v/>
      </c>
      <c r="C139" s="59">
        <f>(Table30[[#This Row],[Real M2 Money Stock]]-B127)/B127</f>
        <v/>
      </c>
    </row>
    <row r="140">
      <c r="A140" s="22" t="n">
        <v>25628</v>
      </c>
      <c r="B140" s="24">
        <f>VLOOKUP(Table30[[#This Row],[Month]],'DB Money Supply'!$A:$D,3)</f>
        <v/>
      </c>
      <c r="C140" s="59">
        <f>(Table30[[#This Row],[Real M2 Money Stock]]-B128)/B128</f>
        <v/>
      </c>
    </row>
    <row r="141">
      <c r="A141" s="22" t="n">
        <v>25659</v>
      </c>
      <c r="B141" s="24">
        <f>VLOOKUP(Table30[[#This Row],[Month]],'DB Money Supply'!$A:$D,3)</f>
        <v/>
      </c>
      <c r="C141" s="59">
        <f>(Table30[[#This Row],[Real M2 Money Stock]]-B129)/B129</f>
        <v/>
      </c>
    </row>
    <row r="142">
      <c r="A142" s="22" t="n">
        <v>25689</v>
      </c>
      <c r="B142" s="24">
        <f>VLOOKUP(Table30[[#This Row],[Month]],'DB Money Supply'!$A:$D,3)</f>
        <v/>
      </c>
      <c r="C142" s="59">
        <f>(Table30[[#This Row],[Real M2 Money Stock]]-B130)/B130</f>
        <v/>
      </c>
    </row>
    <row r="143">
      <c r="A143" s="22" t="n">
        <v>25720</v>
      </c>
      <c r="B143" s="24">
        <f>VLOOKUP(Table30[[#This Row],[Month]],'DB Money Supply'!$A:$D,3)</f>
        <v/>
      </c>
      <c r="C143" s="59">
        <f>(Table30[[#This Row],[Real M2 Money Stock]]-B131)/B131</f>
        <v/>
      </c>
    </row>
    <row r="144">
      <c r="A144" s="22" t="n">
        <v>25750</v>
      </c>
      <c r="B144" s="24">
        <f>VLOOKUP(Table30[[#This Row],[Month]],'DB Money Supply'!$A:$D,3)</f>
        <v/>
      </c>
      <c r="C144" s="59">
        <f>(Table30[[#This Row],[Real M2 Money Stock]]-B132)/B132</f>
        <v/>
      </c>
    </row>
    <row r="145">
      <c r="A145" s="22" t="n">
        <v>25781</v>
      </c>
      <c r="B145" s="24">
        <f>VLOOKUP(Table30[[#This Row],[Month]],'DB Money Supply'!$A:$D,3)</f>
        <v/>
      </c>
      <c r="C145" s="59">
        <f>(Table30[[#This Row],[Real M2 Money Stock]]-B133)/B133</f>
        <v/>
      </c>
    </row>
    <row r="146">
      <c r="A146" s="22" t="n">
        <v>25812</v>
      </c>
      <c r="B146" s="24">
        <f>VLOOKUP(Table30[[#This Row],[Month]],'DB Money Supply'!$A:$D,3)</f>
        <v/>
      </c>
      <c r="C146" s="59">
        <f>(Table30[[#This Row],[Real M2 Money Stock]]-B134)/B134</f>
        <v/>
      </c>
    </row>
    <row r="147">
      <c r="A147" s="22" t="n">
        <v>25842</v>
      </c>
      <c r="B147" s="24">
        <f>VLOOKUP(Table30[[#This Row],[Month]],'DB Money Supply'!$A:$D,3)</f>
        <v/>
      </c>
      <c r="C147" s="59">
        <f>(Table30[[#This Row],[Real M2 Money Stock]]-B135)/B135</f>
        <v/>
      </c>
    </row>
    <row r="148">
      <c r="A148" s="22" t="n">
        <v>25873</v>
      </c>
      <c r="B148" s="24">
        <f>VLOOKUP(Table30[[#This Row],[Month]],'DB Money Supply'!$A:$D,3)</f>
        <v/>
      </c>
      <c r="C148" s="59">
        <f>(Table30[[#This Row],[Real M2 Money Stock]]-B136)/B136</f>
        <v/>
      </c>
    </row>
    <row r="149">
      <c r="A149" s="22" t="n">
        <v>25903</v>
      </c>
      <c r="B149" s="24">
        <f>VLOOKUP(Table30[[#This Row],[Month]],'DB Money Supply'!$A:$D,3)</f>
        <v/>
      </c>
      <c r="C149" s="59">
        <f>(Table30[[#This Row],[Real M2 Money Stock]]-B137)/B137</f>
        <v/>
      </c>
    </row>
    <row r="150">
      <c r="A150" s="22" t="n">
        <v>25934</v>
      </c>
      <c r="B150" s="24">
        <f>VLOOKUP(Table30[[#This Row],[Month]],'DB Money Supply'!$A:$D,3)</f>
        <v/>
      </c>
      <c r="C150" s="59">
        <f>(Table30[[#This Row],[Real M2 Money Stock]]-B138)/B138</f>
        <v/>
      </c>
    </row>
    <row r="151">
      <c r="A151" s="22" t="n">
        <v>25965</v>
      </c>
      <c r="B151" s="24">
        <f>VLOOKUP(Table30[[#This Row],[Month]],'DB Money Supply'!$A:$D,3)</f>
        <v/>
      </c>
      <c r="C151" s="59">
        <f>(Table30[[#This Row],[Real M2 Money Stock]]-B139)/B139</f>
        <v/>
      </c>
    </row>
    <row r="152">
      <c r="A152" s="22" t="n">
        <v>25993</v>
      </c>
      <c r="B152" s="24">
        <f>VLOOKUP(Table30[[#This Row],[Month]],'DB Money Supply'!$A:$D,3)</f>
        <v/>
      </c>
      <c r="C152" s="59">
        <f>(Table30[[#This Row],[Real M2 Money Stock]]-B140)/B140</f>
        <v/>
      </c>
    </row>
    <row r="153">
      <c r="A153" s="22" t="n">
        <v>26024</v>
      </c>
      <c r="B153" s="24">
        <f>VLOOKUP(Table30[[#This Row],[Month]],'DB Money Supply'!$A:$D,3)</f>
        <v/>
      </c>
      <c r="C153" s="59">
        <f>(Table30[[#This Row],[Real M2 Money Stock]]-B141)/B141</f>
        <v/>
      </c>
    </row>
    <row r="154">
      <c r="A154" s="22" t="n">
        <v>26054</v>
      </c>
      <c r="B154" s="24">
        <f>VLOOKUP(Table30[[#This Row],[Month]],'DB Money Supply'!$A:$D,3)</f>
        <v/>
      </c>
      <c r="C154" s="59">
        <f>(Table30[[#This Row],[Real M2 Money Stock]]-B142)/B142</f>
        <v/>
      </c>
    </row>
    <row r="155">
      <c r="A155" s="22" t="n">
        <v>26085</v>
      </c>
      <c r="B155" s="24">
        <f>VLOOKUP(Table30[[#This Row],[Month]],'DB Money Supply'!$A:$D,3)</f>
        <v/>
      </c>
      <c r="C155" s="59">
        <f>(Table30[[#This Row],[Real M2 Money Stock]]-B143)/B143</f>
        <v/>
      </c>
    </row>
    <row r="156">
      <c r="A156" s="22" t="n">
        <v>26115</v>
      </c>
      <c r="B156" s="24">
        <f>VLOOKUP(Table30[[#This Row],[Month]],'DB Money Supply'!$A:$D,3)</f>
        <v/>
      </c>
      <c r="C156" s="59">
        <f>(Table30[[#This Row],[Real M2 Money Stock]]-B144)/B144</f>
        <v/>
      </c>
    </row>
    <row r="157">
      <c r="A157" s="22" t="n">
        <v>26146</v>
      </c>
      <c r="B157" s="24">
        <f>VLOOKUP(Table30[[#This Row],[Month]],'DB Money Supply'!$A:$D,3)</f>
        <v/>
      </c>
      <c r="C157" s="59">
        <f>(Table30[[#This Row],[Real M2 Money Stock]]-B145)/B145</f>
        <v/>
      </c>
    </row>
    <row r="158">
      <c r="A158" s="22" t="n">
        <v>26177</v>
      </c>
      <c r="B158" s="24">
        <f>VLOOKUP(Table30[[#This Row],[Month]],'DB Money Supply'!$A:$D,3)</f>
        <v/>
      </c>
      <c r="C158" s="59">
        <f>(Table30[[#This Row],[Real M2 Money Stock]]-B146)/B146</f>
        <v/>
      </c>
    </row>
    <row r="159">
      <c r="A159" s="22" t="n">
        <v>26207</v>
      </c>
      <c r="B159" s="24">
        <f>VLOOKUP(Table30[[#This Row],[Month]],'DB Money Supply'!$A:$D,3)</f>
        <v/>
      </c>
      <c r="C159" s="59">
        <f>(Table30[[#This Row],[Real M2 Money Stock]]-B147)/B147</f>
        <v/>
      </c>
    </row>
    <row r="160">
      <c r="A160" s="22" t="n">
        <v>26238</v>
      </c>
      <c r="B160" s="24">
        <f>VLOOKUP(Table30[[#This Row],[Month]],'DB Money Supply'!$A:$D,3)</f>
        <v/>
      </c>
      <c r="C160" s="59">
        <f>(Table30[[#This Row],[Real M2 Money Stock]]-B148)/B148</f>
        <v/>
      </c>
    </row>
    <row r="161">
      <c r="A161" s="22" t="n">
        <v>26268</v>
      </c>
      <c r="B161" s="24">
        <f>VLOOKUP(Table30[[#This Row],[Month]],'DB Money Supply'!$A:$D,3)</f>
        <v/>
      </c>
      <c r="C161" s="59">
        <f>(Table30[[#This Row],[Real M2 Money Stock]]-B149)/B149</f>
        <v/>
      </c>
    </row>
    <row r="162">
      <c r="A162" s="22" t="n">
        <v>26299</v>
      </c>
      <c r="B162" s="24">
        <f>VLOOKUP(Table30[[#This Row],[Month]],'DB Money Supply'!$A:$D,3)</f>
        <v/>
      </c>
      <c r="C162" s="59">
        <f>(Table30[[#This Row],[Real M2 Money Stock]]-B150)/B150</f>
        <v/>
      </c>
    </row>
    <row r="163">
      <c r="A163" s="22" t="n">
        <v>26330</v>
      </c>
      <c r="B163" s="24">
        <f>VLOOKUP(Table30[[#This Row],[Month]],'DB Money Supply'!$A:$D,3)</f>
        <v/>
      </c>
      <c r="C163" s="59">
        <f>(Table30[[#This Row],[Real M2 Money Stock]]-B151)/B151</f>
        <v/>
      </c>
    </row>
    <row r="164">
      <c r="A164" s="22" t="n">
        <v>26359</v>
      </c>
      <c r="B164" s="24">
        <f>VLOOKUP(Table30[[#This Row],[Month]],'DB Money Supply'!$A:$D,3)</f>
        <v/>
      </c>
      <c r="C164" s="59">
        <f>(Table30[[#This Row],[Real M2 Money Stock]]-B152)/B152</f>
        <v/>
      </c>
    </row>
    <row r="165">
      <c r="A165" s="22" t="n">
        <v>26390</v>
      </c>
      <c r="B165" s="24">
        <f>VLOOKUP(Table30[[#This Row],[Month]],'DB Money Supply'!$A:$D,3)</f>
        <v/>
      </c>
      <c r="C165" s="59">
        <f>(Table30[[#This Row],[Real M2 Money Stock]]-B153)/B153</f>
        <v/>
      </c>
    </row>
    <row r="166">
      <c r="A166" s="22" t="n">
        <v>26420</v>
      </c>
      <c r="B166" s="24">
        <f>VLOOKUP(Table30[[#This Row],[Month]],'DB Money Supply'!$A:$D,3)</f>
        <v/>
      </c>
      <c r="C166" s="59">
        <f>(Table30[[#This Row],[Real M2 Money Stock]]-B154)/B154</f>
        <v/>
      </c>
    </row>
    <row r="167">
      <c r="A167" s="22" t="n">
        <v>26451</v>
      </c>
      <c r="B167" s="24">
        <f>VLOOKUP(Table30[[#This Row],[Month]],'DB Money Supply'!$A:$D,3)</f>
        <v/>
      </c>
      <c r="C167" s="59">
        <f>(Table30[[#This Row],[Real M2 Money Stock]]-B155)/B155</f>
        <v/>
      </c>
    </row>
    <row r="168">
      <c r="A168" s="22" t="n">
        <v>26481</v>
      </c>
      <c r="B168" s="24">
        <f>VLOOKUP(Table30[[#This Row],[Month]],'DB Money Supply'!$A:$D,3)</f>
        <v/>
      </c>
      <c r="C168" s="59">
        <f>(Table30[[#This Row],[Real M2 Money Stock]]-B156)/B156</f>
        <v/>
      </c>
    </row>
    <row r="169">
      <c r="A169" s="22" t="n">
        <v>26512</v>
      </c>
      <c r="B169" s="24">
        <f>VLOOKUP(Table30[[#This Row],[Month]],'DB Money Supply'!$A:$D,3)</f>
        <v/>
      </c>
      <c r="C169" s="59">
        <f>(Table30[[#This Row],[Real M2 Money Stock]]-B157)/B157</f>
        <v/>
      </c>
    </row>
    <row r="170">
      <c r="A170" s="22" t="n">
        <v>26543</v>
      </c>
      <c r="B170" s="24">
        <f>VLOOKUP(Table30[[#This Row],[Month]],'DB Money Supply'!$A:$D,3)</f>
        <v/>
      </c>
      <c r="C170" s="59">
        <f>(Table30[[#This Row],[Real M2 Money Stock]]-B158)/B158</f>
        <v/>
      </c>
    </row>
    <row r="171">
      <c r="A171" s="22" t="n">
        <v>26573</v>
      </c>
      <c r="B171" s="24">
        <f>VLOOKUP(Table30[[#This Row],[Month]],'DB Money Supply'!$A:$D,3)</f>
        <v/>
      </c>
      <c r="C171" s="59">
        <f>(Table30[[#This Row],[Real M2 Money Stock]]-B159)/B159</f>
        <v/>
      </c>
    </row>
    <row r="172">
      <c r="A172" s="22" t="n">
        <v>26604</v>
      </c>
      <c r="B172" s="24">
        <f>VLOOKUP(Table30[[#This Row],[Month]],'DB Money Supply'!$A:$D,3)</f>
        <v/>
      </c>
      <c r="C172" s="59">
        <f>(Table30[[#This Row],[Real M2 Money Stock]]-B160)/B160</f>
        <v/>
      </c>
    </row>
    <row r="173">
      <c r="A173" s="22" t="n">
        <v>26634</v>
      </c>
      <c r="B173" s="24">
        <f>VLOOKUP(Table30[[#This Row],[Month]],'DB Money Supply'!$A:$D,3)</f>
        <v/>
      </c>
      <c r="C173" s="59">
        <f>(Table30[[#This Row],[Real M2 Money Stock]]-B161)/B161</f>
        <v/>
      </c>
    </row>
    <row r="174">
      <c r="A174" s="22" t="n">
        <v>26665</v>
      </c>
      <c r="B174" s="24">
        <f>VLOOKUP(Table30[[#This Row],[Month]],'DB Money Supply'!$A:$D,3)</f>
        <v/>
      </c>
      <c r="C174" s="59">
        <f>(Table30[[#This Row],[Real M2 Money Stock]]-B162)/B162</f>
        <v/>
      </c>
    </row>
    <row r="175">
      <c r="A175" s="22" t="n">
        <v>26696</v>
      </c>
      <c r="B175" s="24">
        <f>VLOOKUP(Table30[[#This Row],[Month]],'DB Money Supply'!$A:$D,3)</f>
        <v/>
      </c>
      <c r="C175" s="59">
        <f>(Table30[[#This Row],[Real M2 Money Stock]]-B163)/B163</f>
        <v/>
      </c>
    </row>
    <row r="176">
      <c r="A176" s="22" t="n">
        <v>26724</v>
      </c>
      <c r="B176" s="24">
        <f>VLOOKUP(Table30[[#This Row],[Month]],'DB Money Supply'!$A:$D,3)</f>
        <v/>
      </c>
      <c r="C176" s="59">
        <f>(Table30[[#This Row],[Real M2 Money Stock]]-B164)/B164</f>
        <v/>
      </c>
    </row>
    <row r="177">
      <c r="A177" s="22" t="n">
        <v>26755</v>
      </c>
      <c r="B177" s="24">
        <f>VLOOKUP(Table30[[#This Row],[Month]],'DB Money Supply'!$A:$D,3)</f>
        <v/>
      </c>
      <c r="C177" s="59">
        <f>(Table30[[#This Row],[Real M2 Money Stock]]-B165)/B165</f>
        <v/>
      </c>
    </row>
    <row r="178">
      <c r="A178" s="22" t="n">
        <v>26785</v>
      </c>
      <c r="B178" s="24">
        <f>VLOOKUP(Table30[[#This Row],[Month]],'DB Money Supply'!$A:$D,3)</f>
        <v/>
      </c>
      <c r="C178" s="59">
        <f>(Table30[[#This Row],[Real M2 Money Stock]]-B166)/B166</f>
        <v/>
      </c>
    </row>
    <row r="179">
      <c r="A179" s="22" t="n">
        <v>26816</v>
      </c>
      <c r="B179" s="24">
        <f>VLOOKUP(Table30[[#This Row],[Month]],'DB Money Supply'!$A:$D,3)</f>
        <v/>
      </c>
      <c r="C179" s="59">
        <f>(Table30[[#This Row],[Real M2 Money Stock]]-B167)/B167</f>
        <v/>
      </c>
    </row>
    <row r="180">
      <c r="A180" s="22" t="n">
        <v>26846</v>
      </c>
      <c r="B180" s="24">
        <f>VLOOKUP(Table30[[#This Row],[Month]],'DB Money Supply'!$A:$D,3)</f>
        <v/>
      </c>
      <c r="C180" s="59">
        <f>(Table30[[#This Row],[Real M2 Money Stock]]-B168)/B168</f>
        <v/>
      </c>
    </row>
    <row r="181">
      <c r="A181" s="22" t="n">
        <v>26877</v>
      </c>
      <c r="B181" s="24">
        <f>VLOOKUP(Table30[[#This Row],[Month]],'DB Money Supply'!$A:$D,3)</f>
        <v/>
      </c>
      <c r="C181" s="59">
        <f>(Table30[[#This Row],[Real M2 Money Stock]]-B169)/B169</f>
        <v/>
      </c>
    </row>
    <row r="182">
      <c r="A182" s="22" t="n">
        <v>26908</v>
      </c>
      <c r="B182" s="24">
        <f>VLOOKUP(Table30[[#This Row],[Month]],'DB Money Supply'!$A:$D,3)</f>
        <v/>
      </c>
      <c r="C182" s="59">
        <f>(Table30[[#This Row],[Real M2 Money Stock]]-B170)/B170</f>
        <v/>
      </c>
    </row>
    <row r="183">
      <c r="A183" s="22" t="n">
        <v>26938</v>
      </c>
      <c r="B183" s="24">
        <f>VLOOKUP(Table30[[#This Row],[Month]],'DB Money Supply'!$A:$D,3)</f>
        <v/>
      </c>
      <c r="C183" s="59">
        <f>(Table30[[#This Row],[Real M2 Money Stock]]-B171)/B171</f>
        <v/>
      </c>
    </row>
    <row r="184">
      <c r="A184" s="22" t="n">
        <v>26969</v>
      </c>
      <c r="B184" s="24">
        <f>VLOOKUP(Table30[[#This Row],[Month]],'DB Money Supply'!$A:$D,3)</f>
        <v/>
      </c>
      <c r="C184" s="59">
        <f>(Table30[[#This Row],[Real M2 Money Stock]]-B172)/B172</f>
        <v/>
      </c>
    </row>
    <row r="185">
      <c r="A185" s="22" t="n">
        <v>26999</v>
      </c>
      <c r="B185" s="24">
        <f>VLOOKUP(Table30[[#This Row],[Month]],'DB Money Supply'!$A:$D,3)</f>
        <v/>
      </c>
      <c r="C185" s="59">
        <f>(Table30[[#This Row],[Real M2 Money Stock]]-B173)/B173</f>
        <v/>
      </c>
    </row>
    <row r="186">
      <c r="A186" s="22" t="n">
        <v>27030</v>
      </c>
      <c r="B186" s="24">
        <f>VLOOKUP(Table30[[#This Row],[Month]],'DB Money Supply'!$A:$D,3)</f>
        <v/>
      </c>
      <c r="C186" s="59">
        <f>(Table30[[#This Row],[Real M2 Money Stock]]-B174)/B174</f>
        <v/>
      </c>
    </row>
    <row r="187">
      <c r="A187" s="22" t="n">
        <v>27061</v>
      </c>
      <c r="B187" s="24">
        <f>VLOOKUP(Table30[[#This Row],[Month]],'DB Money Supply'!$A:$D,3)</f>
        <v/>
      </c>
      <c r="C187" s="59">
        <f>(Table30[[#This Row],[Real M2 Money Stock]]-B175)/B175</f>
        <v/>
      </c>
    </row>
    <row r="188">
      <c r="A188" s="22" t="n">
        <v>27089</v>
      </c>
      <c r="B188" s="24">
        <f>VLOOKUP(Table30[[#This Row],[Month]],'DB Money Supply'!$A:$D,3)</f>
        <v/>
      </c>
      <c r="C188" s="59">
        <f>(Table30[[#This Row],[Real M2 Money Stock]]-B176)/B176</f>
        <v/>
      </c>
    </row>
    <row r="189">
      <c r="A189" s="22" t="n">
        <v>27120</v>
      </c>
      <c r="B189" s="24">
        <f>VLOOKUP(Table30[[#This Row],[Month]],'DB Money Supply'!$A:$D,3)</f>
        <v/>
      </c>
      <c r="C189" s="59">
        <f>(Table30[[#This Row],[Real M2 Money Stock]]-B177)/B177</f>
        <v/>
      </c>
    </row>
    <row r="190">
      <c r="A190" s="22" t="n">
        <v>27150</v>
      </c>
      <c r="B190" s="24">
        <f>VLOOKUP(Table30[[#This Row],[Month]],'DB Money Supply'!$A:$D,3)</f>
        <v/>
      </c>
      <c r="C190" s="59">
        <f>(Table30[[#This Row],[Real M2 Money Stock]]-B178)/B178</f>
        <v/>
      </c>
    </row>
    <row r="191">
      <c r="A191" s="22" t="n">
        <v>27181</v>
      </c>
      <c r="B191" s="24">
        <f>VLOOKUP(Table30[[#This Row],[Month]],'DB Money Supply'!$A:$D,3)</f>
        <v/>
      </c>
      <c r="C191" s="59">
        <f>(Table30[[#This Row],[Real M2 Money Stock]]-B179)/B179</f>
        <v/>
      </c>
    </row>
    <row r="192">
      <c r="A192" s="22" t="n">
        <v>27211</v>
      </c>
      <c r="B192" s="24">
        <f>VLOOKUP(Table30[[#This Row],[Month]],'DB Money Supply'!$A:$D,3)</f>
        <v/>
      </c>
      <c r="C192" s="59">
        <f>(Table30[[#This Row],[Real M2 Money Stock]]-B180)/B180</f>
        <v/>
      </c>
    </row>
    <row r="193">
      <c r="A193" s="22" t="n">
        <v>27242</v>
      </c>
      <c r="B193" s="24">
        <f>VLOOKUP(Table30[[#This Row],[Month]],'DB Money Supply'!$A:$D,3)</f>
        <v/>
      </c>
      <c r="C193" s="59">
        <f>(Table30[[#This Row],[Real M2 Money Stock]]-B181)/B181</f>
        <v/>
      </c>
    </row>
    <row r="194">
      <c r="A194" s="22" t="n">
        <v>27273</v>
      </c>
      <c r="B194" s="24">
        <f>VLOOKUP(Table30[[#This Row],[Month]],'DB Money Supply'!$A:$D,3)</f>
        <v/>
      </c>
      <c r="C194" s="59">
        <f>(Table30[[#This Row],[Real M2 Money Stock]]-B182)/B182</f>
        <v/>
      </c>
    </row>
    <row r="195">
      <c r="A195" s="22" t="n">
        <v>27303</v>
      </c>
      <c r="B195" s="24">
        <f>VLOOKUP(Table30[[#This Row],[Month]],'DB Money Supply'!$A:$D,3)</f>
        <v/>
      </c>
      <c r="C195" s="59">
        <f>(Table30[[#This Row],[Real M2 Money Stock]]-B183)/B183</f>
        <v/>
      </c>
    </row>
    <row r="196">
      <c r="A196" s="22" t="n">
        <v>27334</v>
      </c>
      <c r="B196" s="24">
        <f>VLOOKUP(Table30[[#This Row],[Month]],'DB Money Supply'!$A:$D,3)</f>
        <v/>
      </c>
      <c r="C196" s="59">
        <f>(Table30[[#This Row],[Real M2 Money Stock]]-B184)/B184</f>
        <v/>
      </c>
    </row>
    <row r="197">
      <c r="A197" s="22" t="n">
        <v>27364</v>
      </c>
      <c r="B197" s="24">
        <f>VLOOKUP(Table30[[#This Row],[Month]],'DB Money Supply'!$A:$D,3)</f>
        <v/>
      </c>
      <c r="C197" s="59">
        <f>(Table30[[#This Row],[Real M2 Money Stock]]-B185)/B185</f>
        <v/>
      </c>
    </row>
    <row r="198">
      <c r="A198" s="22" t="n">
        <v>27395</v>
      </c>
      <c r="B198" s="24">
        <f>VLOOKUP(Table30[[#This Row],[Month]],'DB Money Supply'!$A:$D,3)</f>
        <v/>
      </c>
      <c r="C198" s="59">
        <f>(Table30[[#This Row],[Real M2 Money Stock]]-B186)/B186</f>
        <v/>
      </c>
    </row>
    <row r="199">
      <c r="A199" s="22" t="n">
        <v>27426</v>
      </c>
      <c r="B199" s="24">
        <f>VLOOKUP(Table30[[#This Row],[Month]],'DB Money Supply'!$A:$D,3)</f>
        <v/>
      </c>
      <c r="C199" s="59">
        <f>(Table30[[#This Row],[Real M2 Money Stock]]-B187)/B187</f>
        <v/>
      </c>
    </row>
    <row r="200">
      <c r="A200" s="22" t="n">
        <v>27454</v>
      </c>
      <c r="B200" s="24">
        <f>VLOOKUP(Table30[[#This Row],[Month]],'DB Money Supply'!$A:$D,3)</f>
        <v/>
      </c>
      <c r="C200" s="59">
        <f>(Table30[[#This Row],[Real M2 Money Stock]]-B188)/B188</f>
        <v/>
      </c>
    </row>
    <row r="201">
      <c r="A201" s="22" t="n">
        <v>27485</v>
      </c>
      <c r="B201" s="24">
        <f>VLOOKUP(Table30[[#This Row],[Month]],'DB Money Supply'!$A:$D,3)</f>
        <v/>
      </c>
      <c r="C201" s="59">
        <f>(Table30[[#This Row],[Real M2 Money Stock]]-B189)/B189</f>
        <v/>
      </c>
    </row>
    <row r="202">
      <c r="A202" s="22" t="n">
        <v>27515</v>
      </c>
      <c r="B202" s="24">
        <f>VLOOKUP(Table30[[#This Row],[Month]],'DB Money Supply'!$A:$D,3)</f>
        <v/>
      </c>
      <c r="C202" s="59">
        <f>(Table30[[#This Row],[Real M2 Money Stock]]-B190)/B190</f>
        <v/>
      </c>
    </row>
    <row r="203">
      <c r="A203" s="22" t="n">
        <v>27546</v>
      </c>
      <c r="B203" s="24">
        <f>VLOOKUP(Table30[[#This Row],[Month]],'DB Money Supply'!$A:$D,3)</f>
        <v/>
      </c>
      <c r="C203" s="59">
        <f>(Table30[[#This Row],[Real M2 Money Stock]]-B191)/B191</f>
        <v/>
      </c>
    </row>
    <row r="204">
      <c r="A204" s="22" t="n">
        <v>27576</v>
      </c>
      <c r="B204" s="24">
        <f>VLOOKUP(Table30[[#This Row],[Month]],'DB Money Supply'!$A:$D,3)</f>
        <v/>
      </c>
      <c r="C204" s="59">
        <f>(Table30[[#This Row],[Real M2 Money Stock]]-B192)/B192</f>
        <v/>
      </c>
    </row>
    <row r="205">
      <c r="A205" s="22" t="n">
        <v>27607</v>
      </c>
      <c r="B205" s="24">
        <f>VLOOKUP(Table30[[#This Row],[Month]],'DB Money Supply'!$A:$D,3)</f>
        <v/>
      </c>
      <c r="C205" s="59">
        <f>(Table30[[#This Row],[Real M2 Money Stock]]-B193)/B193</f>
        <v/>
      </c>
    </row>
    <row r="206">
      <c r="A206" s="22" t="n">
        <v>27638</v>
      </c>
      <c r="B206" s="24">
        <f>VLOOKUP(Table30[[#This Row],[Month]],'DB Money Supply'!$A:$D,3)</f>
        <v/>
      </c>
      <c r="C206" s="59">
        <f>(Table30[[#This Row],[Real M2 Money Stock]]-B194)/B194</f>
        <v/>
      </c>
    </row>
    <row r="207">
      <c r="A207" s="22" t="n">
        <v>27668</v>
      </c>
      <c r="B207" s="24">
        <f>VLOOKUP(Table30[[#This Row],[Month]],'DB Money Supply'!$A:$D,3)</f>
        <v/>
      </c>
      <c r="C207" s="59">
        <f>(Table30[[#This Row],[Real M2 Money Stock]]-B195)/B195</f>
        <v/>
      </c>
    </row>
    <row r="208">
      <c r="A208" s="22" t="n">
        <v>27699</v>
      </c>
      <c r="B208" s="24">
        <f>VLOOKUP(Table30[[#This Row],[Month]],'DB Money Supply'!$A:$D,3)</f>
        <v/>
      </c>
      <c r="C208" s="59">
        <f>(Table30[[#This Row],[Real M2 Money Stock]]-B196)/B196</f>
        <v/>
      </c>
    </row>
    <row r="209">
      <c r="A209" s="22" t="n">
        <v>27729</v>
      </c>
      <c r="B209" s="24">
        <f>VLOOKUP(Table30[[#This Row],[Month]],'DB Money Supply'!$A:$D,3)</f>
        <v/>
      </c>
      <c r="C209" s="59">
        <f>(Table30[[#This Row],[Real M2 Money Stock]]-B197)/B197</f>
        <v/>
      </c>
    </row>
    <row r="210">
      <c r="A210" s="22" t="n">
        <v>27760</v>
      </c>
      <c r="B210" s="24">
        <f>VLOOKUP(Table30[[#This Row],[Month]],'DB Money Supply'!$A:$D,3)</f>
        <v/>
      </c>
      <c r="C210" s="59">
        <f>(Table30[[#This Row],[Real M2 Money Stock]]-B198)/B198</f>
        <v/>
      </c>
    </row>
    <row r="211">
      <c r="A211" s="22" t="n">
        <v>27791</v>
      </c>
      <c r="B211" s="24">
        <f>VLOOKUP(Table30[[#This Row],[Month]],'DB Money Supply'!$A:$D,3)</f>
        <v/>
      </c>
      <c r="C211" s="59">
        <f>(Table30[[#This Row],[Real M2 Money Stock]]-B199)/B199</f>
        <v/>
      </c>
    </row>
    <row r="212">
      <c r="A212" s="22" t="n">
        <v>27820</v>
      </c>
      <c r="B212" s="24">
        <f>VLOOKUP(Table30[[#This Row],[Month]],'DB Money Supply'!$A:$D,3)</f>
        <v/>
      </c>
      <c r="C212" s="59">
        <f>(Table30[[#This Row],[Real M2 Money Stock]]-B200)/B200</f>
        <v/>
      </c>
    </row>
    <row r="213">
      <c r="A213" s="22" t="n">
        <v>27851</v>
      </c>
      <c r="B213" s="24">
        <f>VLOOKUP(Table30[[#This Row],[Month]],'DB Money Supply'!$A:$D,3)</f>
        <v/>
      </c>
      <c r="C213" s="59">
        <f>(Table30[[#This Row],[Real M2 Money Stock]]-B201)/B201</f>
        <v/>
      </c>
    </row>
    <row r="214">
      <c r="A214" s="22" t="n">
        <v>27881</v>
      </c>
      <c r="B214" s="24">
        <f>VLOOKUP(Table30[[#This Row],[Month]],'DB Money Supply'!$A:$D,3)</f>
        <v/>
      </c>
      <c r="C214" s="59">
        <f>(Table30[[#This Row],[Real M2 Money Stock]]-B202)/B202</f>
        <v/>
      </c>
    </row>
    <row r="215">
      <c r="A215" s="22" t="n">
        <v>27912</v>
      </c>
      <c r="B215" s="24">
        <f>VLOOKUP(Table30[[#This Row],[Month]],'DB Money Supply'!$A:$D,3)</f>
        <v/>
      </c>
      <c r="C215" s="59">
        <f>(Table30[[#This Row],[Real M2 Money Stock]]-B203)/B203</f>
        <v/>
      </c>
    </row>
    <row r="216">
      <c r="A216" s="22" t="n">
        <v>27942</v>
      </c>
      <c r="B216" s="24">
        <f>VLOOKUP(Table30[[#This Row],[Month]],'DB Money Supply'!$A:$D,3)</f>
        <v/>
      </c>
      <c r="C216" s="59">
        <f>(Table30[[#This Row],[Real M2 Money Stock]]-B204)/B204</f>
        <v/>
      </c>
    </row>
    <row r="217">
      <c r="A217" s="22" t="n">
        <v>27973</v>
      </c>
      <c r="B217" s="24">
        <f>VLOOKUP(Table30[[#This Row],[Month]],'DB Money Supply'!$A:$D,3)</f>
        <v/>
      </c>
      <c r="C217" s="59">
        <f>(Table30[[#This Row],[Real M2 Money Stock]]-B205)/B205</f>
        <v/>
      </c>
    </row>
    <row r="218">
      <c r="A218" s="22" t="n">
        <v>28004</v>
      </c>
      <c r="B218" s="24">
        <f>VLOOKUP(Table30[[#This Row],[Month]],'DB Money Supply'!$A:$D,3)</f>
        <v/>
      </c>
      <c r="C218" s="59">
        <f>(Table30[[#This Row],[Real M2 Money Stock]]-B206)/B206</f>
        <v/>
      </c>
    </row>
    <row r="219">
      <c r="A219" s="22" t="n">
        <v>28034</v>
      </c>
      <c r="B219" s="24">
        <f>VLOOKUP(Table30[[#This Row],[Month]],'DB Money Supply'!$A:$D,3)</f>
        <v/>
      </c>
      <c r="C219" s="59">
        <f>(Table30[[#This Row],[Real M2 Money Stock]]-B207)/B207</f>
        <v/>
      </c>
    </row>
    <row r="220">
      <c r="A220" s="22" t="n">
        <v>28065</v>
      </c>
      <c r="B220" s="24">
        <f>VLOOKUP(Table30[[#This Row],[Month]],'DB Money Supply'!$A:$D,3)</f>
        <v/>
      </c>
      <c r="C220" s="59">
        <f>(Table30[[#This Row],[Real M2 Money Stock]]-B208)/B208</f>
        <v/>
      </c>
    </row>
    <row r="221">
      <c r="A221" s="22" t="n">
        <v>28095</v>
      </c>
      <c r="B221" s="24">
        <f>VLOOKUP(Table30[[#This Row],[Month]],'DB Money Supply'!$A:$D,3)</f>
        <v/>
      </c>
      <c r="C221" s="59">
        <f>(Table30[[#This Row],[Real M2 Money Stock]]-B209)/B209</f>
        <v/>
      </c>
    </row>
    <row r="222">
      <c r="A222" s="22" t="n">
        <v>28126</v>
      </c>
      <c r="B222" s="24">
        <f>VLOOKUP(Table30[[#This Row],[Month]],'DB Money Supply'!$A:$D,3)</f>
        <v/>
      </c>
      <c r="C222" s="59">
        <f>(Table30[[#This Row],[Real M2 Money Stock]]-B210)/B210</f>
        <v/>
      </c>
    </row>
    <row r="223">
      <c r="A223" s="22" t="n">
        <v>28157</v>
      </c>
      <c r="B223" s="24">
        <f>VLOOKUP(Table30[[#This Row],[Month]],'DB Money Supply'!$A:$D,3)</f>
        <v/>
      </c>
      <c r="C223" s="59">
        <f>(Table30[[#This Row],[Real M2 Money Stock]]-B211)/B211</f>
        <v/>
      </c>
    </row>
    <row r="224">
      <c r="A224" s="22" t="n">
        <v>28185</v>
      </c>
      <c r="B224" s="24">
        <f>VLOOKUP(Table30[[#This Row],[Month]],'DB Money Supply'!$A:$D,3)</f>
        <v/>
      </c>
      <c r="C224" s="59">
        <f>(Table30[[#This Row],[Real M2 Money Stock]]-B212)/B212</f>
        <v/>
      </c>
    </row>
    <row r="225">
      <c r="A225" s="22" t="n">
        <v>28216</v>
      </c>
      <c r="B225" s="24">
        <f>VLOOKUP(Table30[[#This Row],[Month]],'DB Money Supply'!$A:$D,3)</f>
        <v/>
      </c>
      <c r="C225" s="59">
        <f>(Table30[[#This Row],[Real M2 Money Stock]]-B213)/B213</f>
        <v/>
      </c>
    </row>
    <row r="226">
      <c r="A226" s="22" t="n">
        <v>28246</v>
      </c>
      <c r="B226" s="24">
        <f>VLOOKUP(Table30[[#This Row],[Month]],'DB Money Supply'!$A:$D,3)</f>
        <v/>
      </c>
      <c r="C226" s="59">
        <f>(Table30[[#This Row],[Real M2 Money Stock]]-B214)/B214</f>
        <v/>
      </c>
    </row>
    <row r="227">
      <c r="A227" s="22" t="n">
        <v>28277</v>
      </c>
      <c r="B227" s="24">
        <f>VLOOKUP(Table30[[#This Row],[Month]],'DB Money Supply'!$A:$D,3)</f>
        <v/>
      </c>
      <c r="C227" s="59">
        <f>(Table30[[#This Row],[Real M2 Money Stock]]-B215)/B215</f>
        <v/>
      </c>
    </row>
    <row r="228">
      <c r="A228" s="22" t="n">
        <v>28307</v>
      </c>
      <c r="B228" s="24">
        <f>VLOOKUP(Table30[[#This Row],[Month]],'DB Money Supply'!$A:$D,3)</f>
        <v/>
      </c>
      <c r="C228" s="59">
        <f>(Table30[[#This Row],[Real M2 Money Stock]]-B216)/B216</f>
        <v/>
      </c>
    </row>
    <row r="229">
      <c r="A229" s="22" t="n">
        <v>28338</v>
      </c>
      <c r="B229" s="24">
        <f>VLOOKUP(Table30[[#This Row],[Month]],'DB Money Supply'!$A:$D,3)</f>
        <v/>
      </c>
      <c r="C229" s="59">
        <f>(Table30[[#This Row],[Real M2 Money Stock]]-B217)/B217</f>
        <v/>
      </c>
    </row>
    <row r="230">
      <c r="A230" s="22" t="n">
        <v>28369</v>
      </c>
      <c r="B230" s="24">
        <f>VLOOKUP(Table30[[#This Row],[Month]],'DB Money Supply'!$A:$D,3)</f>
        <v/>
      </c>
      <c r="C230" s="59">
        <f>(Table30[[#This Row],[Real M2 Money Stock]]-B218)/B218</f>
        <v/>
      </c>
    </row>
    <row r="231">
      <c r="A231" s="22" t="n">
        <v>28399</v>
      </c>
      <c r="B231" s="24">
        <f>VLOOKUP(Table30[[#This Row],[Month]],'DB Money Supply'!$A:$D,3)</f>
        <v/>
      </c>
      <c r="C231" s="59">
        <f>(Table30[[#This Row],[Real M2 Money Stock]]-B219)/B219</f>
        <v/>
      </c>
    </row>
    <row r="232">
      <c r="A232" s="22" t="n">
        <v>28430</v>
      </c>
      <c r="B232" s="24">
        <f>VLOOKUP(Table30[[#This Row],[Month]],'DB Money Supply'!$A:$D,3)</f>
        <v/>
      </c>
      <c r="C232" s="59">
        <f>(Table30[[#This Row],[Real M2 Money Stock]]-B220)/B220</f>
        <v/>
      </c>
    </row>
    <row r="233">
      <c r="A233" s="22" t="n">
        <v>28460</v>
      </c>
      <c r="B233" s="24">
        <f>VLOOKUP(Table30[[#This Row],[Month]],'DB Money Supply'!$A:$D,3)</f>
        <v/>
      </c>
      <c r="C233" s="59">
        <f>(Table30[[#This Row],[Real M2 Money Stock]]-B221)/B221</f>
        <v/>
      </c>
    </row>
    <row r="234">
      <c r="A234" s="22" t="n">
        <v>28491</v>
      </c>
      <c r="B234" s="24">
        <f>VLOOKUP(Table30[[#This Row],[Month]],'DB Money Supply'!$A:$D,3)</f>
        <v/>
      </c>
      <c r="C234" s="59">
        <f>(Table30[[#This Row],[Real M2 Money Stock]]-B222)/B222</f>
        <v/>
      </c>
    </row>
    <row r="235">
      <c r="A235" s="22" t="n">
        <v>28522</v>
      </c>
      <c r="B235" s="24">
        <f>VLOOKUP(Table30[[#This Row],[Month]],'DB Money Supply'!$A:$D,3)</f>
        <v/>
      </c>
      <c r="C235" s="59">
        <f>(Table30[[#This Row],[Real M2 Money Stock]]-B223)/B223</f>
        <v/>
      </c>
    </row>
    <row r="236">
      <c r="A236" s="22" t="n">
        <v>28550</v>
      </c>
      <c r="B236" s="24">
        <f>VLOOKUP(Table30[[#This Row],[Month]],'DB Money Supply'!$A:$D,3)</f>
        <v/>
      </c>
      <c r="C236" s="59">
        <f>(Table30[[#This Row],[Real M2 Money Stock]]-B224)/B224</f>
        <v/>
      </c>
    </row>
    <row r="237">
      <c r="A237" s="22" t="n">
        <v>28581</v>
      </c>
      <c r="B237" s="24">
        <f>VLOOKUP(Table30[[#This Row],[Month]],'DB Money Supply'!$A:$D,3)</f>
        <v/>
      </c>
      <c r="C237" s="59">
        <f>(Table30[[#This Row],[Real M2 Money Stock]]-B225)/B225</f>
        <v/>
      </c>
    </row>
    <row r="238">
      <c r="A238" s="22" t="n">
        <v>28611</v>
      </c>
      <c r="B238" s="24">
        <f>VLOOKUP(Table30[[#This Row],[Month]],'DB Money Supply'!$A:$D,3)</f>
        <v/>
      </c>
      <c r="C238" s="59">
        <f>(Table30[[#This Row],[Real M2 Money Stock]]-B226)/B226</f>
        <v/>
      </c>
    </row>
    <row r="239">
      <c r="A239" s="22" t="n">
        <v>28642</v>
      </c>
      <c r="B239" s="24">
        <f>VLOOKUP(Table30[[#This Row],[Month]],'DB Money Supply'!$A:$D,3)</f>
        <v/>
      </c>
      <c r="C239" s="59">
        <f>(Table30[[#This Row],[Real M2 Money Stock]]-B227)/B227</f>
        <v/>
      </c>
    </row>
    <row r="240">
      <c r="A240" s="22" t="n">
        <v>28672</v>
      </c>
      <c r="B240" s="24">
        <f>VLOOKUP(Table30[[#This Row],[Month]],'DB Money Supply'!$A:$D,3)</f>
        <v/>
      </c>
      <c r="C240" s="59">
        <f>(Table30[[#This Row],[Real M2 Money Stock]]-B228)/B228</f>
        <v/>
      </c>
    </row>
    <row r="241">
      <c r="A241" s="22" t="n">
        <v>28703</v>
      </c>
      <c r="B241" s="24">
        <f>VLOOKUP(Table30[[#This Row],[Month]],'DB Money Supply'!$A:$D,3)</f>
        <v/>
      </c>
      <c r="C241" s="59">
        <f>(Table30[[#This Row],[Real M2 Money Stock]]-B229)/B229</f>
        <v/>
      </c>
    </row>
    <row r="242">
      <c r="A242" s="22" t="n">
        <v>28734</v>
      </c>
      <c r="B242" s="24">
        <f>VLOOKUP(Table30[[#This Row],[Month]],'DB Money Supply'!$A:$D,3)</f>
        <v/>
      </c>
      <c r="C242" s="59">
        <f>(Table30[[#This Row],[Real M2 Money Stock]]-B230)/B230</f>
        <v/>
      </c>
    </row>
    <row r="243">
      <c r="A243" s="22" t="n">
        <v>28764</v>
      </c>
      <c r="B243" s="24">
        <f>VLOOKUP(Table30[[#This Row],[Month]],'DB Money Supply'!$A:$D,3)</f>
        <v/>
      </c>
      <c r="C243" s="59">
        <f>(Table30[[#This Row],[Real M2 Money Stock]]-B231)/B231</f>
        <v/>
      </c>
    </row>
    <row r="244">
      <c r="A244" s="22" t="n">
        <v>28795</v>
      </c>
      <c r="B244" s="24">
        <f>VLOOKUP(Table30[[#This Row],[Month]],'DB Money Supply'!$A:$D,3)</f>
        <v/>
      </c>
      <c r="C244" s="59">
        <f>(Table30[[#This Row],[Real M2 Money Stock]]-B232)/B232</f>
        <v/>
      </c>
    </row>
    <row r="245">
      <c r="A245" s="22" t="n">
        <v>28825</v>
      </c>
      <c r="B245" s="24">
        <f>VLOOKUP(Table30[[#This Row],[Month]],'DB Money Supply'!$A:$D,3)</f>
        <v/>
      </c>
      <c r="C245" s="59">
        <f>(Table30[[#This Row],[Real M2 Money Stock]]-B233)/B233</f>
        <v/>
      </c>
    </row>
    <row r="246">
      <c r="A246" s="22" t="n">
        <v>28856</v>
      </c>
      <c r="B246" s="24">
        <f>VLOOKUP(Table30[[#This Row],[Month]],'DB Money Supply'!$A:$D,3)</f>
        <v/>
      </c>
      <c r="C246" s="59">
        <f>(Table30[[#This Row],[Real M2 Money Stock]]-B234)/B234</f>
        <v/>
      </c>
    </row>
    <row r="247">
      <c r="A247" s="22" t="n">
        <v>28887</v>
      </c>
      <c r="B247" s="24">
        <f>VLOOKUP(Table30[[#This Row],[Month]],'DB Money Supply'!$A:$D,3)</f>
        <v/>
      </c>
      <c r="C247" s="59">
        <f>(Table30[[#This Row],[Real M2 Money Stock]]-B235)/B235</f>
        <v/>
      </c>
    </row>
    <row r="248">
      <c r="A248" s="22" t="n">
        <v>28915</v>
      </c>
      <c r="B248" s="24">
        <f>VLOOKUP(Table30[[#This Row],[Month]],'DB Money Supply'!$A:$D,3)</f>
        <v/>
      </c>
      <c r="C248" s="59">
        <f>(Table30[[#This Row],[Real M2 Money Stock]]-B236)/B236</f>
        <v/>
      </c>
    </row>
    <row r="249">
      <c r="A249" s="22" t="n">
        <v>28946</v>
      </c>
      <c r="B249" s="24">
        <f>VLOOKUP(Table30[[#This Row],[Month]],'DB Money Supply'!$A:$D,3)</f>
        <v/>
      </c>
      <c r="C249" s="59">
        <f>(Table30[[#This Row],[Real M2 Money Stock]]-B237)/B237</f>
        <v/>
      </c>
    </row>
    <row r="250">
      <c r="A250" s="22" t="n">
        <v>28976</v>
      </c>
      <c r="B250" s="24">
        <f>VLOOKUP(Table30[[#This Row],[Month]],'DB Money Supply'!$A:$D,3)</f>
        <v/>
      </c>
      <c r="C250" s="59">
        <f>(Table30[[#This Row],[Real M2 Money Stock]]-B238)/B238</f>
        <v/>
      </c>
    </row>
    <row r="251">
      <c r="A251" s="22" t="n">
        <v>29007</v>
      </c>
      <c r="B251" s="24">
        <f>VLOOKUP(Table30[[#This Row],[Month]],'DB Money Supply'!$A:$D,3)</f>
        <v/>
      </c>
      <c r="C251" s="59">
        <f>(Table30[[#This Row],[Real M2 Money Stock]]-B239)/B239</f>
        <v/>
      </c>
    </row>
    <row r="252">
      <c r="A252" s="22" t="n">
        <v>29037</v>
      </c>
      <c r="B252" s="24">
        <f>VLOOKUP(Table30[[#This Row],[Month]],'DB Money Supply'!$A:$D,3)</f>
        <v/>
      </c>
      <c r="C252" s="59">
        <f>(Table30[[#This Row],[Real M2 Money Stock]]-B240)/B240</f>
        <v/>
      </c>
    </row>
    <row r="253">
      <c r="A253" s="22" t="n">
        <v>29068</v>
      </c>
      <c r="B253" s="24">
        <f>VLOOKUP(Table30[[#This Row],[Month]],'DB Money Supply'!$A:$D,3)</f>
        <v/>
      </c>
      <c r="C253" s="59">
        <f>(Table30[[#This Row],[Real M2 Money Stock]]-B241)/B241</f>
        <v/>
      </c>
    </row>
    <row r="254">
      <c r="A254" s="22" t="n">
        <v>29099</v>
      </c>
      <c r="B254" s="24">
        <f>VLOOKUP(Table30[[#This Row],[Month]],'DB Money Supply'!$A:$D,3)</f>
        <v/>
      </c>
      <c r="C254" s="59">
        <f>(Table30[[#This Row],[Real M2 Money Stock]]-B242)/B242</f>
        <v/>
      </c>
    </row>
    <row r="255">
      <c r="A255" s="22" t="n">
        <v>29129</v>
      </c>
      <c r="B255" s="24">
        <f>VLOOKUP(Table30[[#This Row],[Month]],'DB Money Supply'!$A:$D,3)</f>
        <v/>
      </c>
      <c r="C255" s="59">
        <f>(Table30[[#This Row],[Real M2 Money Stock]]-B243)/B243</f>
        <v/>
      </c>
    </row>
    <row r="256">
      <c r="A256" s="22" t="n">
        <v>29160</v>
      </c>
      <c r="B256" s="24">
        <f>VLOOKUP(Table30[[#This Row],[Month]],'DB Money Supply'!$A:$D,3)</f>
        <v/>
      </c>
      <c r="C256" s="59">
        <f>(Table30[[#This Row],[Real M2 Money Stock]]-B244)/B244</f>
        <v/>
      </c>
    </row>
    <row r="257">
      <c r="A257" s="22" t="n">
        <v>29190</v>
      </c>
      <c r="B257" s="24">
        <f>VLOOKUP(Table30[[#This Row],[Month]],'DB Money Supply'!$A:$D,3)</f>
        <v/>
      </c>
      <c r="C257" s="59">
        <f>(Table30[[#This Row],[Real M2 Money Stock]]-B245)/B245</f>
        <v/>
      </c>
    </row>
    <row r="258">
      <c r="A258" s="22" t="n">
        <v>29221</v>
      </c>
      <c r="B258" s="24">
        <f>VLOOKUP(Table30[[#This Row],[Month]],'DB Money Supply'!$A:$D,3)</f>
        <v/>
      </c>
      <c r="C258" s="59">
        <f>(Table30[[#This Row],[Real M2 Money Stock]]-B246)/B246</f>
        <v/>
      </c>
    </row>
    <row r="259">
      <c r="A259" s="22" t="n">
        <v>29252</v>
      </c>
      <c r="B259" s="24">
        <f>VLOOKUP(Table30[[#This Row],[Month]],'DB Money Supply'!$A:$D,3)</f>
        <v/>
      </c>
      <c r="C259" s="59">
        <f>(Table30[[#This Row],[Real M2 Money Stock]]-B247)/B247</f>
        <v/>
      </c>
    </row>
    <row r="260">
      <c r="A260" s="22" t="n">
        <v>29281</v>
      </c>
      <c r="B260" s="24">
        <f>VLOOKUP(Table30[[#This Row],[Month]],'DB Money Supply'!$A:$D,3)</f>
        <v/>
      </c>
      <c r="C260" s="59">
        <f>(Table30[[#This Row],[Real M2 Money Stock]]-B248)/B248</f>
        <v/>
      </c>
    </row>
    <row r="261">
      <c r="A261" s="22" t="n">
        <v>29312</v>
      </c>
      <c r="B261" s="24">
        <f>VLOOKUP(Table30[[#This Row],[Month]],'DB Money Supply'!$A:$D,3)</f>
        <v/>
      </c>
      <c r="C261" s="59">
        <f>(Table30[[#This Row],[Real M2 Money Stock]]-B249)/B249</f>
        <v/>
      </c>
    </row>
    <row r="262">
      <c r="A262" s="22" t="n">
        <v>29342</v>
      </c>
      <c r="B262" s="24">
        <f>VLOOKUP(Table30[[#This Row],[Month]],'DB Money Supply'!$A:$D,3)</f>
        <v/>
      </c>
      <c r="C262" s="59">
        <f>(Table30[[#This Row],[Real M2 Money Stock]]-B250)/B250</f>
        <v/>
      </c>
    </row>
    <row r="263">
      <c r="A263" s="22" t="n">
        <v>29373</v>
      </c>
      <c r="B263" s="24">
        <f>VLOOKUP(Table30[[#This Row],[Month]],'DB Money Supply'!$A:$D,3)</f>
        <v/>
      </c>
      <c r="C263" s="59">
        <f>(Table30[[#This Row],[Real M2 Money Stock]]-B251)/B251</f>
        <v/>
      </c>
    </row>
    <row r="264">
      <c r="A264" s="22" t="n">
        <v>29403</v>
      </c>
      <c r="B264" s="24">
        <f>VLOOKUP(Table30[[#This Row],[Month]],'DB Money Supply'!$A:$D,3)</f>
        <v/>
      </c>
      <c r="C264" s="59">
        <f>(Table30[[#This Row],[Real M2 Money Stock]]-B252)/B252</f>
        <v/>
      </c>
    </row>
    <row r="265">
      <c r="A265" s="22" t="n">
        <v>29434</v>
      </c>
      <c r="B265" s="24">
        <f>VLOOKUP(Table30[[#This Row],[Month]],'DB Money Supply'!$A:$D,3)</f>
        <v/>
      </c>
      <c r="C265" s="59">
        <f>(Table30[[#This Row],[Real M2 Money Stock]]-B253)/B253</f>
        <v/>
      </c>
    </row>
    <row r="266">
      <c r="A266" s="22" t="n">
        <v>29465</v>
      </c>
      <c r="B266" s="24">
        <f>VLOOKUP(Table30[[#This Row],[Month]],'DB Money Supply'!$A:$D,3)</f>
        <v/>
      </c>
      <c r="C266" s="59">
        <f>(Table30[[#This Row],[Real M2 Money Stock]]-B254)/B254</f>
        <v/>
      </c>
    </row>
    <row r="267">
      <c r="A267" s="22" t="n">
        <v>29495</v>
      </c>
      <c r="B267" s="24">
        <f>VLOOKUP(Table30[[#This Row],[Month]],'DB Money Supply'!$A:$D,3)</f>
        <v/>
      </c>
      <c r="C267" s="59">
        <f>(Table30[[#This Row],[Real M2 Money Stock]]-B255)/B255</f>
        <v/>
      </c>
    </row>
    <row r="268">
      <c r="A268" s="22" t="n">
        <v>29526</v>
      </c>
      <c r="B268" s="24">
        <f>VLOOKUP(Table30[[#This Row],[Month]],'DB Money Supply'!$A:$D,3)</f>
        <v/>
      </c>
      <c r="C268" s="59">
        <f>(Table30[[#This Row],[Real M2 Money Stock]]-B256)/B256</f>
        <v/>
      </c>
    </row>
    <row r="269">
      <c r="A269" s="22" t="n">
        <v>29556</v>
      </c>
      <c r="B269" s="24">
        <f>VLOOKUP(Table30[[#This Row],[Month]],'DB Money Supply'!$A:$D,3)</f>
        <v/>
      </c>
      <c r="C269" s="59">
        <f>(Table30[[#This Row],[Real M2 Money Stock]]-B257)/B257</f>
        <v/>
      </c>
    </row>
    <row r="270">
      <c r="A270" s="22" t="n">
        <v>29587</v>
      </c>
      <c r="B270" s="24">
        <f>VLOOKUP(Table30[[#This Row],[Month]],'DB Money Supply'!$A:$D,3)</f>
        <v/>
      </c>
      <c r="C270" s="59">
        <f>(Table30[[#This Row],[Real M2 Money Stock]]-B258)/B258</f>
        <v/>
      </c>
    </row>
    <row r="271">
      <c r="A271" s="22" t="n">
        <v>29618</v>
      </c>
      <c r="B271" s="24">
        <f>VLOOKUP(Table30[[#This Row],[Month]],'DB Money Supply'!$A:$D,3)</f>
        <v/>
      </c>
      <c r="C271" s="59">
        <f>(Table30[[#This Row],[Real M2 Money Stock]]-B259)/B259</f>
        <v/>
      </c>
    </row>
    <row r="272">
      <c r="A272" s="22" t="n">
        <v>29646</v>
      </c>
      <c r="B272" s="24">
        <f>VLOOKUP(Table30[[#This Row],[Month]],'DB Money Supply'!$A:$D,3)</f>
        <v/>
      </c>
      <c r="C272" s="59">
        <f>(Table30[[#This Row],[Real M2 Money Stock]]-B260)/B260</f>
        <v/>
      </c>
    </row>
    <row r="273">
      <c r="A273" s="22" t="n">
        <v>29677</v>
      </c>
      <c r="B273" s="24">
        <f>VLOOKUP(Table30[[#This Row],[Month]],'DB Money Supply'!$A:$D,3)</f>
        <v/>
      </c>
      <c r="C273" s="59">
        <f>(Table30[[#This Row],[Real M2 Money Stock]]-B261)/B261</f>
        <v/>
      </c>
    </row>
    <row r="274">
      <c r="A274" s="22" t="n">
        <v>29707</v>
      </c>
      <c r="B274" s="24">
        <f>VLOOKUP(Table30[[#This Row],[Month]],'DB Money Supply'!$A:$D,3)</f>
        <v/>
      </c>
      <c r="C274" s="59">
        <f>(Table30[[#This Row],[Real M2 Money Stock]]-B262)/B262</f>
        <v/>
      </c>
    </row>
    <row r="275">
      <c r="A275" s="22" t="n">
        <v>29738</v>
      </c>
      <c r="B275" s="24">
        <f>VLOOKUP(Table30[[#This Row],[Month]],'DB Money Supply'!$A:$D,3)</f>
        <v/>
      </c>
      <c r="C275" s="59">
        <f>(Table30[[#This Row],[Real M2 Money Stock]]-B263)/B263</f>
        <v/>
      </c>
    </row>
    <row r="276">
      <c r="A276" s="22" t="n">
        <v>29768</v>
      </c>
      <c r="B276" s="24">
        <f>VLOOKUP(Table30[[#This Row],[Month]],'DB Money Supply'!$A:$D,3)</f>
        <v/>
      </c>
      <c r="C276" s="59">
        <f>(Table30[[#This Row],[Real M2 Money Stock]]-B264)/B264</f>
        <v/>
      </c>
    </row>
    <row r="277">
      <c r="A277" s="22" t="n">
        <v>29799</v>
      </c>
      <c r="B277" s="24">
        <f>VLOOKUP(Table30[[#This Row],[Month]],'DB Money Supply'!$A:$D,3)</f>
        <v/>
      </c>
      <c r="C277" s="59">
        <f>(Table30[[#This Row],[Real M2 Money Stock]]-B265)/B265</f>
        <v/>
      </c>
    </row>
    <row r="278">
      <c r="A278" s="22" t="n">
        <v>29830</v>
      </c>
      <c r="B278" s="24">
        <f>VLOOKUP(Table30[[#This Row],[Month]],'DB Money Supply'!$A:$D,3)</f>
        <v/>
      </c>
      <c r="C278" s="59">
        <f>(Table30[[#This Row],[Real M2 Money Stock]]-B266)/B266</f>
        <v/>
      </c>
    </row>
    <row r="279">
      <c r="A279" s="22" t="n">
        <v>29860</v>
      </c>
      <c r="B279" s="24">
        <f>VLOOKUP(Table30[[#This Row],[Month]],'DB Money Supply'!$A:$D,3)</f>
        <v/>
      </c>
      <c r="C279" s="59">
        <f>(Table30[[#This Row],[Real M2 Money Stock]]-B267)/B267</f>
        <v/>
      </c>
    </row>
    <row r="280">
      <c r="A280" s="22" t="n">
        <v>29891</v>
      </c>
      <c r="B280" s="24">
        <f>VLOOKUP(Table30[[#This Row],[Month]],'DB Money Supply'!$A:$D,3)</f>
        <v/>
      </c>
      <c r="C280" s="59">
        <f>(Table30[[#This Row],[Real M2 Money Stock]]-B268)/B268</f>
        <v/>
      </c>
    </row>
    <row r="281">
      <c r="A281" s="22" t="n">
        <v>29921</v>
      </c>
      <c r="B281" s="24">
        <f>VLOOKUP(Table30[[#This Row],[Month]],'DB Money Supply'!$A:$D,3)</f>
        <v/>
      </c>
      <c r="C281" s="59">
        <f>(Table30[[#This Row],[Real M2 Money Stock]]-B269)/B269</f>
        <v/>
      </c>
    </row>
    <row r="282">
      <c r="A282" s="22" t="n">
        <v>29952</v>
      </c>
      <c r="B282" s="24">
        <f>VLOOKUP(Table30[[#This Row],[Month]],'DB Money Supply'!$A:$D,3)</f>
        <v/>
      </c>
      <c r="C282" s="59">
        <f>(Table30[[#This Row],[Real M2 Money Stock]]-B270)/B270</f>
        <v/>
      </c>
    </row>
    <row r="283">
      <c r="A283" s="22" t="n">
        <v>29983</v>
      </c>
      <c r="B283" s="24">
        <f>VLOOKUP(Table30[[#This Row],[Month]],'DB Money Supply'!$A:$D,3)</f>
        <v/>
      </c>
      <c r="C283" s="59">
        <f>(Table30[[#This Row],[Real M2 Money Stock]]-B271)/B271</f>
        <v/>
      </c>
    </row>
    <row r="284">
      <c r="A284" s="22" t="n">
        <v>30011</v>
      </c>
      <c r="B284" s="24">
        <f>VLOOKUP(Table30[[#This Row],[Month]],'DB Money Supply'!$A:$D,3)</f>
        <v/>
      </c>
      <c r="C284" s="59">
        <f>(Table30[[#This Row],[Real M2 Money Stock]]-B272)/B272</f>
        <v/>
      </c>
    </row>
    <row r="285">
      <c r="A285" s="22" t="n">
        <v>30042</v>
      </c>
      <c r="B285" s="24">
        <f>VLOOKUP(Table30[[#This Row],[Month]],'DB Money Supply'!$A:$D,3)</f>
        <v/>
      </c>
      <c r="C285" s="59">
        <f>(Table30[[#This Row],[Real M2 Money Stock]]-B273)/B273</f>
        <v/>
      </c>
    </row>
    <row r="286">
      <c r="A286" s="22" t="n">
        <v>30072</v>
      </c>
      <c r="B286" s="24">
        <f>VLOOKUP(Table30[[#This Row],[Month]],'DB Money Supply'!$A:$D,3)</f>
        <v/>
      </c>
      <c r="C286" s="59">
        <f>(Table30[[#This Row],[Real M2 Money Stock]]-B274)/B274</f>
        <v/>
      </c>
    </row>
    <row r="287">
      <c r="A287" s="22" t="n">
        <v>30103</v>
      </c>
      <c r="B287" s="24">
        <f>VLOOKUP(Table30[[#This Row],[Month]],'DB Money Supply'!$A:$D,3)</f>
        <v/>
      </c>
      <c r="C287" s="59">
        <f>(Table30[[#This Row],[Real M2 Money Stock]]-B275)/B275</f>
        <v/>
      </c>
    </row>
    <row r="288">
      <c r="A288" s="22" t="n">
        <v>30133</v>
      </c>
      <c r="B288" s="24">
        <f>VLOOKUP(Table30[[#This Row],[Month]],'DB Money Supply'!$A:$D,3)</f>
        <v/>
      </c>
      <c r="C288" s="59">
        <f>(Table30[[#This Row],[Real M2 Money Stock]]-B276)/B276</f>
        <v/>
      </c>
    </row>
    <row r="289">
      <c r="A289" s="22" t="n">
        <v>30164</v>
      </c>
      <c r="B289" s="24">
        <f>VLOOKUP(Table30[[#This Row],[Month]],'DB Money Supply'!$A:$D,3)</f>
        <v/>
      </c>
      <c r="C289" s="59">
        <f>(Table30[[#This Row],[Real M2 Money Stock]]-B277)/B277</f>
        <v/>
      </c>
    </row>
    <row r="290">
      <c r="A290" s="22" t="n">
        <v>30195</v>
      </c>
      <c r="B290" s="24">
        <f>VLOOKUP(Table30[[#This Row],[Month]],'DB Money Supply'!$A:$D,3)</f>
        <v/>
      </c>
      <c r="C290" s="59">
        <f>(Table30[[#This Row],[Real M2 Money Stock]]-B278)/B278</f>
        <v/>
      </c>
    </row>
    <row r="291">
      <c r="A291" s="22" t="n">
        <v>30225</v>
      </c>
      <c r="B291" s="24">
        <f>VLOOKUP(Table30[[#This Row],[Month]],'DB Money Supply'!$A:$D,3)</f>
        <v/>
      </c>
      <c r="C291" s="59">
        <f>(Table30[[#This Row],[Real M2 Money Stock]]-B279)/B279</f>
        <v/>
      </c>
    </row>
    <row r="292">
      <c r="A292" s="22" t="n">
        <v>30256</v>
      </c>
      <c r="B292" s="24">
        <f>VLOOKUP(Table30[[#This Row],[Month]],'DB Money Supply'!$A:$D,3)</f>
        <v/>
      </c>
      <c r="C292" s="59">
        <f>(Table30[[#This Row],[Real M2 Money Stock]]-B280)/B280</f>
        <v/>
      </c>
    </row>
    <row r="293">
      <c r="A293" s="22" t="n">
        <v>30286</v>
      </c>
      <c r="B293" s="24">
        <f>VLOOKUP(Table30[[#This Row],[Month]],'DB Money Supply'!$A:$D,3)</f>
        <v/>
      </c>
      <c r="C293" s="59">
        <f>(Table30[[#This Row],[Real M2 Money Stock]]-B281)/B281</f>
        <v/>
      </c>
    </row>
    <row r="294">
      <c r="A294" s="22" t="n">
        <v>30317</v>
      </c>
      <c r="B294" s="24">
        <f>VLOOKUP(Table30[[#This Row],[Month]],'DB Money Supply'!$A:$D,3)</f>
        <v/>
      </c>
      <c r="C294" s="59">
        <f>(Table30[[#This Row],[Real M2 Money Stock]]-B282)/B282</f>
        <v/>
      </c>
    </row>
    <row r="295">
      <c r="A295" s="22" t="n">
        <v>30348</v>
      </c>
      <c r="B295" s="24">
        <f>VLOOKUP(Table30[[#This Row],[Month]],'DB Money Supply'!$A:$D,3)</f>
        <v/>
      </c>
      <c r="C295" s="59">
        <f>(Table30[[#This Row],[Real M2 Money Stock]]-B283)/B283</f>
        <v/>
      </c>
    </row>
    <row r="296">
      <c r="A296" s="22" t="n">
        <v>30376</v>
      </c>
      <c r="B296" s="24">
        <f>VLOOKUP(Table30[[#This Row],[Month]],'DB Money Supply'!$A:$D,3)</f>
        <v/>
      </c>
      <c r="C296" s="59">
        <f>(Table30[[#This Row],[Real M2 Money Stock]]-B284)/B284</f>
        <v/>
      </c>
    </row>
    <row r="297">
      <c r="A297" s="22" t="n">
        <v>30407</v>
      </c>
      <c r="B297" s="24">
        <f>VLOOKUP(Table30[[#This Row],[Month]],'DB Money Supply'!$A:$D,3)</f>
        <v/>
      </c>
      <c r="C297" s="59">
        <f>(Table30[[#This Row],[Real M2 Money Stock]]-B285)/B285</f>
        <v/>
      </c>
    </row>
    <row r="298">
      <c r="A298" s="22" t="n">
        <v>30437</v>
      </c>
      <c r="B298" s="24">
        <f>VLOOKUP(Table30[[#This Row],[Month]],'DB Money Supply'!$A:$D,3)</f>
        <v/>
      </c>
      <c r="C298" s="59">
        <f>(Table30[[#This Row],[Real M2 Money Stock]]-B286)/B286</f>
        <v/>
      </c>
    </row>
    <row r="299">
      <c r="A299" s="22" t="n">
        <v>30468</v>
      </c>
      <c r="B299" s="24">
        <f>VLOOKUP(Table30[[#This Row],[Month]],'DB Money Supply'!$A:$D,3)</f>
        <v/>
      </c>
      <c r="C299" s="59">
        <f>(Table30[[#This Row],[Real M2 Money Stock]]-B287)/B287</f>
        <v/>
      </c>
    </row>
    <row r="300">
      <c r="A300" s="22" t="n">
        <v>30498</v>
      </c>
      <c r="B300" s="24">
        <f>VLOOKUP(Table30[[#This Row],[Month]],'DB Money Supply'!$A:$D,3)</f>
        <v/>
      </c>
      <c r="C300" s="59">
        <f>(Table30[[#This Row],[Real M2 Money Stock]]-B288)/B288</f>
        <v/>
      </c>
    </row>
    <row r="301">
      <c r="A301" s="22" t="n">
        <v>30529</v>
      </c>
      <c r="B301" s="24">
        <f>VLOOKUP(Table30[[#This Row],[Month]],'DB Money Supply'!$A:$D,3)</f>
        <v/>
      </c>
      <c r="C301" s="59">
        <f>(Table30[[#This Row],[Real M2 Money Stock]]-B289)/B289</f>
        <v/>
      </c>
    </row>
    <row r="302">
      <c r="A302" s="22" t="n">
        <v>30560</v>
      </c>
      <c r="B302" s="24">
        <f>VLOOKUP(Table30[[#This Row],[Month]],'DB Money Supply'!$A:$D,3)</f>
        <v/>
      </c>
      <c r="C302" s="59">
        <f>(Table30[[#This Row],[Real M2 Money Stock]]-B290)/B290</f>
        <v/>
      </c>
    </row>
    <row r="303">
      <c r="A303" s="22" t="n">
        <v>30590</v>
      </c>
      <c r="B303" s="24">
        <f>VLOOKUP(Table30[[#This Row],[Month]],'DB Money Supply'!$A:$D,3)</f>
        <v/>
      </c>
      <c r="C303" s="59">
        <f>(Table30[[#This Row],[Real M2 Money Stock]]-B291)/B291</f>
        <v/>
      </c>
    </row>
    <row r="304">
      <c r="A304" s="22" t="n">
        <v>30621</v>
      </c>
      <c r="B304" s="24">
        <f>VLOOKUP(Table30[[#This Row],[Month]],'DB Money Supply'!$A:$D,3)</f>
        <v/>
      </c>
      <c r="C304" s="59">
        <f>(Table30[[#This Row],[Real M2 Money Stock]]-B292)/B292</f>
        <v/>
      </c>
    </row>
    <row r="305">
      <c r="A305" s="22" t="n">
        <v>30651</v>
      </c>
      <c r="B305" s="24">
        <f>VLOOKUP(Table30[[#This Row],[Month]],'DB Money Supply'!$A:$D,3)</f>
        <v/>
      </c>
      <c r="C305" s="59">
        <f>(Table30[[#This Row],[Real M2 Money Stock]]-B293)/B293</f>
        <v/>
      </c>
    </row>
    <row r="306">
      <c r="A306" s="22" t="n">
        <v>30682</v>
      </c>
      <c r="B306" s="24">
        <f>VLOOKUP(Table30[[#This Row],[Month]],'DB Money Supply'!$A:$D,3)</f>
        <v/>
      </c>
      <c r="C306" s="59">
        <f>(Table30[[#This Row],[Real M2 Money Stock]]-B294)/B294</f>
        <v/>
      </c>
    </row>
    <row r="307">
      <c r="A307" s="22" t="n">
        <v>30713</v>
      </c>
      <c r="B307" s="24">
        <f>VLOOKUP(Table30[[#This Row],[Month]],'DB Money Supply'!$A:$D,3)</f>
        <v/>
      </c>
      <c r="C307" s="59">
        <f>(Table30[[#This Row],[Real M2 Money Stock]]-B295)/B295</f>
        <v/>
      </c>
    </row>
    <row r="308">
      <c r="A308" s="22" t="n">
        <v>30742</v>
      </c>
      <c r="B308" s="24">
        <f>VLOOKUP(Table30[[#This Row],[Month]],'DB Money Supply'!$A:$D,3)</f>
        <v/>
      </c>
      <c r="C308" s="59">
        <f>(Table30[[#This Row],[Real M2 Money Stock]]-B296)/B296</f>
        <v/>
      </c>
    </row>
    <row r="309">
      <c r="A309" s="22" t="n">
        <v>30773</v>
      </c>
      <c r="B309" s="24">
        <f>VLOOKUP(Table30[[#This Row],[Month]],'DB Money Supply'!$A:$D,3)</f>
        <v/>
      </c>
      <c r="C309" s="59">
        <f>(Table30[[#This Row],[Real M2 Money Stock]]-B297)/B297</f>
        <v/>
      </c>
    </row>
    <row r="310">
      <c r="A310" s="22" t="n">
        <v>30803</v>
      </c>
      <c r="B310" s="24">
        <f>VLOOKUP(Table30[[#This Row],[Month]],'DB Money Supply'!$A:$D,3)</f>
        <v/>
      </c>
      <c r="C310" s="59">
        <f>(Table30[[#This Row],[Real M2 Money Stock]]-B298)/B298</f>
        <v/>
      </c>
    </row>
    <row r="311">
      <c r="A311" s="22" t="n">
        <v>30834</v>
      </c>
      <c r="B311" s="24">
        <f>VLOOKUP(Table30[[#This Row],[Month]],'DB Money Supply'!$A:$D,3)</f>
        <v/>
      </c>
      <c r="C311" s="59">
        <f>(Table30[[#This Row],[Real M2 Money Stock]]-B299)/B299</f>
        <v/>
      </c>
    </row>
    <row r="312">
      <c r="A312" s="22" t="n">
        <v>30864</v>
      </c>
      <c r="B312" s="24">
        <f>VLOOKUP(Table30[[#This Row],[Month]],'DB Money Supply'!$A:$D,3)</f>
        <v/>
      </c>
      <c r="C312" s="59">
        <f>(Table30[[#This Row],[Real M2 Money Stock]]-B300)/B300</f>
        <v/>
      </c>
    </row>
    <row r="313">
      <c r="A313" s="22" t="n">
        <v>30895</v>
      </c>
      <c r="B313" s="24">
        <f>VLOOKUP(Table30[[#This Row],[Month]],'DB Money Supply'!$A:$D,3)</f>
        <v/>
      </c>
      <c r="C313" s="59">
        <f>(Table30[[#This Row],[Real M2 Money Stock]]-B301)/B301</f>
        <v/>
      </c>
    </row>
    <row r="314">
      <c r="A314" s="22" t="n">
        <v>30926</v>
      </c>
      <c r="B314" s="24">
        <f>VLOOKUP(Table30[[#This Row],[Month]],'DB Money Supply'!$A:$D,3)</f>
        <v/>
      </c>
      <c r="C314" s="59">
        <f>(Table30[[#This Row],[Real M2 Money Stock]]-B302)/B302</f>
        <v/>
      </c>
    </row>
    <row r="315">
      <c r="A315" s="22" t="n">
        <v>30956</v>
      </c>
      <c r="B315" s="24">
        <f>VLOOKUP(Table30[[#This Row],[Month]],'DB Money Supply'!$A:$D,3)</f>
        <v/>
      </c>
      <c r="C315" s="59">
        <f>(Table30[[#This Row],[Real M2 Money Stock]]-B303)/B303</f>
        <v/>
      </c>
    </row>
    <row r="316">
      <c r="A316" s="22" t="n">
        <v>30987</v>
      </c>
      <c r="B316" s="24">
        <f>VLOOKUP(Table30[[#This Row],[Month]],'DB Money Supply'!$A:$D,3)</f>
        <v/>
      </c>
      <c r="C316" s="59">
        <f>(Table30[[#This Row],[Real M2 Money Stock]]-B304)/B304</f>
        <v/>
      </c>
    </row>
    <row r="317">
      <c r="A317" s="22" t="n">
        <v>31017</v>
      </c>
      <c r="B317" s="24">
        <f>VLOOKUP(Table30[[#This Row],[Month]],'DB Money Supply'!$A:$D,3)</f>
        <v/>
      </c>
      <c r="C317" s="59">
        <f>(Table30[[#This Row],[Real M2 Money Stock]]-B305)/B305</f>
        <v/>
      </c>
    </row>
    <row r="318">
      <c r="A318" s="22" t="n">
        <v>31048</v>
      </c>
      <c r="B318" s="24">
        <f>VLOOKUP(Table30[[#This Row],[Month]],'DB Money Supply'!$A:$D,3)</f>
        <v/>
      </c>
      <c r="C318" s="59">
        <f>(Table30[[#This Row],[Real M2 Money Stock]]-B306)/B306</f>
        <v/>
      </c>
    </row>
    <row r="319">
      <c r="A319" s="22" t="n">
        <v>31079</v>
      </c>
      <c r="B319" s="24">
        <f>VLOOKUP(Table30[[#This Row],[Month]],'DB Money Supply'!$A:$D,3)</f>
        <v/>
      </c>
      <c r="C319" s="59">
        <f>(Table30[[#This Row],[Real M2 Money Stock]]-B307)/B307</f>
        <v/>
      </c>
    </row>
    <row r="320">
      <c r="A320" s="22" t="n">
        <v>31107</v>
      </c>
      <c r="B320" s="24">
        <f>VLOOKUP(Table30[[#This Row],[Month]],'DB Money Supply'!$A:$D,3)</f>
        <v/>
      </c>
      <c r="C320" s="59">
        <f>(Table30[[#This Row],[Real M2 Money Stock]]-B308)/B308</f>
        <v/>
      </c>
    </row>
    <row r="321">
      <c r="A321" s="22" t="n">
        <v>31138</v>
      </c>
      <c r="B321" s="24">
        <f>VLOOKUP(Table30[[#This Row],[Month]],'DB Money Supply'!$A:$D,3)</f>
        <v/>
      </c>
      <c r="C321" s="59">
        <f>(Table30[[#This Row],[Real M2 Money Stock]]-B309)/B309</f>
        <v/>
      </c>
    </row>
    <row r="322">
      <c r="A322" s="22" t="n">
        <v>31168</v>
      </c>
      <c r="B322" s="24">
        <f>VLOOKUP(Table30[[#This Row],[Month]],'DB Money Supply'!$A:$D,3)</f>
        <v/>
      </c>
      <c r="C322" s="59">
        <f>(Table30[[#This Row],[Real M2 Money Stock]]-B310)/B310</f>
        <v/>
      </c>
    </row>
    <row r="323">
      <c r="A323" s="22" t="n">
        <v>31199</v>
      </c>
      <c r="B323" s="24">
        <f>VLOOKUP(Table30[[#This Row],[Month]],'DB Money Supply'!$A:$D,3)</f>
        <v/>
      </c>
      <c r="C323" s="59">
        <f>(Table30[[#This Row],[Real M2 Money Stock]]-B311)/B311</f>
        <v/>
      </c>
    </row>
    <row r="324">
      <c r="A324" s="22" t="n">
        <v>31229</v>
      </c>
      <c r="B324" s="24">
        <f>VLOOKUP(Table30[[#This Row],[Month]],'DB Money Supply'!$A:$D,3)</f>
        <v/>
      </c>
      <c r="C324" s="59">
        <f>(Table30[[#This Row],[Real M2 Money Stock]]-B312)/B312</f>
        <v/>
      </c>
    </row>
    <row r="325">
      <c r="A325" s="22" t="n">
        <v>31260</v>
      </c>
      <c r="B325" s="24">
        <f>VLOOKUP(Table30[[#This Row],[Month]],'DB Money Supply'!$A:$D,3)</f>
        <v/>
      </c>
      <c r="C325" s="59">
        <f>(Table30[[#This Row],[Real M2 Money Stock]]-B313)/B313</f>
        <v/>
      </c>
    </row>
    <row r="326">
      <c r="A326" s="22" t="n">
        <v>31291</v>
      </c>
      <c r="B326" s="24">
        <f>VLOOKUP(Table30[[#This Row],[Month]],'DB Money Supply'!$A:$D,3)</f>
        <v/>
      </c>
      <c r="C326" s="59">
        <f>(Table30[[#This Row],[Real M2 Money Stock]]-B314)/B314</f>
        <v/>
      </c>
    </row>
    <row r="327">
      <c r="A327" s="22" t="n">
        <v>31321</v>
      </c>
      <c r="B327" s="24">
        <f>VLOOKUP(Table30[[#This Row],[Month]],'DB Money Supply'!$A:$D,3)</f>
        <v/>
      </c>
      <c r="C327" s="59">
        <f>(Table30[[#This Row],[Real M2 Money Stock]]-B315)/B315</f>
        <v/>
      </c>
    </row>
    <row r="328">
      <c r="A328" s="22" t="n">
        <v>31352</v>
      </c>
      <c r="B328" s="24">
        <f>VLOOKUP(Table30[[#This Row],[Month]],'DB Money Supply'!$A:$D,3)</f>
        <v/>
      </c>
      <c r="C328" s="59">
        <f>(Table30[[#This Row],[Real M2 Money Stock]]-B316)/B316</f>
        <v/>
      </c>
    </row>
    <row r="329">
      <c r="A329" s="22" t="n">
        <v>31382</v>
      </c>
      <c r="B329" s="24">
        <f>VLOOKUP(Table30[[#This Row],[Month]],'DB Money Supply'!$A:$D,3)</f>
        <v/>
      </c>
      <c r="C329" s="59">
        <f>(Table30[[#This Row],[Real M2 Money Stock]]-B317)/B317</f>
        <v/>
      </c>
    </row>
    <row r="330">
      <c r="A330" s="22" t="n">
        <v>31413</v>
      </c>
      <c r="B330" s="24">
        <f>VLOOKUP(Table30[[#This Row],[Month]],'DB Money Supply'!$A:$D,3)</f>
        <v/>
      </c>
      <c r="C330" s="59">
        <f>(Table30[[#This Row],[Real M2 Money Stock]]-B318)/B318</f>
        <v/>
      </c>
    </row>
    <row r="331">
      <c r="A331" s="22" t="n">
        <v>31444</v>
      </c>
      <c r="B331" s="24">
        <f>VLOOKUP(Table30[[#This Row],[Month]],'DB Money Supply'!$A:$D,3)</f>
        <v/>
      </c>
      <c r="C331" s="59">
        <f>(Table30[[#This Row],[Real M2 Money Stock]]-B319)/B319</f>
        <v/>
      </c>
    </row>
    <row r="332">
      <c r="A332" s="22" t="n">
        <v>31472</v>
      </c>
      <c r="B332" s="24">
        <f>VLOOKUP(Table30[[#This Row],[Month]],'DB Money Supply'!$A:$D,3)</f>
        <v/>
      </c>
      <c r="C332" s="59">
        <f>(Table30[[#This Row],[Real M2 Money Stock]]-B320)/B320</f>
        <v/>
      </c>
    </row>
    <row r="333">
      <c r="A333" s="22" t="n">
        <v>31503</v>
      </c>
      <c r="B333" s="24">
        <f>VLOOKUP(Table30[[#This Row],[Month]],'DB Money Supply'!$A:$D,3)</f>
        <v/>
      </c>
      <c r="C333" s="59">
        <f>(Table30[[#This Row],[Real M2 Money Stock]]-B321)/B321</f>
        <v/>
      </c>
    </row>
    <row r="334">
      <c r="A334" s="22" t="n">
        <v>31533</v>
      </c>
      <c r="B334" s="24">
        <f>VLOOKUP(Table30[[#This Row],[Month]],'DB Money Supply'!$A:$D,3)</f>
        <v/>
      </c>
      <c r="C334" s="59">
        <f>(Table30[[#This Row],[Real M2 Money Stock]]-B322)/B322</f>
        <v/>
      </c>
    </row>
    <row r="335">
      <c r="A335" s="22" t="n">
        <v>31564</v>
      </c>
      <c r="B335" s="24">
        <f>VLOOKUP(Table30[[#This Row],[Month]],'DB Money Supply'!$A:$D,3)</f>
        <v/>
      </c>
      <c r="C335" s="59">
        <f>(Table30[[#This Row],[Real M2 Money Stock]]-B323)/B323</f>
        <v/>
      </c>
    </row>
    <row r="336">
      <c r="A336" s="22" t="n">
        <v>31594</v>
      </c>
      <c r="B336" s="24">
        <f>VLOOKUP(Table30[[#This Row],[Month]],'DB Money Supply'!$A:$D,3)</f>
        <v/>
      </c>
      <c r="C336" s="59">
        <f>(Table30[[#This Row],[Real M2 Money Stock]]-B324)/B324</f>
        <v/>
      </c>
    </row>
    <row r="337">
      <c r="A337" s="22" t="n">
        <v>31625</v>
      </c>
      <c r="B337" s="24">
        <f>VLOOKUP(Table30[[#This Row],[Month]],'DB Money Supply'!$A:$D,3)</f>
        <v/>
      </c>
      <c r="C337" s="59">
        <f>(Table30[[#This Row],[Real M2 Money Stock]]-B325)/B325</f>
        <v/>
      </c>
    </row>
    <row r="338">
      <c r="A338" s="22" t="n">
        <v>31656</v>
      </c>
      <c r="B338" s="24">
        <f>VLOOKUP(Table30[[#This Row],[Month]],'DB Money Supply'!$A:$D,3)</f>
        <v/>
      </c>
      <c r="C338" s="59">
        <f>(Table30[[#This Row],[Real M2 Money Stock]]-B326)/B326</f>
        <v/>
      </c>
    </row>
    <row r="339">
      <c r="A339" s="22" t="n">
        <v>31686</v>
      </c>
      <c r="B339" s="24">
        <f>VLOOKUP(Table30[[#This Row],[Month]],'DB Money Supply'!$A:$D,3)</f>
        <v/>
      </c>
      <c r="C339" s="59">
        <f>(Table30[[#This Row],[Real M2 Money Stock]]-B327)/B327</f>
        <v/>
      </c>
    </row>
    <row r="340">
      <c r="A340" s="22" t="n">
        <v>31717</v>
      </c>
      <c r="B340" s="24">
        <f>VLOOKUP(Table30[[#This Row],[Month]],'DB Money Supply'!$A:$D,3)</f>
        <v/>
      </c>
      <c r="C340" s="59">
        <f>(Table30[[#This Row],[Real M2 Money Stock]]-B328)/B328</f>
        <v/>
      </c>
    </row>
    <row r="341">
      <c r="A341" s="22" t="n">
        <v>31747</v>
      </c>
      <c r="B341" s="24">
        <f>VLOOKUP(Table30[[#This Row],[Month]],'DB Money Supply'!$A:$D,3)</f>
        <v/>
      </c>
      <c r="C341" s="59">
        <f>(Table30[[#This Row],[Real M2 Money Stock]]-B329)/B329</f>
        <v/>
      </c>
    </row>
    <row r="342">
      <c r="A342" s="22" t="n">
        <v>31778</v>
      </c>
      <c r="B342" s="24">
        <f>VLOOKUP(Table30[[#This Row],[Month]],'DB Money Supply'!$A:$D,3)</f>
        <v/>
      </c>
      <c r="C342" s="59">
        <f>(Table30[[#This Row],[Real M2 Money Stock]]-B330)/B330</f>
        <v/>
      </c>
    </row>
    <row r="343">
      <c r="A343" s="22" t="n">
        <v>31809</v>
      </c>
      <c r="B343" s="24">
        <f>VLOOKUP(Table30[[#This Row],[Month]],'DB Money Supply'!$A:$D,3)</f>
        <v/>
      </c>
      <c r="C343" s="59">
        <f>(Table30[[#This Row],[Real M2 Money Stock]]-B331)/B331</f>
        <v/>
      </c>
    </row>
    <row r="344">
      <c r="A344" s="22" t="n">
        <v>31837</v>
      </c>
      <c r="B344" s="24">
        <f>VLOOKUP(Table30[[#This Row],[Month]],'DB Money Supply'!$A:$D,3)</f>
        <v/>
      </c>
      <c r="C344" s="59">
        <f>(Table30[[#This Row],[Real M2 Money Stock]]-B332)/B332</f>
        <v/>
      </c>
    </row>
    <row r="345">
      <c r="A345" s="22" t="n">
        <v>31868</v>
      </c>
      <c r="B345" s="24">
        <f>VLOOKUP(Table30[[#This Row],[Month]],'DB Money Supply'!$A:$D,3)</f>
        <v/>
      </c>
      <c r="C345" s="59">
        <f>(Table30[[#This Row],[Real M2 Money Stock]]-B333)/B333</f>
        <v/>
      </c>
    </row>
    <row r="346">
      <c r="A346" s="22" t="n">
        <v>31898</v>
      </c>
      <c r="B346" s="24">
        <f>VLOOKUP(Table30[[#This Row],[Month]],'DB Money Supply'!$A:$D,3)</f>
        <v/>
      </c>
      <c r="C346" s="59">
        <f>(Table30[[#This Row],[Real M2 Money Stock]]-B334)/B334</f>
        <v/>
      </c>
    </row>
    <row r="347">
      <c r="A347" s="22" t="n">
        <v>31929</v>
      </c>
      <c r="B347" s="24">
        <f>VLOOKUP(Table30[[#This Row],[Month]],'DB Money Supply'!$A:$D,3)</f>
        <v/>
      </c>
      <c r="C347" s="59">
        <f>(Table30[[#This Row],[Real M2 Money Stock]]-B335)/B335</f>
        <v/>
      </c>
    </row>
    <row r="348">
      <c r="A348" s="22" t="n">
        <v>31959</v>
      </c>
      <c r="B348" s="24">
        <f>VLOOKUP(Table30[[#This Row],[Month]],'DB Money Supply'!$A:$D,3)</f>
        <v/>
      </c>
      <c r="C348" s="59">
        <f>(Table30[[#This Row],[Real M2 Money Stock]]-B336)/B336</f>
        <v/>
      </c>
    </row>
    <row r="349">
      <c r="A349" s="22" t="n">
        <v>31990</v>
      </c>
      <c r="B349" s="24">
        <f>VLOOKUP(Table30[[#This Row],[Month]],'DB Money Supply'!$A:$D,3)</f>
        <v/>
      </c>
      <c r="C349" s="59">
        <f>(Table30[[#This Row],[Real M2 Money Stock]]-B337)/B337</f>
        <v/>
      </c>
    </row>
    <row r="350">
      <c r="A350" s="22" t="n">
        <v>32021</v>
      </c>
      <c r="B350" s="24">
        <f>VLOOKUP(Table30[[#This Row],[Month]],'DB Money Supply'!$A:$D,3)</f>
        <v/>
      </c>
      <c r="C350" s="59">
        <f>(Table30[[#This Row],[Real M2 Money Stock]]-B338)/B338</f>
        <v/>
      </c>
    </row>
    <row r="351">
      <c r="A351" s="22" t="n">
        <v>32051</v>
      </c>
      <c r="B351" s="24">
        <f>VLOOKUP(Table30[[#This Row],[Month]],'DB Money Supply'!$A:$D,3)</f>
        <v/>
      </c>
      <c r="C351" s="59">
        <f>(Table30[[#This Row],[Real M2 Money Stock]]-B339)/B339</f>
        <v/>
      </c>
    </row>
    <row r="352">
      <c r="A352" s="22" t="n">
        <v>32082</v>
      </c>
      <c r="B352" s="24">
        <f>VLOOKUP(Table30[[#This Row],[Month]],'DB Money Supply'!$A:$D,3)</f>
        <v/>
      </c>
      <c r="C352" s="59">
        <f>(Table30[[#This Row],[Real M2 Money Stock]]-B340)/B340</f>
        <v/>
      </c>
    </row>
    <row r="353">
      <c r="A353" s="22" t="n">
        <v>32112</v>
      </c>
      <c r="B353" s="24">
        <f>VLOOKUP(Table30[[#This Row],[Month]],'DB Money Supply'!$A:$D,3)</f>
        <v/>
      </c>
      <c r="C353" s="59">
        <f>(Table30[[#This Row],[Real M2 Money Stock]]-B341)/B341</f>
        <v/>
      </c>
    </row>
    <row r="354">
      <c r="A354" s="22" t="n">
        <v>32143</v>
      </c>
      <c r="B354" s="24">
        <f>VLOOKUP(Table30[[#This Row],[Month]],'DB Money Supply'!$A:$D,3)</f>
        <v/>
      </c>
      <c r="C354" s="59">
        <f>(Table30[[#This Row],[Real M2 Money Stock]]-B342)/B342</f>
        <v/>
      </c>
    </row>
    <row r="355">
      <c r="A355" s="22" t="n">
        <v>32174</v>
      </c>
      <c r="B355" s="24">
        <f>VLOOKUP(Table30[[#This Row],[Month]],'DB Money Supply'!$A:$D,3)</f>
        <v/>
      </c>
      <c r="C355" s="59">
        <f>(Table30[[#This Row],[Real M2 Money Stock]]-B343)/B343</f>
        <v/>
      </c>
    </row>
    <row r="356">
      <c r="A356" s="22" t="n">
        <v>32203</v>
      </c>
      <c r="B356" s="24">
        <f>VLOOKUP(Table30[[#This Row],[Month]],'DB Money Supply'!$A:$D,3)</f>
        <v/>
      </c>
      <c r="C356" s="59">
        <f>(Table30[[#This Row],[Real M2 Money Stock]]-B344)/B344</f>
        <v/>
      </c>
    </row>
    <row r="357">
      <c r="A357" s="22" t="n">
        <v>32234</v>
      </c>
      <c r="B357" s="24">
        <f>VLOOKUP(Table30[[#This Row],[Month]],'DB Money Supply'!$A:$D,3)</f>
        <v/>
      </c>
      <c r="C357" s="59">
        <f>(Table30[[#This Row],[Real M2 Money Stock]]-B345)/B345</f>
        <v/>
      </c>
    </row>
    <row r="358">
      <c r="A358" s="22" t="n">
        <v>32264</v>
      </c>
      <c r="B358" s="24">
        <f>VLOOKUP(Table30[[#This Row],[Month]],'DB Money Supply'!$A:$D,3)</f>
        <v/>
      </c>
      <c r="C358" s="59">
        <f>(Table30[[#This Row],[Real M2 Money Stock]]-B346)/B346</f>
        <v/>
      </c>
    </row>
    <row r="359">
      <c r="A359" s="22" t="n">
        <v>32295</v>
      </c>
      <c r="B359" s="24">
        <f>VLOOKUP(Table30[[#This Row],[Month]],'DB Money Supply'!$A:$D,3)</f>
        <v/>
      </c>
      <c r="C359" s="59">
        <f>(Table30[[#This Row],[Real M2 Money Stock]]-B347)/B347</f>
        <v/>
      </c>
    </row>
    <row r="360">
      <c r="A360" s="22" t="n">
        <v>32325</v>
      </c>
      <c r="B360" s="24">
        <f>VLOOKUP(Table30[[#This Row],[Month]],'DB Money Supply'!$A:$D,3)</f>
        <v/>
      </c>
      <c r="C360" s="59">
        <f>(Table30[[#This Row],[Real M2 Money Stock]]-B348)/B348</f>
        <v/>
      </c>
    </row>
    <row r="361">
      <c r="A361" s="22" t="n">
        <v>32356</v>
      </c>
      <c r="B361" s="24">
        <f>VLOOKUP(Table30[[#This Row],[Month]],'DB Money Supply'!$A:$D,3)</f>
        <v/>
      </c>
      <c r="C361" s="59">
        <f>(Table30[[#This Row],[Real M2 Money Stock]]-B349)/B349</f>
        <v/>
      </c>
    </row>
    <row r="362">
      <c r="A362" s="22" t="n">
        <v>32387</v>
      </c>
      <c r="B362" s="24">
        <f>VLOOKUP(Table30[[#This Row],[Month]],'DB Money Supply'!$A:$D,3)</f>
        <v/>
      </c>
      <c r="C362" s="59">
        <f>(Table30[[#This Row],[Real M2 Money Stock]]-B350)/B350</f>
        <v/>
      </c>
    </row>
    <row r="363">
      <c r="A363" s="22" t="n">
        <v>32417</v>
      </c>
      <c r="B363" s="24">
        <f>VLOOKUP(Table30[[#This Row],[Month]],'DB Money Supply'!$A:$D,3)</f>
        <v/>
      </c>
      <c r="C363" s="59">
        <f>(Table30[[#This Row],[Real M2 Money Stock]]-B351)/B351</f>
        <v/>
      </c>
    </row>
    <row r="364">
      <c r="A364" s="22" t="n">
        <v>32448</v>
      </c>
      <c r="B364" s="24">
        <f>VLOOKUP(Table30[[#This Row],[Month]],'DB Money Supply'!$A:$D,3)</f>
        <v/>
      </c>
      <c r="C364" s="59">
        <f>(Table30[[#This Row],[Real M2 Money Stock]]-B352)/B352</f>
        <v/>
      </c>
    </row>
    <row r="365">
      <c r="A365" s="22" t="n">
        <v>32478</v>
      </c>
      <c r="B365" s="24">
        <f>VLOOKUP(Table30[[#This Row],[Month]],'DB Money Supply'!$A:$D,3)</f>
        <v/>
      </c>
      <c r="C365" s="59">
        <f>(Table30[[#This Row],[Real M2 Money Stock]]-B353)/B353</f>
        <v/>
      </c>
    </row>
    <row r="366">
      <c r="A366" s="22" t="n">
        <v>32509</v>
      </c>
      <c r="B366" s="24">
        <f>VLOOKUP(Table30[[#This Row],[Month]],'DB Money Supply'!$A:$D,3)</f>
        <v/>
      </c>
      <c r="C366" s="59">
        <f>(Table30[[#This Row],[Real M2 Money Stock]]-B354)/B354</f>
        <v/>
      </c>
    </row>
    <row r="367">
      <c r="A367" s="22" t="n">
        <v>32540</v>
      </c>
      <c r="B367" s="24">
        <f>VLOOKUP(Table30[[#This Row],[Month]],'DB Money Supply'!$A:$D,3)</f>
        <v/>
      </c>
      <c r="C367" s="59">
        <f>(Table30[[#This Row],[Real M2 Money Stock]]-B355)/B355</f>
        <v/>
      </c>
    </row>
    <row r="368">
      <c r="A368" s="22" t="n">
        <v>32568</v>
      </c>
      <c r="B368" s="24">
        <f>VLOOKUP(Table30[[#This Row],[Month]],'DB Money Supply'!$A:$D,3)</f>
        <v/>
      </c>
      <c r="C368" s="59">
        <f>(Table30[[#This Row],[Real M2 Money Stock]]-B356)/B356</f>
        <v/>
      </c>
    </row>
    <row r="369">
      <c r="A369" s="22" t="n">
        <v>32599</v>
      </c>
      <c r="B369" s="24">
        <f>VLOOKUP(Table30[[#This Row],[Month]],'DB Money Supply'!$A:$D,3)</f>
        <v/>
      </c>
      <c r="C369" s="59">
        <f>(Table30[[#This Row],[Real M2 Money Stock]]-B357)/B357</f>
        <v/>
      </c>
    </row>
    <row r="370">
      <c r="A370" s="22" t="n">
        <v>32629</v>
      </c>
      <c r="B370" s="24">
        <f>VLOOKUP(Table30[[#This Row],[Month]],'DB Money Supply'!$A:$D,3)</f>
        <v/>
      </c>
      <c r="C370" s="59">
        <f>(Table30[[#This Row],[Real M2 Money Stock]]-B358)/B358</f>
        <v/>
      </c>
    </row>
    <row r="371">
      <c r="A371" s="22" t="n">
        <v>32660</v>
      </c>
      <c r="B371" s="24">
        <f>VLOOKUP(Table30[[#This Row],[Month]],'DB Money Supply'!$A:$D,3)</f>
        <v/>
      </c>
      <c r="C371" s="59">
        <f>(Table30[[#This Row],[Real M2 Money Stock]]-B359)/B359</f>
        <v/>
      </c>
    </row>
    <row r="372">
      <c r="A372" s="22" t="n">
        <v>32690</v>
      </c>
      <c r="B372" s="24">
        <f>VLOOKUP(Table30[[#This Row],[Month]],'DB Money Supply'!$A:$D,3)</f>
        <v/>
      </c>
      <c r="C372" s="59">
        <f>(Table30[[#This Row],[Real M2 Money Stock]]-B360)/B360</f>
        <v/>
      </c>
    </row>
    <row r="373">
      <c r="A373" s="22" t="n">
        <v>32721</v>
      </c>
      <c r="B373" s="24">
        <f>VLOOKUP(Table30[[#This Row],[Month]],'DB Money Supply'!$A:$D,3)</f>
        <v/>
      </c>
      <c r="C373" s="59">
        <f>(Table30[[#This Row],[Real M2 Money Stock]]-B361)/B361</f>
        <v/>
      </c>
    </row>
    <row r="374">
      <c r="A374" s="22" t="n">
        <v>32752</v>
      </c>
      <c r="B374" s="24">
        <f>VLOOKUP(Table30[[#This Row],[Month]],'DB Money Supply'!$A:$D,3)</f>
        <v/>
      </c>
      <c r="C374" s="59">
        <f>(Table30[[#This Row],[Real M2 Money Stock]]-B362)/B362</f>
        <v/>
      </c>
    </row>
    <row r="375">
      <c r="A375" s="22" t="n">
        <v>32782</v>
      </c>
      <c r="B375" s="24">
        <f>VLOOKUP(Table30[[#This Row],[Month]],'DB Money Supply'!$A:$D,3)</f>
        <v/>
      </c>
      <c r="C375" s="59">
        <f>(Table30[[#This Row],[Real M2 Money Stock]]-B363)/B363</f>
        <v/>
      </c>
    </row>
    <row r="376">
      <c r="A376" s="22" t="n">
        <v>32813</v>
      </c>
      <c r="B376" s="24">
        <f>VLOOKUP(Table30[[#This Row],[Month]],'DB Money Supply'!$A:$D,3)</f>
        <v/>
      </c>
      <c r="C376" s="59">
        <f>(Table30[[#This Row],[Real M2 Money Stock]]-B364)/B364</f>
        <v/>
      </c>
    </row>
    <row r="377">
      <c r="A377" s="22" t="n">
        <v>32843</v>
      </c>
      <c r="B377" s="24">
        <f>VLOOKUP(Table30[[#This Row],[Month]],'DB Money Supply'!$A:$D,3)</f>
        <v/>
      </c>
      <c r="C377" s="59">
        <f>(Table30[[#This Row],[Real M2 Money Stock]]-B365)/B365</f>
        <v/>
      </c>
    </row>
    <row r="378">
      <c r="A378" s="22" t="n">
        <v>32874</v>
      </c>
      <c r="B378" s="24">
        <f>VLOOKUP(Table30[[#This Row],[Month]],'DB Money Supply'!$A:$D,3)</f>
        <v/>
      </c>
      <c r="C378" s="59">
        <f>(Table30[[#This Row],[Real M2 Money Stock]]-B366)/B366</f>
        <v/>
      </c>
    </row>
    <row r="379">
      <c r="A379" s="22" t="n">
        <v>32905</v>
      </c>
      <c r="B379" s="24">
        <f>VLOOKUP(Table30[[#This Row],[Month]],'DB Money Supply'!$A:$D,3)</f>
        <v/>
      </c>
      <c r="C379" s="59">
        <f>(Table30[[#This Row],[Real M2 Money Stock]]-B367)/B367</f>
        <v/>
      </c>
    </row>
    <row r="380">
      <c r="A380" s="22" t="n">
        <v>32933</v>
      </c>
      <c r="B380" s="24">
        <f>VLOOKUP(Table30[[#This Row],[Month]],'DB Money Supply'!$A:$D,3)</f>
        <v/>
      </c>
      <c r="C380" s="59">
        <f>(Table30[[#This Row],[Real M2 Money Stock]]-B368)/B368</f>
        <v/>
      </c>
    </row>
    <row r="381">
      <c r="A381" s="22" t="n">
        <v>32964</v>
      </c>
      <c r="B381" s="24">
        <f>VLOOKUP(Table30[[#This Row],[Month]],'DB Money Supply'!$A:$D,3)</f>
        <v/>
      </c>
      <c r="C381" s="59">
        <f>(Table30[[#This Row],[Real M2 Money Stock]]-B369)/B369</f>
        <v/>
      </c>
    </row>
    <row r="382">
      <c r="A382" s="22" t="n">
        <v>32994</v>
      </c>
      <c r="B382" s="24">
        <f>VLOOKUP(Table30[[#This Row],[Month]],'DB Money Supply'!$A:$D,3)</f>
        <v/>
      </c>
      <c r="C382" s="59">
        <f>(Table30[[#This Row],[Real M2 Money Stock]]-B370)/B370</f>
        <v/>
      </c>
    </row>
    <row r="383">
      <c r="A383" s="22" t="n">
        <v>33025</v>
      </c>
      <c r="B383" s="24">
        <f>VLOOKUP(Table30[[#This Row],[Month]],'DB Money Supply'!$A:$D,3)</f>
        <v/>
      </c>
      <c r="C383" s="59">
        <f>(Table30[[#This Row],[Real M2 Money Stock]]-B371)/B371</f>
        <v/>
      </c>
    </row>
    <row r="384">
      <c r="A384" s="22" t="n">
        <v>33055</v>
      </c>
      <c r="B384" s="24">
        <f>VLOOKUP(Table30[[#This Row],[Month]],'DB Money Supply'!$A:$D,3)</f>
        <v/>
      </c>
      <c r="C384" s="59">
        <f>(Table30[[#This Row],[Real M2 Money Stock]]-B372)/B372</f>
        <v/>
      </c>
    </row>
    <row r="385">
      <c r="A385" s="22" t="n">
        <v>33086</v>
      </c>
      <c r="B385" s="24">
        <f>VLOOKUP(Table30[[#This Row],[Month]],'DB Money Supply'!$A:$D,3)</f>
        <v/>
      </c>
      <c r="C385" s="59">
        <f>(Table30[[#This Row],[Real M2 Money Stock]]-B373)/B373</f>
        <v/>
      </c>
    </row>
    <row r="386">
      <c r="A386" s="22" t="n">
        <v>33117</v>
      </c>
      <c r="B386" s="24">
        <f>VLOOKUP(Table30[[#This Row],[Month]],'DB Money Supply'!$A:$D,3)</f>
        <v/>
      </c>
      <c r="C386" s="59">
        <f>(Table30[[#This Row],[Real M2 Money Stock]]-B374)/B374</f>
        <v/>
      </c>
    </row>
    <row r="387">
      <c r="A387" s="22" t="n">
        <v>33147</v>
      </c>
      <c r="B387" s="24">
        <f>VLOOKUP(Table30[[#This Row],[Month]],'DB Money Supply'!$A:$D,3)</f>
        <v/>
      </c>
      <c r="C387" s="59">
        <f>(Table30[[#This Row],[Real M2 Money Stock]]-B375)/B375</f>
        <v/>
      </c>
    </row>
    <row r="388">
      <c r="A388" s="22" t="n">
        <v>33178</v>
      </c>
      <c r="B388" s="24">
        <f>VLOOKUP(Table30[[#This Row],[Month]],'DB Money Supply'!$A:$D,3)</f>
        <v/>
      </c>
      <c r="C388" s="59">
        <f>(Table30[[#This Row],[Real M2 Money Stock]]-B376)/B376</f>
        <v/>
      </c>
    </row>
    <row r="389">
      <c r="A389" s="22" t="n">
        <v>33208</v>
      </c>
      <c r="B389" s="24">
        <f>VLOOKUP(Table30[[#This Row],[Month]],'DB Money Supply'!$A:$D,3)</f>
        <v/>
      </c>
      <c r="C389" s="59">
        <f>(Table30[[#This Row],[Real M2 Money Stock]]-B377)/B377</f>
        <v/>
      </c>
    </row>
    <row r="390">
      <c r="A390" s="22" t="n">
        <v>33239</v>
      </c>
      <c r="B390" s="24">
        <f>VLOOKUP(Table30[[#This Row],[Month]],'DB Money Supply'!$A:$D,3)</f>
        <v/>
      </c>
      <c r="C390" s="59">
        <f>(Table30[[#This Row],[Real M2 Money Stock]]-B378)/B378</f>
        <v/>
      </c>
    </row>
    <row r="391">
      <c r="A391" s="22" t="n">
        <v>33270</v>
      </c>
      <c r="B391" s="24">
        <f>VLOOKUP(Table30[[#This Row],[Month]],'DB Money Supply'!$A:$D,3)</f>
        <v/>
      </c>
      <c r="C391" s="59">
        <f>(Table30[[#This Row],[Real M2 Money Stock]]-B379)/B379</f>
        <v/>
      </c>
    </row>
    <row r="392">
      <c r="A392" s="22" t="n">
        <v>33298</v>
      </c>
      <c r="B392" s="24">
        <f>VLOOKUP(Table30[[#This Row],[Month]],'DB Money Supply'!$A:$D,3)</f>
        <v/>
      </c>
      <c r="C392" s="59">
        <f>(Table30[[#This Row],[Real M2 Money Stock]]-B380)/B380</f>
        <v/>
      </c>
    </row>
    <row r="393">
      <c r="A393" s="22" t="n">
        <v>33329</v>
      </c>
      <c r="B393" s="24">
        <f>VLOOKUP(Table30[[#This Row],[Month]],'DB Money Supply'!$A:$D,3)</f>
        <v/>
      </c>
      <c r="C393" s="59">
        <f>(Table30[[#This Row],[Real M2 Money Stock]]-B381)/B381</f>
        <v/>
      </c>
    </row>
    <row r="394">
      <c r="A394" s="22" t="n">
        <v>33359</v>
      </c>
      <c r="B394" s="24">
        <f>VLOOKUP(Table30[[#This Row],[Month]],'DB Money Supply'!$A:$D,3)</f>
        <v/>
      </c>
      <c r="C394" s="59">
        <f>(Table30[[#This Row],[Real M2 Money Stock]]-B382)/B382</f>
        <v/>
      </c>
    </row>
    <row r="395">
      <c r="A395" s="22" t="n">
        <v>33390</v>
      </c>
      <c r="B395" s="24">
        <f>VLOOKUP(Table30[[#This Row],[Month]],'DB Money Supply'!$A:$D,3)</f>
        <v/>
      </c>
      <c r="C395" s="59">
        <f>(Table30[[#This Row],[Real M2 Money Stock]]-B383)/B383</f>
        <v/>
      </c>
    </row>
    <row r="396">
      <c r="A396" s="22" t="n">
        <v>33420</v>
      </c>
      <c r="B396" s="24">
        <f>VLOOKUP(Table30[[#This Row],[Month]],'DB Money Supply'!$A:$D,3)</f>
        <v/>
      </c>
      <c r="C396" s="59">
        <f>(Table30[[#This Row],[Real M2 Money Stock]]-B384)/B384</f>
        <v/>
      </c>
    </row>
    <row r="397">
      <c r="A397" s="22" t="n">
        <v>33451</v>
      </c>
      <c r="B397" s="24">
        <f>VLOOKUP(Table30[[#This Row],[Month]],'DB Money Supply'!$A:$D,3)</f>
        <v/>
      </c>
      <c r="C397" s="59">
        <f>(Table30[[#This Row],[Real M2 Money Stock]]-B385)/B385</f>
        <v/>
      </c>
    </row>
    <row r="398">
      <c r="A398" s="22" t="n">
        <v>33482</v>
      </c>
      <c r="B398" s="24">
        <f>VLOOKUP(Table30[[#This Row],[Month]],'DB Money Supply'!$A:$D,3)</f>
        <v/>
      </c>
      <c r="C398" s="59">
        <f>(Table30[[#This Row],[Real M2 Money Stock]]-B386)/B386</f>
        <v/>
      </c>
    </row>
    <row r="399">
      <c r="A399" s="22" t="n">
        <v>33512</v>
      </c>
      <c r="B399" s="24">
        <f>VLOOKUP(Table30[[#This Row],[Month]],'DB Money Supply'!$A:$D,3)</f>
        <v/>
      </c>
      <c r="C399" s="59">
        <f>(Table30[[#This Row],[Real M2 Money Stock]]-B387)/B387</f>
        <v/>
      </c>
    </row>
    <row r="400">
      <c r="A400" s="22" t="n">
        <v>33543</v>
      </c>
      <c r="B400" s="24">
        <f>VLOOKUP(Table30[[#This Row],[Month]],'DB Money Supply'!$A:$D,3)</f>
        <v/>
      </c>
      <c r="C400" s="59">
        <f>(Table30[[#This Row],[Real M2 Money Stock]]-B388)/B388</f>
        <v/>
      </c>
    </row>
    <row r="401">
      <c r="A401" s="22" t="n">
        <v>33573</v>
      </c>
      <c r="B401" s="24">
        <f>VLOOKUP(Table30[[#This Row],[Month]],'DB Money Supply'!$A:$D,3)</f>
        <v/>
      </c>
      <c r="C401" s="59">
        <f>(Table30[[#This Row],[Real M2 Money Stock]]-B389)/B389</f>
        <v/>
      </c>
    </row>
    <row r="402">
      <c r="A402" s="22" t="n">
        <v>33604</v>
      </c>
      <c r="B402" s="24">
        <f>VLOOKUP(Table30[[#This Row],[Month]],'DB Money Supply'!$A:$D,3)</f>
        <v/>
      </c>
      <c r="C402" s="59">
        <f>(Table30[[#This Row],[Real M2 Money Stock]]-B390)/B390</f>
        <v/>
      </c>
    </row>
    <row r="403">
      <c r="A403" s="22" t="n">
        <v>33635</v>
      </c>
      <c r="B403" s="24">
        <f>VLOOKUP(Table30[[#This Row],[Month]],'DB Money Supply'!$A:$D,3)</f>
        <v/>
      </c>
      <c r="C403" s="59">
        <f>(Table30[[#This Row],[Real M2 Money Stock]]-B391)/B391</f>
        <v/>
      </c>
    </row>
    <row r="404">
      <c r="A404" s="22" t="n">
        <v>33664</v>
      </c>
      <c r="B404" s="24">
        <f>VLOOKUP(Table30[[#This Row],[Month]],'DB Money Supply'!$A:$D,3)</f>
        <v/>
      </c>
      <c r="C404" s="59">
        <f>(Table30[[#This Row],[Real M2 Money Stock]]-B392)/B392</f>
        <v/>
      </c>
    </row>
    <row r="405">
      <c r="A405" s="22" t="n">
        <v>33695</v>
      </c>
      <c r="B405" s="24">
        <f>VLOOKUP(Table30[[#This Row],[Month]],'DB Money Supply'!$A:$D,3)</f>
        <v/>
      </c>
      <c r="C405" s="59">
        <f>(Table30[[#This Row],[Real M2 Money Stock]]-B393)/B393</f>
        <v/>
      </c>
    </row>
    <row r="406">
      <c r="A406" s="22" t="n">
        <v>33725</v>
      </c>
      <c r="B406" s="24">
        <f>VLOOKUP(Table30[[#This Row],[Month]],'DB Money Supply'!$A:$D,3)</f>
        <v/>
      </c>
      <c r="C406" s="59">
        <f>(Table30[[#This Row],[Real M2 Money Stock]]-B394)/B394</f>
        <v/>
      </c>
    </row>
    <row r="407">
      <c r="A407" s="22" t="n">
        <v>33756</v>
      </c>
      <c r="B407" s="24">
        <f>VLOOKUP(Table30[[#This Row],[Month]],'DB Money Supply'!$A:$D,3)</f>
        <v/>
      </c>
      <c r="C407" s="59">
        <f>(Table30[[#This Row],[Real M2 Money Stock]]-B395)/B395</f>
        <v/>
      </c>
    </row>
    <row r="408">
      <c r="A408" s="22" t="n">
        <v>33786</v>
      </c>
      <c r="B408" s="24">
        <f>VLOOKUP(Table30[[#This Row],[Month]],'DB Money Supply'!$A:$D,3)</f>
        <v/>
      </c>
      <c r="C408" s="59">
        <f>(Table30[[#This Row],[Real M2 Money Stock]]-B396)/B396</f>
        <v/>
      </c>
    </row>
    <row r="409">
      <c r="A409" s="22" t="n">
        <v>33817</v>
      </c>
      <c r="B409" s="24">
        <f>VLOOKUP(Table30[[#This Row],[Month]],'DB Money Supply'!$A:$D,3)</f>
        <v/>
      </c>
      <c r="C409" s="59">
        <f>(Table30[[#This Row],[Real M2 Money Stock]]-B397)/B397</f>
        <v/>
      </c>
    </row>
    <row r="410">
      <c r="A410" s="22" t="n">
        <v>33848</v>
      </c>
      <c r="B410" s="24">
        <f>VLOOKUP(Table30[[#This Row],[Month]],'DB Money Supply'!$A:$D,3)</f>
        <v/>
      </c>
      <c r="C410" s="59">
        <f>(Table30[[#This Row],[Real M2 Money Stock]]-B398)/B398</f>
        <v/>
      </c>
    </row>
    <row r="411">
      <c r="A411" s="22" t="n">
        <v>33878</v>
      </c>
      <c r="B411" s="24">
        <f>VLOOKUP(Table30[[#This Row],[Month]],'DB Money Supply'!$A:$D,3)</f>
        <v/>
      </c>
      <c r="C411" s="59">
        <f>(Table30[[#This Row],[Real M2 Money Stock]]-B399)/B399</f>
        <v/>
      </c>
    </row>
    <row r="412">
      <c r="A412" s="22" t="n">
        <v>33909</v>
      </c>
      <c r="B412" s="24">
        <f>VLOOKUP(Table30[[#This Row],[Month]],'DB Money Supply'!$A:$D,3)</f>
        <v/>
      </c>
      <c r="C412" s="59">
        <f>(Table30[[#This Row],[Real M2 Money Stock]]-B400)/B400</f>
        <v/>
      </c>
    </row>
    <row r="413">
      <c r="A413" s="22" t="n">
        <v>33939</v>
      </c>
      <c r="B413" s="24">
        <f>VLOOKUP(Table30[[#This Row],[Month]],'DB Money Supply'!$A:$D,3)</f>
        <v/>
      </c>
      <c r="C413" s="59">
        <f>(Table30[[#This Row],[Real M2 Money Stock]]-B401)/B401</f>
        <v/>
      </c>
    </row>
    <row r="414">
      <c r="A414" s="22" t="n">
        <v>33970</v>
      </c>
      <c r="B414" s="24">
        <f>VLOOKUP(Table30[[#This Row],[Month]],'DB Money Supply'!$A:$D,3)</f>
        <v/>
      </c>
      <c r="C414" s="59">
        <f>(Table30[[#This Row],[Real M2 Money Stock]]-B402)/B402</f>
        <v/>
      </c>
    </row>
    <row r="415">
      <c r="A415" s="22" t="n">
        <v>34001</v>
      </c>
      <c r="B415" s="24">
        <f>VLOOKUP(Table30[[#This Row],[Month]],'DB Money Supply'!$A:$D,3)</f>
        <v/>
      </c>
      <c r="C415" s="59">
        <f>(Table30[[#This Row],[Real M2 Money Stock]]-B403)/B403</f>
        <v/>
      </c>
    </row>
    <row r="416">
      <c r="A416" s="22" t="n">
        <v>34029</v>
      </c>
      <c r="B416" s="24">
        <f>VLOOKUP(Table30[[#This Row],[Month]],'DB Money Supply'!$A:$D,3)</f>
        <v/>
      </c>
      <c r="C416" s="59">
        <f>(Table30[[#This Row],[Real M2 Money Stock]]-B404)/B404</f>
        <v/>
      </c>
    </row>
    <row r="417">
      <c r="A417" s="22" t="n">
        <v>34060</v>
      </c>
      <c r="B417" s="24">
        <f>VLOOKUP(Table30[[#This Row],[Month]],'DB Money Supply'!$A:$D,3)</f>
        <v/>
      </c>
      <c r="C417" s="59">
        <f>(Table30[[#This Row],[Real M2 Money Stock]]-B405)/B405</f>
        <v/>
      </c>
    </row>
    <row r="418">
      <c r="A418" s="22" t="n">
        <v>34090</v>
      </c>
      <c r="B418" s="24">
        <f>VLOOKUP(Table30[[#This Row],[Month]],'DB Money Supply'!$A:$D,3)</f>
        <v/>
      </c>
      <c r="C418" s="59">
        <f>(Table30[[#This Row],[Real M2 Money Stock]]-B406)/B406</f>
        <v/>
      </c>
    </row>
    <row r="419">
      <c r="A419" s="22" t="n">
        <v>34121</v>
      </c>
      <c r="B419" s="24">
        <f>VLOOKUP(Table30[[#This Row],[Month]],'DB Money Supply'!$A:$D,3)</f>
        <v/>
      </c>
      <c r="C419" s="59">
        <f>(Table30[[#This Row],[Real M2 Money Stock]]-B407)/B407</f>
        <v/>
      </c>
    </row>
    <row r="420">
      <c r="A420" s="22" t="n">
        <v>34151</v>
      </c>
      <c r="B420" s="24">
        <f>VLOOKUP(Table30[[#This Row],[Month]],'DB Money Supply'!$A:$D,3)</f>
        <v/>
      </c>
      <c r="C420" s="59">
        <f>(Table30[[#This Row],[Real M2 Money Stock]]-B408)/B408</f>
        <v/>
      </c>
    </row>
    <row r="421">
      <c r="A421" s="22" t="n">
        <v>34182</v>
      </c>
      <c r="B421" s="24">
        <f>VLOOKUP(Table30[[#This Row],[Month]],'DB Money Supply'!$A:$D,3)</f>
        <v/>
      </c>
      <c r="C421" s="59">
        <f>(Table30[[#This Row],[Real M2 Money Stock]]-B409)/B409</f>
        <v/>
      </c>
    </row>
    <row r="422">
      <c r="A422" s="22" t="n">
        <v>34213</v>
      </c>
      <c r="B422" s="24">
        <f>VLOOKUP(Table30[[#This Row],[Month]],'DB Money Supply'!$A:$D,3)</f>
        <v/>
      </c>
      <c r="C422" s="59">
        <f>(Table30[[#This Row],[Real M2 Money Stock]]-B410)/B410</f>
        <v/>
      </c>
    </row>
    <row r="423">
      <c r="A423" s="22" t="n">
        <v>34243</v>
      </c>
      <c r="B423" s="24">
        <f>VLOOKUP(Table30[[#This Row],[Month]],'DB Money Supply'!$A:$D,3)</f>
        <v/>
      </c>
      <c r="C423" s="59">
        <f>(Table30[[#This Row],[Real M2 Money Stock]]-B411)/B411</f>
        <v/>
      </c>
    </row>
    <row r="424">
      <c r="A424" s="22" t="n">
        <v>34274</v>
      </c>
      <c r="B424" s="24">
        <f>VLOOKUP(Table30[[#This Row],[Month]],'DB Money Supply'!$A:$D,3)</f>
        <v/>
      </c>
      <c r="C424" s="59">
        <f>(Table30[[#This Row],[Real M2 Money Stock]]-B412)/B412</f>
        <v/>
      </c>
    </row>
    <row r="425">
      <c r="A425" s="22" t="n">
        <v>34304</v>
      </c>
      <c r="B425" s="24">
        <f>VLOOKUP(Table30[[#This Row],[Month]],'DB Money Supply'!$A:$D,3)</f>
        <v/>
      </c>
      <c r="C425" s="59">
        <f>(Table30[[#This Row],[Real M2 Money Stock]]-B413)/B413</f>
        <v/>
      </c>
    </row>
    <row r="426">
      <c r="A426" s="22" t="n">
        <v>34335</v>
      </c>
      <c r="B426" s="24">
        <f>VLOOKUP(Table30[[#This Row],[Month]],'DB Money Supply'!$A:$D,3)</f>
        <v/>
      </c>
      <c r="C426" s="59">
        <f>(Table30[[#This Row],[Real M2 Money Stock]]-B414)/B414</f>
        <v/>
      </c>
    </row>
    <row r="427">
      <c r="A427" s="22" t="n">
        <v>34366</v>
      </c>
      <c r="B427" s="24">
        <f>VLOOKUP(Table30[[#This Row],[Month]],'DB Money Supply'!$A:$D,3)</f>
        <v/>
      </c>
      <c r="C427" s="59">
        <f>(Table30[[#This Row],[Real M2 Money Stock]]-B415)/B415</f>
        <v/>
      </c>
    </row>
    <row r="428">
      <c r="A428" s="22" t="n">
        <v>34394</v>
      </c>
      <c r="B428" s="24">
        <f>VLOOKUP(Table30[[#This Row],[Month]],'DB Money Supply'!$A:$D,3)</f>
        <v/>
      </c>
      <c r="C428" s="59">
        <f>(Table30[[#This Row],[Real M2 Money Stock]]-B416)/B416</f>
        <v/>
      </c>
    </row>
    <row r="429">
      <c r="A429" s="22" t="n">
        <v>34425</v>
      </c>
      <c r="B429" s="24">
        <f>VLOOKUP(Table30[[#This Row],[Month]],'DB Money Supply'!$A:$D,3)</f>
        <v/>
      </c>
      <c r="C429" s="59">
        <f>(Table30[[#This Row],[Real M2 Money Stock]]-B417)/B417</f>
        <v/>
      </c>
    </row>
    <row r="430">
      <c r="A430" s="22" t="n">
        <v>34455</v>
      </c>
      <c r="B430" s="24">
        <f>VLOOKUP(Table30[[#This Row],[Month]],'DB Money Supply'!$A:$D,3)</f>
        <v/>
      </c>
      <c r="C430" s="59">
        <f>(Table30[[#This Row],[Real M2 Money Stock]]-B418)/B418</f>
        <v/>
      </c>
    </row>
    <row r="431">
      <c r="A431" s="22" t="n">
        <v>34486</v>
      </c>
      <c r="B431" s="24">
        <f>VLOOKUP(Table30[[#This Row],[Month]],'DB Money Supply'!$A:$D,3)</f>
        <v/>
      </c>
      <c r="C431" s="59">
        <f>(Table30[[#This Row],[Real M2 Money Stock]]-B419)/B419</f>
        <v/>
      </c>
    </row>
    <row r="432">
      <c r="A432" s="22" t="n">
        <v>34516</v>
      </c>
      <c r="B432" s="24">
        <f>VLOOKUP(Table30[[#This Row],[Month]],'DB Money Supply'!$A:$D,3)</f>
        <v/>
      </c>
      <c r="C432" s="59">
        <f>(Table30[[#This Row],[Real M2 Money Stock]]-B420)/B420</f>
        <v/>
      </c>
    </row>
    <row r="433">
      <c r="A433" s="22" t="n">
        <v>34547</v>
      </c>
      <c r="B433" s="24">
        <f>VLOOKUP(Table30[[#This Row],[Month]],'DB Money Supply'!$A:$D,3)</f>
        <v/>
      </c>
      <c r="C433" s="59">
        <f>(Table30[[#This Row],[Real M2 Money Stock]]-B421)/B421</f>
        <v/>
      </c>
    </row>
    <row r="434">
      <c r="A434" s="22" t="n">
        <v>34578</v>
      </c>
      <c r="B434" s="24">
        <f>VLOOKUP(Table30[[#This Row],[Month]],'DB Money Supply'!$A:$D,3)</f>
        <v/>
      </c>
      <c r="C434" s="59">
        <f>(Table30[[#This Row],[Real M2 Money Stock]]-B422)/B422</f>
        <v/>
      </c>
    </row>
    <row r="435">
      <c r="A435" s="22" t="n">
        <v>34608</v>
      </c>
      <c r="B435" s="24">
        <f>VLOOKUP(Table30[[#This Row],[Month]],'DB Money Supply'!$A:$D,3)</f>
        <v/>
      </c>
      <c r="C435" s="59">
        <f>(Table30[[#This Row],[Real M2 Money Stock]]-B423)/B423</f>
        <v/>
      </c>
    </row>
    <row r="436">
      <c r="A436" s="22" t="n">
        <v>34639</v>
      </c>
      <c r="B436" s="24">
        <f>VLOOKUP(Table30[[#This Row],[Month]],'DB Money Supply'!$A:$D,3)</f>
        <v/>
      </c>
      <c r="C436" s="59">
        <f>(Table30[[#This Row],[Real M2 Money Stock]]-B424)/B424</f>
        <v/>
      </c>
    </row>
    <row r="437">
      <c r="A437" s="22" t="n">
        <v>34669</v>
      </c>
      <c r="B437" s="24">
        <f>VLOOKUP(Table30[[#This Row],[Month]],'DB Money Supply'!$A:$D,3)</f>
        <v/>
      </c>
      <c r="C437" s="59">
        <f>(Table30[[#This Row],[Real M2 Money Stock]]-B425)/B425</f>
        <v/>
      </c>
    </row>
    <row r="438">
      <c r="A438" s="22" t="n">
        <v>34700</v>
      </c>
      <c r="B438" s="24">
        <f>VLOOKUP(Table30[[#This Row],[Month]],'DB Money Supply'!$A:$D,3)</f>
        <v/>
      </c>
      <c r="C438" s="59">
        <f>(Table30[[#This Row],[Real M2 Money Stock]]-B426)/B426</f>
        <v/>
      </c>
    </row>
    <row r="439">
      <c r="A439" s="22" t="n">
        <v>34731</v>
      </c>
      <c r="B439" s="24">
        <f>VLOOKUP(Table30[[#This Row],[Month]],'DB Money Supply'!$A:$D,3)</f>
        <v/>
      </c>
      <c r="C439" s="59">
        <f>(Table30[[#This Row],[Real M2 Money Stock]]-B427)/B427</f>
        <v/>
      </c>
    </row>
    <row r="440">
      <c r="A440" s="22" t="n">
        <v>34759</v>
      </c>
      <c r="B440" s="24">
        <f>VLOOKUP(Table30[[#This Row],[Month]],'DB Money Supply'!$A:$D,3)</f>
        <v/>
      </c>
      <c r="C440" s="59">
        <f>(Table30[[#This Row],[Real M2 Money Stock]]-B428)/B428</f>
        <v/>
      </c>
    </row>
    <row r="441">
      <c r="A441" s="22" t="n">
        <v>34790</v>
      </c>
      <c r="B441" s="24">
        <f>VLOOKUP(Table30[[#This Row],[Month]],'DB Money Supply'!$A:$D,3)</f>
        <v/>
      </c>
      <c r="C441" s="59">
        <f>(Table30[[#This Row],[Real M2 Money Stock]]-B429)/B429</f>
        <v/>
      </c>
    </row>
    <row r="442">
      <c r="A442" s="22" t="n">
        <v>34820</v>
      </c>
      <c r="B442" s="24">
        <f>VLOOKUP(Table30[[#This Row],[Month]],'DB Money Supply'!$A:$D,3)</f>
        <v/>
      </c>
      <c r="C442" s="59">
        <f>(Table30[[#This Row],[Real M2 Money Stock]]-B430)/B430</f>
        <v/>
      </c>
    </row>
    <row r="443">
      <c r="A443" s="22" t="n">
        <v>34851</v>
      </c>
      <c r="B443" s="24">
        <f>VLOOKUP(Table30[[#This Row],[Month]],'DB Money Supply'!$A:$D,3)</f>
        <v/>
      </c>
      <c r="C443" s="59">
        <f>(Table30[[#This Row],[Real M2 Money Stock]]-B431)/B431</f>
        <v/>
      </c>
    </row>
    <row r="444">
      <c r="A444" s="22" t="n">
        <v>34881</v>
      </c>
      <c r="B444" s="24">
        <f>VLOOKUP(Table30[[#This Row],[Month]],'DB Money Supply'!$A:$D,3)</f>
        <v/>
      </c>
      <c r="C444" s="59">
        <f>(Table30[[#This Row],[Real M2 Money Stock]]-B432)/B432</f>
        <v/>
      </c>
    </row>
    <row r="445">
      <c r="A445" s="22" t="n">
        <v>34912</v>
      </c>
      <c r="B445" s="24">
        <f>VLOOKUP(Table30[[#This Row],[Month]],'DB Money Supply'!$A:$D,3)</f>
        <v/>
      </c>
      <c r="C445" s="59">
        <f>(Table30[[#This Row],[Real M2 Money Stock]]-B433)/B433</f>
        <v/>
      </c>
    </row>
    <row r="446">
      <c r="A446" s="22" t="n">
        <v>34943</v>
      </c>
      <c r="B446" s="24">
        <f>VLOOKUP(Table30[[#This Row],[Month]],'DB Money Supply'!$A:$D,3)</f>
        <v/>
      </c>
      <c r="C446" s="59">
        <f>(Table30[[#This Row],[Real M2 Money Stock]]-B434)/B434</f>
        <v/>
      </c>
    </row>
    <row r="447">
      <c r="A447" s="22" t="n">
        <v>34973</v>
      </c>
      <c r="B447" s="24">
        <f>VLOOKUP(Table30[[#This Row],[Month]],'DB Money Supply'!$A:$D,3)</f>
        <v/>
      </c>
      <c r="C447" s="59">
        <f>(Table30[[#This Row],[Real M2 Money Stock]]-B435)/B435</f>
        <v/>
      </c>
    </row>
    <row r="448">
      <c r="A448" s="22" t="n">
        <v>35004</v>
      </c>
      <c r="B448" s="24">
        <f>VLOOKUP(Table30[[#This Row],[Month]],'DB Money Supply'!$A:$D,3)</f>
        <v/>
      </c>
      <c r="C448" s="59">
        <f>(Table30[[#This Row],[Real M2 Money Stock]]-B436)/B436</f>
        <v/>
      </c>
    </row>
    <row r="449">
      <c r="A449" s="22" t="n">
        <v>35034</v>
      </c>
      <c r="B449" s="24">
        <f>VLOOKUP(Table30[[#This Row],[Month]],'DB Money Supply'!$A:$D,3)</f>
        <v/>
      </c>
      <c r="C449" s="59">
        <f>(Table30[[#This Row],[Real M2 Money Stock]]-B437)/B437</f>
        <v/>
      </c>
    </row>
    <row r="450">
      <c r="A450" s="22" t="n">
        <v>35065</v>
      </c>
      <c r="B450" s="24">
        <f>VLOOKUP(Table30[[#This Row],[Month]],'DB Money Supply'!$A:$D,3)</f>
        <v/>
      </c>
      <c r="C450" s="59">
        <f>(Table30[[#This Row],[Real M2 Money Stock]]-B438)/B438</f>
        <v/>
      </c>
    </row>
    <row r="451">
      <c r="A451" s="22" t="n">
        <v>35096</v>
      </c>
      <c r="B451" s="24">
        <f>VLOOKUP(Table30[[#This Row],[Month]],'DB Money Supply'!$A:$D,3)</f>
        <v/>
      </c>
      <c r="C451" s="59">
        <f>(Table30[[#This Row],[Real M2 Money Stock]]-B439)/B439</f>
        <v/>
      </c>
    </row>
    <row r="452">
      <c r="A452" s="22" t="n">
        <v>35125</v>
      </c>
      <c r="B452" s="24">
        <f>VLOOKUP(Table30[[#This Row],[Month]],'DB Money Supply'!$A:$D,3)</f>
        <v/>
      </c>
      <c r="C452" s="59">
        <f>(Table30[[#This Row],[Real M2 Money Stock]]-B440)/B440</f>
        <v/>
      </c>
    </row>
    <row r="453">
      <c r="A453" s="22" t="n">
        <v>35156</v>
      </c>
      <c r="B453" s="24">
        <f>VLOOKUP(Table30[[#This Row],[Month]],'DB Money Supply'!$A:$D,3)</f>
        <v/>
      </c>
      <c r="C453" s="59">
        <f>(Table30[[#This Row],[Real M2 Money Stock]]-B441)/B441</f>
        <v/>
      </c>
    </row>
    <row r="454">
      <c r="A454" s="22" t="n">
        <v>35186</v>
      </c>
      <c r="B454" s="24">
        <f>VLOOKUP(Table30[[#This Row],[Month]],'DB Money Supply'!$A:$D,3)</f>
        <v/>
      </c>
      <c r="C454" s="59">
        <f>(Table30[[#This Row],[Real M2 Money Stock]]-B442)/B442</f>
        <v/>
      </c>
    </row>
    <row r="455">
      <c r="A455" s="22" t="n">
        <v>35217</v>
      </c>
      <c r="B455" s="24">
        <f>VLOOKUP(Table30[[#This Row],[Month]],'DB Money Supply'!$A:$D,3)</f>
        <v/>
      </c>
      <c r="C455" s="59">
        <f>(Table30[[#This Row],[Real M2 Money Stock]]-B443)/B443</f>
        <v/>
      </c>
    </row>
    <row r="456">
      <c r="A456" s="22" t="n">
        <v>35247</v>
      </c>
      <c r="B456" s="24">
        <f>VLOOKUP(Table30[[#This Row],[Month]],'DB Money Supply'!$A:$D,3)</f>
        <v/>
      </c>
      <c r="C456" s="59">
        <f>(Table30[[#This Row],[Real M2 Money Stock]]-B444)/B444</f>
        <v/>
      </c>
    </row>
    <row r="457">
      <c r="A457" s="22" t="n">
        <v>35278</v>
      </c>
      <c r="B457" s="24">
        <f>VLOOKUP(Table30[[#This Row],[Month]],'DB Money Supply'!$A:$D,3)</f>
        <v/>
      </c>
      <c r="C457" s="59">
        <f>(Table30[[#This Row],[Real M2 Money Stock]]-B445)/B445</f>
        <v/>
      </c>
    </row>
    <row r="458">
      <c r="A458" s="22" t="n">
        <v>35309</v>
      </c>
      <c r="B458" s="24">
        <f>VLOOKUP(Table30[[#This Row],[Month]],'DB Money Supply'!$A:$D,3)</f>
        <v/>
      </c>
      <c r="C458" s="59">
        <f>(Table30[[#This Row],[Real M2 Money Stock]]-B446)/B446</f>
        <v/>
      </c>
    </row>
    <row r="459">
      <c r="A459" s="22" t="n">
        <v>35339</v>
      </c>
      <c r="B459" s="24">
        <f>VLOOKUP(Table30[[#This Row],[Month]],'DB Money Supply'!$A:$D,3)</f>
        <v/>
      </c>
      <c r="C459" s="59">
        <f>(Table30[[#This Row],[Real M2 Money Stock]]-B447)/B447</f>
        <v/>
      </c>
    </row>
    <row r="460">
      <c r="A460" s="22" t="n">
        <v>35370</v>
      </c>
      <c r="B460" s="24">
        <f>VLOOKUP(Table30[[#This Row],[Month]],'DB Money Supply'!$A:$D,3)</f>
        <v/>
      </c>
      <c r="C460" s="59">
        <f>(Table30[[#This Row],[Real M2 Money Stock]]-B448)/B448</f>
        <v/>
      </c>
    </row>
    <row r="461">
      <c r="A461" s="22" t="n">
        <v>35400</v>
      </c>
      <c r="B461" s="24">
        <f>VLOOKUP(Table30[[#This Row],[Month]],'DB Money Supply'!$A:$D,3)</f>
        <v/>
      </c>
      <c r="C461" s="59">
        <f>(Table30[[#This Row],[Real M2 Money Stock]]-B449)/B449</f>
        <v/>
      </c>
    </row>
    <row r="462">
      <c r="A462" s="22" t="n">
        <v>35431</v>
      </c>
      <c r="B462" s="24">
        <f>VLOOKUP(Table30[[#This Row],[Month]],'DB Money Supply'!$A:$D,3)</f>
        <v/>
      </c>
      <c r="C462" s="59">
        <f>(Table30[[#This Row],[Real M2 Money Stock]]-B450)/B450</f>
        <v/>
      </c>
    </row>
    <row r="463">
      <c r="A463" s="22" t="n">
        <v>35462</v>
      </c>
      <c r="B463" s="24">
        <f>VLOOKUP(Table30[[#This Row],[Month]],'DB Money Supply'!$A:$D,3)</f>
        <v/>
      </c>
      <c r="C463" s="59">
        <f>(Table30[[#This Row],[Real M2 Money Stock]]-B451)/B451</f>
        <v/>
      </c>
    </row>
    <row r="464">
      <c r="A464" s="22" t="n">
        <v>35490</v>
      </c>
      <c r="B464" s="24">
        <f>VLOOKUP(Table30[[#This Row],[Month]],'DB Money Supply'!$A:$D,3)</f>
        <v/>
      </c>
      <c r="C464" s="59">
        <f>(Table30[[#This Row],[Real M2 Money Stock]]-B452)/B452</f>
        <v/>
      </c>
    </row>
    <row r="465">
      <c r="A465" s="22" t="n">
        <v>35521</v>
      </c>
      <c r="B465" s="24">
        <f>VLOOKUP(Table30[[#This Row],[Month]],'DB Money Supply'!$A:$D,3)</f>
        <v/>
      </c>
      <c r="C465" s="59">
        <f>(Table30[[#This Row],[Real M2 Money Stock]]-B453)/B453</f>
        <v/>
      </c>
    </row>
    <row r="466">
      <c r="A466" s="22" t="n">
        <v>35551</v>
      </c>
      <c r="B466" s="24">
        <f>VLOOKUP(Table30[[#This Row],[Month]],'DB Money Supply'!$A:$D,3)</f>
        <v/>
      </c>
      <c r="C466" s="59">
        <f>(Table30[[#This Row],[Real M2 Money Stock]]-B454)/B454</f>
        <v/>
      </c>
    </row>
    <row r="467">
      <c r="A467" s="22" t="n">
        <v>35582</v>
      </c>
      <c r="B467" s="24">
        <f>VLOOKUP(Table30[[#This Row],[Month]],'DB Money Supply'!$A:$D,3)</f>
        <v/>
      </c>
      <c r="C467" s="59">
        <f>(Table30[[#This Row],[Real M2 Money Stock]]-B455)/B455</f>
        <v/>
      </c>
    </row>
    <row r="468">
      <c r="A468" s="22" t="n">
        <v>35612</v>
      </c>
      <c r="B468" s="24">
        <f>VLOOKUP(Table30[[#This Row],[Month]],'DB Money Supply'!$A:$D,3)</f>
        <v/>
      </c>
      <c r="C468" s="59">
        <f>(Table30[[#This Row],[Real M2 Money Stock]]-B456)/B456</f>
        <v/>
      </c>
    </row>
    <row r="469">
      <c r="A469" s="22" t="n">
        <v>35643</v>
      </c>
      <c r="B469" s="24">
        <f>VLOOKUP(Table30[[#This Row],[Month]],'DB Money Supply'!$A:$D,3)</f>
        <v/>
      </c>
      <c r="C469" s="59">
        <f>(Table30[[#This Row],[Real M2 Money Stock]]-B457)/B457</f>
        <v/>
      </c>
    </row>
    <row r="470">
      <c r="A470" s="22" t="n">
        <v>35674</v>
      </c>
      <c r="B470" s="24">
        <f>VLOOKUP(Table30[[#This Row],[Month]],'DB Money Supply'!$A:$D,3)</f>
        <v/>
      </c>
      <c r="C470" s="59">
        <f>(Table30[[#This Row],[Real M2 Money Stock]]-B458)/B458</f>
        <v/>
      </c>
    </row>
    <row r="471">
      <c r="A471" s="22" t="n">
        <v>35704</v>
      </c>
      <c r="B471" s="24">
        <f>VLOOKUP(Table30[[#This Row],[Month]],'DB Money Supply'!$A:$D,3)</f>
        <v/>
      </c>
      <c r="C471" s="59">
        <f>(Table30[[#This Row],[Real M2 Money Stock]]-B459)/B459</f>
        <v/>
      </c>
    </row>
    <row r="472">
      <c r="A472" s="22" t="n">
        <v>35735</v>
      </c>
      <c r="B472" s="24">
        <f>VLOOKUP(Table30[[#This Row],[Month]],'DB Money Supply'!$A:$D,3)</f>
        <v/>
      </c>
      <c r="C472" s="59">
        <f>(Table30[[#This Row],[Real M2 Money Stock]]-B460)/B460</f>
        <v/>
      </c>
    </row>
    <row r="473">
      <c r="A473" s="22" t="n">
        <v>35765</v>
      </c>
      <c r="B473" s="24">
        <f>VLOOKUP(Table30[[#This Row],[Month]],'DB Money Supply'!$A:$D,3)</f>
        <v/>
      </c>
      <c r="C473" s="59">
        <f>(Table30[[#This Row],[Real M2 Money Stock]]-B461)/B461</f>
        <v/>
      </c>
    </row>
    <row r="474">
      <c r="A474" s="22" t="n">
        <v>35796</v>
      </c>
      <c r="B474" s="24">
        <f>VLOOKUP(Table30[[#This Row],[Month]],'DB Money Supply'!$A:$D,3)</f>
        <v/>
      </c>
      <c r="C474" s="59">
        <f>(Table30[[#This Row],[Real M2 Money Stock]]-B462)/B462</f>
        <v/>
      </c>
    </row>
    <row r="475">
      <c r="A475" s="22" t="n">
        <v>35827</v>
      </c>
      <c r="B475" s="24">
        <f>VLOOKUP(Table30[[#This Row],[Month]],'DB Money Supply'!$A:$D,3)</f>
        <v/>
      </c>
      <c r="C475" s="59">
        <f>(Table30[[#This Row],[Real M2 Money Stock]]-B463)/B463</f>
        <v/>
      </c>
    </row>
    <row r="476">
      <c r="A476" s="22" t="n">
        <v>35855</v>
      </c>
      <c r="B476" s="24">
        <f>VLOOKUP(Table30[[#This Row],[Month]],'DB Money Supply'!$A:$D,3)</f>
        <v/>
      </c>
      <c r="C476" s="59">
        <f>(Table30[[#This Row],[Real M2 Money Stock]]-B464)/B464</f>
        <v/>
      </c>
    </row>
    <row r="477">
      <c r="A477" s="22" t="n">
        <v>35886</v>
      </c>
      <c r="B477" s="24">
        <f>VLOOKUP(Table30[[#This Row],[Month]],'DB Money Supply'!$A:$D,3)</f>
        <v/>
      </c>
      <c r="C477" s="59">
        <f>(Table30[[#This Row],[Real M2 Money Stock]]-B465)/B465</f>
        <v/>
      </c>
    </row>
    <row r="478">
      <c r="A478" s="22" t="n">
        <v>35916</v>
      </c>
      <c r="B478" s="24">
        <f>VLOOKUP(Table30[[#This Row],[Month]],'DB Money Supply'!$A:$D,3)</f>
        <v/>
      </c>
      <c r="C478" s="59">
        <f>(Table30[[#This Row],[Real M2 Money Stock]]-B466)/B466</f>
        <v/>
      </c>
    </row>
    <row r="479">
      <c r="A479" s="22" t="n">
        <v>35947</v>
      </c>
      <c r="B479" s="24">
        <f>VLOOKUP(Table30[[#This Row],[Month]],'DB Money Supply'!$A:$D,3)</f>
        <v/>
      </c>
      <c r="C479" s="59">
        <f>(Table30[[#This Row],[Real M2 Money Stock]]-B467)/B467</f>
        <v/>
      </c>
    </row>
    <row r="480">
      <c r="A480" s="22" t="n">
        <v>35977</v>
      </c>
      <c r="B480" s="24">
        <f>VLOOKUP(Table30[[#This Row],[Month]],'DB Money Supply'!$A:$D,3)</f>
        <v/>
      </c>
      <c r="C480" s="59">
        <f>(Table30[[#This Row],[Real M2 Money Stock]]-B468)/B468</f>
        <v/>
      </c>
    </row>
    <row r="481">
      <c r="A481" s="22" t="n">
        <v>36008</v>
      </c>
      <c r="B481" s="24">
        <f>VLOOKUP(Table30[[#This Row],[Month]],'DB Money Supply'!$A:$D,3)</f>
        <v/>
      </c>
      <c r="C481" s="59">
        <f>(Table30[[#This Row],[Real M2 Money Stock]]-B469)/B469</f>
        <v/>
      </c>
    </row>
    <row r="482">
      <c r="A482" s="22" t="n">
        <v>36039</v>
      </c>
      <c r="B482" s="24">
        <f>VLOOKUP(Table30[[#This Row],[Month]],'DB Money Supply'!$A:$D,3)</f>
        <v/>
      </c>
      <c r="C482" s="59">
        <f>(Table30[[#This Row],[Real M2 Money Stock]]-B470)/B470</f>
        <v/>
      </c>
    </row>
    <row r="483">
      <c r="A483" s="22" t="n">
        <v>36069</v>
      </c>
      <c r="B483" s="24">
        <f>VLOOKUP(Table30[[#This Row],[Month]],'DB Money Supply'!$A:$D,3)</f>
        <v/>
      </c>
      <c r="C483" s="59">
        <f>(Table30[[#This Row],[Real M2 Money Stock]]-B471)/B471</f>
        <v/>
      </c>
    </row>
    <row r="484">
      <c r="A484" s="22" t="n">
        <v>36100</v>
      </c>
      <c r="B484" s="24">
        <f>VLOOKUP(Table30[[#This Row],[Month]],'DB Money Supply'!$A:$D,3)</f>
        <v/>
      </c>
      <c r="C484" s="59">
        <f>(Table30[[#This Row],[Real M2 Money Stock]]-B472)/B472</f>
        <v/>
      </c>
    </row>
    <row r="485">
      <c r="A485" s="22" t="n">
        <v>36130</v>
      </c>
      <c r="B485" s="24">
        <f>VLOOKUP(Table30[[#This Row],[Month]],'DB Money Supply'!$A:$D,3)</f>
        <v/>
      </c>
      <c r="C485" s="59">
        <f>(Table30[[#This Row],[Real M2 Money Stock]]-B473)/B473</f>
        <v/>
      </c>
    </row>
    <row r="486">
      <c r="A486" s="22" t="n">
        <v>36161</v>
      </c>
      <c r="B486" s="24">
        <f>VLOOKUP(Table30[[#This Row],[Month]],'DB Money Supply'!$A:$D,3)</f>
        <v/>
      </c>
      <c r="C486" s="59">
        <f>(Table30[[#This Row],[Real M2 Money Stock]]-B474)/B474</f>
        <v/>
      </c>
    </row>
    <row r="487">
      <c r="A487" s="22" t="n">
        <v>36192</v>
      </c>
      <c r="B487" s="24">
        <f>VLOOKUP(Table30[[#This Row],[Month]],'DB Money Supply'!$A:$D,3)</f>
        <v/>
      </c>
      <c r="C487" s="59">
        <f>(Table30[[#This Row],[Real M2 Money Stock]]-B475)/B475</f>
        <v/>
      </c>
    </row>
    <row r="488">
      <c r="A488" s="22" t="n">
        <v>36220</v>
      </c>
      <c r="B488" s="24">
        <f>VLOOKUP(Table30[[#This Row],[Month]],'DB Money Supply'!$A:$D,3)</f>
        <v/>
      </c>
      <c r="C488" s="59">
        <f>(Table30[[#This Row],[Real M2 Money Stock]]-B476)/B476</f>
        <v/>
      </c>
    </row>
    <row r="489">
      <c r="A489" s="22" t="n">
        <v>36251</v>
      </c>
      <c r="B489" s="24">
        <f>VLOOKUP(Table30[[#This Row],[Month]],'DB Money Supply'!$A:$D,3)</f>
        <v/>
      </c>
      <c r="C489" s="59">
        <f>(Table30[[#This Row],[Real M2 Money Stock]]-B477)/B477</f>
        <v/>
      </c>
    </row>
    <row r="490">
      <c r="A490" s="22" t="n">
        <v>36281</v>
      </c>
      <c r="B490" s="24">
        <f>VLOOKUP(Table30[[#This Row],[Month]],'DB Money Supply'!$A:$D,3)</f>
        <v/>
      </c>
      <c r="C490" s="59">
        <f>(Table30[[#This Row],[Real M2 Money Stock]]-B478)/B478</f>
        <v/>
      </c>
    </row>
    <row r="491">
      <c r="A491" s="22" t="n">
        <v>36312</v>
      </c>
      <c r="B491" s="24">
        <f>VLOOKUP(Table30[[#This Row],[Month]],'DB Money Supply'!$A:$D,3)</f>
        <v/>
      </c>
      <c r="C491" s="59">
        <f>(Table30[[#This Row],[Real M2 Money Stock]]-B479)/B479</f>
        <v/>
      </c>
    </row>
    <row r="492">
      <c r="A492" s="22" t="n">
        <v>36342</v>
      </c>
      <c r="B492" s="24">
        <f>VLOOKUP(Table30[[#This Row],[Month]],'DB Money Supply'!$A:$D,3)</f>
        <v/>
      </c>
      <c r="C492" s="59">
        <f>(Table30[[#This Row],[Real M2 Money Stock]]-B480)/B480</f>
        <v/>
      </c>
    </row>
    <row r="493">
      <c r="A493" s="22" t="n">
        <v>36373</v>
      </c>
      <c r="B493" s="24">
        <f>VLOOKUP(Table30[[#This Row],[Month]],'DB Money Supply'!$A:$D,3)</f>
        <v/>
      </c>
      <c r="C493" s="59">
        <f>(Table30[[#This Row],[Real M2 Money Stock]]-B481)/B481</f>
        <v/>
      </c>
    </row>
    <row r="494">
      <c r="A494" s="22" t="n">
        <v>36404</v>
      </c>
      <c r="B494" s="24">
        <f>VLOOKUP(Table30[[#This Row],[Month]],'DB Money Supply'!$A:$D,3)</f>
        <v/>
      </c>
      <c r="C494" s="59">
        <f>(Table30[[#This Row],[Real M2 Money Stock]]-B482)/B482</f>
        <v/>
      </c>
    </row>
    <row r="495">
      <c r="A495" s="22" t="n">
        <v>36434</v>
      </c>
      <c r="B495" s="24">
        <f>VLOOKUP(Table30[[#This Row],[Month]],'DB Money Supply'!$A:$D,3)</f>
        <v/>
      </c>
      <c r="C495" s="59">
        <f>(Table30[[#This Row],[Real M2 Money Stock]]-B483)/B483</f>
        <v/>
      </c>
    </row>
    <row r="496">
      <c r="A496" s="22" t="n">
        <v>36465</v>
      </c>
      <c r="B496" s="24">
        <f>VLOOKUP(Table30[[#This Row],[Month]],'DB Money Supply'!$A:$D,3)</f>
        <v/>
      </c>
      <c r="C496" s="59">
        <f>(Table30[[#This Row],[Real M2 Money Stock]]-B484)/B484</f>
        <v/>
      </c>
    </row>
    <row r="497">
      <c r="A497" s="22" t="n">
        <v>36495</v>
      </c>
      <c r="B497" s="24">
        <f>VLOOKUP(Table30[[#This Row],[Month]],'DB Money Supply'!$A:$D,3)</f>
        <v/>
      </c>
      <c r="C497" s="59">
        <f>(Table30[[#This Row],[Real M2 Money Stock]]-B485)/B485</f>
        <v/>
      </c>
    </row>
    <row r="498">
      <c r="A498" s="22" t="n">
        <v>36526</v>
      </c>
      <c r="B498" s="24">
        <f>VLOOKUP(Table30[[#This Row],[Month]],'DB Money Supply'!$A:$D,3)</f>
        <v/>
      </c>
      <c r="C498" s="59">
        <f>(Table30[[#This Row],[Real M2 Money Stock]]-B486)/B486</f>
        <v/>
      </c>
    </row>
    <row r="499">
      <c r="A499" s="22" t="n">
        <v>36557</v>
      </c>
      <c r="B499" s="24">
        <f>VLOOKUP(Table30[[#This Row],[Month]],'DB Money Supply'!$A:$D,3)</f>
        <v/>
      </c>
      <c r="C499" s="59">
        <f>(Table30[[#This Row],[Real M2 Money Stock]]-B487)/B487</f>
        <v/>
      </c>
    </row>
    <row r="500">
      <c r="A500" s="22" t="n">
        <v>36586</v>
      </c>
      <c r="B500" s="24">
        <f>VLOOKUP(Table30[[#This Row],[Month]],'DB Money Supply'!$A:$D,3)</f>
        <v/>
      </c>
      <c r="C500" s="59">
        <f>(Table30[[#This Row],[Real M2 Money Stock]]-B488)/B488</f>
        <v/>
      </c>
    </row>
    <row r="501">
      <c r="A501" s="22" t="n">
        <v>36617</v>
      </c>
      <c r="B501" s="24">
        <f>VLOOKUP(Table30[[#This Row],[Month]],'DB Money Supply'!$A:$D,3)</f>
        <v/>
      </c>
      <c r="C501" s="59">
        <f>(Table30[[#This Row],[Real M2 Money Stock]]-B489)/B489</f>
        <v/>
      </c>
    </row>
    <row r="502">
      <c r="A502" s="22" t="n">
        <v>36647</v>
      </c>
      <c r="B502" s="24">
        <f>VLOOKUP(Table30[[#This Row],[Month]],'DB Money Supply'!$A:$D,3)</f>
        <v/>
      </c>
      <c r="C502" s="59">
        <f>(Table30[[#This Row],[Real M2 Money Stock]]-B490)/B490</f>
        <v/>
      </c>
    </row>
    <row r="503">
      <c r="A503" s="22" t="n">
        <v>36678</v>
      </c>
      <c r="B503" s="24">
        <f>VLOOKUP(Table30[[#This Row],[Month]],'DB Money Supply'!$A:$D,3)</f>
        <v/>
      </c>
      <c r="C503" s="59">
        <f>(Table30[[#This Row],[Real M2 Money Stock]]-B491)/B491</f>
        <v/>
      </c>
    </row>
    <row r="504">
      <c r="A504" s="22" t="n">
        <v>36708</v>
      </c>
      <c r="B504" s="24">
        <f>VLOOKUP(Table30[[#This Row],[Month]],'DB Money Supply'!$A:$D,3)</f>
        <v/>
      </c>
      <c r="C504" s="59">
        <f>(Table30[[#This Row],[Real M2 Money Stock]]-B492)/B492</f>
        <v/>
      </c>
    </row>
    <row r="505">
      <c r="A505" s="22" t="n">
        <v>36739</v>
      </c>
      <c r="B505" s="24">
        <f>VLOOKUP(Table30[[#This Row],[Month]],'DB Money Supply'!$A:$D,3)</f>
        <v/>
      </c>
      <c r="C505" s="59">
        <f>(Table30[[#This Row],[Real M2 Money Stock]]-B493)/B493</f>
        <v/>
      </c>
    </row>
    <row r="506">
      <c r="A506" s="22" t="n">
        <v>36770</v>
      </c>
      <c r="B506" s="24">
        <f>VLOOKUP(Table30[[#This Row],[Month]],'DB Money Supply'!$A:$D,3)</f>
        <v/>
      </c>
      <c r="C506" s="59">
        <f>(Table30[[#This Row],[Real M2 Money Stock]]-B494)/B494</f>
        <v/>
      </c>
    </row>
    <row r="507">
      <c r="A507" s="22" t="n">
        <v>36800</v>
      </c>
      <c r="B507" s="24">
        <f>VLOOKUP(Table30[[#This Row],[Month]],'DB Money Supply'!$A:$D,3)</f>
        <v/>
      </c>
      <c r="C507" s="59">
        <f>(Table30[[#This Row],[Real M2 Money Stock]]-B495)/B495</f>
        <v/>
      </c>
    </row>
    <row r="508">
      <c r="A508" s="22" t="n">
        <v>36831</v>
      </c>
      <c r="B508" s="24">
        <f>VLOOKUP(Table30[[#This Row],[Month]],'DB Money Supply'!$A:$D,3)</f>
        <v/>
      </c>
      <c r="C508" s="59">
        <f>(Table30[[#This Row],[Real M2 Money Stock]]-B496)/B496</f>
        <v/>
      </c>
    </row>
    <row r="509">
      <c r="A509" s="22" t="n">
        <v>36861</v>
      </c>
      <c r="B509" s="24">
        <f>VLOOKUP(Table30[[#This Row],[Month]],'DB Money Supply'!$A:$D,3)</f>
        <v/>
      </c>
      <c r="C509" s="59">
        <f>(Table30[[#This Row],[Real M2 Money Stock]]-B497)/B497</f>
        <v/>
      </c>
    </row>
    <row r="510">
      <c r="A510" s="22" t="n">
        <v>36892</v>
      </c>
      <c r="B510" s="24">
        <f>VLOOKUP(Table30[[#This Row],[Month]],'DB Money Supply'!$A:$D,3)</f>
        <v/>
      </c>
      <c r="C510" s="59">
        <f>(Table30[[#This Row],[Real M2 Money Stock]]-B498)/B498</f>
        <v/>
      </c>
    </row>
    <row r="511">
      <c r="A511" s="22" t="n">
        <v>36923</v>
      </c>
      <c r="B511" s="24">
        <f>VLOOKUP(Table30[[#This Row],[Month]],'DB Money Supply'!$A:$D,3)</f>
        <v/>
      </c>
      <c r="C511" s="59">
        <f>(Table30[[#This Row],[Real M2 Money Stock]]-B499)/B499</f>
        <v/>
      </c>
    </row>
    <row r="512">
      <c r="A512" s="22" t="n">
        <v>36951</v>
      </c>
      <c r="B512" s="24">
        <f>VLOOKUP(Table30[[#This Row],[Month]],'DB Money Supply'!$A:$D,3)</f>
        <v/>
      </c>
      <c r="C512" s="59">
        <f>(Table30[[#This Row],[Real M2 Money Stock]]-B500)/B500</f>
        <v/>
      </c>
    </row>
    <row r="513">
      <c r="A513" s="22" t="n">
        <v>36982</v>
      </c>
      <c r="B513" s="24">
        <f>VLOOKUP(Table30[[#This Row],[Month]],'DB Money Supply'!$A:$D,3)</f>
        <v/>
      </c>
      <c r="C513" s="59">
        <f>(Table30[[#This Row],[Real M2 Money Stock]]-B501)/B501</f>
        <v/>
      </c>
    </row>
    <row r="514">
      <c r="A514" s="22" t="n">
        <v>37012</v>
      </c>
      <c r="B514" s="24">
        <f>VLOOKUP(Table30[[#This Row],[Month]],'DB Money Supply'!$A:$D,3)</f>
        <v/>
      </c>
      <c r="C514" s="59">
        <f>(Table30[[#This Row],[Real M2 Money Stock]]-B502)/B502</f>
        <v/>
      </c>
    </row>
    <row r="515">
      <c r="A515" s="22" t="n">
        <v>37043</v>
      </c>
      <c r="B515" s="24">
        <f>VLOOKUP(Table30[[#This Row],[Month]],'DB Money Supply'!$A:$D,3)</f>
        <v/>
      </c>
      <c r="C515" s="59">
        <f>(Table30[[#This Row],[Real M2 Money Stock]]-B503)/B503</f>
        <v/>
      </c>
    </row>
    <row r="516">
      <c r="A516" s="22" t="n">
        <v>37073</v>
      </c>
      <c r="B516" s="24">
        <f>VLOOKUP(Table30[[#This Row],[Month]],'DB Money Supply'!$A:$D,3)</f>
        <v/>
      </c>
      <c r="C516" s="59">
        <f>(Table30[[#This Row],[Real M2 Money Stock]]-B504)/B504</f>
        <v/>
      </c>
    </row>
    <row r="517">
      <c r="A517" s="22" t="n">
        <v>37104</v>
      </c>
      <c r="B517" s="24">
        <f>VLOOKUP(Table30[[#This Row],[Month]],'DB Money Supply'!$A:$D,3)</f>
        <v/>
      </c>
      <c r="C517" s="59">
        <f>(Table30[[#This Row],[Real M2 Money Stock]]-B505)/B505</f>
        <v/>
      </c>
    </row>
    <row r="518">
      <c r="A518" s="22" t="n">
        <v>37135</v>
      </c>
      <c r="B518" s="24">
        <f>VLOOKUP(Table30[[#This Row],[Month]],'DB Money Supply'!$A:$D,3)</f>
        <v/>
      </c>
      <c r="C518" s="59">
        <f>(Table30[[#This Row],[Real M2 Money Stock]]-B506)/B506</f>
        <v/>
      </c>
    </row>
    <row r="519">
      <c r="A519" s="22" t="n">
        <v>37165</v>
      </c>
      <c r="B519" s="24">
        <f>VLOOKUP(Table30[[#This Row],[Month]],'DB Money Supply'!$A:$D,3)</f>
        <v/>
      </c>
      <c r="C519" s="59">
        <f>(Table30[[#This Row],[Real M2 Money Stock]]-B507)/B507</f>
        <v/>
      </c>
    </row>
    <row r="520">
      <c r="A520" s="22" t="n">
        <v>37196</v>
      </c>
      <c r="B520" s="24">
        <f>VLOOKUP(Table30[[#This Row],[Month]],'DB Money Supply'!$A:$D,3)</f>
        <v/>
      </c>
      <c r="C520" s="59">
        <f>(Table30[[#This Row],[Real M2 Money Stock]]-B508)/B508</f>
        <v/>
      </c>
    </row>
    <row r="521">
      <c r="A521" s="22" t="n">
        <v>37226</v>
      </c>
      <c r="B521" s="24">
        <f>VLOOKUP(Table30[[#This Row],[Month]],'DB Money Supply'!$A:$D,3)</f>
        <v/>
      </c>
      <c r="C521" s="59">
        <f>(Table30[[#This Row],[Real M2 Money Stock]]-B509)/B509</f>
        <v/>
      </c>
    </row>
    <row r="522">
      <c r="A522" s="22" t="n">
        <v>37257</v>
      </c>
      <c r="B522" s="24">
        <f>VLOOKUP(Table30[[#This Row],[Month]],'DB Money Supply'!$A:$D,3)</f>
        <v/>
      </c>
      <c r="C522" s="59">
        <f>(Table30[[#This Row],[Real M2 Money Stock]]-B510)/B510</f>
        <v/>
      </c>
    </row>
    <row r="523">
      <c r="A523" s="22" t="n">
        <v>37288</v>
      </c>
      <c r="B523" s="24">
        <f>VLOOKUP(Table30[[#This Row],[Month]],'DB Money Supply'!$A:$D,3)</f>
        <v/>
      </c>
      <c r="C523" s="59">
        <f>(Table30[[#This Row],[Real M2 Money Stock]]-B511)/B511</f>
        <v/>
      </c>
    </row>
    <row r="524">
      <c r="A524" s="22" t="n">
        <v>37316</v>
      </c>
      <c r="B524" s="24">
        <f>VLOOKUP(Table30[[#This Row],[Month]],'DB Money Supply'!$A:$D,3)</f>
        <v/>
      </c>
      <c r="C524" s="59">
        <f>(Table30[[#This Row],[Real M2 Money Stock]]-B512)/B512</f>
        <v/>
      </c>
    </row>
    <row r="525">
      <c r="A525" s="22" t="n">
        <v>37347</v>
      </c>
      <c r="B525" s="24">
        <f>VLOOKUP(Table30[[#This Row],[Month]],'DB Money Supply'!$A:$D,3)</f>
        <v/>
      </c>
      <c r="C525" s="59">
        <f>(Table30[[#This Row],[Real M2 Money Stock]]-B513)/B513</f>
        <v/>
      </c>
    </row>
    <row r="526">
      <c r="A526" s="22" t="n">
        <v>37377</v>
      </c>
      <c r="B526" s="24">
        <f>VLOOKUP(Table30[[#This Row],[Month]],'DB Money Supply'!$A:$D,3)</f>
        <v/>
      </c>
      <c r="C526" s="59">
        <f>(Table30[[#This Row],[Real M2 Money Stock]]-B514)/B514</f>
        <v/>
      </c>
    </row>
    <row r="527">
      <c r="A527" s="22" t="n">
        <v>37408</v>
      </c>
      <c r="B527" s="24">
        <f>VLOOKUP(Table30[[#This Row],[Month]],'DB Money Supply'!$A:$D,3)</f>
        <v/>
      </c>
      <c r="C527" s="59">
        <f>(Table30[[#This Row],[Real M2 Money Stock]]-B515)/B515</f>
        <v/>
      </c>
    </row>
    <row r="528">
      <c r="A528" s="22" t="n">
        <v>37438</v>
      </c>
      <c r="B528" s="24">
        <f>VLOOKUP(Table30[[#This Row],[Month]],'DB Money Supply'!$A:$D,3)</f>
        <v/>
      </c>
      <c r="C528" s="59">
        <f>(Table30[[#This Row],[Real M2 Money Stock]]-B516)/B516</f>
        <v/>
      </c>
    </row>
    <row r="529">
      <c r="A529" s="22" t="n">
        <v>37469</v>
      </c>
      <c r="B529" s="24">
        <f>VLOOKUP(Table30[[#This Row],[Month]],'DB Money Supply'!$A:$D,3)</f>
        <v/>
      </c>
      <c r="C529" s="59">
        <f>(Table30[[#This Row],[Real M2 Money Stock]]-B517)/B517</f>
        <v/>
      </c>
    </row>
    <row r="530">
      <c r="A530" s="22" t="n">
        <v>37500</v>
      </c>
      <c r="B530" s="24">
        <f>VLOOKUP(Table30[[#This Row],[Month]],'DB Money Supply'!$A:$D,3)</f>
        <v/>
      </c>
      <c r="C530" s="59">
        <f>(Table30[[#This Row],[Real M2 Money Stock]]-B518)/B518</f>
        <v/>
      </c>
    </row>
    <row r="531">
      <c r="A531" s="22" t="n">
        <v>37530</v>
      </c>
      <c r="B531" s="24">
        <f>VLOOKUP(Table30[[#This Row],[Month]],'DB Money Supply'!$A:$D,3)</f>
        <v/>
      </c>
      <c r="C531" s="59">
        <f>(Table30[[#This Row],[Real M2 Money Stock]]-B519)/B519</f>
        <v/>
      </c>
    </row>
    <row r="532">
      <c r="A532" s="22" t="n">
        <v>37561</v>
      </c>
      <c r="B532" s="24">
        <f>VLOOKUP(Table30[[#This Row],[Month]],'DB Money Supply'!$A:$D,3)</f>
        <v/>
      </c>
      <c r="C532" s="59">
        <f>(Table30[[#This Row],[Real M2 Money Stock]]-B520)/B520</f>
        <v/>
      </c>
    </row>
    <row r="533">
      <c r="A533" s="22" t="n">
        <v>37591</v>
      </c>
      <c r="B533" s="24">
        <f>VLOOKUP(Table30[[#This Row],[Month]],'DB Money Supply'!$A:$D,3)</f>
        <v/>
      </c>
      <c r="C533" s="59">
        <f>(Table30[[#This Row],[Real M2 Money Stock]]-B521)/B521</f>
        <v/>
      </c>
    </row>
    <row r="534">
      <c r="A534" s="22" t="n">
        <v>37622</v>
      </c>
      <c r="B534" s="24">
        <f>VLOOKUP(Table30[[#This Row],[Month]],'DB Money Supply'!$A:$D,3)</f>
        <v/>
      </c>
      <c r="C534" s="59">
        <f>(Table30[[#This Row],[Real M2 Money Stock]]-B522)/B522</f>
        <v/>
      </c>
    </row>
    <row r="535">
      <c r="A535" s="22" t="n">
        <v>37653</v>
      </c>
      <c r="B535" s="24">
        <f>VLOOKUP(Table30[[#This Row],[Month]],'DB Money Supply'!$A:$D,3)</f>
        <v/>
      </c>
      <c r="C535" s="59">
        <f>(Table30[[#This Row],[Real M2 Money Stock]]-B523)/B523</f>
        <v/>
      </c>
    </row>
    <row r="536">
      <c r="A536" s="22" t="n">
        <v>37681</v>
      </c>
      <c r="B536" s="24">
        <f>VLOOKUP(Table30[[#This Row],[Month]],'DB Money Supply'!$A:$D,3)</f>
        <v/>
      </c>
      <c r="C536" s="59">
        <f>(Table30[[#This Row],[Real M2 Money Stock]]-B524)/B524</f>
        <v/>
      </c>
    </row>
    <row r="537">
      <c r="A537" s="22" t="n">
        <v>37712</v>
      </c>
      <c r="B537" s="24">
        <f>VLOOKUP(Table30[[#This Row],[Month]],'DB Money Supply'!$A:$D,3)</f>
        <v/>
      </c>
      <c r="C537" s="59">
        <f>(Table30[[#This Row],[Real M2 Money Stock]]-B525)/B525</f>
        <v/>
      </c>
    </row>
    <row r="538">
      <c r="A538" s="22" t="n">
        <v>37742</v>
      </c>
      <c r="B538" s="24">
        <f>VLOOKUP(Table30[[#This Row],[Month]],'DB Money Supply'!$A:$D,3)</f>
        <v/>
      </c>
      <c r="C538" s="59">
        <f>(Table30[[#This Row],[Real M2 Money Stock]]-B526)/B526</f>
        <v/>
      </c>
    </row>
    <row r="539">
      <c r="A539" s="22" t="n">
        <v>37773</v>
      </c>
      <c r="B539" s="24">
        <f>VLOOKUP(Table30[[#This Row],[Month]],'DB Money Supply'!$A:$D,3)</f>
        <v/>
      </c>
      <c r="C539" s="59">
        <f>(Table30[[#This Row],[Real M2 Money Stock]]-B527)/B527</f>
        <v/>
      </c>
    </row>
    <row r="540">
      <c r="A540" s="22" t="n">
        <v>37803</v>
      </c>
      <c r="B540" s="24">
        <f>VLOOKUP(Table30[[#This Row],[Month]],'DB Money Supply'!$A:$D,3)</f>
        <v/>
      </c>
      <c r="C540" s="59">
        <f>(Table30[[#This Row],[Real M2 Money Stock]]-B528)/B528</f>
        <v/>
      </c>
    </row>
    <row r="541">
      <c r="A541" s="22" t="n">
        <v>37834</v>
      </c>
      <c r="B541" s="24">
        <f>VLOOKUP(Table30[[#This Row],[Month]],'DB Money Supply'!$A:$D,3)</f>
        <v/>
      </c>
      <c r="C541" s="59">
        <f>(Table30[[#This Row],[Real M2 Money Stock]]-B529)/B529</f>
        <v/>
      </c>
    </row>
    <row r="542">
      <c r="A542" s="22" t="n">
        <v>37865</v>
      </c>
      <c r="B542" s="24">
        <f>VLOOKUP(Table30[[#This Row],[Month]],'DB Money Supply'!$A:$D,3)</f>
        <v/>
      </c>
      <c r="C542" s="59">
        <f>(Table30[[#This Row],[Real M2 Money Stock]]-B530)/B530</f>
        <v/>
      </c>
    </row>
    <row r="543">
      <c r="A543" s="22" t="n">
        <v>37895</v>
      </c>
      <c r="B543" s="24">
        <f>VLOOKUP(Table30[[#This Row],[Month]],'DB Money Supply'!$A:$D,3)</f>
        <v/>
      </c>
      <c r="C543" s="59">
        <f>(Table30[[#This Row],[Real M2 Money Stock]]-B531)/B531</f>
        <v/>
      </c>
    </row>
    <row r="544">
      <c r="A544" s="22" t="n">
        <v>37926</v>
      </c>
      <c r="B544" s="24">
        <f>VLOOKUP(Table30[[#This Row],[Month]],'DB Money Supply'!$A:$D,3)</f>
        <v/>
      </c>
      <c r="C544" s="59">
        <f>(Table30[[#This Row],[Real M2 Money Stock]]-B532)/B532</f>
        <v/>
      </c>
    </row>
    <row r="545">
      <c r="A545" s="22" t="n">
        <v>37956</v>
      </c>
      <c r="B545" s="24">
        <f>VLOOKUP(Table30[[#This Row],[Month]],'DB Money Supply'!$A:$D,3)</f>
        <v/>
      </c>
      <c r="C545" s="59">
        <f>(Table30[[#This Row],[Real M2 Money Stock]]-B533)/B533</f>
        <v/>
      </c>
    </row>
    <row r="546">
      <c r="A546" s="22" t="n">
        <v>37987</v>
      </c>
      <c r="B546" s="24">
        <f>VLOOKUP(Table30[[#This Row],[Month]],'DB Money Supply'!$A:$D,3)</f>
        <v/>
      </c>
      <c r="C546" s="59">
        <f>(Table30[[#This Row],[Real M2 Money Stock]]-B534)/B534</f>
        <v/>
      </c>
    </row>
    <row r="547">
      <c r="A547" s="22" t="n">
        <v>38018</v>
      </c>
      <c r="B547" s="24">
        <f>VLOOKUP(Table30[[#This Row],[Month]],'DB Money Supply'!$A:$D,3)</f>
        <v/>
      </c>
      <c r="C547" s="59">
        <f>(Table30[[#This Row],[Real M2 Money Stock]]-B535)/B535</f>
        <v/>
      </c>
    </row>
    <row r="548">
      <c r="A548" s="22" t="n">
        <v>38047</v>
      </c>
      <c r="B548" s="24">
        <f>VLOOKUP(Table30[[#This Row],[Month]],'DB Money Supply'!$A:$D,3)</f>
        <v/>
      </c>
      <c r="C548" s="59">
        <f>(Table30[[#This Row],[Real M2 Money Stock]]-B536)/B536</f>
        <v/>
      </c>
    </row>
    <row r="549">
      <c r="A549" s="22" t="n">
        <v>38078</v>
      </c>
      <c r="B549" s="24">
        <f>VLOOKUP(Table30[[#This Row],[Month]],'DB Money Supply'!$A:$D,3)</f>
        <v/>
      </c>
      <c r="C549" s="59">
        <f>(Table30[[#This Row],[Real M2 Money Stock]]-B537)/B537</f>
        <v/>
      </c>
    </row>
    <row r="550">
      <c r="A550" s="22" t="n">
        <v>38108</v>
      </c>
      <c r="B550" s="24">
        <f>VLOOKUP(Table30[[#This Row],[Month]],'DB Money Supply'!$A:$D,3)</f>
        <v/>
      </c>
      <c r="C550" s="59">
        <f>(Table30[[#This Row],[Real M2 Money Stock]]-B538)/B538</f>
        <v/>
      </c>
    </row>
    <row r="551">
      <c r="A551" s="22" t="n">
        <v>38139</v>
      </c>
      <c r="B551" s="24">
        <f>VLOOKUP(Table30[[#This Row],[Month]],'DB Money Supply'!$A:$D,3)</f>
        <v/>
      </c>
      <c r="C551" s="59">
        <f>(Table30[[#This Row],[Real M2 Money Stock]]-B539)/B539</f>
        <v/>
      </c>
    </row>
    <row r="552">
      <c r="A552" s="22" t="n">
        <v>38169</v>
      </c>
      <c r="B552" s="24">
        <f>VLOOKUP(Table30[[#This Row],[Month]],'DB Money Supply'!$A:$D,3)</f>
        <v/>
      </c>
      <c r="C552" s="59">
        <f>(Table30[[#This Row],[Real M2 Money Stock]]-B540)/B540</f>
        <v/>
      </c>
    </row>
    <row r="553">
      <c r="A553" s="22" t="n">
        <v>38200</v>
      </c>
      <c r="B553" s="24">
        <f>VLOOKUP(Table30[[#This Row],[Month]],'DB Money Supply'!$A:$D,3)</f>
        <v/>
      </c>
      <c r="C553" s="59">
        <f>(Table30[[#This Row],[Real M2 Money Stock]]-B541)/B541</f>
        <v/>
      </c>
    </row>
    <row r="554">
      <c r="A554" s="22" t="n">
        <v>38231</v>
      </c>
      <c r="B554" s="24">
        <f>VLOOKUP(Table30[[#This Row],[Month]],'DB Money Supply'!$A:$D,3)</f>
        <v/>
      </c>
      <c r="C554" s="59">
        <f>(Table30[[#This Row],[Real M2 Money Stock]]-B542)/B542</f>
        <v/>
      </c>
    </row>
    <row r="555">
      <c r="A555" s="22" t="n">
        <v>38261</v>
      </c>
      <c r="B555" s="24">
        <f>VLOOKUP(Table30[[#This Row],[Month]],'DB Money Supply'!$A:$D,3)</f>
        <v/>
      </c>
      <c r="C555" s="59">
        <f>(Table30[[#This Row],[Real M2 Money Stock]]-B543)/B543</f>
        <v/>
      </c>
    </row>
    <row r="556">
      <c r="A556" s="22" t="n">
        <v>38292</v>
      </c>
      <c r="B556" s="24">
        <f>VLOOKUP(Table30[[#This Row],[Month]],'DB Money Supply'!$A:$D,3)</f>
        <v/>
      </c>
      <c r="C556" s="59">
        <f>(Table30[[#This Row],[Real M2 Money Stock]]-B544)/B544</f>
        <v/>
      </c>
    </row>
    <row r="557">
      <c r="A557" s="22" t="n">
        <v>38322</v>
      </c>
      <c r="B557" s="24">
        <f>VLOOKUP(Table30[[#This Row],[Month]],'DB Money Supply'!$A:$D,3)</f>
        <v/>
      </c>
      <c r="C557" s="59">
        <f>(Table30[[#This Row],[Real M2 Money Stock]]-B545)/B545</f>
        <v/>
      </c>
    </row>
    <row r="558">
      <c r="A558" s="22" t="n">
        <v>38353</v>
      </c>
      <c r="B558" s="24">
        <f>VLOOKUP(Table30[[#This Row],[Month]],'DB Money Supply'!$A:$D,3)</f>
        <v/>
      </c>
      <c r="C558" s="59">
        <f>(Table30[[#This Row],[Real M2 Money Stock]]-B546)/B546</f>
        <v/>
      </c>
    </row>
    <row r="559">
      <c r="A559" s="22" t="n">
        <v>38384</v>
      </c>
      <c r="B559" s="24">
        <f>VLOOKUP(Table30[[#This Row],[Month]],'DB Money Supply'!$A:$D,3)</f>
        <v/>
      </c>
      <c r="C559" s="59">
        <f>(Table30[[#This Row],[Real M2 Money Stock]]-B547)/B547</f>
        <v/>
      </c>
    </row>
    <row r="560">
      <c r="A560" s="22" t="n">
        <v>38412</v>
      </c>
      <c r="B560" s="24">
        <f>VLOOKUP(Table30[[#This Row],[Month]],'DB Money Supply'!$A:$D,3)</f>
        <v/>
      </c>
      <c r="C560" s="59">
        <f>(Table30[[#This Row],[Real M2 Money Stock]]-B548)/B548</f>
        <v/>
      </c>
    </row>
    <row r="561">
      <c r="A561" s="22" t="n">
        <v>38443</v>
      </c>
      <c r="B561" s="24">
        <f>VLOOKUP(Table30[[#This Row],[Month]],'DB Money Supply'!$A:$D,3)</f>
        <v/>
      </c>
      <c r="C561" s="59">
        <f>(Table30[[#This Row],[Real M2 Money Stock]]-B549)/B549</f>
        <v/>
      </c>
    </row>
    <row r="562">
      <c r="A562" s="22" t="n">
        <v>38473</v>
      </c>
      <c r="B562" s="24">
        <f>VLOOKUP(Table30[[#This Row],[Month]],'DB Money Supply'!$A:$D,3)</f>
        <v/>
      </c>
      <c r="C562" s="59">
        <f>(Table30[[#This Row],[Real M2 Money Stock]]-B550)/B550</f>
        <v/>
      </c>
    </row>
    <row r="563">
      <c r="A563" s="22" t="n">
        <v>38504</v>
      </c>
      <c r="B563" s="24">
        <f>VLOOKUP(Table30[[#This Row],[Month]],'DB Money Supply'!$A:$D,3)</f>
        <v/>
      </c>
      <c r="C563" s="59">
        <f>(Table30[[#This Row],[Real M2 Money Stock]]-B551)/B551</f>
        <v/>
      </c>
    </row>
    <row r="564">
      <c r="A564" s="22" t="n">
        <v>38534</v>
      </c>
      <c r="B564" s="24">
        <f>VLOOKUP(Table30[[#This Row],[Month]],'DB Money Supply'!$A:$D,3)</f>
        <v/>
      </c>
      <c r="C564" s="59">
        <f>(Table30[[#This Row],[Real M2 Money Stock]]-B552)/B552</f>
        <v/>
      </c>
    </row>
    <row r="565">
      <c r="A565" s="22" t="n">
        <v>38565</v>
      </c>
      <c r="B565" s="24">
        <f>VLOOKUP(Table30[[#This Row],[Month]],'DB Money Supply'!$A:$D,3)</f>
        <v/>
      </c>
      <c r="C565" s="59">
        <f>(Table30[[#This Row],[Real M2 Money Stock]]-B553)/B553</f>
        <v/>
      </c>
    </row>
    <row r="566">
      <c r="A566" s="22" t="n">
        <v>38596</v>
      </c>
      <c r="B566" s="24">
        <f>VLOOKUP(Table30[[#This Row],[Month]],'DB Money Supply'!$A:$D,3)</f>
        <v/>
      </c>
      <c r="C566" s="59">
        <f>(Table30[[#This Row],[Real M2 Money Stock]]-B554)/B554</f>
        <v/>
      </c>
    </row>
    <row r="567">
      <c r="A567" s="22" t="n">
        <v>38626</v>
      </c>
      <c r="B567" s="24">
        <f>VLOOKUP(Table30[[#This Row],[Month]],'DB Money Supply'!$A:$D,3)</f>
        <v/>
      </c>
      <c r="C567" s="59">
        <f>(Table30[[#This Row],[Real M2 Money Stock]]-B555)/B555</f>
        <v/>
      </c>
    </row>
    <row r="568">
      <c r="A568" s="22" t="n">
        <v>38657</v>
      </c>
      <c r="B568" s="24">
        <f>VLOOKUP(Table30[[#This Row],[Month]],'DB Money Supply'!$A:$D,3)</f>
        <v/>
      </c>
      <c r="C568" s="59">
        <f>(Table30[[#This Row],[Real M2 Money Stock]]-B556)/B556</f>
        <v/>
      </c>
    </row>
    <row r="569">
      <c r="A569" s="22" t="n">
        <v>38687</v>
      </c>
      <c r="B569" s="24">
        <f>VLOOKUP(Table30[[#This Row],[Month]],'DB Money Supply'!$A:$D,3)</f>
        <v/>
      </c>
      <c r="C569" s="59">
        <f>(Table30[[#This Row],[Real M2 Money Stock]]-B557)/B557</f>
        <v/>
      </c>
    </row>
    <row r="570">
      <c r="A570" s="22" t="n">
        <v>38718</v>
      </c>
      <c r="B570" s="24">
        <f>VLOOKUP(Table30[[#This Row],[Month]],'DB Money Supply'!$A:$D,3)</f>
        <v/>
      </c>
      <c r="C570" s="59">
        <f>(Table30[[#This Row],[Real M2 Money Stock]]-B558)/B558</f>
        <v/>
      </c>
    </row>
    <row r="571">
      <c r="A571" s="22" t="n">
        <v>38749</v>
      </c>
      <c r="B571" s="24">
        <f>VLOOKUP(Table30[[#This Row],[Month]],'DB Money Supply'!$A:$D,3)</f>
        <v/>
      </c>
      <c r="C571" s="59">
        <f>(Table30[[#This Row],[Real M2 Money Stock]]-B559)/B559</f>
        <v/>
      </c>
    </row>
    <row r="572">
      <c r="A572" s="22" t="n">
        <v>38777</v>
      </c>
      <c r="B572" s="24">
        <f>VLOOKUP(Table30[[#This Row],[Month]],'DB Money Supply'!$A:$D,3)</f>
        <v/>
      </c>
      <c r="C572" s="59">
        <f>(Table30[[#This Row],[Real M2 Money Stock]]-B560)/B560</f>
        <v/>
      </c>
    </row>
    <row r="573">
      <c r="A573" s="22" t="n">
        <v>38808</v>
      </c>
      <c r="B573" s="24">
        <f>VLOOKUP(Table30[[#This Row],[Month]],'DB Money Supply'!$A:$D,3)</f>
        <v/>
      </c>
      <c r="C573" s="59">
        <f>(Table30[[#This Row],[Real M2 Money Stock]]-B561)/B561</f>
        <v/>
      </c>
    </row>
    <row r="574">
      <c r="A574" s="22" t="n">
        <v>38838</v>
      </c>
      <c r="B574" s="24">
        <f>VLOOKUP(Table30[[#This Row],[Month]],'DB Money Supply'!$A:$D,3)</f>
        <v/>
      </c>
      <c r="C574" s="59">
        <f>(Table30[[#This Row],[Real M2 Money Stock]]-B562)/B562</f>
        <v/>
      </c>
    </row>
    <row r="575">
      <c r="A575" s="22" t="n">
        <v>38869</v>
      </c>
      <c r="B575" s="24">
        <f>VLOOKUP(Table30[[#This Row],[Month]],'DB Money Supply'!$A:$D,3)</f>
        <v/>
      </c>
      <c r="C575" s="59">
        <f>(Table30[[#This Row],[Real M2 Money Stock]]-B563)/B563</f>
        <v/>
      </c>
    </row>
    <row r="576">
      <c r="A576" s="22" t="n">
        <v>38899</v>
      </c>
      <c r="B576" s="24">
        <f>VLOOKUP(Table30[[#This Row],[Month]],'DB Money Supply'!$A:$D,3)</f>
        <v/>
      </c>
      <c r="C576" s="59">
        <f>(Table30[[#This Row],[Real M2 Money Stock]]-B564)/B564</f>
        <v/>
      </c>
    </row>
    <row r="577">
      <c r="A577" s="22" t="n">
        <v>38930</v>
      </c>
      <c r="B577" s="24">
        <f>VLOOKUP(Table30[[#This Row],[Month]],'DB Money Supply'!$A:$D,3)</f>
        <v/>
      </c>
      <c r="C577" s="59">
        <f>(Table30[[#This Row],[Real M2 Money Stock]]-B565)/B565</f>
        <v/>
      </c>
    </row>
    <row r="578">
      <c r="A578" s="22" t="n">
        <v>38961</v>
      </c>
      <c r="B578" s="24">
        <f>VLOOKUP(Table30[[#This Row],[Month]],'DB Money Supply'!$A:$D,3)</f>
        <v/>
      </c>
      <c r="C578" s="59">
        <f>(Table30[[#This Row],[Real M2 Money Stock]]-B566)/B566</f>
        <v/>
      </c>
    </row>
    <row r="579">
      <c r="A579" s="22" t="n">
        <v>38991</v>
      </c>
      <c r="B579" s="24">
        <f>VLOOKUP(Table30[[#This Row],[Month]],'DB Money Supply'!$A:$D,3)</f>
        <v/>
      </c>
      <c r="C579" s="59">
        <f>(Table30[[#This Row],[Real M2 Money Stock]]-B567)/B567</f>
        <v/>
      </c>
    </row>
    <row r="580">
      <c r="A580" s="22" t="n">
        <v>39022</v>
      </c>
      <c r="B580" s="24">
        <f>VLOOKUP(Table30[[#This Row],[Month]],'DB Money Supply'!$A:$D,3)</f>
        <v/>
      </c>
      <c r="C580" s="59">
        <f>(Table30[[#This Row],[Real M2 Money Stock]]-B568)/B568</f>
        <v/>
      </c>
    </row>
    <row r="581">
      <c r="A581" s="22" t="n">
        <v>39052</v>
      </c>
      <c r="B581" s="24">
        <f>VLOOKUP(Table30[[#This Row],[Month]],'DB Money Supply'!$A:$D,3)</f>
        <v/>
      </c>
      <c r="C581" s="59">
        <f>(Table30[[#This Row],[Real M2 Money Stock]]-B569)/B569</f>
        <v/>
      </c>
    </row>
    <row r="582">
      <c r="A582" s="22" t="n">
        <v>39083</v>
      </c>
      <c r="B582" s="24">
        <f>VLOOKUP(Table30[[#This Row],[Month]],'DB Money Supply'!$A:$D,3)</f>
        <v/>
      </c>
      <c r="C582" s="59">
        <f>(Table30[[#This Row],[Real M2 Money Stock]]-B570)/B570</f>
        <v/>
      </c>
    </row>
    <row r="583">
      <c r="A583" s="22" t="n">
        <v>39114</v>
      </c>
      <c r="B583" s="24">
        <f>VLOOKUP(Table30[[#This Row],[Month]],'DB Money Supply'!$A:$D,3)</f>
        <v/>
      </c>
      <c r="C583" s="59">
        <f>(Table30[[#This Row],[Real M2 Money Stock]]-B571)/B571</f>
        <v/>
      </c>
    </row>
    <row r="584">
      <c r="A584" s="22" t="n">
        <v>39142</v>
      </c>
      <c r="B584" s="24">
        <f>VLOOKUP(Table30[[#This Row],[Month]],'DB Money Supply'!$A:$D,3)</f>
        <v/>
      </c>
      <c r="C584" s="59">
        <f>(Table30[[#This Row],[Real M2 Money Stock]]-B572)/B572</f>
        <v/>
      </c>
    </row>
    <row r="585">
      <c r="A585" s="22" t="n">
        <v>39173</v>
      </c>
      <c r="B585" s="24">
        <f>VLOOKUP(Table30[[#This Row],[Month]],'DB Money Supply'!$A:$D,3)</f>
        <v/>
      </c>
      <c r="C585" s="59">
        <f>(Table30[[#This Row],[Real M2 Money Stock]]-B573)/B573</f>
        <v/>
      </c>
    </row>
    <row r="586">
      <c r="A586" s="22" t="n">
        <v>39203</v>
      </c>
      <c r="B586" s="24">
        <f>VLOOKUP(Table30[[#This Row],[Month]],'DB Money Supply'!$A:$D,3)</f>
        <v/>
      </c>
      <c r="C586" s="59">
        <f>(Table30[[#This Row],[Real M2 Money Stock]]-B574)/B574</f>
        <v/>
      </c>
    </row>
    <row r="587">
      <c r="A587" s="22" t="n">
        <v>39234</v>
      </c>
      <c r="B587" s="24">
        <f>VLOOKUP(Table30[[#This Row],[Month]],'DB Money Supply'!$A:$D,3)</f>
        <v/>
      </c>
      <c r="C587" s="59">
        <f>(Table30[[#This Row],[Real M2 Money Stock]]-B575)/B575</f>
        <v/>
      </c>
    </row>
    <row r="588">
      <c r="A588" s="22" t="n">
        <v>39264</v>
      </c>
      <c r="B588" s="24">
        <f>VLOOKUP(Table30[[#This Row],[Month]],'DB Money Supply'!$A:$D,3)</f>
        <v/>
      </c>
      <c r="C588" s="59">
        <f>(Table30[[#This Row],[Real M2 Money Stock]]-B576)/B576</f>
        <v/>
      </c>
    </row>
    <row r="589">
      <c r="A589" s="22" t="n">
        <v>39295</v>
      </c>
      <c r="B589" s="24">
        <f>VLOOKUP(Table30[[#This Row],[Month]],'DB Money Supply'!$A:$D,3)</f>
        <v/>
      </c>
      <c r="C589" s="59">
        <f>(Table30[[#This Row],[Real M2 Money Stock]]-B577)/B577</f>
        <v/>
      </c>
    </row>
    <row r="590">
      <c r="A590" s="22" t="n">
        <v>39326</v>
      </c>
      <c r="B590" s="24">
        <f>VLOOKUP(Table30[[#This Row],[Month]],'DB Money Supply'!$A:$D,3)</f>
        <v/>
      </c>
      <c r="C590" s="59">
        <f>(Table30[[#This Row],[Real M2 Money Stock]]-B578)/B578</f>
        <v/>
      </c>
    </row>
    <row r="591">
      <c r="A591" s="22" t="n">
        <v>39356</v>
      </c>
      <c r="B591" s="24">
        <f>VLOOKUP(Table30[[#This Row],[Month]],'DB Money Supply'!$A:$D,3)</f>
        <v/>
      </c>
      <c r="C591" s="59">
        <f>(Table30[[#This Row],[Real M2 Money Stock]]-B579)/B579</f>
        <v/>
      </c>
    </row>
    <row r="592">
      <c r="A592" s="22" t="n">
        <v>39387</v>
      </c>
      <c r="B592" s="24">
        <f>VLOOKUP(Table30[[#This Row],[Month]],'DB Money Supply'!$A:$D,3)</f>
        <v/>
      </c>
      <c r="C592" s="59">
        <f>(Table30[[#This Row],[Real M2 Money Stock]]-B580)/B580</f>
        <v/>
      </c>
    </row>
    <row r="593">
      <c r="A593" s="22" t="n">
        <v>39417</v>
      </c>
      <c r="B593" s="24">
        <f>VLOOKUP(Table30[[#This Row],[Month]],'DB Money Supply'!$A:$D,3)</f>
        <v/>
      </c>
      <c r="C593" s="59">
        <f>(Table30[[#This Row],[Real M2 Money Stock]]-B581)/B581</f>
        <v/>
      </c>
    </row>
    <row r="594">
      <c r="A594" s="22" t="n">
        <v>39448</v>
      </c>
      <c r="B594" s="24">
        <f>VLOOKUP(Table30[[#This Row],[Month]],'DB Money Supply'!$A:$D,3)</f>
        <v/>
      </c>
      <c r="C594" s="59">
        <f>(Table30[[#This Row],[Real M2 Money Stock]]-B582)/B582</f>
        <v/>
      </c>
    </row>
    <row r="595">
      <c r="A595" s="22" t="n">
        <v>39479</v>
      </c>
      <c r="B595" s="24">
        <f>VLOOKUP(Table30[[#This Row],[Month]],'DB Money Supply'!$A:$D,3)</f>
        <v/>
      </c>
      <c r="C595" s="59">
        <f>(Table30[[#This Row],[Real M2 Money Stock]]-B583)/B583</f>
        <v/>
      </c>
    </row>
    <row r="596">
      <c r="A596" s="22" t="n">
        <v>39508</v>
      </c>
      <c r="B596" s="24">
        <f>VLOOKUP(Table30[[#This Row],[Month]],'DB Money Supply'!$A:$D,3)</f>
        <v/>
      </c>
      <c r="C596" s="59">
        <f>(Table30[[#This Row],[Real M2 Money Stock]]-B584)/B584</f>
        <v/>
      </c>
    </row>
    <row r="597">
      <c r="A597" s="22" t="n">
        <v>39539</v>
      </c>
      <c r="B597" s="24">
        <f>VLOOKUP(Table30[[#This Row],[Month]],'DB Money Supply'!$A:$D,3)</f>
        <v/>
      </c>
      <c r="C597" s="59">
        <f>(Table30[[#This Row],[Real M2 Money Stock]]-B585)/B585</f>
        <v/>
      </c>
    </row>
    <row r="598">
      <c r="A598" s="22" t="n">
        <v>39569</v>
      </c>
      <c r="B598" s="24">
        <f>VLOOKUP(Table30[[#This Row],[Month]],'DB Money Supply'!$A:$D,3)</f>
        <v/>
      </c>
      <c r="C598" s="59">
        <f>(Table30[[#This Row],[Real M2 Money Stock]]-B586)/B586</f>
        <v/>
      </c>
    </row>
    <row r="599">
      <c r="A599" s="22" t="n">
        <v>39600</v>
      </c>
      <c r="B599" s="24">
        <f>VLOOKUP(Table30[[#This Row],[Month]],'DB Money Supply'!$A:$D,3)</f>
        <v/>
      </c>
      <c r="C599" s="59">
        <f>(Table30[[#This Row],[Real M2 Money Stock]]-B587)/B587</f>
        <v/>
      </c>
    </row>
    <row r="600">
      <c r="A600" s="22" t="n">
        <v>39630</v>
      </c>
      <c r="B600" s="24">
        <f>VLOOKUP(Table30[[#This Row],[Month]],'DB Money Supply'!$A:$D,3)</f>
        <v/>
      </c>
      <c r="C600" s="59">
        <f>(Table30[[#This Row],[Real M2 Money Stock]]-B588)/B588</f>
        <v/>
      </c>
    </row>
    <row r="601">
      <c r="A601" s="22" t="n">
        <v>39661</v>
      </c>
      <c r="B601" s="24">
        <f>VLOOKUP(Table30[[#This Row],[Month]],'DB Money Supply'!$A:$D,3)</f>
        <v/>
      </c>
      <c r="C601" s="59">
        <f>(Table30[[#This Row],[Real M2 Money Stock]]-B589)/B589</f>
        <v/>
      </c>
    </row>
    <row r="602">
      <c r="A602" s="22" t="n">
        <v>39692</v>
      </c>
      <c r="B602" s="24">
        <f>VLOOKUP(Table30[[#This Row],[Month]],'DB Money Supply'!$A:$D,3)</f>
        <v/>
      </c>
      <c r="C602" s="59">
        <f>(Table30[[#This Row],[Real M2 Money Stock]]-B590)/B590</f>
        <v/>
      </c>
    </row>
    <row r="603">
      <c r="A603" s="22" t="n">
        <v>39722</v>
      </c>
      <c r="B603" s="24">
        <f>VLOOKUP(Table30[[#This Row],[Month]],'DB Money Supply'!$A:$D,3)</f>
        <v/>
      </c>
      <c r="C603" s="59">
        <f>(Table30[[#This Row],[Real M2 Money Stock]]-B591)/B591</f>
        <v/>
      </c>
    </row>
    <row r="604">
      <c r="A604" s="22" t="n">
        <v>39753</v>
      </c>
      <c r="B604" s="24">
        <f>VLOOKUP(Table30[[#This Row],[Month]],'DB Money Supply'!$A:$D,3)</f>
        <v/>
      </c>
      <c r="C604" s="59">
        <f>(Table30[[#This Row],[Real M2 Money Stock]]-B592)/B592</f>
        <v/>
      </c>
    </row>
    <row r="605">
      <c r="A605" s="22" t="n">
        <v>39783</v>
      </c>
      <c r="B605" s="24">
        <f>VLOOKUP(Table30[[#This Row],[Month]],'DB Money Supply'!$A:$D,3)</f>
        <v/>
      </c>
      <c r="C605" s="59">
        <f>(Table30[[#This Row],[Real M2 Money Stock]]-B593)/B593</f>
        <v/>
      </c>
    </row>
    <row r="606">
      <c r="A606" s="22" t="n">
        <v>39814</v>
      </c>
      <c r="B606" s="24">
        <f>VLOOKUP(Table30[[#This Row],[Month]],'DB Money Supply'!$A:$D,3)</f>
        <v/>
      </c>
      <c r="C606" s="59">
        <f>(Table30[[#This Row],[Real M2 Money Stock]]-B594)/B594</f>
        <v/>
      </c>
    </row>
    <row r="607">
      <c r="A607" s="22" t="n">
        <v>39845</v>
      </c>
      <c r="B607" s="24">
        <f>VLOOKUP(Table30[[#This Row],[Month]],'DB Money Supply'!$A:$D,3)</f>
        <v/>
      </c>
      <c r="C607" s="59">
        <f>(Table30[[#This Row],[Real M2 Money Stock]]-B595)/B595</f>
        <v/>
      </c>
    </row>
    <row r="608">
      <c r="A608" s="22" t="n">
        <v>39873</v>
      </c>
      <c r="B608" s="24">
        <f>VLOOKUP(Table30[[#This Row],[Month]],'DB Money Supply'!$A:$D,3)</f>
        <v/>
      </c>
      <c r="C608" s="59">
        <f>(Table30[[#This Row],[Real M2 Money Stock]]-B596)/B596</f>
        <v/>
      </c>
    </row>
    <row r="609">
      <c r="A609" s="22" t="n">
        <v>39904</v>
      </c>
      <c r="B609" s="24">
        <f>VLOOKUP(Table30[[#This Row],[Month]],'DB Money Supply'!$A:$D,3)</f>
        <v/>
      </c>
      <c r="C609" s="59">
        <f>(Table30[[#This Row],[Real M2 Money Stock]]-B597)/B597</f>
        <v/>
      </c>
    </row>
    <row r="610">
      <c r="A610" s="22" t="n">
        <v>39934</v>
      </c>
      <c r="B610" s="24">
        <f>VLOOKUP(Table30[[#This Row],[Month]],'DB Money Supply'!$A:$D,3)</f>
        <v/>
      </c>
      <c r="C610" s="59">
        <f>(Table30[[#This Row],[Real M2 Money Stock]]-B598)/B598</f>
        <v/>
      </c>
    </row>
    <row r="611">
      <c r="A611" s="22" t="n">
        <v>39965</v>
      </c>
      <c r="B611" s="24">
        <f>VLOOKUP(Table30[[#This Row],[Month]],'DB Money Supply'!$A:$D,3)</f>
        <v/>
      </c>
      <c r="C611" s="59">
        <f>(Table30[[#This Row],[Real M2 Money Stock]]-B599)/B599</f>
        <v/>
      </c>
    </row>
    <row r="612">
      <c r="A612" s="22" t="n">
        <v>39995</v>
      </c>
      <c r="B612" s="24">
        <f>VLOOKUP(Table30[[#This Row],[Month]],'DB Money Supply'!$A:$D,3)</f>
        <v/>
      </c>
      <c r="C612" s="59">
        <f>(Table30[[#This Row],[Real M2 Money Stock]]-B600)/B600</f>
        <v/>
      </c>
    </row>
    <row r="613">
      <c r="A613" s="22" t="n">
        <v>40026</v>
      </c>
      <c r="B613" s="24">
        <f>VLOOKUP(Table30[[#This Row],[Month]],'DB Money Supply'!$A:$D,3)</f>
        <v/>
      </c>
      <c r="C613" s="59">
        <f>(Table30[[#This Row],[Real M2 Money Stock]]-B601)/B601</f>
        <v/>
      </c>
    </row>
    <row r="614">
      <c r="A614" s="22" t="n">
        <v>40057</v>
      </c>
      <c r="B614" s="24">
        <f>VLOOKUP(Table30[[#This Row],[Month]],'DB Money Supply'!$A:$D,3)</f>
        <v/>
      </c>
      <c r="C614" s="59">
        <f>(Table30[[#This Row],[Real M2 Money Stock]]-B602)/B602</f>
        <v/>
      </c>
    </row>
    <row r="615">
      <c r="A615" s="22" t="n">
        <v>40087</v>
      </c>
      <c r="B615" s="24">
        <f>VLOOKUP(Table30[[#This Row],[Month]],'DB Money Supply'!$A:$D,3)</f>
        <v/>
      </c>
      <c r="C615" s="59">
        <f>(Table30[[#This Row],[Real M2 Money Stock]]-B603)/B603</f>
        <v/>
      </c>
    </row>
    <row r="616">
      <c r="A616" s="22" t="n">
        <v>40118</v>
      </c>
      <c r="B616" s="24">
        <f>VLOOKUP(Table30[[#This Row],[Month]],'DB Money Supply'!$A:$D,3)</f>
        <v/>
      </c>
      <c r="C616" s="59">
        <f>(Table30[[#This Row],[Real M2 Money Stock]]-B604)/B604</f>
        <v/>
      </c>
    </row>
    <row r="617">
      <c r="A617" s="22" t="n">
        <v>40148</v>
      </c>
      <c r="B617" s="24">
        <f>VLOOKUP(Table30[[#This Row],[Month]],'DB Money Supply'!$A:$D,3)</f>
        <v/>
      </c>
      <c r="C617" s="59">
        <f>(Table30[[#This Row],[Real M2 Money Stock]]-B605)/B605</f>
        <v/>
      </c>
    </row>
    <row r="618">
      <c r="A618" s="22" t="n">
        <v>40179</v>
      </c>
      <c r="B618" s="24">
        <f>VLOOKUP(Table30[[#This Row],[Month]],'DB Money Supply'!$A:$D,3)</f>
        <v/>
      </c>
      <c r="C618" s="59">
        <f>(Table30[[#This Row],[Real M2 Money Stock]]-B606)/B606</f>
        <v/>
      </c>
    </row>
    <row r="619">
      <c r="A619" s="22" t="n">
        <v>40210</v>
      </c>
      <c r="B619" s="24">
        <f>VLOOKUP(Table30[[#This Row],[Month]],'DB Money Supply'!$A:$D,3)</f>
        <v/>
      </c>
      <c r="C619" s="59">
        <f>(Table30[[#This Row],[Real M2 Money Stock]]-B607)/B607</f>
        <v/>
      </c>
    </row>
    <row r="620">
      <c r="A620" s="22" t="n">
        <v>40238</v>
      </c>
      <c r="B620" s="24">
        <f>VLOOKUP(Table30[[#This Row],[Month]],'DB Money Supply'!$A:$D,3)</f>
        <v/>
      </c>
      <c r="C620" s="59">
        <f>(Table30[[#This Row],[Real M2 Money Stock]]-B608)/B608</f>
        <v/>
      </c>
    </row>
    <row r="621">
      <c r="A621" s="22" t="n">
        <v>40269</v>
      </c>
      <c r="B621" s="24">
        <f>VLOOKUP(Table30[[#This Row],[Month]],'DB Money Supply'!$A:$D,3)</f>
        <v/>
      </c>
      <c r="C621" s="59">
        <f>(Table30[[#This Row],[Real M2 Money Stock]]-B609)/B609</f>
        <v/>
      </c>
    </row>
    <row r="622">
      <c r="A622" s="22" t="n">
        <v>40299</v>
      </c>
      <c r="B622" s="24">
        <f>VLOOKUP(Table30[[#This Row],[Month]],'DB Money Supply'!$A:$D,3)</f>
        <v/>
      </c>
      <c r="C622" s="59">
        <f>(Table30[[#This Row],[Real M2 Money Stock]]-B610)/B610</f>
        <v/>
      </c>
    </row>
    <row r="623">
      <c r="A623" s="22" t="n">
        <v>40330</v>
      </c>
      <c r="B623" s="24">
        <f>VLOOKUP(Table30[[#This Row],[Month]],'DB Money Supply'!$A:$D,3)</f>
        <v/>
      </c>
      <c r="C623" s="59">
        <f>(Table30[[#This Row],[Real M2 Money Stock]]-B611)/B611</f>
        <v/>
      </c>
    </row>
    <row r="624">
      <c r="A624" s="22" t="n">
        <v>40360</v>
      </c>
      <c r="B624" s="24">
        <f>VLOOKUP(Table30[[#This Row],[Month]],'DB Money Supply'!$A:$D,3)</f>
        <v/>
      </c>
      <c r="C624" s="59">
        <f>(Table30[[#This Row],[Real M2 Money Stock]]-B612)/B612</f>
        <v/>
      </c>
    </row>
    <row r="625">
      <c r="A625" s="22" t="n">
        <v>40391</v>
      </c>
      <c r="B625" s="24">
        <f>VLOOKUP(Table30[[#This Row],[Month]],'DB Money Supply'!$A:$D,3)</f>
        <v/>
      </c>
      <c r="C625" s="59">
        <f>(Table30[[#This Row],[Real M2 Money Stock]]-B613)/B613</f>
        <v/>
      </c>
    </row>
    <row r="626">
      <c r="A626" s="22" t="n">
        <v>40422</v>
      </c>
      <c r="B626" s="24">
        <f>VLOOKUP(Table30[[#This Row],[Month]],'DB Money Supply'!$A:$D,3)</f>
        <v/>
      </c>
      <c r="C626" s="59">
        <f>(Table30[[#This Row],[Real M2 Money Stock]]-B614)/B614</f>
        <v/>
      </c>
    </row>
    <row r="627">
      <c r="A627" s="22" t="n">
        <v>40452</v>
      </c>
      <c r="B627" s="24">
        <f>VLOOKUP(Table30[[#This Row],[Month]],'DB Money Supply'!$A:$D,3)</f>
        <v/>
      </c>
      <c r="C627" s="59">
        <f>(Table30[[#This Row],[Real M2 Money Stock]]-B615)/B615</f>
        <v/>
      </c>
    </row>
    <row r="628">
      <c r="A628" s="22" t="n">
        <v>40483</v>
      </c>
      <c r="B628" s="24">
        <f>VLOOKUP(Table30[[#This Row],[Month]],'DB Money Supply'!$A:$D,3)</f>
        <v/>
      </c>
      <c r="C628" s="59">
        <f>(Table30[[#This Row],[Real M2 Money Stock]]-B616)/B616</f>
        <v/>
      </c>
    </row>
    <row r="629">
      <c r="A629" s="22" t="n">
        <v>40513</v>
      </c>
      <c r="B629" s="24">
        <f>VLOOKUP(Table30[[#This Row],[Month]],'DB Money Supply'!$A:$D,3)</f>
        <v/>
      </c>
      <c r="C629" s="59">
        <f>(Table30[[#This Row],[Real M2 Money Stock]]-B617)/B617</f>
        <v/>
      </c>
    </row>
    <row r="630">
      <c r="A630" s="22" t="n">
        <v>40544</v>
      </c>
      <c r="B630" s="24">
        <f>VLOOKUP(Table30[[#This Row],[Month]],'DB Money Supply'!$A:$D,3)</f>
        <v/>
      </c>
      <c r="C630" s="59">
        <f>(Table30[[#This Row],[Real M2 Money Stock]]-B618)/B618</f>
        <v/>
      </c>
    </row>
    <row r="631">
      <c r="A631" s="22" t="n">
        <v>40575</v>
      </c>
      <c r="B631" s="24">
        <f>VLOOKUP(Table30[[#This Row],[Month]],'DB Money Supply'!$A:$D,3)</f>
        <v/>
      </c>
      <c r="C631" s="59">
        <f>(Table30[[#This Row],[Real M2 Money Stock]]-B619)/B619</f>
        <v/>
      </c>
    </row>
    <row r="632">
      <c r="A632" s="22" t="n">
        <v>40603</v>
      </c>
      <c r="B632" s="24">
        <f>VLOOKUP(Table30[[#This Row],[Month]],'DB Money Supply'!$A:$D,3)</f>
        <v/>
      </c>
      <c r="C632" s="59">
        <f>(Table30[[#This Row],[Real M2 Money Stock]]-B620)/B620</f>
        <v/>
      </c>
    </row>
    <row r="633">
      <c r="A633" s="22" t="n">
        <v>40634</v>
      </c>
      <c r="B633" s="24">
        <f>VLOOKUP(Table30[[#This Row],[Month]],'DB Money Supply'!$A:$D,3)</f>
        <v/>
      </c>
      <c r="C633" s="59">
        <f>(Table30[[#This Row],[Real M2 Money Stock]]-B621)/B621</f>
        <v/>
      </c>
    </row>
    <row r="634">
      <c r="A634" s="22" t="n">
        <v>40664</v>
      </c>
      <c r="B634" s="24">
        <f>VLOOKUP(Table30[[#This Row],[Month]],'DB Money Supply'!$A:$D,3)</f>
        <v/>
      </c>
      <c r="C634" s="59">
        <f>(Table30[[#This Row],[Real M2 Money Stock]]-B622)/B622</f>
        <v/>
      </c>
    </row>
    <row r="635">
      <c r="A635" s="22" t="n">
        <v>40695</v>
      </c>
      <c r="B635" s="24">
        <f>VLOOKUP(Table30[[#This Row],[Month]],'DB Money Supply'!$A:$D,3)</f>
        <v/>
      </c>
      <c r="C635" s="59">
        <f>(Table30[[#This Row],[Real M2 Money Stock]]-B623)/B623</f>
        <v/>
      </c>
    </row>
    <row r="636">
      <c r="A636" s="22" t="n">
        <v>40725</v>
      </c>
      <c r="B636" s="24">
        <f>VLOOKUP(Table30[[#This Row],[Month]],'DB Money Supply'!$A:$D,3)</f>
        <v/>
      </c>
      <c r="C636" s="59">
        <f>(Table30[[#This Row],[Real M2 Money Stock]]-B624)/B624</f>
        <v/>
      </c>
    </row>
    <row r="637">
      <c r="A637" s="22" t="n">
        <v>40756</v>
      </c>
      <c r="B637" s="24">
        <f>VLOOKUP(Table30[[#This Row],[Month]],'DB Money Supply'!$A:$D,3)</f>
        <v/>
      </c>
      <c r="C637" s="59">
        <f>(Table30[[#This Row],[Real M2 Money Stock]]-B625)/B625</f>
        <v/>
      </c>
    </row>
    <row r="638">
      <c r="A638" s="22" t="n">
        <v>40787</v>
      </c>
      <c r="B638" s="24">
        <f>VLOOKUP(Table30[[#This Row],[Month]],'DB Money Supply'!$A:$D,3)</f>
        <v/>
      </c>
      <c r="C638" s="59">
        <f>(Table30[[#This Row],[Real M2 Money Stock]]-B626)/B626</f>
        <v/>
      </c>
    </row>
    <row r="639">
      <c r="A639" s="22" t="n">
        <v>40817</v>
      </c>
      <c r="B639" s="24">
        <f>VLOOKUP(Table30[[#This Row],[Month]],'DB Money Supply'!$A:$D,3)</f>
        <v/>
      </c>
      <c r="C639" s="59">
        <f>(Table30[[#This Row],[Real M2 Money Stock]]-B627)/B627</f>
        <v/>
      </c>
    </row>
    <row r="640">
      <c r="A640" s="22" t="n">
        <v>40848</v>
      </c>
      <c r="B640" s="24">
        <f>VLOOKUP(Table30[[#This Row],[Month]],'DB Money Supply'!$A:$D,3)</f>
        <v/>
      </c>
      <c r="C640" s="59">
        <f>(Table30[[#This Row],[Real M2 Money Stock]]-B628)/B628</f>
        <v/>
      </c>
    </row>
    <row r="641">
      <c r="A641" s="22" t="n">
        <v>40878</v>
      </c>
      <c r="B641" s="24">
        <f>VLOOKUP(Table30[[#This Row],[Month]],'DB Money Supply'!$A:$D,3)</f>
        <v/>
      </c>
      <c r="C641" s="59">
        <f>(Table30[[#This Row],[Real M2 Money Stock]]-B629)/B629</f>
        <v/>
      </c>
    </row>
    <row r="642">
      <c r="A642" s="22" t="n">
        <v>40909</v>
      </c>
      <c r="B642" s="24">
        <f>VLOOKUP(Table30[[#This Row],[Month]],'DB Money Supply'!$A:$D,3)</f>
        <v/>
      </c>
      <c r="C642" s="59">
        <f>(Table30[[#This Row],[Real M2 Money Stock]]-B630)/B630</f>
        <v/>
      </c>
    </row>
    <row r="643">
      <c r="A643" s="22" t="n">
        <v>40940</v>
      </c>
      <c r="B643" s="24">
        <f>VLOOKUP(Table30[[#This Row],[Month]],'DB Money Supply'!$A:$D,3)</f>
        <v/>
      </c>
      <c r="C643" s="59">
        <f>(Table30[[#This Row],[Real M2 Money Stock]]-B631)/B631</f>
        <v/>
      </c>
    </row>
    <row r="644">
      <c r="A644" s="22" t="n">
        <v>40969</v>
      </c>
      <c r="B644" s="24">
        <f>VLOOKUP(Table30[[#This Row],[Month]],'DB Money Supply'!$A:$D,3)</f>
        <v/>
      </c>
      <c r="C644" s="59">
        <f>(Table30[[#This Row],[Real M2 Money Stock]]-B632)/B632</f>
        <v/>
      </c>
    </row>
    <row r="645">
      <c r="A645" s="22" t="n">
        <v>41000</v>
      </c>
      <c r="B645" s="24">
        <f>VLOOKUP(Table30[[#This Row],[Month]],'DB Money Supply'!$A:$D,3)</f>
        <v/>
      </c>
      <c r="C645" s="59">
        <f>(Table30[[#This Row],[Real M2 Money Stock]]-B633)/B633</f>
        <v/>
      </c>
    </row>
    <row r="646">
      <c r="A646" s="22" t="n">
        <v>41030</v>
      </c>
      <c r="B646" s="24">
        <f>VLOOKUP(Table30[[#This Row],[Month]],'DB Money Supply'!$A:$D,3)</f>
        <v/>
      </c>
      <c r="C646" s="59">
        <f>(Table30[[#This Row],[Real M2 Money Stock]]-B634)/B634</f>
        <v/>
      </c>
    </row>
    <row r="647">
      <c r="A647" s="22" t="n">
        <v>41061</v>
      </c>
      <c r="B647" s="24">
        <f>VLOOKUP(Table30[[#This Row],[Month]],'DB Money Supply'!$A:$D,3)</f>
        <v/>
      </c>
      <c r="C647" s="59">
        <f>(Table30[[#This Row],[Real M2 Money Stock]]-B635)/B635</f>
        <v/>
      </c>
    </row>
    <row r="648">
      <c r="A648" s="22" t="n">
        <v>41091</v>
      </c>
      <c r="B648" s="24">
        <f>VLOOKUP(Table30[[#This Row],[Month]],'DB Money Supply'!$A:$D,3)</f>
        <v/>
      </c>
      <c r="C648" s="59">
        <f>(Table30[[#This Row],[Real M2 Money Stock]]-B636)/B636</f>
        <v/>
      </c>
    </row>
    <row r="649">
      <c r="A649" s="22" t="n">
        <v>41122</v>
      </c>
      <c r="B649" s="24">
        <f>VLOOKUP(Table30[[#This Row],[Month]],'DB Money Supply'!$A:$D,3)</f>
        <v/>
      </c>
      <c r="C649" s="59">
        <f>(Table30[[#This Row],[Real M2 Money Stock]]-B637)/B637</f>
        <v/>
      </c>
    </row>
    <row r="650">
      <c r="A650" s="22" t="n">
        <v>41153</v>
      </c>
      <c r="B650" s="24">
        <f>VLOOKUP(Table30[[#This Row],[Month]],'DB Money Supply'!$A:$D,3)</f>
        <v/>
      </c>
      <c r="C650" s="59">
        <f>(Table30[[#This Row],[Real M2 Money Stock]]-B638)/B638</f>
        <v/>
      </c>
    </row>
    <row r="651">
      <c r="A651" s="22" t="n">
        <v>41183</v>
      </c>
      <c r="B651" s="24">
        <f>VLOOKUP(Table30[[#This Row],[Month]],'DB Money Supply'!$A:$D,3)</f>
        <v/>
      </c>
      <c r="C651" s="59">
        <f>(Table30[[#This Row],[Real M2 Money Stock]]-B639)/B639</f>
        <v/>
      </c>
    </row>
    <row r="652">
      <c r="A652" s="22" t="n">
        <v>41214</v>
      </c>
      <c r="B652" s="24">
        <f>VLOOKUP(Table30[[#This Row],[Month]],'DB Money Supply'!$A:$D,3)</f>
        <v/>
      </c>
      <c r="C652" s="59">
        <f>(Table30[[#This Row],[Real M2 Money Stock]]-B640)/B640</f>
        <v/>
      </c>
    </row>
    <row r="653">
      <c r="A653" s="22" t="n">
        <v>41244</v>
      </c>
      <c r="B653" s="24">
        <f>VLOOKUP(Table30[[#This Row],[Month]],'DB Money Supply'!$A:$D,3)</f>
        <v/>
      </c>
      <c r="C653" s="59">
        <f>(Table30[[#This Row],[Real M2 Money Stock]]-B641)/B641</f>
        <v/>
      </c>
    </row>
    <row r="654">
      <c r="A654" s="22" t="n">
        <v>41275</v>
      </c>
      <c r="B654" s="24">
        <f>VLOOKUP(Table30[[#This Row],[Month]],'DB Money Supply'!$A:$D,3)</f>
        <v/>
      </c>
      <c r="C654" s="59">
        <f>(Table30[[#This Row],[Real M2 Money Stock]]-B642)/B642</f>
        <v/>
      </c>
    </row>
    <row r="655">
      <c r="A655" s="22" t="n">
        <v>41306</v>
      </c>
      <c r="B655" s="24">
        <f>VLOOKUP(Table30[[#This Row],[Month]],'DB Money Supply'!$A:$D,3)</f>
        <v/>
      </c>
      <c r="C655" s="59">
        <f>(Table30[[#This Row],[Real M2 Money Stock]]-B643)/B643</f>
        <v/>
      </c>
    </row>
    <row r="656">
      <c r="A656" s="22" t="n">
        <v>41334</v>
      </c>
      <c r="B656" s="24">
        <f>VLOOKUP(Table30[[#This Row],[Month]],'DB Money Supply'!$A:$D,3)</f>
        <v/>
      </c>
      <c r="C656" s="59">
        <f>(Table30[[#This Row],[Real M2 Money Stock]]-B644)/B644</f>
        <v/>
      </c>
    </row>
    <row r="657">
      <c r="A657" s="22" t="n">
        <v>41365</v>
      </c>
      <c r="B657" s="24">
        <f>VLOOKUP(Table30[[#This Row],[Month]],'DB Money Supply'!$A:$D,3)</f>
        <v/>
      </c>
      <c r="C657" s="59">
        <f>(Table30[[#This Row],[Real M2 Money Stock]]-B645)/B645</f>
        <v/>
      </c>
    </row>
    <row r="658">
      <c r="A658" s="22" t="n">
        <v>41395</v>
      </c>
      <c r="B658" s="24">
        <f>VLOOKUP(Table30[[#This Row],[Month]],'DB Money Supply'!$A:$D,3)</f>
        <v/>
      </c>
      <c r="C658" s="59">
        <f>(Table30[[#This Row],[Real M2 Money Stock]]-B646)/B646</f>
        <v/>
      </c>
    </row>
    <row r="659">
      <c r="A659" s="22" t="n">
        <v>41426</v>
      </c>
      <c r="B659" s="24">
        <f>VLOOKUP(Table30[[#This Row],[Month]],'DB Money Supply'!$A:$D,3)</f>
        <v/>
      </c>
      <c r="C659" s="59">
        <f>(Table30[[#This Row],[Real M2 Money Stock]]-B647)/B647</f>
        <v/>
      </c>
    </row>
    <row r="660">
      <c r="A660" s="22" t="n">
        <v>41456</v>
      </c>
      <c r="B660" s="24">
        <f>VLOOKUP(Table30[[#This Row],[Month]],'DB Money Supply'!$A:$D,3)</f>
        <v/>
      </c>
      <c r="C660" s="59">
        <f>(Table30[[#This Row],[Real M2 Money Stock]]-B648)/B648</f>
        <v/>
      </c>
    </row>
    <row r="661">
      <c r="A661" s="22" t="n">
        <v>41487</v>
      </c>
      <c r="B661" s="24">
        <f>VLOOKUP(Table30[[#This Row],[Month]],'DB Money Supply'!$A:$D,3)</f>
        <v/>
      </c>
      <c r="C661" s="59">
        <f>(Table30[[#This Row],[Real M2 Money Stock]]-B649)/B649</f>
        <v/>
      </c>
    </row>
    <row r="662">
      <c r="A662" s="22" t="n">
        <v>41518</v>
      </c>
      <c r="B662" s="24">
        <f>VLOOKUP(Table30[[#This Row],[Month]],'DB Money Supply'!$A:$D,3)</f>
        <v/>
      </c>
      <c r="C662" s="59">
        <f>(Table30[[#This Row],[Real M2 Money Stock]]-B650)/B650</f>
        <v/>
      </c>
    </row>
    <row r="663">
      <c r="A663" s="22" t="n">
        <v>41548</v>
      </c>
      <c r="B663" s="24">
        <f>VLOOKUP(Table30[[#This Row],[Month]],'DB Money Supply'!$A:$D,3)</f>
        <v/>
      </c>
      <c r="C663" s="59">
        <f>(Table30[[#This Row],[Real M2 Money Stock]]-B651)/B651</f>
        <v/>
      </c>
    </row>
    <row r="664">
      <c r="A664" s="22" t="n">
        <v>41579</v>
      </c>
      <c r="B664" s="24">
        <f>VLOOKUP(Table30[[#This Row],[Month]],'DB Money Supply'!$A:$D,3)</f>
        <v/>
      </c>
      <c r="C664" s="59">
        <f>(Table30[[#This Row],[Real M2 Money Stock]]-B652)/B652</f>
        <v/>
      </c>
    </row>
    <row r="665">
      <c r="A665" s="22" t="n">
        <v>41609</v>
      </c>
      <c r="B665" s="24">
        <f>VLOOKUP(Table30[[#This Row],[Month]],'DB Money Supply'!$A:$D,3)</f>
        <v/>
      </c>
      <c r="C665" s="59">
        <f>(Table30[[#This Row],[Real M2 Money Stock]]-B653)/B653</f>
        <v/>
      </c>
    </row>
    <row r="666">
      <c r="A666" s="22" t="n">
        <v>41640</v>
      </c>
      <c r="B666" s="24">
        <f>VLOOKUP(Table30[[#This Row],[Month]],'DB Money Supply'!$A:$D,3)</f>
        <v/>
      </c>
      <c r="C666" s="59">
        <f>(Table30[[#This Row],[Real M2 Money Stock]]-B654)/B654</f>
        <v/>
      </c>
    </row>
    <row r="667">
      <c r="A667" s="22" t="n">
        <v>41671</v>
      </c>
      <c r="B667" s="24">
        <f>VLOOKUP(Table30[[#This Row],[Month]],'DB Money Supply'!$A:$D,3)</f>
        <v/>
      </c>
      <c r="C667" s="59">
        <f>(Table30[[#This Row],[Real M2 Money Stock]]-B655)/B655</f>
        <v/>
      </c>
    </row>
    <row r="668">
      <c r="A668" s="22" t="n">
        <v>41699</v>
      </c>
      <c r="B668" s="24">
        <f>VLOOKUP(Table30[[#This Row],[Month]],'DB Money Supply'!$A:$D,3)</f>
        <v/>
      </c>
      <c r="C668" s="59">
        <f>(Table30[[#This Row],[Real M2 Money Stock]]-B656)/B656</f>
        <v/>
      </c>
    </row>
    <row r="669">
      <c r="A669" s="22" t="n">
        <v>41730</v>
      </c>
      <c r="B669" s="24">
        <f>VLOOKUP(Table30[[#This Row],[Month]],'DB Money Supply'!$A:$D,3)</f>
        <v/>
      </c>
      <c r="C669" s="59">
        <f>(Table30[[#This Row],[Real M2 Money Stock]]-B657)/B657</f>
        <v/>
      </c>
    </row>
    <row r="670">
      <c r="A670" s="22" t="n">
        <v>41760</v>
      </c>
      <c r="B670" s="24">
        <f>VLOOKUP(Table30[[#This Row],[Month]],'DB Money Supply'!$A:$D,3)</f>
        <v/>
      </c>
      <c r="C670" s="59">
        <f>(Table30[[#This Row],[Real M2 Money Stock]]-B658)/B658</f>
        <v/>
      </c>
    </row>
    <row r="671">
      <c r="A671" s="22" t="n">
        <v>41791</v>
      </c>
      <c r="B671" s="24">
        <f>VLOOKUP(Table30[[#This Row],[Month]],'DB Money Supply'!$A:$D,3)</f>
        <v/>
      </c>
      <c r="C671" s="59">
        <f>(Table30[[#This Row],[Real M2 Money Stock]]-B659)/B659</f>
        <v/>
      </c>
    </row>
    <row r="672">
      <c r="A672" s="22" t="n">
        <v>41821</v>
      </c>
      <c r="B672" s="24">
        <f>VLOOKUP(Table30[[#This Row],[Month]],'DB Money Supply'!$A:$D,3)</f>
        <v/>
      </c>
      <c r="C672" s="59">
        <f>(Table30[[#This Row],[Real M2 Money Stock]]-B660)/B660</f>
        <v/>
      </c>
    </row>
    <row r="673">
      <c r="A673" s="22" t="n">
        <v>41852</v>
      </c>
      <c r="B673" s="24">
        <f>VLOOKUP(Table30[[#This Row],[Month]],'DB Money Supply'!$A:$D,3)</f>
        <v/>
      </c>
      <c r="C673" s="59">
        <f>(Table30[[#This Row],[Real M2 Money Stock]]-B661)/B661</f>
        <v/>
      </c>
    </row>
    <row r="674">
      <c r="A674" s="22" t="n">
        <v>41883</v>
      </c>
      <c r="B674" s="24">
        <f>VLOOKUP(Table30[[#This Row],[Month]],'DB Money Supply'!$A:$D,3)</f>
        <v/>
      </c>
      <c r="C674" s="59">
        <f>(Table30[[#This Row],[Real M2 Money Stock]]-B662)/B662</f>
        <v/>
      </c>
    </row>
    <row r="675">
      <c r="A675" s="22" t="n">
        <v>41913</v>
      </c>
      <c r="B675" s="24">
        <f>VLOOKUP(Table30[[#This Row],[Month]],'DB Money Supply'!$A:$D,3)</f>
        <v/>
      </c>
      <c r="C675" s="59">
        <f>(Table30[[#This Row],[Real M2 Money Stock]]-B663)/B663</f>
        <v/>
      </c>
    </row>
    <row r="676">
      <c r="A676" s="22" t="n">
        <v>41944</v>
      </c>
      <c r="B676" s="24">
        <f>VLOOKUP(Table30[[#This Row],[Month]],'DB Money Supply'!$A:$D,3)</f>
        <v/>
      </c>
      <c r="C676" s="59">
        <f>(Table30[[#This Row],[Real M2 Money Stock]]-B664)/B664</f>
        <v/>
      </c>
    </row>
    <row r="677">
      <c r="A677" s="22" t="n">
        <v>41974</v>
      </c>
      <c r="B677" s="24">
        <f>VLOOKUP(Table30[[#This Row],[Month]],'DB Money Supply'!$A:$D,3)</f>
        <v/>
      </c>
      <c r="C677" s="59">
        <f>(Table30[[#This Row],[Real M2 Money Stock]]-B665)/B665</f>
        <v/>
      </c>
    </row>
    <row r="678">
      <c r="A678" s="22" t="n">
        <v>42005</v>
      </c>
      <c r="B678" s="24">
        <f>VLOOKUP(Table30[[#This Row],[Month]],'DB Money Supply'!$A:$D,3)</f>
        <v/>
      </c>
      <c r="C678" s="59">
        <f>(Table30[[#This Row],[Real M2 Money Stock]]-B666)/B666</f>
        <v/>
      </c>
    </row>
    <row r="679">
      <c r="A679" s="22" t="n">
        <v>42036</v>
      </c>
      <c r="B679" s="24">
        <f>VLOOKUP(Table30[[#This Row],[Month]],'DB Money Supply'!$A:$D,3)</f>
        <v/>
      </c>
      <c r="C679" s="59">
        <f>(Table30[[#This Row],[Real M2 Money Stock]]-B667)/B667</f>
        <v/>
      </c>
    </row>
    <row r="680">
      <c r="A680" s="22" t="n">
        <v>42064</v>
      </c>
      <c r="B680" s="24">
        <f>VLOOKUP(Table30[[#This Row],[Month]],'DB Money Supply'!$A:$D,3)</f>
        <v/>
      </c>
      <c r="C680" s="59">
        <f>(Table30[[#This Row],[Real M2 Money Stock]]-B668)/B668</f>
        <v/>
      </c>
    </row>
    <row r="681">
      <c r="A681" s="22" t="n">
        <v>42095</v>
      </c>
      <c r="B681" s="24">
        <f>VLOOKUP(Table30[[#This Row],[Month]],'DB Money Supply'!$A:$D,3)</f>
        <v/>
      </c>
      <c r="C681" s="59">
        <f>(Table30[[#This Row],[Real M2 Money Stock]]-B669)/B669</f>
        <v/>
      </c>
    </row>
    <row r="682">
      <c r="A682" s="22" t="n">
        <v>42125</v>
      </c>
      <c r="B682" s="24">
        <f>VLOOKUP(Table30[[#This Row],[Month]],'DB Money Supply'!$A:$D,3)</f>
        <v/>
      </c>
      <c r="C682" s="59">
        <f>(Table30[[#This Row],[Real M2 Money Stock]]-B670)/B670</f>
        <v/>
      </c>
    </row>
    <row r="683">
      <c r="A683" s="22" t="n">
        <v>42156</v>
      </c>
      <c r="B683" s="24">
        <f>VLOOKUP(Table30[[#This Row],[Month]],'DB Money Supply'!$A:$D,3)</f>
        <v/>
      </c>
      <c r="C683" s="59">
        <f>(Table30[[#This Row],[Real M2 Money Stock]]-B671)/B671</f>
        <v/>
      </c>
    </row>
    <row r="684">
      <c r="A684" s="22" t="n">
        <v>42186</v>
      </c>
      <c r="B684" s="24">
        <f>VLOOKUP(Table30[[#This Row],[Month]],'DB Money Supply'!$A:$D,3)</f>
        <v/>
      </c>
      <c r="C684" s="59">
        <f>(Table30[[#This Row],[Real M2 Money Stock]]-B672)/B672</f>
        <v/>
      </c>
    </row>
    <row r="685">
      <c r="A685" s="22" t="n">
        <v>42217</v>
      </c>
      <c r="B685" s="24">
        <f>VLOOKUP(Table30[[#This Row],[Month]],'DB Money Supply'!$A:$D,3)</f>
        <v/>
      </c>
      <c r="C685" s="59">
        <f>(Table30[[#This Row],[Real M2 Money Stock]]-B673)/B673</f>
        <v/>
      </c>
    </row>
    <row r="686">
      <c r="A686" s="22" t="n">
        <v>42248</v>
      </c>
      <c r="B686" s="24">
        <f>VLOOKUP(Table30[[#This Row],[Month]],'DB Money Supply'!$A:$D,3)</f>
        <v/>
      </c>
      <c r="C686" s="59">
        <f>(Table30[[#This Row],[Real M2 Money Stock]]-B674)/B674</f>
        <v/>
      </c>
    </row>
    <row r="687">
      <c r="A687" s="22" t="n">
        <v>42278</v>
      </c>
      <c r="B687" s="24">
        <f>VLOOKUP(Table30[[#This Row],[Month]],'DB Money Supply'!$A:$D,3)</f>
        <v/>
      </c>
      <c r="C687" s="59">
        <f>(Table30[[#This Row],[Real M2 Money Stock]]-B675)/B675</f>
        <v/>
      </c>
    </row>
    <row r="688">
      <c r="A688" s="22" t="n">
        <v>42309</v>
      </c>
      <c r="B688" s="24">
        <f>VLOOKUP(Table30[[#This Row],[Month]],'DB Money Supply'!$A:$D,3)</f>
        <v/>
      </c>
      <c r="C688" s="59">
        <f>(Table30[[#This Row],[Real M2 Money Stock]]-B676)/B676</f>
        <v/>
      </c>
    </row>
    <row r="689">
      <c r="A689" s="22" t="n">
        <v>42339</v>
      </c>
      <c r="B689" s="24">
        <f>VLOOKUP(Table30[[#This Row],[Month]],'DB Money Supply'!$A:$D,3)</f>
        <v/>
      </c>
      <c r="C689" s="59">
        <f>(Table30[[#This Row],[Real M2 Money Stock]]-B677)/B677</f>
        <v/>
      </c>
    </row>
    <row r="690">
      <c r="A690" s="22" t="n">
        <v>42370</v>
      </c>
      <c r="B690" s="24">
        <f>VLOOKUP(Table30[[#This Row],[Month]],'DB Money Supply'!$A:$D,3)</f>
        <v/>
      </c>
      <c r="C690" s="59">
        <f>(Table30[[#This Row],[Real M2 Money Stock]]-B678)/B678</f>
        <v/>
      </c>
    </row>
    <row r="691">
      <c r="A691" s="22" t="n">
        <v>42401</v>
      </c>
      <c r="B691" s="24">
        <f>VLOOKUP(Table30[[#This Row],[Month]],'DB Money Supply'!$A:$D,3)</f>
        <v/>
      </c>
      <c r="C691" s="59">
        <f>(Table30[[#This Row],[Real M2 Money Stock]]-B679)/B679</f>
        <v/>
      </c>
    </row>
    <row r="692">
      <c r="A692" s="22" t="n">
        <v>42430</v>
      </c>
      <c r="B692" s="24">
        <f>VLOOKUP(Table30[[#This Row],[Month]],'DB Money Supply'!$A:$D,3)</f>
        <v/>
      </c>
      <c r="C692" s="59">
        <f>(Table30[[#This Row],[Real M2 Money Stock]]-B680)/B680</f>
        <v/>
      </c>
    </row>
    <row r="693">
      <c r="A693" s="22" t="n">
        <v>42461</v>
      </c>
      <c r="B693" s="24">
        <f>VLOOKUP(Table30[[#This Row],[Month]],'DB Money Supply'!$A:$D,3)</f>
        <v/>
      </c>
      <c r="C693" s="59">
        <f>(Table30[[#This Row],[Real M2 Money Stock]]-B681)/B681</f>
        <v/>
      </c>
    </row>
    <row r="694">
      <c r="A694" s="22" t="n">
        <v>42491</v>
      </c>
      <c r="B694" s="24">
        <f>VLOOKUP(Table30[[#This Row],[Month]],'DB Money Supply'!$A:$D,3)</f>
        <v/>
      </c>
      <c r="C694" s="59">
        <f>(Table30[[#This Row],[Real M2 Money Stock]]-B682)/B682</f>
        <v/>
      </c>
    </row>
    <row r="695">
      <c r="A695" s="22" t="n">
        <v>42522</v>
      </c>
      <c r="B695" s="24">
        <f>VLOOKUP(Table30[[#This Row],[Month]],'DB Money Supply'!$A:$D,3)</f>
        <v/>
      </c>
      <c r="C695" s="59">
        <f>(Table30[[#This Row],[Real M2 Money Stock]]-B683)/B683</f>
        <v/>
      </c>
    </row>
    <row r="696">
      <c r="A696" s="22" t="n">
        <v>42552</v>
      </c>
      <c r="B696" s="24">
        <f>VLOOKUP(Table30[[#This Row],[Month]],'DB Money Supply'!$A:$D,3)</f>
        <v/>
      </c>
      <c r="C696" s="59">
        <f>(Table30[[#This Row],[Real M2 Money Stock]]-B684)/B684</f>
        <v/>
      </c>
    </row>
    <row r="697">
      <c r="A697" s="22" t="n">
        <v>42583</v>
      </c>
      <c r="B697" s="24">
        <f>VLOOKUP(Table30[[#This Row],[Month]],'DB Money Supply'!$A:$D,3)</f>
        <v/>
      </c>
      <c r="C697" s="59">
        <f>(Table30[[#This Row],[Real M2 Money Stock]]-B685)/B685</f>
        <v/>
      </c>
    </row>
    <row r="698">
      <c r="A698" s="22" t="n">
        <v>42614</v>
      </c>
      <c r="B698" s="24">
        <f>VLOOKUP(Table30[[#This Row],[Month]],'DB Money Supply'!$A:$D,3)</f>
        <v/>
      </c>
      <c r="C698" s="59">
        <f>(Table30[[#This Row],[Real M2 Money Stock]]-B686)/B686</f>
        <v/>
      </c>
    </row>
    <row r="699">
      <c r="A699" s="22" t="n">
        <v>42644</v>
      </c>
      <c r="B699" s="24">
        <f>VLOOKUP(Table30[[#This Row],[Month]],'DB Money Supply'!$A:$D,3)</f>
        <v/>
      </c>
      <c r="C699" s="59">
        <f>(Table30[[#This Row],[Real M2 Money Stock]]-B687)/B687</f>
        <v/>
      </c>
    </row>
    <row r="700">
      <c r="A700" s="22" t="n">
        <v>42675</v>
      </c>
      <c r="B700" s="24">
        <f>VLOOKUP(Table30[[#This Row],[Month]],'DB Money Supply'!$A:$D,3)</f>
        <v/>
      </c>
      <c r="C700" s="59">
        <f>(Table30[[#This Row],[Real M2 Money Stock]]-B688)/B688</f>
        <v/>
      </c>
    </row>
    <row r="701">
      <c r="A701" s="22" t="n">
        <v>42705</v>
      </c>
      <c r="B701" s="24">
        <f>VLOOKUP(Table30[[#This Row],[Month]],'DB Money Supply'!$A:$D,3)</f>
        <v/>
      </c>
      <c r="C701" s="59">
        <f>(Table30[[#This Row],[Real M2 Money Stock]]-B689)/B689</f>
        <v/>
      </c>
    </row>
    <row r="702">
      <c r="A702" s="22" t="n">
        <v>42736</v>
      </c>
      <c r="B702" s="24">
        <f>VLOOKUP(Table30[[#This Row],[Month]],'DB Money Supply'!$A:$D,3)</f>
        <v/>
      </c>
      <c r="C702" s="59">
        <f>(Table30[[#This Row],[Real M2 Money Stock]]-B690)/B690</f>
        <v/>
      </c>
    </row>
    <row r="703">
      <c r="A703" s="22" t="n">
        <v>42767</v>
      </c>
      <c r="B703" s="24">
        <f>VLOOKUP(Table30[[#This Row],[Month]],'DB Money Supply'!$A:$D,3)</f>
        <v/>
      </c>
      <c r="C703" s="59">
        <f>(Table30[[#This Row],[Real M2 Money Stock]]-B691)/B691</f>
        <v/>
      </c>
    </row>
    <row r="704">
      <c r="A704" s="22" t="n">
        <v>42795</v>
      </c>
      <c r="B704" s="24">
        <f>VLOOKUP(Table30[[#This Row],[Month]],'DB Money Supply'!$A:$D,3)</f>
        <v/>
      </c>
      <c r="C704" s="59">
        <f>(Table30[[#This Row],[Real M2 Money Stock]]-B692)/B692</f>
        <v/>
      </c>
    </row>
    <row r="705">
      <c r="A705" s="22" t="n">
        <v>42826</v>
      </c>
      <c r="B705" s="24">
        <f>VLOOKUP(Table30[[#This Row],[Month]],'DB Money Supply'!$A:$D,3)</f>
        <v/>
      </c>
      <c r="C705" s="59">
        <f>(Table30[[#This Row],[Real M2 Money Stock]]-B693)/B693</f>
        <v/>
      </c>
    </row>
    <row r="706">
      <c r="A706" s="22" t="n">
        <v>42856</v>
      </c>
      <c r="B706" s="24">
        <f>VLOOKUP(Table30[[#This Row],[Month]],'DB Money Supply'!$A:$D,3)</f>
        <v/>
      </c>
      <c r="C706" s="59">
        <f>(Table30[[#This Row],[Real M2 Money Stock]]-B694)/B694</f>
        <v/>
      </c>
    </row>
    <row r="707">
      <c r="A707" s="22" t="n">
        <v>42887</v>
      </c>
      <c r="B707" s="24">
        <f>VLOOKUP(Table30[[#This Row],[Month]],'DB Money Supply'!$A:$D,3)</f>
        <v/>
      </c>
      <c r="C707" s="59">
        <f>(Table30[[#This Row],[Real M2 Money Stock]]-B695)/B695</f>
        <v/>
      </c>
    </row>
    <row r="708">
      <c r="A708" s="22" t="n">
        <v>42917</v>
      </c>
      <c r="B708" s="24">
        <f>VLOOKUP(Table30[[#This Row],[Month]],'DB Money Supply'!$A:$D,3)</f>
        <v/>
      </c>
      <c r="C708" s="59">
        <f>(Table30[[#This Row],[Real M2 Money Stock]]-B696)/B696</f>
        <v/>
      </c>
    </row>
    <row r="709">
      <c r="A709" s="22" t="n">
        <v>42948</v>
      </c>
      <c r="B709" s="24">
        <f>VLOOKUP(Table30[[#This Row],[Month]],'DB Money Supply'!$A:$D,3)</f>
        <v/>
      </c>
      <c r="C709" s="59">
        <f>(Table30[[#This Row],[Real M2 Money Stock]]-B697)/B697</f>
        <v/>
      </c>
    </row>
    <row r="710">
      <c r="A710" s="22" t="n">
        <v>42979</v>
      </c>
      <c r="B710" s="24">
        <f>VLOOKUP(Table30[[#This Row],[Month]],'DB Money Supply'!$A:$D,3)</f>
        <v/>
      </c>
      <c r="C710" s="59">
        <f>(Table30[[#This Row],[Real M2 Money Stock]]-B698)/B698</f>
        <v/>
      </c>
    </row>
    <row r="711">
      <c r="A711" s="22" t="n">
        <v>43009</v>
      </c>
      <c r="B711" s="24">
        <f>VLOOKUP(Table30[[#This Row],[Month]],'DB Money Supply'!$A:$D,3)</f>
        <v/>
      </c>
      <c r="C711" s="59">
        <f>(Table30[[#This Row],[Real M2 Money Stock]]-B699)/B699</f>
        <v/>
      </c>
    </row>
    <row r="712">
      <c r="A712" s="22" t="n">
        <v>43040</v>
      </c>
      <c r="B712" s="24">
        <f>VLOOKUP(Table30[[#This Row],[Month]],'DB Money Supply'!$A:$D,3)</f>
        <v/>
      </c>
      <c r="C712" s="59">
        <f>(Table30[[#This Row],[Real M2 Money Stock]]-B700)/B700</f>
        <v/>
      </c>
    </row>
    <row r="713">
      <c r="A713" s="22" t="n">
        <v>43070</v>
      </c>
      <c r="B713" s="24">
        <f>VLOOKUP(Table30[[#This Row],[Month]],'DB Money Supply'!$A:$D,3)</f>
        <v/>
      </c>
      <c r="C713" s="59">
        <f>(Table30[[#This Row],[Real M2 Money Stock]]-B701)/B701</f>
        <v/>
      </c>
    </row>
    <row r="714">
      <c r="A714" s="22" t="n">
        <v>43101</v>
      </c>
      <c r="B714" s="24">
        <f>VLOOKUP(Table30[[#This Row],[Month]],'DB Money Supply'!$A:$D,3)</f>
        <v/>
      </c>
      <c r="C714" s="59">
        <f>(Table30[[#This Row],[Real M2 Money Stock]]-B702)/B702</f>
        <v/>
      </c>
    </row>
    <row r="715">
      <c r="A715" s="22" t="n">
        <v>43132</v>
      </c>
      <c r="B715" s="24">
        <f>VLOOKUP(Table30[[#This Row],[Month]],'DB Money Supply'!$A:$D,3)</f>
        <v/>
      </c>
      <c r="C715" s="59">
        <f>(Table30[[#This Row],[Real M2 Money Stock]]-B703)/B703</f>
        <v/>
      </c>
    </row>
    <row r="716">
      <c r="A716" s="22" t="n">
        <v>43160</v>
      </c>
      <c r="B716" s="24">
        <f>VLOOKUP(Table30[[#This Row],[Month]],'DB Money Supply'!$A:$D,3)</f>
        <v/>
      </c>
      <c r="C716" s="59">
        <f>(Table30[[#This Row],[Real M2 Money Stock]]-B704)/B704</f>
        <v/>
      </c>
    </row>
    <row r="717">
      <c r="A717" s="22" t="n">
        <v>43191</v>
      </c>
      <c r="B717" s="24">
        <f>VLOOKUP(Table30[[#This Row],[Month]],'DB Money Supply'!$A:$D,3)</f>
        <v/>
      </c>
      <c r="C717" s="59">
        <f>(Table30[[#This Row],[Real M2 Money Stock]]-B705)/B705</f>
        <v/>
      </c>
    </row>
    <row r="718">
      <c r="A718" s="22" t="n">
        <v>43221</v>
      </c>
      <c r="B718" s="24">
        <f>VLOOKUP(Table30[[#This Row],[Month]],'DB Money Supply'!$A:$D,3)</f>
        <v/>
      </c>
      <c r="C718" s="59">
        <f>(Table30[[#This Row],[Real M2 Money Stock]]-B706)/B706</f>
        <v/>
      </c>
    </row>
    <row r="719">
      <c r="A719" s="22" t="n">
        <v>43252</v>
      </c>
      <c r="B719" s="24">
        <f>VLOOKUP(Table30[[#This Row],[Month]],'DB Money Supply'!$A:$D,3)</f>
        <v/>
      </c>
      <c r="C719" s="59">
        <f>(Table30[[#This Row],[Real M2 Money Stock]]-B707)/B707</f>
        <v/>
      </c>
    </row>
    <row r="720">
      <c r="A720" s="22" t="n">
        <v>43282</v>
      </c>
      <c r="B720" s="24">
        <f>VLOOKUP(Table30[[#This Row],[Month]],'DB Money Supply'!$A:$D,3)</f>
        <v/>
      </c>
      <c r="C720" s="59">
        <f>(Table30[[#This Row],[Real M2 Money Stock]]-B708)/B708</f>
        <v/>
      </c>
    </row>
    <row r="721">
      <c r="A721" s="22" t="n">
        <v>43313</v>
      </c>
      <c r="B721" s="24">
        <f>VLOOKUP(Table30[[#This Row],[Month]],'DB Money Supply'!$A:$D,3)</f>
        <v/>
      </c>
      <c r="C721" s="59">
        <f>(Table30[[#This Row],[Real M2 Money Stock]]-B709)/B709</f>
        <v/>
      </c>
    </row>
    <row r="722">
      <c r="A722" s="22" t="n">
        <v>43344</v>
      </c>
      <c r="B722" s="24">
        <f>VLOOKUP(Table30[[#This Row],[Month]],'DB Money Supply'!$A:$D,3)</f>
        <v/>
      </c>
      <c r="C722" s="59">
        <f>(Table30[[#This Row],[Real M2 Money Stock]]-B710)/B710</f>
        <v/>
      </c>
    </row>
    <row r="723">
      <c r="A723" s="22" t="n">
        <v>43374</v>
      </c>
      <c r="B723" s="24">
        <f>VLOOKUP(Table30[[#This Row],[Month]],'DB Money Supply'!$A:$D,3)</f>
        <v/>
      </c>
      <c r="C723" s="59">
        <f>(Table30[[#This Row],[Real M2 Money Stock]]-B711)/B711</f>
        <v/>
      </c>
    </row>
    <row r="724">
      <c r="A724" s="22" t="n">
        <v>43405</v>
      </c>
      <c r="B724" s="24">
        <f>VLOOKUP(Table30[[#This Row],[Month]],'DB Money Supply'!$A:$D,3)</f>
        <v/>
      </c>
      <c r="C724" s="59">
        <f>(Table30[[#This Row],[Real M2 Money Stock]]-B712)/B712</f>
        <v/>
      </c>
    </row>
    <row r="725">
      <c r="A725" s="22" t="n">
        <v>43435</v>
      </c>
      <c r="B725" s="24">
        <f>VLOOKUP(Table30[[#This Row],[Month]],'DB Money Supply'!$A:$D,3)</f>
        <v/>
      </c>
      <c r="C725" s="59">
        <f>(Table30[[#This Row],[Real M2 Money Stock]]-B713)/B713</f>
        <v/>
      </c>
    </row>
    <row r="726">
      <c r="A726" s="22" t="n">
        <v>43466</v>
      </c>
      <c r="B726" s="24">
        <f>VLOOKUP(Table30[[#This Row],[Month]],'DB Money Supply'!$A:$D,3)</f>
        <v/>
      </c>
      <c r="C726" s="59">
        <f>(Table30[[#This Row],[Real M2 Money Stock]]-B714)/B714</f>
        <v/>
      </c>
    </row>
    <row r="727">
      <c r="A727" s="22" t="n">
        <v>43497</v>
      </c>
      <c r="B727" s="24">
        <f>VLOOKUP(Table30[[#This Row],[Month]],'DB Money Supply'!$A:$D,3)</f>
        <v/>
      </c>
      <c r="C727" s="59">
        <f>(Table30[[#This Row],[Real M2 Money Stock]]-B715)/B715</f>
        <v/>
      </c>
    </row>
    <row r="728">
      <c r="A728" s="22" t="n">
        <v>43525</v>
      </c>
      <c r="B728" s="24">
        <f>VLOOKUP(Table30[[#This Row],[Month]],'DB Money Supply'!$A:$D,3)</f>
        <v/>
      </c>
      <c r="C728" s="59">
        <f>(Table30[[#This Row],[Real M2 Money Stock]]-B716)/B716</f>
        <v/>
      </c>
    </row>
    <row r="729">
      <c r="A729" s="22" t="n">
        <v>43556</v>
      </c>
      <c r="B729" s="24">
        <f>VLOOKUP(Table30[[#This Row],[Month]],'DB Money Supply'!$A:$D,3)</f>
        <v/>
      </c>
      <c r="C729" s="59">
        <f>(Table30[[#This Row],[Real M2 Money Stock]]-B717)/B717</f>
        <v/>
      </c>
    </row>
    <row r="730">
      <c r="A730" s="28" t="n">
        <v>43586</v>
      </c>
      <c r="B730" s="24">
        <f>VLOOKUP(Table30[[#This Row],[Month]],'DB Money Supply'!$A:$D,3)</f>
        <v/>
      </c>
      <c r="C730" s="27">
        <f>(Table30[[#This Row],[Real M2 Money Stock]]-B718)/B718</f>
        <v/>
      </c>
    </row>
    <row r="731">
      <c r="A731" s="22" t="n">
        <v>43617</v>
      </c>
      <c r="B731" s="24">
        <f>VLOOKUP(Table30[[#This Row],[Month]],'DB Money Supply'!$A:$D,3)</f>
        <v/>
      </c>
      <c r="C731" s="59">
        <f>(Table30[[#This Row],[Real M2 Money Stock]]-B719)/B719</f>
        <v/>
      </c>
    </row>
    <row r="732">
      <c r="A732" s="22" t="n">
        <v>43647</v>
      </c>
      <c r="B732" s="24">
        <f>VLOOKUP(Table30[[#This Row],[Month]],'DB Money Supply'!$A:$D,3)</f>
        <v/>
      </c>
      <c r="C732" s="27">
        <f>(Table30[[#This Row],[Real M2 Money Stock]]-B720)/B720</f>
        <v/>
      </c>
    </row>
    <row r="733">
      <c r="A733" s="22" t="n">
        <v>43678</v>
      </c>
      <c r="B733" s="24">
        <f>VLOOKUP(Table30[[#This Row],[Month]],'DB Money Supply'!$A:$D,3)</f>
        <v/>
      </c>
      <c r="C733" s="59">
        <f>(Table30[[#This Row],[Real M2 Money Stock]]-B721)/B721</f>
        <v/>
      </c>
    </row>
    <row r="734">
      <c r="A734" s="22" t="n">
        <v>43709</v>
      </c>
      <c r="B734" s="24">
        <f>VLOOKUP(Table30[[#This Row],[Month]],'DB Money Supply'!$A:$D,3)</f>
        <v/>
      </c>
      <c r="C734" s="59">
        <f>(Table30[[#This Row],[Real M2 Money Stock]]-B722)/B722</f>
        <v/>
      </c>
    </row>
    <row r="735">
      <c r="A735" s="22" t="n">
        <v>43739</v>
      </c>
      <c r="B735" s="24">
        <f>VLOOKUP(Table30[[#This Row],[Month]],'DB Money Supply'!$A:$D,3)</f>
        <v/>
      </c>
      <c r="C735" s="59">
        <f>(Table30[[#This Row],[Real M2 Money Stock]]-B723)/B723</f>
        <v/>
      </c>
    </row>
    <row r="736">
      <c r="A736" s="22" t="n">
        <v>43770</v>
      </c>
      <c r="B736" s="24">
        <f>VLOOKUP(Table30[[#This Row],[Month]],'DB Money Supply'!$A:$D,3)</f>
        <v/>
      </c>
      <c r="C736" s="59">
        <f>(Table30[[#This Row],[Real M2 Money Stock]]-B724)/B724</f>
        <v/>
      </c>
    </row>
    <row r="737">
      <c r="A737" s="22" t="n">
        <v>43800</v>
      </c>
      <c r="B737" s="24">
        <f>VLOOKUP(Table30[[#This Row],[Month]],'DB Money Supply'!$A:$D,3)</f>
        <v/>
      </c>
      <c r="C737" s="59">
        <f>(Table30[[#This Row],[Real M2 Money Stock]]-B725)/B725</f>
        <v/>
      </c>
    </row>
    <row r="738">
      <c r="A738" s="22" t="n">
        <v>43831</v>
      </c>
      <c r="B738" s="24">
        <f>VLOOKUP(Table30[[#This Row],[Month]],'DB Money Supply'!$A:$D,3)</f>
        <v/>
      </c>
      <c r="C738" s="59">
        <f>(Table30[[#This Row],[Real M2 Money Stock]]-B726)/B726</f>
        <v/>
      </c>
    </row>
    <row r="739">
      <c r="A739" s="22" t="n">
        <v>43862</v>
      </c>
      <c r="B739" s="24">
        <f>VLOOKUP(Table30[[#This Row],[Month]],'DB Money Supply'!$A:$D,3)</f>
        <v/>
      </c>
      <c r="C739" s="59">
        <f>(Table30[[#This Row],[Real M2 Money Stock]]-B727)/B727</f>
        <v/>
      </c>
    </row>
    <row r="740">
      <c r="A740" s="22" t="n">
        <v>43891</v>
      </c>
      <c r="B740" s="24">
        <f>VLOOKUP(Table30[[#This Row],[Month]],'DB Money Supply'!$A:$D,3)</f>
        <v/>
      </c>
      <c r="C740" s="59">
        <f>(Table30[[#This Row],[Real M2 Money Stock]]-B728)/B728</f>
        <v/>
      </c>
    </row>
    <row r="741">
      <c r="A741" s="22" t="n">
        <v>43922</v>
      </c>
      <c r="B741" s="24">
        <f>VLOOKUP(Table30[[#This Row],[Month]],'DB Money Supply'!$A:$D,3)</f>
        <v/>
      </c>
      <c r="C741" s="59">
        <f>(Table30[[#This Row],[Real M2 Money Stock]]-B729)/B729</f>
        <v/>
      </c>
    </row>
    <row r="742">
      <c r="A742" s="22" t="n">
        <v>43952</v>
      </c>
      <c r="B742" s="24">
        <f>VLOOKUP(Table30[[#This Row],[Month]],'DB Money Supply'!$A:$D,3)</f>
        <v/>
      </c>
      <c r="C742" s="59">
        <f>(Table30[[#This Row],[Real M2 Money Stock]]-B730)/B730</f>
        <v/>
      </c>
    </row>
    <row r="743">
      <c r="A743" s="22" t="n">
        <v>43983</v>
      </c>
      <c r="B743" s="24">
        <f>VLOOKUP(Table30[[#This Row],[Month]],'DB Money Supply'!$A:$D,3)</f>
        <v/>
      </c>
      <c r="C743" s="59">
        <f>(Table30[[#This Row],[Real M2 Money Stock]]-B731)/B731</f>
        <v/>
      </c>
    </row>
    <row r="744">
      <c r="A744" s="22" t="n">
        <v>44013</v>
      </c>
      <c r="B744" s="24">
        <f>VLOOKUP(Table30[[#This Row],[Month]],'DB Money Supply'!$A:$D,3)</f>
        <v/>
      </c>
      <c r="C744" s="59">
        <f>(Table30[[#This Row],[Real M2 Money Stock]]-B732)/B732</f>
        <v/>
      </c>
    </row>
    <row r="745">
      <c r="A745" s="28" t="n">
        <v>44044</v>
      </c>
      <c r="B745" s="24">
        <f>VLOOKUP(Table30[[#This Row],[Month]],'DB Money Supply'!$A:$D,3)</f>
        <v/>
      </c>
      <c r="C745" s="27">
        <f>(Table30[[#This Row],[Real M2 Money Stock]]-B733)/B733</f>
        <v/>
      </c>
    </row>
    <row r="746">
      <c r="A746" s="22" t="n">
        <v>44075</v>
      </c>
      <c r="B746" s="24">
        <f>VLOOKUP(Table30[[#This Row],[Month]],'DB Money Supply'!$A:$D,3)</f>
        <v/>
      </c>
      <c r="C746" s="59">
        <f>(Table30[[#This Row],[Real M2 Money Stock]]-B734)/B734</f>
        <v/>
      </c>
    </row>
    <row r="747">
      <c r="A747" s="22" t="n">
        <v>44105</v>
      </c>
      <c r="B747" s="24">
        <f>VLOOKUP(Table30[[#This Row],[Month]],'DB Money Supply'!$A:$D,3)</f>
        <v/>
      </c>
      <c r="C747" s="27">
        <f>(Table30[[#This Row],[Real M2 Money Stock]]-B735)/B735</f>
        <v/>
      </c>
    </row>
    <row r="748">
      <c r="A748" s="22" t="n">
        <v>44136</v>
      </c>
      <c r="B748" s="24">
        <f>VLOOKUP(Table30[[#This Row],[Month]],'DB Money Supply'!$A:$D,3)</f>
        <v/>
      </c>
      <c r="C748" s="59">
        <f>(Table30[[#This Row],[Real M2 Money Stock]]-B736)/B736</f>
        <v/>
      </c>
    </row>
    <row r="749">
      <c r="A749" s="22" t="n">
        <v>44166</v>
      </c>
      <c r="B749" s="24">
        <f>VLOOKUP(Table30[[#This Row],[Month]],'DB Money Supply'!$A:$D,3)</f>
        <v/>
      </c>
      <c r="C749" s="59">
        <f>(Table30[[#This Row],[Real M2 Money Stock]]-B737)/B737</f>
        <v/>
      </c>
    </row>
    <row r="750">
      <c r="A750" s="22" t="n">
        <v>44197</v>
      </c>
      <c r="B750" s="24">
        <f>VLOOKUP(Table30[[#This Row],[Month]],'DB Money Supply'!$A:$D,3)</f>
        <v/>
      </c>
      <c r="C750" s="59">
        <f>(Table30[[#This Row],[Real M2 Money Stock]]-B738)/B738</f>
        <v/>
      </c>
    </row>
    <row r="751">
      <c r="A751" s="22" t="n">
        <v>44228</v>
      </c>
      <c r="B751" s="24">
        <f>VLOOKUP(Table30[[#This Row],[Month]],'DB Money Supply'!$A:$D,3)</f>
        <v/>
      </c>
      <c r="C751" s="59">
        <f>(Table30[[#This Row],[Real M2 Money Stock]]-B739)/B739</f>
        <v/>
      </c>
    </row>
    <row r="752">
      <c r="A752" s="22" t="n">
        <v>44256</v>
      </c>
      <c r="B752" s="24">
        <f>VLOOKUP(Table30[[#This Row],[Month]],'DB Money Supply'!$A:$D,3)</f>
        <v/>
      </c>
      <c r="C752" s="59">
        <f>(Table30[[#This Row],[Real M2 Money Stock]]-B740)/B740</f>
        <v/>
      </c>
    </row>
    <row r="753">
      <c r="A753" s="22" t="n">
        <v>44287</v>
      </c>
      <c r="B753" s="24">
        <f>VLOOKUP(Table30[[#This Row],[Month]],'DB Money Supply'!$A:$D,3)</f>
        <v/>
      </c>
      <c r="C753" s="59">
        <f>(Table30[[#This Row],[Real M2 Money Stock]]-B741)/B741</f>
        <v/>
      </c>
    </row>
    <row r="754">
      <c r="A754" s="22" t="n">
        <v>44317</v>
      </c>
      <c r="B754" s="24">
        <f>VLOOKUP(Table30[[#This Row],[Month]],'DB Money Supply'!$A:$D,3)</f>
        <v/>
      </c>
      <c r="C754" s="59">
        <f>(Table30[[#This Row],[Real M2 Money Stock]]-B742)/B742</f>
        <v/>
      </c>
    </row>
    <row r="755">
      <c r="A755" s="28" t="n">
        <v>44348</v>
      </c>
      <c r="B755" s="24">
        <f>VLOOKUP(Table30[[#This Row],[Month]],'DB Money Supply'!$A:$D,3)</f>
        <v/>
      </c>
      <c r="C755" s="27">
        <f>(Table30[[#This Row],[Real M2 Money Stock]]-B743)/B743</f>
        <v/>
      </c>
    </row>
    <row r="756">
      <c r="A756" s="22" t="n">
        <v>44378</v>
      </c>
      <c r="B756" s="24">
        <f>VLOOKUP(Table30[[#This Row],[Month]],'DB Money Supply'!$A:$D,3)</f>
        <v/>
      </c>
      <c r="C756" s="59">
        <f>(Table30[[#This Row],[Real M2 Money Stock]]-B744)/B744</f>
        <v/>
      </c>
    </row>
    <row r="757">
      <c r="A757" s="22" t="n">
        <v>44409</v>
      </c>
      <c r="B757" s="24">
        <f>VLOOKUP(Table30[[#This Row],[Month]],'DB Money Supply'!$A:$D,3)</f>
        <v/>
      </c>
      <c r="C757" s="27">
        <f>(Table30[[#This Row],[Real M2 Money Stock]]-B745)/B745</f>
        <v/>
      </c>
    </row>
    <row r="758">
      <c r="A758" s="22" t="n">
        <v>44440</v>
      </c>
      <c r="B758" s="24">
        <f>VLOOKUP(Table30[[#This Row],[Month]],'DB Money Supply'!$A:$D,3)</f>
        <v/>
      </c>
      <c r="C758" s="59">
        <f>(Table30[[#This Row],[Real M2 Money Stock]]-B746)/B746</f>
        <v/>
      </c>
    </row>
    <row r="759">
      <c r="A759" s="22" t="n">
        <v>44470</v>
      </c>
      <c r="B759" s="24">
        <f>VLOOKUP(Table30[[#This Row],[Month]],'DB Money Supply'!$A:$D,3)</f>
        <v/>
      </c>
      <c r="C759" s="59">
        <f>(Table30[[#This Row],[Real M2 Money Stock]]-B747)/B747</f>
        <v/>
      </c>
    </row>
    <row r="760">
      <c r="A760" s="22" t="n">
        <v>44501</v>
      </c>
      <c r="B760" s="24">
        <f>VLOOKUP(Table30[[#This Row],[Month]],'DB Money Supply'!$A:$D,3)</f>
        <v/>
      </c>
      <c r="C760" s="59">
        <f>(Table30[[#This Row],[Real M2 Money Stock]]-B748)/B748</f>
        <v/>
      </c>
    </row>
    <row r="761">
      <c r="A761" s="28" t="n">
        <v>44531</v>
      </c>
      <c r="B761" s="24">
        <f>VLOOKUP(Table30[[#This Row],[Month]],'DB Money Supply'!$A:$D,3)</f>
        <v/>
      </c>
      <c r="C761" s="27">
        <f>(Table30[[#This Row],[Real M2 Money Stock]]-B749)/B749</f>
        <v/>
      </c>
    </row>
    <row r="762">
      <c r="A762" s="22" t="n">
        <v>44562</v>
      </c>
      <c r="B762" s="24">
        <f>VLOOKUP(Table30[[#This Row],[Month]],'DB Money Supply'!$A:$D,3)</f>
        <v/>
      </c>
      <c r="C762" s="27">
        <f>(Table30[[#This Row],[Real M2 Money Stock]]-B750)/B750</f>
        <v/>
      </c>
    </row>
    <row r="763">
      <c r="A763" s="22" t="n">
        <v>44593</v>
      </c>
      <c r="B763" s="24">
        <f>VLOOKUP(Table30[[#This Row],[Month]],'DB Money Supply'!$A:$D,3)</f>
        <v/>
      </c>
      <c r="C763" s="59">
        <f>(Table30[[#This Row],[Real M2 Money Stock]]-B751)/B751</f>
        <v/>
      </c>
    </row>
    <row r="764">
      <c r="A764" s="22" t="n">
        <v>44621</v>
      </c>
      <c r="B764" s="24">
        <f>VLOOKUP(Table30[[#This Row],[Month]],'DB Money Supply'!$A:$D,3)</f>
        <v/>
      </c>
      <c r="C764" s="27">
        <f>(Table30[[#This Row],[Real M2 Money Stock]]-B752)/B752</f>
        <v/>
      </c>
    </row>
    <row r="765">
      <c r="A765" s="22" t="n">
        <v>44652</v>
      </c>
      <c r="B765" s="24">
        <f>VLOOKUP(Table30[[#This Row],[Month]],'DB Money Supply'!$A:$D,3)</f>
        <v/>
      </c>
      <c r="C765" s="59">
        <f>(Table30[[#This Row],[Real M2 Money Stock]]-B753)/B753</f>
        <v/>
      </c>
    </row>
    <row r="766">
      <c r="A766" s="22" t="n">
        <v>44682</v>
      </c>
      <c r="B766" s="24">
        <f>VLOOKUP(Table30[[#This Row],[Month]],'DB Money Supply'!$A:$D,3)</f>
        <v/>
      </c>
      <c r="C766" s="59">
        <f>(Table30[[#This Row],[Real M2 Money Stock]]-B754)/B754</f>
        <v/>
      </c>
    </row>
    <row r="767">
      <c r="A767" s="22" t="n">
        <v>44713</v>
      </c>
      <c r="B767" s="24">
        <f>VLOOKUP(Table30[[#This Row],[Month]],'DB Money Supply'!$A:$D,3)</f>
        <v/>
      </c>
      <c r="C767" s="59">
        <f>(Table30[[#This Row],[Real M2 Money Stock]]-B755)/B755</f>
        <v/>
      </c>
    </row>
    <row r="768">
      <c r="A768" s="22" t="n">
        <v>44743</v>
      </c>
      <c r="B768" s="24">
        <f>VLOOKUP(Table30[[#This Row],[Month]],'DB Money Supply'!$A:$D,3)</f>
        <v/>
      </c>
      <c r="C768" s="27">
        <f>(Table30[[#This Row],[Real M2 Money Stock]]-B756)/B756</f>
        <v/>
      </c>
    </row>
    <row r="769">
      <c r="A769" s="22" t="n">
        <v>44774</v>
      </c>
      <c r="B769" s="24">
        <f>VLOOKUP(Table30[[#This Row],[Month]],'DB Money Supply'!$A:$D,3)</f>
        <v/>
      </c>
      <c r="C769" s="59">
        <f>(Table30[[#This Row],[Real M2 Money Stock]]-B757)/B757</f>
        <v/>
      </c>
    </row>
    <row r="770">
      <c r="A770" s="22" t="n">
        <v>44805</v>
      </c>
      <c r="B770" s="24">
        <f>VLOOKUP(Table30[[#This Row],[Month]],'DB Money Supply'!$A:$D,3)</f>
        <v/>
      </c>
      <c r="C770" s="27">
        <f>(Table30[[#This Row],[Real M2 Money Stock]]-B758)/B758</f>
        <v/>
      </c>
    </row>
    <row r="771">
      <c r="A771" s="22" t="n">
        <v>44835</v>
      </c>
      <c r="B771" s="24">
        <f>VLOOKUP(Table30[[#This Row],[Month]],'DB Money Supply'!$A:$D,3)</f>
        <v/>
      </c>
      <c r="C771" s="27">
        <f>(Table30[[#This Row],[Real M2 Money Stock]]-B759)/B759</f>
        <v/>
      </c>
    </row>
    <row r="772">
      <c r="A772" s="22" t="n">
        <v>44866</v>
      </c>
      <c r="B772" s="24">
        <f>VLOOKUP(Table30[[#This Row],[Month]],'DB Money Supply'!$A:$D,3)</f>
        <v/>
      </c>
      <c r="C772" s="27">
        <f>(Table30[[#This Row],[Real M2 Money Stock]]-B760)/B760</f>
        <v/>
      </c>
    </row>
    <row r="773">
      <c r="A773" s="22" t="n">
        <v>44896</v>
      </c>
      <c r="B773" s="24">
        <f>VLOOKUP(Table30[[#This Row],[Month]],'DB Money Supply'!$A:$D,3)</f>
        <v/>
      </c>
      <c r="C773" s="27">
        <f>(Table30[[#This Row],[Real M2 Money Stock]]-B761)/B761</f>
        <v/>
      </c>
    </row>
    <row r="774">
      <c r="A774" s="22" t="n">
        <v>44927</v>
      </c>
      <c r="B774" s="24">
        <f>VLOOKUP(Table30[[#This Row],[Month]],'DB Money Supply'!$A:$D,3)</f>
        <v/>
      </c>
      <c r="C774" s="59">
        <f>(Table30[[#This Row],[Real M2 Money Stock]]-B762)/B762</f>
        <v/>
      </c>
    </row>
    <row r="775">
      <c r="A775" s="22" t="n">
        <v>44958</v>
      </c>
      <c r="B775" s="24">
        <f>VLOOKUP(Table30[[#This Row],[Month]],'DB Money Supply'!$A:$D,3)</f>
        <v/>
      </c>
      <c r="C775" s="59">
        <f>(Table30[[#This Row],[Real M2 Money Stock]]-B763)/B763</f>
        <v/>
      </c>
    </row>
  </sheetData>
  <conditionalFormatting sqref="C18:C775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8.xml><?xml version="1.0" encoding="utf-8"?>
<worksheet xmlns="http://schemas.openxmlformats.org/spreadsheetml/2006/main">
  <sheetPr codeName="Sheet42">
    <tabColor rgb="FFFFC000"/>
    <outlinePr summaryBelow="1" summaryRight="1"/>
    <pageSetUpPr/>
  </sheetPr>
  <dimension ref="A1:H2410"/>
  <sheetViews>
    <sheetView zoomScale="90" zoomScaleNormal="90" workbookViewId="0">
      <pane ySplit="5" topLeftCell="A2388" activePane="bottomLeft" state="frozen"/>
      <selection pane="bottomLeft" activeCell="A2402" sqref="A2402:F2410"/>
    </sheetView>
  </sheetViews>
  <sheetFormatPr baseColWidth="8" defaultColWidth="9.1796875" defaultRowHeight="14.5"/>
  <cols>
    <col width="16.6328125" customWidth="1" style="16" min="1" max="1"/>
    <col width="19" customWidth="1" style="16" min="2" max="2"/>
    <col width="14.6328125" customWidth="1" style="16" min="3" max="3"/>
    <col width="14.6328125" customWidth="1" style="77" min="4" max="4"/>
    <col width="9.1796875" customWidth="1" style="77" min="5" max="43"/>
    <col width="9.1796875" customWidth="1" style="77" min="44" max="16384"/>
  </cols>
  <sheetData>
    <row r="1">
      <c r="A1" s="83" t="inlineStr">
        <is>
          <t>https://fred.stlouisfed.org/series/M1</t>
        </is>
      </c>
    </row>
    <row r="3">
      <c r="H3" s="17" t="n"/>
    </row>
    <row r="4" ht="16" customHeight="1" thickBot="1">
      <c r="H4" s="17" t="n"/>
    </row>
    <row r="5" ht="39.75" customHeight="1">
      <c r="A5" s="44" t="inlineStr">
        <is>
          <t>Date</t>
        </is>
      </c>
      <c r="B5" s="50" t="inlineStr">
        <is>
          <t>M1 Money Stock, Billions of Dollars, Weekly, Seasonally Adjusted</t>
        </is>
      </c>
      <c r="C5" s="45" t="inlineStr">
        <is>
          <t>Weekly change</t>
        </is>
      </c>
      <c r="D5" s="45" t="inlineStr">
        <is>
          <t>Annualized Change</t>
        </is>
      </c>
      <c r="E5" s="45" t="inlineStr">
        <is>
          <t>4 weeks average</t>
        </is>
      </c>
      <c r="F5" s="46" t="inlineStr">
        <is>
          <t>% YoY change</t>
        </is>
      </c>
    </row>
    <row r="6">
      <c r="A6" s="22" t="n">
        <v>27400</v>
      </c>
      <c r="B6" s="24">
        <f>VLOOKUP(Table2634[[#This Row],[Date]],'DB Money Supply'!$A:$D,4)</f>
        <v/>
      </c>
      <c r="C6" s="29" t="n"/>
      <c r="D6" s="29" t="n"/>
      <c r="E6" s="24" t="n"/>
      <c r="F6" s="29" t="n"/>
    </row>
    <row r="7">
      <c r="A7" s="22" t="n">
        <v>27407</v>
      </c>
      <c r="B7" s="24">
        <f>VLOOKUP(Table2634[[#This Row],[Date]],'DB Money Supply'!$A:$D,4)</f>
        <v/>
      </c>
      <c r="C7" s="30">
        <f>(Table2634[[#This Row],[M1 Money Stock, Billions of Dollars, Weekly, Seasonally Adjusted]]-B6)/B6</f>
        <v/>
      </c>
      <c r="D7" s="34">
        <f>((1+Table2634[[#This Row],[Weekly change]])^52)-1</f>
        <v/>
      </c>
      <c r="E7" s="24" t="n"/>
      <c r="F7" s="29" t="n"/>
    </row>
    <row r="8">
      <c r="A8" s="22" t="n">
        <v>27414</v>
      </c>
      <c r="B8" s="24">
        <f>VLOOKUP(Table2634[[#This Row],[Date]],'DB Money Supply'!$A:$D,4)</f>
        <v/>
      </c>
      <c r="C8" s="30">
        <f>(Table2634[[#This Row],[M1 Money Stock, Billions of Dollars, Weekly, Seasonally Adjusted]]-B7)/B7</f>
        <v/>
      </c>
      <c r="D8" s="34">
        <f>((1+Table2634[[#This Row],[Weekly change]])^52)-1</f>
        <v/>
      </c>
      <c r="E8" s="24" t="n"/>
      <c r="F8" s="29" t="n"/>
    </row>
    <row r="9">
      <c r="A9" s="22" t="n">
        <v>27421</v>
      </c>
      <c r="B9" s="24">
        <f>VLOOKUP(Table2634[[#This Row],[Date]],'DB Money Supply'!$A:$D,4)</f>
        <v/>
      </c>
      <c r="C9" s="30">
        <f>(Table2634[[#This Row],[M1 Money Stock, Billions of Dollars, Weekly, Seasonally Adjusted]]-B8)/B8</f>
        <v/>
      </c>
      <c r="D9" s="34">
        <f>((1+Table2634[[#This Row],[Weekly change]])^52)-1</f>
        <v/>
      </c>
      <c r="E9" s="24">
        <f>AVERAGE(B6:B9)</f>
        <v/>
      </c>
      <c r="F9" s="29" t="n"/>
    </row>
    <row r="10">
      <c r="A10" s="22" t="n">
        <v>27428</v>
      </c>
      <c r="B10" s="24">
        <f>VLOOKUP(Table2634[[#This Row],[Date]],'DB Money Supply'!$A:$D,4)</f>
        <v/>
      </c>
      <c r="C10" s="30">
        <f>(Table2634[[#This Row],[M1 Money Stock, Billions of Dollars, Weekly, Seasonally Adjusted]]-B9)/B9</f>
        <v/>
      </c>
      <c r="D10" s="34">
        <f>((1+Table2634[[#This Row],[Weekly change]])^52)-1</f>
        <v/>
      </c>
      <c r="E10" s="24">
        <f>AVERAGE(B7:B10)</f>
        <v/>
      </c>
      <c r="F10" s="29" t="n"/>
    </row>
    <row r="11">
      <c r="A11" s="22" t="n">
        <v>27435</v>
      </c>
      <c r="B11" s="24">
        <f>VLOOKUP(Table2634[[#This Row],[Date]],'DB Money Supply'!$A:$D,4)</f>
        <v/>
      </c>
      <c r="C11" s="30">
        <f>(Table2634[[#This Row],[M1 Money Stock, Billions of Dollars, Weekly, Seasonally Adjusted]]-B10)/B10</f>
        <v/>
      </c>
      <c r="D11" s="34">
        <f>((1+Table2634[[#This Row],[Weekly change]])^52)-1</f>
        <v/>
      </c>
      <c r="E11" s="24">
        <f>AVERAGE(B8:B11)</f>
        <v/>
      </c>
      <c r="F11" s="29" t="n"/>
    </row>
    <row r="12">
      <c r="A12" s="22" t="n">
        <v>27442</v>
      </c>
      <c r="B12" s="24">
        <f>VLOOKUP(Table2634[[#This Row],[Date]],'DB Money Supply'!$A:$D,4)</f>
        <v/>
      </c>
      <c r="C12" s="30">
        <f>(Table2634[[#This Row],[M1 Money Stock, Billions of Dollars, Weekly, Seasonally Adjusted]]-B11)/B11</f>
        <v/>
      </c>
      <c r="D12" s="34">
        <f>((1+Table2634[[#This Row],[Weekly change]])^52)-1</f>
        <v/>
      </c>
      <c r="E12" s="24">
        <f>AVERAGE(B9:B12)</f>
        <v/>
      </c>
      <c r="F12" s="29" t="n"/>
    </row>
    <row r="13">
      <c r="A13" s="22" t="n">
        <v>27449</v>
      </c>
      <c r="B13" s="24">
        <f>VLOOKUP(Table2634[[#This Row],[Date]],'DB Money Supply'!$A:$D,4)</f>
        <v/>
      </c>
      <c r="C13" s="30">
        <f>(Table2634[[#This Row],[M1 Money Stock, Billions of Dollars, Weekly, Seasonally Adjusted]]-B12)/B12</f>
        <v/>
      </c>
      <c r="D13" s="34">
        <f>((1+Table2634[[#This Row],[Weekly change]])^52)-1</f>
        <v/>
      </c>
      <c r="E13" s="24">
        <f>AVERAGE(B10:B13)</f>
        <v/>
      </c>
      <c r="F13" s="29" t="n"/>
    </row>
    <row r="14">
      <c r="A14" s="22" t="n">
        <v>27456</v>
      </c>
      <c r="B14" s="24">
        <f>VLOOKUP(Table2634[[#This Row],[Date]],'DB Money Supply'!$A:$D,4)</f>
        <v/>
      </c>
      <c r="C14" s="30">
        <f>(Table2634[[#This Row],[M1 Money Stock, Billions of Dollars, Weekly, Seasonally Adjusted]]-B13)/B13</f>
        <v/>
      </c>
      <c r="D14" s="34">
        <f>((1+Table2634[[#This Row],[Weekly change]])^52)-1</f>
        <v/>
      </c>
      <c r="E14" s="24">
        <f>AVERAGE(B11:B14)</f>
        <v/>
      </c>
      <c r="F14" s="29" t="n"/>
    </row>
    <row r="15">
      <c r="A15" s="22" t="n">
        <v>27463</v>
      </c>
      <c r="B15" s="24">
        <f>VLOOKUP(Table2634[[#This Row],[Date]],'DB Money Supply'!$A:$D,4)</f>
        <v/>
      </c>
      <c r="C15" s="30">
        <f>(Table2634[[#This Row],[M1 Money Stock, Billions of Dollars, Weekly, Seasonally Adjusted]]-B14)/B14</f>
        <v/>
      </c>
      <c r="D15" s="34">
        <f>((1+Table2634[[#This Row],[Weekly change]])^52)-1</f>
        <v/>
      </c>
      <c r="E15" s="24">
        <f>AVERAGE(B12:B15)</f>
        <v/>
      </c>
      <c r="F15" s="29" t="n"/>
    </row>
    <row r="16">
      <c r="A16" s="22" t="n">
        <v>27470</v>
      </c>
      <c r="B16" s="24">
        <f>VLOOKUP(Table2634[[#This Row],[Date]],'DB Money Supply'!$A:$D,4)</f>
        <v/>
      </c>
      <c r="C16" s="30">
        <f>(Table2634[[#This Row],[M1 Money Stock, Billions of Dollars, Weekly, Seasonally Adjusted]]-B15)/B15</f>
        <v/>
      </c>
      <c r="D16" s="34">
        <f>((1+Table2634[[#This Row],[Weekly change]])^52)-1</f>
        <v/>
      </c>
      <c r="E16" s="24">
        <f>AVERAGE(B13:B16)</f>
        <v/>
      </c>
      <c r="F16" s="29" t="n"/>
    </row>
    <row r="17">
      <c r="A17" s="22" t="n">
        <v>27477</v>
      </c>
      <c r="B17" s="24">
        <f>VLOOKUP(Table2634[[#This Row],[Date]],'DB Money Supply'!$A:$D,4)</f>
        <v/>
      </c>
      <c r="C17" s="30">
        <f>(Table2634[[#This Row],[M1 Money Stock, Billions of Dollars, Weekly, Seasonally Adjusted]]-B16)/B16</f>
        <v/>
      </c>
      <c r="D17" s="34">
        <f>((1+Table2634[[#This Row],[Weekly change]])^52)-1</f>
        <v/>
      </c>
      <c r="E17" s="24">
        <f>AVERAGE(B14:B17)</f>
        <v/>
      </c>
      <c r="F17" s="29" t="n"/>
    </row>
    <row r="18">
      <c r="A18" s="22" t="n">
        <v>27484</v>
      </c>
      <c r="B18" s="24">
        <f>VLOOKUP(Table2634[[#This Row],[Date]],'DB Money Supply'!$A:$D,4)</f>
        <v/>
      </c>
      <c r="C18" s="30">
        <f>(Table2634[[#This Row],[M1 Money Stock, Billions of Dollars, Weekly, Seasonally Adjusted]]-B17)/B17</f>
        <v/>
      </c>
      <c r="D18" s="34">
        <f>((1+Table2634[[#This Row],[Weekly change]])^52)-1</f>
        <v/>
      </c>
      <c r="E18" s="24">
        <f>AVERAGE(B15:B18)</f>
        <v/>
      </c>
      <c r="F18" s="29" t="n"/>
    </row>
    <row r="19">
      <c r="A19" s="22" t="n">
        <v>27491</v>
      </c>
      <c r="B19" s="24">
        <f>VLOOKUP(Table2634[[#This Row],[Date]],'DB Money Supply'!$A:$D,4)</f>
        <v/>
      </c>
      <c r="C19" s="30">
        <f>(Table2634[[#This Row],[M1 Money Stock, Billions of Dollars, Weekly, Seasonally Adjusted]]-B18)/B18</f>
        <v/>
      </c>
      <c r="D19" s="34">
        <f>((1+Table2634[[#This Row],[Weekly change]])^52)-1</f>
        <v/>
      </c>
      <c r="E19" s="24">
        <f>AVERAGE(B16:B19)</f>
        <v/>
      </c>
      <c r="F19" s="29" t="n"/>
    </row>
    <row r="20">
      <c r="A20" s="22" t="n">
        <v>27498</v>
      </c>
      <c r="B20" s="24">
        <f>VLOOKUP(Table2634[[#This Row],[Date]],'DB Money Supply'!$A:$D,4)</f>
        <v/>
      </c>
      <c r="C20" s="30">
        <f>(Table2634[[#This Row],[M1 Money Stock, Billions of Dollars, Weekly, Seasonally Adjusted]]-B19)/B19</f>
        <v/>
      </c>
      <c r="D20" s="34">
        <f>((1+Table2634[[#This Row],[Weekly change]])^52)-1</f>
        <v/>
      </c>
      <c r="E20" s="24">
        <f>AVERAGE(B17:B20)</f>
        <v/>
      </c>
      <c r="F20" s="29" t="n"/>
    </row>
    <row r="21">
      <c r="A21" s="22" t="n">
        <v>27505</v>
      </c>
      <c r="B21" s="24">
        <f>VLOOKUP(Table2634[[#This Row],[Date]],'DB Money Supply'!$A:$D,4)</f>
        <v/>
      </c>
      <c r="C21" s="30">
        <f>(Table2634[[#This Row],[M1 Money Stock, Billions of Dollars, Weekly, Seasonally Adjusted]]-B20)/B20</f>
        <v/>
      </c>
      <c r="D21" s="34">
        <f>((1+Table2634[[#This Row],[Weekly change]])^52)-1</f>
        <v/>
      </c>
      <c r="E21" s="24">
        <f>AVERAGE(B18:B21)</f>
        <v/>
      </c>
      <c r="F21" s="29" t="n"/>
    </row>
    <row r="22">
      <c r="A22" s="22" t="n">
        <v>27512</v>
      </c>
      <c r="B22" s="24">
        <f>VLOOKUP(Table2634[[#This Row],[Date]],'DB Money Supply'!$A:$D,4)</f>
        <v/>
      </c>
      <c r="C22" s="30">
        <f>(Table2634[[#This Row],[M1 Money Stock, Billions of Dollars, Weekly, Seasonally Adjusted]]-B21)/B21</f>
        <v/>
      </c>
      <c r="D22" s="34">
        <f>((1+Table2634[[#This Row],[Weekly change]])^52)-1</f>
        <v/>
      </c>
      <c r="E22" s="24">
        <f>AVERAGE(B19:B22)</f>
        <v/>
      </c>
      <c r="F22" s="29" t="n"/>
    </row>
    <row r="23">
      <c r="A23" s="22" t="n">
        <v>27519</v>
      </c>
      <c r="B23" s="24">
        <f>VLOOKUP(Table2634[[#This Row],[Date]],'DB Money Supply'!$A:$D,4)</f>
        <v/>
      </c>
      <c r="C23" s="30">
        <f>(Table2634[[#This Row],[M1 Money Stock, Billions of Dollars, Weekly, Seasonally Adjusted]]-B22)/B22</f>
        <v/>
      </c>
      <c r="D23" s="34">
        <f>((1+Table2634[[#This Row],[Weekly change]])^52)-1</f>
        <v/>
      </c>
      <c r="E23" s="24">
        <f>AVERAGE(B20:B23)</f>
        <v/>
      </c>
      <c r="F23" s="29" t="n"/>
    </row>
    <row r="24">
      <c r="A24" s="22" t="n">
        <v>27526</v>
      </c>
      <c r="B24" s="24">
        <f>VLOOKUP(Table2634[[#This Row],[Date]],'DB Money Supply'!$A:$D,4)</f>
        <v/>
      </c>
      <c r="C24" s="30">
        <f>(Table2634[[#This Row],[M1 Money Stock, Billions of Dollars, Weekly, Seasonally Adjusted]]-B23)/B23</f>
        <v/>
      </c>
      <c r="D24" s="34">
        <f>((1+Table2634[[#This Row],[Weekly change]])^52)-1</f>
        <v/>
      </c>
      <c r="E24" s="24">
        <f>AVERAGE(B21:B24)</f>
        <v/>
      </c>
      <c r="F24" s="29" t="n"/>
    </row>
    <row r="25">
      <c r="A25" s="22" t="n">
        <v>27533</v>
      </c>
      <c r="B25" s="24">
        <f>VLOOKUP(Table2634[[#This Row],[Date]],'DB Money Supply'!$A:$D,4)</f>
        <v/>
      </c>
      <c r="C25" s="30">
        <f>(Table2634[[#This Row],[M1 Money Stock, Billions of Dollars, Weekly, Seasonally Adjusted]]-B24)/B24</f>
        <v/>
      </c>
      <c r="D25" s="34">
        <f>((1+Table2634[[#This Row],[Weekly change]])^52)-1</f>
        <v/>
      </c>
      <c r="E25" s="24">
        <f>AVERAGE(B22:B25)</f>
        <v/>
      </c>
      <c r="F25" s="29" t="n"/>
    </row>
    <row r="26">
      <c r="A26" s="22" t="n">
        <v>27540</v>
      </c>
      <c r="B26" s="24">
        <f>VLOOKUP(Table2634[[#This Row],[Date]],'DB Money Supply'!$A:$D,4)</f>
        <v/>
      </c>
      <c r="C26" s="30">
        <f>(Table2634[[#This Row],[M1 Money Stock, Billions of Dollars, Weekly, Seasonally Adjusted]]-B25)/B25</f>
        <v/>
      </c>
      <c r="D26" s="34">
        <f>((1+Table2634[[#This Row],[Weekly change]])^52)-1</f>
        <v/>
      </c>
      <c r="E26" s="24">
        <f>AVERAGE(B23:B26)</f>
        <v/>
      </c>
      <c r="F26" s="29" t="n"/>
    </row>
    <row r="27">
      <c r="A27" s="22" t="n">
        <v>27547</v>
      </c>
      <c r="B27" s="24">
        <f>VLOOKUP(Table2634[[#This Row],[Date]],'DB Money Supply'!$A:$D,4)</f>
        <v/>
      </c>
      <c r="C27" s="30">
        <f>(Table2634[[#This Row],[M1 Money Stock, Billions of Dollars, Weekly, Seasonally Adjusted]]-B26)/B26</f>
        <v/>
      </c>
      <c r="D27" s="34">
        <f>((1+Table2634[[#This Row],[Weekly change]])^52)-1</f>
        <v/>
      </c>
      <c r="E27" s="24">
        <f>AVERAGE(B24:B27)</f>
        <v/>
      </c>
      <c r="F27" s="29" t="n"/>
    </row>
    <row r="28">
      <c r="A28" s="22" t="n">
        <v>27554</v>
      </c>
      <c r="B28" s="24">
        <f>VLOOKUP(Table2634[[#This Row],[Date]],'DB Money Supply'!$A:$D,4)</f>
        <v/>
      </c>
      <c r="C28" s="30">
        <f>(Table2634[[#This Row],[M1 Money Stock, Billions of Dollars, Weekly, Seasonally Adjusted]]-B27)/B27</f>
        <v/>
      </c>
      <c r="D28" s="34">
        <f>((1+Table2634[[#This Row],[Weekly change]])^52)-1</f>
        <v/>
      </c>
      <c r="E28" s="24">
        <f>AVERAGE(B25:B28)</f>
        <v/>
      </c>
      <c r="F28" s="29" t="n"/>
    </row>
    <row r="29">
      <c r="A29" s="22" t="n">
        <v>27561</v>
      </c>
      <c r="B29" s="24">
        <f>VLOOKUP(Table2634[[#This Row],[Date]],'DB Money Supply'!$A:$D,4)</f>
        <v/>
      </c>
      <c r="C29" s="30">
        <f>(Table2634[[#This Row],[M1 Money Stock, Billions of Dollars, Weekly, Seasonally Adjusted]]-B28)/B28</f>
        <v/>
      </c>
      <c r="D29" s="34">
        <f>((1+Table2634[[#This Row],[Weekly change]])^52)-1</f>
        <v/>
      </c>
      <c r="E29" s="24">
        <f>AVERAGE(B26:B29)</f>
        <v/>
      </c>
      <c r="F29" s="29" t="n"/>
    </row>
    <row r="30">
      <c r="A30" s="22" t="n">
        <v>27568</v>
      </c>
      <c r="B30" s="24">
        <f>VLOOKUP(Table2634[[#This Row],[Date]],'DB Money Supply'!$A:$D,4)</f>
        <v/>
      </c>
      <c r="C30" s="30">
        <f>(Table2634[[#This Row],[M1 Money Stock, Billions of Dollars, Weekly, Seasonally Adjusted]]-B29)/B29</f>
        <v/>
      </c>
      <c r="D30" s="34">
        <f>((1+Table2634[[#This Row],[Weekly change]])^52)-1</f>
        <v/>
      </c>
      <c r="E30" s="24">
        <f>AVERAGE(B27:B30)</f>
        <v/>
      </c>
      <c r="F30" s="29" t="n"/>
    </row>
    <row r="31">
      <c r="A31" s="22" t="n">
        <v>27575</v>
      </c>
      <c r="B31" s="24">
        <f>VLOOKUP(Table2634[[#This Row],[Date]],'DB Money Supply'!$A:$D,4)</f>
        <v/>
      </c>
      <c r="C31" s="30">
        <f>(Table2634[[#This Row],[M1 Money Stock, Billions of Dollars, Weekly, Seasonally Adjusted]]-B30)/B30</f>
        <v/>
      </c>
      <c r="D31" s="34">
        <f>((1+Table2634[[#This Row],[Weekly change]])^52)-1</f>
        <v/>
      </c>
      <c r="E31" s="24">
        <f>AVERAGE(B28:B31)</f>
        <v/>
      </c>
      <c r="F31" s="29" t="n"/>
    </row>
    <row r="32">
      <c r="A32" s="22" t="n">
        <v>27582</v>
      </c>
      <c r="B32" s="24">
        <f>VLOOKUP(Table2634[[#This Row],[Date]],'DB Money Supply'!$A:$D,4)</f>
        <v/>
      </c>
      <c r="C32" s="30">
        <f>(Table2634[[#This Row],[M1 Money Stock, Billions of Dollars, Weekly, Seasonally Adjusted]]-B31)/B31</f>
        <v/>
      </c>
      <c r="D32" s="34">
        <f>((1+Table2634[[#This Row],[Weekly change]])^52)-1</f>
        <v/>
      </c>
      <c r="E32" s="24">
        <f>AVERAGE(B29:B32)</f>
        <v/>
      </c>
      <c r="F32" s="29" t="n"/>
    </row>
    <row r="33">
      <c r="A33" s="22" t="n">
        <v>27589</v>
      </c>
      <c r="B33" s="24">
        <f>VLOOKUP(Table2634[[#This Row],[Date]],'DB Money Supply'!$A:$D,4)</f>
        <v/>
      </c>
      <c r="C33" s="30">
        <f>(Table2634[[#This Row],[M1 Money Stock, Billions of Dollars, Weekly, Seasonally Adjusted]]-B32)/B32</f>
        <v/>
      </c>
      <c r="D33" s="34">
        <f>((1+Table2634[[#This Row],[Weekly change]])^52)-1</f>
        <v/>
      </c>
      <c r="E33" s="24">
        <f>AVERAGE(B30:B33)</f>
        <v/>
      </c>
      <c r="F33" s="29" t="n"/>
    </row>
    <row r="34">
      <c r="A34" s="22" t="n">
        <v>27596</v>
      </c>
      <c r="B34" s="24">
        <f>VLOOKUP(Table2634[[#This Row],[Date]],'DB Money Supply'!$A:$D,4)</f>
        <v/>
      </c>
      <c r="C34" s="30">
        <f>(Table2634[[#This Row],[M1 Money Stock, Billions of Dollars, Weekly, Seasonally Adjusted]]-B33)/B33</f>
        <v/>
      </c>
      <c r="D34" s="34">
        <f>((1+Table2634[[#This Row],[Weekly change]])^52)-1</f>
        <v/>
      </c>
      <c r="E34" s="24">
        <f>AVERAGE(B31:B34)</f>
        <v/>
      </c>
      <c r="F34" s="29" t="n"/>
    </row>
    <row r="35">
      <c r="A35" s="22" t="n">
        <v>27603</v>
      </c>
      <c r="B35" s="24">
        <f>VLOOKUP(Table2634[[#This Row],[Date]],'DB Money Supply'!$A:$D,4)</f>
        <v/>
      </c>
      <c r="C35" s="30">
        <f>(Table2634[[#This Row],[M1 Money Stock, Billions of Dollars, Weekly, Seasonally Adjusted]]-B34)/B34</f>
        <v/>
      </c>
      <c r="D35" s="34">
        <f>((1+Table2634[[#This Row],[Weekly change]])^52)-1</f>
        <v/>
      </c>
      <c r="E35" s="24">
        <f>AVERAGE(B32:B35)</f>
        <v/>
      </c>
      <c r="F35" s="29" t="n"/>
    </row>
    <row r="36">
      <c r="A36" s="22" t="n">
        <v>27610</v>
      </c>
      <c r="B36" s="24">
        <f>VLOOKUP(Table2634[[#This Row],[Date]],'DB Money Supply'!$A:$D,4)</f>
        <v/>
      </c>
      <c r="C36" s="30">
        <f>(Table2634[[#This Row],[M1 Money Stock, Billions of Dollars, Weekly, Seasonally Adjusted]]-B35)/B35</f>
        <v/>
      </c>
      <c r="D36" s="34">
        <f>((1+Table2634[[#This Row],[Weekly change]])^52)-1</f>
        <v/>
      </c>
      <c r="E36" s="24">
        <f>AVERAGE(B33:B36)</f>
        <v/>
      </c>
      <c r="F36" s="29" t="n"/>
    </row>
    <row r="37">
      <c r="A37" s="22" t="n">
        <v>27617</v>
      </c>
      <c r="B37" s="24">
        <f>VLOOKUP(Table2634[[#This Row],[Date]],'DB Money Supply'!$A:$D,4)</f>
        <v/>
      </c>
      <c r="C37" s="30">
        <f>(Table2634[[#This Row],[M1 Money Stock, Billions of Dollars, Weekly, Seasonally Adjusted]]-B36)/B36</f>
        <v/>
      </c>
      <c r="D37" s="34">
        <f>((1+Table2634[[#This Row],[Weekly change]])^52)-1</f>
        <v/>
      </c>
      <c r="E37" s="24">
        <f>AVERAGE(B34:B37)</f>
        <v/>
      </c>
      <c r="F37" s="29" t="n"/>
    </row>
    <row r="38">
      <c r="A38" s="22" t="n">
        <v>27624</v>
      </c>
      <c r="B38" s="24">
        <f>VLOOKUP(Table2634[[#This Row],[Date]],'DB Money Supply'!$A:$D,4)</f>
        <v/>
      </c>
      <c r="C38" s="30">
        <f>(Table2634[[#This Row],[M1 Money Stock, Billions of Dollars, Weekly, Seasonally Adjusted]]-B37)/B37</f>
        <v/>
      </c>
      <c r="D38" s="34">
        <f>((1+Table2634[[#This Row],[Weekly change]])^52)-1</f>
        <v/>
      </c>
      <c r="E38" s="24">
        <f>AVERAGE(B35:B38)</f>
        <v/>
      </c>
      <c r="F38" s="29" t="n"/>
    </row>
    <row r="39">
      <c r="A39" s="22" t="n">
        <v>27631</v>
      </c>
      <c r="B39" s="24">
        <f>VLOOKUP(Table2634[[#This Row],[Date]],'DB Money Supply'!$A:$D,4)</f>
        <v/>
      </c>
      <c r="C39" s="30">
        <f>(Table2634[[#This Row],[M1 Money Stock, Billions of Dollars, Weekly, Seasonally Adjusted]]-B38)/B38</f>
        <v/>
      </c>
      <c r="D39" s="34">
        <f>((1+Table2634[[#This Row],[Weekly change]])^52)-1</f>
        <v/>
      </c>
      <c r="E39" s="24">
        <f>AVERAGE(B36:B39)</f>
        <v/>
      </c>
      <c r="F39" s="29" t="n"/>
    </row>
    <row r="40">
      <c r="A40" s="22" t="n">
        <v>27638</v>
      </c>
      <c r="B40" s="24">
        <f>VLOOKUP(Table2634[[#This Row],[Date]],'DB Money Supply'!$A:$D,4)</f>
        <v/>
      </c>
      <c r="C40" s="30">
        <f>(Table2634[[#This Row],[M1 Money Stock, Billions of Dollars, Weekly, Seasonally Adjusted]]-B39)/B39</f>
        <v/>
      </c>
      <c r="D40" s="34">
        <f>((1+Table2634[[#This Row],[Weekly change]])^52)-1</f>
        <v/>
      </c>
      <c r="E40" s="24">
        <f>AVERAGE(B37:B40)</f>
        <v/>
      </c>
      <c r="F40" s="29" t="n"/>
    </row>
    <row r="41">
      <c r="A41" s="22" t="n">
        <v>27645</v>
      </c>
      <c r="B41" s="24">
        <f>VLOOKUP(Table2634[[#This Row],[Date]],'DB Money Supply'!$A:$D,4)</f>
        <v/>
      </c>
      <c r="C41" s="30">
        <f>(Table2634[[#This Row],[M1 Money Stock, Billions of Dollars, Weekly, Seasonally Adjusted]]-B40)/B40</f>
        <v/>
      </c>
      <c r="D41" s="34">
        <f>((1+Table2634[[#This Row],[Weekly change]])^52)-1</f>
        <v/>
      </c>
      <c r="E41" s="24">
        <f>AVERAGE(B38:B41)</f>
        <v/>
      </c>
      <c r="F41" s="29" t="n"/>
    </row>
    <row r="42">
      <c r="A42" s="22" t="n">
        <v>27652</v>
      </c>
      <c r="B42" s="24">
        <f>VLOOKUP(Table2634[[#This Row],[Date]],'DB Money Supply'!$A:$D,4)</f>
        <v/>
      </c>
      <c r="C42" s="30">
        <f>(Table2634[[#This Row],[M1 Money Stock, Billions of Dollars, Weekly, Seasonally Adjusted]]-B41)/B41</f>
        <v/>
      </c>
      <c r="D42" s="34">
        <f>((1+Table2634[[#This Row],[Weekly change]])^52)-1</f>
        <v/>
      </c>
      <c r="E42" s="24">
        <f>AVERAGE(B39:B42)</f>
        <v/>
      </c>
      <c r="F42" s="29" t="n"/>
    </row>
    <row r="43">
      <c r="A43" s="22" t="n">
        <v>27659</v>
      </c>
      <c r="B43" s="24">
        <f>VLOOKUP(Table2634[[#This Row],[Date]],'DB Money Supply'!$A:$D,4)</f>
        <v/>
      </c>
      <c r="C43" s="30">
        <f>(Table2634[[#This Row],[M1 Money Stock, Billions of Dollars, Weekly, Seasonally Adjusted]]-B42)/B42</f>
        <v/>
      </c>
      <c r="D43" s="34">
        <f>((1+Table2634[[#This Row],[Weekly change]])^52)-1</f>
        <v/>
      </c>
      <c r="E43" s="24">
        <f>AVERAGE(B40:B43)</f>
        <v/>
      </c>
      <c r="F43" s="29" t="n"/>
    </row>
    <row r="44">
      <c r="A44" s="22" t="n">
        <v>27666</v>
      </c>
      <c r="B44" s="24">
        <f>VLOOKUP(Table2634[[#This Row],[Date]],'DB Money Supply'!$A:$D,4)</f>
        <v/>
      </c>
      <c r="C44" s="30">
        <f>(Table2634[[#This Row],[M1 Money Stock, Billions of Dollars, Weekly, Seasonally Adjusted]]-B43)/B43</f>
        <v/>
      </c>
      <c r="D44" s="34">
        <f>((1+Table2634[[#This Row],[Weekly change]])^52)-1</f>
        <v/>
      </c>
      <c r="E44" s="24">
        <f>AVERAGE(B41:B44)</f>
        <v/>
      </c>
      <c r="F44" s="29" t="n"/>
    </row>
    <row r="45">
      <c r="A45" s="22" t="n">
        <v>27673</v>
      </c>
      <c r="B45" s="24">
        <f>VLOOKUP(Table2634[[#This Row],[Date]],'DB Money Supply'!$A:$D,4)</f>
        <v/>
      </c>
      <c r="C45" s="30">
        <f>(Table2634[[#This Row],[M1 Money Stock, Billions of Dollars, Weekly, Seasonally Adjusted]]-B44)/B44</f>
        <v/>
      </c>
      <c r="D45" s="34">
        <f>((1+Table2634[[#This Row],[Weekly change]])^52)-1</f>
        <v/>
      </c>
      <c r="E45" s="24">
        <f>AVERAGE(B42:B45)</f>
        <v/>
      </c>
      <c r="F45" s="29" t="n"/>
    </row>
    <row r="46">
      <c r="A46" s="22" t="n">
        <v>27680</v>
      </c>
      <c r="B46" s="24">
        <f>VLOOKUP(Table2634[[#This Row],[Date]],'DB Money Supply'!$A:$D,4)</f>
        <v/>
      </c>
      <c r="C46" s="30">
        <f>(Table2634[[#This Row],[M1 Money Stock, Billions of Dollars, Weekly, Seasonally Adjusted]]-B45)/B45</f>
        <v/>
      </c>
      <c r="D46" s="34">
        <f>((1+Table2634[[#This Row],[Weekly change]])^52)-1</f>
        <v/>
      </c>
      <c r="E46" s="24">
        <f>AVERAGE(B43:B46)</f>
        <v/>
      </c>
      <c r="F46" s="29" t="n"/>
    </row>
    <row r="47">
      <c r="A47" s="22" t="n">
        <v>27687</v>
      </c>
      <c r="B47" s="24">
        <f>VLOOKUP(Table2634[[#This Row],[Date]],'DB Money Supply'!$A:$D,4)</f>
        <v/>
      </c>
      <c r="C47" s="30">
        <f>(Table2634[[#This Row],[M1 Money Stock, Billions of Dollars, Weekly, Seasonally Adjusted]]-B46)/B46</f>
        <v/>
      </c>
      <c r="D47" s="34">
        <f>((1+Table2634[[#This Row],[Weekly change]])^52)-1</f>
        <v/>
      </c>
      <c r="E47" s="24">
        <f>AVERAGE(B44:B47)</f>
        <v/>
      </c>
      <c r="F47" s="29" t="n"/>
    </row>
    <row r="48">
      <c r="A48" s="22" t="n">
        <v>27694</v>
      </c>
      <c r="B48" s="24">
        <f>VLOOKUP(Table2634[[#This Row],[Date]],'DB Money Supply'!$A:$D,4)</f>
        <v/>
      </c>
      <c r="C48" s="30">
        <f>(Table2634[[#This Row],[M1 Money Stock, Billions of Dollars, Weekly, Seasonally Adjusted]]-B47)/B47</f>
        <v/>
      </c>
      <c r="D48" s="34">
        <f>((1+Table2634[[#This Row],[Weekly change]])^52)-1</f>
        <v/>
      </c>
      <c r="E48" s="24">
        <f>AVERAGE(B45:B48)</f>
        <v/>
      </c>
      <c r="F48" s="29" t="n"/>
    </row>
    <row r="49">
      <c r="A49" s="22" t="n">
        <v>27701</v>
      </c>
      <c r="B49" s="24">
        <f>VLOOKUP(Table2634[[#This Row],[Date]],'DB Money Supply'!$A:$D,4)</f>
        <v/>
      </c>
      <c r="C49" s="30">
        <f>(Table2634[[#This Row],[M1 Money Stock, Billions of Dollars, Weekly, Seasonally Adjusted]]-B48)/B48</f>
        <v/>
      </c>
      <c r="D49" s="34">
        <f>((1+Table2634[[#This Row],[Weekly change]])^52)-1</f>
        <v/>
      </c>
      <c r="E49" s="24">
        <f>AVERAGE(B46:B49)</f>
        <v/>
      </c>
      <c r="F49" s="29" t="n"/>
    </row>
    <row r="50">
      <c r="A50" s="22" t="n">
        <v>27708</v>
      </c>
      <c r="B50" s="24">
        <f>VLOOKUP(Table2634[[#This Row],[Date]],'DB Money Supply'!$A:$D,4)</f>
        <v/>
      </c>
      <c r="C50" s="30">
        <f>(Table2634[[#This Row],[M1 Money Stock, Billions of Dollars, Weekly, Seasonally Adjusted]]-B49)/B49</f>
        <v/>
      </c>
      <c r="D50" s="34">
        <f>((1+Table2634[[#This Row],[Weekly change]])^52)-1</f>
        <v/>
      </c>
      <c r="E50" s="24">
        <f>AVERAGE(B47:B50)</f>
        <v/>
      </c>
      <c r="F50" s="29" t="n"/>
    </row>
    <row r="51">
      <c r="A51" s="22" t="n">
        <v>27715</v>
      </c>
      <c r="B51" s="24">
        <f>VLOOKUP(Table2634[[#This Row],[Date]],'DB Money Supply'!$A:$D,4)</f>
        <v/>
      </c>
      <c r="C51" s="30">
        <f>(Table2634[[#This Row],[M1 Money Stock, Billions of Dollars, Weekly, Seasonally Adjusted]]-B50)/B50</f>
        <v/>
      </c>
      <c r="D51" s="34">
        <f>((1+Table2634[[#This Row],[Weekly change]])^52)-1</f>
        <v/>
      </c>
      <c r="E51" s="24">
        <f>AVERAGE(B48:B51)</f>
        <v/>
      </c>
      <c r="F51" s="29" t="n"/>
    </row>
    <row r="52">
      <c r="A52" s="22" t="n">
        <v>27722</v>
      </c>
      <c r="B52" s="24">
        <f>VLOOKUP(Table2634[[#This Row],[Date]],'DB Money Supply'!$A:$D,4)</f>
        <v/>
      </c>
      <c r="C52" s="30">
        <f>(Table2634[[#This Row],[M1 Money Stock, Billions of Dollars, Weekly, Seasonally Adjusted]]-B51)/B51</f>
        <v/>
      </c>
      <c r="D52" s="34">
        <f>((1+Table2634[[#This Row],[Weekly change]])^52)-1</f>
        <v/>
      </c>
      <c r="E52" s="24">
        <f>AVERAGE(B49:B52)</f>
        <v/>
      </c>
      <c r="F52" s="29" t="n"/>
    </row>
    <row r="53">
      <c r="A53" s="22" t="n">
        <v>27729</v>
      </c>
      <c r="B53" s="24">
        <f>VLOOKUP(Table2634[[#This Row],[Date]],'DB Money Supply'!$A:$D,4)</f>
        <v/>
      </c>
      <c r="C53" s="30">
        <f>(Table2634[[#This Row],[M1 Money Stock, Billions of Dollars, Weekly, Seasonally Adjusted]]-B52)/B52</f>
        <v/>
      </c>
      <c r="D53" s="34">
        <f>((1+Table2634[[#This Row],[Weekly change]])^52)-1</f>
        <v/>
      </c>
      <c r="E53" s="24">
        <f>AVERAGE(B50:B53)</f>
        <v/>
      </c>
      <c r="F53" s="29" t="n"/>
    </row>
    <row r="54">
      <c r="A54" s="22" t="n">
        <v>27736</v>
      </c>
      <c r="B54" s="24">
        <f>VLOOKUP(Table2634[[#This Row],[Date]],'DB Money Supply'!$A:$D,4)</f>
        <v/>
      </c>
      <c r="C54" s="30">
        <f>(Table2634[[#This Row],[M1 Money Stock, Billions of Dollars, Weekly, Seasonally Adjusted]]-B53)/B53</f>
        <v/>
      </c>
      <c r="D54" s="34">
        <f>((1+Table2634[[#This Row],[Weekly change]])^52)-1</f>
        <v/>
      </c>
      <c r="E54" s="24">
        <f>AVERAGE(B51:B54)</f>
        <v/>
      </c>
      <c r="F54" s="29" t="n"/>
    </row>
    <row r="55">
      <c r="A55" s="22" t="n">
        <v>27743</v>
      </c>
      <c r="B55" s="24">
        <f>VLOOKUP(Table2634[[#This Row],[Date]],'DB Money Supply'!$A:$D,4)</f>
        <v/>
      </c>
      <c r="C55" s="30">
        <f>(Table2634[[#This Row],[M1 Money Stock, Billions of Dollars, Weekly, Seasonally Adjusted]]-B54)/B54</f>
        <v/>
      </c>
      <c r="D55" s="34">
        <f>((1+Table2634[[#This Row],[Weekly change]])^52)-1</f>
        <v/>
      </c>
      <c r="E55" s="24">
        <f>AVERAGE(B52:B55)</f>
        <v/>
      </c>
      <c r="F55" s="29" t="n"/>
    </row>
    <row r="56">
      <c r="A56" s="22" t="n">
        <v>27750</v>
      </c>
      <c r="B56" s="24">
        <f>VLOOKUP(Table2634[[#This Row],[Date]],'DB Money Supply'!$A:$D,4)</f>
        <v/>
      </c>
      <c r="C56" s="30">
        <f>(Table2634[[#This Row],[M1 Money Stock, Billions of Dollars, Weekly, Seasonally Adjusted]]-B55)/B55</f>
        <v/>
      </c>
      <c r="D56" s="34">
        <f>((1+Table2634[[#This Row],[Weekly change]])^52)-1</f>
        <v/>
      </c>
      <c r="E56" s="24">
        <f>AVERAGE(B53:B56)</f>
        <v/>
      </c>
      <c r="F56" s="29" t="n"/>
    </row>
    <row r="57">
      <c r="A57" s="22" t="n">
        <v>27757</v>
      </c>
      <c r="B57" s="24">
        <f>VLOOKUP(Table2634[[#This Row],[Date]],'DB Money Supply'!$A:$D,4)</f>
        <v/>
      </c>
      <c r="C57" s="30">
        <f>(Table2634[[#This Row],[M1 Money Stock, Billions of Dollars, Weekly, Seasonally Adjusted]]-B56)/B56</f>
        <v/>
      </c>
      <c r="D57" s="34">
        <f>((1+Table2634[[#This Row],[Weekly change]])^52)-1</f>
        <v/>
      </c>
      <c r="E57" s="24">
        <f>AVERAGE(B54:B57)</f>
        <v/>
      </c>
      <c r="F57" s="29" t="n"/>
    </row>
    <row r="58">
      <c r="A58" s="22" t="n">
        <v>27764</v>
      </c>
      <c r="B58" s="24">
        <f>VLOOKUP(Table2634[[#This Row],[Date]],'DB Money Supply'!$A:$D,4)</f>
        <v/>
      </c>
      <c r="C58" s="30">
        <f>(Table2634[[#This Row],[M1 Money Stock, Billions of Dollars, Weekly, Seasonally Adjusted]]-B57)/B57</f>
        <v/>
      </c>
      <c r="D58" s="34">
        <f>((1+Table2634[[#This Row],[Weekly change]])^52)-1</f>
        <v/>
      </c>
      <c r="E58" s="24">
        <f>AVERAGE(B55:B58)</f>
        <v/>
      </c>
      <c r="F58" s="32">
        <f>(Table2634[[#This Row],[4 weeks average]]-B6)/B6</f>
        <v/>
      </c>
    </row>
    <row r="59">
      <c r="A59" s="22" t="n">
        <v>27771</v>
      </c>
      <c r="B59" s="24">
        <f>VLOOKUP(Table2634[[#This Row],[Date]],'DB Money Supply'!$A:$D,4)</f>
        <v/>
      </c>
      <c r="C59" s="30">
        <f>(Table2634[[#This Row],[M1 Money Stock, Billions of Dollars, Weekly, Seasonally Adjusted]]-B58)/B58</f>
        <v/>
      </c>
      <c r="D59" s="34">
        <f>((1+Table2634[[#This Row],[Weekly change]])^52)-1</f>
        <v/>
      </c>
      <c r="E59" s="24">
        <f>AVERAGE(B56:B59)</f>
        <v/>
      </c>
      <c r="F59" s="32">
        <f>(Table2634[[#This Row],[4 weeks average]]-B7)/B7</f>
        <v/>
      </c>
    </row>
    <row r="60">
      <c r="A60" s="22" t="n">
        <v>27778</v>
      </c>
      <c r="B60" s="24">
        <f>VLOOKUP(Table2634[[#This Row],[Date]],'DB Money Supply'!$A:$D,4)</f>
        <v/>
      </c>
      <c r="C60" s="30">
        <f>(Table2634[[#This Row],[M1 Money Stock, Billions of Dollars, Weekly, Seasonally Adjusted]]-B59)/B59</f>
        <v/>
      </c>
      <c r="D60" s="34">
        <f>((1+Table2634[[#This Row],[Weekly change]])^52)-1</f>
        <v/>
      </c>
      <c r="E60" s="24">
        <f>AVERAGE(B57:B60)</f>
        <v/>
      </c>
      <c r="F60" s="32">
        <f>(Table2634[[#This Row],[4 weeks average]]-B8)/B8</f>
        <v/>
      </c>
    </row>
    <row r="61">
      <c r="A61" s="22" t="n">
        <v>27785</v>
      </c>
      <c r="B61" s="24">
        <f>VLOOKUP(Table2634[[#This Row],[Date]],'DB Money Supply'!$A:$D,4)</f>
        <v/>
      </c>
      <c r="C61" s="30">
        <f>(Table2634[[#This Row],[M1 Money Stock, Billions of Dollars, Weekly, Seasonally Adjusted]]-B60)/B60</f>
        <v/>
      </c>
      <c r="D61" s="34">
        <f>((1+Table2634[[#This Row],[Weekly change]])^52)-1</f>
        <v/>
      </c>
      <c r="E61" s="24">
        <f>AVERAGE(B58:B61)</f>
        <v/>
      </c>
      <c r="F61" s="32">
        <f>(Table2634[[#This Row],[4 weeks average]]-B9)/B9</f>
        <v/>
      </c>
    </row>
    <row r="62">
      <c r="A62" s="22" t="n">
        <v>27792</v>
      </c>
      <c r="B62" s="24">
        <f>VLOOKUP(Table2634[[#This Row],[Date]],'DB Money Supply'!$A:$D,4)</f>
        <v/>
      </c>
      <c r="C62" s="30">
        <f>(Table2634[[#This Row],[M1 Money Stock, Billions of Dollars, Weekly, Seasonally Adjusted]]-B61)/B61</f>
        <v/>
      </c>
      <c r="D62" s="34">
        <f>((1+Table2634[[#This Row],[Weekly change]])^52)-1</f>
        <v/>
      </c>
      <c r="E62" s="24">
        <f>AVERAGE(B59:B62)</f>
        <v/>
      </c>
      <c r="F62" s="32">
        <f>(Table2634[[#This Row],[4 weeks average]]-B10)/B10</f>
        <v/>
      </c>
    </row>
    <row r="63">
      <c r="A63" s="22" t="n">
        <v>27799</v>
      </c>
      <c r="B63" s="24">
        <f>VLOOKUP(Table2634[[#This Row],[Date]],'DB Money Supply'!$A:$D,4)</f>
        <v/>
      </c>
      <c r="C63" s="30">
        <f>(Table2634[[#This Row],[M1 Money Stock, Billions of Dollars, Weekly, Seasonally Adjusted]]-B62)/B62</f>
        <v/>
      </c>
      <c r="D63" s="34">
        <f>((1+Table2634[[#This Row],[Weekly change]])^52)-1</f>
        <v/>
      </c>
      <c r="E63" s="24">
        <f>AVERAGE(B60:B63)</f>
        <v/>
      </c>
      <c r="F63" s="32">
        <f>(Table2634[[#This Row],[4 weeks average]]-B11)/B11</f>
        <v/>
      </c>
    </row>
    <row r="64">
      <c r="A64" s="22" t="n">
        <v>27806</v>
      </c>
      <c r="B64" s="24">
        <f>VLOOKUP(Table2634[[#This Row],[Date]],'DB Money Supply'!$A:$D,4)</f>
        <v/>
      </c>
      <c r="C64" s="30">
        <f>(Table2634[[#This Row],[M1 Money Stock, Billions of Dollars, Weekly, Seasonally Adjusted]]-B63)/B63</f>
        <v/>
      </c>
      <c r="D64" s="34">
        <f>((1+Table2634[[#This Row],[Weekly change]])^52)-1</f>
        <v/>
      </c>
      <c r="E64" s="24">
        <f>AVERAGE(B61:B64)</f>
        <v/>
      </c>
      <c r="F64" s="32">
        <f>(Table2634[[#This Row],[4 weeks average]]-B12)/B12</f>
        <v/>
      </c>
    </row>
    <row r="65">
      <c r="A65" s="22" t="n">
        <v>27813</v>
      </c>
      <c r="B65" s="24">
        <f>VLOOKUP(Table2634[[#This Row],[Date]],'DB Money Supply'!$A:$D,4)</f>
        <v/>
      </c>
      <c r="C65" s="30">
        <f>(Table2634[[#This Row],[M1 Money Stock, Billions of Dollars, Weekly, Seasonally Adjusted]]-B64)/B64</f>
        <v/>
      </c>
      <c r="D65" s="34">
        <f>((1+Table2634[[#This Row],[Weekly change]])^52)-1</f>
        <v/>
      </c>
      <c r="E65" s="24">
        <f>AVERAGE(B62:B65)</f>
        <v/>
      </c>
      <c r="F65" s="32">
        <f>(Table2634[[#This Row],[4 weeks average]]-B13)/B13</f>
        <v/>
      </c>
    </row>
    <row r="66">
      <c r="A66" s="22" t="n">
        <v>27820</v>
      </c>
      <c r="B66" s="24">
        <f>VLOOKUP(Table2634[[#This Row],[Date]],'DB Money Supply'!$A:$D,4)</f>
        <v/>
      </c>
      <c r="C66" s="30">
        <f>(Table2634[[#This Row],[M1 Money Stock, Billions of Dollars, Weekly, Seasonally Adjusted]]-B65)/B65</f>
        <v/>
      </c>
      <c r="D66" s="34">
        <f>((1+Table2634[[#This Row],[Weekly change]])^52)-1</f>
        <v/>
      </c>
      <c r="E66" s="24">
        <f>AVERAGE(B63:B66)</f>
        <v/>
      </c>
      <c r="F66" s="32">
        <f>(Table2634[[#This Row],[4 weeks average]]-B14)/B14</f>
        <v/>
      </c>
    </row>
    <row r="67">
      <c r="A67" s="22" t="n">
        <v>27827</v>
      </c>
      <c r="B67" s="24">
        <f>VLOOKUP(Table2634[[#This Row],[Date]],'DB Money Supply'!$A:$D,4)</f>
        <v/>
      </c>
      <c r="C67" s="30">
        <f>(Table2634[[#This Row],[M1 Money Stock, Billions of Dollars, Weekly, Seasonally Adjusted]]-B66)/B66</f>
        <v/>
      </c>
      <c r="D67" s="34">
        <f>((1+Table2634[[#This Row],[Weekly change]])^52)-1</f>
        <v/>
      </c>
      <c r="E67" s="24">
        <f>AVERAGE(B64:B67)</f>
        <v/>
      </c>
      <c r="F67" s="32">
        <f>(Table2634[[#This Row],[4 weeks average]]-B15)/B15</f>
        <v/>
      </c>
    </row>
    <row r="68">
      <c r="A68" s="22" t="n">
        <v>27834</v>
      </c>
      <c r="B68" s="24">
        <f>VLOOKUP(Table2634[[#This Row],[Date]],'DB Money Supply'!$A:$D,4)</f>
        <v/>
      </c>
      <c r="C68" s="30">
        <f>(Table2634[[#This Row],[M1 Money Stock, Billions of Dollars, Weekly, Seasonally Adjusted]]-B67)/B67</f>
        <v/>
      </c>
      <c r="D68" s="34">
        <f>((1+Table2634[[#This Row],[Weekly change]])^52)-1</f>
        <v/>
      </c>
      <c r="E68" s="24">
        <f>AVERAGE(B65:B68)</f>
        <v/>
      </c>
      <c r="F68" s="32">
        <f>(Table2634[[#This Row],[4 weeks average]]-B16)/B16</f>
        <v/>
      </c>
    </row>
    <row r="69">
      <c r="A69" s="22" t="n">
        <v>27841</v>
      </c>
      <c r="B69" s="24">
        <f>VLOOKUP(Table2634[[#This Row],[Date]],'DB Money Supply'!$A:$D,4)</f>
        <v/>
      </c>
      <c r="C69" s="30">
        <f>(Table2634[[#This Row],[M1 Money Stock, Billions of Dollars, Weekly, Seasonally Adjusted]]-B68)/B68</f>
        <v/>
      </c>
      <c r="D69" s="34">
        <f>((1+Table2634[[#This Row],[Weekly change]])^52)-1</f>
        <v/>
      </c>
      <c r="E69" s="24">
        <f>AVERAGE(B66:B69)</f>
        <v/>
      </c>
      <c r="F69" s="32">
        <f>(Table2634[[#This Row],[4 weeks average]]-B17)/B17</f>
        <v/>
      </c>
    </row>
    <row r="70">
      <c r="A70" s="22" t="n">
        <v>27848</v>
      </c>
      <c r="B70" s="24">
        <f>VLOOKUP(Table2634[[#This Row],[Date]],'DB Money Supply'!$A:$D,4)</f>
        <v/>
      </c>
      <c r="C70" s="30">
        <f>(Table2634[[#This Row],[M1 Money Stock, Billions of Dollars, Weekly, Seasonally Adjusted]]-B69)/B69</f>
        <v/>
      </c>
      <c r="D70" s="34">
        <f>((1+Table2634[[#This Row],[Weekly change]])^52)-1</f>
        <v/>
      </c>
      <c r="E70" s="24">
        <f>AVERAGE(B67:B70)</f>
        <v/>
      </c>
      <c r="F70" s="32">
        <f>(Table2634[[#This Row],[4 weeks average]]-B18)/B18</f>
        <v/>
      </c>
    </row>
    <row r="71">
      <c r="A71" s="22" t="n">
        <v>27855</v>
      </c>
      <c r="B71" s="24">
        <f>VLOOKUP(Table2634[[#This Row],[Date]],'DB Money Supply'!$A:$D,4)</f>
        <v/>
      </c>
      <c r="C71" s="30">
        <f>(Table2634[[#This Row],[M1 Money Stock, Billions of Dollars, Weekly, Seasonally Adjusted]]-B70)/B70</f>
        <v/>
      </c>
      <c r="D71" s="34">
        <f>((1+Table2634[[#This Row],[Weekly change]])^52)-1</f>
        <v/>
      </c>
      <c r="E71" s="24">
        <f>AVERAGE(B68:B71)</f>
        <v/>
      </c>
      <c r="F71" s="32">
        <f>(Table2634[[#This Row],[4 weeks average]]-B19)/B19</f>
        <v/>
      </c>
    </row>
    <row r="72">
      <c r="A72" s="22" t="n">
        <v>27862</v>
      </c>
      <c r="B72" s="24">
        <f>VLOOKUP(Table2634[[#This Row],[Date]],'DB Money Supply'!$A:$D,4)</f>
        <v/>
      </c>
      <c r="C72" s="30">
        <f>(Table2634[[#This Row],[M1 Money Stock, Billions of Dollars, Weekly, Seasonally Adjusted]]-B71)/B71</f>
        <v/>
      </c>
      <c r="D72" s="34">
        <f>((1+Table2634[[#This Row],[Weekly change]])^52)-1</f>
        <v/>
      </c>
      <c r="E72" s="24">
        <f>AVERAGE(B69:B72)</f>
        <v/>
      </c>
      <c r="F72" s="32">
        <f>(Table2634[[#This Row],[4 weeks average]]-B20)/B20</f>
        <v/>
      </c>
    </row>
    <row r="73">
      <c r="A73" s="22" t="n">
        <v>27869</v>
      </c>
      <c r="B73" s="24">
        <f>VLOOKUP(Table2634[[#This Row],[Date]],'DB Money Supply'!$A:$D,4)</f>
        <v/>
      </c>
      <c r="C73" s="30">
        <f>(Table2634[[#This Row],[M1 Money Stock, Billions of Dollars, Weekly, Seasonally Adjusted]]-B72)/B72</f>
        <v/>
      </c>
      <c r="D73" s="34">
        <f>((1+Table2634[[#This Row],[Weekly change]])^52)-1</f>
        <v/>
      </c>
      <c r="E73" s="24">
        <f>AVERAGE(B70:B73)</f>
        <v/>
      </c>
      <c r="F73" s="32">
        <f>(Table2634[[#This Row],[4 weeks average]]-B21)/B21</f>
        <v/>
      </c>
    </row>
    <row r="74">
      <c r="A74" s="22" t="n">
        <v>27876</v>
      </c>
      <c r="B74" s="24">
        <f>VLOOKUP(Table2634[[#This Row],[Date]],'DB Money Supply'!$A:$D,4)</f>
        <v/>
      </c>
      <c r="C74" s="30">
        <f>(Table2634[[#This Row],[M1 Money Stock, Billions of Dollars, Weekly, Seasonally Adjusted]]-B73)/B73</f>
        <v/>
      </c>
      <c r="D74" s="34">
        <f>((1+Table2634[[#This Row],[Weekly change]])^52)-1</f>
        <v/>
      </c>
      <c r="E74" s="24">
        <f>AVERAGE(B71:B74)</f>
        <v/>
      </c>
      <c r="F74" s="32">
        <f>(Table2634[[#This Row],[4 weeks average]]-B22)/B22</f>
        <v/>
      </c>
    </row>
    <row r="75">
      <c r="A75" s="22" t="n">
        <v>27883</v>
      </c>
      <c r="B75" s="24">
        <f>VLOOKUP(Table2634[[#This Row],[Date]],'DB Money Supply'!$A:$D,4)</f>
        <v/>
      </c>
      <c r="C75" s="30">
        <f>(Table2634[[#This Row],[M1 Money Stock, Billions of Dollars, Weekly, Seasonally Adjusted]]-B74)/B74</f>
        <v/>
      </c>
      <c r="D75" s="34">
        <f>((1+Table2634[[#This Row],[Weekly change]])^52)-1</f>
        <v/>
      </c>
      <c r="E75" s="24">
        <f>AVERAGE(B72:B75)</f>
        <v/>
      </c>
      <c r="F75" s="32">
        <f>(Table2634[[#This Row],[4 weeks average]]-B23)/B23</f>
        <v/>
      </c>
    </row>
    <row r="76">
      <c r="A76" s="22" t="n">
        <v>27890</v>
      </c>
      <c r="B76" s="24">
        <f>VLOOKUP(Table2634[[#This Row],[Date]],'DB Money Supply'!$A:$D,4)</f>
        <v/>
      </c>
      <c r="C76" s="30">
        <f>(Table2634[[#This Row],[M1 Money Stock, Billions of Dollars, Weekly, Seasonally Adjusted]]-B75)/B75</f>
        <v/>
      </c>
      <c r="D76" s="34">
        <f>((1+Table2634[[#This Row],[Weekly change]])^52)-1</f>
        <v/>
      </c>
      <c r="E76" s="24">
        <f>AVERAGE(B73:B76)</f>
        <v/>
      </c>
      <c r="F76" s="32">
        <f>(Table2634[[#This Row],[4 weeks average]]-B24)/B24</f>
        <v/>
      </c>
    </row>
    <row r="77">
      <c r="A77" s="22" t="n">
        <v>27897</v>
      </c>
      <c r="B77" s="24">
        <f>VLOOKUP(Table2634[[#This Row],[Date]],'DB Money Supply'!$A:$D,4)</f>
        <v/>
      </c>
      <c r="C77" s="30">
        <f>(Table2634[[#This Row],[M1 Money Stock, Billions of Dollars, Weekly, Seasonally Adjusted]]-B76)/B76</f>
        <v/>
      </c>
      <c r="D77" s="34">
        <f>((1+Table2634[[#This Row],[Weekly change]])^52)-1</f>
        <v/>
      </c>
      <c r="E77" s="24">
        <f>AVERAGE(B74:B77)</f>
        <v/>
      </c>
      <c r="F77" s="32">
        <f>(Table2634[[#This Row],[4 weeks average]]-B25)/B25</f>
        <v/>
      </c>
    </row>
    <row r="78">
      <c r="A78" s="22" t="n">
        <v>27904</v>
      </c>
      <c r="B78" s="24">
        <f>VLOOKUP(Table2634[[#This Row],[Date]],'DB Money Supply'!$A:$D,4)</f>
        <v/>
      </c>
      <c r="C78" s="30">
        <f>(Table2634[[#This Row],[M1 Money Stock, Billions of Dollars, Weekly, Seasonally Adjusted]]-B77)/B77</f>
        <v/>
      </c>
      <c r="D78" s="34">
        <f>((1+Table2634[[#This Row],[Weekly change]])^52)-1</f>
        <v/>
      </c>
      <c r="E78" s="24">
        <f>AVERAGE(B75:B78)</f>
        <v/>
      </c>
      <c r="F78" s="32">
        <f>(Table2634[[#This Row],[4 weeks average]]-B26)/B26</f>
        <v/>
      </c>
    </row>
    <row r="79">
      <c r="A79" s="22" t="n">
        <v>27911</v>
      </c>
      <c r="B79" s="24">
        <f>VLOOKUP(Table2634[[#This Row],[Date]],'DB Money Supply'!$A:$D,4)</f>
        <v/>
      </c>
      <c r="C79" s="30">
        <f>(Table2634[[#This Row],[M1 Money Stock, Billions of Dollars, Weekly, Seasonally Adjusted]]-B78)/B78</f>
        <v/>
      </c>
      <c r="D79" s="34">
        <f>((1+Table2634[[#This Row],[Weekly change]])^52)-1</f>
        <v/>
      </c>
      <c r="E79" s="24">
        <f>AVERAGE(B76:B79)</f>
        <v/>
      </c>
      <c r="F79" s="32">
        <f>(Table2634[[#This Row],[4 weeks average]]-B27)/B27</f>
        <v/>
      </c>
    </row>
    <row r="80">
      <c r="A80" s="22" t="n">
        <v>27918</v>
      </c>
      <c r="B80" s="24">
        <f>VLOOKUP(Table2634[[#This Row],[Date]],'DB Money Supply'!$A:$D,4)</f>
        <v/>
      </c>
      <c r="C80" s="30">
        <f>(Table2634[[#This Row],[M1 Money Stock, Billions of Dollars, Weekly, Seasonally Adjusted]]-B79)/B79</f>
        <v/>
      </c>
      <c r="D80" s="34">
        <f>((1+Table2634[[#This Row],[Weekly change]])^52)-1</f>
        <v/>
      </c>
      <c r="E80" s="24">
        <f>AVERAGE(B77:B80)</f>
        <v/>
      </c>
      <c r="F80" s="32">
        <f>(Table2634[[#This Row],[4 weeks average]]-B28)/B28</f>
        <v/>
      </c>
    </row>
    <row r="81">
      <c r="A81" s="22" t="n">
        <v>27925</v>
      </c>
      <c r="B81" s="24">
        <f>VLOOKUP(Table2634[[#This Row],[Date]],'DB Money Supply'!$A:$D,4)</f>
        <v/>
      </c>
      <c r="C81" s="30">
        <f>(Table2634[[#This Row],[M1 Money Stock, Billions of Dollars, Weekly, Seasonally Adjusted]]-B80)/B80</f>
        <v/>
      </c>
      <c r="D81" s="34">
        <f>((1+Table2634[[#This Row],[Weekly change]])^52)-1</f>
        <v/>
      </c>
      <c r="E81" s="24">
        <f>AVERAGE(B78:B81)</f>
        <v/>
      </c>
      <c r="F81" s="32">
        <f>(Table2634[[#This Row],[4 weeks average]]-B29)/B29</f>
        <v/>
      </c>
    </row>
    <row r="82">
      <c r="A82" s="22" t="n">
        <v>27932</v>
      </c>
      <c r="B82" s="24">
        <f>VLOOKUP(Table2634[[#This Row],[Date]],'DB Money Supply'!$A:$D,4)</f>
        <v/>
      </c>
      <c r="C82" s="30">
        <f>(Table2634[[#This Row],[M1 Money Stock, Billions of Dollars, Weekly, Seasonally Adjusted]]-B81)/B81</f>
        <v/>
      </c>
      <c r="D82" s="34">
        <f>((1+Table2634[[#This Row],[Weekly change]])^52)-1</f>
        <v/>
      </c>
      <c r="E82" s="24">
        <f>AVERAGE(B79:B82)</f>
        <v/>
      </c>
      <c r="F82" s="32">
        <f>(Table2634[[#This Row],[4 weeks average]]-B30)/B30</f>
        <v/>
      </c>
    </row>
    <row r="83">
      <c r="A83" s="22" t="n">
        <v>27939</v>
      </c>
      <c r="B83" s="24">
        <f>VLOOKUP(Table2634[[#This Row],[Date]],'DB Money Supply'!$A:$D,4)</f>
        <v/>
      </c>
      <c r="C83" s="30">
        <f>(Table2634[[#This Row],[M1 Money Stock, Billions of Dollars, Weekly, Seasonally Adjusted]]-B82)/B82</f>
        <v/>
      </c>
      <c r="D83" s="34">
        <f>((1+Table2634[[#This Row],[Weekly change]])^52)-1</f>
        <v/>
      </c>
      <c r="E83" s="24">
        <f>AVERAGE(B80:B83)</f>
        <v/>
      </c>
      <c r="F83" s="32">
        <f>(Table2634[[#This Row],[4 weeks average]]-B31)/B31</f>
        <v/>
      </c>
    </row>
    <row r="84">
      <c r="A84" s="22" t="n">
        <v>27946</v>
      </c>
      <c r="B84" s="24">
        <f>VLOOKUP(Table2634[[#This Row],[Date]],'DB Money Supply'!$A:$D,4)</f>
        <v/>
      </c>
      <c r="C84" s="30">
        <f>(Table2634[[#This Row],[M1 Money Stock, Billions of Dollars, Weekly, Seasonally Adjusted]]-B83)/B83</f>
        <v/>
      </c>
      <c r="D84" s="34">
        <f>((1+Table2634[[#This Row],[Weekly change]])^52)-1</f>
        <v/>
      </c>
      <c r="E84" s="24">
        <f>AVERAGE(B81:B84)</f>
        <v/>
      </c>
      <c r="F84" s="32">
        <f>(Table2634[[#This Row],[4 weeks average]]-B32)/B32</f>
        <v/>
      </c>
    </row>
    <row r="85">
      <c r="A85" s="22" t="n">
        <v>27953</v>
      </c>
      <c r="B85" s="24">
        <f>VLOOKUP(Table2634[[#This Row],[Date]],'DB Money Supply'!$A:$D,4)</f>
        <v/>
      </c>
      <c r="C85" s="30">
        <f>(Table2634[[#This Row],[M1 Money Stock, Billions of Dollars, Weekly, Seasonally Adjusted]]-B84)/B84</f>
        <v/>
      </c>
      <c r="D85" s="34">
        <f>((1+Table2634[[#This Row],[Weekly change]])^52)-1</f>
        <v/>
      </c>
      <c r="E85" s="24">
        <f>AVERAGE(B82:B85)</f>
        <v/>
      </c>
      <c r="F85" s="32">
        <f>(Table2634[[#This Row],[4 weeks average]]-B33)/B33</f>
        <v/>
      </c>
    </row>
    <row r="86">
      <c r="A86" s="22" t="n">
        <v>27960</v>
      </c>
      <c r="B86" s="24">
        <f>VLOOKUP(Table2634[[#This Row],[Date]],'DB Money Supply'!$A:$D,4)</f>
        <v/>
      </c>
      <c r="C86" s="30">
        <f>(Table2634[[#This Row],[M1 Money Stock, Billions of Dollars, Weekly, Seasonally Adjusted]]-B85)/B85</f>
        <v/>
      </c>
      <c r="D86" s="34">
        <f>((1+Table2634[[#This Row],[Weekly change]])^52)-1</f>
        <v/>
      </c>
      <c r="E86" s="24">
        <f>AVERAGE(B83:B86)</f>
        <v/>
      </c>
      <c r="F86" s="32">
        <f>(Table2634[[#This Row],[4 weeks average]]-B34)/B34</f>
        <v/>
      </c>
    </row>
    <row r="87">
      <c r="A87" s="22" t="n">
        <v>27967</v>
      </c>
      <c r="B87" s="24">
        <f>VLOOKUP(Table2634[[#This Row],[Date]],'DB Money Supply'!$A:$D,4)</f>
        <v/>
      </c>
      <c r="C87" s="30">
        <f>(Table2634[[#This Row],[M1 Money Stock, Billions of Dollars, Weekly, Seasonally Adjusted]]-B86)/B86</f>
        <v/>
      </c>
      <c r="D87" s="34">
        <f>((1+Table2634[[#This Row],[Weekly change]])^52)-1</f>
        <v/>
      </c>
      <c r="E87" s="24">
        <f>AVERAGE(B84:B87)</f>
        <v/>
      </c>
      <c r="F87" s="32">
        <f>(Table2634[[#This Row],[4 weeks average]]-B35)/B35</f>
        <v/>
      </c>
    </row>
    <row r="88">
      <c r="A88" s="22" t="n">
        <v>27974</v>
      </c>
      <c r="B88" s="24">
        <f>VLOOKUP(Table2634[[#This Row],[Date]],'DB Money Supply'!$A:$D,4)</f>
        <v/>
      </c>
      <c r="C88" s="30">
        <f>(Table2634[[#This Row],[M1 Money Stock, Billions of Dollars, Weekly, Seasonally Adjusted]]-B87)/B87</f>
        <v/>
      </c>
      <c r="D88" s="34">
        <f>((1+Table2634[[#This Row],[Weekly change]])^52)-1</f>
        <v/>
      </c>
      <c r="E88" s="24">
        <f>AVERAGE(B85:B88)</f>
        <v/>
      </c>
      <c r="F88" s="32">
        <f>(Table2634[[#This Row],[4 weeks average]]-B36)/B36</f>
        <v/>
      </c>
    </row>
    <row r="89">
      <c r="A89" s="22" t="n">
        <v>27981</v>
      </c>
      <c r="B89" s="24">
        <f>VLOOKUP(Table2634[[#This Row],[Date]],'DB Money Supply'!$A:$D,4)</f>
        <v/>
      </c>
      <c r="C89" s="30">
        <f>(Table2634[[#This Row],[M1 Money Stock, Billions of Dollars, Weekly, Seasonally Adjusted]]-B88)/B88</f>
        <v/>
      </c>
      <c r="D89" s="34">
        <f>((1+Table2634[[#This Row],[Weekly change]])^52)-1</f>
        <v/>
      </c>
      <c r="E89" s="24">
        <f>AVERAGE(B86:B89)</f>
        <v/>
      </c>
      <c r="F89" s="32">
        <f>(Table2634[[#This Row],[4 weeks average]]-B37)/B37</f>
        <v/>
      </c>
    </row>
    <row r="90">
      <c r="A90" s="22" t="n">
        <v>27988</v>
      </c>
      <c r="B90" s="24">
        <f>VLOOKUP(Table2634[[#This Row],[Date]],'DB Money Supply'!$A:$D,4)</f>
        <v/>
      </c>
      <c r="C90" s="30">
        <f>(Table2634[[#This Row],[M1 Money Stock, Billions of Dollars, Weekly, Seasonally Adjusted]]-B89)/B89</f>
        <v/>
      </c>
      <c r="D90" s="34">
        <f>((1+Table2634[[#This Row],[Weekly change]])^52)-1</f>
        <v/>
      </c>
      <c r="E90" s="24">
        <f>AVERAGE(B87:B90)</f>
        <v/>
      </c>
      <c r="F90" s="32">
        <f>(Table2634[[#This Row],[4 weeks average]]-B38)/B38</f>
        <v/>
      </c>
    </row>
    <row r="91">
      <c r="A91" s="22" t="n">
        <v>27995</v>
      </c>
      <c r="B91" s="24">
        <f>VLOOKUP(Table2634[[#This Row],[Date]],'DB Money Supply'!$A:$D,4)</f>
        <v/>
      </c>
      <c r="C91" s="30">
        <f>(Table2634[[#This Row],[M1 Money Stock, Billions of Dollars, Weekly, Seasonally Adjusted]]-B90)/B90</f>
        <v/>
      </c>
      <c r="D91" s="34">
        <f>((1+Table2634[[#This Row],[Weekly change]])^52)-1</f>
        <v/>
      </c>
      <c r="E91" s="24">
        <f>AVERAGE(B88:B91)</f>
        <v/>
      </c>
      <c r="F91" s="32">
        <f>(Table2634[[#This Row],[4 weeks average]]-B39)/B39</f>
        <v/>
      </c>
    </row>
    <row r="92">
      <c r="A92" s="22" t="n">
        <v>28002</v>
      </c>
      <c r="B92" s="24">
        <f>VLOOKUP(Table2634[[#This Row],[Date]],'DB Money Supply'!$A:$D,4)</f>
        <v/>
      </c>
      <c r="C92" s="30">
        <f>(Table2634[[#This Row],[M1 Money Stock, Billions of Dollars, Weekly, Seasonally Adjusted]]-B91)/B91</f>
        <v/>
      </c>
      <c r="D92" s="34">
        <f>((1+Table2634[[#This Row],[Weekly change]])^52)-1</f>
        <v/>
      </c>
      <c r="E92" s="24">
        <f>AVERAGE(B89:B92)</f>
        <v/>
      </c>
      <c r="F92" s="32">
        <f>(Table2634[[#This Row],[4 weeks average]]-B40)/B40</f>
        <v/>
      </c>
    </row>
    <row r="93">
      <c r="A93" s="22" t="n">
        <v>28009</v>
      </c>
      <c r="B93" s="24">
        <f>VLOOKUP(Table2634[[#This Row],[Date]],'DB Money Supply'!$A:$D,4)</f>
        <v/>
      </c>
      <c r="C93" s="30">
        <f>(Table2634[[#This Row],[M1 Money Stock, Billions of Dollars, Weekly, Seasonally Adjusted]]-B92)/B92</f>
        <v/>
      </c>
      <c r="D93" s="34">
        <f>((1+Table2634[[#This Row],[Weekly change]])^52)-1</f>
        <v/>
      </c>
      <c r="E93" s="24">
        <f>AVERAGE(B90:B93)</f>
        <v/>
      </c>
      <c r="F93" s="32">
        <f>(Table2634[[#This Row],[4 weeks average]]-B41)/B41</f>
        <v/>
      </c>
    </row>
    <row r="94">
      <c r="A94" s="22" t="n">
        <v>28016</v>
      </c>
      <c r="B94" s="24">
        <f>VLOOKUP(Table2634[[#This Row],[Date]],'DB Money Supply'!$A:$D,4)</f>
        <v/>
      </c>
      <c r="C94" s="30">
        <f>(Table2634[[#This Row],[M1 Money Stock, Billions of Dollars, Weekly, Seasonally Adjusted]]-B93)/B93</f>
        <v/>
      </c>
      <c r="D94" s="34">
        <f>((1+Table2634[[#This Row],[Weekly change]])^52)-1</f>
        <v/>
      </c>
      <c r="E94" s="24">
        <f>AVERAGE(B91:B94)</f>
        <v/>
      </c>
      <c r="F94" s="32">
        <f>(Table2634[[#This Row],[4 weeks average]]-B42)/B42</f>
        <v/>
      </c>
    </row>
    <row r="95">
      <c r="A95" s="22" t="n">
        <v>28023</v>
      </c>
      <c r="B95" s="24">
        <f>VLOOKUP(Table2634[[#This Row],[Date]],'DB Money Supply'!$A:$D,4)</f>
        <v/>
      </c>
      <c r="C95" s="30">
        <f>(Table2634[[#This Row],[M1 Money Stock, Billions of Dollars, Weekly, Seasonally Adjusted]]-B94)/B94</f>
        <v/>
      </c>
      <c r="D95" s="34">
        <f>((1+Table2634[[#This Row],[Weekly change]])^52)-1</f>
        <v/>
      </c>
      <c r="E95" s="24">
        <f>AVERAGE(B92:B95)</f>
        <v/>
      </c>
      <c r="F95" s="32">
        <f>(Table2634[[#This Row],[4 weeks average]]-B43)/B43</f>
        <v/>
      </c>
    </row>
    <row r="96">
      <c r="A96" s="22" t="n">
        <v>28030</v>
      </c>
      <c r="B96" s="24">
        <f>VLOOKUP(Table2634[[#This Row],[Date]],'DB Money Supply'!$A:$D,4)</f>
        <v/>
      </c>
      <c r="C96" s="30">
        <f>(Table2634[[#This Row],[M1 Money Stock, Billions of Dollars, Weekly, Seasonally Adjusted]]-B95)/B95</f>
        <v/>
      </c>
      <c r="D96" s="34">
        <f>((1+Table2634[[#This Row],[Weekly change]])^52)-1</f>
        <v/>
      </c>
      <c r="E96" s="24">
        <f>AVERAGE(B93:B96)</f>
        <v/>
      </c>
      <c r="F96" s="32">
        <f>(Table2634[[#This Row],[4 weeks average]]-B44)/B44</f>
        <v/>
      </c>
    </row>
    <row r="97">
      <c r="A97" s="22" t="n">
        <v>28037</v>
      </c>
      <c r="B97" s="24">
        <f>VLOOKUP(Table2634[[#This Row],[Date]],'DB Money Supply'!$A:$D,4)</f>
        <v/>
      </c>
      <c r="C97" s="30">
        <f>(Table2634[[#This Row],[M1 Money Stock, Billions of Dollars, Weekly, Seasonally Adjusted]]-B96)/B96</f>
        <v/>
      </c>
      <c r="D97" s="34">
        <f>((1+Table2634[[#This Row],[Weekly change]])^52)-1</f>
        <v/>
      </c>
      <c r="E97" s="24">
        <f>AVERAGE(B94:B97)</f>
        <v/>
      </c>
      <c r="F97" s="32">
        <f>(Table2634[[#This Row],[4 weeks average]]-B45)/B45</f>
        <v/>
      </c>
    </row>
    <row r="98">
      <c r="A98" s="22" t="n">
        <v>28044</v>
      </c>
      <c r="B98" s="24">
        <f>VLOOKUP(Table2634[[#This Row],[Date]],'DB Money Supply'!$A:$D,4)</f>
        <v/>
      </c>
      <c r="C98" s="30">
        <f>(Table2634[[#This Row],[M1 Money Stock, Billions of Dollars, Weekly, Seasonally Adjusted]]-B97)/B97</f>
        <v/>
      </c>
      <c r="D98" s="34">
        <f>((1+Table2634[[#This Row],[Weekly change]])^52)-1</f>
        <v/>
      </c>
      <c r="E98" s="24">
        <f>AVERAGE(B95:B98)</f>
        <v/>
      </c>
      <c r="F98" s="32">
        <f>(Table2634[[#This Row],[4 weeks average]]-B46)/B46</f>
        <v/>
      </c>
    </row>
    <row r="99">
      <c r="A99" s="22" t="n">
        <v>28051</v>
      </c>
      <c r="B99" s="24">
        <f>VLOOKUP(Table2634[[#This Row],[Date]],'DB Money Supply'!$A:$D,4)</f>
        <v/>
      </c>
      <c r="C99" s="30">
        <f>(Table2634[[#This Row],[M1 Money Stock, Billions of Dollars, Weekly, Seasonally Adjusted]]-B98)/B98</f>
        <v/>
      </c>
      <c r="D99" s="34">
        <f>((1+Table2634[[#This Row],[Weekly change]])^52)-1</f>
        <v/>
      </c>
      <c r="E99" s="24">
        <f>AVERAGE(B96:B99)</f>
        <v/>
      </c>
      <c r="F99" s="32">
        <f>(Table2634[[#This Row],[4 weeks average]]-B47)/B47</f>
        <v/>
      </c>
    </row>
    <row r="100">
      <c r="A100" s="22" t="n">
        <v>28058</v>
      </c>
      <c r="B100" s="24">
        <f>VLOOKUP(Table2634[[#This Row],[Date]],'DB Money Supply'!$A:$D,4)</f>
        <v/>
      </c>
      <c r="C100" s="30">
        <f>(Table2634[[#This Row],[M1 Money Stock, Billions of Dollars, Weekly, Seasonally Adjusted]]-B99)/B99</f>
        <v/>
      </c>
      <c r="D100" s="34">
        <f>((1+Table2634[[#This Row],[Weekly change]])^52)-1</f>
        <v/>
      </c>
      <c r="E100" s="24">
        <f>AVERAGE(B97:B100)</f>
        <v/>
      </c>
      <c r="F100" s="32">
        <f>(Table2634[[#This Row],[4 weeks average]]-B48)/B48</f>
        <v/>
      </c>
    </row>
    <row r="101">
      <c r="A101" s="22" t="n">
        <v>28065</v>
      </c>
      <c r="B101" s="24">
        <f>VLOOKUP(Table2634[[#This Row],[Date]],'DB Money Supply'!$A:$D,4)</f>
        <v/>
      </c>
      <c r="C101" s="30">
        <f>(Table2634[[#This Row],[M1 Money Stock, Billions of Dollars, Weekly, Seasonally Adjusted]]-B100)/B100</f>
        <v/>
      </c>
      <c r="D101" s="34">
        <f>((1+Table2634[[#This Row],[Weekly change]])^52)-1</f>
        <v/>
      </c>
      <c r="E101" s="24">
        <f>AVERAGE(B98:B101)</f>
        <v/>
      </c>
      <c r="F101" s="32">
        <f>(Table2634[[#This Row],[4 weeks average]]-B49)/B49</f>
        <v/>
      </c>
    </row>
    <row r="102">
      <c r="A102" s="22" t="n">
        <v>28072</v>
      </c>
      <c r="B102" s="24">
        <f>VLOOKUP(Table2634[[#This Row],[Date]],'DB Money Supply'!$A:$D,4)</f>
        <v/>
      </c>
      <c r="C102" s="30">
        <f>(Table2634[[#This Row],[M1 Money Stock, Billions of Dollars, Weekly, Seasonally Adjusted]]-B101)/B101</f>
        <v/>
      </c>
      <c r="D102" s="34">
        <f>((1+Table2634[[#This Row],[Weekly change]])^52)-1</f>
        <v/>
      </c>
      <c r="E102" s="24">
        <f>AVERAGE(B99:B102)</f>
        <v/>
      </c>
      <c r="F102" s="32">
        <f>(Table2634[[#This Row],[4 weeks average]]-B50)/B50</f>
        <v/>
      </c>
    </row>
    <row r="103">
      <c r="A103" s="22" t="n">
        <v>28079</v>
      </c>
      <c r="B103" s="24">
        <f>VLOOKUP(Table2634[[#This Row],[Date]],'DB Money Supply'!$A:$D,4)</f>
        <v/>
      </c>
      <c r="C103" s="30">
        <f>(Table2634[[#This Row],[M1 Money Stock, Billions of Dollars, Weekly, Seasonally Adjusted]]-B102)/B102</f>
        <v/>
      </c>
      <c r="D103" s="34">
        <f>((1+Table2634[[#This Row],[Weekly change]])^52)-1</f>
        <v/>
      </c>
      <c r="E103" s="24">
        <f>AVERAGE(B100:B103)</f>
        <v/>
      </c>
      <c r="F103" s="32">
        <f>(Table2634[[#This Row],[4 weeks average]]-B51)/B51</f>
        <v/>
      </c>
    </row>
    <row r="104">
      <c r="A104" s="22" t="n">
        <v>28086</v>
      </c>
      <c r="B104" s="24">
        <f>VLOOKUP(Table2634[[#This Row],[Date]],'DB Money Supply'!$A:$D,4)</f>
        <v/>
      </c>
      <c r="C104" s="30">
        <f>(Table2634[[#This Row],[M1 Money Stock, Billions of Dollars, Weekly, Seasonally Adjusted]]-B103)/B103</f>
        <v/>
      </c>
      <c r="D104" s="34">
        <f>((1+Table2634[[#This Row],[Weekly change]])^52)-1</f>
        <v/>
      </c>
      <c r="E104" s="24">
        <f>AVERAGE(B101:B104)</f>
        <v/>
      </c>
      <c r="F104" s="32">
        <f>(Table2634[[#This Row],[4 weeks average]]-B52)/B52</f>
        <v/>
      </c>
    </row>
    <row r="105">
      <c r="A105" s="22" t="n">
        <v>28093</v>
      </c>
      <c r="B105" s="24">
        <f>VLOOKUP(Table2634[[#This Row],[Date]],'DB Money Supply'!$A:$D,4)</f>
        <v/>
      </c>
      <c r="C105" s="30">
        <f>(Table2634[[#This Row],[M1 Money Stock, Billions of Dollars, Weekly, Seasonally Adjusted]]-B104)/B104</f>
        <v/>
      </c>
      <c r="D105" s="34">
        <f>((1+Table2634[[#This Row],[Weekly change]])^52)-1</f>
        <v/>
      </c>
      <c r="E105" s="24">
        <f>AVERAGE(B102:B105)</f>
        <v/>
      </c>
      <c r="F105" s="32">
        <f>(Table2634[[#This Row],[4 weeks average]]-B53)/B53</f>
        <v/>
      </c>
    </row>
    <row r="106">
      <c r="A106" s="22" t="n">
        <v>28100</v>
      </c>
      <c r="B106" s="24">
        <f>VLOOKUP(Table2634[[#This Row],[Date]],'DB Money Supply'!$A:$D,4)</f>
        <v/>
      </c>
      <c r="C106" s="30">
        <f>(Table2634[[#This Row],[M1 Money Stock, Billions of Dollars, Weekly, Seasonally Adjusted]]-B105)/B105</f>
        <v/>
      </c>
      <c r="D106" s="34">
        <f>((1+Table2634[[#This Row],[Weekly change]])^52)-1</f>
        <v/>
      </c>
      <c r="E106" s="24">
        <f>AVERAGE(B103:B106)</f>
        <v/>
      </c>
      <c r="F106" s="32">
        <f>(Table2634[[#This Row],[4 weeks average]]-B54)/B54</f>
        <v/>
      </c>
    </row>
    <row r="107">
      <c r="A107" s="22" t="n">
        <v>28107</v>
      </c>
      <c r="B107" s="24">
        <f>VLOOKUP(Table2634[[#This Row],[Date]],'DB Money Supply'!$A:$D,4)</f>
        <v/>
      </c>
      <c r="C107" s="30">
        <f>(Table2634[[#This Row],[M1 Money Stock, Billions of Dollars, Weekly, Seasonally Adjusted]]-B106)/B106</f>
        <v/>
      </c>
      <c r="D107" s="34">
        <f>((1+Table2634[[#This Row],[Weekly change]])^52)-1</f>
        <v/>
      </c>
      <c r="E107" s="24">
        <f>AVERAGE(B104:B107)</f>
        <v/>
      </c>
      <c r="F107" s="32">
        <f>(Table2634[[#This Row],[4 weeks average]]-B55)/B55</f>
        <v/>
      </c>
    </row>
    <row r="108">
      <c r="A108" s="22" t="n">
        <v>28114</v>
      </c>
      <c r="B108" s="24">
        <f>VLOOKUP(Table2634[[#This Row],[Date]],'DB Money Supply'!$A:$D,4)</f>
        <v/>
      </c>
      <c r="C108" s="30">
        <f>(Table2634[[#This Row],[M1 Money Stock, Billions of Dollars, Weekly, Seasonally Adjusted]]-B107)/B107</f>
        <v/>
      </c>
      <c r="D108" s="34">
        <f>((1+Table2634[[#This Row],[Weekly change]])^52)-1</f>
        <v/>
      </c>
      <c r="E108" s="24">
        <f>AVERAGE(B105:B108)</f>
        <v/>
      </c>
      <c r="F108" s="32">
        <f>(Table2634[[#This Row],[4 weeks average]]-B56)/B56</f>
        <v/>
      </c>
    </row>
    <row r="109">
      <c r="A109" s="22" t="n">
        <v>28121</v>
      </c>
      <c r="B109" s="24">
        <f>VLOOKUP(Table2634[[#This Row],[Date]],'DB Money Supply'!$A:$D,4)</f>
        <v/>
      </c>
      <c r="C109" s="30">
        <f>(Table2634[[#This Row],[M1 Money Stock, Billions of Dollars, Weekly, Seasonally Adjusted]]-B108)/B108</f>
        <v/>
      </c>
      <c r="D109" s="34">
        <f>((1+Table2634[[#This Row],[Weekly change]])^52)-1</f>
        <v/>
      </c>
      <c r="E109" s="24">
        <f>AVERAGE(B106:B109)</f>
        <v/>
      </c>
      <c r="F109" s="32">
        <f>(Table2634[[#This Row],[4 weeks average]]-B57)/B57</f>
        <v/>
      </c>
    </row>
    <row r="110">
      <c r="A110" s="22" t="n">
        <v>28128</v>
      </c>
      <c r="B110" s="24">
        <f>VLOOKUP(Table2634[[#This Row],[Date]],'DB Money Supply'!$A:$D,4)</f>
        <v/>
      </c>
      <c r="C110" s="30">
        <f>(Table2634[[#This Row],[M1 Money Stock, Billions of Dollars, Weekly, Seasonally Adjusted]]-B109)/B109</f>
        <v/>
      </c>
      <c r="D110" s="34">
        <f>((1+Table2634[[#This Row],[Weekly change]])^52)-1</f>
        <v/>
      </c>
      <c r="E110" s="24">
        <f>AVERAGE(B107:B110)</f>
        <v/>
      </c>
      <c r="F110" s="32">
        <f>(Table2634[[#This Row],[4 weeks average]]-B58)/B58</f>
        <v/>
      </c>
    </row>
    <row r="111">
      <c r="A111" s="22" t="n">
        <v>28135</v>
      </c>
      <c r="B111" s="24">
        <f>VLOOKUP(Table2634[[#This Row],[Date]],'DB Money Supply'!$A:$D,4)</f>
        <v/>
      </c>
      <c r="C111" s="30">
        <f>(Table2634[[#This Row],[M1 Money Stock, Billions of Dollars, Weekly, Seasonally Adjusted]]-B110)/B110</f>
        <v/>
      </c>
      <c r="D111" s="34">
        <f>((1+Table2634[[#This Row],[Weekly change]])^52)-1</f>
        <v/>
      </c>
      <c r="E111" s="24">
        <f>AVERAGE(B108:B111)</f>
        <v/>
      </c>
      <c r="F111" s="32">
        <f>(Table2634[[#This Row],[4 weeks average]]-B59)/B59</f>
        <v/>
      </c>
    </row>
    <row r="112">
      <c r="A112" s="22" t="n">
        <v>28142</v>
      </c>
      <c r="B112" s="24">
        <f>VLOOKUP(Table2634[[#This Row],[Date]],'DB Money Supply'!$A:$D,4)</f>
        <v/>
      </c>
      <c r="C112" s="30">
        <f>(Table2634[[#This Row],[M1 Money Stock, Billions of Dollars, Weekly, Seasonally Adjusted]]-B111)/B111</f>
        <v/>
      </c>
      <c r="D112" s="34">
        <f>((1+Table2634[[#This Row],[Weekly change]])^52)-1</f>
        <v/>
      </c>
      <c r="E112" s="24">
        <f>AVERAGE(B109:B112)</f>
        <v/>
      </c>
      <c r="F112" s="32">
        <f>(Table2634[[#This Row],[4 weeks average]]-B60)/B60</f>
        <v/>
      </c>
    </row>
    <row r="113">
      <c r="A113" s="22" t="n">
        <v>28149</v>
      </c>
      <c r="B113" s="24">
        <f>VLOOKUP(Table2634[[#This Row],[Date]],'DB Money Supply'!$A:$D,4)</f>
        <v/>
      </c>
      <c r="C113" s="30">
        <f>(Table2634[[#This Row],[M1 Money Stock, Billions of Dollars, Weekly, Seasonally Adjusted]]-B112)/B112</f>
        <v/>
      </c>
      <c r="D113" s="34">
        <f>((1+Table2634[[#This Row],[Weekly change]])^52)-1</f>
        <v/>
      </c>
      <c r="E113" s="24">
        <f>AVERAGE(B110:B113)</f>
        <v/>
      </c>
      <c r="F113" s="32">
        <f>(Table2634[[#This Row],[4 weeks average]]-B61)/B61</f>
        <v/>
      </c>
    </row>
    <row r="114">
      <c r="A114" s="22" t="n">
        <v>28156</v>
      </c>
      <c r="B114" s="24">
        <f>VLOOKUP(Table2634[[#This Row],[Date]],'DB Money Supply'!$A:$D,4)</f>
        <v/>
      </c>
      <c r="C114" s="30">
        <f>(Table2634[[#This Row],[M1 Money Stock, Billions of Dollars, Weekly, Seasonally Adjusted]]-B113)/B113</f>
        <v/>
      </c>
      <c r="D114" s="34">
        <f>((1+Table2634[[#This Row],[Weekly change]])^52)-1</f>
        <v/>
      </c>
      <c r="E114" s="24">
        <f>AVERAGE(B111:B114)</f>
        <v/>
      </c>
      <c r="F114" s="32">
        <f>(Table2634[[#This Row],[4 weeks average]]-B62)/B62</f>
        <v/>
      </c>
    </row>
    <row r="115">
      <c r="A115" s="22" t="n">
        <v>28163</v>
      </c>
      <c r="B115" s="24">
        <f>VLOOKUP(Table2634[[#This Row],[Date]],'DB Money Supply'!$A:$D,4)</f>
        <v/>
      </c>
      <c r="C115" s="30">
        <f>(Table2634[[#This Row],[M1 Money Stock, Billions of Dollars, Weekly, Seasonally Adjusted]]-B114)/B114</f>
        <v/>
      </c>
      <c r="D115" s="34">
        <f>((1+Table2634[[#This Row],[Weekly change]])^52)-1</f>
        <v/>
      </c>
      <c r="E115" s="24">
        <f>AVERAGE(B112:B115)</f>
        <v/>
      </c>
      <c r="F115" s="32">
        <f>(Table2634[[#This Row],[4 weeks average]]-B63)/B63</f>
        <v/>
      </c>
    </row>
    <row r="116">
      <c r="A116" s="22" t="n">
        <v>28170</v>
      </c>
      <c r="B116" s="24">
        <f>VLOOKUP(Table2634[[#This Row],[Date]],'DB Money Supply'!$A:$D,4)</f>
        <v/>
      </c>
      <c r="C116" s="30">
        <f>(Table2634[[#This Row],[M1 Money Stock, Billions of Dollars, Weekly, Seasonally Adjusted]]-B115)/B115</f>
        <v/>
      </c>
      <c r="D116" s="34">
        <f>((1+Table2634[[#This Row],[Weekly change]])^52)-1</f>
        <v/>
      </c>
      <c r="E116" s="24">
        <f>AVERAGE(B113:B116)</f>
        <v/>
      </c>
      <c r="F116" s="32">
        <f>(Table2634[[#This Row],[4 weeks average]]-B64)/B64</f>
        <v/>
      </c>
    </row>
    <row r="117">
      <c r="A117" s="22" t="n">
        <v>28177</v>
      </c>
      <c r="B117" s="24">
        <f>VLOOKUP(Table2634[[#This Row],[Date]],'DB Money Supply'!$A:$D,4)</f>
        <v/>
      </c>
      <c r="C117" s="30">
        <f>(Table2634[[#This Row],[M1 Money Stock, Billions of Dollars, Weekly, Seasonally Adjusted]]-B116)/B116</f>
        <v/>
      </c>
      <c r="D117" s="34">
        <f>((1+Table2634[[#This Row],[Weekly change]])^52)-1</f>
        <v/>
      </c>
      <c r="E117" s="24">
        <f>AVERAGE(B114:B117)</f>
        <v/>
      </c>
      <c r="F117" s="32">
        <f>(Table2634[[#This Row],[4 weeks average]]-B65)/B65</f>
        <v/>
      </c>
    </row>
    <row r="118">
      <c r="A118" s="22" t="n">
        <v>28184</v>
      </c>
      <c r="B118" s="24">
        <f>VLOOKUP(Table2634[[#This Row],[Date]],'DB Money Supply'!$A:$D,4)</f>
        <v/>
      </c>
      <c r="C118" s="30">
        <f>(Table2634[[#This Row],[M1 Money Stock, Billions of Dollars, Weekly, Seasonally Adjusted]]-B117)/B117</f>
        <v/>
      </c>
      <c r="D118" s="34">
        <f>((1+Table2634[[#This Row],[Weekly change]])^52)-1</f>
        <v/>
      </c>
      <c r="E118" s="24">
        <f>AVERAGE(B115:B118)</f>
        <v/>
      </c>
      <c r="F118" s="32">
        <f>(Table2634[[#This Row],[4 weeks average]]-B66)/B66</f>
        <v/>
      </c>
    </row>
    <row r="119">
      <c r="A119" s="22" t="n">
        <v>28191</v>
      </c>
      <c r="B119" s="24">
        <f>VLOOKUP(Table2634[[#This Row],[Date]],'DB Money Supply'!$A:$D,4)</f>
        <v/>
      </c>
      <c r="C119" s="30">
        <f>(Table2634[[#This Row],[M1 Money Stock, Billions of Dollars, Weekly, Seasonally Adjusted]]-B118)/B118</f>
        <v/>
      </c>
      <c r="D119" s="34">
        <f>((1+Table2634[[#This Row],[Weekly change]])^52)-1</f>
        <v/>
      </c>
      <c r="E119" s="24">
        <f>AVERAGE(B116:B119)</f>
        <v/>
      </c>
      <c r="F119" s="32">
        <f>(Table2634[[#This Row],[4 weeks average]]-B67)/B67</f>
        <v/>
      </c>
    </row>
    <row r="120">
      <c r="A120" s="22" t="n">
        <v>28198</v>
      </c>
      <c r="B120" s="24">
        <f>VLOOKUP(Table2634[[#This Row],[Date]],'DB Money Supply'!$A:$D,4)</f>
        <v/>
      </c>
      <c r="C120" s="30">
        <f>(Table2634[[#This Row],[M1 Money Stock, Billions of Dollars, Weekly, Seasonally Adjusted]]-B119)/B119</f>
        <v/>
      </c>
      <c r="D120" s="34">
        <f>((1+Table2634[[#This Row],[Weekly change]])^52)-1</f>
        <v/>
      </c>
      <c r="E120" s="24">
        <f>AVERAGE(B117:B120)</f>
        <v/>
      </c>
      <c r="F120" s="32">
        <f>(Table2634[[#This Row],[4 weeks average]]-B68)/B68</f>
        <v/>
      </c>
    </row>
    <row r="121">
      <c r="A121" s="22" t="n">
        <v>28205</v>
      </c>
      <c r="B121" s="24">
        <f>VLOOKUP(Table2634[[#This Row],[Date]],'DB Money Supply'!$A:$D,4)</f>
        <v/>
      </c>
      <c r="C121" s="30">
        <f>(Table2634[[#This Row],[M1 Money Stock, Billions of Dollars, Weekly, Seasonally Adjusted]]-B120)/B120</f>
        <v/>
      </c>
      <c r="D121" s="34">
        <f>((1+Table2634[[#This Row],[Weekly change]])^52)-1</f>
        <v/>
      </c>
      <c r="E121" s="24">
        <f>AVERAGE(B118:B121)</f>
        <v/>
      </c>
      <c r="F121" s="32">
        <f>(Table2634[[#This Row],[4 weeks average]]-B69)/B69</f>
        <v/>
      </c>
    </row>
    <row r="122">
      <c r="A122" s="22" t="n">
        <v>28212</v>
      </c>
      <c r="B122" s="24">
        <f>VLOOKUP(Table2634[[#This Row],[Date]],'DB Money Supply'!$A:$D,4)</f>
        <v/>
      </c>
      <c r="C122" s="30">
        <f>(Table2634[[#This Row],[M1 Money Stock, Billions of Dollars, Weekly, Seasonally Adjusted]]-B121)/B121</f>
        <v/>
      </c>
      <c r="D122" s="34">
        <f>((1+Table2634[[#This Row],[Weekly change]])^52)-1</f>
        <v/>
      </c>
      <c r="E122" s="24">
        <f>AVERAGE(B119:B122)</f>
        <v/>
      </c>
      <c r="F122" s="32">
        <f>(Table2634[[#This Row],[4 weeks average]]-B70)/B70</f>
        <v/>
      </c>
    </row>
    <row r="123">
      <c r="A123" s="22" t="n">
        <v>28219</v>
      </c>
      <c r="B123" s="24">
        <f>VLOOKUP(Table2634[[#This Row],[Date]],'DB Money Supply'!$A:$D,4)</f>
        <v/>
      </c>
      <c r="C123" s="30">
        <f>(Table2634[[#This Row],[M1 Money Stock, Billions of Dollars, Weekly, Seasonally Adjusted]]-B122)/B122</f>
        <v/>
      </c>
      <c r="D123" s="34">
        <f>((1+Table2634[[#This Row],[Weekly change]])^52)-1</f>
        <v/>
      </c>
      <c r="E123" s="24">
        <f>AVERAGE(B120:B123)</f>
        <v/>
      </c>
      <c r="F123" s="32">
        <f>(Table2634[[#This Row],[4 weeks average]]-B71)/B71</f>
        <v/>
      </c>
    </row>
    <row r="124">
      <c r="A124" s="22" t="n">
        <v>28226</v>
      </c>
      <c r="B124" s="24">
        <f>VLOOKUP(Table2634[[#This Row],[Date]],'DB Money Supply'!$A:$D,4)</f>
        <v/>
      </c>
      <c r="C124" s="30">
        <f>(Table2634[[#This Row],[M1 Money Stock, Billions of Dollars, Weekly, Seasonally Adjusted]]-B123)/B123</f>
        <v/>
      </c>
      <c r="D124" s="34">
        <f>((1+Table2634[[#This Row],[Weekly change]])^52)-1</f>
        <v/>
      </c>
      <c r="E124" s="24">
        <f>AVERAGE(B121:B124)</f>
        <v/>
      </c>
      <c r="F124" s="32">
        <f>(Table2634[[#This Row],[4 weeks average]]-B72)/B72</f>
        <v/>
      </c>
    </row>
    <row r="125">
      <c r="A125" s="22" t="n">
        <v>28233</v>
      </c>
      <c r="B125" s="24">
        <f>VLOOKUP(Table2634[[#This Row],[Date]],'DB Money Supply'!$A:$D,4)</f>
        <v/>
      </c>
      <c r="C125" s="30">
        <f>(Table2634[[#This Row],[M1 Money Stock, Billions of Dollars, Weekly, Seasonally Adjusted]]-B124)/B124</f>
        <v/>
      </c>
      <c r="D125" s="34">
        <f>((1+Table2634[[#This Row],[Weekly change]])^52)-1</f>
        <v/>
      </c>
      <c r="E125" s="24">
        <f>AVERAGE(B122:B125)</f>
        <v/>
      </c>
      <c r="F125" s="32">
        <f>(Table2634[[#This Row],[4 weeks average]]-B73)/B73</f>
        <v/>
      </c>
    </row>
    <row r="126">
      <c r="A126" s="22" t="n">
        <v>28240</v>
      </c>
      <c r="B126" s="24">
        <f>VLOOKUP(Table2634[[#This Row],[Date]],'DB Money Supply'!$A:$D,4)</f>
        <v/>
      </c>
      <c r="C126" s="30">
        <f>(Table2634[[#This Row],[M1 Money Stock, Billions of Dollars, Weekly, Seasonally Adjusted]]-B125)/B125</f>
        <v/>
      </c>
      <c r="D126" s="34">
        <f>((1+Table2634[[#This Row],[Weekly change]])^52)-1</f>
        <v/>
      </c>
      <c r="E126" s="24">
        <f>AVERAGE(B123:B126)</f>
        <v/>
      </c>
      <c r="F126" s="32">
        <f>(Table2634[[#This Row],[4 weeks average]]-B74)/B74</f>
        <v/>
      </c>
    </row>
    <row r="127">
      <c r="A127" s="22" t="n">
        <v>28247</v>
      </c>
      <c r="B127" s="24">
        <f>VLOOKUP(Table2634[[#This Row],[Date]],'DB Money Supply'!$A:$D,4)</f>
        <v/>
      </c>
      <c r="C127" s="30">
        <f>(Table2634[[#This Row],[M1 Money Stock, Billions of Dollars, Weekly, Seasonally Adjusted]]-B126)/B126</f>
        <v/>
      </c>
      <c r="D127" s="34">
        <f>((1+Table2634[[#This Row],[Weekly change]])^52)-1</f>
        <v/>
      </c>
      <c r="E127" s="24">
        <f>AVERAGE(B124:B127)</f>
        <v/>
      </c>
      <c r="F127" s="32">
        <f>(Table2634[[#This Row],[4 weeks average]]-B75)/B75</f>
        <v/>
      </c>
    </row>
    <row r="128">
      <c r="A128" s="22" t="n">
        <v>28254</v>
      </c>
      <c r="B128" s="24">
        <f>VLOOKUP(Table2634[[#This Row],[Date]],'DB Money Supply'!$A:$D,4)</f>
        <v/>
      </c>
      <c r="C128" s="30">
        <f>(Table2634[[#This Row],[M1 Money Stock, Billions of Dollars, Weekly, Seasonally Adjusted]]-B127)/B127</f>
        <v/>
      </c>
      <c r="D128" s="34">
        <f>((1+Table2634[[#This Row],[Weekly change]])^52)-1</f>
        <v/>
      </c>
      <c r="E128" s="24">
        <f>AVERAGE(B125:B128)</f>
        <v/>
      </c>
      <c r="F128" s="32">
        <f>(Table2634[[#This Row],[4 weeks average]]-B76)/B76</f>
        <v/>
      </c>
    </row>
    <row r="129">
      <c r="A129" s="22" t="n">
        <v>28261</v>
      </c>
      <c r="B129" s="24">
        <f>VLOOKUP(Table2634[[#This Row],[Date]],'DB Money Supply'!$A:$D,4)</f>
        <v/>
      </c>
      <c r="C129" s="30">
        <f>(Table2634[[#This Row],[M1 Money Stock, Billions of Dollars, Weekly, Seasonally Adjusted]]-B128)/B128</f>
        <v/>
      </c>
      <c r="D129" s="34">
        <f>((1+Table2634[[#This Row],[Weekly change]])^52)-1</f>
        <v/>
      </c>
      <c r="E129" s="24">
        <f>AVERAGE(B126:B129)</f>
        <v/>
      </c>
      <c r="F129" s="32">
        <f>(Table2634[[#This Row],[4 weeks average]]-B77)/B77</f>
        <v/>
      </c>
    </row>
    <row r="130">
      <c r="A130" s="22" t="n">
        <v>28268</v>
      </c>
      <c r="B130" s="24">
        <f>VLOOKUP(Table2634[[#This Row],[Date]],'DB Money Supply'!$A:$D,4)</f>
        <v/>
      </c>
      <c r="C130" s="30">
        <f>(Table2634[[#This Row],[M1 Money Stock, Billions of Dollars, Weekly, Seasonally Adjusted]]-B129)/B129</f>
        <v/>
      </c>
      <c r="D130" s="34">
        <f>((1+Table2634[[#This Row],[Weekly change]])^52)-1</f>
        <v/>
      </c>
      <c r="E130" s="24">
        <f>AVERAGE(B127:B130)</f>
        <v/>
      </c>
      <c r="F130" s="32">
        <f>(Table2634[[#This Row],[4 weeks average]]-B78)/B78</f>
        <v/>
      </c>
    </row>
    <row r="131">
      <c r="A131" s="22" t="n">
        <v>28275</v>
      </c>
      <c r="B131" s="24">
        <f>VLOOKUP(Table2634[[#This Row],[Date]],'DB Money Supply'!$A:$D,4)</f>
        <v/>
      </c>
      <c r="C131" s="30">
        <f>(Table2634[[#This Row],[M1 Money Stock, Billions of Dollars, Weekly, Seasonally Adjusted]]-B130)/B130</f>
        <v/>
      </c>
      <c r="D131" s="34">
        <f>((1+Table2634[[#This Row],[Weekly change]])^52)-1</f>
        <v/>
      </c>
      <c r="E131" s="24">
        <f>AVERAGE(B128:B131)</f>
        <v/>
      </c>
      <c r="F131" s="32">
        <f>(Table2634[[#This Row],[4 weeks average]]-B79)/B79</f>
        <v/>
      </c>
    </row>
    <row r="132">
      <c r="A132" s="22" t="n">
        <v>28282</v>
      </c>
      <c r="B132" s="24">
        <f>VLOOKUP(Table2634[[#This Row],[Date]],'DB Money Supply'!$A:$D,4)</f>
        <v/>
      </c>
      <c r="C132" s="30">
        <f>(Table2634[[#This Row],[M1 Money Stock, Billions of Dollars, Weekly, Seasonally Adjusted]]-B131)/B131</f>
        <v/>
      </c>
      <c r="D132" s="34">
        <f>((1+Table2634[[#This Row],[Weekly change]])^52)-1</f>
        <v/>
      </c>
      <c r="E132" s="24">
        <f>AVERAGE(B129:B132)</f>
        <v/>
      </c>
      <c r="F132" s="32">
        <f>(Table2634[[#This Row],[4 weeks average]]-B80)/B80</f>
        <v/>
      </c>
    </row>
    <row r="133">
      <c r="A133" s="22" t="n">
        <v>28289</v>
      </c>
      <c r="B133" s="24">
        <f>VLOOKUP(Table2634[[#This Row],[Date]],'DB Money Supply'!$A:$D,4)</f>
        <v/>
      </c>
      <c r="C133" s="30">
        <f>(Table2634[[#This Row],[M1 Money Stock, Billions of Dollars, Weekly, Seasonally Adjusted]]-B132)/B132</f>
        <v/>
      </c>
      <c r="D133" s="34">
        <f>((1+Table2634[[#This Row],[Weekly change]])^52)-1</f>
        <v/>
      </c>
      <c r="E133" s="24">
        <f>AVERAGE(B130:B133)</f>
        <v/>
      </c>
      <c r="F133" s="32">
        <f>(Table2634[[#This Row],[4 weeks average]]-B81)/B81</f>
        <v/>
      </c>
    </row>
    <row r="134">
      <c r="A134" s="22" t="n">
        <v>28296</v>
      </c>
      <c r="B134" s="24">
        <f>VLOOKUP(Table2634[[#This Row],[Date]],'DB Money Supply'!$A:$D,4)</f>
        <v/>
      </c>
      <c r="C134" s="30">
        <f>(Table2634[[#This Row],[M1 Money Stock, Billions of Dollars, Weekly, Seasonally Adjusted]]-B133)/B133</f>
        <v/>
      </c>
      <c r="D134" s="34">
        <f>((1+Table2634[[#This Row],[Weekly change]])^52)-1</f>
        <v/>
      </c>
      <c r="E134" s="24">
        <f>AVERAGE(B131:B134)</f>
        <v/>
      </c>
      <c r="F134" s="32">
        <f>(Table2634[[#This Row],[4 weeks average]]-B82)/B82</f>
        <v/>
      </c>
    </row>
    <row r="135">
      <c r="A135" s="22" t="n">
        <v>28303</v>
      </c>
      <c r="B135" s="24">
        <f>VLOOKUP(Table2634[[#This Row],[Date]],'DB Money Supply'!$A:$D,4)</f>
        <v/>
      </c>
      <c r="C135" s="30">
        <f>(Table2634[[#This Row],[M1 Money Stock, Billions of Dollars, Weekly, Seasonally Adjusted]]-B134)/B134</f>
        <v/>
      </c>
      <c r="D135" s="34">
        <f>((1+Table2634[[#This Row],[Weekly change]])^52)-1</f>
        <v/>
      </c>
      <c r="E135" s="24">
        <f>AVERAGE(B132:B135)</f>
        <v/>
      </c>
      <c r="F135" s="32">
        <f>(Table2634[[#This Row],[4 weeks average]]-B83)/B83</f>
        <v/>
      </c>
    </row>
    <row r="136">
      <c r="A136" s="22" t="n">
        <v>28310</v>
      </c>
      <c r="B136" s="24">
        <f>VLOOKUP(Table2634[[#This Row],[Date]],'DB Money Supply'!$A:$D,4)</f>
        <v/>
      </c>
      <c r="C136" s="30">
        <f>(Table2634[[#This Row],[M1 Money Stock, Billions of Dollars, Weekly, Seasonally Adjusted]]-B135)/B135</f>
        <v/>
      </c>
      <c r="D136" s="34">
        <f>((1+Table2634[[#This Row],[Weekly change]])^52)-1</f>
        <v/>
      </c>
      <c r="E136" s="24">
        <f>AVERAGE(B133:B136)</f>
        <v/>
      </c>
      <c r="F136" s="32">
        <f>(Table2634[[#This Row],[4 weeks average]]-B84)/B84</f>
        <v/>
      </c>
    </row>
    <row r="137">
      <c r="A137" s="22" t="n">
        <v>28317</v>
      </c>
      <c r="B137" s="24">
        <f>VLOOKUP(Table2634[[#This Row],[Date]],'DB Money Supply'!$A:$D,4)</f>
        <v/>
      </c>
      <c r="C137" s="30">
        <f>(Table2634[[#This Row],[M1 Money Stock, Billions of Dollars, Weekly, Seasonally Adjusted]]-B136)/B136</f>
        <v/>
      </c>
      <c r="D137" s="34">
        <f>((1+Table2634[[#This Row],[Weekly change]])^52)-1</f>
        <v/>
      </c>
      <c r="E137" s="24">
        <f>AVERAGE(B134:B137)</f>
        <v/>
      </c>
      <c r="F137" s="32">
        <f>(Table2634[[#This Row],[4 weeks average]]-B85)/B85</f>
        <v/>
      </c>
    </row>
    <row r="138">
      <c r="A138" s="22" t="n">
        <v>28324</v>
      </c>
      <c r="B138" s="24">
        <f>VLOOKUP(Table2634[[#This Row],[Date]],'DB Money Supply'!$A:$D,4)</f>
        <v/>
      </c>
      <c r="C138" s="30">
        <f>(Table2634[[#This Row],[M1 Money Stock, Billions of Dollars, Weekly, Seasonally Adjusted]]-B137)/B137</f>
        <v/>
      </c>
      <c r="D138" s="34">
        <f>((1+Table2634[[#This Row],[Weekly change]])^52)-1</f>
        <v/>
      </c>
      <c r="E138" s="24">
        <f>AVERAGE(B135:B138)</f>
        <v/>
      </c>
      <c r="F138" s="32">
        <f>(Table2634[[#This Row],[4 weeks average]]-B86)/B86</f>
        <v/>
      </c>
    </row>
    <row r="139">
      <c r="A139" s="22" t="n">
        <v>28331</v>
      </c>
      <c r="B139" s="24">
        <f>VLOOKUP(Table2634[[#This Row],[Date]],'DB Money Supply'!$A:$D,4)</f>
        <v/>
      </c>
      <c r="C139" s="30">
        <f>(Table2634[[#This Row],[M1 Money Stock, Billions of Dollars, Weekly, Seasonally Adjusted]]-B138)/B138</f>
        <v/>
      </c>
      <c r="D139" s="34">
        <f>((1+Table2634[[#This Row],[Weekly change]])^52)-1</f>
        <v/>
      </c>
      <c r="E139" s="24">
        <f>AVERAGE(B136:B139)</f>
        <v/>
      </c>
      <c r="F139" s="32">
        <f>(Table2634[[#This Row],[4 weeks average]]-B87)/B87</f>
        <v/>
      </c>
    </row>
    <row r="140">
      <c r="A140" s="22" t="n">
        <v>28338</v>
      </c>
      <c r="B140" s="24">
        <f>VLOOKUP(Table2634[[#This Row],[Date]],'DB Money Supply'!$A:$D,4)</f>
        <v/>
      </c>
      <c r="C140" s="30">
        <f>(Table2634[[#This Row],[M1 Money Stock, Billions of Dollars, Weekly, Seasonally Adjusted]]-B139)/B139</f>
        <v/>
      </c>
      <c r="D140" s="34">
        <f>((1+Table2634[[#This Row],[Weekly change]])^52)-1</f>
        <v/>
      </c>
      <c r="E140" s="24">
        <f>AVERAGE(B137:B140)</f>
        <v/>
      </c>
      <c r="F140" s="32">
        <f>(Table2634[[#This Row],[4 weeks average]]-B88)/B88</f>
        <v/>
      </c>
    </row>
    <row r="141">
      <c r="A141" s="22" t="n">
        <v>28345</v>
      </c>
      <c r="B141" s="24">
        <f>VLOOKUP(Table2634[[#This Row],[Date]],'DB Money Supply'!$A:$D,4)</f>
        <v/>
      </c>
      <c r="C141" s="30">
        <f>(Table2634[[#This Row],[M1 Money Stock, Billions of Dollars, Weekly, Seasonally Adjusted]]-B140)/B140</f>
        <v/>
      </c>
      <c r="D141" s="34">
        <f>((1+Table2634[[#This Row],[Weekly change]])^52)-1</f>
        <v/>
      </c>
      <c r="E141" s="24">
        <f>AVERAGE(B138:B141)</f>
        <v/>
      </c>
      <c r="F141" s="32">
        <f>(Table2634[[#This Row],[4 weeks average]]-B89)/B89</f>
        <v/>
      </c>
    </row>
    <row r="142">
      <c r="A142" s="22" t="n">
        <v>28352</v>
      </c>
      <c r="B142" s="24">
        <f>VLOOKUP(Table2634[[#This Row],[Date]],'DB Money Supply'!$A:$D,4)</f>
        <v/>
      </c>
      <c r="C142" s="30">
        <f>(Table2634[[#This Row],[M1 Money Stock, Billions of Dollars, Weekly, Seasonally Adjusted]]-B141)/B141</f>
        <v/>
      </c>
      <c r="D142" s="34">
        <f>((1+Table2634[[#This Row],[Weekly change]])^52)-1</f>
        <v/>
      </c>
      <c r="E142" s="24">
        <f>AVERAGE(B139:B142)</f>
        <v/>
      </c>
      <c r="F142" s="32">
        <f>(Table2634[[#This Row],[4 weeks average]]-B90)/B90</f>
        <v/>
      </c>
    </row>
    <row r="143">
      <c r="A143" s="22" t="n">
        <v>28359</v>
      </c>
      <c r="B143" s="24">
        <f>VLOOKUP(Table2634[[#This Row],[Date]],'DB Money Supply'!$A:$D,4)</f>
        <v/>
      </c>
      <c r="C143" s="30">
        <f>(Table2634[[#This Row],[M1 Money Stock, Billions of Dollars, Weekly, Seasonally Adjusted]]-B142)/B142</f>
        <v/>
      </c>
      <c r="D143" s="34">
        <f>((1+Table2634[[#This Row],[Weekly change]])^52)-1</f>
        <v/>
      </c>
      <c r="E143" s="24">
        <f>AVERAGE(B140:B143)</f>
        <v/>
      </c>
      <c r="F143" s="32">
        <f>(Table2634[[#This Row],[4 weeks average]]-B91)/B91</f>
        <v/>
      </c>
    </row>
    <row r="144">
      <c r="A144" s="22" t="n">
        <v>28366</v>
      </c>
      <c r="B144" s="24">
        <f>VLOOKUP(Table2634[[#This Row],[Date]],'DB Money Supply'!$A:$D,4)</f>
        <v/>
      </c>
      <c r="C144" s="30">
        <f>(Table2634[[#This Row],[M1 Money Stock, Billions of Dollars, Weekly, Seasonally Adjusted]]-B143)/B143</f>
        <v/>
      </c>
      <c r="D144" s="34">
        <f>((1+Table2634[[#This Row],[Weekly change]])^52)-1</f>
        <v/>
      </c>
      <c r="E144" s="24">
        <f>AVERAGE(B141:B144)</f>
        <v/>
      </c>
      <c r="F144" s="32">
        <f>(Table2634[[#This Row],[4 weeks average]]-B92)/B92</f>
        <v/>
      </c>
    </row>
    <row r="145">
      <c r="A145" s="22" t="n">
        <v>28373</v>
      </c>
      <c r="B145" s="24">
        <f>VLOOKUP(Table2634[[#This Row],[Date]],'DB Money Supply'!$A:$D,4)</f>
        <v/>
      </c>
      <c r="C145" s="30">
        <f>(Table2634[[#This Row],[M1 Money Stock, Billions of Dollars, Weekly, Seasonally Adjusted]]-B144)/B144</f>
        <v/>
      </c>
      <c r="D145" s="34">
        <f>((1+Table2634[[#This Row],[Weekly change]])^52)-1</f>
        <v/>
      </c>
      <c r="E145" s="24">
        <f>AVERAGE(B142:B145)</f>
        <v/>
      </c>
      <c r="F145" s="32">
        <f>(Table2634[[#This Row],[4 weeks average]]-B93)/B93</f>
        <v/>
      </c>
    </row>
    <row r="146">
      <c r="A146" s="22" t="n">
        <v>28380</v>
      </c>
      <c r="B146" s="24">
        <f>VLOOKUP(Table2634[[#This Row],[Date]],'DB Money Supply'!$A:$D,4)</f>
        <v/>
      </c>
      <c r="C146" s="30">
        <f>(Table2634[[#This Row],[M1 Money Stock, Billions of Dollars, Weekly, Seasonally Adjusted]]-B145)/B145</f>
        <v/>
      </c>
      <c r="D146" s="34">
        <f>((1+Table2634[[#This Row],[Weekly change]])^52)-1</f>
        <v/>
      </c>
      <c r="E146" s="24">
        <f>AVERAGE(B143:B146)</f>
        <v/>
      </c>
      <c r="F146" s="32">
        <f>(Table2634[[#This Row],[4 weeks average]]-B94)/B94</f>
        <v/>
      </c>
    </row>
    <row r="147">
      <c r="A147" s="22" t="n">
        <v>28387</v>
      </c>
      <c r="B147" s="24">
        <f>VLOOKUP(Table2634[[#This Row],[Date]],'DB Money Supply'!$A:$D,4)</f>
        <v/>
      </c>
      <c r="C147" s="30">
        <f>(Table2634[[#This Row],[M1 Money Stock, Billions of Dollars, Weekly, Seasonally Adjusted]]-B146)/B146</f>
        <v/>
      </c>
      <c r="D147" s="34">
        <f>((1+Table2634[[#This Row],[Weekly change]])^52)-1</f>
        <v/>
      </c>
      <c r="E147" s="24">
        <f>AVERAGE(B144:B147)</f>
        <v/>
      </c>
      <c r="F147" s="32">
        <f>(Table2634[[#This Row],[4 weeks average]]-B95)/B95</f>
        <v/>
      </c>
    </row>
    <row r="148">
      <c r="A148" s="22" t="n">
        <v>28394</v>
      </c>
      <c r="B148" s="24">
        <f>VLOOKUP(Table2634[[#This Row],[Date]],'DB Money Supply'!$A:$D,4)</f>
        <v/>
      </c>
      <c r="C148" s="30">
        <f>(Table2634[[#This Row],[M1 Money Stock, Billions of Dollars, Weekly, Seasonally Adjusted]]-B147)/B147</f>
        <v/>
      </c>
      <c r="D148" s="34">
        <f>((1+Table2634[[#This Row],[Weekly change]])^52)-1</f>
        <v/>
      </c>
      <c r="E148" s="24">
        <f>AVERAGE(B145:B148)</f>
        <v/>
      </c>
      <c r="F148" s="32">
        <f>(Table2634[[#This Row],[4 weeks average]]-B96)/B96</f>
        <v/>
      </c>
    </row>
    <row r="149">
      <c r="A149" s="22" t="n">
        <v>28401</v>
      </c>
      <c r="B149" s="24">
        <f>VLOOKUP(Table2634[[#This Row],[Date]],'DB Money Supply'!$A:$D,4)</f>
        <v/>
      </c>
      <c r="C149" s="30">
        <f>(Table2634[[#This Row],[M1 Money Stock, Billions of Dollars, Weekly, Seasonally Adjusted]]-B148)/B148</f>
        <v/>
      </c>
      <c r="D149" s="34">
        <f>((1+Table2634[[#This Row],[Weekly change]])^52)-1</f>
        <v/>
      </c>
      <c r="E149" s="24">
        <f>AVERAGE(B146:B149)</f>
        <v/>
      </c>
      <c r="F149" s="32">
        <f>(Table2634[[#This Row],[4 weeks average]]-B97)/B97</f>
        <v/>
      </c>
    </row>
    <row r="150">
      <c r="A150" s="22" t="n">
        <v>28408</v>
      </c>
      <c r="B150" s="24">
        <f>VLOOKUP(Table2634[[#This Row],[Date]],'DB Money Supply'!$A:$D,4)</f>
        <v/>
      </c>
      <c r="C150" s="30">
        <f>(Table2634[[#This Row],[M1 Money Stock, Billions of Dollars, Weekly, Seasonally Adjusted]]-B149)/B149</f>
        <v/>
      </c>
      <c r="D150" s="34">
        <f>((1+Table2634[[#This Row],[Weekly change]])^52)-1</f>
        <v/>
      </c>
      <c r="E150" s="24">
        <f>AVERAGE(B147:B150)</f>
        <v/>
      </c>
      <c r="F150" s="32">
        <f>(Table2634[[#This Row],[4 weeks average]]-B98)/B98</f>
        <v/>
      </c>
    </row>
    <row r="151">
      <c r="A151" s="22" t="n">
        <v>28415</v>
      </c>
      <c r="B151" s="24">
        <f>VLOOKUP(Table2634[[#This Row],[Date]],'DB Money Supply'!$A:$D,4)</f>
        <v/>
      </c>
      <c r="C151" s="30">
        <f>(Table2634[[#This Row],[M1 Money Stock, Billions of Dollars, Weekly, Seasonally Adjusted]]-B150)/B150</f>
        <v/>
      </c>
      <c r="D151" s="34">
        <f>((1+Table2634[[#This Row],[Weekly change]])^52)-1</f>
        <v/>
      </c>
      <c r="E151" s="24">
        <f>AVERAGE(B148:B151)</f>
        <v/>
      </c>
      <c r="F151" s="32">
        <f>(Table2634[[#This Row],[4 weeks average]]-B99)/B99</f>
        <v/>
      </c>
    </row>
    <row r="152">
      <c r="A152" s="22" t="n">
        <v>28422</v>
      </c>
      <c r="B152" s="24">
        <f>VLOOKUP(Table2634[[#This Row],[Date]],'DB Money Supply'!$A:$D,4)</f>
        <v/>
      </c>
      <c r="C152" s="30">
        <f>(Table2634[[#This Row],[M1 Money Stock, Billions of Dollars, Weekly, Seasonally Adjusted]]-B151)/B151</f>
        <v/>
      </c>
      <c r="D152" s="34">
        <f>((1+Table2634[[#This Row],[Weekly change]])^52)-1</f>
        <v/>
      </c>
      <c r="E152" s="24">
        <f>AVERAGE(B149:B152)</f>
        <v/>
      </c>
      <c r="F152" s="32">
        <f>(Table2634[[#This Row],[4 weeks average]]-B100)/B100</f>
        <v/>
      </c>
    </row>
    <row r="153">
      <c r="A153" s="22" t="n">
        <v>28429</v>
      </c>
      <c r="B153" s="24">
        <f>VLOOKUP(Table2634[[#This Row],[Date]],'DB Money Supply'!$A:$D,4)</f>
        <v/>
      </c>
      <c r="C153" s="30">
        <f>(Table2634[[#This Row],[M1 Money Stock, Billions of Dollars, Weekly, Seasonally Adjusted]]-B152)/B152</f>
        <v/>
      </c>
      <c r="D153" s="34">
        <f>((1+Table2634[[#This Row],[Weekly change]])^52)-1</f>
        <v/>
      </c>
      <c r="E153" s="24">
        <f>AVERAGE(B150:B153)</f>
        <v/>
      </c>
      <c r="F153" s="32">
        <f>(Table2634[[#This Row],[4 weeks average]]-B101)/B101</f>
        <v/>
      </c>
    </row>
    <row r="154">
      <c r="A154" s="22" t="n">
        <v>28436</v>
      </c>
      <c r="B154" s="24">
        <f>VLOOKUP(Table2634[[#This Row],[Date]],'DB Money Supply'!$A:$D,4)</f>
        <v/>
      </c>
      <c r="C154" s="30">
        <f>(Table2634[[#This Row],[M1 Money Stock, Billions of Dollars, Weekly, Seasonally Adjusted]]-B153)/B153</f>
        <v/>
      </c>
      <c r="D154" s="34">
        <f>((1+Table2634[[#This Row],[Weekly change]])^52)-1</f>
        <v/>
      </c>
      <c r="E154" s="24">
        <f>AVERAGE(B151:B154)</f>
        <v/>
      </c>
      <c r="F154" s="32">
        <f>(Table2634[[#This Row],[4 weeks average]]-B102)/B102</f>
        <v/>
      </c>
    </row>
    <row r="155">
      <c r="A155" s="22" t="n">
        <v>28443</v>
      </c>
      <c r="B155" s="24">
        <f>VLOOKUP(Table2634[[#This Row],[Date]],'DB Money Supply'!$A:$D,4)</f>
        <v/>
      </c>
      <c r="C155" s="30">
        <f>(Table2634[[#This Row],[M1 Money Stock, Billions of Dollars, Weekly, Seasonally Adjusted]]-B154)/B154</f>
        <v/>
      </c>
      <c r="D155" s="34">
        <f>((1+Table2634[[#This Row],[Weekly change]])^52)-1</f>
        <v/>
      </c>
      <c r="E155" s="24">
        <f>AVERAGE(B152:B155)</f>
        <v/>
      </c>
      <c r="F155" s="32">
        <f>(Table2634[[#This Row],[4 weeks average]]-B103)/B103</f>
        <v/>
      </c>
    </row>
    <row r="156">
      <c r="A156" s="22" t="n">
        <v>28450</v>
      </c>
      <c r="B156" s="24">
        <f>VLOOKUP(Table2634[[#This Row],[Date]],'DB Money Supply'!$A:$D,4)</f>
        <v/>
      </c>
      <c r="C156" s="30">
        <f>(Table2634[[#This Row],[M1 Money Stock, Billions of Dollars, Weekly, Seasonally Adjusted]]-B155)/B155</f>
        <v/>
      </c>
      <c r="D156" s="34">
        <f>((1+Table2634[[#This Row],[Weekly change]])^52)-1</f>
        <v/>
      </c>
      <c r="E156" s="24">
        <f>AVERAGE(B153:B156)</f>
        <v/>
      </c>
      <c r="F156" s="32">
        <f>(Table2634[[#This Row],[4 weeks average]]-B104)/B104</f>
        <v/>
      </c>
    </row>
    <row r="157">
      <c r="A157" s="22" t="n">
        <v>28457</v>
      </c>
      <c r="B157" s="24">
        <f>VLOOKUP(Table2634[[#This Row],[Date]],'DB Money Supply'!$A:$D,4)</f>
        <v/>
      </c>
      <c r="C157" s="30">
        <f>(Table2634[[#This Row],[M1 Money Stock, Billions of Dollars, Weekly, Seasonally Adjusted]]-B156)/B156</f>
        <v/>
      </c>
      <c r="D157" s="34">
        <f>((1+Table2634[[#This Row],[Weekly change]])^52)-1</f>
        <v/>
      </c>
      <c r="E157" s="24">
        <f>AVERAGE(B154:B157)</f>
        <v/>
      </c>
      <c r="F157" s="32">
        <f>(Table2634[[#This Row],[4 weeks average]]-B105)/B105</f>
        <v/>
      </c>
    </row>
    <row r="158">
      <c r="A158" s="22" t="n">
        <v>28464</v>
      </c>
      <c r="B158" s="24">
        <f>VLOOKUP(Table2634[[#This Row],[Date]],'DB Money Supply'!$A:$D,4)</f>
        <v/>
      </c>
      <c r="C158" s="30">
        <f>(Table2634[[#This Row],[M1 Money Stock, Billions of Dollars, Weekly, Seasonally Adjusted]]-B157)/B157</f>
        <v/>
      </c>
      <c r="D158" s="34">
        <f>((1+Table2634[[#This Row],[Weekly change]])^52)-1</f>
        <v/>
      </c>
      <c r="E158" s="24">
        <f>AVERAGE(B155:B158)</f>
        <v/>
      </c>
      <c r="F158" s="32">
        <f>(Table2634[[#This Row],[4 weeks average]]-B106)/B106</f>
        <v/>
      </c>
    </row>
    <row r="159">
      <c r="A159" s="22" t="n">
        <v>28471</v>
      </c>
      <c r="B159" s="24">
        <f>VLOOKUP(Table2634[[#This Row],[Date]],'DB Money Supply'!$A:$D,4)</f>
        <v/>
      </c>
      <c r="C159" s="30">
        <f>(Table2634[[#This Row],[M1 Money Stock, Billions of Dollars, Weekly, Seasonally Adjusted]]-B158)/B158</f>
        <v/>
      </c>
      <c r="D159" s="34">
        <f>((1+Table2634[[#This Row],[Weekly change]])^52)-1</f>
        <v/>
      </c>
      <c r="E159" s="24">
        <f>AVERAGE(B156:B159)</f>
        <v/>
      </c>
      <c r="F159" s="32">
        <f>(Table2634[[#This Row],[4 weeks average]]-B107)/B107</f>
        <v/>
      </c>
    </row>
    <row r="160">
      <c r="A160" s="22" t="n">
        <v>28478</v>
      </c>
      <c r="B160" s="24">
        <f>VLOOKUP(Table2634[[#This Row],[Date]],'DB Money Supply'!$A:$D,4)</f>
        <v/>
      </c>
      <c r="C160" s="30">
        <f>(Table2634[[#This Row],[M1 Money Stock, Billions of Dollars, Weekly, Seasonally Adjusted]]-B159)/B159</f>
        <v/>
      </c>
      <c r="D160" s="34">
        <f>((1+Table2634[[#This Row],[Weekly change]])^52)-1</f>
        <v/>
      </c>
      <c r="E160" s="24">
        <f>AVERAGE(B157:B160)</f>
        <v/>
      </c>
      <c r="F160" s="32">
        <f>(Table2634[[#This Row],[4 weeks average]]-B108)/B108</f>
        <v/>
      </c>
    </row>
    <row r="161">
      <c r="A161" s="22" t="n">
        <v>28485</v>
      </c>
      <c r="B161" s="24">
        <f>VLOOKUP(Table2634[[#This Row],[Date]],'DB Money Supply'!$A:$D,4)</f>
        <v/>
      </c>
      <c r="C161" s="30">
        <f>(Table2634[[#This Row],[M1 Money Stock, Billions of Dollars, Weekly, Seasonally Adjusted]]-B160)/B160</f>
        <v/>
      </c>
      <c r="D161" s="34">
        <f>((1+Table2634[[#This Row],[Weekly change]])^52)-1</f>
        <v/>
      </c>
      <c r="E161" s="24">
        <f>AVERAGE(B158:B161)</f>
        <v/>
      </c>
      <c r="F161" s="32">
        <f>(Table2634[[#This Row],[4 weeks average]]-B109)/B109</f>
        <v/>
      </c>
    </row>
    <row r="162">
      <c r="A162" s="22" t="n">
        <v>28492</v>
      </c>
      <c r="B162" s="24">
        <f>VLOOKUP(Table2634[[#This Row],[Date]],'DB Money Supply'!$A:$D,4)</f>
        <v/>
      </c>
      <c r="C162" s="30">
        <f>(Table2634[[#This Row],[M1 Money Stock, Billions of Dollars, Weekly, Seasonally Adjusted]]-B161)/B161</f>
        <v/>
      </c>
      <c r="D162" s="34">
        <f>((1+Table2634[[#This Row],[Weekly change]])^52)-1</f>
        <v/>
      </c>
      <c r="E162" s="24">
        <f>AVERAGE(B159:B162)</f>
        <v/>
      </c>
      <c r="F162" s="32">
        <f>(Table2634[[#This Row],[4 weeks average]]-B110)/B110</f>
        <v/>
      </c>
    </row>
    <row r="163">
      <c r="A163" s="22" t="n">
        <v>28499</v>
      </c>
      <c r="B163" s="24">
        <f>VLOOKUP(Table2634[[#This Row],[Date]],'DB Money Supply'!$A:$D,4)</f>
        <v/>
      </c>
      <c r="C163" s="30">
        <f>(Table2634[[#This Row],[M1 Money Stock, Billions of Dollars, Weekly, Seasonally Adjusted]]-B162)/B162</f>
        <v/>
      </c>
      <c r="D163" s="34">
        <f>((1+Table2634[[#This Row],[Weekly change]])^52)-1</f>
        <v/>
      </c>
      <c r="E163" s="24">
        <f>AVERAGE(B160:B163)</f>
        <v/>
      </c>
      <c r="F163" s="32">
        <f>(Table2634[[#This Row],[4 weeks average]]-B111)/B111</f>
        <v/>
      </c>
    </row>
    <row r="164">
      <c r="A164" s="22" t="n">
        <v>28506</v>
      </c>
      <c r="B164" s="24">
        <f>VLOOKUP(Table2634[[#This Row],[Date]],'DB Money Supply'!$A:$D,4)</f>
        <v/>
      </c>
      <c r="C164" s="30">
        <f>(Table2634[[#This Row],[M1 Money Stock, Billions of Dollars, Weekly, Seasonally Adjusted]]-B163)/B163</f>
        <v/>
      </c>
      <c r="D164" s="34">
        <f>((1+Table2634[[#This Row],[Weekly change]])^52)-1</f>
        <v/>
      </c>
      <c r="E164" s="24">
        <f>AVERAGE(B161:B164)</f>
        <v/>
      </c>
      <c r="F164" s="32">
        <f>(Table2634[[#This Row],[4 weeks average]]-B112)/B112</f>
        <v/>
      </c>
    </row>
    <row r="165">
      <c r="A165" s="22" t="n">
        <v>28513</v>
      </c>
      <c r="B165" s="24">
        <f>VLOOKUP(Table2634[[#This Row],[Date]],'DB Money Supply'!$A:$D,4)</f>
        <v/>
      </c>
      <c r="C165" s="30">
        <f>(Table2634[[#This Row],[M1 Money Stock, Billions of Dollars, Weekly, Seasonally Adjusted]]-B164)/B164</f>
        <v/>
      </c>
      <c r="D165" s="34">
        <f>((1+Table2634[[#This Row],[Weekly change]])^52)-1</f>
        <v/>
      </c>
      <c r="E165" s="24">
        <f>AVERAGE(B162:B165)</f>
        <v/>
      </c>
      <c r="F165" s="32">
        <f>(Table2634[[#This Row],[4 weeks average]]-B113)/B113</f>
        <v/>
      </c>
    </row>
    <row r="166">
      <c r="A166" s="22" t="n">
        <v>28520</v>
      </c>
      <c r="B166" s="24">
        <f>VLOOKUP(Table2634[[#This Row],[Date]],'DB Money Supply'!$A:$D,4)</f>
        <v/>
      </c>
      <c r="C166" s="30">
        <f>(Table2634[[#This Row],[M1 Money Stock, Billions of Dollars, Weekly, Seasonally Adjusted]]-B165)/B165</f>
        <v/>
      </c>
      <c r="D166" s="34">
        <f>((1+Table2634[[#This Row],[Weekly change]])^52)-1</f>
        <v/>
      </c>
      <c r="E166" s="24">
        <f>AVERAGE(B163:B166)</f>
        <v/>
      </c>
      <c r="F166" s="32">
        <f>(Table2634[[#This Row],[4 weeks average]]-B114)/B114</f>
        <v/>
      </c>
    </row>
    <row r="167">
      <c r="A167" s="22" t="n">
        <v>28527</v>
      </c>
      <c r="B167" s="24">
        <f>VLOOKUP(Table2634[[#This Row],[Date]],'DB Money Supply'!$A:$D,4)</f>
        <v/>
      </c>
      <c r="C167" s="30">
        <f>(Table2634[[#This Row],[M1 Money Stock, Billions of Dollars, Weekly, Seasonally Adjusted]]-B166)/B166</f>
        <v/>
      </c>
      <c r="D167" s="34">
        <f>((1+Table2634[[#This Row],[Weekly change]])^52)-1</f>
        <v/>
      </c>
      <c r="E167" s="24">
        <f>AVERAGE(B164:B167)</f>
        <v/>
      </c>
      <c r="F167" s="32">
        <f>(Table2634[[#This Row],[4 weeks average]]-B115)/B115</f>
        <v/>
      </c>
    </row>
    <row r="168">
      <c r="A168" s="22" t="n">
        <v>28534</v>
      </c>
      <c r="B168" s="24">
        <f>VLOOKUP(Table2634[[#This Row],[Date]],'DB Money Supply'!$A:$D,4)</f>
        <v/>
      </c>
      <c r="C168" s="30">
        <f>(Table2634[[#This Row],[M1 Money Stock, Billions of Dollars, Weekly, Seasonally Adjusted]]-B167)/B167</f>
        <v/>
      </c>
      <c r="D168" s="34">
        <f>((1+Table2634[[#This Row],[Weekly change]])^52)-1</f>
        <v/>
      </c>
      <c r="E168" s="24">
        <f>AVERAGE(B165:B168)</f>
        <v/>
      </c>
      <c r="F168" s="32">
        <f>(Table2634[[#This Row],[4 weeks average]]-B116)/B116</f>
        <v/>
      </c>
    </row>
    <row r="169">
      <c r="A169" s="22" t="n">
        <v>28541</v>
      </c>
      <c r="B169" s="24">
        <f>VLOOKUP(Table2634[[#This Row],[Date]],'DB Money Supply'!$A:$D,4)</f>
        <v/>
      </c>
      <c r="C169" s="30">
        <f>(Table2634[[#This Row],[M1 Money Stock, Billions of Dollars, Weekly, Seasonally Adjusted]]-B168)/B168</f>
        <v/>
      </c>
      <c r="D169" s="34">
        <f>((1+Table2634[[#This Row],[Weekly change]])^52)-1</f>
        <v/>
      </c>
      <c r="E169" s="24">
        <f>AVERAGE(B166:B169)</f>
        <v/>
      </c>
      <c r="F169" s="32">
        <f>(Table2634[[#This Row],[4 weeks average]]-B117)/B117</f>
        <v/>
      </c>
    </row>
    <row r="170">
      <c r="A170" s="22" t="n">
        <v>28548</v>
      </c>
      <c r="B170" s="24">
        <f>VLOOKUP(Table2634[[#This Row],[Date]],'DB Money Supply'!$A:$D,4)</f>
        <v/>
      </c>
      <c r="C170" s="30">
        <f>(Table2634[[#This Row],[M1 Money Stock, Billions of Dollars, Weekly, Seasonally Adjusted]]-B169)/B169</f>
        <v/>
      </c>
      <c r="D170" s="34">
        <f>((1+Table2634[[#This Row],[Weekly change]])^52)-1</f>
        <v/>
      </c>
      <c r="E170" s="24">
        <f>AVERAGE(B167:B170)</f>
        <v/>
      </c>
      <c r="F170" s="32">
        <f>(Table2634[[#This Row],[4 weeks average]]-B118)/B118</f>
        <v/>
      </c>
    </row>
    <row r="171">
      <c r="A171" s="22" t="n">
        <v>28555</v>
      </c>
      <c r="B171" s="24">
        <f>VLOOKUP(Table2634[[#This Row],[Date]],'DB Money Supply'!$A:$D,4)</f>
        <v/>
      </c>
      <c r="C171" s="30">
        <f>(Table2634[[#This Row],[M1 Money Stock, Billions of Dollars, Weekly, Seasonally Adjusted]]-B170)/B170</f>
        <v/>
      </c>
      <c r="D171" s="34">
        <f>((1+Table2634[[#This Row],[Weekly change]])^52)-1</f>
        <v/>
      </c>
      <c r="E171" s="24">
        <f>AVERAGE(B168:B171)</f>
        <v/>
      </c>
      <c r="F171" s="32">
        <f>(Table2634[[#This Row],[4 weeks average]]-B119)/B119</f>
        <v/>
      </c>
    </row>
    <row r="172">
      <c r="A172" s="22" t="n">
        <v>28562</v>
      </c>
      <c r="B172" s="24">
        <f>VLOOKUP(Table2634[[#This Row],[Date]],'DB Money Supply'!$A:$D,4)</f>
        <v/>
      </c>
      <c r="C172" s="30">
        <f>(Table2634[[#This Row],[M1 Money Stock, Billions of Dollars, Weekly, Seasonally Adjusted]]-B171)/B171</f>
        <v/>
      </c>
      <c r="D172" s="34">
        <f>((1+Table2634[[#This Row],[Weekly change]])^52)-1</f>
        <v/>
      </c>
      <c r="E172" s="24">
        <f>AVERAGE(B169:B172)</f>
        <v/>
      </c>
      <c r="F172" s="32">
        <f>(Table2634[[#This Row],[4 weeks average]]-B120)/B120</f>
        <v/>
      </c>
    </row>
    <row r="173">
      <c r="A173" s="22" t="n">
        <v>28569</v>
      </c>
      <c r="B173" s="24">
        <f>VLOOKUP(Table2634[[#This Row],[Date]],'DB Money Supply'!$A:$D,4)</f>
        <v/>
      </c>
      <c r="C173" s="30">
        <f>(Table2634[[#This Row],[M1 Money Stock, Billions of Dollars, Weekly, Seasonally Adjusted]]-B172)/B172</f>
        <v/>
      </c>
      <c r="D173" s="34">
        <f>((1+Table2634[[#This Row],[Weekly change]])^52)-1</f>
        <v/>
      </c>
      <c r="E173" s="24">
        <f>AVERAGE(B170:B173)</f>
        <v/>
      </c>
      <c r="F173" s="32">
        <f>(Table2634[[#This Row],[4 weeks average]]-B121)/B121</f>
        <v/>
      </c>
    </row>
    <row r="174">
      <c r="A174" s="22" t="n">
        <v>28576</v>
      </c>
      <c r="B174" s="24">
        <f>VLOOKUP(Table2634[[#This Row],[Date]],'DB Money Supply'!$A:$D,4)</f>
        <v/>
      </c>
      <c r="C174" s="30">
        <f>(Table2634[[#This Row],[M1 Money Stock, Billions of Dollars, Weekly, Seasonally Adjusted]]-B173)/B173</f>
        <v/>
      </c>
      <c r="D174" s="34">
        <f>((1+Table2634[[#This Row],[Weekly change]])^52)-1</f>
        <v/>
      </c>
      <c r="E174" s="24">
        <f>AVERAGE(B171:B174)</f>
        <v/>
      </c>
      <c r="F174" s="32">
        <f>(Table2634[[#This Row],[4 weeks average]]-B122)/B122</f>
        <v/>
      </c>
    </row>
    <row r="175">
      <c r="A175" s="22" t="n">
        <v>28583</v>
      </c>
      <c r="B175" s="24">
        <f>VLOOKUP(Table2634[[#This Row],[Date]],'DB Money Supply'!$A:$D,4)</f>
        <v/>
      </c>
      <c r="C175" s="30">
        <f>(Table2634[[#This Row],[M1 Money Stock, Billions of Dollars, Weekly, Seasonally Adjusted]]-B174)/B174</f>
        <v/>
      </c>
      <c r="D175" s="34">
        <f>((1+Table2634[[#This Row],[Weekly change]])^52)-1</f>
        <v/>
      </c>
      <c r="E175" s="24">
        <f>AVERAGE(B172:B175)</f>
        <v/>
      </c>
      <c r="F175" s="32">
        <f>(Table2634[[#This Row],[4 weeks average]]-B123)/B123</f>
        <v/>
      </c>
    </row>
    <row r="176">
      <c r="A176" s="22" t="n">
        <v>28590</v>
      </c>
      <c r="B176" s="24">
        <f>VLOOKUP(Table2634[[#This Row],[Date]],'DB Money Supply'!$A:$D,4)</f>
        <v/>
      </c>
      <c r="C176" s="30">
        <f>(Table2634[[#This Row],[M1 Money Stock, Billions of Dollars, Weekly, Seasonally Adjusted]]-B175)/B175</f>
        <v/>
      </c>
      <c r="D176" s="34">
        <f>((1+Table2634[[#This Row],[Weekly change]])^52)-1</f>
        <v/>
      </c>
      <c r="E176" s="24">
        <f>AVERAGE(B173:B176)</f>
        <v/>
      </c>
      <c r="F176" s="32">
        <f>(Table2634[[#This Row],[4 weeks average]]-B124)/B124</f>
        <v/>
      </c>
    </row>
    <row r="177">
      <c r="A177" s="22" t="n">
        <v>28597</v>
      </c>
      <c r="B177" s="24">
        <f>VLOOKUP(Table2634[[#This Row],[Date]],'DB Money Supply'!$A:$D,4)</f>
        <v/>
      </c>
      <c r="C177" s="30">
        <f>(Table2634[[#This Row],[M1 Money Stock, Billions of Dollars, Weekly, Seasonally Adjusted]]-B176)/B176</f>
        <v/>
      </c>
      <c r="D177" s="34">
        <f>((1+Table2634[[#This Row],[Weekly change]])^52)-1</f>
        <v/>
      </c>
      <c r="E177" s="24">
        <f>AVERAGE(B174:B177)</f>
        <v/>
      </c>
      <c r="F177" s="32">
        <f>(Table2634[[#This Row],[4 weeks average]]-B125)/B125</f>
        <v/>
      </c>
    </row>
    <row r="178">
      <c r="A178" s="22" t="n">
        <v>28604</v>
      </c>
      <c r="B178" s="24">
        <f>VLOOKUP(Table2634[[#This Row],[Date]],'DB Money Supply'!$A:$D,4)</f>
        <v/>
      </c>
      <c r="C178" s="30">
        <f>(Table2634[[#This Row],[M1 Money Stock, Billions of Dollars, Weekly, Seasonally Adjusted]]-B177)/B177</f>
        <v/>
      </c>
      <c r="D178" s="34">
        <f>((1+Table2634[[#This Row],[Weekly change]])^52)-1</f>
        <v/>
      </c>
      <c r="E178" s="24">
        <f>AVERAGE(B175:B178)</f>
        <v/>
      </c>
      <c r="F178" s="32">
        <f>(Table2634[[#This Row],[4 weeks average]]-B126)/B126</f>
        <v/>
      </c>
    </row>
    <row r="179">
      <c r="A179" s="22" t="n">
        <v>28611</v>
      </c>
      <c r="B179" s="24">
        <f>VLOOKUP(Table2634[[#This Row],[Date]],'DB Money Supply'!$A:$D,4)</f>
        <v/>
      </c>
      <c r="C179" s="30">
        <f>(Table2634[[#This Row],[M1 Money Stock, Billions of Dollars, Weekly, Seasonally Adjusted]]-B178)/B178</f>
        <v/>
      </c>
      <c r="D179" s="34">
        <f>((1+Table2634[[#This Row],[Weekly change]])^52)-1</f>
        <v/>
      </c>
      <c r="E179" s="24">
        <f>AVERAGE(B176:B179)</f>
        <v/>
      </c>
      <c r="F179" s="32">
        <f>(Table2634[[#This Row],[4 weeks average]]-B127)/B127</f>
        <v/>
      </c>
    </row>
    <row r="180">
      <c r="A180" s="22" t="n">
        <v>28618</v>
      </c>
      <c r="B180" s="24">
        <f>VLOOKUP(Table2634[[#This Row],[Date]],'DB Money Supply'!$A:$D,4)</f>
        <v/>
      </c>
      <c r="C180" s="30">
        <f>(Table2634[[#This Row],[M1 Money Stock, Billions of Dollars, Weekly, Seasonally Adjusted]]-B179)/B179</f>
        <v/>
      </c>
      <c r="D180" s="34">
        <f>((1+Table2634[[#This Row],[Weekly change]])^52)-1</f>
        <v/>
      </c>
      <c r="E180" s="24">
        <f>AVERAGE(B177:B180)</f>
        <v/>
      </c>
      <c r="F180" s="32">
        <f>(Table2634[[#This Row],[4 weeks average]]-B128)/B128</f>
        <v/>
      </c>
    </row>
    <row r="181">
      <c r="A181" s="22" t="n">
        <v>28625</v>
      </c>
      <c r="B181" s="24">
        <f>VLOOKUP(Table2634[[#This Row],[Date]],'DB Money Supply'!$A:$D,4)</f>
        <v/>
      </c>
      <c r="C181" s="30">
        <f>(Table2634[[#This Row],[M1 Money Stock, Billions of Dollars, Weekly, Seasonally Adjusted]]-B180)/B180</f>
        <v/>
      </c>
      <c r="D181" s="34">
        <f>((1+Table2634[[#This Row],[Weekly change]])^52)-1</f>
        <v/>
      </c>
      <c r="E181" s="24">
        <f>AVERAGE(B178:B181)</f>
        <v/>
      </c>
      <c r="F181" s="32">
        <f>(Table2634[[#This Row],[4 weeks average]]-B129)/B129</f>
        <v/>
      </c>
    </row>
    <row r="182">
      <c r="A182" s="22" t="n">
        <v>28632</v>
      </c>
      <c r="B182" s="24">
        <f>VLOOKUP(Table2634[[#This Row],[Date]],'DB Money Supply'!$A:$D,4)</f>
        <v/>
      </c>
      <c r="C182" s="30">
        <f>(Table2634[[#This Row],[M1 Money Stock, Billions of Dollars, Weekly, Seasonally Adjusted]]-B181)/B181</f>
        <v/>
      </c>
      <c r="D182" s="34">
        <f>((1+Table2634[[#This Row],[Weekly change]])^52)-1</f>
        <v/>
      </c>
      <c r="E182" s="24">
        <f>AVERAGE(B179:B182)</f>
        <v/>
      </c>
      <c r="F182" s="32">
        <f>(Table2634[[#This Row],[4 weeks average]]-B130)/B130</f>
        <v/>
      </c>
    </row>
    <row r="183">
      <c r="A183" s="22" t="n">
        <v>28639</v>
      </c>
      <c r="B183" s="24">
        <f>VLOOKUP(Table2634[[#This Row],[Date]],'DB Money Supply'!$A:$D,4)</f>
        <v/>
      </c>
      <c r="C183" s="30">
        <f>(Table2634[[#This Row],[M1 Money Stock, Billions of Dollars, Weekly, Seasonally Adjusted]]-B182)/B182</f>
        <v/>
      </c>
      <c r="D183" s="34">
        <f>((1+Table2634[[#This Row],[Weekly change]])^52)-1</f>
        <v/>
      </c>
      <c r="E183" s="24">
        <f>AVERAGE(B180:B183)</f>
        <v/>
      </c>
      <c r="F183" s="32">
        <f>(Table2634[[#This Row],[4 weeks average]]-B131)/B131</f>
        <v/>
      </c>
    </row>
    <row r="184">
      <c r="A184" s="22" t="n">
        <v>28646</v>
      </c>
      <c r="B184" s="24">
        <f>VLOOKUP(Table2634[[#This Row],[Date]],'DB Money Supply'!$A:$D,4)</f>
        <v/>
      </c>
      <c r="C184" s="30">
        <f>(Table2634[[#This Row],[M1 Money Stock, Billions of Dollars, Weekly, Seasonally Adjusted]]-B183)/B183</f>
        <v/>
      </c>
      <c r="D184" s="34">
        <f>((1+Table2634[[#This Row],[Weekly change]])^52)-1</f>
        <v/>
      </c>
      <c r="E184" s="24">
        <f>AVERAGE(B181:B184)</f>
        <v/>
      </c>
      <c r="F184" s="32">
        <f>(Table2634[[#This Row],[4 weeks average]]-B132)/B132</f>
        <v/>
      </c>
    </row>
    <row r="185">
      <c r="A185" s="22" t="n">
        <v>28653</v>
      </c>
      <c r="B185" s="24">
        <f>VLOOKUP(Table2634[[#This Row],[Date]],'DB Money Supply'!$A:$D,4)</f>
        <v/>
      </c>
      <c r="C185" s="30">
        <f>(Table2634[[#This Row],[M1 Money Stock, Billions of Dollars, Weekly, Seasonally Adjusted]]-B184)/B184</f>
        <v/>
      </c>
      <c r="D185" s="34">
        <f>((1+Table2634[[#This Row],[Weekly change]])^52)-1</f>
        <v/>
      </c>
      <c r="E185" s="24">
        <f>AVERAGE(B182:B185)</f>
        <v/>
      </c>
      <c r="F185" s="32">
        <f>(Table2634[[#This Row],[4 weeks average]]-B133)/B133</f>
        <v/>
      </c>
    </row>
    <row r="186">
      <c r="A186" s="22" t="n">
        <v>28660</v>
      </c>
      <c r="B186" s="24">
        <f>VLOOKUP(Table2634[[#This Row],[Date]],'DB Money Supply'!$A:$D,4)</f>
        <v/>
      </c>
      <c r="C186" s="30">
        <f>(Table2634[[#This Row],[M1 Money Stock, Billions of Dollars, Weekly, Seasonally Adjusted]]-B185)/B185</f>
        <v/>
      </c>
      <c r="D186" s="34">
        <f>((1+Table2634[[#This Row],[Weekly change]])^52)-1</f>
        <v/>
      </c>
      <c r="E186" s="24">
        <f>AVERAGE(B183:B186)</f>
        <v/>
      </c>
      <c r="F186" s="32">
        <f>(Table2634[[#This Row],[4 weeks average]]-B134)/B134</f>
        <v/>
      </c>
    </row>
    <row r="187">
      <c r="A187" s="22" t="n">
        <v>28667</v>
      </c>
      <c r="B187" s="24">
        <f>VLOOKUP(Table2634[[#This Row],[Date]],'DB Money Supply'!$A:$D,4)</f>
        <v/>
      </c>
      <c r="C187" s="30">
        <f>(Table2634[[#This Row],[M1 Money Stock, Billions of Dollars, Weekly, Seasonally Adjusted]]-B186)/B186</f>
        <v/>
      </c>
      <c r="D187" s="34">
        <f>((1+Table2634[[#This Row],[Weekly change]])^52)-1</f>
        <v/>
      </c>
      <c r="E187" s="24">
        <f>AVERAGE(B184:B187)</f>
        <v/>
      </c>
      <c r="F187" s="32">
        <f>(Table2634[[#This Row],[4 weeks average]]-B135)/B135</f>
        <v/>
      </c>
    </row>
    <row r="188">
      <c r="A188" s="22" t="n">
        <v>28674</v>
      </c>
      <c r="B188" s="24">
        <f>VLOOKUP(Table2634[[#This Row],[Date]],'DB Money Supply'!$A:$D,4)</f>
        <v/>
      </c>
      <c r="C188" s="30">
        <f>(Table2634[[#This Row],[M1 Money Stock, Billions of Dollars, Weekly, Seasonally Adjusted]]-B187)/B187</f>
        <v/>
      </c>
      <c r="D188" s="34">
        <f>((1+Table2634[[#This Row],[Weekly change]])^52)-1</f>
        <v/>
      </c>
      <c r="E188" s="24">
        <f>AVERAGE(B185:B188)</f>
        <v/>
      </c>
      <c r="F188" s="32">
        <f>(Table2634[[#This Row],[4 weeks average]]-B136)/B136</f>
        <v/>
      </c>
    </row>
    <row r="189">
      <c r="A189" s="22" t="n">
        <v>28681</v>
      </c>
      <c r="B189" s="24">
        <f>VLOOKUP(Table2634[[#This Row],[Date]],'DB Money Supply'!$A:$D,4)</f>
        <v/>
      </c>
      <c r="C189" s="30">
        <f>(Table2634[[#This Row],[M1 Money Stock, Billions of Dollars, Weekly, Seasonally Adjusted]]-B188)/B188</f>
        <v/>
      </c>
      <c r="D189" s="34">
        <f>((1+Table2634[[#This Row],[Weekly change]])^52)-1</f>
        <v/>
      </c>
      <c r="E189" s="24">
        <f>AVERAGE(B186:B189)</f>
        <v/>
      </c>
      <c r="F189" s="32">
        <f>(Table2634[[#This Row],[4 weeks average]]-B137)/B137</f>
        <v/>
      </c>
    </row>
    <row r="190">
      <c r="A190" s="22" t="n">
        <v>28688</v>
      </c>
      <c r="B190" s="24">
        <f>VLOOKUP(Table2634[[#This Row],[Date]],'DB Money Supply'!$A:$D,4)</f>
        <v/>
      </c>
      <c r="C190" s="30">
        <f>(Table2634[[#This Row],[M1 Money Stock, Billions of Dollars, Weekly, Seasonally Adjusted]]-B189)/B189</f>
        <v/>
      </c>
      <c r="D190" s="34">
        <f>((1+Table2634[[#This Row],[Weekly change]])^52)-1</f>
        <v/>
      </c>
      <c r="E190" s="24">
        <f>AVERAGE(B187:B190)</f>
        <v/>
      </c>
      <c r="F190" s="32">
        <f>(Table2634[[#This Row],[4 weeks average]]-B138)/B138</f>
        <v/>
      </c>
    </row>
    <row r="191">
      <c r="A191" s="22" t="n">
        <v>28695</v>
      </c>
      <c r="B191" s="24">
        <f>VLOOKUP(Table2634[[#This Row],[Date]],'DB Money Supply'!$A:$D,4)</f>
        <v/>
      </c>
      <c r="C191" s="30">
        <f>(Table2634[[#This Row],[M1 Money Stock, Billions of Dollars, Weekly, Seasonally Adjusted]]-B190)/B190</f>
        <v/>
      </c>
      <c r="D191" s="34">
        <f>((1+Table2634[[#This Row],[Weekly change]])^52)-1</f>
        <v/>
      </c>
      <c r="E191" s="24">
        <f>AVERAGE(B188:B191)</f>
        <v/>
      </c>
      <c r="F191" s="32">
        <f>(Table2634[[#This Row],[4 weeks average]]-B139)/B139</f>
        <v/>
      </c>
    </row>
    <row r="192">
      <c r="A192" s="22" t="n">
        <v>28702</v>
      </c>
      <c r="B192" s="24">
        <f>VLOOKUP(Table2634[[#This Row],[Date]],'DB Money Supply'!$A:$D,4)</f>
        <v/>
      </c>
      <c r="C192" s="30">
        <f>(Table2634[[#This Row],[M1 Money Stock, Billions of Dollars, Weekly, Seasonally Adjusted]]-B191)/B191</f>
        <v/>
      </c>
      <c r="D192" s="34">
        <f>((1+Table2634[[#This Row],[Weekly change]])^52)-1</f>
        <v/>
      </c>
      <c r="E192" s="24">
        <f>AVERAGE(B189:B192)</f>
        <v/>
      </c>
      <c r="F192" s="32">
        <f>(Table2634[[#This Row],[4 weeks average]]-B140)/B140</f>
        <v/>
      </c>
    </row>
    <row r="193">
      <c r="A193" s="22" t="n">
        <v>28709</v>
      </c>
      <c r="B193" s="24">
        <f>VLOOKUP(Table2634[[#This Row],[Date]],'DB Money Supply'!$A:$D,4)</f>
        <v/>
      </c>
      <c r="C193" s="30">
        <f>(Table2634[[#This Row],[M1 Money Stock, Billions of Dollars, Weekly, Seasonally Adjusted]]-B192)/B192</f>
        <v/>
      </c>
      <c r="D193" s="34">
        <f>((1+Table2634[[#This Row],[Weekly change]])^52)-1</f>
        <v/>
      </c>
      <c r="E193" s="24">
        <f>AVERAGE(B190:B193)</f>
        <v/>
      </c>
      <c r="F193" s="32">
        <f>(Table2634[[#This Row],[4 weeks average]]-B141)/B141</f>
        <v/>
      </c>
    </row>
    <row r="194">
      <c r="A194" s="22" t="n">
        <v>28716</v>
      </c>
      <c r="B194" s="24">
        <f>VLOOKUP(Table2634[[#This Row],[Date]],'DB Money Supply'!$A:$D,4)</f>
        <v/>
      </c>
      <c r="C194" s="30">
        <f>(Table2634[[#This Row],[M1 Money Stock, Billions of Dollars, Weekly, Seasonally Adjusted]]-B193)/B193</f>
        <v/>
      </c>
      <c r="D194" s="34">
        <f>((1+Table2634[[#This Row],[Weekly change]])^52)-1</f>
        <v/>
      </c>
      <c r="E194" s="24">
        <f>AVERAGE(B191:B194)</f>
        <v/>
      </c>
      <c r="F194" s="32">
        <f>(Table2634[[#This Row],[4 weeks average]]-B142)/B142</f>
        <v/>
      </c>
    </row>
    <row r="195">
      <c r="A195" s="22" t="n">
        <v>28723</v>
      </c>
      <c r="B195" s="24">
        <f>VLOOKUP(Table2634[[#This Row],[Date]],'DB Money Supply'!$A:$D,4)</f>
        <v/>
      </c>
      <c r="C195" s="30">
        <f>(Table2634[[#This Row],[M1 Money Stock, Billions of Dollars, Weekly, Seasonally Adjusted]]-B194)/B194</f>
        <v/>
      </c>
      <c r="D195" s="34">
        <f>((1+Table2634[[#This Row],[Weekly change]])^52)-1</f>
        <v/>
      </c>
      <c r="E195" s="24">
        <f>AVERAGE(B192:B195)</f>
        <v/>
      </c>
      <c r="F195" s="32">
        <f>(Table2634[[#This Row],[4 weeks average]]-B143)/B143</f>
        <v/>
      </c>
    </row>
    <row r="196">
      <c r="A196" s="22" t="n">
        <v>28730</v>
      </c>
      <c r="B196" s="24">
        <f>VLOOKUP(Table2634[[#This Row],[Date]],'DB Money Supply'!$A:$D,4)</f>
        <v/>
      </c>
      <c r="C196" s="30">
        <f>(Table2634[[#This Row],[M1 Money Stock, Billions of Dollars, Weekly, Seasonally Adjusted]]-B195)/B195</f>
        <v/>
      </c>
      <c r="D196" s="34">
        <f>((1+Table2634[[#This Row],[Weekly change]])^52)-1</f>
        <v/>
      </c>
      <c r="E196" s="24">
        <f>AVERAGE(B193:B196)</f>
        <v/>
      </c>
      <c r="F196" s="32">
        <f>(Table2634[[#This Row],[4 weeks average]]-B144)/B144</f>
        <v/>
      </c>
    </row>
    <row r="197">
      <c r="A197" s="22" t="n">
        <v>28737</v>
      </c>
      <c r="B197" s="24">
        <f>VLOOKUP(Table2634[[#This Row],[Date]],'DB Money Supply'!$A:$D,4)</f>
        <v/>
      </c>
      <c r="C197" s="30">
        <f>(Table2634[[#This Row],[M1 Money Stock, Billions of Dollars, Weekly, Seasonally Adjusted]]-B196)/B196</f>
        <v/>
      </c>
      <c r="D197" s="34">
        <f>((1+Table2634[[#This Row],[Weekly change]])^52)-1</f>
        <v/>
      </c>
      <c r="E197" s="24">
        <f>AVERAGE(B194:B197)</f>
        <v/>
      </c>
      <c r="F197" s="32">
        <f>(Table2634[[#This Row],[4 weeks average]]-B145)/B145</f>
        <v/>
      </c>
    </row>
    <row r="198">
      <c r="A198" s="22" t="n">
        <v>28744</v>
      </c>
      <c r="B198" s="24">
        <f>VLOOKUP(Table2634[[#This Row],[Date]],'DB Money Supply'!$A:$D,4)</f>
        <v/>
      </c>
      <c r="C198" s="30">
        <f>(Table2634[[#This Row],[M1 Money Stock, Billions of Dollars, Weekly, Seasonally Adjusted]]-B197)/B197</f>
        <v/>
      </c>
      <c r="D198" s="34">
        <f>((1+Table2634[[#This Row],[Weekly change]])^52)-1</f>
        <v/>
      </c>
      <c r="E198" s="24">
        <f>AVERAGE(B195:B198)</f>
        <v/>
      </c>
      <c r="F198" s="32">
        <f>(Table2634[[#This Row],[4 weeks average]]-B146)/B146</f>
        <v/>
      </c>
    </row>
    <row r="199">
      <c r="A199" s="22" t="n">
        <v>28751</v>
      </c>
      <c r="B199" s="24">
        <f>VLOOKUP(Table2634[[#This Row],[Date]],'DB Money Supply'!$A:$D,4)</f>
        <v/>
      </c>
      <c r="C199" s="30">
        <f>(Table2634[[#This Row],[M1 Money Stock, Billions of Dollars, Weekly, Seasonally Adjusted]]-B198)/B198</f>
        <v/>
      </c>
      <c r="D199" s="34">
        <f>((1+Table2634[[#This Row],[Weekly change]])^52)-1</f>
        <v/>
      </c>
      <c r="E199" s="24">
        <f>AVERAGE(B196:B199)</f>
        <v/>
      </c>
      <c r="F199" s="32">
        <f>(Table2634[[#This Row],[4 weeks average]]-B147)/B147</f>
        <v/>
      </c>
    </row>
    <row r="200">
      <c r="A200" s="22" t="n">
        <v>28758</v>
      </c>
      <c r="B200" s="24">
        <f>VLOOKUP(Table2634[[#This Row],[Date]],'DB Money Supply'!$A:$D,4)</f>
        <v/>
      </c>
      <c r="C200" s="30">
        <f>(Table2634[[#This Row],[M1 Money Stock, Billions of Dollars, Weekly, Seasonally Adjusted]]-B199)/B199</f>
        <v/>
      </c>
      <c r="D200" s="34">
        <f>((1+Table2634[[#This Row],[Weekly change]])^52)-1</f>
        <v/>
      </c>
      <c r="E200" s="24">
        <f>AVERAGE(B197:B200)</f>
        <v/>
      </c>
      <c r="F200" s="32">
        <f>(Table2634[[#This Row],[4 weeks average]]-B148)/B148</f>
        <v/>
      </c>
    </row>
    <row r="201">
      <c r="A201" s="22" t="n">
        <v>28765</v>
      </c>
      <c r="B201" s="24">
        <f>VLOOKUP(Table2634[[#This Row],[Date]],'DB Money Supply'!$A:$D,4)</f>
        <v/>
      </c>
      <c r="C201" s="30">
        <f>(Table2634[[#This Row],[M1 Money Stock, Billions of Dollars, Weekly, Seasonally Adjusted]]-B200)/B200</f>
        <v/>
      </c>
      <c r="D201" s="34">
        <f>((1+Table2634[[#This Row],[Weekly change]])^52)-1</f>
        <v/>
      </c>
      <c r="E201" s="24">
        <f>AVERAGE(B198:B201)</f>
        <v/>
      </c>
      <c r="F201" s="32">
        <f>(Table2634[[#This Row],[4 weeks average]]-B149)/B149</f>
        <v/>
      </c>
    </row>
    <row r="202">
      <c r="A202" s="22" t="n">
        <v>28772</v>
      </c>
      <c r="B202" s="24">
        <f>VLOOKUP(Table2634[[#This Row],[Date]],'DB Money Supply'!$A:$D,4)</f>
        <v/>
      </c>
      <c r="C202" s="30">
        <f>(Table2634[[#This Row],[M1 Money Stock, Billions of Dollars, Weekly, Seasonally Adjusted]]-B201)/B201</f>
        <v/>
      </c>
      <c r="D202" s="34">
        <f>((1+Table2634[[#This Row],[Weekly change]])^52)-1</f>
        <v/>
      </c>
      <c r="E202" s="24">
        <f>AVERAGE(B199:B202)</f>
        <v/>
      </c>
      <c r="F202" s="32">
        <f>(Table2634[[#This Row],[4 weeks average]]-B150)/B150</f>
        <v/>
      </c>
    </row>
    <row r="203">
      <c r="A203" s="22" t="n">
        <v>28779</v>
      </c>
      <c r="B203" s="24">
        <f>VLOOKUP(Table2634[[#This Row],[Date]],'DB Money Supply'!$A:$D,4)</f>
        <v/>
      </c>
      <c r="C203" s="30">
        <f>(Table2634[[#This Row],[M1 Money Stock, Billions of Dollars, Weekly, Seasonally Adjusted]]-B202)/B202</f>
        <v/>
      </c>
      <c r="D203" s="34">
        <f>((1+Table2634[[#This Row],[Weekly change]])^52)-1</f>
        <v/>
      </c>
      <c r="E203" s="24">
        <f>AVERAGE(B200:B203)</f>
        <v/>
      </c>
      <c r="F203" s="32">
        <f>(Table2634[[#This Row],[4 weeks average]]-B151)/B151</f>
        <v/>
      </c>
    </row>
    <row r="204">
      <c r="A204" s="22" t="n">
        <v>28786</v>
      </c>
      <c r="B204" s="24">
        <f>VLOOKUP(Table2634[[#This Row],[Date]],'DB Money Supply'!$A:$D,4)</f>
        <v/>
      </c>
      <c r="C204" s="30">
        <f>(Table2634[[#This Row],[M1 Money Stock, Billions of Dollars, Weekly, Seasonally Adjusted]]-B203)/B203</f>
        <v/>
      </c>
      <c r="D204" s="34">
        <f>((1+Table2634[[#This Row],[Weekly change]])^52)-1</f>
        <v/>
      </c>
      <c r="E204" s="24">
        <f>AVERAGE(B201:B204)</f>
        <v/>
      </c>
      <c r="F204" s="32">
        <f>(Table2634[[#This Row],[4 weeks average]]-B152)/B152</f>
        <v/>
      </c>
    </row>
    <row r="205">
      <c r="A205" s="22" t="n">
        <v>28793</v>
      </c>
      <c r="B205" s="24">
        <f>VLOOKUP(Table2634[[#This Row],[Date]],'DB Money Supply'!$A:$D,4)</f>
        <v/>
      </c>
      <c r="C205" s="30">
        <f>(Table2634[[#This Row],[M1 Money Stock, Billions of Dollars, Weekly, Seasonally Adjusted]]-B204)/B204</f>
        <v/>
      </c>
      <c r="D205" s="34">
        <f>((1+Table2634[[#This Row],[Weekly change]])^52)-1</f>
        <v/>
      </c>
      <c r="E205" s="24">
        <f>AVERAGE(B202:B205)</f>
        <v/>
      </c>
      <c r="F205" s="32">
        <f>(Table2634[[#This Row],[4 weeks average]]-B153)/B153</f>
        <v/>
      </c>
    </row>
    <row r="206">
      <c r="A206" s="22" t="n">
        <v>28800</v>
      </c>
      <c r="B206" s="24">
        <f>VLOOKUP(Table2634[[#This Row],[Date]],'DB Money Supply'!$A:$D,4)</f>
        <v/>
      </c>
      <c r="C206" s="30">
        <f>(Table2634[[#This Row],[M1 Money Stock, Billions of Dollars, Weekly, Seasonally Adjusted]]-B205)/B205</f>
        <v/>
      </c>
      <c r="D206" s="34">
        <f>((1+Table2634[[#This Row],[Weekly change]])^52)-1</f>
        <v/>
      </c>
      <c r="E206" s="24">
        <f>AVERAGE(B203:B206)</f>
        <v/>
      </c>
      <c r="F206" s="32">
        <f>(Table2634[[#This Row],[4 weeks average]]-B154)/B154</f>
        <v/>
      </c>
    </row>
    <row r="207">
      <c r="A207" s="22" t="n">
        <v>28807</v>
      </c>
      <c r="B207" s="24">
        <f>VLOOKUP(Table2634[[#This Row],[Date]],'DB Money Supply'!$A:$D,4)</f>
        <v/>
      </c>
      <c r="C207" s="30">
        <f>(Table2634[[#This Row],[M1 Money Stock, Billions of Dollars, Weekly, Seasonally Adjusted]]-B206)/B206</f>
        <v/>
      </c>
      <c r="D207" s="34">
        <f>((1+Table2634[[#This Row],[Weekly change]])^52)-1</f>
        <v/>
      </c>
      <c r="E207" s="24">
        <f>AVERAGE(B204:B207)</f>
        <v/>
      </c>
      <c r="F207" s="32">
        <f>(Table2634[[#This Row],[4 weeks average]]-B155)/B155</f>
        <v/>
      </c>
    </row>
    <row r="208">
      <c r="A208" s="22" t="n">
        <v>28814</v>
      </c>
      <c r="B208" s="24">
        <f>VLOOKUP(Table2634[[#This Row],[Date]],'DB Money Supply'!$A:$D,4)</f>
        <v/>
      </c>
      <c r="C208" s="30">
        <f>(Table2634[[#This Row],[M1 Money Stock, Billions of Dollars, Weekly, Seasonally Adjusted]]-B207)/B207</f>
        <v/>
      </c>
      <c r="D208" s="34">
        <f>((1+Table2634[[#This Row],[Weekly change]])^52)-1</f>
        <v/>
      </c>
      <c r="E208" s="24">
        <f>AVERAGE(B205:B208)</f>
        <v/>
      </c>
      <c r="F208" s="32">
        <f>(Table2634[[#This Row],[4 weeks average]]-B156)/B156</f>
        <v/>
      </c>
    </row>
    <row r="209">
      <c r="A209" s="22" t="n">
        <v>28821</v>
      </c>
      <c r="B209" s="24">
        <f>VLOOKUP(Table2634[[#This Row],[Date]],'DB Money Supply'!$A:$D,4)</f>
        <v/>
      </c>
      <c r="C209" s="30">
        <f>(Table2634[[#This Row],[M1 Money Stock, Billions of Dollars, Weekly, Seasonally Adjusted]]-B208)/B208</f>
        <v/>
      </c>
      <c r="D209" s="34">
        <f>((1+Table2634[[#This Row],[Weekly change]])^52)-1</f>
        <v/>
      </c>
      <c r="E209" s="24">
        <f>AVERAGE(B206:B209)</f>
        <v/>
      </c>
      <c r="F209" s="32">
        <f>(Table2634[[#This Row],[4 weeks average]]-B157)/B157</f>
        <v/>
      </c>
    </row>
    <row r="210">
      <c r="A210" s="22" t="n">
        <v>28828</v>
      </c>
      <c r="B210" s="24">
        <f>VLOOKUP(Table2634[[#This Row],[Date]],'DB Money Supply'!$A:$D,4)</f>
        <v/>
      </c>
      <c r="C210" s="30">
        <f>(Table2634[[#This Row],[M1 Money Stock, Billions of Dollars, Weekly, Seasonally Adjusted]]-B209)/B209</f>
        <v/>
      </c>
      <c r="D210" s="34">
        <f>((1+Table2634[[#This Row],[Weekly change]])^52)-1</f>
        <v/>
      </c>
      <c r="E210" s="24">
        <f>AVERAGE(B207:B210)</f>
        <v/>
      </c>
      <c r="F210" s="32">
        <f>(Table2634[[#This Row],[4 weeks average]]-B158)/B158</f>
        <v/>
      </c>
    </row>
    <row r="211">
      <c r="A211" s="22" t="n">
        <v>28835</v>
      </c>
      <c r="B211" s="24">
        <f>VLOOKUP(Table2634[[#This Row],[Date]],'DB Money Supply'!$A:$D,4)</f>
        <v/>
      </c>
      <c r="C211" s="30">
        <f>(Table2634[[#This Row],[M1 Money Stock, Billions of Dollars, Weekly, Seasonally Adjusted]]-B210)/B210</f>
        <v/>
      </c>
      <c r="D211" s="34">
        <f>((1+Table2634[[#This Row],[Weekly change]])^52)-1</f>
        <v/>
      </c>
      <c r="E211" s="24">
        <f>AVERAGE(B208:B211)</f>
        <v/>
      </c>
      <c r="F211" s="32">
        <f>(Table2634[[#This Row],[4 weeks average]]-B159)/B159</f>
        <v/>
      </c>
    </row>
    <row r="212">
      <c r="A212" s="22" t="n">
        <v>28842</v>
      </c>
      <c r="B212" s="24">
        <f>VLOOKUP(Table2634[[#This Row],[Date]],'DB Money Supply'!$A:$D,4)</f>
        <v/>
      </c>
      <c r="C212" s="30">
        <f>(Table2634[[#This Row],[M1 Money Stock, Billions of Dollars, Weekly, Seasonally Adjusted]]-B211)/B211</f>
        <v/>
      </c>
      <c r="D212" s="34">
        <f>((1+Table2634[[#This Row],[Weekly change]])^52)-1</f>
        <v/>
      </c>
      <c r="E212" s="24">
        <f>AVERAGE(B209:B212)</f>
        <v/>
      </c>
      <c r="F212" s="32">
        <f>(Table2634[[#This Row],[4 weeks average]]-B160)/B160</f>
        <v/>
      </c>
    </row>
    <row r="213">
      <c r="A213" s="22" t="n">
        <v>28849</v>
      </c>
      <c r="B213" s="24">
        <f>VLOOKUP(Table2634[[#This Row],[Date]],'DB Money Supply'!$A:$D,4)</f>
        <v/>
      </c>
      <c r="C213" s="30">
        <f>(Table2634[[#This Row],[M1 Money Stock, Billions of Dollars, Weekly, Seasonally Adjusted]]-B212)/B212</f>
        <v/>
      </c>
      <c r="D213" s="34">
        <f>((1+Table2634[[#This Row],[Weekly change]])^52)-1</f>
        <v/>
      </c>
      <c r="E213" s="24">
        <f>AVERAGE(B210:B213)</f>
        <v/>
      </c>
      <c r="F213" s="32">
        <f>(Table2634[[#This Row],[4 weeks average]]-B161)/B161</f>
        <v/>
      </c>
    </row>
    <row r="214">
      <c r="A214" s="22" t="n">
        <v>28856</v>
      </c>
      <c r="B214" s="24">
        <f>VLOOKUP(Table2634[[#This Row],[Date]],'DB Money Supply'!$A:$D,4)</f>
        <v/>
      </c>
      <c r="C214" s="30">
        <f>(Table2634[[#This Row],[M1 Money Stock, Billions of Dollars, Weekly, Seasonally Adjusted]]-B213)/B213</f>
        <v/>
      </c>
      <c r="D214" s="34">
        <f>((1+Table2634[[#This Row],[Weekly change]])^52)-1</f>
        <v/>
      </c>
      <c r="E214" s="24">
        <f>AVERAGE(B211:B214)</f>
        <v/>
      </c>
      <c r="F214" s="32">
        <f>(Table2634[[#This Row],[4 weeks average]]-B162)/B162</f>
        <v/>
      </c>
    </row>
    <row r="215">
      <c r="A215" s="22" t="n">
        <v>28863</v>
      </c>
      <c r="B215" s="24">
        <f>VLOOKUP(Table2634[[#This Row],[Date]],'DB Money Supply'!$A:$D,4)</f>
        <v/>
      </c>
      <c r="C215" s="30">
        <f>(Table2634[[#This Row],[M1 Money Stock, Billions of Dollars, Weekly, Seasonally Adjusted]]-B214)/B214</f>
        <v/>
      </c>
      <c r="D215" s="34">
        <f>((1+Table2634[[#This Row],[Weekly change]])^52)-1</f>
        <v/>
      </c>
      <c r="E215" s="24">
        <f>AVERAGE(B212:B215)</f>
        <v/>
      </c>
      <c r="F215" s="32">
        <f>(Table2634[[#This Row],[4 weeks average]]-B163)/B163</f>
        <v/>
      </c>
    </row>
    <row r="216">
      <c r="A216" s="22" t="n">
        <v>28870</v>
      </c>
      <c r="B216" s="24">
        <f>VLOOKUP(Table2634[[#This Row],[Date]],'DB Money Supply'!$A:$D,4)</f>
        <v/>
      </c>
      <c r="C216" s="30">
        <f>(Table2634[[#This Row],[M1 Money Stock, Billions of Dollars, Weekly, Seasonally Adjusted]]-B215)/B215</f>
        <v/>
      </c>
      <c r="D216" s="34">
        <f>((1+Table2634[[#This Row],[Weekly change]])^52)-1</f>
        <v/>
      </c>
      <c r="E216" s="24">
        <f>AVERAGE(B213:B216)</f>
        <v/>
      </c>
      <c r="F216" s="32">
        <f>(Table2634[[#This Row],[4 weeks average]]-B164)/B164</f>
        <v/>
      </c>
    </row>
    <row r="217">
      <c r="A217" s="22" t="n">
        <v>28877</v>
      </c>
      <c r="B217" s="24">
        <f>VLOOKUP(Table2634[[#This Row],[Date]],'DB Money Supply'!$A:$D,4)</f>
        <v/>
      </c>
      <c r="C217" s="30">
        <f>(Table2634[[#This Row],[M1 Money Stock, Billions of Dollars, Weekly, Seasonally Adjusted]]-B216)/B216</f>
        <v/>
      </c>
      <c r="D217" s="34">
        <f>((1+Table2634[[#This Row],[Weekly change]])^52)-1</f>
        <v/>
      </c>
      <c r="E217" s="24">
        <f>AVERAGE(B214:B217)</f>
        <v/>
      </c>
      <c r="F217" s="32">
        <f>(Table2634[[#This Row],[4 weeks average]]-B165)/B165</f>
        <v/>
      </c>
    </row>
    <row r="218">
      <c r="A218" s="22" t="n">
        <v>28884</v>
      </c>
      <c r="B218" s="24">
        <f>VLOOKUP(Table2634[[#This Row],[Date]],'DB Money Supply'!$A:$D,4)</f>
        <v/>
      </c>
      <c r="C218" s="30">
        <f>(Table2634[[#This Row],[M1 Money Stock, Billions of Dollars, Weekly, Seasonally Adjusted]]-B217)/B217</f>
        <v/>
      </c>
      <c r="D218" s="34">
        <f>((1+Table2634[[#This Row],[Weekly change]])^52)-1</f>
        <v/>
      </c>
      <c r="E218" s="24">
        <f>AVERAGE(B215:B218)</f>
        <v/>
      </c>
      <c r="F218" s="32">
        <f>(Table2634[[#This Row],[4 weeks average]]-B166)/B166</f>
        <v/>
      </c>
    </row>
    <row r="219">
      <c r="A219" s="22" t="n">
        <v>28891</v>
      </c>
      <c r="B219" s="24">
        <f>VLOOKUP(Table2634[[#This Row],[Date]],'DB Money Supply'!$A:$D,4)</f>
        <v/>
      </c>
      <c r="C219" s="30">
        <f>(Table2634[[#This Row],[M1 Money Stock, Billions of Dollars, Weekly, Seasonally Adjusted]]-B218)/B218</f>
        <v/>
      </c>
      <c r="D219" s="34">
        <f>((1+Table2634[[#This Row],[Weekly change]])^52)-1</f>
        <v/>
      </c>
      <c r="E219" s="24">
        <f>AVERAGE(B216:B219)</f>
        <v/>
      </c>
      <c r="F219" s="32">
        <f>(Table2634[[#This Row],[4 weeks average]]-B167)/B167</f>
        <v/>
      </c>
    </row>
    <row r="220">
      <c r="A220" s="22" t="n">
        <v>28898</v>
      </c>
      <c r="B220" s="24">
        <f>VLOOKUP(Table2634[[#This Row],[Date]],'DB Money Supply'!$A:$D,4)</f>
        <v/>
      </c>
      <c r="C220" s="30">
        <f>(Table2634[[#This Row],[M1 Money Stock, Billions of Dollars, Weekly, Seasonally Adjusted]]-B219)/B219</f>
        <v/>
      </c>
      <c r="D220" s="34">
        <f>((1+Table2634[[#This Row],[Weekly change]])^52)-1</f>
        <v/>
      </c>
      <c r="E220" s="24">
        <f>AVERAGE(B217:B220)</f>
        <v/>
      </c>
      <c r="F220" s="32">
        <f>(Table2634[[#This Row],[4 weeks average]]-B168)/B168</f>
        <v/>
      </c>
    </row>
    <row r="221">
      <c r="A221" s="22" t="n">
        <v>28905</v>
      </c>
      <c r="B221" s="24">
        <f>VLOOKUP(Table2634[[#This Row],[Date]],'DB Money Supply'!$A:$D,4)</f>
        <v/>
      </c>
      <c r="C221" s="30">
        <f>(Table2634[[#This Row],[M1 Money Stock, Billions of Dollars, Weekly, Seasonally Adjusted]]-B220)/B220</f>
        <v/>
      </c>
      <c r="D221" s="34">
        <f>((1+Table2634[[#This Row],[Weekly change]])^52)-1</f>
        <v/>
      </c>
      <c r="E221" s="24">
        <f>AVERAGE(B218:B221)</f>
        <v/>
      </c>
      <c r="F221" s="32">
        <f>(Table2634[[#This Row],[4 weeks average]]-B169)/B169</f>
        <v/>
      </c>
    </row>
    <row r="222">
      <c r="A222" s="22" t="n">
        <v>28912</v>
      </c>
      <c r="B222" s="24">
        <f>VLOOKUP(Table2634[[#This Row],[Date]],'DB Money Supply'!$A:$D,4)</f>
        <v/>
      </c>
      <c r="C222" s="30">
        <f>(Table2634[[#This Row],[M1 Money Stock, Billions of Dollars, Weekly, Seasonally Adjusted]]-B221)/B221</f>
        <v/>
      </c>
      <c r="D222" s="34">
        <f>((1+Table2634[[#This Row],[Weekly change]])^52)-1</f>
        <v/>
      </c>
      <c r="E222" s="24">
        <f>AVERAGE(B219:B222)</f>
        <v/>
      </c>
      <c r="F222" s="32">
        <f>(Table2634[[#This Row],[4 weeks average]]-B170)/B170</f>
        <v/>
      </c>
    </row>
    <row r="223">
      <c r="A223" s="22" t="n">
        <v>28919</v>
      </c>
      <c r="B223" s="24">
        <f>VLOOKUP(Table2634[[#This Row],[Date]],'DB Money Supply'!$A:$D,4)</f>
        <v/>
      </c>
      <c r="C223" s="30">
        <f>(Table2634[[#This Row],[M1 Money Stock, Billions of Dollars, Weekly, Seasonally Adjusted]]-B222)/B222</f>
        <v/>
      </c>
      <c r="D223" s="34">
        <f>((1+Table2634[[#This Row],[Weekly change]])^52)-1</f>
        <v/>
      </c>
      <c r="E223" s="24">
        <f>AVERAGE(B220:B223)</f>
        <v/>
      </c>
      <c r="F223" s="32">
        <f>(Table2634[[#This Row],[4 weeks average]]-B171)/B171</f>
        <v/>
      </c>
    </row>
    <row r="224">
      <c r="A224" s="22" t="n">
        <v>28926</v>
      </c>
      <c r="B224" s="24">
        <f>VLOOKUP(Table2634[[#This Row],[Date]],'DB Money Supply'!$A:$D,4)</f>
        <v/>
      </c>
      <c r="C224" s="30">
        <f>(Table2634[[#This Row],[M1 Money Stock, Billions of Dollars, Weekly, Seasonally Adjusted]]-B223)/B223</f>
        <v/>
      </c>
      <c r="D224" s="34">
        <f>((1+Table2634[[#This Row],[Weekly change]])^52)-1</f>
        <v/>
      </c>
      <c r="E224" s="24">
        <f>AVERAGE(B221:B224)</f>
        <v/>
      </c>
      <c r="F224" s="32">
        <f>(Table2634[[#This Row],[4 weeks average]]-B172)/B172</f>
        <v/>
      </c>
    </row>
    <row r="225">
      <c r="A225" s="22" t="n">
        <v>28933</v>
      </c>
      <c r="B225" s="24">
        <f>VLOOKUP(Table2634[[#This Row],[Date]],'DB Money Supply'!$A:$D,4)</f>
        <v/>
      </c>
      <c r="C225" s="30">
        <f>(Table2634[[#This Row],[M1 Money Stock, Billions of Dollars, Weekly, Seasonally Adjusted]]-B224)/B224</f>
        <v/>
      </c>
      <c r="D225" s="34">
        <f>((1+Table2634[[#This Row],[Weekly change]])^52)-1</f>
        <v/>
      </c>
      <c r="E225" s="24">
        <f>AVERAGE(B222:B225)</f>
        <v/>
      </c>
      <c r="F225" s="32">
        <f>(Table2634[[#This Row],[4 weeks average]]-B173)/B173</f>
        <v/>
      </c>
    </row>
    <row r="226">
      <c r="A226" s="22" t="n">
        <v>28940</v>
      </c>
      <c r="B226" s="24">
        <f>VLOOKUP(Table2634[[#This Row],[Date]],'DB Money Supply'!$A:$D,4)</f>
        <v/>
      </c>
      <c r="C226" s="30">
        <f>(Table2634[[#This Row],[M1 Money Stock, Billions of Dollars, Weekly, Seasonally Adjusted]]-B225)/B225</f>
        <v/>
      </c>
      <c r="D226" s="34">
        <f>((1+Table2634[[#This Row],[Weekly change]])^52)-1</f>
        <v/>
      </c>
      <c r="E226" s="24">
        <f>AVERAGE(B223:B226)</f>
        <v/>
      </c>
      <c r="F226" s="32">
        <f>(Table2634[[#This Row],[4 weeks average]]-B174)/B174</f>
        <v/>
      </c>
    </row>
    <row r="227">
      <c r="A227" s="22" t="n">
        <v>28947</v>
      </c>
      <c r="B227" s="24">
        <f>VLOOKUP(Table2634[[#This Row],[Date]],'DB Money Supply'!$A:$D,4)</f>
        <v/>
      </c>
      <c r="C227" s="30">
        <f>(Table2634[[#This Row],[M1 Money Stock, Billions of Dollars, Weekly, Seasonally Adjusted]]-B226)/B226</f>
        <v/>
      </c>
      <c r="D227" s="34">
        <f>((1+Table2634[[#This Row],[Weekly change]])^52)-1</f>
        <v/>
      </c>
      <c r="E227" s="24">
        <f>AVERAGE(B224:B227)</f>
        <v/>
      </c>
      <c r="F227" s="32">
        <f>(Table2634[[#This Row],[4 weeks average]]-B175)/B175</f>
        <v/>
      </c>
    </row>
    <row r="228">
      <c r="A228" s="22" t="n">
        <v>28954</v>
      </c>
      <c r="B228" s="24">
        <f>VLOOKUP(Table2634[[#This Row],[Date]],'DB Money Supply'!$A:$D,4)</f>
        <v/>
      </c>
      <c r="C228" s="30">
        <f>(Table2634[[#This Row],[M1 Money Stock, Billions of Dollars, Weekly, Seasonally Adjusted]]-B227)/B227</f>
        <v/>
      </c>
      <c r="D228" s="34">
        <f>((1+Table2634[[#This Row],[Weekly change]])^52)-1</f>
        <v/>
      </c>
      <c r="E228" s="24">
        <f>AVERAGE(B225:B228)</f>
        <v/>
      </c>
      <c r="F228" s="32">
        <f>(Table2634[[#This Row],[4 weeks average]]-B176)/B176</f>
        <v/>
      </c>
    </row>
    <row r="229">
      <c r="A229" s="22" t="n">
        <v>28961</v>
      </c>
      <c r="B229" s="24">
        <f>VLOOKUP(Table2634[[#This Row],[Date]],'DB Money Supply'!$A:$D,4)</f>
        <v/>
      </c>
      <c r="C229" s="30">
        <f>(Table2634[[#This Row],[M1 Money Stock, Billions of Dollars, Weekly, Seasonally Adjusted]]-B228)/B228</f>
        <v/>
      </c>
      <c r="D229" s="34">
        <f>((1+Table2634[[#This Row],[Weekly change]])^52)-1</f>
        <v/>
      </c>
      <c r="E229" s="24">
        <f>AVERAGE(B226:B229)</f>
        <v/>
      </c>
      <c r="F229" s="32">
        <f>(Table2634[[#This Row],[4 weeks average]]-B177)/B177</f>
        <v/>
      </c>
    </row>
    <row r="230">
      <c r="A230" s="22" t="n">
        <v>28968</v>
      </c>
      <c r="B230" s="24">
        <f>VLOOKUP(Table2634[[#This Row],[Date]],'DB Money Supply'!$A:$D,4)</f>
        <v/>
      </c>
      <c r="C230" s="30">
        <f>(Table2634[[#This Row],[M1 Money Stock, Billions of Dollars, Weekly, Seasonally Adjusted]]-B229)/B229</f>
        <v/>
      </c>
      <c r="D230" s="34">
        <f>((1+Table2634[[#This Row],[Weekly change]])^52)-1</f>
        <v/>
      </c>
      <c r="E230" s="24">
        <f>AVERAGE(B227:B230)</f>
        <v/>
      </c>
      <c r="F230" s="32">
        <f>(Table2634[[#This Row],[4 weeks average]]-B178)/B178</f>
        <v/>
      </c>
    </row>
    <row r="231">
      <c r="A231" s="22" t="n">
        <v>28975</v>
      </c>
      <c r="B231" s="24">
        <f>VLOOKUP(Table2634[[#This Row],[Date]],'DB Money Supply'!$A:$D,4)</f>
        <v/>
      </c>
      <c r="C231" s="30">
        <f>(Table2634[[#This Row],[M1 Money Stock, Billions of Dollars, Weekly, Seasonally Adjusted]]-B230)/B230</f>
        <v/>
      </c>
      <c r="D231" s="34">
        <f>((1+Table2634[[#This Row],[Weekly change]])^52)-1</f>
        <v/>
      </c>
      <c r="E231" s="24">
        <f>AVERAGE(B228:B231)</f>
        <v/>
      </c>
      <c r="F231" s="32">
        <f>(Table2634[[#This Row],[4 weeks average]]-B179)/B179</f>
        <v/>
      </c>
    </row>
    <row r="232">
      <c r="A232" s="22" t="n">
        <v>28982</v>
      </c>
      <c r="B232" s="24">
        <f>VLOOKUP(Table2634[[#This Row],[Date]],'DB Money Supply'!$A:$D,4)</f>
        <v/>
      </c>
      <c r="C232" s="30">
        <f>(Table2634[[#This Row],[M1 Money Stock, Billions of Dollars, Weekly, Seasonally Adjusted]]-B231)/B231</f>
        <v/>
      </c>
      <c r="D232" s="34">
        <f>((1+Table2634[[#This Row],[Weekly change]])^52)-1</f>
        <v/>
      </c>
      <c r="E232" s="24">
        <f>AVERAGE(B229:B232)</f>
        <v/>
      </c>
      <c r="F232" s="32">
        <f>(Table2634[[#This Row],[4 weeks average]]-B180)/B180</f>
        <v/>
      </c>
    </row>
    <row r="233">
      <c r="A233" s="22" t="n">
        <v>28989</v>
      </c>
      <c r="B233" s="24">
        <f>VLOOKUP(Table2634[[#This Row],[Date]],'DB Money Supply'!$A:$D,4)</f>
        <v/>
      </c>
      <c r="C233" s="30">
        <f>(Table2634[[#This Row],[M1 Money Stock, Billions of Dollars, Weekly, Seasonally Adjusted]]-B232)/B232</f>
        <v/>
      </c>
      <c r="D233" s="34">
        <f>((1+Table2634[[#This Row],[Weekly change]])^52)-1</f>
        <v/>
      </c>
      <c r="E233" s="24">
        <f>AVERAGE(B230:B233)</f>
        <v/>
      </c>
      <c r="F233" s="32">
        <f>(Table2634[[#This Row],[4 weeks average]]-B181)/B181</f>
        <v/>
      </c>
    </row>
    <row r="234">
      <c r="A234" s="22" t="n">
        <v>28996</v>
      </c>
      <c r="B234" s="24">
        <f>VLOOKUP(Table2634[[#This Row],[Date]],'DB Money Supply'!$A:$D,4)</f>
        <v/>
      </c>
      <c r="C234" s="30">
        <f>(Table2634[[#This Row],[M1 Money Stock, Billions of Dollars, Weekly, Seasonally Adjusted]]-B233)/B233</f>
        <v/>
      </c>
      <c r="D234" s="34">
        <f>((1+Table2634[[#This Row],[Weekly change]])^52)-1</f>
        <v/>
      </c>
      <c r="E234" s="24">
        <f>AVERAGE(B231:B234)</f>
        <v/>
      </c>
      <c r="F234" s="32">
        <f>(Table2634[[#This Row],[4 weeks average]]-B182)/B182</f>
        <v/>
      </c>
    </row>
    <row r="235">
      <c r="A235" s="22" t="n">
        <v>29003</v>
      </c>
      <c r="B235" s="24">
        <f>VLOOKUP(Table2634[[#This Row],[Date]],'DB Money Supply'!$A:$D,4)</f>
        <v/>
      </c>
      <c r="C235" s="30">
        <f>(Table2634[[#This Row],[M1 Money Stock, Billions of Dollars, Weekly, Seasonally Adjusted]]-B234)/B234</f>
        <v/>
      </c>
      <c r="D235" s="34">
        <f>((1+Table2634[[#This Row],[Weekly change]])^52)-1</f>
        <v/>
      </c>
      <c r="E235" s="24">
        <f>AVERAGE(B232:B235)</f>
        <v/>
      </c>
      <c r="F235" s="32">
        <f>(Table2634[[#This Row],[4 weeks average]]-B183)/B183</f>
        <v/>
      </c>
    </row>
    <row r="236">
      <c r="A236" s="22" t="n">
        <v>29010</v>
      </c>
      <c r="B236" s="24">
        <f>VLOOKUP(Table2634[[#This Row],[Date]],'DB Money Supply'!$A:$D,4)</f>
        <v/>
      </c>
      <c r="C236" s="30">
        <f>(Table2634[[#This Row],[M1 Money Stock, Billions of Dollars, Weekly, Seasonally Adjusted]]-B235)/B235</f>
        <v/>
      </c>
      <c r="D236" s="34">
        <f>((1+Table2634[[#This Row],[Weekly change]])^52)-1</f>
        <v/>
      </c>
      <c r="E236" s="24">
        <f>AVERAGE(B233:B236)</f>
        <v/>
      </c>
      <c r="F236" s="32">
        <f>(Table2634[[#This Row],[4 weeks average]]-B184)/B184</f>
        <v/>
      </c>
    </row>
    <row r="237">
      <c r="A237" s="22" t="n">
        <v>29017</v>
      </c>
      <c r="B237" s="24">
        <f>VLOOKUP(Table2634[[#This Row],[Date]],'DB Money Supply'!$A:$D,4)</f>
        <v/>
      </c>
      <c r="C237" s="30">
        <f>(Table2634[[#This Row],[M1 Money Stock, Billions of Dollars, Weekly, Seasonally Adjusted]]-B236)/B236</f>
        <v/>
      </c>
      <c r="D237" s="34">
        <f>((1+Table2634[[#This Row],[Weekly change]])^52)-1</f>
        <v/>
      </c>
      <c r="E237" s="24">
        <f>AVERAGE(B234:B237)</f>
        <v/>
      </c>
      <c r="F237" s="32">
        <f>(Table2634[[#This Row],[4 weeks average]]-B185)/B185</f>
        <v/>
      </c>
    </row>
    <row r="238">
      <c r="A238" s="22" t="n">
        <v>29024</v>
      </c>
      <c r="B238" s="24">
        <f>VLOOKUP(Table2634[[#This Row],[Date]],'DB Money Supply'!$A:$D,4)</f>
        <v/>
      </c>
      <c r="C238" s="30">
        <f>(Table2634[[#This Row],[M1 Money Stock, Billions of Dollars, Weekly, Seasonally Adjusted]]-B237)/B237</f>
        <v/>
      </c>
      <c r="D238" s="34">
        <f>((1+Table2634[[#This Row],[Weekly change]])^52)-1</f>
        <v/>
      </c>
      <c r="E238" s="24">
        <f>AVERAGE(B235:B238)</f>
        <v/>
      </c>
      <c r="F238" s="32">
        <f>(Table2634[[#This Row],[4 weeks average]]-B186)/B186</f>
        <v/>
      </c>
    </row>
    <row r="239">
      <c r="A239" s="22" t="n">
        <v>29031</v>
      </c>
      <c r="B239" s="24">
        <f>VLOOKUP(Table2634[[#This Row],[Date]],'DB Money Supply'!$A:$D,4)</f>
        <v/>
      </c>
      <c r="C239" s="30">
        <f>(Table2634[[#This Row],[M1 Money Stock, Billions of Dollars, Weekly, Seasonally Adjusted]]-B238)/B238</f>
        <v/>
      </c>
      <c r="D239" s="34">
        <f>((1+Table2634[[#This Row],[Weekly change]])^52)-1</f>
        <v/>
      </c>
      <c r="E239" s="24">
        <f>AVERAGE(B236:B239)</f>
        <v/>
      </c>
      <c r="F239" s="32">
        <f>(Table2634[[#This Row],[4 weeks average]]-B187)/B187</f>
        <v/>
      </c>
    </row>
    <row r="240">
      <c r="A240" s="22" t="n">
        <v>29038</v>
      </c>
      <c r="B240" s="24">
        <f>VLOOKUP(Table2634[[#This Row],[Date]],'DB Money Supply'!$A:$D,4)</f>
        <v/>
      </c>
      <c r="C240" s="30">
        <f>(Table2634[[#This Row],[M1 Money Stock, Billions of Dollars, Weekly, Seasonally Adjusted]]-B239)/B239</f>
        <v/>
      </c>
      <c r="D240" s="34">
        <f>((1+Table2634[[#This Row],[Weekly change]])^52)-1</f>
        <v/>
      </c>
      <c r="E240" s="24">
        <f>AVERAGE(B237:B240)</f>
        <v/>
      </c>
      <c r="F240" s="32">
        <f>(Table2634[[#This Row],[4 weeks average]]-B188)/B188</f>
        <v/>
      </c>
    </row>
    <row r="241">
      <c r="A241" s="22" t="n">
        <v>29045</v>
      </c>
      <c r="B241" s="24">
        <f>VLOOKUP(Table2634[[#This Row],[Date]],'DB Money Supply'!$A:$D,4)</f>
        <v/>
      </c>
      <c r="C241" s="30">
        <f>(Table2634[[#This Row],[M1 Money Stock, Billions of Dollars, Weekly, Seasonally Adjusted]]-B240)/B240</f>
        <v/>
      </c>
      <c r="D241" s="34">
        <f>((1+Table2634[[#This Row],[Weekly change]])^52)-1</f>
        <v/>
      </c>
      <c r="E241" s="24">
        <f>AVERAGE(B238:B241)</f>
        <v/>
      </c>
      <c r="F241" s="32">
        <f>(Table2634[[#This Row],[4 weeks average]]-B189)/B189</f>
        <v/>
      </c>
    </row>
    <row r="242">
      <c r="A242" s="22" t="n">
        <v>29052</v>
      </c>
      <c r="B242" s="24">
        <f>VLOOKUP(Table2634[[#This Row],[Date]],'DB Money Supply'!$A:$D,4)</f>
        <v/>
      </c>
      <c r="C242" s="30">
        <f>(Table2634[[#This Row],[M1 Money Stock, Billions of Dollars, Weekly, Seasonally Adjusted]]-B241)/B241</f>
        <v/>
      </c>
      <c r="D242" s="34">
        <f>((1+Table2634[[#This Row],[Weekly change]])^52)-1</f>
        <v/>
      </c>
      <c r="E242" s="24">
        <f>AVERAGE(B239:B242)</f>
        <v/>
      </c>
      <c r="F242" s="32">
        <f>(Table2634[[#This Row],[4 weeks average]]-B190)/B190</f>
        <v/>
      </c>
    </row>
    <row r="243">
      <c r="A243" s="22" t="n">
        <v>29059</v>
      </c>
      <c r="B243" s="24">
        <f>VLOOKUP(Table2634[[#This Row],[Date]],'DB Money Supply'!$A:$D,4)</f>
        <v/>
      </c>
      <c r="C243" s="30">
        <f>(Table2634[[#This Row],[M1 Money Stock, Billions of Dollars, Weekly, Seasonally Adjusted]]-B242)/B242</f>
        <v/>
      </c>
      <c r="D243" s="34">
        <f>((1+Table2634[[#This Row],[Weekly change]])^52)-1</f>
        <v/>
      </c>
      <c r="E243" s="24">
        <f>AVERAGE(B240:B243)</f>
        <v/>
      </c>
      <c r="F243" s="32">
        <f>(Table2634[[#This Row],[4 weeks average]]-B191)/B191</f>
        <v/>
      </c>
    </row>
    <row r="244">
      <c r="A244" s="22" t="n">
        <v>29066</v>
      </c>
      <c r="B244" s="24">
        <f>VLOOKUP(Table2634[[#This Row],[Date]],'DB Money Supply'!$A:$D,4)</f>
        <v/>
      </c>
      <c r="C244" s="30">
        <f>(Table2634[[#This Row],[M1 Money Stock, Billions of Dollars, Weekly, Seasonally Adjusted]]-B243)/B243</f>
        <v/>
      </c>
      <c r="D244" s="34">
        <f>((1+Table2634[[#This Row],[Weekly change]])^52)-1</f>
        <v/>
      </c>
      <c r="E244" s="24">
        <f>AVERAGE(B241:B244)</f>
        <v/>
      </c>
      <c r="F244" s="32">
        <f>(Table2634[[#This Row],[4 weeks average]]-B192)/B192</f>
        <v/>
      </c>
    </row>
    <row r="245">
      <c r="A245" s="22" t="n">
        <v>29073</v>
      </c>
      <c r="B245" s="24">
        <f>VLOOKUP(Table2634[[#This Row],[Date]],'DB Money Supply'!$A:$D,4)</f>
        <v/>
      </c>
      <c r="C245" s="30">
        <f>(Table2634[[#This Row],[M1 Money Stock, Billions of Dollars, Weekly, Seasonally Adjusted]]-B244)/B244</f>
        <v/>
      </c>
      <c r="D245" s="34">
        <f>((1+Table2634[[#This Row],[Weekly change]])^52)-1</f>
        <v/>
      </c>
      <c r="E245" s="24">
        <f>AVERAGE(B242:B245)</f>
        <v/>
      </c>
      <c r="F245" s="32">
        <f>(Table2634[[#This Row],[4 weeks average]]-B193)/B193</f>
        <v/>
      </c>
    </row>
    <row r="246">
      <c r="A246" s="22" t="n">
        <v>29080</v>
      </c>
      <c r="B246" s="24">
        <f>VLOOKUP(Table2634[[#This Row],[Date]],'DB Money Supply'!$A:$D,4)</f>
        <v/>
      </c>
      <c r="C246" s="30">
        <f>(Table2634[[#This Row],[M1 Money Stock, Billions of Dollars, Weekly, Seasonally Adjusted]]-B245)/B245</f>
        <v/>
      </c>
      <c r="D246" s="34">
        <f>((1+Table2634[[#This Row],[Weekly change]])^52)-1</f>
        <v/>
      </c>
      <c r="E246" s="24">
        <f>AVERAGE(B243:B246)</f>
        <v/>
      </c>
      <c r="F246" s="32">
        <f>(Table2634[[#This Row],[4 weeks average]]-B194)/B194</f>
        <v/>
      </c>
    </row>
    <row r="247">
      <c r="A247" s="22" t="n">
        <v>29087</v>
      </c>
      <c r="B247" s="24">
        <f>VLOOKUP(Table2634[[#This Row],[Date]],'DB Money Supply'!$A:$D,4)</f>
        <v/>
      </c>
      <c r="C247" s="30">
        <f>(Table2634[[#This Row],[M1 Money Stock, Billions of Dollars, Weekly, Seasonally Adjusted]]-B246)/B246</f>
        <v/>
      </c>
      <c r="D247" s="34">
        <f>((1+Table2634[[#This Row],[Weekly change]])^52)-1</f>
        <v/>
      </c>
      <c r="E247" s="24">
        <f>AVERAGE(B244:B247)</f>
        <v/>
      </c>
      <c r="F247" s="32">
        <f>(Table2634[[#This Row],[4 weeks average]]-B195)/B195</f>
        <v/>
      </c>
    </row>
    <row r="248">
      <c r="A248" s="22" t="n">
        <v>29094</v>
      </c>
      <c r="B248" s="24">
        <f>VLOOKUP(Table2634[[#This Row],[Date]],'DB Money Supply'!$A:$D,4)</f>
        <v/>
      </c>
      <c r="C248" s="30">
        <f>(Table2634[[#This Row],[M1 Money Stock, Billions of Dollars, Weekly, Seasonally Adjusted]]-B247)/B247</f>
        <v/>
      </c>
      <c r="D248" s="34">
        <f>((1+Table2634[[#This Row],[Weekly change]])^52)-1</f>
        <v/>
      </c>
      <c r="E248" s="24">
        <f>AVERAGE(B245:B248)</f>
        <v/>
      </c>
      <c r="F248" s="32">
        <f>(Table2634[[#This Row],[4 weeks average]]-B196)/B196</f>
        <v/>
      </c>
    </row>
    <row r="249">
      <c r="A249" s="22" t="n">
        <v>29101</v>
      </c>
      <c r="B249" s="24">
        <f>VLOOKUP(Table2634[[#This Row],[Date]],'DB Money Supply'!$A:$D,4)</f>
        <v/>
      </c>
      <c r="C249" s="30">
        <f>(Table2634[[#This Row],[M1 Money Stock, Billions of Dollars, Weekly, Seasonally Adjusted]]-B248)/B248</f>
        <v/>
      </c>
      <c r="D249" s="34">
        <f>((1+Table2634[[#This Row],[Weekly change]])^52)-1</f>
        <v/>
      </c>
      <c r="E249" s="24">
        <f>AVERAGE(B246:B249)</f>
        <v/>
      </c>
      <c r="F249" s="32">
        <f>(Table2634[[#This Row],[4 weeks average]]-B197)/B197</f>
        <v/>
      </c>
    </row>
    <row r="250">
      <c r="A250" s="22" t="n">
        <v>29108</v>
      </c>
      <c r="B250" s="24">
        <f>VLOOKUP(Table2634[[#This Row],[Date]],'DB Money Supply'!$A:$D,4)</f>
        <v/>
      </c>
      <c r="C250" s="30">
        <f>(Table2634[[#This Row],[M1 Money Stock, Billions of Dollars, Weekly, Seasonally Adjusted]]-B249)/B249</f>
        <v/>
      </c>
      <c r="D250" s="34">
        <f>((1+Table2634[[#This Row],[Weekly change]])^52)-1</f>
        <v/>
      </c>
      <c r="E250" s="24">
        <f>AVERAGE(B247:B250)</f>
        <v/>
      </c>
      <c r="F250" s="32">
        <f>(Table2634[[#This Row],[4 weeks average]]-B198)/B198</f>
        <v/>
      </c>
    </row>
    <row r="251">
      <c r="A251" s="22" t="n">
        <v>29115</v>
      </c>
      <c r="B251" s="24">
        <f>VLOOKUP(Table2634[[#This Row],[Date]],'DB Money Supply'!$A:$D,4)</f>
        <v/>
      </c>
      <c r="C251" s="30">
        <f>(Table2634[[#This Row],[M1 Money Stock, Billions of Dollars, Weekly, Seasonally Adjusted]]-B250)/B250</f>
        <v/>
      </c>
      <c r="D251" s="34">
        <f>((1+Table2634[[#This Row],[Weekly change]])^52)-1</f>
        <v/>
      </c>
      <c r="E251" s="24">
        <f>AVERAGE(B248:B251)</f>
        <v/>
      </c>
      <c r="F251" s="32">
        <f>(Table2634[[#This Row],[4 weeks average]]-B199)/B199</f>
        <v/>
      </c>
    </row>
    <row r="252">
      <c r="A252" s="22" t="n">
        <v>29122</v>
      </c>
      <c r="B252" s="24">
        <f>VLOOKUP(Table2634[[#This Row],[Date]],'DB Money Supply'!$A:$D,4)</f>
        <v/>
      </c>
      <c r="C252" s="30">
        <f>(Table2634[[#This Row],[M1 Money Stock, Billions of Dollars, Weekly, Seasonally Adjusted]]-B251)/B251</f>
        <v/>
      </c>
      <c r="D252" s="34">
        <f>((1+Table2634[[#This Row],[Weekly change]])^52)-1</f>
        <v/>
      </c>
      <c r="E252" s="24">
        <f>AVERAGE(B249:B252)</f>
        <v/>
      </c>
      <c r="F252" s="32">
        <f>(Table2634[[#This Row],[4 weeks average]]-B200)/B200</f>
        <v/>
      </c>
    </row>
    <row r="253">
      <c r="A253" s="22" t="n">
        <v>29129</v>
      </c>
      <c r="B253" s="24">
        <f>VLOOKUP(Table2634[[#This Row],[Date]],'DB Money Supply'!$A:$D,4)</f>
        <v/>
      </c>
      <c r="C253" s="30">
        <f>(Table2634[[#This Row],[M1 Money Stock, Billions of Dollars, Weekly, Seasonally Adjusted]]-B252)/B252</f>
        <v/>
      </c>
      <c r="D253" s="34">
        <f>((1+Table2634[[#This Row],[Weekly change]])^52)-1</f>
        <v/>
      </c>
      <c r="E253" s="24">
        <f>AVERAGE(B250:B253)</f>
        <v/>
      </c>
      <c r="F253" s="32">
        <f>(Table2634[[#This Row],[4 weeks average]]-B201)/B201</f>
        <v/>
      </c>
    </row>
    <row r="254">
      <c r="A254" s="22" t="n">
        <v>29136</v>
      </c>
      <c r="B254" s="24">
        <f>VLOOKUP(Table2634[[#This Row],[Date]],'DB Money Supply'!$A:$D,4)</f>
        <v/>
      </c>
      <c r="C254" s="30">
        <f>(Table2634[[#This Row],[M1 Money Stock, Billions of Dollars, Weekly, Seasonally Adjusted]]-B253)/B253</f>
        <v/>
      </c>
      <c r="D254" s="34">
        <f>((1+Table2634[[#This Row],[Weekly change]])^52)-1</f>
        <v/>
      </c>
      <c r="E254" s="24">
        <f>AVERAGE(B251:B254)</f>
        <v/>
      </c>
      <c r="F254" s="32">
        <f>(Table2634[[#This Row],[4 weeks average]]-B202)/B202</f>
        <v/>
      </c>
    </row>
    <row r="255">
      <c r="A255" s="22" t="n">
        <v>29143</v>
      </c>
      <c r="B255" s="24">
        <f>VLOOKUP(Table2634[[#This Row],[Date]],'DB Money Supply'!$A:$D,4)</f>
        <v/>
      </c>
      <c r="C255" s="30">
        <f>(Table2634[[#This Row],[M1 Money Stock, Billions of Dollars, Weekly, Seasonally Adjusted]]-B254)/B254</f>
        <v/>
      </c>
      <c r="D255" s="34">
        <f>((1+Table2634[[#This Row],[Weekly change]])^52)-1</f>
        <v/>
      </c>
      <c r="E255" s="24">
        <f>AVERAGE(B252:B255)</f>
        <v/>
      </c>
      <c r="F255" s="32">
        <f>(Table2634[[#This Row],[4 weeks average]]-B203)/B203</f>
        <v/>
      </c>
    </row>
    <row r="256">
      <c r="A256" s="22" t="n">
        <v>29150</v>
      </c>
      <c r="B256" s="24">
        <f>VLOOKUP(Table2634[[#This Row],[Date]],'DB Money Supply'!$A:$D,4)</f>
        <v/>
      </c>
      <c r="C256" s="30">
        <f>(Table2634[[#This Row],[M1 Money Stock, Billions of Dollars, Weekly, Seasonally Adjusted]]-B255)/B255</f>
        <v/>
      </c>
      <c r="D256" s="34">
        <f>((1+Table2634[[#This Row],[Weekly change]])^52)-1</f>
        <v/>
      </c>
      <c r="E256" s="24">
        <f>AVERAGE(B253:B256)</f>
        <v/>
      </c>
      <c r="F256" s="32">
        <f>(Table2634[[#This Row],[4 weeks average]]-B204)/B204</f>
        <v/>
      </c>
    </row>
    <row r="257">
      <c r="A257" s="22" t="n">
        <v>29157</v>
      </c>
      <c r="B257" s="24">
        <f>VLOOKUP(Table2634[[#This Row],[Date]],'DB Money Supply'!$A:$D,4)</f>
        <v/>
      </c>
      <c r="C257" s="30">
        <f>(Table2634[[#This Row],[M1 Money Stock, Billions of Dollars, Weekly, Seasonally Adjusted]]-B256)/B256</f>
        <v/>
      </c>
      <c r="D257" s="34">
        <f>((1+Table2634[[#This Row],[Weekly change]])^52)-1</f>
        <v/>
      </c>
      <c r="E257" s="24">
        <f>AVERAGE(B254:B257)</f>
        <v/>
      </c>
      <c r="F257" s="32">
        <f>(Table2634[[#This Row],[4 weeks average]]-B205)/B205</f>
        <v/>
      </c>
    </row>
    <row r="258">
      <c r="A258" s="22" t="n">
        <v>29164</v>
      </c>
      <c r="B258" s="24">
        <f>VLOOKUP(Table2634[[#This Row],[Date]],'DB Money Supply'!$A:$D,4)</f>
        <v/>
      </c>
      <c r="C258" s="30">
        <f>(Table2634[[#This Row],[M1 Money Stock, Billions of Dollars, Weekly, Seasonally Adjusted]]-B257)/B257</f>
        <v/>
      </c>
      <c r="D258" s="34">
        <f>((1+Table2634[[#This Row],[Weekly change]])^52)-1</f>
        <v/>
      </c>
      <c r="E258" s="24">
        <f>AVERAGE(B255:B258)</f>
        <v/>
      </c>
      <c r="F258" s="32">
        <f>(Table2634[[#This Row],[4 weeks average]]-B206)/B206</f>
        <v/>
      </c>
    </row>
    <row r="259">
      <c r="A259" s="22" t="n">
        <v>29171</v>
      </c>
      <c r="B259" s="24">
        <f>VLOOKUP(Table2634[[#This Row],[Date]],'DB Money Supply'!$A:$D,4)</f>
        <v/>
      </c>
      <c r="C259" s="30">
        <f>(Table2634[[#This Row],[M1 Money Stock, Billions of Dollars, Weekly, Seasonally Adjusted]]-B258)/B258</f>
        <v/>
      </c>
      <c r="D259" s="34">
        <f>((1+Table2634[[#This Row],[Weekly change]])^52)-1</f>
        <v/>
      </c>
      <c r="E259" s="24">
        <f>AVERAGE(B256:B259)</f>
        <v/>
      </c>
      <c r="F259" s="32">
        <f>(Table2634[[#This Row],[4 weeks average]]-B207)/B207</f>
        <v/>
      </c>
    </row>
    <row r="260">
      <c r="A260" s="22" t="n">
        <v>29178</v>
      </c>
      <c r="B260" s="24">
        <f>VLOOKUP(Table2634[[#This Row],[Date]],'DB Money Supply'!$A:$D,4)</f>
        <v/>
      </c>
      <c r="C260" s="30">
        <f>(Table2634[[#This Row],[M1 Money Stock, Billions of Dollars, Weekly, Seasonally Adjusted]]-B259)/B259</f>
        <v/>
      </c>
      <c r="D260" s="34">
        <f>((1+Table2634[[#This Row],[Weekly change]])^52)-1</f>
        <v/>
      </c>
      <c r="E260" s="24">
        <f>AVERAGE(B257:B260)</f>
        <v/>
      </c>
      <c r="F260" s="32">
        <f>(Table2634[[#This Row],[4 weeks average]]-B208)/B208</f>
        <v/>
      </c>
    </row>
    <row r="261">
      <c r="A261" s="22" t="n">
        <v>29185</v>
      </c>
      <c r="B261" s="24">
        <f>VLOOKUP(Table2634[[#This Row],[Date]],'DB Money Supply'!$A:$D,4)</f>
        <v/>
      </c>
      <c r="C261" s="30">
        <f>(Table2634[[#This Row],[M1 Money Stock, Billions of Dollars, Weekly, Seasonally Adjusted]]-B260)/B260</f>
        <v/>
      </c>
      <c r="D261" s="34">
        <f>((1+Table2634[[#This Row],[Weekly change]])^52)-1</f>
        <v/>
      </c>
      <c r="E261" s="24">
        <f>AVERAGE(B258:B261)</f>
        <v/>
      </c>
      <c r="F261" s="32">
        <f>(Table2634[[#This Row],[4 weeks average]]-B209)/B209</f>
        <v/>
      </c>
    </row>
    <row r="262">
      <c r="A262" s="22" t="n">
        <v>29192</v>
      </c>
      <c r="B262" s="24">
        <f>VLOOKUP(Table2634[[#This Row],[Date]],'DB Money Supply'!$A:$D,4)</f>
        <v/>
      </c>
      <c r="C262" s="30">
        <f>(Table2634[[#This Row],[M1 Money Stock, Billions of Dollars, Weekly, Seasonally Adjusted]]-B261)/B261</f>
        <v/>
      </c>
      <c r="D262" s="34">
        <f>((1+Table2634[[#This Row],[Weekly change]])^52)-1</f>
        <v/>
      </c>
      <c r="E262" s="24">
        <f>AVERAGE(B259:B262)</f>
        <v/>
      </c>
      <c r="F262" s="32">
        <f>(Table2634[[#This Row],[4 weeks average]]-B210)/B210</f>
        <v/>
      </c>
    </row>
    <row r="263">
      <c r="A263" s="22" t="n">
        <v>29199</v>
      </c>
      <c r="B263" s="24">
        <f>VLOOKUP(Table2634[[#This Row],[Date]],'DB Money Supply'!$A:$D,4)</f>
        <v/>
      </c>
      <c r="C263" s="30">
        <f>(Table2634[[#This Row],[M1 Money Stock, Billions of Dollars, Weekly, Seasonally Adjusted]]-B262)/B262</f>
        <v/>
      </c>
      <c r="D263" s="34">
        <f>((1+Table2634[[#This Row],[Weekly change]])^52)-1</f>
        <v/>
      </c>
      <c r="E263" s="24">
        <f>AVERAGE(B260:B263)</f>
        <v/>
      </c>
      <c r="F263" s="32">
        <f>(Table2634[[#This Row],[4 weeks average]]-B211)/B211</f>
        <v/>
      </c>
    </row>
    <row r="264">
      <c r="A264" s="22" t="n">
        <v>29206</v>
      </c>
      <c r="B264" s="24">
        <f>VLOOKUP(Table2634[[#This Row],[Date]],'DB Money Supply'!$A:$D,4)</f>
        <v/>
      </c>
      <c r="C264" s="30">
        <f>(Table2634[[#This Row],[M1 Money Stock, Billions of Dollars, Weekly, Seasonally Adjusted]]-B263)/B263</f>
        <v/>
      </c>
      <c r="D264" s="34">
        <f>((1+Table2634[[#This Row],[Weekly change]])^52)-1</f>
        <v/>
      </c>
      <c r="E264" s="24">
        <f>AVERAGE(B261:B264)</f>
        <v/>
      </c>
      <c r="F264" s="32">
        <f>(Table2634[[#This Row],[4 weeks average]]-B212)/B212</f>
        <v/>
      </c>
    </row>
    <row r="265">
      <c r="A265" s="22" t="n">
        <v>29213</v>
      </c>
      <c r="B265" s="24">
        <f>VLOOKUP(Table2634[[#This Row],[Date]],'DB Money Supply'!$A:$D,4)</f>
        <v/>
      </c>
      <c r="C265" s="30">
        <f>(Table2634[[#This Row],[M1 Money Stock, Billions of Dollars, Weekly, Seasonally Adjusted]]-B264)/B264</f>
        <v/>
      </c>
      <c r="D265" s="34">
        <f>((1+Table2634[[#This Row],[Weekly change]])^52)-1</f>
        <v/>
      </c>
      <c r="E265" s="24">
        <f>AVERAGE(B262:B265)</f>
        <v/>
      </c>
      <c r="F265" s="32">
        <f>(Table2634[[#This Row],[4 weeks average]]-B213)/B213</f>
        <v/>
      </c>
    </row>
    <row r="266">
      <c r="A266" s="22" t="n">
        <v>29220</v>
      </c>
      <c r="B266" s="24">
        <f>VLOOKUP(Table2634[[#This Row],[Date]],'DB Money Supply'!$A:$D,4)</f>
        <v/>
      </c>
      <c r="C266" s="30">
        <f>(Table2634[[#This Row],[M1 Money Stock, Billions of Dollars, Weekly, Seasonally Adjusted]]-B265)/B265</f>
        <v/>
      </c>
      <c r="D266" s="34">
        <f>((1+Table2634[[#This Row],[Weekly change]])^52)-1</f>
        <v/>
      </c>
      <c r="E266" s="24">
        <f>AVERAGE(B263:B266)</f>
        <v/>
      </c>
      <c r="F266" s="32">
        <f>(Table2634[[#This Row],[4 weeks average]]-B214)/B214</f>
        <v/>
      </c>
    </row>
    <row r="267">
      <c r="A267" s="22" t="n">
        <v>29227</v>
      </c>
      <c r="B267" s="24">
        <f>VLOOKUP(Table2634[[#This Row],[Date]],'DB Money Supply'!$A:$D,4)</f>
        <v/>
      </c>
      <c r="C267" s="30">
        <f>(Table2634[[#This Row],[M1 Money Stock, Billions of Dollars, Weekly, Seasonally Adjusted]]-B266)/B266</f>
        <v/>
      </c>
      <c r="D267" s="34">
        <f>((1+Table2634[[#This Row],[Weekly change]])^52)-1</f>
        <v/>
      </c>
      <c r="E267" s="24">
        <f>AVERAGE(B264:B267)</f>
        <v/>
      </c>
      <c r="F267" s="32">
        <f>(Table2634[[#This Row],[4 weeks average]]-B215)/B215</f>
        <v/>
      </c>
    </row>
    <row r="268">
      <c r="A268" s="22" t="n">
        <v>29234</v>
      </c>
      <c r="B268" s="24">
        <f>VLOOKUP(Table2634[[#This Row],[Date]],'DB Money Supply'!$A:$D,4)</f>
        <v/>
      </c>
      <c r="C268" s="30">
        <f>(Table2634[[#This Row],[M1 Money Stock, Billions of Dollars, Weekly, Seasonally Adjusted]]-B267)/B267</f>
        <v/>
      </c>
      <c r="D268" s="34">
        <f>((1+Table2634[[#This Row],[Weekly change]])^52)-1</f>
        <v/>
      </c>
      <c r="E268" s="24">
        <f>AVERAGE(B265:B268)</f>
        <v/>
      </c>
      <c r="F268" s="32">
        <f>(Table2634[[#This Row],[4 weeks average]]-B216)/B216</f>
        <v/>
      </c>
    </row>
    <row r="269">
      <c r="A269" s="22" t="n">
        <v>29241</v>
      </c>
      <c r="B269" s="24">
        <f>VLOOKUP(Table2634[[#This Row],[Date]],'DB Money Supply'!$A:$D,4)</f>
        <v/>
      </c>
      <c r="C269" s="30">
        <f>(Table2634[[#This Row],[M1 Money Stock, Billions of Dollars, Weekly, Seasonally Adjusted]]-B268)/B268</f>
        <v/>
      </c>
      <c r="D269" s="34">
        <f>((1+Table2634[[#This Row],[Weekly change]])^52)-1</f>
        <v/>
      </c>
      <c r="E269" s="24">
        <f>AVERAGE(B266:B269)</f>
        <v/>
      </c>
      <c r="F269" s="32">
        <f>(Table2634[[#This Row],[4 weeks average]]-B217)/B217</f>
        <v/>
      </c>
    </row>
    <row r="270">
      <c r="A270" s="22" t="n">
        <v>29248</v>
      </c>
      <c r="B270" s="24">
        <f>VLOOKUP(Table2634[[#This Row],[Date]],'DB Money Supply'!$A:$D,4)</f>
        <v/>
      </c>
      <c r="C270" s="30">
        <f>(Table2634[[#This Row],[M1 Money Stock, Billions of Dollars, Weekly, Seasonally Adjusted]]-B269)/B269</f>
        <v/>
      </c>
      <c r="D270" s="34">
        <f>((1+Table2634[[#This Row],[Weekly change]])^52)-1</f>
        <v/>
      </c>
      <c r="E270" s="24">
        <f>AVERAGE(B267:B270)</f>
        <v/>
      </c>
      <c r="F270" s="32">
        <f>(Table2634[[#This Row],[4 weeks average]]-B218)/B218</f>
        <v/>
      </c>
    </row>
    <row r="271">
      <c r="A271" s="22" t="n">
        <v>29255</v>
      </c>
      <c r="B271" s="24">
        <f>VLOOKUP(Table2634[[#This Row],[Date]],'DB Money Supply'!$A:$D,4)</f>
        <v/>
      </c>
      <c r="C271" s="30">
        <f>(Table2634[[#This Row],[M1 Money Stock, Billions of Dollars, Weekly, Seasonally Adjusted]]-B270)/B270</f>
        <v/>
      </c>
      <c r="D271" s="34">
        <f>((1+Table2634[[#This Row],[Weekly change]])^52)-1</f>
        <v/>
      </c>
      <c r="E271" s="24">
        <f>AVERAGE(B268:B271)</f>
        <v/>
      </c>
      <c r="F271" s="32">
        <f>(Table2634[[#This Row],[4 weeks average]]-B219)/B219</f>
        <v/>
      </c>
    </row>
    <row r="272">
      <c r="A272" s="22" t="n">
        <v>29262</v>
      </c>
      <c r="B272" s="24">
        <f>VLOOKUP(Table2634[[#This Row],[Date]],'DB Money Supply'!$A:$D,4)</f>
        <v/>
      </c>
      <c r="C272" s="30">
        <f>(Table2634[[#This Row],[M1 Money Stock, Billions of Dollars, Weekly, Seasonally Adjusted]]-B271)/B271</f>
        <v/>
      </c>
      <c r="D272" s="34">
        <f>((1+Table2634[[#This Row],[Weekly change]])^52)-1</f>
        <v/>
      </c>
      <c r="E272" s="24">
        <f>AVERAGE(B269:B272)</f>
        <v/>
      </c>
      <c r="F272" s="32">
        <f>(Table2634[[#This Row],[4 weeks average]]-B220)/B220</f>
        <v/>
      </c>
    </row>
    <row r="273">
      <c r="A273" s="22" t="n">
        <v>29269</v>
      </c>
      <c r="B273" s="24">
        <f>VLOOKUP(Table2634[[#This Row],[Date]],'DB Money Supply'!$A:$D,4)</f>
        <v/>
      </c>
      <c r="C273" s="30">
        <f>(Table2634[[#This Row],[M1 Money Stock, Billions of Dollars, Weekly, Seasonally Adjusted]]-B272)/B272</f>
        <v/>
      </c>
      <c r="D273" s="34">
        <f>((1+Table2634[[#This Row],[Weekly change]])^52)-1</f>
        <v/>
      </c>
      <c r="E273" s="24">
        <f>AVERAGE(B270:B273)</f>
        <v/>
      </c>
      <c r="F273" s="32">
        <f>(Table2634[[#This Row],[4 weeks average]]-B221)/B221</f>
        <v/>
      </c>
    </row>
    <row r="274">
      <c r="A274" s="22" t="n">
        <v>29276</v>
      </c>
      <c r="B274" s="24">
        <f>VLOOKUP(Table2634[[#This Row],[Date]],'DB Money Supply'!$A:$D,4)</f>
        <v/>
      </c>
      <c r="C274" s="30">
        <f>(Table2634[[#This Row],[M1 Money Stock, Billions of Dollars, Weekly, Seasonally Adjusted]]-B273)/B273</f>
        <v/>
      </c>
      <c r="D274" s="34">
        <f>((1+Table2634[[#This Row],[Weekly change]])^52)-1</f>
        <v/>
      </c>
      <c r="E274" s="24">
        <f>AVERAGE(B271:B274)</f>
        <v/>
      </c>
      <c r="F274" s="32">
        <f>(Table2634[[#This Row],[4 weeks average]]-B222)/B222</f>
        <v/>
      </c>
    </row>
    <row r="275">
      <c r="A275" s="22" t="n">
        <v>29283</v>
      </c>
      <c r="B275" s="24">
        <f>VLOOKUP(Table2634[[#This Row],[Date]],'DB Money Supply'!$A:$D,4)</f>
        <v/>
      </c>
      <c r="C275" s="30">
        <f>(Table2634[[#This Row],[M1 Money Stock, Billions of Dollars, Weekly, Seasonally Adjusted]]-B274)/B274</f>
        <v/>
      </c>
      <c r="D275" s="34">
        <f>((1+Table2634[[#This Row],[Weekly change]])^52)-1</f>
        <v/>
      </c>
      <c r="E275" s="24">
        <f>AVERAGE(B272:B275)</f>
        <v/>
      </c>
      <c r="F275" s="32">
        <f>(Table2634[[#This Row],[4 weeks average]]-B223)/B223</f>
        <v/>
      </c>
    </row>
    <row r="276">
      <c r="A276" s="22" t="n">
        <v>29290</v>
      </c>
      <c r="B276" s="24">
        <f>VLOOKUP(Table2634[[#This Row],[Date]],'DB Money Supply'!$A:$D,4)</f>
        <v/>
      </c>
      <c r="C276" s="30">
        <f>(Table2634[[#This Row],[M1 Money Stock, Billions of Dollars, Weekly, Seasonally Adjusted]]-B275)/B275</f>
        <v/>
      </c>
      <c r="D276" s="34">
        <f>((1+Table2634[[#This Row],[Weekly change]])^52)-1</f>
        <v/>
      </c>
      <c r="E276" s="24">
        <f>AVERAGE(B273:B276)</f>
        <v/>
      </c>
      <c r="F276" s="32">
        <f>(Table2634[[#This Row],[4 weeks average]]-B224)/B224</f>
        <v/>
      </c>
    </row>
    <row r="277">
      <c r="A277" s="22" t="n">
        <v>29297</v>
      </c>
      <c r="B277" s="24">
        <f>VLOOKUP(Table2634[[#This Row],[Date]],'DB Money Supply'!$A:$D,4)</f>
        <v/>
      </c>
      <c r="C277" s="30">
        <f>(Table2634[[#This Row],[M1 Money Stock, Billions of Dollars, Weekly, Seasonally Adjusted]]-B276)/B276</f>
        <v/>
      </c>
      <c r="D277" s="34">
        <f>((1+Table2634[[#This Row],[Weekly change]])^52)-1</f>
        <v/>
      </c>
      <c r="E277" s="24">
        <f>AVERAGE(B274:B277)</f>
        <v/>
      </c>
      <c r="F277" s="32">
        <f>(Table2634[[#This Row],[4 weeks average]]-B225)/B225</f>
        <v/>
      </c>
    </row>
    <row r="278">
      <c r="A278" s="22" t="n">
        <v>29304</v>
      </c>
      <c r="B278" s="24">
        <f>VLOOKUP(Table2634[[#This Row],[Date]],'DB Money Supply'!$A:$D,4)</f>
        <v/>
      </c>
      <c r="C278" s="30">
        <f>(Table2634[[#This Row],[M1 Money Stock, Billions of Dollars, Weekly, Seasonally Adjusted]]-B277)/B277</f>
        <v/>
      </c>
      <c r="D278" s="34">
        <f>((1+Table2634[[#This Row],[Weekly change]])^52)-1</f>
        <v/>
      </c>
      <c r="E278" s="24">
        <f>AVERAGE(B275:B278)</f>
        <v/>
      </c>
      <c r="F278" s="32">
        <f>(Table2634[[#This Row],[4 weeks average]]-B226)/B226</f>
        <v/>
      </c>
    </row>
    <row r="279">
      <c r="A279" s="22" t="n">
        <v>29311</v>
      </c>
      <c r="B279" s="24">
        <f>VLOOKUP(Table2634[[#This Row],[Date]],'DB Money Supply'!$A:$D,4)</f>
        <v/>
      </c>
      <c r="C279" s="30">
        <f>(Table2634[[#This Row],[M1 Money Stock, Billions of Dollars, Weekly, Seasonally Adjusted]]-B278)/B278</f>
        <v/>
      </c>
      <c r="D279" s="34">
        <f>((1+Table2634[[#This Row],[Weekly change]])^52)-1</f>
        <v/>
      </c>
      <c r="E279" s="24">
        <f>AVERAGE(B276:B279)</f>
        <v/>
      </c>
      <c r="F279" s="32">
        <f>(Table2634[[#This Row],[4 weeks average]]-B227)/B227</f>
        <v/>
      </c>
    </row>
    <row r="280">
      <c r="A280" s="22" t="n">
        <v>29318</v>
      </c>
      <c r="B280" s="24">
        <f>VLOOKUP(Table2634[[#This Row],[Date]],'DB Money Supply'!$A:$D,4)</f>
        <v/>
      </c>
      <c r="C280" s="30">
        <f>(Table2634[[#This Row],[M1 Money Stock, Billions of Dollars, Weekly, Seasonally Adjusted]]-B279)/B279</f>
        <v/>
      </c>
      <c r="D280" s="34">
        <f>((1+Table2634[[#This Row],[Weekly change]])^52)-1</f>
        <v/>
      </c>
      <c r="E280" s="24">
        <f>AVERAGE(B277:B280)</f>
        <v/>
      </c>
      <c r="F280" s="32">
        <f>(Table2634[[#This Row],[4 weeks average]]-B228)/B228</f>
        <v/>
      </c>
    </row>
    <row r="281">
      <c r="A281" s="22" t="n">
        <v>29325</v>
      </c>
      <c r="B281" s="24">
        <f>VLOOKUP(Table2634[[#This Row],[Date]],'DB Money Supply'!$A:$D,4)</f>
        <v/>
      </c>
      <c r="C281" s="30">
        <f>(Table2634[[#This Row],[M1 Money Stock, Billions of Dollars, Weekly, Seasonally Adjusted]]-B280)/B280</f>
        <v/>
      </c>
      <c r="D281" s="34">
        <f>((1+Table2634[[#This Row],[Weekly change]])^52)-1</f>
        <v/>
      </c>
      <c r="E281" s="24">
        <f>AVERAGE(B278:B281)</f>
        <v/>
      </c>
      <c r="F281" s="32">
        <f>(Table2634[[#This Row],[4 weeks average]]-B229)/B229</f>
        <v/>
      </c>
    </row>
    <row r="282">
      <c r="A282" s="22" t="n">
        <v>29332</v>
      </c>
      <c r="B282" s="24">
        <f>VLOOKUP(Table2634[[#This Row],[Date]],'DB Money Supply'!$A:$D,4)</f>
        <v/>
      </c>
      <c r="C282" s="30">
        <f>(Table2634[[#This Row],[M1 Money Stock, Billions of Dollars, Weekly, Seasonally Adjusted]]-B281)/B281</f>
        <v/>
      </c>
      <c r="D282" s="34">
        <f>((1+Table2634[[#This Row],[Weekly change]])^52)-1</f>
        <v/>
      </c>
      <c r="E282" s="24">
        <f>AVERAGE(B279:B282)</f>
        <v/>
      </c>
      <c r="F282" s="32">
        <f>(Table2634[[#This Row],[4 weeks average]]-B230)/B230</f>
        <v/>
      </c>
    </row>
    <row r="283">
      <c r="A283" s="22" t="n">
        <v>29339</v>
      </c>
      <c r="B283" s="24">
        <f>VLOOKUP(Table2634[[#This Row],[Date]],'DB Money Supply'!$A:$D,4)</f>
        <v/>
      </c>
      <c r="C283" s="30">
        <f>(Table2634[[#This Row],[M1 Money Stock, Billions of Dollars, Weekly, Seasonally Adjusted]]-B282)/B282</f>
        <v/>
      </c>
      <c r="D283" s="34">
        <f>((1+Table2634[[#This Row],[Weekly change]])^52)-1</f>
        <v/>
      </c>
      <c r="E283" s="24">
        <f>AVERAGE(B280:B283)</f>
        <v/>
      </c>
      <c r="F283" s="32">
        <f>(Table2634[[#This Row],[4 weeks average]]-B231)/B231</f>
        <v/>
      </c>
    </row>
    <row r="284">
      <c r="A284" s="22" t="n">
        <v>29346</v>
      </c>
      <c r="B284" s="24">
        <f>VLOOKUP(Table2634[[#This Row],[Date]],'DB Money Supply'!$A:$D,4)</f>
        <v/>
      </c>
      <c r="C284" s="30">
        <f>(Table2634[[#This Row],[M1 Money Stock, Billions of Dollars, Weekly, Seasonally Adjusted]]-B283)/B283</f>
        <v/>
      </c>
      <c r="D284" s="34">
        <f>((1+Table2634[[#This Row],[Weekly change]])^52)-1</f>
        <v/>
      </c>
      <c r="E284" s="24">
        <f>AVERAGE(B281:B284)</f>
        <v/>
      </c>
      <c r="F284" s="32">
        <f>(Table2634[[#This Row],[4 weeks average]]-B232)/B232</f>
        <v/>
      </c>
    </row>
    <row r="285">
      <c r="A285" s="22" t="n">
        <v>29353</v>
      </c>
      <c r="B285" s="24">
        <f>VLOOKUP(Table2634[[#This Row],[Date]],'DB Money Supply'!$A:$D,4)</f>
        <v/>
      </c>
      <c r="C285" s="30">
        <f>(Table2634[[#This Row],[M1 Money Stock, Billions of Dollars, Weekly, Seasonally Adjusted]]-B284)/B284</f>
        <v/>
      </c>
      <c r="D285" s="34">
        <f>((1+Table2634[[#This Row],[Weekly change]])^52)-1</f>
        <v/>
      </c>
      <c r="E285" s="24">
        <f>AVERAGE(B282:B285)</f>
        <v/>
      </c>
      <c r="F285" s="32">
        <f>(Table2634[[#This Row],[4 weeks average]]-B233)/B233</f>
        <v/>
      </c>
    </row>
    <row r="286">
      <c r="A286" s="22" t="n">
        <v>29360</v>
      </c>
      <c r="B286" s="24">
        <f>VLOOKUP(Table2634[[#This Row],[Date]],'DB Money Supply'!$A:$D,4)</f>
        <v/>
      </c>
      <c r="C286" s="30">
        <f>(Table2634[[#This Row],[M1 Money Stock, Billions of Dollars, Weekly, Seasonally Adjusted]]-B285)/B285</f>
        <v/>
      </c>
      <c r="D286" s="34">
        <f>((1+Table2634[[#This Row],[Weekly change]])^52)-1</f>
        <v/>
      </c>
      <c r="E286" s="24">
        <f>AVERAGE(B283:B286)</f>
        <v/>
      </c>
      <c r="F286" s="32">
        <f>(Table2634[[#This Row],[4 weeks average]]-B234)/B234</f>
        <v/>
      </c>
    </row>
    <row r="287">
      <c r="A287" s="22" t="n">
        <v>29367</v>
      </c>
      <c r="B287" s="24">
        <f>VLOOKUP(Table2634[[#This Row],[Date]],'DB Money Supply'!$A:$D,4)</f>
        <v/>
      </c>
      <c r="C287" s="30">
        <f>(Table2634[[#This Row],[M1 Money Stock, Billions of Dollars, Weekly, Seasonally Adjusted]]-B286)/B286</f>
        <v/>
      </c>
      <c r="D287" s="34">
        <f>((1+Table2634[[#This Row],[Weekly change]])^52)-1</f>
        <v/>
      </c>
      <c r="E287" s="24">
        <f>AVERAGE(B284:B287)</f>
        <v/>
      </c>
      <c r="F287" s="32">
        <f>(Table2634[[#This Row],[4 weeks average]]-B235)/B235</f>
        <v/>
      </c>
    </row>
    <row r="288">
      <c r="A288" s="22" t="n">
        <v>29374</v>
      </c>
      <c r="B288" s="24">
        <f>VLOOKUP(Table2634[[#This Row],[Date]],'DB Money Supply'!$A:$D,4)</f>
        <v/>
      </c>
      <c r="C288" s="30">
        <f>(Table2634[[#This Row],[M1 Money Stock, Billions of Dollars, Weekly, Seasonally Adjusted]]-B287)/B287</f>
        <v/>
      </c>
      <c r="D288" s="34">
        <f>((1+Table2634[[#This Row],[Weekly change]])^52)-1</f>
        <v/>
      </c>
      <c r="E288" s="24">
        <f>AVERAGE(B285:B288)</f>
        <v/>
      </c>
      <c r="F288" s="32">
        <f>(Table2634[[#This Row],[4 weeks average]]-B236)/B236</f>
        <v/>
      </c>
    </row>
    <row r="289">
      <c r="A289" s="22" t="n">
        <v>29381</v>
      </c>
      <c r="B289" s="24">
        <f>VLOOKUP(Table2634[[#This Row],[Date]],'DB Money Supply'!$A:$D,4)</f>
        <v/>
      </c>
      <c r="C289" s="30">
        <f>(Table2634[[#This Row],[M1 Money Stock, Billions of Dollars, Weekly, Seasonally Adjusted]]-B288)/B288</f>
        <v/>
      </c>
      <c r="D289" s="34">
        <f>((1+Table2634[[#This Row],[Weekly change]])^52)-1</f>
        <v/>
      </c>
      <c r="E289" s="24">
        <f>AVERAGE(B286:B289)</f>
        <v/>
      </c>
      <c r="F289" s="32">
        <f>(Table2634[[#This Row],[4 weeks average]]-B237)/B237</f>
        <v/>
      </c>
    </row>
    <row r="290">
      <c r="A290" s="22" t="n">
        <v>29388</v>
      </c>
      <c r="B290" s="24">
        <f>VLOOKUP(Table2634[[#This Row],[Date]],'DB Money Supply'!$A:$D,4)</f>
        <v/>
      </c>
      <c r="C290" s="30">
        <f>(Table2634[[#This Row],[M1 Money Stock, Billions of Dollars, Weekly, Seasonally Adjusted]]-B289)/B289</f>
        <v/>
      </c>
      <c r="D290" s="34">
        <f>((1+Table2634[[#This Row],[Weekly change]])^52)-1</f>
        <v/>
      </c>
      <c r="E290" s="24">
        <f>AVERAGE(B287:B290)</f>
        <v/>
      </c>
      <c r="F290" s="32">
        <f>(Table2634[[#This Row],[4 weeks average]]-B238)/B238</f>
        <v/>
      </c>
    </row>
    <row r="291">
      <c r="A291" s="22" t="n">
        <v>29395</v>
      </c>
      <c r="B291" s="24">
        <f>VLOOKUP(Table2634[[#This Row],[Date]],'DB Money Supply'!$A:$D,4)</f>
        <v/>
      </c>
      <c r="C291" s="30">
        <f>(Table2634[[#This Row],[M1 Money Stock, Billions of Dollars, Weekly, Seasonally Adjusted]]-B290)/B290</f>
        <v/>
      </c>
      <c r="D291" s="34">
        <f>((1+Table2634[[#This Row],[Weekly change]])^52)-1</f>
        <v/>
      </c>
      <c r="E291" s="24">
        <f>AVERAGE(B288:B291)</f>
        <v/>
      </c>
      <c r="F291" s="32">
        <f>(Table2634[[#This Row],[4 weeks average]]-B239)/B239</f>
        <v/>
      </c>
    </row>
    <row r="292">
      <c r="A292" s="22" t="n">
        <v>29402</v>
      </c>
      <c r="B292" s="24">
        <f>VLOOKUP(Table2634[[#This Row],[Date]],'DB Money Supply'!$A:$D,4)</f>
        <v/>
      </c>
      <c r="C292" s="30">
        <f>(Table2634[[#This Row],[M1 Money Stock, Billions of Dollars, Weekly, Seasonally Adjusted]]-B291)/B291</f>
        <v/>
      </c>
      <c r="D292" s="34">
        <f>((1+Table2634[[#This Row],[Weekly change]])^52)-1</f>
        <v/>
      </c>
      <c r="E292" s="24">
        <f>AVERAGE(B289:B292)</f>
        <v/>
      </c>
      <c r="F292" s="32">
        <f>(Table2634[[#This Row],[4 weeks average]]-B240)/B240</f>
        <v/>
      </c>
    </row>
    <row r="293">
      <c r="A293" s="22" t="n">
        <v>29409</v>
      </c>
      <c r="B293" s="24">
        <f>VLOOKUP(Table2634[[#This Row],[Date]],'DB Money Supply'!$A:$D,4)</f>
        <v/>
      </c>
      <c r="C293" s="30">
        <f>(Table2634[[#This Row],[M1 Money Stock, Billions of Dollars, Weekly, Seasonally Adjusted]]-B292)/B292</f>
        <v/>
      </c>
      <c r="D293" s="34">
        <f>((1+Table2634[[#This Row],[Weekly change]])^52)-1</f>
        <v/>
      </c>
      <c r="E293" s="24">
        <f>AVERAGE(B290:B293)</f>
        <v/>
      </c>
      <c r="F293" s="32">
        <f>(Table2634[[#This Row],[4 weeks average]]-B241)/B241</f>
        <v/>
      </c>
    </row>
    <row r="294">
      <c r="A294" s="22" t="n">
        <v>29416</v>
      </c>
      <c r="B294" s="24">
        <f>VLOOKUP(Table2634[[#This Row],[Date]],'DB Money Supply'!$A:$D,4)</f>
        <v/>
      </c>
      <c r="C294" s="30">
        <f>(Table2634[[#This Row],[M1 Money Stock, Billions of Dollars, Weekly, Seasonally Adjusted]]-B293)/B293</f>
        <v/>
      </c>
      <c r="D294" s="34">
        <f>((1+Table2634[[#This Row],[Weekly change]])^52)-1</f>
        <v/>
      </c>
      <c r="E294" s="24">
        <f>AVERAGE(B291:B294)</f>
        <v/>
      </c>
      <c r="F294" s="32">
        <f>(Table2634[[#This Row],[4 weeks average]]-B242)/B242</f>
        <v/>
      </c>
    </row>
    <row r="295">
      <c r="A295" s="22" t="n">
        <v>29423</v>
      </c>
      <c r="B295" s="24">
        <f>VLOOKUP(Table2634[[#This Row],[Date]],'DB Money Supply'!$A:$D,4)</f>
        <v/>
      </c>
      <c r="C295" s="30">
        <f>(Table2634[[#This Row],[M1 Money Stock, Billions of Dollars, Weekly, Seasonally Adjusted]]-B294)/B294</f>
        <v/>
      </c>
      <c r="D295" s="34">
        <f>((1+Table2634[[#This Row],[Weekly change]])^52)-1</f>
        <v/>
      </c>
      <c r="E295" s="24">
        <f>AVERAGE(B292:B295)</f>
        <v/>
      </c>
      <c r="F295" s="32">
        <f>(Table2634[[#This Row],[4 weeks average]]-B243)/B243</f>
        <v/>
      </c>
    </row>
    <row r="296">
      <c r="A296" s="22" t="n">
        <v>29430</v>
      </c>
      <c r="B296" s="24">
        <f>VLOOKUP(Table2634[[#This Row],[Date]],'DB Money Supply'!$A:$D,4)</f>
        <v/>
      </c>
      <c r="C296" s="30">
        <f>(Table2634[[#This Row],[M1 Money Stock, Billions of Dollars, Weekly, Seasonally Adjusted]]-B295)/B295</f>
        <v/>
      </c>
      <c r="D296" s="34">
        <f>((1+Table2634[[#This Row],[Weekly change]])^52)-1</f>
        <v/>
      </c>
      <c r="E296" s="24">
        <f>AVERAGE(B293:B296)</f>
        <v/>
      </c>
      <c r="F296" s="32">
        <f>(Table2634[[#This Row],[4 weeks average]]-B244)/B244</f>
        <v/>
      </c>
    </row>
    <row r="297">
      <c r="A297" s="22" t="n">
        <v>29437</v>
      </c>
      <c r="B297" s="24">
        <f>VLOOKUP(Table2634[[#This Row],[Date]],'DB Money Supply'!$A:$D,4)</f>
        <v/>
      </c>
      <c r="C297" s="30">
        <f>(Table2634[[#This Row],[M1 Money Stock, Billions of Dollars, Weekly, Seasonally Adjusted]]-B296)/B296</f>
        <v/>
      </c>
      <c r="D297" s="34">
        <f>((1+Table2634[[#This Row],[Weekly change]])^52)-1</f>
        <v/>
      </c>
      <c r="E297" s="24">
        <f>AVERAGE(B294:B297)</f>
        <v/>
      </c>
      <c r="F297" s="32">
        <f>(Table2634[[#This Row],[4 weeks average]]-B245)/B245</f>
        <v/>
      </c>
    </row>
    <row r="298">
      <c r="A298" s="22" t="n">
        <v>29444</v>
      </c>
      <c r="B298" s="24">
        <f>VLOOKUP(Table2634[[#This Row],[Date]],'DB Money Supply'!$A:$D,4)</f>
        <v/>
      </c>
      <c r="C298" s="30">
        <f>(Table2634[[#This Row],[M1 Money Stock, Billions of Dollars, Weekly, Seasonally Adjusted]]-B297)/B297</f>
        <v/>
      </c>
      <c r="D298" s="34">
        <f>((1+Table2634[[#This Row],[Weekly change]])^52)-1</f>
        <v/>
      </c>
      <c r="E298" s="24">
        <f>AVERAGE(B295:B298)</f>
        <v/>
      </c>
      <c r="F298" s="32">
        <f>(Table2634[[#This Row],[4 weeks average]]-B246)/B246</f>
        <v/>
      </c>
    </row>
    <row r="299">
      <c r="A299" s="22" t="n">
        <v>29451</v>
      </c>
      <c r="B299" s="24">
        <f>VLOOKUP(Table2634[[#This Row],[Date]],'DB Money Supply'!$A:$D,4)</f>
        <v/>
      </c>
      <c r="C299" s="30">
        <f>(Table2634[[#This Row],[M1 Money Stock, Billions of Dollars, Weekly, Seasonally Adjusted]]-B298)/B298</f>
        <v/>
      </c>
      <c r="D299" s="34">
        <f>((1+Table2634[[#This Row],[Weekly change]])^52)-1</f>
        <v/>
      </c>
      <c r="E299" s="24">
        <f>AVERAGE(B296:B299)</f>
        <v/>
      </c>
      <c r="F299" s="32">
        <f>(Table2634[[#This Row],[4 weeks average]]-B247)/B247</f>
        <v/>
      </c>
    </row>
    <row r="300">
      <c r="A300" s="22" t="n">
        <v>29458</v>
      </c>
      <c r="B300" s="24">
        <f>VLOOKUP(Table2634[[#This Row],[Date]],'DB Money Supply'!$A:$D,4)</f>
        <v/>
      </c>
      <c r="C300" s="30">
        <f>(Table2634[[#This Row],[M1 Money Stock, Billions of Dollars, Weekly, Seasonally Adjusted]]-B299)/B299</f>
        <v/>
      </c>
      <c r="D300" s="34">
        <f>((1+Table2634[[#This Row],[Weekly change]])^52)-1</f>
        <v/>
      </c>
      <c r="E300" s="24">
        <f>AVERAGE(B297:B300)</f>
        <v/>
      </c>
      <c r="F300" s="32">
        <f>(Table2634[[#This Row],[4 weeks average]]-B248)/B248</f>
        <v/>
      </c>
    </row>
    <row r="301">
      <c r="A301" s="22" t="n">
        <v>29465</v>
      </c>
      <c r="B301" s="24">
        <f>VLOOKUP(Table2634[[#This Row],[Date]],'DB Money Supply'!$A:$D,4)</f>
        <v/>
      </c>
      <c r="C301" s="30">
        <f>(Table2634[[#This Row],[M1 Money Stock, Billions of Dollars, Weekly, Seasonally Adjusted]]-B300)/B300</f>
        <v/>
      </c>
      <c r="D301" s="34">
        <f>((1+Table2634[[#This Row],[Weekly change]])^52)-1</f>
        <v/>
      </c>
      <c r="E301" s="24">
        <f>AVERAGE(B298:B301)</f>
        <v/>
      </c>
      <c r="F301" s="32">
        <f>(Table2634[[#This Row],[4 weeks average]]-B249)/B249</f>
        <v/>
      </c>
    </row>
    <row r="302">
      <c r="A302" s="22" t="n">
        <v>29472</v>
      </c>
      <c r="B302" s="24">
        <f>VLOOKUP(Table2634[[#This Row],[Date]],'DB Money Supply'!$A:$D,4)</f>
        <v/>
      </c>
      <c r="C302" s="30">
        <f>(Table2634[[#This Row],[M1 Money Stock, Billions of Dollars, Weekly, Seasonally Adjusted]]-B301)/B301</f>
        <v/>
      </c>
      <c r="D302" s="34">
        <f>((1+Table2634[[#This Row],[Weekly change]])^52)-1</f>
        <v/>
      </c>
      <c r="E302" s="24">
        <f>AVERAGE(B299:B302)</f>
        <v/>
      </c>
      <c r="F302" s="32">
        <f>(Table2634[[#This Row],[4 weeks average]]-B250)/B250</f>
        <v/>
      </c>
    </row>
    <row r="303">
      <c r="A303" s="22" t="n">
        <v>29479</v>
      </c>
      <c r="B303" s="24">
        <f>VLOOKUP(Table2634[[#This Row],[Date]],'DB Money Supply'!$A:$D,4)</f>
        <v/>
      </c>
      <c r="C303" s="30">
        <f>(Table2634[[#This Row],[M1 Money Stock, Billions of Dollars, Weekly, Seasonally Adjusted]]-B302)/B302</f>
        <v/>
      </c>
      <c r="D303" s="34">
        <f>((1+Table2634[[#This Row],[Weekly change]])^52)-1</f>
        <v/>
      </c>
      <c r="E303" s="24">
        <f>AVERAGE(B300:B303)</f>
        <v/>
      </c>
      <c r="F303" s="32">
        <f>(Table2634[[#This Row],[4 weeks average]]-B251)/B251</f>
        <v/>
      </c>
    </row>
    <row r="304">
      <c r="A304" s="22" t="n">
        <v>29486</v>
      </c>
      <c r="B304" s="24">
        <f>VLOOKUP(Table2634[[#This Row],[Date]],'DB Money Supply'!$A:$D,4)</f>
        <v/>
      </c>
      <c r="C304" s="30">
        <f>(Table2634[[#This Row],[M1 Money Stock, Billions of Dollars, Weekly, Seasonally Adjusted]]-B303)/B303</f>
        <v/>
      </c>
      <c r="D304" s="34">
        <f>((1+Table2634[[#This Row],[Weekly change]])^52)-1</f>
        <v/>
      </c>
      <c r="E304" s="24">
        <f>AVERAGE(B301:B304)</f>
        <v/>
      </c>
      <c r="F304" s="32">
        <f>(Table2634[[#This Row],[4 weeks average]]-B252)/B252</f>
        <v/>
      </c>
    </row>
    <row r="305">
      <c r="A305" s="22" t="n">
        <v>29493</v>
      </c>
      <c r="B305" s="24">
        <f>VLOOKUP(Table2634[[#This Row],[Date]],'DB Money Supply'!$A:$D,4)</f>
        <v/>
      </c>
      <c r="C305" s="30">
        <f>(Table2634[[#This Row],[M1 Money Stock, Billions of Dollars, Weekly, Seasonally Adjusted]]-B304)/B304</f>
        <v/>
      </c>
      <c r="D305" s="34">
        <f>((1+Table2634[[#This Row],[Weekly change]])^52)-1</f>
        <v/>
      </c>
      <c r="E305" s="24">
        <f>AVERAGE(B302:B305)</f>
        <v/>
      </c>
      <c r="F305" s="32">
        <f>(Table2634[[#This Row],[4 weeks average]]-B253)/B253</f>
        <v/>
      </c>
    </row>
    <row r="306">
      <c r="A306" s="22" t="n">
        <v>29500</v>
      </c>
      <c r="B306" s="24">
        <f>VLOOKUP(Table2634[[#This Row],[Date]],'DB Money Supply'!$A:$D,4)</f>
        <v/>
      </c>
      <c r="C306" s="30">
        <f>(Table2634[[#This Row],[M1 Money Stock, Billions of Dollars, Weekly, Seasonally Adjusted]]-B305)/B305</f>
        <v/>
      </c>
      <c r="D306" s="34">
        <f>((1+Table2634[[#This Row],[Weekly change]])^52)-1</f>
        <v/>
      </c>
      <c r="E306" s="24">
        <f>AVERAGE(B303:B306)</f>
        <v/>
      </c>
      <c r="F306" s="32">
        <f>(Table2634[[#This Row],[4 weeks average]]-B254)/B254</f>
        <v/>
      </c>
    </row>
    <row r="307">
      <c r="A307" s="22" t="n">
        <v>29507</v>
      </c>
      <c r="B307" s="24">
        <f>VLOOKUP(Table2634[[#This Row],[Date]],'DB Money Supply'!$A:$D,4)</f>
        <v/>
      </c>
      <c r="C307" s="30">
        <f>(Table2634[[#This Row],[M1 Money Stock, Billions of Dollars, Weekly, Seasonally Adjusted]]-B306)/B306</f>
        <v/>
      </c>
      <c r="D307" s="34">
        <f>((1+Table2634[[#This Row],[Weekly change]])^52)-1</f>
        <v/>
      </c>
      <c r="E307" s="24">
        <f>AVERAGE(B304:B307)</f>
        <v/>
      </c>
      <c r="F307" s="32">
        <f>(Table2634[[#This Row],[4 weeks average]]-B255)/B255</f>
        <v/>
      </c>
    </row>
    <row r="308">
      <c r="A308" s="22" t="n">
        <v>29514</v>
      </c>
      <c r="B308" s="24">
        <f>VLOOKUP(Table2634[[#This Row],[Date]],'DB Money Supply'!$A:$D,4)</f>
        <v/>
      </c>
      <c r="C308" s="30">
        <f>(Table2634[[#This Row],[M1 Money Stock, Billions of Dollars, Weekly, Seasonally Adjusted]]-B307)/B307</f>
        <v/>
      </c>
      <c r="D308" s="34">
        <f>((1+Table2634[[#This Row],[Weekly change]])^52)-1</f>
        <v/>
      </c>
      <c r="E308" s="24">
        <f>AVERAGE(B305:B308)</f>
        <v/>
      </c>
      <c r="F308" s="32">
        <f>(Table2634[[#This Row],[4 weeks average]]-B256)/B256</f>
        <v/>
      </c>
    </row>
    <row r="309">
      <c r="A309" s="22" t="n">
        <v>29521</v>
      </c>
      <c r="B309" s="24">
        <f>VLOOKUP(Table2634[[#This Row],[Date]],'DB Money Supply'!$A:$D,4)</f>
        <v/>
      </c>
      <c r="C309" s="30">
        <f>(Table2634[[#This Row],[M1 Money Stock, Billions of Dollars, Weekly, Seasonally Adjusted]]-B308)/B308</f>
        <v/>
      </c>
      <c r="D309" s="34">
        <f>((1+Table2634[[#This Row],[Weekly change]])^52)-1</f>
        <v/>
      </c>
      <c r="E309" s="24">
        <f>AVERAGE(B306:B309)</f>
        <v/>
      </c>
      <c r="F309" s="32">
        <f>(Table2634[[#This Row],[4 weeks average]]-B257)/B257</f>
        <v/>
      </c>
    </row>
    <row r="310">
      <c r="A310" s="22" t="n">
        <v>29528</v>
      </c>
      <c r="B310" s="24">
        <f>VLOOKUP(Table2634[[#This Row],[Date]],'DB Money Supply'!$A:$D,4)</f>
        <v/>
      </c>
      <c r="C310" s="30">
        <f>(Table2634[[#This Row],[M1 Money Stock, Billions of Dollars, Weekly, Seasonally Adjusted]]-B309)/B309</f>
        <v/>
      </c>
      <c r="D310" s="34">
        <f>((1+Table2634[[#This Row],[Weekly change]])^52)-1</f>
        <v/>
      </c>
      <c r="E310" s="24">
        <f>AVERAGE(B307:B310)</f>
        <v/>
      </c>
      <c r="F310" s="32">
        <f>(Table2634[[#This Row],[4 weeks average]]-B258)/B258</f>
        <v/>
      </c>
    </row>
    <row r="311">
      <c r="A311" s="22" t="n">
        <v>29535</v>
      </c>
      <c r="B311" s="24">
        <f>VLOOKUP(Table2634[[#This Row],[Date]],'DB Money Supply'!$A:$D,4)</f>
        <v/>
      </c>
      <c r="C311" s="30">
        <f>(Table2634[[#This Row],[M1 Money Stock, Billions of Dollars, Weekly, Seasonally Adjusted]]-B310)/B310</f>
        <v/>
      </c>
      <c r="D311" s="34">
        <f>((1+Table2634[[#This Row],[Weekly change]])^52)-1</f>
        <v/>
      </c>
      <c r="E311" s="24">
        <f>AVERAGE(B308:B311)</f>
        <v/>
      </c>
      <c r="F311" s="32">
        <f>(Table2634[[#This Row],[4 weeks average]]-B259)/B259</f>
        <v/>
      </c>
    </row>
    <row r="312">
      <c r="A312" s="22" t="n">
        <v>29542</v>
      </c>
      <c r="B312" s="24">
        <f>VLOOKUP(Table2634[[#This Row],[Date]],'DB Money Supply'!$A:$D,4)</f>
        <v/>
      </c>
      <c r="C312" s="30">
        <f>(Table2634[[#This Row],[M1 Money Stock, Billions of Dollars, Weekly, Seasonally Adjusted]]-B311)/B311</f>
        <v/>
      </c>
      <c r="D312" s="34">
        <f>((1+Table2634[[#This Row],[Weekly change]])^52)-1</f>
        <v/>
      </c>
      <c r="E312" s="24">
        <f>AVERAGE(B309:B312)</f>
        <v/>
      </c>
      <c r="F312" s="32">
        <f>(Table2634[[#This Row],[4 weeks average]]-B260)/B260</f>
        <v/>
      </c>
    </row>
    <row r="313">
      <c r="A313" s="22" t="n">
        <v>29549</v>
      </c>
      <c r="B313" s="24">
        <f>VLOOKUP(Table2634[[#This Row],[Date]],'DB Money Supply'!$A:$D,4)</f>
        <v/>
      </c>
      <c r="C313" s="30">
        <f>(Table2634[[#This Row],[M1 Money Stock, Billions of Dollars, Weekly, Seasonally Adjusted]]-B312)/B312</f>
        <v/>
      </c>
      <c r="D313" s="34">
        <f>((1+Table2634[[#This Row],[Weekly change]])^52)-1</f>
        <v/>
      </c>
      <c r="E313" s="24">
        <f>AVERAGE(B310:B313)</f>
        <v/>
      </c>
      <c r="F313" s="32">
        <f>(Table2634[[#This Row],[4 weeks average]]-B261)/B261</f>
        <v/>
      </c>
    </row>
    <row r="314">
      <c r="A314" s="22" t="n">
        <v>29556</v>
      </c>
      <c r="B314" s="24">
        <f>VLOOKUP(Table2634[[#This Row],[Date]],'DB Money Supply'!$A:$D,4)</f>
        <v/>
      </c>
      <c r="C314" s="30">
        <f>(Table2634[[#This Row],[M1 Money Stock, Billions of Dollars, Weekly, Seasonally Adjusted]]-B313)/B313</f>
        <v/>
      </c>
      <c r="D314" s="34">
        <f>((1+Table2634[[#This Row],[Weekly change]])^52)-1</f>
        <v/>
      </c>
      <c r="E314" s="24">
        <f>AVERAGE(B311:B314)</f>
        <v/>
      </c>
      <c r="F314" s="32">
        <f>(Table2634[[#This Row],[4 weeks average]]-B262)/B262</f>
        <v/>
      </c>
    </row>
    <row r="315">
      <c r="A315" s="22" t="n">
        <v>29563</v>
      </c>
      <c r="B315" s="24">
        <f>VLOOKUP(Table2634[[#This Row],[Date]],'DB Money Supply'!$A:$D,4)</f>
        <v/>
      </c>
      <c r="C315" s="30">
        <f>(Table2634[[#This Row],[M1 Money Stock, Billions of Dollars, Weekly, Seasonally Adjusted]]-B314)/B314</f>
        <v/>
      </c>
      <c r="D315" s="34">
        <f>((1+Table2634[[#This Row],[Weekly change]])^52)-1</f>
        <v/>
      </c>
      <c r="E315" s="24">
        <f>AVERAGE(B312:B315)</f>
        <v/>
      </c>
      <c r="F315" s="32">
        <f>(Table2634[[#This Row],[4 weeks average]]-B263)/B263</f>
        <v/>
      </c>
    </row>
    <row r="316">
      <c r="A316" s="22" t="n">
        <v>29570</v>
      </c>
      <c r="B316" s="24">
        <f>VLOOKUP(Table2634[[#This Row],[Date]],'DB Money Supply'!$A:$D,4)</f>
        <v/>
      </c>
      <c r="C316" s="30">
        <f>(Table2634[[#This Row],[M1 Money Stock, Billions of Dollars, Weekly, Seasonally Adjusted]]-B315)/B315</f>
        <v/>
      </c>
      <c r="D316" s="34">
        <f>((1+Table2634[[#This Row],[Weekly change]])^52)-1</f>
        <v/>
      </c>
      <c r="E316" s="24">
        <f>AVERAGE(B313:B316)</f>
        <v/>
      </c>
      <c r="F316" s="32">
        <f>(Table2634[[#This Row],[4 weeks average]]-B264)/B264</f>
        <v/>
      </c>
    </row>
    <row r="317">
      <c r="A317" s="22" t="n">
        <v>29577</v>
      </c>
      <c r="B317" s="24">
        <f>VLOOKUP(Table2634[[#This Row],[Date]],'DB Money Supply'!$A:$D,4)</f>
        <v/>
      </c>
      <c r="C317" s="30">
        <f>(Table2634[[#This Row],[M1 Money Stock, Billions of Dollars, Weekly, Seasonally Adjusted]]-B316)/B316</f>
        <v/>
      </c>
      <c r="D317" s="34">
        <f>((1+Table2634[[#This Row],[Weekly change]])^52)-1</f>
        <v/>
      </c>
      <c r="E317" s="24">
        <f>AVERAGE(B314:B317)</f>
        <v/>
      </c>
      <c r="F317" s="32">
        <f>(Table2634[[#This Row],[4 weeks average]]-B265)/B265</f>
        <v/>
      </c>
    </row>
    <row r="318">
      <c r="A318" s="22" t="n">
        <v>29584</v>
      </c>
      <c r="B318" s="24">
        <f>VLOOKUP(Table2634[[#This Row],[Date]],'DB Money Supply'!$A:$D,4)</f>
        <v/>
      </c>
      <c r="C318" s="30">
        <f>(Table2634[[#This Row],[M1 Money Stock, Billions of Dollars, Weekly, Seasonally Adjusted]]-B317)/B317</f>
        <v/>
      </c>
      <c r="D318" s="34">
        <f>((1+Table2634[[#This Row],[Weekly change]])^52)-1</f>
        <v/>
      </c>
      <c r="E318" s="24">
        <f>AVERAGE(B315:B318)</f>
        <v/>
      </c>
      <c r="F318" s="32">
        <f>(Table2634[[#This Row],[4 weeks average]]-B266)/B266</f>
        <v/>
      </c>
    </row>
    <row r="319">
      <c r="A319" s="22" t="n">
        <v>29591</v>
      </c>
      <c r="B319" s="24">
        <f>VLOOKUP(Table2634[[#This Row],[Date]],'DB Money Supply'!$A:$D,4)</f>
        <v/>
      </c>
      <c r="C319" s="30">
        <f>(Table2634[[#This Row],[M1 Money Stock, Billions of Dollars, Weekly, Seasonally Adjusted]]-B318)/B318</f>
        <v/>
      </c>
      <c r="D319" s="34">
        <f>((1+Table2634[[#This Row],[Weekly change]])^52)-1</f>
        <v/>
      </c>
      <c r="E319" s="24">
        <f>AVERAGE(B316:B319)</f>
        <v/>
      </c>
      <c r="F319" s="32">
        <f>(Table2634[[#This Row],[4 weeks average]]-B267)/B267</f>
        <v/>
      </c>
    </row>
    <row r="320">
      <c r="A320" s="22" t="n">
        <v>29598</v>
      </c>
      <c r="B320" s="24">
        <f>VLOOKUP(Table2634[[#This Row],[Date]],'DB Money Supply'!$A:$D,4)</f>
        <v/>
      </c>
      <c r="C320" s="30">
        <f>(Table2634[[#This Row],[M1 Money Stock, Billions of Dollars, Weekly, Seasonally Adjusted]]-B319)/B319</f>
        <v/>
      </c>
      <c r="D320" s="34">
        <f>((1+Table2634[[#This Row],[Weekly change]])^52)-1</f>
        <v/>
      </c>
      <c r="E320" s="24">
        <f>AVERAGE(B317:B320)</f>
        <v/>
      </c>
      <c r="F320" s="32">
        <f>(Table2634[[#This Row],[4 weeks average]]-B268)/B268</f>
        <v/>
      </c>
    </row>
    <row r="321">
      <c r="A321" s="22" t="n">
        <v>29605</v>
      </c>
      <c r="B321" s="24">
        <f>VLOOKUP(Table2634[[#This Row],[Date]],'DB Money Supply'!$A:$D,4)</f>
        <v/>
      </c>
      <c r="C321" s="30">
        <f>(Table2634[[#This Row],[M1 Money Stock, Billions of Dollars, Weekly, Seasonally Adjusted]]-B320)/B320</f>
        <v/>
      </c>
      <c r="D321" s="34">
        <f>((1+Table2634[[#This Row],[Weekly change]])^52)-1</f>
        <v/>
      </c>
      <c r="E321" s="24">
        <f>AVERAGE(B318:B321)</f>
        <v/>
      </c>
      <c r="F321" s="32">
        <f>(Table2634[[#This Row],[4 weeks average]]-B269)/B269</f>
        <v/>
      </c>
    </row>
    <row r="322">
      <c r="A322" s="22" t="n">
        <v>29612</v>
      </c>
      <c r="B322" s="24">
        <f>VLOOKUP(Table2634[[#This Row],[Date]],'DB Money Supply'!$A:$D,4)</f>
        <v/>
      </c>
      <c r="C322" s="30">
        <f>(Table2634[[#This Row],[M1 Money Stock, Billions of Dollars, Weekly, Seasonally Adjusted]]-B321)/B321</f>
        <v/>
      </c>
      <c r="D322" s="34">
        <f>((1+Table2634[[#This Row],[Weekly change]])^52)-1</f>
        <v/>
      </c>
      <c r="E322" s="24">
        <f>AVERAGE(B319:B322)</f>
        <v/>
      </c>
      <c r="F322" s="32">
        <f>(Table2634[[#This Row],[4 weeks average]]-B270)/B270</f>
        <v/>
      </c>
    </row>
    <row r="323">
      <c r="A323" s="22" t="n">
        <v>29619</v>
      </c>
      <c r="B323" s="24">
        <f>VLOOKUP(Table2634[[#This Row],[Date]],'DB Money Supply'!$A:$D,4)</f>
        <v/>
      </c>
      <c r="C323" s="30">
        <f>(Table2634[[#This Row],[M1 Money Stock, Billions of Dollars, Weekly, Seasonally Adjusted]]-B322)/B322</f>
        <v/>
      </c>
      <c r="D323" s="34">
        <f>((1+Table2634[[#This Row],[Weekly change]])^52)-1</f>
        <v/>
      </c>
      <c r="E323" s="24">
        <f>AVERAGE(B320:B323)</f>
        <v/>
      </c>
      <c r="F323" s="32">
        <f>(Table2634[[#This Row],[4 weeks average]]-B271)/B271</f>
        <v/>
      </c>
    </row>
    <row r="324">
      <c r="A324" s="22" t="n">
        <v>29626</v>
      </c>
      <c r="B324" s="24">
        <f>VLOOKUP(Table2634[[#This Row],[Date]],'DB Money Supply'!$A:$D,4)</f>
        <v/>
      </c>
      <c r="C324" s="30">
        <f>(Table2634[[#This Row],[M1 Money Stock, Billions of Dollars, Weekly, Seasonally Adjusted]]-B323)/B323</f>
        <v/>
      </c>
      <c r="D324" s="34">
        <f>((1+Table2634[[#This Row],[Weekly change]])^52)-1</f>
        <v/>
      </c>
      <c r="E324" s="24">
        <f>AVERAGE(B321:B324)</f>
        <v/>
      </c>
      <c r="F324" s="32">
        <f>(Table2634[[#This Row],[4 weeks average]]-B272)/B272</f>
        <v/>
      </c>
    </row>
    <row r="325">
      <c r="A325" s="22" t="n">
        <v>29633</v>
      </c>
      <c r="B325" s="24">
        <f>VLOOKUP(Table2634[[#This Row],[Date]],'DB Money Supply'!$A:$D,4)</f>
        <v/>
      </c>
      <c r="C325" s="30">
        <f>(Table2634[[#This Row],[M1 Money Stock, Billions of Dollars, Weekly, Seasonally Adjusted]]-B324)/B324</f>
        <v/>
      </c>
      <c r="D325" s="34">
        <f>((1+Table2634[[#This Row],[Weekly change]])^52)-1</f>
        <v/>
      </c>
      <c r="E325" s="24">
        <f>AVERAGE(B322:B325)</f>
        <v/>
      </c>
      <c r="F325" s="32">
        <f>(Table2634[[#This Row],[4 weeks average]]-B273)/B273</f>
        <v/>
      </c>
    </row>
    <row r="326">
      <c r="A326" s="22" t="n">
        <v>29640</v>
      </c>
      <c r="B326" s="24">
        <f>VLOOKUP(Table2634[[#This Row],[Date]],'DB Money Supply'!$A:$D,4)</f>
        <v/>
      </c>
      <c r="C326" s="30">
        <f>(Table2634[[#This Row],[M1 Money Stock, Billions of Dollars, Weekly, Seasonally Adjusted]]-B325)/B325</f>
        <v/>
      </c>
      <c r="D326" s="34">
        <f>((1+Table2634[[#This Row],[Weekly change]])^52)-1</f>
        <v/>
      </c>
      <c r="E326" s="24">
        <f>AVERAGE(B323:B326)</f>
        <v/>
      </c>
      <c r="F326" s="32">
        <f>(Table2634[[#This Row],[4 weeks average]]-B274)/B274</f>
        <v/>
      </c>
    </row>
    <row r="327">
      <c r="A327" s="22" t="n">
        <v>29647</v>
      </c>
      <c r="B327" s="24">
        <f>VLOOKUP(Table2634[[#This Row],[Date]],'DB Money Supply'!$A:$D,4)</f>
        <v/>
      </c>
      <c r="C327" s="30">
        <f>(Table2634[[#This Row],[M1 Money Stock, Billions of Dollars, Weekly, Seasonally Adjusted]]-B326)/B326</f>
        <v/>
      </c>
      <c r="D327" s="34">
        <f>((1+Table2634[[#This Row],[Weekly change]])^52)-1</f>
        <v/>
      </c>
      <c r="E327" s="24">
        <f>AVERAGE(B324:B327)</f>
        <v/>
      </c>
      <c r="F327" s="32">
        <f>(Table2634[[#This Row],[4 weeks average]]-B275)/B275</f>
        <v/>
      </c>
    </row>
    <row r="328">
      <c r="A328" s="22" t="n">
        <v>29654</v>
      </c>
      <c r="B328" s="24">
        <f>VLOOKUP(Table2634[[#This Row],[Date]],'DB Money Supply'!$A:$D,4)</f>
        <v/>
      </c>
      <c r="C328" s="30">
        <f>(Table2634[[#This Row],[M1 Money Stock, Billions of Dollars, Weekly, Seasonally Adjusted]]-B327)/B327</f>
        <v/>
      </c>
      <c r="D328" s="34">
        <f>((1+Table2634[[#This Row],[Weekly change]])^52)-1</f>
        <v/>
      </c>
      <c r="E328" s="24">
        <f>AVERAGE(B325:B328)</f>
        <v/>
      </c>
      <c r="F328" s="32">
        <f>(Table2634[[#This Row],[4 weeks average]]-B276)/B276</f>
        <v/>
      </c>
    </row>
    <row r="329">
      <c r="A329" s="22" t="n">
        <v>29661</v>
      </c>
      <c r="B329" s="24">
        <f>VLOOKUP(Table2634[[#This Row],[Date]],'DB Money Supply'!$A:$D,4)</f>
        <v/>
      </c>
      <c r="C329" s="30">
        <f>(Table2634[[#This Row],[M1 Money Stock, Billions of Dollars, Weekly, Seasonally Adjusted]]-B328)/B328</f>
        <v/>
      </c>
      <c r="D329" s="34">
        <f>((1+Table2634[[#This Row],[Weekly change]])^52)-1</f>
        <v/>
      </c>
      <c r="E329" s="24">
        <f>AVERAGE(B326:B329)</f>
        <v/>
      </c>
      <c r="F329" s="32">
        <f>(Table2634[[#This Row],[4 weeks average]]-B277)/B277</f>
        <v/>
      </c>
    </row>
    <row r="330">
      <c r="A330" s="22" t="n">
        <v>29668</v>
      </c>
      <c r="B330" s="24">
        <f>VLOOKUP(Table2634[[#This Row],[Date]],'DB Money Supply'!$A:$D,4)</f>
        <v/>
      </c>
      <c r="C330" s="30">
        <f>(Table2634[[#This Row],[M1 Money Stock, Billions of Dollars, Weekly, Seasonally Adjusted]]-B329)/B329</f>
        <v/>
      </c>
      <c r="D330" s="34">
        <f>((1+Table2634[[#This Row],[Weekly change]])^52)-1</f>
        <v/>
      </c>
      <c r="E330" s="24">
        <f>AVERAGE(B327:B330)</f>
        <v/>
      </c>
      <c r="F330" s="32">
        <f>(Table2634[[#This Row],[4 weeks average]]-B278)/B278</f>
        <v/>
      </c>
    </row>
    <row r="331">
      <c r="A331" s="22" t="n">
        <v>29675</v>
      </c>
      <c r="B331" s="24">
        <f>VLOOKUP(Table2634[[#This Row],[Date]],'DB Money Supply'!$A:$D,4)</f>
        <v/>
      </c>
      <c r="C331" s="30">
        <f>(Table2634[[#This Row],[M1 Money Stock, Billions of Dollars, Weekly, Seasonally Adjusted]]-B330)/B330</f>
        <v/>
      </c>
      <c r="D331" s="34">
        <f>((1+Table2634[[#This Row],[Weekly change]])^52)-1</f>
        <v/>
      </c>
      <c r="E331" s="24">
        <f>AVERAGE(B328:B331)</f>
        <v/>
      </c>
      <c r="F331" s="32">
        <f>(Table2634[[#This Row],[4 weeks average]]-B279)/B279</f>
        <v/>
      </c>
    </row>
    <row r="332">
      <c r="A332" s="22" t="n">
        <v>29682</v>
      </c>
      <c r="B332" s="24">
        <f>VLOOKUP(Table2634[[#This Row],[Date]],'DB Money Supply'!$A:$D,4)</f>
        <v/>
      </c>
      <c r="C332" s="30">
        <f>(Table2634[[#This Row],[M1 Money Stock, Billions of Dollars, Weekly, Seasonally Adjusted]]-B331)/B331</f>
        <v/>
      </c>
      <c r="D332" s="34">
        <f>((1+Table2634[[#This Row],[Weekly change]])^52)-1</f>
        <v/>
      </c>
      <c r="E332" s="24">
        <f>AVERAGE(B329:B332)</f>
        <v/>
      </c>
      <c r="F332" s="32">
        <f>(Table2634[[#This Row],[4 weeks average]]-B280)/B280</f>
        <v/>
      </c>
    </row>
    <row r="333">
      <c r="A333" s="22" t="n">
        <v>29689</v>
      </c>
      <c r="B333" s="24">
        <f>VLOOKUP(Table2634[[#This Row],[Date]],'DB Money Supply'!$A:$D,4)</f>
        <v/>
      </c>
      <c r="C333" s="30">
        <f>(Table2634[[#This Row],[M1 Money Stock, Billions of Dollars, Weekly, Seasonally Adjusted]]-B332)/B332</f>
        <v/>
      </c>
      <c r="D333" s="34">
        <f>((1+Table2634[[#This Row],[Weekly change]])^52)-1</f>
        <v/>
      </c>
      <c r="E333" s="24">
        <f>AVERAGE(B330:B333)</f>
        <v/>
      </c>
      <c r="F333" s="32">
        <f>(Table2634[[#This Row],[4 weeks average]]-B281)/B281</f>
        <v/>
      </c>
    </row>
    <row r="334">
      <c r="A334" s="22" t="n">
        <v>29696</v>
      </c>
      <c r="B334" s="24">
        <f>VLOOKUP(Table2634[[#This Row],[Date]],'DB Money Supply'!$A:$D,4)</f>
        <v/>
      </c>
      <c r="C334" s="30">
        <f>(Table2634[[#This Row],[M1 Money Stock, Billions of Dollars, Weekly, Seasonally Adjusted]]-B333)/B333</f>
        <v/>
      </c>
      <c r="D334" s="34">
        <f>((1+Table2634[[#This Row],[Weekly change]])^52)-1</f>
        <v/>
      </c>
      <c r="E334" s="24">
        <f>AVERAGE(B331:B334)</f>
        <v/>
      </c>
      <c r="F334" s="32">
        <f>(Table2634[[#This Row],[4 weeks average]]-B282)/B282</f>
        <v/>
      </c>
    </row>
    <row r="335">
      <c r="A335" s="22" t="n">
        <v>29703</v>
      </c>
      <c r="B335" s="24">
        <f>VLOOKUP(Table2634[[#This Row],[Date]],'DB Money Supply'!$A:$D,4)</f>
        <v/>
      </c>
      <c r="C335" s="30">
        <f>(Table2634[[#This Row],[M1 Money Stock, Billions of Dollars, Weekly, Seasonally Adjusted]]-B334)/B334</f>
        <v/>
      </c>
      <c r="D335" s="34">
        <f>((1+Table2634[[#This Row],[Weekly change]])^52)-1</f>
        <v/>
      </c>
      <c r="E335" s="24">
        <f>AVERAGE(B332:B335)</f>
        <v/>
      </c>
      <c r="F335" s="32">
        <f>(Table2634[[#This Row],[4 weeks average]]-B283)/B283</f>
        <v/>
      </c>
    </row>
    <row r="336">
      <c r="A336" s="22" t="n">
        <v>29710</v>
      </c>
      <c r="B336" s="24">
        <f>VLOOKUP(Table2634[[#This Row],[Date]],'DB Money Supply'!$A:$D,4)</f>
        <v/>
      </c>
      <c r="C336" s="30">
        <f>(Table2634[[#This Row],[M1 Money Stock, Billions of Dollars, Weekly, Seasonally Adjusted]]-B335)/B335</f>
        <v/>
      </c>
      <c r="D336" s="34">
        <f>((1+Table2634[[#This Row],[Weekly change]])^52)-1</f>
        <v/>
      </c>
      <c r="E336" s="24">
        <f>AVERAGE(B333:B336)</f>
        <v/>
      </c>
      <c r="F336" s="32">
        <f>(Table2634[[#This Row],[4 weeks average]]-B284)/B284</f>
        <v/>
      </c>
    </row>
    <row r="337">
      <c r="A337" s="22" t="n">
        <v>29717</v>
      </c>
      <c r="B337" s="24">
        <f>VLOOKUP(Table2634[[#This Row],[Date]],'DB Money Supply'!$A:$D,4)</f>
        <v/>
      </c>
      <c r="C337" s="30">
        <f>(Table2634[[#This Row],[M1 Money Stock, Billions of Dollars, Weekly, Seasonally Adjusted]]-B336)/B336</f>
        <v/>
      </c>
      <c r="D337" s="34">
        <f>((1+Table2634[[#This Row],[Weekly change]])^52)-1</f>
        <v/>
      </c>
      <c r="E337" s="24">
        <f>AVERAGE(B334:B337)</f>
        <v/>
      </c>
      <c r="F337" s="32">
        <f>(Table2634[[#This Row],[4 weeks average]]-B285)/B285</f>
        <v/>
      </c>
    </row>
    <row r="338">
      <c r="A338" s="22" t="n">
        <v>29724</v>
      </c>
      <c r="B338" s="24">
        <f>VLOOKUP(Table2634[[#This Row],[Date]],'DB Money Supply'!$A:$D,4)</f>
        <v/>
      </c>
      <c r="C338" s="30">
        <f>(Table2634[[#This Row],[M1 Money Stock, Billions of Dollars, Weekly, Seasonally Adjusted]]-B337)/B337</f>
        <v/>
      </c>
      <c r="D338" s="34">
        <f>((1+Table2634[[#This Row],[Weekly change]])^52)-1</f>
        <v/>
      </c>
      <c r="E338" s="24">
        <f>AVERAGE(B335:B338)</f>
        <v/>
      </c>
      <c r="F338" s="32">
        <f>(Table2634[[#This Row],[4 weeks average]]-B286)/B286</f>
        <v/>
      </c>
    </row>
    <row r="339">
      <c r="A339" s="22" t="n">
        <v>29731</v>
      </c>
      <c r="B339" s="24">
        <f>VLOOKUP(Table2634[[#This Row],[Date]],'DB Money Supply'!$A:$D,4)</f>
        <v/>
      </c>
      <c r="C339" s="30">
        <f>(Table2634[[#This Row],[M1 Money Stock, Billions of Dollars, Weekly, Seasonally Adjusted]]-B338)/B338</f>
        <v/>
      </c>
      <c r="D339" s="34">
        <f>((1+Table2634[[#This Row],[Weekly change]])^52)-1</f>
        <v/>
      </c>
      <c r="E339" s="24">
        <f>AVERAGE(B336:B339)</f>
        <v/>
      </c>
      <c r="F339" s="32">
        <f>(Table2634[[#This Row],[4 weeks average]]-B287)/B287</f>
        <v/>
      </c>
    </row>
    <row r="340">
      <c r="A340" s="22" t="n">
        <v>29738</v>
      </c>
      <c r="B340" s="24">
        <f>VLOOKUP(Table2634[[#This Row],[Date]],'DB Money Supply'!$A:$D,4)</f>
        <v/>
      </c>
      <c r="C340" s="30">
        <f>(Table2634[[#This Row],[M1 Money Stock, Billions of Dollars, Weekly, Seasonally Adjusted]]-B339)/B339</f>
        <v/>
      </c>
      <c r="D340" s="34">
        <f>((1+Table2634[[#This Row],[Weekly change]])^52)-1</f>
        <v/>
      </c>
      <c r="E340" s="24">
        <f>AVERAGE(B337:B340)</f>
        <v/>
      </c>
      <c r="F340" s="32">
        <f>(Table2634[[#This Row],[4 weeks average]]-B288)/B288</f>
        <v/>
      </c>
    </row>
    <row r="341">
      <c r="A341" s="22" t="n">
        <v>29745</v>
      </c>
      <c r="B341" s="24">
        <f>VLOOKUP(Table2634[[#This Row],[Date]],'DB Money Supply'!$A:$D,4)</f>
        <v/>
      </c>
      <c r="C341" s="30">
        <f>(Table2634[[#This Row],[M1 Money Stock, Billions of Dollars, Weekly, Seasonally Adjusted]]-B340)/B340</f>
        <v/>
      </c>
      <c r="D341" s="34">
        <f>((1+Table2634[[#This Row],[Weekly change]])^52)-1</f>
        <v/>
      </c>
      <c r="E341" s="24">
        <f>AVERAGE(B338:B341)</f>
        <v/>
      </c>
      <c r="F341" s="32">
        <f>(Table2634[[#This Row],[4 weeks average]]-B289)/B289</f>
        <v/>
      </c>
    </row>
    <row r="342">
      <c r="A342" s="22" t="n">
        <v>29752</v>
      </c>
      <c r="B342" s="24">
        <f>VLOOKUP(Table2634[[#This Row],[Date]],'DB Money Supply'!$A:$D,4)</f>
        <v/>
      </c>
      <c r="C342" s="30">
        <f>(Table2634[[#This Row],[M1 Money Stock, Billions of Dollars, Weekly, Seasonally Adjusted]]-B341)/B341</f>
        <v/>
      </c>
      <c r="D342" s="34">
        <f>((1+Table2634[[#This Row],[Weekly change]])^52)-1</f>
        <v/>
      </c>
      <c r="E342" s="24">
        <f>AVERAGE(B339:B342)</f>
        <v/>
      </c>
      <c r="F342" s="32">
        <f>(Table2634[[#This Row],[4 weeks average]]-B290)/B290</f>
        <v/>
      </c>
    </row>
    <row r="343">
      <c r="A343" s="22" t="n">
        <v>29759</v>
      </c>
      <c r="B343" s="24">
        <f>VLOOKUP(Table2634[[#This Row],[Date]],'DB Money Supply'!$A:$D,4)</f>
        <v/>
      </c>
      <c r="C343" s="30">
        <f>(Table2634[[#This Row],[M1 Money Stock, Billions of Dollars, Weekly, Seasonally Adjusted]]-B342)/B342</f>
        <v/>
      </c>
      <c r="D343" s="34">
        <f>((1+Table2634[[#This Row],[Weekly change]])^52)-1</f>
        <v/>
      </c>
      <c r="E343" s="24">
        <f>AVERAGE(B340:B343)</f>
        <v/>
      </c>
      <c r="F343" s="32">
        <f>(Table2634[[#This Row],[4 weeks average]]-B291)/B291</f>
        <v/>
      </c>
    </row>
    <row r="344">
      <c r="A344" s="22" t="n">
        <v>29766</v>
      </c>
      <c r="B344" s="24">
        <f>VLOOKUP(Table2634[[#This Row],[Date]],'DB Money Supply'!$A:$D,4)</f>
        <v/>
      </c>
      <c r="C344" s="30">
        <f>(Table2634[[#This Row],[M1 Money Stock, Billions of Dollars, Weekly, Seasonally Adjusted]]-B343)/B343</f>
        <v/>
      </c>
      <c r="D344" s="34">
        <f>((1+Table2634[[#This Row],[Weekly change]])^52)-1</f>
        <v/>
      </c>
      <c r="E344" s="24">
        <f>AVERAGE(B341:B344)</f>
        <v/>
      </c>
      <c r="F344" s="32">
        <f>(Table2634[[#This Row],[4 weeks average]]-B292)/B292</f>
        <v/>
      </c>
    </row>
    <row r="345">
      <c r="A345" s="22" t="n">
        <v>29773</v>
      </c>
      <c r="B345" s="24">
        <f>VLOOKUP(Table2634[[#This Row],[Date]],'DB Money Supply'!$A:$D,4)</f>
        <v/>
      </c>
      <c r="C345" s="30">
        <f>(Table2634[[#This Row],[M1 Money Stock, Billions of Dollars, Weekly, Seasonally Adjusted]]-B344)/B344</f>
        <v/>
      </c>
      <c r="D345" s="34">
        <f>((1+Table2634[[#This Row],[Weekly change]])^52)-1</f>
        <v/>
      </c>
      <c r="E345" s="24">
        <f>AVERAGE(B342:B345)</f>
        <v/>
      </c>
      <c r="F345" s="32">
        <f>(Table2634[[#This Row],[4 weeks average]]-B293)/B293</f>
        <v/>
      </c>
    </row>
    <row r="346">
      <c r="A346" s="22" t="n">
        <v>29780</v>
      </c>
      <c r="B346" s="24">
        <f>VLOOKUP(Table2634[[#This Row],[Date]],'DB Money Supply'!$A:$D,4)</f>
        <v/>
      </c>
      <c r="C346" s="30">
        <f>(Table2634[[#This Row],[M1 Money Stock, Billions of Dollars, Weekly, Seasonally Adjusted]]-B345)/B345</f>
        <v/>
      </c>
      <c r="D346" s="34">
        <f>((1+Table2634[[#This Row],[Weekly change]])^52)-1</f>
        <v/>
      </c>
      <c r="E346" s="24">
        <f>AVERAGE(B343:B346)</f>
        <v/>
      </c>
      <c r="F346" s="32">
        <f>(Table2634[[#This Row],[4 weeks average]]-B294)/B294</f>
        <v/>
      </c>
    </row>
    <row r="347">
      <c r="A347" s="22" t="n">
        <v>29787</v>
      </c>
      <c r="B347" s="24">
        <f>VLOOKUP(Table2634[[#This Row],[Date]],'DB Money Supply'!$A:$D,4)</f>
        <v/>
      </c>
      <c r="C347" s="30">
        <f>(Table2634[[#This Row],[M1 Money Stock, Billions of Dollars, Weekly, Seasonally Adjusted]]-B346)/B346</f>
        <v/>
      </c>
      <c r="D347" s="34">
        <f>((1+Table2634[[#This Row],[Weekly change]])^52)-1</f>
        <v/>
      </c>
      <c r="E347" s="24">
        <f>AVERAGE(B344:B347)</f>
        <v/>
      </c>
      <c r="F347" s="32">
        <f>(Table2634[[#This Row],[4 weeks average]]-B295)/B295</f>
        <v/>
      </c>
    </row>
    <row r="348">
      <c r="A348" s="22" t="n">
        <v>29794</v>
      </c>
      <c r="B348" s="24">
        <f>VLOOKUP(Table2634[[#This Row],[Date]],'DB Money Supply'!$A:$D,4)</f>
        <v/>
      </c>
      <c r="C348" s="30">
        <f>(Table2634[[#This Row],[M1 Money Stock, Billions of Dollars, Weekly, Seasonally Adjusted]]-B347)/B347</f>
        <v/>
      </c>
      <c r="D348" s="34">
        <f>((1+Table2634[[#This Row],[Weekly change]])^52)-1</f>
        <v/>
      </c>
      <c r="E348" s="24">
        <f>AVERAGE(B345:B348)</f>
        <v/>
      </c>
      <c r="F348" s="32">
        <f>(Table2634[[#This Row],[4 weeks average]]-B296)/B296</f>
        <v/>
      </c>
    </row>
    <row r="349">
      <c r="A349" s="22" t="n">
        <v>29801</v>
      </c>
      <c r="B349" s="24">
        <f>VLOOKUP(Table2634[[#This Row],[Date]],'DB Money Supply'!$A:$D,4)</f>
        <v/>
      </c>
      <c r="C349" s="30">
        <f>(Table2634[[#This Row],[M1 Money Stock, Billions of Dollars, Weekly, Seasonally Adjusted]]-B348)/B348</f>
        <v/>
      </c>
      <c r="D349" s="34">
        <f>((1+Table2634[[#This Row],[Weekly change]])^52)-1</f>
        <v/>
      </c>
      <c r="E349" s="24">
        <f>AVERAGE(B346:B349)</f>
        <v/>
      </c>
      <c r="F349" s="32">
        <f>(Table2634[[#This Row],[4 weeks average]]-B297)/B297</f>
        <v/>
      </c>
    </row>
    <row r="350">
      <c r="A350" s="22" t="n">
        <v>29808</v>
      </c>
      <c r="B350" s="24">
        <f>VLOOKUP(Table2634[[#This Row],[Date]],'DB Money Supply'!$A:$D,4)</f>
        <v/>
      </c>
      <c r="C350" s="30">
        <f>(Table2634[[#This Row],[M1 Money Stock, Billions of Dollars, Weekly, Seasonally Adjusted]]-B349)/B349</f>
        <v/>
      </c>
      <c r="D350" s="34">
        <f>((1+Table2634[[#This Row],[Weekly change]])^52)-1</f>
        <v/>
      </c>
      <c r="E350" s="24">
        <f>AVERAGE(B347:B350)</f>
        <v/>
      </c>
      <c r="F350" s="32">
        <f>(Table2634[[#This Row],[4 weeks average]]-B298)/B298</f>
        <v/>
      </c>
    </row>
    <row r="351">
      <c r="A351" s="22" t="n">
        <v>29815</v>
      </c>
      <c r="B351" s="24">
        <f>VLOOKUP(Table2634[[#This Row],[Date]],'DB Money Supply'!$A:$D,4)</f>
        <v/>
      </c>
      <c r="C351" s="30">
        <f>(Table2634[[#This Row],[M1 Money Stock, Billions of Dollars, Weekly, Seasonally Adjusted]]-B350)/B350</f>
        <v/>
      </c>
      <c r="D351" s="34">
        <f>((1+Table2634[[#This Row],[Weekly change]])^52)-1</f>
        <v/>
      </c>
      <c r="E351" s="24">
        <f>AVERAGE(B348:B351)</f>
        <v/>
      </c>
      <c r="F351" s="32">
        <f>(Table2634[[#This Row],[4 weeks average]]-B299)/B299</f>
        <v/>
      </c>
    </row>
    <row r="352">
      <c r="A352" s="22" t="n">
        <v>29822</v>
      </c>
      <c r="B352" s="24">
        <f>VLOOKUP(Table2634[[#This Row],[Date]],'DB Money Supply'!$A:$D,4)</f>
        <v/>
      </c>
      <c r="C352" s="30">
        <f>(Table2634[[#This Row],[M1 Money Stock, Billions of Dollars, Weekly, Seasonally Adjusted]]-B351)/B351</f>
        <v/>
      </c>
      <c r="D352" s="34">
        <f>((1+Table2634[[#This Row],[Weekly change]])^52)-1</f>
        <v/>
      </c>
      <c r="E352" s="24">
        <f>AVERAGE(B349:B352)</f>
        <v/>
      </c>
      <c r="F352" s="32">
        <f>(Table2634[[#This Row],[4 weeks average]]-B300)/B300</f>
        <v/>
      </c>
    </row>
    <row r="353">
      <c r="A353" s="22" t="n">
        <v>29829</v>
      </c>
      <c r="B353" s="24">
        <f>VLOOKUP(Table2634[[#This Row],[Date]],'DB Money Supply'!$A:$D,4)</f>
        <v/>
      </c>
      <c r="C353" s="30">
        <f>(Table2634[[#This Row],[M1 Money Stock, Billions of Dollars, Weekly, Seasonally Adjusted]]-B352)/B352</f>
        <v/>
      </c>
      <c r="D353" s="34">
        <f>((1+Table2634[[#This Row],[Weekly change]])^52)-1</f>
        <v/>
      </c>
      <c r="E353" s="24">
        <f>AVERAGE(B350:B353)</f>
        <v/>
      </c>
      <c r="F353" s="32">
        <f>(Table2634[[#This Row],[4 weeks average]]-B301)/B301</f>
        <v/>
      </c>
    </row>
    <row r="354">
      <c r="A354" s="22" t="n">
        <v>29836</v>
      </c>
      <c r="B354" s="24">
        <f>VLOOKUP(Table2634[[#This Row],[Date]],'DB Money Supply'!$A:$D,4)</f>
        <v/>
      </c>
      <c r="C354" s="30">
        <f>(Table2634[[#This Row],[M1 Money Stock, Billions of Dollars, Weekly, Seasonally Adjusted]]-B353)/B353</f>
        <v/>
      </c>
      <c r="D354" s="34">
        <f>((1+Table2634[[#This Row],[Weekly change]])^52)-1</f>
        <v/>
      </c>
      <c r="E354" s="24">
        <f>AVERAGE(B351:B354)</f>
        <v/>
      </c>
      <c r="F354" s="32">
        <f>(Table2634[[#This Row],[4 weeks average]]-B302)/B302</f>
        <v/>
      </c>
    </row>
    <row r="355">
      <c r="A355" s="22" t="n">
        <v>29843</v>
      </c>
      <c r="B355" s="24">
        <f>VLOOKUP(Table2634[[#This Row],[Date]],'DB Money Supply'!$A:$D,4)</f>
        <v/>
      </c>
      <c r="C355" s="30">
        <f>(Table2634[[#This Row],[M1 Money Stock, Billions of Dollars, Weekly, Seasonally Adjusted]]-B354)/B354</f>
        <v/>
      </c>
      <c r="D355" s="34">
        <f>((1+Table2634[[#This Row],[Weekly change]])^52)-1</f>
        <v/>
      </c>
      <c r="E355" s="24">
        <f>AVERAGE(B352:B355)</f>
        <v/>
      </c>
      <c r="F355" s="32">
        <f>(Table2634[[#This Row],[4 weeks average]]-B303)/B303</f>
        <v/>
      </c>
    </row>
    <row r="356">
      <c r="A356" s="22" t="n">
        <v>29850</v>
      </c>
      <c r="B356" s="24">
        <f>VLOOKUP(Table2634[[#This Row],[Date]],'DB Money Supply'!$A:$D,4)</f>
        <v/>
      </c>
      <c r="C356" s="30">
        <f>(Table2634[[#This Row],[M1 Money Stock, Billions of Dollars, Weekly, Seasonally Adjusted]]-B355)/B355</f>
        <v/>
      </c>
      <c r="D356" s="34">
        <f>((1+Table2634[[#This Row],[Weekly change]])^52)-1</f>
        <v/>
      </c>
      <c r="E356" s="24">
        <f>AVERAGE(B353:B356)</f>
        <v/>
      </c>
      <c r="F356" s="32">
        <f>(Table2634[[#This Row],[4 weeks average]]-B304)/B304</f>
        <v/>
      </c>
    </row>
    <row r="357">
      <c r="A357" s="22" t="n">
        <v>29857</v>
      </c>
      <c r="B357" s="24">
        <f>VLOOKUP(Table2634[[#This Row],[Date]],'DB Money Supply'!$A:$D,4)</f>
        <v/>
      </c>
      <c r="C357" s="30">
        <f>(Table2634[[#This Row],[M1 Money Stock, Billions of Dollars, Weekly, Seasonally Adjusted]]-B356)/B356</f>
        <v/>
      </c>
      <c r="D357" s="34">
        <f>((1+Table2634[[#This Row],[Weekly change]])^52)-1</f>
        <v/>
      </c>
      <c r="E357" s="24">
        <f>AVERAGE(B354:B357)</f>
        <v/>
      </c>
      <c r="F357" s="32">
        <f>(Table2634[[#This Row],[4 weeks average]]-B305)/B305</f>
        <v/>
      </c>
    </row>
    <row r="358">
      <c r="A358" s="22" t="n">
        <v>29864</v>
      </c>
      <c r="B358" s="24">
        <f>VLOOKUP(Table2634[[#This Row],[Date]],'DB Money Supply'!$A:$D,4)</f>
        <v/>
      </c>
      <c r="C358" s="30">
        <f>(Table2634[[#This Row],[M1 Money Stock, Billions of Dollars, Weekly, Seasonally Adjusted]]-B357)/B357</f>
        <v/>
      </c>
      <c r="D358" s="34">
        <f>((1+Table2634[[#This Row],[Weekly change]])^52)-1</f>
        <v/>
      </c>
      <c r="E358" s="24">
        <f>AVERAGE(B355:B358)</f>
        <v/>
      </c>
      <c r="F358" s="32">
        <f>(Table2634[[#This Row],[4 weeks average]]-B306)/B306</f>
        <v/>
      </c>
    </row>
    <row r="359">
      <c r="A359" s="22" t="n">
        <v>29871</v>
      </c>
      <c r="B359" s="24">
        <f>VLOOKUP(Table2634[[#This Row],[Date]],'DB Money Supply'!$A:$D,4)</f>
        <v/>
      </c>
      <c r="C359" s="30">
        <f>(Table2634[[#This Row],[M1 Money Stock, Billions of Dollars, Weekly, Seasonally Adjusted]]-B358)/B358</f>
        <v/>
      </c>
      <c r="D359" s="34">
        <f>((1+Table2634[[#This Row],[Weekly change]])^52)-1</f>
        <v/>
      </c>
      <c r="E359" s="24">
        <f>AVERAGE(B356:B359)</f>
        <v/>
      </c>
      <c r="F359" s="32">
        <f>(Table2634[[#This Row],[4 weeks average]]-B307)/B307</f>
        <v/>
      </c>
    </row>
    <row r="360">
      <c r="A360" s="22" t="n">
        <v>29878</v>
      </c>
      <c r="B360" s="24">
        <f>VLOOKUP(Table2634[[#This Row],[Date]],'DB Money Supply'!$A:$D,4)</f>
        <v/>
      </c>
      <c r="C360" s="30">
        <f>(Table2634[[#This Row],[M1 Money Stock, Billions of Dollars, Weekly, Seasonally Adjusted]]-B359)/B359</f>
        <v/>
      </c>
      <c r="D360" s="34">
        <f>((1+Table2634[[#This Row],[Weekly change]])^52)-1</f>
        <v/>
      </c>
      <c r="E360" s="24">
        <f>AVERAGE(B357:B360)</f>
        <v/>
      </c>
      <c r="F360" s="32">
        <f>(Table2634[[#This Row],[4 weeks average]]-B308)/B308</f>
        <v/>
      </c>
    </row>
    <row r="361">
      <c r="A361" s="22" t="n">
        <v>29885</v>
      </c>
      <c r="B361" s="24">
        <f>VLOOKUP(Table2634[[#This Row],[Date]],'DB Money Supply'!$A:$D,4)</f>
        <v/>
      </c>
      <c r="C361" s="30">
        <f>(Table2634[[#This Row],[M1 Money Stock, Billions of Dollars, Weekly, Seasonally Adjusted]]-B360)/B360</f>
        <v/>
      </c>
      <c r="D361" s="34">
        <f>((1+Table2634[[#This Row],[Weekly change]])^52)-1</f>
        <v/>
      </c>
      <c r="E361" s="24">
        <f>AVERAGE(B358:B361)</f>
        <v/>
      </c>
      <c r="F361" s="32">
        <f>(Table2634[[#This Row],[4 weeks average]]-B309)/B309</f>
        <v/>
      </c>
    </row>
    <row r="362">
      <c r="A362" s="22" t="n">
        <v>29892</v>
      </c>
      <c r="B362" s="24">
        <f>VLOOKUP(Table2634[[#This Row],[Date]],'DB Money Supply'!$A:$D,4)</f>
        <v/>
      </c>
      <c r="C362" s="30">
        <f>(Table2634[[#This Row],[M1 Money Stock, Billions of Dollars, Weekly, Seasonally Adjusted]]-B361)/B361</f>
        <v/>
      </c>
      <c r="D362" s="34">
        <f>((1+Table2634[[#This Row],[Weekly change]])^52)-1</f>
        <v/>
      </c>
      <c r="E362" s="24">
        <f>AVERAGE(B359:B362)</f>
        <v/>
      </c>
      <c r="F362" s="32">
        <f>(Table2634[[#This Row],[4 weeks average]]-B310)/B310</f>
        <v/>
      </c>
    </row>
    <row r="363">
      <c r="A363" s="22" t="n">
        <v>29899</v>
      </c>
      <c r="B363" s="24">
        <f>VLOOKUP(Table2634[[#This Row],[Date]],'DB Money Supply'!$A:$D,4)</f>
        <v/>
      </c>
      <c r="C363" s="30">
        <f>(Table2634[[#This Row],[M1 Money Stock, Billions of Dollars, Weekly, Seasonally Adjusted]]-B362)/B362</f>
        <v/>
      </c>
      <c r="D363" s="34">
        <f>((1+Table2634[[#This Row],[Weekly change]])^52)-1</f>
        <v/>
      </c>
      <c r="E363" s="24">
        <f>AVERAGE(B360:B363)</f>
        <v/>
      </c>
      <c r="F363" s="32">
        <f>(Table2634[[#This Row],[4 weeks average]]-B311)/B311</f>
        <v/>
      </c>
    </row>
    <row r="364">
      <c r="A364" s="22" t="n">
        <v>29906</v>
      </c>
      <c r="B364" s="24">
        <f>VLOOKUP(Table2634[[#This Row],[Date]],'DB Money Supply'!$A:$D,4)</f>
        <v/>
      </c>
      <c r="C364" s="30">
        <f>(Table2634[[#This Row],[M1 Money Stock, Billions of Dollars, Weekly, Seasonally Adjusted]]-B363)/B363</f>
        <v/>
      </c>
      <c r="D364" s="34">
        <f>((1+Table2634[[#This Row],[Weekly change]])^52)-1</f>
        <v/>
      </c>
      <c r="E364" s="24">
        <f>AVERAGE(B361:B364)</f>
        <v/>
      </c>
      <c r="F364" s="32">
        <f>(Table2634[[#This Row],[4 weeks average]]-B312)/B312</f>
        <v/>
      </c>
    </row>
    <row r="365">
      <c r="A365" s="22" t="n">
        <v>29913</v>
      </c>
      <c r="B365" s="24">
        <f>VLOOKUP(Table2634[[#This Row],[Date]],'DB Money Supply'!$A:$D,4)</f>
        <v/>
      </c>
      <c r="C365" s="30">
        <f>(Table2634[[#This Row],[M1 Money Stock, Billions of Dollars, Weekly, Seasonally Adjusted]]-B364)/B364</f>
        <v/>
      </c>
      <c r="D365" s="34">
        <f>((1+Table2634[[#This Row],[Weekly change]])^52)-1</f>
        <v/>
      </c>
      <c r="E365" s="24">
        <f>AVERAGE(B362:B365)</f>
        <v/>
      </c>
      <c r="F365" s="32">
        <f>(Table2634[[#This Row],[4 weeks average]]-B313)/B313</f>
        <v/>
      </c>
    </row>
    <row r="366">
      <c r="A366" s="22" t="n">
        <v>29920</v>
      </c>
      <c r="B366" s="24">
        <f>VLOOKUP(Table2634[[#This Row],[Date]],'DB Money Supply'!$A:$D,4)</f>
        <v/>
      </c>
      <c r="C366" s="30">
        <f>(Table2634[[#This Row],[M1 Money Stock, Billions of Dollars, Weekly, Seasonally Adjusted]]-B365)/B365</f>
        <v/>
      </c>
      <c r="D366" s="34">
        <f>((1+Table2634[[#This Row],[Weekly change]])^52)-1</f>
        <v/>
      </c>
      <c r="E366" s="24">
        <f>AVERAGE(B363:B366)</f>
        <v/>
      </c>
      <c r="F366" s="32">
        <f>(Table2634[[#This Row],[4 weeks average]]-B314)/B314</f>
        <v/>
      </c>
    </row>
    <row r="367">
      <c r="A367" s="22" t="n">
        <v>29927</v>
      </c>
      <c r="B367" s="24">
        <f>VLOOKUP(Table2634[[#This Row],[Date]],'DB Money Supply'!$A:$D,4)</f>
        <v/>
      </c>
      <c r="C367" s="30">
        <f>(Table2634[[#This Row],[M1 Money Stock, Billions of Dollars, Weekly, Seasonally Adjusted]]-B366)/B366</f>
        <v/>
      </c>
      <c r="D367" s="34">
        <f>((1+Table2634[[#This Row],[Weekly change]])^52)-1</f>
        <v/>
      </c>
      <c r="E367" s="24">
        <f>AVERAGE(B364:B367)</f>
        <v/>
      </c>
      <c r="F367" s="32">
        <f>(Table2634[[#This Row],[4 weeks average]]-B315)/B315</f>
        <v/>
      </c>
    </row>
    <row r="368">
      <c r="A368" s="22" t="n">
        <v>29934</v>
      </c>
      <c r="B368" s="24">
        <f>VLOOKUP(Table2634[[#This Row],[Date]],'DB Money Supply'!$A:$D,4)</f>
        <v/>
      </c>
      <c r="C368" s="30">
        <f>(Table2634[[#This Row],[M1 Money Stock, Billions of Dollars, Weekly, Seasonally Adjusted]]-B367)/B367</f>
        <v/>
      </c>
      <c r="D368" s="34">
        <f>((1+Table2634[[#This Row],[Weekly change]])^52)-1</f>
        <v/>
      </c>
      <c r="E368" s="24">
        <f>AVERAGE(B365:B368)</f>
        <v/>
      </c>
      <c r="F368" s="32">
        <f>(Table2634[[#This Row],[4 weeks average]]-B316)/B316</f>
        <v/>
      </c>
    </row>
    <row r="369">
      <c r="A369" s="22" t="n">
        <v>29941</v>
      </c>
      <c r="B369" s="24">
        <f>VLOOKUP(Table2634[[#This Row],[Date]],'DB Money Supply'!$A:$D,4)</f>
        <v/>
      </c>
      <c r="C369" s="30">
        <f>(Table2634[[#This Row],[M1 Money Stock, Billions of Dollars, Weekly, Seasonally Adjusted]]-B368)/B368</f>
        <v/>
      </c>
      <c r="D369" s="34">
        <f>((1+Table2634[[#This Row],[Weekly change]])^52)-1</f>
        <v/>
      </c>
      <c r="E369" s="24">
        <f>AVERAGE(B366:B369)</f>
        <v/>
      </c>
      <c r="F369" s="32">
        <f>(Table2634[[#This Row],[4 weeks average]]-B317)/B317</f>
        <v/>
      </c>
    </row>
    <row r="370">
      <c r="A370" s="22" t="n">
        <v>29948</v>
      </c>
      <c r="B370" s="24">
        <f>VLOOKUP(Table2634[[#This Row],[Date]],'DB Money Supply'!$A:$D,4)</f>
        <v/>
      </c>
      <c r="C370" s="30">
        <f>(Table2634[[#This Row],[M1 Money Stock, Billions of Dollars, Weekly, Seasonally Adjusted]]-B369)/B369</f>
        <v/>
      </c>
      <c r="D370" s="34">
        <f>((1+Table2634[[#This Row],[Weekly change]])^52)-1</f>
        <v/>
      </c>
      <c r="E370" s="24">
        <f>AVERAGE(B367:B370)</f>
        <v/>
      </c>
      <c r="F370" s="32">
        <f>(Table2634[[#This Row],[4 weeks average]]-B318)/B318</f>
        <v/>
      </c>
    </row>
    <row r="371">
      <c r="A371" s="22" t="n">
        <v>29955</v>
      </c>
      <c r="B371" s="24">
        <f>VLOOKUP(Table2634[[#This Row],[Date]],'DB Money Supply'!$A:$D,4)</f>
        <v/>
      </c>
      <c r="C371" s="30">
        <f>(Table2634[[#This Row],[M1 Money Stock, Billions of Dollars, Weekly, Seasonally Adjusted]]-B370)/B370</f>
        <v/>
      </c>
      <c r="D371" s="34">
        <f>((1+Table2634[[#This Row],[Weekly change]])^52)-1</f>
        <v/>
      </c>
      <c r="E371" s="24">
        <f>AVERAGE(B368:B371)</f>
        <v/>
      </c>
      <c r="F371" s="32">
        <f>(Table2634[[#This Row],[4 weeks average]]-B319)/B319</f>
        <v/>
      </c>
    </row>
    <row r="372">
      <c r="A372" s="22" t="n">
        <v>29962</v>
      </c>
      <c r="B372" s="24">
        <f>VLOOKUP(Table2634[[#This Row],[Date]],'DB Money Supply'!$A:$D,4)</f>
        <v/>
      </c>
      <c r="C372" s="30">
        <f>(Table2634[[#This Row],[M1 Money Stock, Billions of Dollars, Weekly, Seasonally Adjusted]]-B371)/B371</f>
        <v/>
      </c>
      <c r="D372" s="34">
        <f>((1+Table2634[[#This Row],[Weekly change]])^52)-1</f>
        <v/>
      </c>
      <c r="E372" s="24">
        <f>AVERAGE(B369:B372)</f>
        <v/>
      </c>
      <c r="F372" s="32">
        <f>(Table2634[[#This Row],[4 weeks average]]-B320)/B320</f>
        <v/>
      </c>
    </row>
    <row r="373">
      <c r="A373" s="22" t="n">
        <v>29969</v>
      </c>
      <c r="B373" s="24">
        <f>VLOOKUP(Table2634[[#This Row],[Date]],'DB Money Supply'!$A:$D,4)</f>
        <v/>
      </c>
      <c r="C373" s="30">
        <f>(Table2634[[#This Row],[M1 Money Stock, Billions of Dollars, Weekly, Seasonally Adjusted]]-B372)/B372</f>
        <v/>
      </c>
      <c r="D373" s="34">
        <f>((1+Table2634[[#This Row],[Weekly change]])^52)-1</f>
        <v/>
      </c>
      <c r="E373" s="24">
        <f>AVERAGE(B370:B373)</f>
        <v/>
      </c>
      <c r="F373" s="32">
        <f>(Table2634[[#This Row],[4 weeks average]]-B321)/B321</f>
        <v/>
      </c>
    </row>
    <row r="374">
      <c r="A374" s="22" t="n">
        <v>29976</v>
      </c>
      <c r="B374" s="24">
        <f>VLOOKUP(Table2634[[#This Row],[Date]],'DB Money Supply'!$A:$D,4)</f>
        <v/>
      </c>
      <c r="C374" s="30">
        <f>(Table2634[[#This Row],[M1 Money Stock, Billions of Dollars, Weekly, Seasonally Adjusted]]-B373)/B373</f>
        <v/>
      </c>
      <c r="D374" s="34">
        <f>((1+Table2634[[#This Row],[Weekly change]])^52)-1</f>
        <v/>
      </c>
      <c r="E374" s="24">
        <f>AVERAGE(B371:B374)</f>
        <v/>
      </c>
      <c r="F374" s="32">
        <f>(Table2634[[#This Row],[4 weeks average]]-B322)/B322</f>
        <v/>
      </c>
    </row>
    <row r="375">
      <c r="A375" s="22" t="n">
        <v>29983</v>
      </c>
      <c r="B375" s="24">
        <f>VLOOKUP(Table2634[[#This Row],[Date]],'DB Money Supply'!$A:$D,4)</f>
        <v/>
      </c>
      <c r="C375" s="30">
        <f>(Table2634[[#This Row],[M1 Money Stock, Billions of Dollars, Weekly, Seasonally Adjusted]]-B374)/B374</f>
        <v/>
      </c>
      <c r="D375" s="34">
        <f>((1+Table2634[[#This Row],[Weekly change]])^52)-1</f>
        <v/>
      </c>
      <c r="E375" s="24">
        <f>AVERAGE(B372:B375)</f>
        <v/>
      </c>
      <c r="F375" s="32">
        <f>(Table2634[[#This Row],[4 weeks average]]-B323)/B323</f>
        <v/>
      </c>
    </row>
    <row r="376">
      <c r="A376" s="22" t="n">
        <v>29990</v>
      </c>
      <c r="B376" s="24">
        <f>VLOOKUP(Table2634[[#This Row],[Date]],'DB Money Supply'!$A:$D,4)</f>
        <v/>
      </c>
      <c r="C376" s="30">
        <f>(Table2634[[#This Row],[M1 Money Stock, Billions of Dollars, Weekly, Seasonally Adjusted]]-B375)/B375</f>
        <v/>
      </c>
      <c r="D376" s="34">
        <f>((1+Table2634[[#This Row],[Weekly change]])^52)-1</f>
        <v/>
      </c>
      <c r="E376" s="24">
        <f>AVERAGE(B373:B376)</f>
        <v/>
      </c>
      <c r="F376" s="32">
        <f>(Table2634[[#This Row],[4 weeks average]]-B324)/B324</f>
        <v/>
      </c>
    </row>
    <row r="377">
      <c r="A377" s="22" t="n">
        <v>29997</v>
      </c>
      <c r="B377" s="24">
        <f>VLOOKUP(Table2634[[#This Row],[Date]],'DB Money Supply'!$A:$D,4)</f>
        <v/>
      </c>
      <c r="C377" s="30">
        <f>(Table2634[[#This Row],[M1 Money Stock, Billions of Dollars, Weekly, Seasonally Adjusted]]-B376)/B376</f>
        <v/>
      </c>
      <c r="D377" s="34">
        <f>((1+Table2634[[#This Row],[Weekly change]])^52)-1</f>
        <v/>
      </c>
      <c r="E377" s="24">
        <f>AVERAGE(B374:B377)</f>
        <v/>
      </c>
      <c r="F377" s="32">
        <f>(Table2634[[#This Row],[4 weeks average]]-B325)/B325</f>
        <v/>
      </c>
    </row>
    <row r="378">
      <c r="A378" s="22" t="n">
        <v>30004</v>
      </c>
      <c r="B378" s="24">
        <f>VLOOKUP(Table2634[[#This Row],[Date]],'DB Money Supply'!$A:$D,4)</f>
        <v/>
      </c>
      <c r="C378" s="30">
        <f>(Table2634[[#This Row],[M1 Money Stock, Billions of Dollars, Weekly, Seasonally Adjusted]]-B377)/B377</f>
        <v/>
      </c>
      <c r="D378" s="34">
        <f>((1+Table2634[[#This Row],[Weekly change]])^52)-1</f>
        <v/>
      </c>
      <c r="E378" s="24">
        <f>AVERAGE(B375:B378)</f>
        <v/>
      </c>
      <c r="F378" s="32">
        <f>(Table2634[[#This Row],[4 weeks average]]-B326)/B326</f>
        <v/>
      </c>
    </row>
    <row r="379">
      <c r="A379" s="22" t="n">
        <v>30011</v>
      </c>
      <c r="B379" s="24">
        <f>VLOOKUP(Table2634[[#This Row],[Date]],'DB Money Supply'!$A:$D,4)</f>
        <v/>
      </c>
      <c r="C379" s="30">
        <f>(Table2634[[#This Row],[M1 Money Stock, Billions of Dollars, Weekly, Seasonally Adjusted]]-B378)/B378</f>
        <v/>
      </c>
      <c r="D379" s="34">
        <f>((1+Table2634[[#This Row],[Weekly change]])^52)-1</f>
        <v/>
      </c>
      <c r="E379" s="24">
        <f>AVERAGE(B376:B379)</f>
        <v/>
      </c>
      <c r="F379" s="32">
        <f>(Table2634[[#This Row],[4 weeks average]]-B327)/B327</f>
        <v/>
      </c>
    </row>
    <row r="380">
      <c r="A380" s="22" t="n">
        <v>30018</v>
      </c>
      <c r="B380" s="24">
        <f>VLOOKUP(Table2634[[#This Row],[Date]],'DB Money Supply'!$A:$D,4)</f>
        <v/>
      </c>
      <c r="C380" s="30">
        <f>(Table2634[[#This Row],[M1 Money Stock, Billions of Dollars, Weekly, Seasonally Adjusted]]-B379)/B379</f>
        <v/>
      </c>
      <c r="D380" s="34">
        <f>((1+Table2634[[#This Row],[Weekly change]])^52)-1</f>
        <v/>
      </c>
      <c r="E380" s="24">
        <f>AVERAGE(B377:B380)</f>
        <v/>
      </c>
      <c r="F380" s="32">
        <f>(Table2634[[#This Row],[4 weeks average]]-B328)/B328</f>
        <v/>
      </c>
    </row>
    <row r="381">
      <c r="A381" s="22" t="n">
        <v>30025</v>
      </c>
      <c r="B381" s="24">
        <f>VLOOKUP(Table2634[[#This Row],[Date]],'DB Money Supply'!$A:$D,4)</f>
        <v/>
      </c>
      <c r="C381" s="30">
        <f>(Table2634[[#This Row],[M1 Money Stock, Billions of Dollars, Weekly, Seasonally Adjusted]]-B380)/B380</f>
        <v/>
      </c>
      <c r="D381" s="34">
        <f>((1+Table2634[[#This Row],[Weekly change]])^52)-1</f>
        <v/>
      </c>
      <c r="E381" s="24">
        <f>AVERAGE(B378:B381)</f>
        <v/>
      </c>
      <c r="F381" s="32">
        <f>(Table2634[[#This Row],[4 weeks average]]-B329)/B329</f>
        <v/>
      </c>
    </row>
    <row r="382">
      <c r="A382" s="22" t="n">
        <v>30032</v>
      </c>
      <c r="B382" s="24">
        <f>VLOOKUP(Table2634[[#This Row],[Date]],'DB Money Supply'!$A:$D,4)</f>
        <v/>
      </c>
      <c r="C382" s="30">
        <f>(Table2634[[#This Row],[M1 Money Stock, Billions of Dollars, Weekly, Seasonally Adjusted]]-B381)/B381</f>
        <v/>
      </c>
      <c r="D382" s="34">
        <f>((1+Table2634[[#This Row],[Weekly change]])^52)-1</f>
        <v/>
      </c>
      <c r="E382" s="24">
        <f>AVERAGE(B379:B382)</f>
        <v/>
      </c>
      <c r="F382" s="32">
        <f>(Table2634[[#This Row],[4 weeks average]]-B330)/B330</f>
        <v/>
      </c>
    </row>
    <row r="383">
      <c r="A383" s="22" t="n">
        <v>30039</v>
      </c>
      <c r="B383" s="24">
        <f>VLOOKUP(Table2634[[#This Row],[Date]],'DB Money Supply'!$A:$D,4)</f>
        <v/>
      </c>
      <c r="C383" s="30">
        <f>(Table2634[[#This Row],[M1 Money Stock, Billions of Dollars, Weekly, Seasonally Adjusted]]-B382)/B382</f>
        <v/>
      </c>
      <c r="D383" s="34">
        <f>((1+Table2634[[#This Row],[Weekly change]])^52)-1</f>
        <v/>
      </c>
      <c r="E383" s="24">
        <f>AVERAGE(B380:B383)</f>
        <v/>
      </c>
      <c r="F383" s="32">
        <f>(Table2634[[#This Row],[4 weeks average]]-B331)/B331</f>
        <v/>
      </c>
    </row>
    <row r="384">
      <c r="A384" s="22" t="n">
        <v>30046</v>
      </c>
      <c r="B384" s="24">
        <f>VLOOKUP(Table2634[[#This Row],[Date]],'DB Money Supply'!$A:$D,4)</f>
        <v/>
      </c>
      <c r="C384" s="30">
        <f>(Table2634[[#This Row],[M1 Money Stock, Billions of Dollars, Weekly, Seasonally Adjusted]]-B383)/B383</f>
        <v/>
      </c>
      <c r="D384" s="34">
        <f>((1+Table2634[[#This Row],[Weekly change]])^52)-1</f>
        <v/>
      </c>
      <c r="E384" s="24">
        <f>AVERAGE(B381:B384)</f>
        <v/>
      </c>
      <c r="F384" s="32">
        <f>(Table2634[[#This Row],[4 weeks average]]-B332)/B332</f>
        <v/>
      </c>
    </row>
    <row r="385">
      <c r="A385" s="22" t="n">
        <v>30053</v>
      </c>
      <c r="B385" s="24">
        <f>VLOOKUP(Table2634[[#This Row],[Date]],'DB Money Supply'!$A:$D,4)</f>
        <v/>
      </c>
      <c r="C385" s="30">
        <f>(Table2634[[#This Row],[M1 Money Stock, Billions of Dollars, Weekly, Seasonally Adjusted]]-B384)/B384</f>
        <v/>
      </c>
      <c r="D385" s="34">
        <f>((1+Table2634[[#This Row],[Weekly change]])^52)-1</f>
        <v/>
      </c>
      <c r="E385" s="24">
        <f>AVERAGE(B382:B385)</f>
        <v/>
      </c>
      <c r="F385" s="32">
        <f>(Table2634[[#This Row],[4 weeks average]]-B333)/B333</f>
        <v/>
      </c>
    </row>
    <row r="386">
      <c r="A386" s="22" t="n">
        <v>30060</v>
      </c>
      <c r="B386" s="24">
        <f>VLOOKUP(Table2634[[#This Row],[Date]],'DB Money Supply'!$A:$D,4)</f>
        <v/>
      </c>
      <c r="C386" s="30">
        <f>(Table2634[[#This Row],[M1 Money Stock, Billions of Dollars, Weekly, Seasonally Adjusted]]-B385)/B385</f>
        <v/>
      </c>
      <c r="D386" s="34">
        <f>((1+Table2634[[#This Row],[Weekly change]])^52)-1</f>
        <v/>
      </c>
      <c r="E386" s="24">
        <f>AVERAGE(B383:B386)</f>
        <v/>
      </c>
      <c r="F386" s="32">
        <f>(Table2634[[#This Row],[4 weeks average]]-B334)/B334</f>
        <v/>
      </c>
    </row>
    <row r="387">
      <c r="A387" s="22" t="n">
        <v>30067</v>
      </c>
      <c r="B387" s="24">
        <f>VLOOKUP(Table2634[[#This Row],[Date]],'DB Money Supply'!$A:$D,4)</f>
        <v/>
      </c>
      <c r="C387" s="30">
        <f>(Table2634[[#This Row],[M1 Money Stock, Billions of Dollars, Weekly, Seasonally Adjusted]]-B386)/B386</f>
        <v/>
      </c>
      <c r="D387" s="34">
        <f>((1+Table2634[[#This Row],[Weekly change]])^52)-1</f>
        <v/>
      </c>
      <c r="E387" s="24">
        <f>AVERAGE(B384:B387)</f>
        <v/>
      </c>
      <c r="F387" s="32">
        <f>(Table2634[[#This Row],[4 weeks average]]-B335)/B335</f>
        <v/>
      </c>
    </row>
    <row r="388">
      <c r="A388" s="22" t="n">
        <v>30074</v>
      </c>
      <c r="B388" s="24">
        <f>VLOOKUP(Table2634[[#This Row],[Date]],'DB Money Supply'!$A:$D,4)</f>
        <v/>
      </c>
      <c r="C388" s="30">
        <f>(Table2634[[#This Row],[M1 Money Stock, Billions of Dollars, Weekly, Seasonally Adjusted]]-B387)/B387</f>
        <v/>
      </c>
      <c r="D388" s="34">
        <f>((1+Table2634[[#This Row],[Weekly change]])^52)-1</f>
        <v/>
      </c>
      <c r="E388" s="24">
        <f>AVERAGE(B385:B388)</f>
        <v/>
      </c>
      <c r="F388" s="32">
        <f>(Table2634[[#This Row],[4 weeks average]]-B336)/B336</f>
        <v/>
      </c>
    </row>
    <row r="389">
      <c r="A389" s="22" t="n">
        <v>30081</v>
      </c>
      <c r="B389" s="24">
        <f>VLOOKUP(Table2634[[#This Row],[Date]],'DB Money Supply'!$A:$D,4)</f>
        <v/>
      </c>
      <c r="C389" s="30">
        <f>(Table2634[[#This Row],[M1 Money Stock, Billions of Dollars, Weekly, Seasonally Adjusted]]-B388)/B388</f>
        <v/>
      </c>
      <c r="D389" s="34">
        <f>((1+Table2634[[#This Row],[Weekly change]])^52)-1</f>
        <v/>
      </c>
      <c r="E389" s="24">
        <f>AVERAGE(B386:B389)</f>
        <v/>
      </c>
      <c r="F389" s="32">
        <f>(Table2634[[#This Row],[4 weeks average]]-B337)/B337</f>
        <v/>
      </c>
    </row>
    <row r="390">
      <c r="A390" s="22" t="n">
        <v>30088</v>
      </c>
      <c r="B390" s="24">
        <f>VLOOKUP(Table2634[[#This Row],[Date]],'DB Money Supply'!$A:$D,4)</f>
        <v/>
      </c>
      <c r="C390" s="30">
        <f>(Table2634[[#This Row],[M1 Money Stock, Billions of Dollars, Weekly, Seasonally Adjusted]]-B389)/B389</f>
        <v/>
      </c>
      <c r="D390" s="34">
        <f>((1+Table2634[[#This Row],[Weekly change]])^52)-1</f>
        <v/>
      </c>
      <c r="E390" s="24">
        <f>AVERAGE(B387:B390)</f>
        <v/>
      </c>
      <c r="F390" s="32">
        <f>(Table2634[[#This Row],[4 weeks average]]-B338)/B338</f>
        <v/>
      </c>
    </row>
    <row r="391">
      <c r="A391" s="22" t="n">
        <v>30095</v>
      </c>
      <c r="B391" s="24">
        <f>VLOOKUP(Table2634[[#This Row],[Date]],'DB Money Supply'!$A:$D,4)</f>
        <v/>
      </c>
      <c r="C391" s="30">
        <f>(Table2634[[#This Row],[M1 Money Stock, Billions of Dollars, Weekly, Seasonally Adjusted]]-B390)/B390</f>
        <v/>
      </c>
      <c r="D391" s="34">
        <f>((1+Table2634[[#This Row],[Weekly change]])^52)-1</f>
        <v/>
      </c>
      <c r="E391" s="24">
        <f>AVERAGE(B388:B391)</f>
        <v/>
      </c>
      <c r="F391" s="32">
        <f>(Table2634[[#This Row],[4 weeks average]]-B339)/B339</f>
        <v/>
      </c>
    </row>
    <row r="392">
      <c r="A392" s="22" t="n">
        <v>30102</v>
      </c>
      <c r="B392" s="24">
        <f>VLOOKUP(Table2634[[#This Row],[Date]],'DB Money Supply'!$A:$D,4)</f>
        <v/>
      </c>
      <c r="C392" s="30">
        <f>(Table2634[[#This Row],[M1 Money Stock, Billions of Dollars, Weekly, Seasonally Adjusted]]-B391)/B391</f>
        <v/>
      </c>
      <c r="D392" s="34">
        <f>((1+Table2634[[#This Row],[Weekly change]])^52)-1</f>
        <v/>
      </c>
      <c r="E392" s="24">
        <f>AVERAGE(B389:B392)</f>
        <v/>
      </c>
      <c r="F392" s="32">
        <f>(Table2634[[#This Row],[4 weeks average]]-B340)/B340</f>
        <v/>
      </c>
    </row>
    <row r="393">
      <c r="A393" s="22" t="n">
        <v>30109</v>
      </c>
      <c r="B393" s="24">
        <f>VLOOKUP(Table2634[[#This Row],[Date]],'DB Money Supply'!$A:$D,4)</f>
        <v/>
      </c>
      <c r="C393" s="30">
        <f>(Table2634[[#This Row],[M1 Money Stock, Billions of Dollars, Weekly, Seasonally Adjusted]]-B392)/B392</f>
        <v/>
      </c>
      <c r="D393" s="34">
        <f>((1+Table2634[[#This Row],[Weekly change]])^52)-1</f>
        <v/>
      </c>
      <c r="E393" s="24">
        <f>AVERAGE(B390:B393)</f>
        <v/>
      </c>
      <c r="F393" s="32">
        <f>(Table2634[[#This Row],[4 weeks average]]-B341)/B341</f>
        <v/>
      </c>
    </row>
    <row r="394">
      <c r="A394" s="22" t="n">
        <v>30116</v>
      </c>
      <c r="B394" s="24">
        <f>VLOOKUP(Table2634[[#This Row],[Date]],'DB Money Supply'!$A:$D,4)</f>
        <v/>
      </c>
      <c r="C394" s="30">
        <f>(Table2634[[#This Row],[M1 Money Stock, Billions of Dollars, Weekly, Seasonally Adjusted]]-B393)/B393</f>
        <v/>
      </c>
      <c r="D394" s="34">
        <f>((1+Table2634[[#This Row],[Weekly change]])^52)-1</f>
        <v/>
      </c>
      <c r="E394" s="24">
        <f>AVERAGE(B391:B394)</f>
        <v/>
      </c>
      <c r="F394" s="32">
        <f>(Table2634[[#This Row],[4 weeks average]]-B342)/B342</f>
        <v/>
      </c>
    </row>
    <row r="395">
      <c r="A395" s="22" t="n">
        <v>30123</v>
      </c>
      <c r="B395" s="24">
        <f>VLOOKUP(Table2634[[#This Row],[Date]],'DB Money Supply'!$A:$D,4)</f>
        <v/>
      </c>
      <c r="C395" s="30">
        <f>(Table2634[[#This Row],[M1 Money Stock, Billions of Dollars, Weekly, Seasonally Adjusted]]-B394)/B394</f>
        <v/>
      </c>
      <c r="D395" s="34">
        <f>((1+Table2634[[#This Row],[Weekly change]])^52)-1</f>
        <v/>
      </c>
      <c r="E395" s="24">
        <f>AVERAGE(B392:B395)</f>
        <v/>
      </c>
      <c r="F395" s="32">
        <f>(Table2634[[#This Row],[4 weeks average]]-B343)/B343</f>
        <v/>
      </c>
    </row>
    <row r="396">
      <c r="A396" s="22" t="n">
        <v>30130</v>
      </c>
      <c r="B396" s="24">
        <f>VLOOKUP(Table2634[[#This Row],[Date]],'DB Money Supply'!$A:$D,4)</f>
        <v/>
      </c>
      <c r="C396" s="30">
        <f>(Table2634[[#This Row],[M1 Money Stock, Billions of Dollars, Weekly, Seasonally Adjusted]]-B395)/B395</f>
        <v/>
      </c>
      <c r="D396" s="34">
        <f>((1+Table2634[[#This Row],[Weekly change]])^52)-1</f>
        <v/>
      </c>
      <c r="E396" s="24">
        <f>AVERAGE(B393:B396)</f>
        <v/>
      </c>
      <c r="F396" s="32">
        <f>(Table2634[[#This Row],[4 weeks average]]-B344)/B344</f>
        <v/>
      </c>
    </row>
    <row r="397">
      <c r="A397" s="22" t="n">
        <v>30137</v>
      </c>
      <c r="B397" s="24">
        <f>VLOOKUP(Table2634[[#This Row],[Date]],'DB Money Supply'!$A:$D,4)</f>
        <v/>
      </c>
      <c r="C397" s="30">
        <f>(Table2634[[#This Row],[M1 Money Stock, Billions of Dollars, Weekly, Seasonally Adjusted]]-B396)/B396</f>
        <v/>
      </c>
      <c r="D397" s="34">
        <f>((1+Table2634[[#This Row],[Weekly change]])^52)-1</f>
        <v/>
      </c>
      <c r="E397" s="24">
        <f>AVERAGE(B394:B397)</f>
        <v/>
      </c>
      <c r="F397" s="32">
        <f>(Table2634[[#This Row],[4 weeks average]]-B345)/B345</f>
        <v/>
      </c>
    </row>
    <row r="398">
      <c r="A398" s="22" t="n">
        <v>30144</v>
      </c>
      <c r="B398" s="24">
        <f>VLOOKUP(Table2634[[#This Row],[Date]],'DB Money Supply'!$A:$D,4)</f>
        <v/>
      </c>
      <c r="C398" s="30">
        <f>(Table2634[[#This Row],[M1 Money Stock, Billions of Dollars, Weekly, Seasonally Adjusted]]-B397)/B397</f>
        <v/>
      </c>
      <c r="D398" s="34">
        <f>((1+Table2634[[#This Row],[Weekly change]])^52)-1</f>
        <v/>
      </c>
      <c r="E398" s="24">
        <f>AVERAGE(B395:B398)</f>
        <v/>
      </c>
      <c r="F398" s="32">
        <f>(Table2634[[#This Row],[4 weeks average]]-B346)/B346</f>
        <v/>
      </c>
    </row>
    <row r="399">
      <c r="A399" s="22" t="n">
        <v>30151</v>
      </c>
      <c r="B399" s="24">
        <f>VLOOKUP(Table2634[[#This Row],[Date]],'DB Money Supply'!$A:$D,4)</f>
        <v/>
      </c>
      <c r="C399" s="30">
        <f>(Table2634[[#This Row],[M1 Money Stock, Billions of Dollars, Weekly, Seasonally Adjusted]]-B398)/B398</f>
        <v/>
      </c>
      <c r="D399" s="34">
        <f>((1+Table2634[[#This Row],[Weekly change]])^52)-1</f>
        <v/>
      </c>
      <c r="E399" s="24">
        <f>AVERAGE(B396:B399)</f>
        <v/>
      </c>
      <c r="F399" s="32">
        <f>(Table2634[[#This Row],[4 weeks average]]-B347)/B347</f>
        <v/>
      </c>
    </row>
    <row r="400">
      <c r="A400" s="22" t="n">
        <v>30158</v>
      </c>
      <c r="B400" s="24">
        <f>VLOOKUP(Table2634[[#This Row],[Date]],'DB Money Supply'!$A:$D,4)</f>
        <v/>
      </c>
      <c r="C400" s="30">
        <f>(Table2634[[#This Row],[M1 Money Stock, Billions of Dollars, Weekly, Seasonally Adjusted]]-B399)/B399</f>
        <v/>
      </c>
      <c r="D400" s="34">
        <f>((1+Table2634[[#This Row],[Weekly change]])^52)-1</f>
        <v/>
      </c>
      <c r="E400" s="24">
        <f>AVERAGE(B397:B400)</f>
        <v/>
      </c>
      <c r="F400" s="32">
        <f>(Table2634[[#This Row],[4 weeks average]]-B348)/B348</f>
        <v/>
      </c>
    </row>
    <row r="401">
      <c r="A401" s="22" t="n">
        <v>30165</v>
      </c>
      <c r="B401" s="24">
        <f>VLOOKUP(Table2634[[#This Row],[Date]],'DB Money Supply'!$A:$D,4)</f>
        <v/>
      </c>
      <c r="C401" s="30">
        <f>(Table2634[[#This Row],[M1 Money Stock, Billions of Dollars, Weekly, Seasonally Adjusted]]-B400)/B400</f>
        <v/>
      </c>
      <c r="D401" s="34">
        <f>((1+Table2634[[#This Row],[Weekly change]])^52)-1</f>
        <v/>
      </c>
      <c r="E401" s="24">
        <f>AVERAGE(B398:B401)</f>
        <v/>
      </c>
      <c r="F401" s="32">
        <f>(Table2634[[#This Row],[4 weeks average]]-B349)/B349</f>
        <v/>
      </c>
    </row>
    <row r="402">
      <c r="A402" s="22" t="n">
        <v>30172</v>
      </c>
      <c r="B402" s="24">
        <f>VLOOKUP(Table2634[[#This Row],[Date]],'DB Money Supply'!$A:$D,4)</f>
        <v/>
      </c>
      <c r="C402" s="30">
        <f>(Table2634[[#This Row],[M1 Money Stock, Billions of Dollars, Weekly, Seasonally Adjusted]]-B401)/B401</f>
        <v/>
      </c>
      <c r="D402" s="34">
        <f>((1+Table2634[[#This Row],[Weekly change]])^52)-1</f>
        <v/>
      </c>
      <c r="E402" s="24">
        <f>AVERAGE(B399:B402)</f>
        <v/>
      </c>
      <c r="F402" s="32">
        <f>(Table2634[[#This Row],[4 weeks average]]-B350)/B350</f>
        <v/>
      </c>
    </row>
    <row r="403">
      <c r="A403" s="22" t="n">
        <v>30179</v>
      </c>
      <c r="B403" s="24">
        <f>VLOOKUP(Table2634[[#This Row],[Date]],'DB Money Supply'!$A:$D,4)</f>
        <v/>
      </c>
      <c r="C403" s="30">
        <f>(Table2634[[#This Row],[M1 Money Stock, Billions of Dollars, Weekly, Seasonally Adjusted]]-B402)/B402</f>
        <v/>
      </c>
      <c r="D403" s="34">
        <f>((1+Table2634[[#This Row],[Weekly change]])^52)-1</f>
        <v/>
      </c>
      <c r="E403" s="24">
        <f>AVERAGE(B400:B403)</f>
        <v/>
      </c>
      <c r="F403" s="32">
        <f>(Table2634[[#This Row],[4 weeks average]]-B351)/B351</f>
        <v/>
      </c>
    </row>
    <row r="404">
      <c r="A404" s="22" t="n">
        <v>30186</v>
      </c>
      <c r="B404" s="24">
        <f>VLOOKUP(Table2634[[#This Row],[Date]],'DB Money Supply'!$A:$D,4)</f>
        <v/>
      </c>
      <c r="C404" s="30">
        <f>(Table2634[[#This Row],[M1 Money Stock, Billions of Dollars, Weekly, Seasonally Adjusted]]-B403)/B403</f>
        <v/>
      </c>
      <c r="D404" s="34">
        <f>((1+Table2634[[#This Row],[Weekly change]])^52)-1</f>
        <v/>
      </c>
      <c r="E404" s="24">
        <f>AVERAGE(B401:B404)</f>
        <v/>
      </c>
      <c r="F404" s="32">
        <f>(Table2634[[#This Row],[4 weeks average]]-B352)/B352</f>
        <v/>
      </c>
    </row>
    <row r="405">
      <c r="A405" s="22" t="n">
        <v>30193</v>
      </c>
      <c r="B405" s="24">
        <f>VLOOKUP(Table2634[[#This Row],[Date]],'DB Money Supply'!$A:$D,4)</f>
        <v/>
      </c>
      <c r="C405" s="30">
        <f>(Table2634[[#This Row],[M1 Money Stock, Billions of Dollars, Weekly, Seasonally Adjusted]]-B404)/B404</f>
        <v/>
      </c>
      <c r="D405" s="34">
        <f>((1+Table2634[[#This Row],[Weekly change]])^52)-1</f>
        <v/>
      </c>
      <c r="E405" s="24">
        <f>AVERAGE(B402:B405)</f>
        <v/>
      </c>
      <c r="F405" s="32">
        <f>(Table2634[[#This Row],[4 weeks average]]-B353)/B353</f>
        <v/>
      </c>
    </row>
    <row r="406">
      <c r="A406" s="22" t="n">
        <v>30200</v>
      </c>
      <c r="B406" s="24">
        <f>VLOOKUP(Table2634[[#This Row],[Date]],'DB Money Supply'!$A:$D,4)</f>
        <v/>
      </c>
      <c r="C406" s="30">
        <f>(Table2634[[#This Row],[M1 Money Stock, Billions of Dollars, Weekly, Seasonally Adjusted]]-B405)/B405</f>
        <v/>
      </c>
      <c r="D406" s="34">
        <f>((1+Table2634[[#This Row],[Weekly change]])^52)-1</f>
        <v/>
      </c>
      <c r="E406" s="24">
        <f>AVERAGE(B403:B406)</f>
        <v/>
      </c>
      <c r="F406" s="32">
        <f>(Table2634[[#This Row],[4 weeks average]]-B354)/B354</f>
        <v/>
      </c>
    </row>
    <row r="407">
      <c r="A407" s="22" t="n">
        <v>30207</v>
      </c>
      <c r="B407" s="24">
        <f>VLOOKUP(Table2634[[#This Row],[Date]],'DB Money Supply'!$A:$D,4)</f>
        <v/>
      </c>
      <c r="C407" s="30">
        <f>(Table2634[[#This Row],[M1 Money Stock, Billions of Dollars, Weekly, Seasonally Adjusted]]-B406)/B406</f>
        <v/>
      </c>
      <c r="D407" s="34">
        <f>((1+Table2634[[#This Row],[Weekly change]])^52)-1</f>
        <v/>
      </c>
      <c r="E407" s="24">
        <f>AVERAGE(B404:B407)</f>
        <v/>
      </c>
      <c r="F407" s="32">
        <f>(Table2634[[#This Row],[4 weeks average]]-B355)/B355</f>
        <v/>
      </c>
    </row>
    <row r="408">
      <c r="A408" s="22" t="n">
        <v>30214</v>
      </c>
      <c r="B408" s="24">
        <f>VLOOKUP(Table2634[[#This Row],[Date]],'DB Money Supply'!$A:$D,4)</f>
        <v/>
      </c>
      <c r="C408" s="30">
        <f>(Table2634[[#This Row],[M1 Money Stock, Billions of Dollars, Weekly, Seasonally Adjusted]]-B407)/B407</f>
        <v/>
      </c>
      <c r="D408" s="34">
        <f>((1+Table2634[[#This Row],[Weekly change]])^52)-1</f>
        <v/>
      </c>
      <c r="E408" s="24">
        <f>AVERAGE(B405:B408)</f>
        <v/>
      </c>
      <c r="F408" s="32">
        <f>(Table2634[[#This Row],[4 weeks average]]-B356)/B356</f>
        <v/>
      </c>
    </row>
    <row r="409">
      <c r="A409" s="22" t="n">
        <v>30221</v>
      </c>
      <c r="B409" s="24">
        <f>VLOOKUP(Table2634[[#This Row],[Date]],'DB Money Supply'!$A:$D,4)</f>
        <v/>
      </c>
      <c r="C409" s="30">
        <f>(Table2634[[#This Row],[M1 Money Stock, Billions of Dollars, Weekly, Seasonally Adjusted]]-B408)/B408</f>
        <v/>
      </c>
      <c r="D409" s="34">
        <f>((1+Table2634[[#This Row],[Weekly change]])^52)-1</f>
        <v/>
      </c>
      <c r="E409" s="24">
        <f>AVERAGE(B406:B409)</f>
        <v/>
      </c>
      <c r="F409" s="32">
        <f>(Table2634[[#This Row],[4 weeks average]]-B357)/B357</f>
        <v/>
      </c>
    </row>
    <row r="410">
      <c r="A410" s="22" t="n">
        <v>30228</v>
      </c>
      <c r="B410" s="24">
        <f>VLOOKUP(Table2634[[#This Row],[Date]],'DB Money Supply'!$A:$D,4)</f>
        <v/>
      </c>
      <c r="C410" s="30">
        <f>(Table2634[[#This Row],[M1 Money Stock, Billions of Dollars, Weekly, Seasonally Adjusted]]-B409)/B409</f>
        <v/>
      </c>
      <c r="D410" s="34">
        <f>((1+Table2634[[#This Row],[Weekly change]])^52)-1</f>
        <v/>
      </c>
      <c r="E410" s="24">
        <f>AVERAGE(B407:B410)</f>
        <v/>
      </c>
      <c r="F410" s="32">
        <f>(Table2634[[#This Row],[4 weeks average]]-B358)/B358</f>
        <v/>
      </c>
    </row>
    <row r="411">
      <c r="A411" s="22" t="n">
        <v>30235</v>
      </c>
      <c r="B411" s="24">
        <f>VLOOKUP(Table2634[[#This Row],[Date]],'DB Money Supply'!$A:$D,4)</f>
        <v/>
      </c>
      <c r="C411" s="30">
        <f>(Table2634[[#This Row],[M1 Money Stock, Billions of Dollars, Weekly, Seasonally Adjusted]]-B410)/B410</f>
        <v/>
      </c>
      <c r="D411" s="34">
        <f>((1+Table2634[[#This Row],[Weekly change]])^52)-1</f>
        <v/>
      </c>
      <c r="E411" s="24">
        <f>AVERAGE(B408:B411)</f>
        <v/>
      </c>
      <c r="F411" s="32">
        <f>(Table2634[[#This Row],[4 weeks average]]-B359)/B359</f>
        <v/>
      </c>
    </row>
    <row r="412">
      <c r="A412" s="22" t="n">
        <v>30242</v>
      </c>
      <c r="B412" s="24">
        <f>VLOOKUP(Table2634[[#This Row],[Date]],'DB Money Supply'!$A:$D,4)</f>
        <v/>
      </c>
      <c r="C412" s="30">
        <f>(Table2634[[#This Row],[M1 Money Stock, Billions of Dollars, Weekly, Seasonally Adjusted]]-B411)/B411</f>
        <v/>
      </c>
      <c r="D412" s="34">
        <f>((1+Table2634[[#This Row],[Weekly change]])^52)-1</f>
        <v/>
      </c>
      <c r="E412" s="24">
        <f>AVERAGE(B409:B412)</f>
        <v/>
      </c>
      <c r="F412" s="32">
        <f>(Table2634[[#This Row],[4 weeks average]]-B360)/B360</f>
        <v/>
      </c>
    </row>
    <row r="413">
      <c r="A413" s="22" t="n">
        <v>30249</v>
      </c>
      <c r="B413" s="24">
        <f>VLOOKUP(Table2634[[#This Row],[Date]],'DB Money Supply'!$A:$D,4)</f>
        <v/>
      </c>
      <c r="C413" s="30">
        <f>(Table2634[[#This Row],[M1 Money Stock, Billions of Dollars, Weekly, Seasonally Adjusted]]-B412)/B412</f>
        <v/>
      </c>
      <c r="D413" s="34">
        <f>((1+Table2634[[#This Row],[Weekly change]])^52)-1</f>
        <v/>
      </c>
      <c r="E413" s="24">
        <f>AVERAGE(B410:B413)</f>
        <v/>
      </c>
      <c r="F413" s="32">
        <f>(Table2634[[#This Row],[4 weeks average]]-B361)/B361</f>
        <v/>
      </c>
    </row>
    <row r="414">
      <c r="A414" s="22" t="n">
        <v>30256</v>
      </c>
      <c r="B414" s="24">
        <f>VLOOKUP(Table2634[[#This Row],[Date]],'DB Money Supply'!$A:$D,4)</f>
        <v/>
      </c>
      <c r="C414" s="30">
        <f>(Table2634[[#This Row],[M1 Money Stock, Billions of Dollars, Weekly, Seasonally Adjusted]]-B413)/B413</f>
        <v/>
      </c>
      <c r="D414" s="34">
        <f>((1+Table2634[[#This Row],[Weekly change]])^52)-1</f>
        <v/>
      </c>
      <c r="E414" s="24">
        <f>AVERAGE(B411:B414)</f>
        <v/>
      </c>
      <c r="F414" s="32">
        <f>(Table2634[[#This Row],[4 weeks average]]-B362)/B362</f>
        <v/>
      </c>
    </row>
    <row r="415">
      <c r="A415" s="22" t="n">
        <v>30263</v>
      </c>
      <c r="B415" s="24">
        <f>VLOOKUP(Table2634[[#This Row],[Date]],'DB Money Supply'!$A:$D,4)</f>
        <v/>
      </c>
      <c r="C415" s="30">
        <f>(Table2634[[#This Row],[M1 Money Stock, Billions of Dollars, Weekly, Seasonally Adjusted]]-B414)/B414</f>
        <v/>
      </c>
      <c r="D415" s="34">
        <f>((1+Table2634[[#This Row],[Weekly change]])^52)-1</f>
        <v/>
      </c>
      <c r="E415" s="24">
        <f>AVERAGE(B412:B415)</f>
        <v/>
      </c>
      <c r="F415" s="32">
        <f>(Table2634[[#This Row],[4 weeks average]]-B363)/B363</f>
        <v/>
      </c>
    </row>
    <row r="416">
      <c r="A416" s="22" t="n">
        <v>30270</v>
      </c>
      <c r="B416" s="24">
        <f>VLOOKUP(Table2634[[#This Row],[Date]],'DB Money Supply'!$A:$D,4)</f>
        <v/>
      </c>
      <c r="C416" s="30">
        <f>(Table2634[[#This Row],[M1 Money Stock, Billions of Dollars, Weekly, Seasonally Adjusted]]-B415)/B415</f>
        <v/>
      </c>
      <c r="D416" s="34">
        <f>((1+Table2634[[#This Row],[Weekly change]])^52)-1</f>
        <v/>
      </c>
      <c r="E416" s="24">
        <f>AVERAGE(B413:B416)</f>
        <v/>
      </c>
      <c r="F416" s="32">
        <f>(Table2634[[#This Row],[4 weeks average]]-B364)/B364</f>
        <v/>
      </c>
    </row>
    <row r="417">
      <c r="A417" s="22" t="n">
        <v>30277</v>
      </c>
      <c r="B417" s="24">
        <f>VLOOKUP(Table2634[[#This Row],[Date]],'DB Money Supply'!$A:$D,4)</f>
        <v/>
      </c>
      <c r="C417" s="30">
        <f>(Table2634[[#This Row],[M1 Money Stock, Billions of Dollars, Weekly, Seasonally Adjusted]]-B416)/B416</f>
        <v/>
      </c>
      <c r="D417" s="34">
        <f>((1+Table2634[[#This Row],[Weekly change]])^52)-1</f>
        <v/>
      </c>
      <c r="E417" s="24">
        <f>AVERAGE(B414:B417)</f>
        <v/>
      </c>
      <c r="F417" s="32">
        <f>(Table2634[[#This Row],[4 weeks average]]-B365)/B365</f>
        <v/>
      </c>
    </row>
    <row r="418">
      <c r="A418" s="22" t="n">
        <v>30284</v>
      </c>
      <c r="B418" s="24">
        <f>VLOOKUP(Table2634[[#This Row],[Date]],'DB Money Supply'!$A:$D,4)</f>
        <v/>
      </c>
      <c r="C418" s="30">
        <f>(Table2634[[#This Row],[M1 Money Stock, Billions of Dollars, Weekly, Seasonally Adjusted]]-B417)/B417</f>
        <v/>
      </c>
      <c r="D418" s="34">
        <f>((1+Table2634[[#This Row],[Weekly change]])^52)-1</f>
        <v/>
      </c>
      <c r="E418" s="24">
        <f>AVERAGE(B415:B418)</f>
        <v/>
      </c>
      <c r="F418" s="32">
        <f>(Table2634[[#This Row],[4 weeks average]]-B366)/B366</f>
        <v/>
      </c>
    </row>
    <row r="419">
      <c r="A419" s="22" t="n">
        <v>30291</v>
      </c>
      <c r="B419" s="24">
        <f>VLOOKUP(Table2634[[#This Row],[Date]],'DB Money Supply'!$A:$D,4)</f>
        <v/>
      </c>
      <c r="C419" s="30">
        <f>(Table2634[[#This Row],[M1 Money Stock, Billions of Dollars, Weekly, Seasonally Adjusted]]-B418)/B418</f>
        <v/>
      </c>
      <c r="D419" s="34">
        <f>((1+Table2634[[#This Row],[Weekly change]])^52)-1</f>
        <v/>
      </c>
      <c r="E419" s="24">
        <f>AVERAGE(B416:B419)</f>
        <v/>
      </c>
      <c r="F419" s="32">
        <f>(Table2634[[#This Row],[4 weeks average]]-B367)/B367</f>
        <v/>
      </c>
    </row>
    <row r="420">
      <c r="A420" s="22" t="n">
        <v>30298</v>
      </c>
      <c r="B420" s="24">
        <f>VLOOKUP(Table2634[[#This Row],[Date]],'DB Money Supply'!$A:$D,4)</f>
        <v/>
      </c>
      <c r="C420" s="30">
        <f>(Table2634[[#This Row],[M1 Money Stock, Billions of Dollars, Weekly, Seasonally Adjusted]]-B419)/B419</f>
        <v/>
      </c>
      <c r="D420" s="34">
        <f>((1+Table2634[[#This Row],[Weekly change]])^52)-1</f>
        <v/>
      </c>
      <c r="E420" s="24">
        <f>AVERAGE(B417:B420)</f>
        <v/>
      </c>
      <c r="F420" s="32">
        <f>(Table2634[[#This Row],[4 weeks average]]-B368)/B368</f>
        <v/>
      </c>
    </row>
    <row r="421">
      <c r="A421" s="22" t="n">
        <v>30305</v>
      </c>
      <c r="B421" s="24">
        <f>VLOOKUP(Table2634[[#This Row],[Date]],'DB Money Supply'!$A:$D,4)</f>
        <v/>
      </c>
      <c r="C421" s="30">
        <f>(Table2634[[#This Row],[M1 Money Stock, Billions of Dollars, Weekly, Seasonally Adjusted]]-B420)/B420</f>
        <v/>
      </c>
      <c r="D421" s="34">
        <f>((1+Table2634[[#This Row],[Weekly change]])^52)-1</f>
        <v/>
      </c>
      <c r="E421" s="24">
        <f>AVERAGE(B418:B421)</f>
        <v/>
      </c>
      <c r="F421" s="32">
        <f>(Table2634[[#This Row],[4 weeks average]]-B369)/B369</f>
        <v/>
      </c>
    </row>
    <row r="422">
      <c r="A422" s="22" t="n">
        <v>30312</v>
      </c>
      <c r="B422" s="24">
        <f>VLOOKUP(Table2634[[#This Row],[Date]],'DB Money Supply'!$A:$D,4)</f>
        <v/>
      </c>
      <c r="C422" s="30">
        <f>(Table2634[[#This Row],[M1 Money Stock, Billions of Dollars, Weekly, Seasonally Adjusted]]-B421)/B421</f>
        <v/>
      </c>
      <c r="D422" s="34">
        <f>((1+Table2634[[#This Row],[Weekly change]])^52)-1</f>
        <v/>
      </c>
      <c r="E422" s="24">
        <f>AVERAGE(B419:B422)</f>
        <v/>
      </c>
      <c r="F422" s="32">
        <f>(Table2634[[#This Row],[4 weeks average]]-B370)/B370</f>
        <v/>
      </c>
    </row>
    <row r="423">
      <c r="A423" s="22" t="n">
        <v>30319</v>
      </c>
      <c r="B423" s="24">
        <f>VLOOKUP(Table2634[[#This Row],[Date]],'DB Money Supply'!$A:$D,4)</f>
        <v/>
      </c>
      <c r="C423" s="30">
        <f>(Table2634[[#This Row],[M1 Money Stock, Billions of Dollars, Weekly, Seasonally Adjusted]]-B422)/B422</f>
        <v/>
      </c>
      <c r="D423" s="34">
        <f>((1+Table2634[[#This Row],[Weekly change]])^52)-1</f>
        <v/>
      </c>
      <c r="E423" s="24">
        <f>AVERAGE(B420:B423)</f>
        <v/>
      </c>
      <c r="F423" s="32">
        <f>(Table2634[[#This Row],[4 weeks average]]-B371)/B371</f>
        <v/>
      </c>
    </row>
    <row r="424">
      <c r="A424" s="22" t="n">
        <v>30326</v>
      </c>
      <c r="B424" s="24">
        <f>VLOOKUP(Table2634[[#This Row],[Date]],'DB Money Supply'!$A:$D,4)</f>
        <v/>
      </c>
      <c r="C424" s="30">
        <f>(Table2634[[#This Row],[M1 Money Stock, Billions of Dollars, Weekly, Seasonally Adjusted]]-B423)/B423</f>
        <v/>
      </c>
      <c r="D424" s="34">
        <f>((1+Table2634[[#This Row],[Weekly change]])^52)-1</f>
        <v/>
      </c>
      <c r="E424" s="24">
        <f>AVERAGE(B421:B424)</f>
        <v/>
      </c>
      <c r="F424" s="32">
        <f>(Table2634[[#This Row],[4 weeks average]]-B372)/B372</f>
        <v/>
      </c>
    </row>
    <row r="425">
      <c r="A425" s="22" t="n">
        <v>30333</v>
      </c>
      <c r="B425" s="24">
        <f>VLOOKUP(Table2634[[#This Row],[Date]],'DB Money Supply'!$A:$D,4)</f>
        <v/>
      </c>
      <c r="C425" s="30">
        <f>(Table2634[[#This Row],[M1 Money Stock, Billions of Dollars, Weekly, Seasonally Adjusted]]-B424)/B424</f>
        <v/>
      </c>
      <c r="D425" s="34">
        <f>((1+Table2634[[#This Row],[Weekly change]])^52)-1</f>
        <v/>
      </c>
      <c r="E425" s="24">
        <f>AVERAGE(B422:B425)</f>
        <v/>
      </c>
      <c r="F425" s="32">
        <f>(Table2634[[#This Row],[4 weeks average]]-B373)/B373</f>
        <v/>
      </c>
    </row>
    <row r="426">
      <c r="A426" s="22" t="n">
        <v>30340</v>
      </c>
      <c r="B426" s="24">
        <f>VLOOKUP(Table2634[[#This Row],[Date]],'DB Money Supply'!$A:$D,4)</f>
        <v/>
      </c>
      <c r="C426" s="30">
        <f>(Table2634[[#This Row],[M1 Money Stock, Billions of Dollars, Weekly, Seasonally Adjusted]]-B425)/B425</f>
        <v/>
      </c>
      <c r="D426" s="34">
        <f>((1+Table2634[[#This Row],[Weekly change]])^52)-1</f>
        <v/>
      </c>
      <c r="E426" s="24">
        <f>AVERAGE(B423:B426)</f>
        <v/>
      </c>
      <c r="F426" s="32">
        <f>(Table2634[[#This Row],[4 weeks average]]-B374)/B374</f>
        <v/>
      </c>
    </row>
    <row r="427">
      <c r="A427" s="22" t="n">
        <v>30347</v>
      </c>
      <c r="B427" s="24">
        <f>VLOOKUP(Table2634[[#This Row],[Date]],'DB Money Supply'!$A:$D,4)</f>
        <v/>
      </c>
      <c r="C427" s="30">
        <f>(Table2634[[#This Row],[M1 Money Stock, Billions of Dollars, Weekly, Seasonally Adjusted]]-B426)/B426</f>
        <v/>
      </c>
      <c r="D427" s="34">
        <f>((1+Table2634[[#This Row],[Weekly change]])^52)-1</f>
        <v/>
      </c>
      <c r="E427" s="24">
        <f>AVERAGE(B424:B427)</f>
        <v/>
      </c>
      <c r="F427" s="32">
        <f>(Table2634[[#This Row],[4 weeks average]]-B375)/B375</f>
        <v/>
      </c>
    </row>
    <row r="428">
      <c r="A428" s="22" t="n">
        <v>30354</v>
      </c>
      <c r="B428" s="24">
        <f>VLOOKUP(Table2634[[#This Row],[Date]],'DB Money Supply'!$A:$D,4)</f>
        <v/>
      </c>
      <c r="C428" s="30">
        <f>(Table2634[[#This Row],[M1 Money Stock, Billions of Dollars, Weekly, Seasonally Adjusted]]-B427)/B427</f>
        <v/>
      </c>
      <c r="D428" s="34">
        <f>((1+Table2634[[#This Row],[Weekly change]])^52)-1</f>
        <v/>
      </c>
      <c r="E428" s="24">
        <f>AVERAGE(B425:B428)</f>
        <v/>
      </c>
      <c r="F428" s="32">
        <f>(Table2634[[#This Row],[4 weeks average]]-B376)/B376</f>
        <v/>
      </c>
    </row>
    <row r="429">
      <c r="A429" s="22" t="n">
        <v>30361</v>
      </c>
      <c r="B429" s="24">
        <f>VLOOKUP(Table2634[[#This Row],[Date]],'DB Money Supply'!$A:$D,4)</f>
        <v/>
      </c>
      <c r="C429" s="30">
        <f>(Table2634[[#This Row],[M1 Money Stock, Billions of Dollars, Weekly, Seasonally Adjusted]]-B428)/B428</f>
        <v/>
      </c>
      <c r="D429" s="34">
        <f>((1+Table2634[[#This Row],[Weekly change]])^52)-1</f>
        <v/>
      </c>
      <c r="E429" s="24">
        <f>AVERAGE(B426:B429)</f>
        <v/>
      </c>
      <c r="F429" s="32">
        <f>(Table2634[[#This Row],[4 weeks average]]-B377)/B377</f>
        <v/>
      </c>
    </row>
    <row r="430">
      <c r="A430" s="22" t="n">
        <v>30368</v>
      </c>
      <c r="B430" s="24">
        <f>VLOOKUP(Table2634[[#This Row],[Date]],'DB Money Supply'!$A:$D,4)</f>
        <v/>
      </c>
      <c r="C430" s="30">
        <f>(Table2634[[#This Row],[M1 Money Stock, Billions of Dollars, Weekly, Seasonally Adjusted]]-B429)/B429</f>
        <v/>
      </c>
      <c r="D430" s="34">
        <f>((1+Table2634[[#This Row],[Weekly change]])^52)-1</f>
        <v/>
      </c>
      <c r="E430" s="24">
        <f>AVERAGE(B427:B430)</f>
        <v/>
      </c>
      <c r="F430" s="32">
        <f>(Table2634[[#This Row],[4 weeks average]]-B378)/B378</f>
        <v/>
      </c>
    </row>
    <row r="431">
      <c r="A431" s="22" t="n">
        <v>30375</v>
      </c>
      <c r="B431" s="24">
        <f>VLOOKUP(Table2634[[#This Row],[Date]],'DB Money Supply'!$A:$D,4)</f>
        <v/>
      </c>
      <c r="C431" s="30">
        <f>(Table2634[[#This Row],[M1 Money Stock, Billions of Dollars, Weekly, Seasonally Adjusted]]-B430)/B430</f>
        <v/>
      </c>
      <c r="D431" s="34">
        <f>((1+Table2634[[#This Row],[Weekly change]])^52)-1</f>
        <v/>
      </c>
      <c r="E431" s="24">
        <f>AVERAGE(B428:B431)</f>
        <v/>
      </c>
      <c r="F431" s="32">
        <f>(Table2634[[#This Row],[4 weeks average]]-B379)/B379</f>
        <v/>
      </c>
    </row>
    <row r="432">
      <c r="A432" s="22" t="n">
        <v>30382</v>
      </c>
      <c r="B432" s="24">
        <f>VLOOKUP(Table2634[[#This Row],[Date]],'DB Money Supply'!$A:$D,4)</f>
        <v/>
      </c>
      <c r="C432" s="30">
        <f>(Table2634[[#This Row],[M1 Money Stock, Billions of Dollars, Weekly, Seasonally Adjusted]]-B431)/B431</f>
        <v/>
      </c>
      <c r="D432" s="34">
        <f>((1+Table2634[[#This Row],[Weekly change]])^52)-1</f>
        <v/>
      </c>
      <c r="E432" s="24">
        <f>AVERAGE(B429:B432)</f>
        <v/>
      </c>
      <c r="F432" s="32">
        <f>(Table2634[[#This Row],[4 weeks average]]-B380)/B380</f>
        <v/>
      </c>
    </row>
    <row r="433">
      <c r="A433" s="22" t="n">
        <v>30389</v>
      </c>
      <c r="B433" s="24">
        <f>VLOOKUP(Table2634[[#This Row],[Date]],'DB Money Supply'!$A:$D,4)</f>
        <v/>
      </c>
      <c r="C433" s="30">
        <f>(Table2634[[#This Row],[M1 Money Stock, Billions of Dollars, Weekly, Seasonally Adjusted]]-B432)/B432</f>
        <v/>
      </c>
      <c r="D433" s="34">
        <f>((1+Table2634[[#This Row],[Weekly change]])^52)-1</f>
        <v/>
      </c>
      <c r="E433" s="24">
        <f>AVERAGE(B430:B433)</f>
        <v/>
      </c>
      <c r="F433" s="32">
        <f>(Table2634[[#This Row],[4 weeks average]]-B381)/B381</f>
        <v/>
      </c>
    </row>
    <row r="434">
      <c r="A434" s="22" t="n">
        <v>30396</v>
      </c>
      <c r="B434" s="24">
        <f>VLOOKUP(Table2634[[#This Row],[Date]],'DB Money Supply'!$A:$D,4)</f>
        <v/>
      </c>
      <c r="C434" s="30">
        <f>(Table2634[[#This Row],[M1 Money Stock, Billions of Dollars, Weekly, Seasonally Adjusted]]-B433)/B433</f>
        <v/>
      </c>
      <c r="D434" s="34">
        <f>((1+Table2634[[#This Row],[Weekly change]])^52)-1</f>
        <v/>
      </c>
      <c r="E434" s="24">
        <f>AVERAGE(B431:B434)</f>
        <v/>
      </c>
      <c r="F434" s="32">
        <f>(Table2634[[#This Row],[4 weeks average]]-B382)/B382</f>
        <v/>
      </c>
    </row>
    <row r="435">
      <c r="A435" s="22" t="n">
        <v>30403</v>
      </c>
      <c r="B435" s="24">
        <f>VLOOKUP(Table2634[[#This Row],[Date]],'DB Money Supply'!$A:$D,4)</f>
        <v/>
      </c>
      <c r="C435" s="30">
        <f>(Table2634[[#This Row],[M1 Money Stock, Billions of Dollars, Weekly, Seasonally Adjusted]]-B434)/B434</f>
        <v/>
      </c>
      <c r="D435" s="34">
        <f>((1+Table2634[[#This Row],[Weekly change]])^52)-1</f>
        <v/>
      </c>
      <c r="E435" s="24">
        <f>AVERAGE(B432:B435)</f>
        <v/>
      </c>
      <c r="F435" s="32">
        <f>(Table2634[[#This Row],[4 weeks average]]-B383)/B383</f>
        <v/>
      </c>
    </row>
    <row r="436">
      <c r="A436" s="22" t="n">
        <v>30410</v>
      </c>
      <c r="B436" s="24">
        <f>VLOOKUP(Table2634[[#This Row],[Date]],'DB Money Supply'!$A:$D,4)</f>
        <v/>
      </c>
      <c r="C436" s="30">
        <f>(Table2634[[#This Row],[M1 Money Stock, Billions of Dollars, Weekly, Seasonally Adjusted]]-B435)/B435</f>
        <v/>
      </c>
      <c r="D436" s="34">
        <f>((1+Table2634[[#This Row],[Weekly change]])^52)-1</f>
        <v/>
      </c>
      <c r="E436" s="24">
        <f>AVERAGE(B433:B436)</f>
        <v/>
      </c>
      <c r="F436" s="32">
        <f>(Table2634[[#This Row],[4 weeks average]]-B384)/B384</f>
        <v/>
      </c>
    </row>
    <row r="437">
      <c r="A437" s="22" t="n">
        <v>30417</v>
      </c>
      <c r="B437" s="24">
        <f>VLOOKUP(Table2634[[#This Row],[Date]],'DB Money Supply'!$A:$D,4)</f>
        <v/>
      </c>
      <c r="C437" s="30">
        <f>(Table2634[[#This Row],[M1 Money Stock, Billions of Dollars, Weekly, Seasonally Adjusted]]-B436)/B436</f>
        <v/>
      </c>
      <c r="D437" s="34">
        <f>((1+Table2634[[#This Row],[Weekly change]])^52)-1</f>
        <v/>
      </c>
      <c r="E437" s="24">
        <f>AVERAGE(B434:B437)</f>
        <v/>
      </c>
      <c r="F437" s="32">
        <f>(Table2634[[#This Row],[4 weeks average]]-B385)/B385</f>
        <v/>
      </c>
    </row>
    <row r="438">
      <c r="A438" s="22" t="n">
        <v>30424</v>
      </c>
      <c r="B438" s="24">
        <f>VLOOKUP(Table2634[[#This Row],[Date]],'DB Money Supply'!$A:$D,4)</f>
        <v/>
      </c>
      <c r="C438" s="30">
        <f>(Table2634[[#This Row],[M1 Money Stock, Billions of Dollars, Weekly, Seasonally Adjusted]]-B437)/B437</f>
        <v/>
      </c>
      <c r="D438" s="34">
        <f>((1+Table2634[[#This Row],[Weekly change]])^52)-1</f>
        <v/>
      </c>
      <c r="E438" s="24">
        <f>AVERAGE(B435:B438)</f>
        <v/>
      </c>
      <c r="F438" s="32">
        <f>(Table2634[[#This Row],[4 weeks average]]-B386)/B386</f>
        <v/>
      </c>
    </row>
    <row r="439">
      <c r="A439" s="22" t="n">
        <v>30431</v>
      </c>
      <c r="B439" s="24">
        <f>VLOOKUP(Table2634[[#This Row],[Date]],'DB Money Supply'!$A:$D,4)</f>
        <v/>
      </c>
      <c r="C439" s="30">
        <f>(Table2634[[#This Row],[M1 Money Stock, Billions of Dollars, Weekly, Seasonally Adjusted]]-B438)/B438</f>
        <v/>
      </c>
      <c r="D439" s="34">
        <f>((1+Table2634[[#This Row],[Weekly change]])^52)-1</f>
        <v/>
      </c>
      <c r="E439" s="24">
        <f>AVERAGE(B436:B439)</f>
        <v/>
      </c>
      <c r="F439" s="32">
        <f>(Table2634[[#This Row],[4 weeks average]]-B387)/B387</f>
        <v/>
      </c>
    </row>
    <row r="440">
      <c r="A440" s="22" t="n">
        <v>30438</v>
      </c>
      <c r="B440" s="24">
        <f>VLOOKUP(Table2634[[#This Row],[Date]],'DB Money Supply'!$A:$D,4)</f>
        <v/>
      </c>
      <c r="C440" s="30">
        <f>(Table2634[[#This Row],[M1 Money Stock, Billions of Dollars, Weekly, Seasonally Adjusted]]-B439)/B439</f>
        <v/>
      </c>
      <c r="D440" s="34">
        <f>((1+Table2634[[#This Row],[Weekly change]])^52)-1</f>
        <v/>
      </c>
      <c r="E440" s="24">
        <f>AVERAGE(B437:B440)</f>
        <v/>
      </c>
      <c r="F440" s="32">
        <f>(Table2634[[#This Row],[4 weeks average]]-B388)/B388</f>
        <v/>
      </c>
    </row>
    <row r="441">
      <c r="A441" s="22" t="n">
        <v>30445</v>
      </c>
      <c r="B441" s="24">
        <f>VLOOKUP(Table2634[[#This Row],[Date]],'DB Money Supply'!$A:$D,4)</f>
        <v/>
      </c>
      <c r="C441" s="30">
        <f>(Table2634[[#This Row],[M1 Money Stock, Billions of Dollars, Weekly, Seasonally Adjusted]]-B440)/B440</f>
        <v/>
      </c>
      <c r="D441" s="34">
        <f>((1+Table2634[[#This Row],[Weekly change]])^52)-1</f>
        <v/>
      </c>
      <c r="E441" s="24">
        <f>AVERAGE(B438:B441)</f>
        <v/>
      </c>
      <c r="F441" s="32">
        <f>(Table2634[[#This Row],[4 weeks average]]-B389)/B389</f>
        <v/>
      </c>
    </row>
    <row r="442">
      <c r="A442" s="22" t="n">
        <v>30452</v>
      </c>
      <c r="B442" s="24">
        <f>VLOOKUP(Table2634[[#This Row],[Date]],'DB Money Supply'!$A:$D,4)</f>
        <v/>
      </c>
      <c r="C442" s="30">
        <f>(Table2634[[#This Row],[M1 Money Stock, Billions of Dollars, Weekly, Seasonally Adjusted]]-B441)/B441</f>
        <v/>
      </c>
      <c r="D442" s="34">
        <f>((1+Table2634[[#This Row],[Weekly change]])^52)-1</f>
        <v/>
      </c>
      <c r="E442" s="24">
        <f>AVERAGE(B439:B442)</f>
        <v/>
      </c>
      <c r="F442" s="32">
        <f>(Table2634[[#This Row],[4 weeks average]]-B390)/B390</f>
        <v/>
      </c>
    </row>
    <row r="443">
      <c r="A443" s="22" t="n">
        <v>30459</v>
      </c>
      <c r="B443" s="24">
        <f>VLOOKUP(Table2634[[#This Row],[Date]],'DB Money Supply'!$A:$D,4)</f>
        <v/>
      </c>
      <c r="C443" s="30">
        <f>(Table2634[[#This Row],[M1 Money Stock, Billions of Dollars, Weekly, Seasonally Adjusted]]-B442)/B442</f>
        <v/>
      </c>
      <c r="D443" s="34">
        <f>((1+Table2634[[#This Row],[Weekly change]])^52)-1</f>
        <v/>
      </c>
      <c r="E443" s="24">
        <f>AVERAGE(B440:B443)</f>
        <v/>
      </c>
      <c r="F443" s="32">
        <f>(Table2634[[#This Row],[4 weeks average]]-B391)/B391</f>
        <v/>
      </c>
    </row>
    <row r="444">
      <c r="A444" s="22" t="n">
        <v>30466</v>
      </c>
      <c r="B444" s="24">
        <f>VLOOKUP(Table2634[[#This Row],[Date]],'DB Money Supply'!$A:$D,4)</f>
        <v/>
      </c>
      <c r="C444" s="30">
        <f>(Table2634[[#This Row],[M1 Money Stock, Billions of Dollars, Weekly, Seasonally Adjusted]]-B443)/B443</f>
        <v/>
      </c>
      <c r="D444" s="34">
        <f>((1+Table2634[[#This Row],[Weekly change]])^52)-1</f>
        <v/>
      </c>
      <c r="E444" s="24">
        <f>AVERAGE(B441:B444)</f>
        <v/>
      </c>
      <c r="F444" s="32">
        <f>(Table2634[[#This Row],[4 weeks average]]-B392)/B392</f>
        <v/>
      </c>
    </row>
    <row r="445">
      <c r="A445" s="22" t="n">
        <v>30473</v>
      </c>
      <c r="B445" s="24">
        <f>VLOOKUP(Table2634[[#This Row],[Date]],'DB Money Supply'!$A:$D,4)</f>
        <v/>
      </c>
      <c r="C445" s="30">
        <f>(Table2634[[#This Row],[M1 Money Stock, Billions of Dollars, Weekly, Seasonally Adjusted]]-B444)/B444</f>
        <v/>
      </c>
      <c r="D445" s="34">
        <f>((1+Table2634[[#This Row],[Weekly change]])^52)-1</f>
        <v/>
      </c>
      <c r="E445" s="24">
        <f>AVERAGE(B442:B445)</f>
        <v/>
      </c>
      <c r="F445" s="32">
        <f>(Table2634[[#This Row],[4 weeks average]]-B393)/B393</f>
        <v/>
      </c>
    </row>
    <row r="446">
      <c r="A446" s="22" t="n">
        <v>30480</v>
      </c>
      <c r="B446" s="24">
        <f>VLOOKUP(Table2634[[#This Row],[Date]],'DB Money Supply'!$A:$D,4)</f>
        <v/>
      </c>
      <c r="C446" s="30">
        <f>(Table2634[[#This Row],[M1 Money Stock, Billions of Dollars, Weekly, Seasonally Adjusted]]-B445)/B445</f>
        <v/>
      </c>
      <c r="D446" s="34">
        <f>((1+Table2634[[#This Row],[Weekly change]])^52)-1</f>
        <v/>
      </c>
      <c r="E446" s="24">
        <f>AVERAGE(B443:B446)</f>
        <v/>
      </c>
      <c r="F446" s="32">
        <f>(Table2634[[#This Row],[4 weeks average]]-B394)/B394</f>
        <v/>
      </c>
    </row>
    <row r="447">
      <c r="A447" s="22" t="n">
        <v>30487</v>
      </c>
      <c r="B447" s="24">
        <f>VLOOKUP(Table2634[[#This Row],[Date]],'DB Money Supply'!$A:$D,4)</f>
        <v/>
      </c>
      <c r="C447" s="30">
        <f>(Table2634[[#This Row],[M1 Money Stock, Billions of Dollars, Weekly, Seasonally Adjusted]]-B446)/B446</f>
        <v/>
      </c>
      <c r="D447" s="34">
        <f>((1+Table2634[[#This Row],[Weekly change]])^52)-1</f>
        <v/>
      </c>
      <c r="E447" s="24">
        <f>AVERAGE(B444:B447)</f>
        <v/>
      </c>
      <c r="F447" s="32">
        <f>(Table2634[[#This Row],[4 weeks average]]-B395)/B395</f>
        <v/>
      </c>
    </row>
    <row r="448">
      <c r="A448" s="22" t="n">
        <v>30494</v>
      </c>
      <c r="B448" s="24">
        <f>VLOOKUP(Table2634[[#This Row],[Date]],'DB Money Supply'!$A:$D,4)</f>
        <v/>
      </c>
      <c r="C448" s="30">
        <f>(Table2634[[#This Row],[M1 Money Stock, Billions of Dollars, Weekly, Seasonally Adjusted]]-B447)/B447</f>
        <v/>
      </c>
      <c r="D448" s="34">
        <f>((1+Table2634[[#This Row],[Weekly change]])^52)-1</f>
        <v/>
      </c>
      <c r="E448" s="24">
        <f>AVERAGE(B445:B448)</f>
        <v/>
      </c>
      <c r="F448" s="32">
        <f>(Table2634[[#This Row],[4 weeks average]]-B396)/B396</f>
        <v/>
      </c>
    </row>
    <row r="449">
      <c r="A449" s="22" t="n">
        <v>30501</v>
      </c>
      <c r="B449" s="24">
        <f>VLOOKUP(Table2634[[#This Row],[Date]],'DB Money Supply'!$A:$D,4)</f>
        <v/>
      </c>
      <c r="C449" s="30">
        <f>(Table2634[[#This Row],[M1 Money Stock, Billions of Dollars, Weekly, Seasonally Adjusted]]-B448)/B448</f>
        <v/>
      </c>
      <c r="D449" s="34">
        <f>((1+Table2634[[#This Row],[Weekly change]])^52)-1</f>
        <v/>
      </c>
      <c r="E449" s="24">
        <f>AVERAGE(B446:B449)</f>
        <v/>
      </c>
      <c r="F449" s="32">
        <f>(Table2634[[#This Row],[4 weeks average]]-B397)/B397</f>
        <v/>
      </c>
    </row>
    <row r="450">
      <c r="A450" s="22" t="n">
        <v>30508</v>
      </c>
      <c r="B450" s="24">
        <f>VLOOKUP(Table2634[[#This Row],[Date]],'DB Money Supply'!$A:$D,4)</f>
        <v/>
      </c>
      <c r="C450" s="30">
        <f>(Table2634[[#This Row],[M1 Money Stock, Billions of Dollars, Weekly, Seasonally Adjusted]]-B449)/B449</f>
        <v/>
      </c>
      <c r="D450" s="34">
        <f>((1+Table2634[[#This Row],[Weekly change]])^52)-1</f>
        <v/>
      </c>
      <c r="E450" s="24">
        <f>AVERAGE(B447:B450)</f>
        <v/>
      </c>
      <c r="F450" s="32">
        <f>(Table2634[[#This Row],[4 weeks average]]-B398)/B398</f>
        <v/>
      </c>
    </row>
    <row r="451">
      <c r="A451" s="22" t="n">
        <v>30515</v>
      </c>
      <c r="B451" s="24">
        <f>VLOOKUP(Table2634[[#This Row],[Date]],'DB Money Supply'!$A:$D,4)</f>
        <v/>
      </c>
      <c r="C451" s="30">
        <f>(Table2634[[#This Row],[M1 Money Stock, Billions of Dollars, Weekly, Seasonally Adjusted]]-B450)/B450</f>
        <v/>
      </c>
      <c r="D451" s="34">
        <f>((1+Table2634[[#This Row],[Weekly change]])^52)-1</f>
        <v/>
      </c>
      <c r="E451" s="24">
        <f>AVERAGE(B448:B451)</f>
        <v/>
      </c>
      <c r="F451" s="32">
        <f>(Table2634[[#This Row],[4 weeks average]]-B399)/B399</f>
        <v/>
      </c>
    </row>
    <row r="452">
      <c r="A452" s="22" t="n">
        <v>30522</v>
      </c>
      <c r="B452" s="24">
        <f>VLOOKUP(Table2634[[#This Row],[Date]],'DB Money Supply'!$A:$D,4)</f>
        <v/>
      </c>
      <c r="C452" s="30">
        <f>(Table2634[[#This Row],[M1 Money Stock, Billions of Dollars, Weekly, Seasonally Adjusted]]-B451)/B451</f>
        <v/>
      </c>
      <c r="D452" s="34">
        <f>((1+Table2634[[#This Row],[Weekly change]])^52)-1</f>
        <v/>
      </c>
      <c r="E452" s="24">
        <f>AVERAGE(B449:B452)</f>
        <v/>
      </c>
      <c r="F452" s="32">
        <f>(Table2634[[#This Row],[4 weeks average]]-B400)/B400</f>
        <v/>
      </c>
    </row>
    <row r="453">
      <c r="A453" s="22" t="n">
        <v>30529</v>
      </c>
      <c r="B453" s="24">
        <f>VLOOKUP(Table2634[[#This Row],[Date]],'DB Money Supply'!$A:$D,4)</f>
        <v/>
      </c>
      <c r="C453" s="30">
        <f>(Table2634[[#This Row],[M1 Money Stock, Billions of Dollars, Weekly, Seasonally Adjusted]]-B452)/B452</f>
        <v/>
      </c>
      <c r="D453" s="34">
        <f>((1+Table2634[[#This Row],[Weekly change]])^52)-1</f>
        <v/>
      </c>
      <c r="E453" s="24">
        <f>AVERAGE(B450:B453)</f>
        <v/>
      </c>
      <c r="F453" s="32">
        <f>(Table2634[[#This Row],[4 weeks average]]-B401)/B401</f>
        <v/>
      </c>
    </row>
    <row r="454">
      <c r="A454" s="22" t="n">
        <v>30536</v>
      </c>
      <c r="B454" s="24">
        <f>VLOOKUP(Table2634[[#This Row],[Date]],'DB Money Supply'!$A:$D,4)</f>
        <v/>
      </c>
      <c r="C454" s="30">
        <f>(Table2634[[#This Row],[M1 Money Stock, Billions of Dollars, Weekly, Seasonally Adjusted]]-B453)/B453</f>
        <v/>
      </c>
      <c r="D454" s="34">
        <f>((1+Table2634[[#This Row],[Weekly change]])^52)-1</f>
        <v/>
      </c>
      <c r="E454" s="24">
        <f>AVERAGE(B451:B454)</f>
        <v/>
      </c>
      <c r="F454" s="32">
        <f>(Table2634[[#This Row],[4 weeks average]]-B402)/B402</f>
        <v/>
      </c>
    </row>
    <row r="455">
      <c r="A455" s="22" t="n">
        <v>30543</v>
      </c>
      <c r="B455" s="24">
        <f>VLOOKUP(Table2634[[#This Row],[Date]],'DB Money Supply'!$A:$D,4)</f>
        <v/>
      </c>
      <c r="C455" s="30">
        <f>(Table2634[[#This Row],[M1 Money Stock, Billions of Dollars, Weekly, Seasonally Adjusted]]-B454)/B454</f>
        <v/>
      </c>
      <c r="D455" s="34">
        <f>((1+Table2634[[#This Row],[Weekly change]])^52)-1</f>
        <v/>
      </c>
      <c r="E455" s="24">
        <f>AVERAGE(B452:B455)</f>
        <v/>
      </c>
      <c r="F455" s="32">
        <f>(Table2634[[#This Row],[4 weeks average]]-B403)/B403</f>
        <v/>
      </c>
    </row>
    <row r="456">
      <c r="A456" s="22" t="n">
        <v>30550</v>
      </c>
      <c r="B456" s="24">
        <f>VLOOKUP(Table2634[[#This Row],[Date]],'DB Money Supply'!$A:$D,4)</f>
        <v/>
      </c>
      <c r="C456" s="30">
        <f>(Table2634[[#This Row],[M1 Money Stock, Billions of Dollars, Weekly, Seasonally Adjusted]]-B455)/B455</f>
        <v/>
      </c>
      <c r="D456" s="34">
        <f>((1+Table2634[[#This Row],[Weekly change]])^52)-1</f>
        <v/>
      </c>
      <c r="E456" s="24">
        <f>AVERAGE(B453:B456)</f>
        <v/>
      </c>
      <c r="F456" s="32">
        <f>(Table2634[[#This Row],[4 weeks average]]-B404)/B404</f>
        <v/>
      </c>
    </row>
    <row r="457">
      <c r="A457" s="22" t="n">
        <v>30557</v>
      </c>
      <c r="B457" s="24">
        <f>VLOOKUP(Table2634[[#This Row],[Date]],'DB Money Supply'!$A:$D,4)</f>
        <v/>
      </c>
      <c r="C457" s="30">
        <f>(Table2634[[#This Row],[M1 Money Stock, Billions of Dollars, Weekly, Seasonally Adjusted]]-B456)/B456</f>
        <v/>
      </c>
      <c r="D457" s="34">
        <f>((1+Table2634[[#This Row],[Weekly change]])^52)-1</f>
        <v/>
      </c>
      <c r="E457" s="24">
        <f>AVERAGE(B454:B457)</f>
        <v/>
      </c>
      <c r="F457" s="32">
        <f>(Table2634[[#This Row],[4 weeks average]]-B405)/B405</f>
        <v/>
      </c>
    </row>
    <row r="458">
      <c r="A458" s="22" t="n">
        <v>30564</v>
      </c>
      <c r="B458" s="24">
        <f>VLOOKUP(Table2634[[#This Row],[Date]],'DB Money Supply'!$A:$D,4)</f>
        <v/>
      </c>
      <c r="C458" s="30">
        <f>(Table2634[[#This Row],[M1 Money Stock, Billions of Dollars, Weekly, Seasonally Adjusted]]-B457)/B457</f>
        <v/>
      </c>
      <c r="D458" s="34">
        <f>((1+Table2634[[#This Row],[Weekly change]])^52)-1</f>
        <v/>
      </c>
      <c r="E458" s="24">
        <f>AVERAGE(B455:B458)</f>
        <v/>
      </c>
      <c r="F458" s="32">
        <f>(Table2634[[#This Row],[4 weeks average]]-B406)/B406</f>
        <v/>
      </c>
    </row>
    <row r="459">
      <c r="A459" s="22" t="n">
        <v>30571</v>
      </c>
      <c r="B459" s="24">
        <f>VLOOKUP(Table2634[[#This Row],[Date]],'DB Money Supply'!$A:$D,4)</f>
        <v/>
      </c>
      <c r="C459" s="30">
        <f>(Table2634[[#This Row],[M1 Money Stock, Billions of Dollars, Weekly, Seasonally Adjusted]]-B458)/B458</f>
        <v/>
      </c>
      <c r="D459" s="34">
        <f>((1+Table2634[[#This Row],[Weekly change]])^52)-1</f>
        <v/>
      </c>
      <c r="E459" s="24">
        <f>AVERAGE(B456:B459)</f>
        <v/>
      </c>
      <c r="F459" s="32">
        <f>(Table2634[[#This Row],[4 weeks average]]-B407)/B407</f>
        <v/>
      </c>
    </row>
    <row r="460">
      <c r="A460" s="22" t="n">
        <v>30578</v>
      </c>
      <c r="B460" s="24">
        <f>VLOOKUP(Table2634[[#This Row],[Date]],'DB Money Supply'!$A:$D,4)</f>
        <v/>
      </c>
      <c r="C460" s="30">
        <f>(Table2634[[#This Row],[M1 Money Stock, Billions of Dollars, Weekly, Seasonally Adjusted]]-B459)/B459</f>
        <v/>
      </c>
      <c r="D460" s="34">
        <f>((1+Table2634[[#This Row],[Weekly change]])^52)-1</f>
        <v/>
      </c>
      <c r="E460" s="24">
        <f>AVERAGE(B457:B460)</f>
        <v/>
      </c>
      <c r="F460" s="32">
        <f>(Table2634[[#This Row],[4 weeks average]]-B408)/B408</f>
        <v/>
      </c>
    </row>
    <row r="461">
      <c r="A461" s="22" t="n">
        <v>30585</v>
      </c>
      <c r="B461" s="24">
        <f>VLOOKUP(Table2634[[#This Row],[Date]],'DB Money Supply'!$A:$D,4)</f>
        <v/>
      </c>
      <c r="C461" s="30">
        <f>(Table2634[[#This Row],[M1 Money Stock, Billions of Dollars, Weekly, Seasonally Adjusted]]-B460)/B460</f>
        <v/>
      </c>
      <c r="D461" s="34">
        <f>((1+Table2634[[#This Row],[Weekly change]])^52)-1</f>
        <v/>
      </c>
      <c r="E461" s="24">
        <f>AVERAGE(B458:B461)</f>
        <v/>
      </c>
      <c r="F461" s="32">
        <f>(Table2634[[#This Row],[4 weeks average]]-B409)/B409</f>
        <v/>
      </c>
    </row>
    <row r="462">
      <c r="A462" s="22" t="n">
        <v>30592</v>
      </c>
      <c r="B462" s="24">
        <f>VLOOKUP(Table2634[[#This Row],[Date]],'DB Money Supply'!$A:$D,4)</f>
        <v/>
      </c>
      <c r="C462" s="30">
        <f>(Table2634[[#This Row],[M1 Money Stock, Billions of Dollars, Weekly, Seasonally Adjusted]]-B461)/B461</f>
        <v/>
      </c>
      <c r="D462" s="34">
        <f>((1+Table2634[[#This Row],[Weekly change]])^52)-1</f>
        <v/>
      </c>
      <c r="E462" s="24">
        <f>AVERAGE(B459:B462)</f>
        <v/>
      </c>
      <c r="F462" s="32">
        <f>(Table2634[[#This Row],[4 weeks average]]-B410)/B410</f>
        <v/>
      </c>
    </row>
    <row r="463">
      <c r="A463" s="22" t="n">
        <v>30599</v>
      </c>
      <c r="B463" s="24">
        <f>VLOOKUP(Table2634[[#This Row],[Date]],'DB Money Supply'!$A:$D,4)</f>
        <v/>
      </c>
      <c r="C463" s="30">
        <f>(Table2634[[#This Row],[M1 Money Stock, Billions of Dollars, Weekly, Seasonally Adjusted]]-B462)/B462</f>
        <v/>
      </c>
      <c r="D463" s="34">
        <f>((1+Table2634[[#This Row],[Weekly change]])^52)-1</f>
        <v/>
      </c>
      <c r="E463" s="24">
        <f>AVERAGE(B460:B463)</f>
        <v/>
      </c>
      <c r="F463" s="32">
        <f>(Table2634[[#This Row],[4 weeks average]]-B411)/B411</f>
        <v/>
      </c>
    </row>
    <row r="464">
      <c r="A464" s="22" t="n">
        <v>30606</v>
      </c>
      <c r="B464" s="24">
        <f>VLOOKUP(Table2634[[#This Row],[Date]],'DB Money Supply'!$A:$D,4)</f>
        <v/>
      </c>
      <c r="C464" s="30">
        <f>(Table2634[[#This Row],[M1 Money Stock, Billions of Dollars, Weekly, Seasonally Adjusted]]-B463)/B463</f>
        <v/>
      </c>
      <c r="D464" s="34">
        <f>((1+Table2634[[#This Row],[Weekly change]])^52)-1</f>
        <v/>
      </c>
      <c r="E464" s="24">
        <f>AVERAGE(B461:B464)</f>
        <v/>
      </c>
      <c r="F464" s="32">
        <f>(Table2634[[#This Row],[4 weeks average]]-B412)/B412</f>
        <v/>
      </c>
    </row>
    <row r="465">
      <c r="A465" s="22" t="n">
        <v>30613</v>
      </c>
      <c r="B465" s="24">
        <f>VLOOKUP(Table2634[[#This Row],[Date]],'DB Money Supply'!$A:$D,4)</f>
        <v/>
      </c>
      <c r="C465" s="30">
        <f>(Table2634[[#This Row],[M1 Money Stock, Billions of Dollars, Weekly, Seasonally Adjusted]]-B464)/B464</f>
        <v/>
      </c>
      <c r="D465" s="34">
        <f>((1+Table2634[[#This Row],[Weekly change]])^52)-1</f>
        <v/>
      </c>
      <c r="E465" s="24">
        <f>AVERAGE(B462:B465)</f>
        <v/>
      </c>
      <c r="F465" s="32">
        <f>(Table2634[[#This Row],[4 weeks average]]-B413)/B413</f>
        <v/>
      </c>
    </row>
    <row r="466">
      <c r="A466" s="22" t="n">
        <v>30620</v>
      </c>
      <c r="B466" s="24">
        <f>VLOOKUP(Table2634[[#This Row],[Date]],'DB Money Supply'!$A:$D,4)</f>
        <v/>
      </c>
      <c r="C466" s="30">
        <f>(Table2634[[#This Row],[M1 Money Stock, Billions of Dollars, Weekly, Seasonally Adjusted]]-B465)/B465</f>
        <v/>
      </c>
      <c r="D466" s="34">
        <f>((1+Table2634[[#This Row],[Weekly change]])^52)-1</f>
        <v/>
      </c>
      <c r="E466" s="24">
        <f>AVERAGE(B463:B466)</f>
        <v/>
      </c>
      <c r="F466" s="32">
        <f>(Table2634[[#This Row],[4 weeks average]]-B414)/B414</f>
        <v/>
      </c>
    </row>
    <row r="467">
      <c r="A467" s="22" t="n">
        <v>30627</v>
      </c>
      <c r="B467" s="24">
        <f>VLOOKUP(Table2634[[#This Row],[Date]],'DB Money Supply'!$A:$D,4)</f>
        <v/>
      </c>
      <c r="C467" s="30">
        <f>(Table2634[[#This Row],[M1 Money Stock, Billions of Dollars, Weekly, Seasonally Adjusted]]-B466)/B466</f>
        <v/>
      </c>
      <c r="D467" s="34">
        <f>((1+Table2634[[#This Row],[Weekly change]])^52)-1</f>
        <v/>
      </c>
      <c r="E467" s="24">
        <f>AVERAGE(B464:B467)</f>
        <v/>
      </c>
      <c r="F467" s="32">
        <f>(Table2634[[#This Row],[4 weeks average]]-B415)/B415</f>
        <v/>
      </c>
    </row>
    <row r="468">
      <c r="A468" s="22" t="n">
        <v>30634</v>
      </c>
      <c r="B468" s="24">
        <f>VLOOKUP(Table2634[[#This Row],[Date]],'DB Money Supply'!$A:$D,4)</f>
        <v/>
      </c>
      <c r="C468" s="30">
        <f>(Table2634[[#This Row],[M1 Money Stock, Billions of Dollars, Weekly, Seasonally Adjusted]]-B467)/B467</f>
        <v/>
      </c>
      <c r="D468" s="34">
        <f>((1+Table2634[[#This Row],[Weekly change]])^52)-1</f>
        <v/>
      </c>
      <c r="E468" s="24">
        <f>AVERAGE(B465:B468)</f>
        <v/>
      </c>
      <c r="F468" s="32">
        <f>(Table2634[[#This Row],[4 weeks average]]-B416)/B416</f>
        <v/>
      </c>
    </row>
    <row r="469">
      <c r="A469" s="22" t="n">
        <v>30641</v>
      </c>
      <c r="B469" s="24">
        <f>VLOOKUP(Table2634[[#This Row],[Date]],'DB Money Supply'!$A:$D,4)</f>
        <v/>
      </c>
      <c r="C469" s="30">
        <f>(Table2634[[#This Row],[M1 Money Stock, Billions of Dollars, Weekly, Seasonally Adjusted]]-B468)/B468</f>
        <v/>
      </c>
      <c r="D469" s="34">
        <f>((1+Table2634[[#This Row],[Weekly change]])^52)-1</f>
        <v/>
      </c>
      <c r="E469" s="24">
        <f>AVERAGE(B466:B469)</f>
        <v/>
      </c>
      <c r="F469" s="32">
        <f>(Table2634[[#This Row],[4 weeks average]]-B417)/B417</f>
        <v/>
      </c>
    </row>
    <row r="470">
      <c r="A470" s="22" t="n">
        <v>30648</v>
      </c>
      <c r="B470" s="24">
        <f>VLOOKUP(Table2634[[#This Row],[Date]],'DB Money Supply'!$A:$D,4)</f>
        <v/>
      </c>
      <c r="C470" s="30">
        <f>(Table2634[[#This Row],[M1 Money Stock, Billions of Dollars, Weekly, Seasonally Adjusted]]-B469)/B469</f>
        <v/>
      </c>
      <c r="D470" s="34">
        <f>((1+Table2634[[#This Row],[Weekly change]])^52)-1</f>
        <v/>
      </c>
      <c r="E470" s="24">
        <f>AVERAGE(B467:B470)</f>
        <v/>
      </c>
      <c r="F470" s="32">
        <f>(Table2634[[#This Row],[4 weeks average]]-B418)/B418</f>
        <v/>
      </c>
    </row>
    <row r="471">
      <c r="A471" s="22" t="n">
        <v>30655</v>
      </c>
      <c r="B471" s="24">
        <f>VLOOKUP(Table2634[[#This Row],[Date]],'DB Money Supply'!$A:$D,4)</f>
        <v/>
      </c>
      <c r="C471" s="30">
        <f>(Table2634[[#This Row],[M1 Money Stock, Billions of Dollars, Weekly, Seasonally Adjusted]]-B470)/B470</f>
        <v/>
      </c>
      <c r="D471" s="34">
        <f>((1+Table2634[[#This Row],[Weekly change]])^52)-1</f>
        <v/>
      </c>
      <c r="E471" s="24">
        <f>AVERAGE(B468:B471)</f>
        <v/>
      </c>
      <c r="F471" s="32">
        <f>(Table2634[[#This Row],[4 weeks average]]-B419)/B419</f>
        <v/>
      </c>
    </row>
    <row r="472">
      <c r="A472" s="22" t="n">
        <v>30662</v>
      </c>
      <c r="B472" s="24">
        <f>VLOOKUP(Table2634[[#This Row],[Date]],'DB Money Supply'!$A:$D,4)</f>
        <v/>
      </c>
      <c r="C472" s="30">
        <f>(Table2634[[#This Row],[M1 Money Stock, Billions of Dollars, Weekly, Seasonally Adjusted]]-B471)/B471</f>
        <v/>
      </c>
      <c r="D472" s="34">
        <f>((1+Table2634[[#This Row],[Weekly change]])^52)-1</f>
        <v/>
      </c>
      <c r="E472" s="24">
        <f>AVERAGE(B469:B472)</f>
        <v/>
      </c>
      <c r="F472" s="32">
        <f>(Table2634[[#This Row],[4 weeks average]]-B420)/B420</f>
        <v/>
      </c>
    </row>
    <row r="473">
      <c r="A473" s="22" t="n">
        <v>30669</v>
      </c>
      <c r="B473" s="24">
        <f>VLOOKUP(Table2634[[#This Row],[Date]],'DB Money Supply'!$A:$D,4)</f>
        <v/>
      </c>
      <c r="C473" s="30">
        <f>(Table2634[[#This Row],[M1 Money Stock, Billions of Dollars, Weekly, Seasonally Adjusted]]-B472)/B472</f>
        <v/>
      </c>
      <c r="D473" s="34">
        <f>((1+Table2634[[#This Row],[Weekly change]])^52)-1</f>
        <v/>
      </c>
      <c r="E473" s="24">
        <f>AVERAGE(B470:B473)</f>
        <v/>
      </c>
      <c r="F473" s="32">
        <f>(Table2634[[#This Row],[4 weeks average]]-B421)/B421</f>
        <v/>
      </c>
    </row>
    <row r="474">
      <c r="A474" s="22" t="n">
        <v>30676</v>
      </c>
      <c r="B474" s="24">
        <f>VLOOKUP(Table2634[[#This Row],[Date]],'DB Money Supply'!$A:$D,4)</f>
        <v/>
      </c>
      <c r="C474" s="30">
        <f>(Table2634[[#This Row],[M1 Money Stock, Billions of Dollars, Weekly, Seasonally Adjusted]]-B473)/B473</f>
        <v/>
      </c>
      <c r="D474" s="34">
        <f>((1+Table2634[[#This Row],[Weekly change]])^52)-1</f>
        <v/>
      </c>
      <c r="E474" s="24">
        <f>AVERAGE(B471:B474)</f>
        <v/>
      </c>
      <c r="F474" s="32">
        <f>(Table2634[[#This Row],[4 weeks average]]-B422)/B422</f>
        <v/>
      </c>
    </row>
    <row r="475">
      <c r="A475" s="22" t="n">
        <v>30683</v>
      </c>
      <c r="B475" s="24">
        <f>VLOOKUP(Table2634[[#This Row],[Date]],'DB Money Supply'!$A:$D,4)</f>
        <v/>
      </c>
      <c r="C475" s="30">
        <f>(Table2634[[#This Row],[M1 Money Stock, Billions of Dollars, Weekly, Seasonally Adjusted]]-B474)/B474</f>
        <v/>
      </c>
      <c r="D475" s="34">
        <f>((1+Table2634[[#This Row],[Weekly change]])^52)-1</f>
        <v/>
      </c>
      <c r="E475" s="24">
        <f>AVERAGE(B472:B475)</f>
        <v/>
      </c>
      <c r="F475" s="32">
        <f>(Table2634[[#This Row],[4 weeks average]]-B423)/B423</f>
        <v/>
      </c>
    </row>
    <row r="476">
      <c r="A476" s="22" t="n">
        <v>30690</v>
      </c>
      <c r="B476" s="24">
        <f>VLOOKUP(Table2634[[#This Row],[Date]],'DB Money Supply'!$A:$D,4)</f>
        <v/>
      </c>
      <c r="C476" s="30">
        <f>(Table2634[[#This Row],[M1 Money Stock, Billions of Dollars, Weekly, Seasonally Adjusted]]-B475)/B475</f>
        <v/>
      </c>
      <c r="D476" s="34">
        <f>((1+Table2634[[#This Row],[Weekly change]])^52)-1</f>
        <v/>
      </c>
      <c r="E476" s="24">
        <f>AVERAGE(B473:B476)</f>
        <v/>
      </c>
      <c r="F476" s="32">
        <f>(Table2634[[#This Row],[4 weeks average]]-B424)/B424</f>
        <v/>
      </c>
    </row>
    <row r="477">
      <c r="A477" s="22" t="n">
        <v>30697</v>
      </c>
      <c r="B477" s="24">
        <f>VLOOKUP(Table2634[[#This Row],[Date]],'DB Money Supply'!$A:$D,4)</f>
        <v/>
      </c>
      <c r="C477" s="30">
        <f>(Table2634[[#This Row],[M1 Money Stock, Billions of Dollars, Weekly, Seasonally Adjusted]]-B476)/B476</f>
        <v/>
      </c>
      <c r="D477" s="34">
        <f>((1+Table2634[[#This Row],[Weekly change]])^52)-1</f>
        <v/>
      </c>
      <c r="E477" s="24">
        <f>AVERAGE(B474:B477)</f>
        <v/>
      </c>
      <c r="F477" s="32">
        <f>(Table2634[[#This Row],[4 weeks average]]-B425)/B425</f>
        <v/>
      </c>
    </row>
    <row r="478">
      <c r="A478" s="22" t="n">
        <v>30704</v>
      </c>
      <c r="B478" s="24">
        <f>VLOOKUP(Table2634[[#This Row],[Date]],'DB Money Supply'!$A:$D,4)</f>
        <v/>
      </c>
      <c r="C478" s="30">
        <f>(Table2634[[#This Row],[M1 Money Stock, Billions of Dollars, Weekly, Seasonally Adjusted]]-B477)/B477</f>
        <v/>
      </c>
      <c r="D478" s="34">
        <f>((1+Table2634[[#This Row],[Weekly change]])^52)-1</f>
        <v/>
      </c>
      <c r="E478" s="24">
        <f>AVERAGE(B475:B478)</f>
        <v/>
      </c>
      <c r="F478" s="32">
        <f>(Table2634[[#This Row],[4 weeks average]]-B426)/B426</f>
        <v/>
      </c>
    </row>
    <row r="479">
      <c r="A479" s="22" t="n">
        <v>30711</v>
      </c>
      <c r="B479" s="24">
        <f>VLOOKUP(Table2634[[#This Row],[Date]],'DB Money Supply'!$A:$D,4)</f>
        <v/>
      </c>
      <c r="C479" s="30">
        <f>(Table2634[[#This Row],[M1 Money Stock, Billions of Dollars, Weekly, Seasonally Adjusted]]-B478)/B478</f>
        <v/>
      </c>
      <c r="D479" s="34">
        <f>((1+Table2634[[#This Row],[Weekly change]])^52)-1</f>
        <v/>
      </c>
      <c r="E479" s="24">
        <f>AVERAGE(B476:B479)</f>
        <v/>
      </c>
      <c r="F479" s="32">
        <f>(Table2634[[#This Row],[4 weeks average]]-B427)/B427</f>
        <v/>
      </c>
    </row>
    <row r="480">
      <c r="A480" s="22" t="n">
        <v>30718</v>
      </c>
      <c r="B480" s="24">
        <f>VLOOKUP(Table2634[[#This Row],[Date]],'DB Money Supply'!$A:$D,4)</f>
        <v/>
      </c>
      <c r="C480" s="30">
        <f>(Table2634[[#This Row],[M1 Money Stock, Billions of Dollars, Weekly, Seasonally Adjusted]]-B479)/B479</f>
        <v/>
      </c>
      <c r="D480" s="34">
        <f>((1+Table2634[[#This Row],[Weekly change]])^52)-1</f>
        <v/>
      </c>
      <c r="E480" s="24">
        <f>AVERAGE(B477:B480)</f>
        <v/>
      </c>
      <c r="F480" s="32">
        <f>(Table2634[[#This Row],[4 weeks average]]-B428)/B428</f>
        <v/>
      </c>
    </row>
    <row r="481">
      <c r="A481" s="22" t="n">
        <v>30725</v>
      </c>
      <c r="B481" s="24">
        <f>VLOOKUP(Table2634[[#This Row],[Date]],'DB Money Supply'!$A:$D,4)</f>
        <v/>
      </c>
      <c r="C481" s="30">
        <f>(Table2634[[#This Row],[M1 Money Stock, Billions of Dollars, Weekly, Seasonally Adjusted]]-B480)/B480</f>
        <v/>
      </c>
      <c r="D481" s="34">
        <f>((1+Table2634[[#This Row],[Weekly change]])^52)-1</f>
        <v/>
      </c>
      <c r="E481" s="24">
        <f>AVERAGE(B478:B481)</f>
        <v/>
      </c>
      <c r="F481" s="32">
        <f>(Table2634[[#This Row],[4 weeks average]]-B429)/B429</f>
        <v/>
      </c>
    </row>
    <row r="482">
      <c r="A482" s="22" t="n">
        <v>30732</v>
      </c>
      <c r="B482" s="24">
        <f>VLOOKUP(Table2634[[#This Row],[Date]],'DB Money Supply'!$A:$D,4)</f>
        <v/>
      </c>
      <c r="C482" s="30">
        <f>(Table2634[[#This Row],[M1 Money Stock, Billions of Dollars, Weekly, Seasonally Adjusted]]-B481)/B481</f>
        <v/>
      </c>
      <c r="D482" s="34">
        <f>((1+Table2634[[#This Row],[Weekly change]])^52)-1</f>
        <v/>
      </c>
      <c r="E482" s="24">
        <f>AVERAGE(B479:B482)</f>
        <v/>
      </c>
      <c r="F482" s="32">
        <f>(Table2634[[#This Row],[4 weeks average]]-B430)/B430</f>
        <v/>
      </c>
    </row>
    <row r="483">
      <c r="A483" s="22" t="n">
        <v>30739</v>
      </c>
      <c r="B483" s="24">
        <f>VLOOKUP(Table2634[[#This Row],[Date]],'DB Money Supply'!$A:$D,4)</f>
        <v/>
      </c>
      <c r="C483" s="30">
        <f>(Table2634[[#This Row],[M1 Money Stock, Billions of Dollars, Weekly, Seasonally Adjusted]]-B482)/B482</f>
        <v/>
      </c>
      <c r="D483" s="34">
        <f>((1+Table2634[[#This Row],[Weekly change]])^52)-1</f>
        <v/>
      </c>
      <c r="E483" s="24">
        <f>AVERAGE(B480:B483)</f>
        <v/>
      </c>
      <c r="F483" s="32">
        <f>(Table2634[[#This Row],[4 weeks average]]-B431)/B431</f>
        <v/>
      </c>
    </row>
    <row r="484">
      <c r="A484" s="22" t="n">
        <v>30746</v>
      </c>
      <c r="B484" s="24">
        <f>VLOOKUP(Table2634[[#This Row],[Date]],'DB Money Supply'!$A:$D,4)</f>
        <v/>
      </c>
      <c r="C484" s="30">
        <f>(Table2634[[#This Row],[M1 Money Stock, Billions of Dollars, Weekly, Seasonally Adjusted]]-B483)/B483</f>
        <v/>
      </c>
      <c r="D484" s="34">
        <f>((1+Table2634[[#This Row],[Weekly change]])^52)-1</f>
        <v/>
      </c>
      <c r="E484" s="24">
        <f>AVERAGE(B481:B484)</f>
        <v/>
      </c>
      <c r="F484" s="32">
        <f>(Table2634[[#This Row],[4 weeks average]]-B432)/B432</f>
        <v/>
      </c>
    </row>
    <row r="485">
      <c r="A485" s="22" t="n">
        <v>30753</v>
      </c>
      <c r="B485" s="24">
        <f>VLOOKUP(Table2634[[#This Row],[Date]],'DB Money Supply'!$A:$D,4)</f>
        <v/>
      </c>
      <c r="C485" s="30">
        <f>(Table2634[[#This Row],[M1 Money Stock, Billions of Dollars, Weekly, Seasonally Adjusted]]-B484)/B484</f>
        <v/>
      </c>
      <c r="D485" s="34">
        <f>((1+Table2634[[#This Row],[Weekly change]])^52)-1</f>
        <v/>
      </c>
      <c r="E485" s="24">
        <f>AVERAGE(B482:B485)</f>
        <v/>
      </c>
      <c r="F485" s="32">
        <f>(Table2634[[#This Row],[4 weeks average]]-B433)/B433</f>
        <v/>
      </c>
    </row>
    <row r="486">
      <c r="A486" s="22" t="n">
        <v>30760</v>
      </c>
      <c r="B486" s="24">
        <f>VLOOKUP(Table2634[[#This Row],[Date]],'DB Money Supply'!$A:$D,4)</f>
        <v/>
      </c>
      <c r="C486" s="30">
        <f>(Table2634[[#This Row],[M1 Money Stock, Billions of Dollars, Weekly, Seasonally Adjusted]]-B485)/B485</f>
        <v/>
      </c>
      <c r="D486" s="34">
        <f>((1+Table2634[[#This Row],[Weekly change]])^52)-1</f>
        <v/>
      </c>
      <c r="E486" s="24">
        <f>AVERAGE(B483:B486)</f>
        <v/>
      </c>
      <c r="F486" s="32">
        <f>(Table2634[[#This Row],[4 weeks average]]-B434)/B434</f>
        <v/>
      </c>
    </row>
    <row r="487">
      <c r="A487" s="22" t="n">
        <v>30767</v>
      </c>
      <c r="B487" s="24">
        <f>VLOOKUP(Table2634[[#This Row],[Date]],'DB Money Supply'!$A:$D,4)</f>
        <v/>
      </c>
      <c r="C487" s="30">
        <f>(Table2634[[#This Row],[M1 Money Stock, Billions of Dollars, Weekly, Seasonally Adjusted]]-B486)/B486</f>
        <v/>
      </c>
      <c r="D487" s="34">
        <f>((1+Table2634[[#This Row],[Weekly change]])^52)-1</f>
        <v/>
      </c>
      <c r="E487" s="24">
        <f>AVERAGE(B484:B487)</f>
        <v/>
      </c>
      <c r="F487" s="32">
        <f>(Table2634[[#This Row],[4 weeks average]]-B435)/B435</f>
        <v/>
      </c>
    </row>
    <row r="488">
      <c r="A488" s="22" t="n">
        <v>30774</v>
      </c>
      <c r="B488" s="24">
        <f>VLOOKUP(Table2634[[#This Row],[Date]],'DB Money Supply'!$A:$D,4)</f>
        <v/>
      </c>
      <c r="C488" s="30">
        <f>(Table2634[[#This Row],[M1 Money Stock, Billions of Dollars, Weekly, Seasonally Adjusted]]-B487)/B487</f>
        <v/>
      </c>
      <c r="D488" s="34">
        <f>((1+Table2634[[#This Row],[Weekly change]])^52)-1</f>
        <v/>
      </c>
      <c r="E488" s="24">
        <f>AVERAGE(B485:B488)</f>
        <v/>
      </c>
      <c r="F488" s="32">
        <f>(Table2634[[#This Row],[4 weeks average]]-B436)/B436</f>
        <v/>
      </c>
    </row>
    <row r="489">
      <c r="A489" s="22" t="n">
        <v>30781</v>
      </c>
      <c r="B489" s="24">
        <f>VLOOKUP(Table2634[[#This Row],[Date]],'DB Money Supply'!$A:$D,4)</f>
        <v/>
      </c>
      <c r="C489" s="30">
        <f>(Table2634[[#This Row],[M1 Money Stock, Billions of Dollars, Weekly, Seasonally Adjusted]]-B488)/B488</f>
        <v/>
      </c>
      <c r="D489" s="34">
        <f>((1+Table2634[[#This Row],[Weekly change]])^52)-1</f>
        <v/>
      </c>
      <c r="E489" s="24">
        <f>AVERAGE(B486:B489)</f>
        <v/>
      </c>
      <c r="F489" s="32">
        <f>(Table2634[[#This Row],[4 weeks average]]-B437)/B437</f>
        <v/>
      </c>
    </row>
    <row r="490">
      <c r="A490" s="22" t="n">
        <v>30788</v>
      </c>
      <c r="B490" s="24">
        <f>VLOOKUP(Table2634[[#This Row],[Date]],'DB Money Supply'!$A:$D,4)</f>
        <v/>
      </c>
      <c r="C490" s="30">
        <f>(Table2634[[#This Row],[M1 Money Stock, Billions of Dollars, Weekly, Seasonally Adjusted]]-B489)/B489</f>
        <v/>
      </c>
      <c r="D490" s="34">
        <f>((1+Table2634[[#This Row],[Weekly change]])^52)-1</f>
        <v/>
      </c>
      <c r="E490" s="24">
        <f>AVERAGE(B487:B490)</f>
        <v/>
      </c>
      <c r="F490" s="32">
        <f>(Table2634[[#This Row],[4 weeks average]]-B438)/B438</f>
        <v/>
      </c>
    </row>
    <row r="491">
      <c r="A491" s="22" t="n">
        <v>30795</v>
      </c>
      <c r="B491" s="24">
        <f>VLOOKUP(Table2634[[#This Row],[Date]],'DB Money Supply'!$A:$D,4)</f>
        <v/>
      </c>
      <c r="C491" s="30">
        <f>(Table2634[[#This Row],[M1 Money Stock, Billions of Dollars, Weekly, Seasonally Adjusted]]-B490)/B490</f>
        <v/>
      </c>
      <c r="D491" s="34">
        <f>((1+Table2634[[#This Row],[Weekly change]])^52)-1</f>
        <v/>
      </c>
      <c r="E491" s="24">
        <f>AVERAGE(B488:B491)</f>
        <v/>
      </c>
      <c r="F491" s="32">
        <f>(Table2634[[#This Row],[4 weeks average]]-B439)/B439</f>
        <v/>
      </c>
    </row>
    <row r="492">
      <c r="A492" s="22" t="n">
        <v>30802</v>
      </c>
      <c r="B492" s="24">
        <f>VLOOKUP(Table2634[[#This Row],[Date]],'DB Money Supply'!$A:$D,4)</f>
        <v/>
      </c>
      <c r="C492" s="30">
        <f>(Table2634[[#This Row],[M1 Money Stock, Billions of Dollars, Weekly, Seasonally Adjusted]]-B491)/B491</f>
        <v/>
      </c>
      <c r="D492" s="34">
        <f>((1+Table2634[[#This Row],[Weekly change]])^52)-1</f>
        <v/>
      </c>
      <c r="E492" s="24">
        <f>AVERAGE(B489:B492)</f>
        <v/>
      </c>
      <c r="F492" s="32">
        <f>(Table2634[[#This Row],[4 weeks average]]-B440)/B440</f>
        <v/>
      </c>
    </row>
    <row r="493">
      <c r="A493" s="22" t="n">
        <v>30809</v>
      </c>
      <c r="B493" s="24">
        <f>VLOOKUP(Table2634[[#This Row],[Date]],'DB Money Supply'!$A:$D,4)</f>
        <v/>
      </c>
      <c r="C493" s="30">
        <f>(Table2634[[#This Row],[M1 Money Stock, Billions of Dollars, Weekly, Seasonally Adjusted]]-B492)/B492</f>
        <v/>
      </c>
      <c r="D493" s="34">
        <f>((1+Table2634[[#This Row],[Weekly change]])^52)-1</f>
        <v/>
      </c>
      <c r="E493" s="24">
        <f>AVERAGE(B490:B493)</f>
        <v/>
      </c>
      <c r="F493" s="32">
        <f>(Table2634[[#This Row],[4 weeks average]]-B441)/B441</f>
        <v/>
      </c>
    </row>
    <row r="494">
      <c r="A494" s="22" t="n">
        <v>30816</v>
      </c>
      <c r="B494" s="24">
        <f>VLOOKUP(Table2634[[#This Row],[Date]],'DB Money Supply'!$A:$D,4)</f>
        <v/>
      </c>
      <c r="C494" s="30">
        <f>(Table2634[[#This Row],[M1 Money Stock, Billions of Dollars, Weekly, Seasonally Adjusted]]-B493)/B493</f>
        <v/>
      </c>
      <c r="D494" s="34">
        <f>((1+Table2634[[#This Row],[Weekly change]])^52)-1</f>
        <v/>
      </c>
      <c r="E494" s="24">
        <f>AVERAGE(B491:B494)</f>
        <v/>
      </c>
      <c r="F494" s="32">
        <f>(Table2634[[#This Row],[4 weeks average]]-B442)/B442</f>
        <v/>
      </c>
    </row>
    <row r="495">
      <c r="A495" s="22" t="n">
        <v>30823</v>
      </c>
      <c r="B495" s="24">
        <f>VLOOKUP(Table2634[[#This Row],[Date]],'DB Money Supply'!$A:$D,4)</f>
        <v/>
      </c>
      <c r="C495" s="30">
        <f>(Table2634[[#This Row],[M1 Money Stock, Billions of Dollars, Weekly, Seasonally Adjusted]]-B494)/B494</f>
        <v/>
      </c>
      <c r="D495" s="34">
        <f>((1+Table2634[[#This Row],[Weekly change]])^52)-1</f>
        <v/>
      </c>
      <c r="E495" s="24">
        <f>AVERAGE(B492:B495)</f>
        <v/>
      </c>
      <c r="F495" s="32">
        <f>(Table2634[[#This Row],[4 weeks average]]-B443)/B443</f>
        <v/>
      </c>
    </row>
    <row r="496">
      <c r="A496" s="22" t="n">
        <v>30830</v>
      </c>
      <c r="B496" s="24">
        <f>VLOOKUP(Table2634[[#This Row],[Date]],'DB Money Supply'!$A:$D,4)</f>
        <v/>
      </c>
      <c r="C496" s="30">
        <f>(Table2634[[#This Row],[M1 Money Stock, Billions of Dollars, Weekly, Seasonally Adjusted]]-B495)/B495</f>
        <v/>
      </c>
      <c r="D496" s="34">
        <f>((1+Table2634[[#This Row],[Weekly change]])^52)-1</f>
        <v/>
      </c>
      <c r="E496" s="24">
        <f>AVERAGE(B493:B496)</f>
        <v/>
      </c>
      <c r="F496" s="32">
        <f>(Table2634[[#This Row],[4 weeks average]]-B444)/B444</f>
        <v/>
      </c>
    </row>
    <row r="497">
      <c r="A497" s="22" t="n">
        <v>30837</v>
      </c>
      <c r="B497" s="24">
        <f>VLOOKUP(Table2634[[#This Row],[Date]],'DB Money Supply'!$A:$D,4)</f>
        <v/>
      </c>
      <c r="C497" s="30">
        <f>(Table2634[[#This Row],[M1 Money Stock, Billions of Dollars, Weekly, Seasonally Adjusted]]-B496)/B496</f>
        <v/>
      </c>
      <c r="D497" s="34">
        <f>((1+Table2634[[#This Row],[Weekly change]])^52)-1</f>
        <v/>
      </c>
      <c r="E497" s="24">
        <f>AVERAGE(B494:B497)</f>
        <v/>
      </c>
      <c r="F497" s="32">
        <f>(Table2634[[#This Row],[4 weeks average]]-B445)/B445</f>
        <v/>
      </c>
    </row>
    <row r="498">
      <c r="A498" s="22" t="n">
        <v>30844</v>
      </c>
      <c r="B498" s="24">
        <f>VLOOKUP(Table2634[[#This Row],[Date]],'DB Money Supply'!$A:$D,4)</f>
        <v/>
      </c>
      <c r="C498" s="30">
        <f>(Table2634[[#This Row],[M1 Money Stock, Billions of Dollars, Weekly, Seasonally Adjusted]]-B497)/B497</f>
        <v/>
      </c>
      <c r="D498" s="34">
        <f>((1+Table2634[[#This Row],[Weekly change]])^52)-1</f>
        <v/>
      </c>
      <c r="E498" s="24">
        <f>AVERAGE(B495:B498)</f>
        <v/>
      </c>
      <c r="F498" s="32">
        <f>(Table2634[[#This Row],[4 weeks average]]-B446)/B446</f>
        <v/>
      </c>
    </row>
    <row r="499">
      <c r="A499" s="22" t="n">
        <v>30851</v>
      </c>
      <c r="B499" s="24">
        <f>VLOOKUP(Table2634[[#This Row],[Date]],'DB Money Supply'!$A:$D,4)</f>
        <v/>
      </c>
      <c r="C499" s="30">
        <f>(Table2634[[#This Row],[M1 Money Stock, Billions of Dollars, Weekly, Seasonally Adjusted]]-B498)/B498</f>
        <v/>
      </c>
      <c r="D499" s="34">
        <f>((1+Table2634[[#This Row],[Weekly change]])^52)-1</f>
        <v/>
      </c>
      <c r="E499" s="24">
        <f>AVERAGE(B496:B499)</f>
        <v/>
      </c>
      <c r="F499" s="32">
        <f>(Table2634[[#This Row],[4 weeks average]]-B447)/B447</f>
        <v/>
      </c>
    </row>
    <row r="500">
      <c r="A500" s="22" t="n">
        <v>30858</v>
      </c>
      <c r="B500" s="24">
        <f>VLOOKUP(Table2634[[#This Row],[Date]],'DB Money Supply'!$A:$D,4)</f>
        <v/>
      </c>
      <c r="C500" s="30">
        <f>(Table2634[[#This Row],[M1 Money Stock, Billions of Dollars, Weekly, Seasonally Adjusted]]-B499)/B499</f>
        <v/>
      </c>
      <c r="D500" s="34">
        <f>((1+Table2634[[#This Row],[Weekly change]])^52)-1</f>
        <v/>
      </c>
      <c r="E500" s="24">
        <f>AVERAGE(B497:B500)</f>
        <v/>
      </c>
      <c r="F500" s="32">
        <f>(Table2634[[#This Row],[4 weeks average]]-B448)/B448</f>
        <v/>
      </c>
    </row>
    <row r="501">
      <c r="A501" s="22" t="n">
        <v>30865</v>
      </c>
      <c r="B501" s="24">
        <f>VLOOKUP(Table2634[[#This Row],[Date]],'DB Money Supply'!$A:$D,4)</f>
        <v/>
      </c>
      <c r="C501" s="30">
        <f>(Table2634[[#This Row],[M1 Money Stock, Billions of Dollars, Weekly, Seasonally Adjusted]]-B500)/B500</f>
        <v/>
      </c>
      <c r="D501" s="34">
        <f>((1+Table2634[[#This Row],[Weekly change]])^52)-1</f>
        <v/>
      </c>
      <c r="E501" s="24">
        <f>AVERAGE(B498:B501)</f>
        <v/>
      </c>
      <c r="F501" s="32">
        <f>(Table2634[[#This Row],[4 weeks average]]-B449)/B449</f>
        <v/>
      </c>
    </row>
    <row r="502">
      <c r="A502" s="22" t="n">
        <v>30872</v>
      </c>
      <c r="B502" s="24">
        <f>VLOOKUP(Table2634[[#This Row],[Date]],'DB Money Supply'!$A:$D,4)</f>
        <v/>
      </c>
      <c r="C502" s="30">
        <f>(Table2634[[#This Row],[M1 Money Stock, Billions of Dollars, Weekly, Seasonally Adjusted]]-B501)/B501</f>
        <v/>
      </c>
      <c r="D502" s="34">
        <f>((1+Table2634[[#This Row],[Weekly change]])^52)-1</f>
        <v/>
      </c>
      <c r="E502" s="24">
        <f>AVERAGE(B499:B502)</f>
        <v/>
      </c>
      <c r="F502" s="32">
        <f>(Table2634[[#This Row],[4 weeks average]]-B450)/B450</f>
        <v/>
      </c>
    </row>
    <row r="503">
      <c r="A503" s="22" t="n">
        <v>30879</v>
      </c>
      <c r="B503" s="24">
        <f>VLOOKUP(Table2634[[#This Row],[Date]],'DB Money Supply'!$A:$D,4)</f>
        <v/>
      </c>
      <c r="C503" s="30">
        <f>(Table2634[[#This Row],[M1 Money Stock, Billions of Dollars, Weekly, Seasonally Adjusted]]-B502)/B502</f>
        <v/>
      </c>
      <c r="D503" s="34">
        <f>((1+Table2634[[#This Row],[Weekly change]])^52)-1</f>
        <v/>
      </c>
      <c r="E503" s="24">
        <f>AVERAGE(B500:B503)</f>
        <v/>
      </c>
      <c r="F503" s="32">
        <f>(Table2634[[#This Row],[4 weeks average]]-B451)/B451</f>
        <v/>
      </c>
    </row>
    <row r="504">
      <c r="A504" s="22" t="n">
        <v>30886</v>
      </c>
      <c r="B504" s="24">
        <f>VLOOKUP(Table2634[[#This Row],[Date]],'DB Money Supply'!$A:$D,4)</f>
        <v/>
      </c>
      <c r="C504" s="30">
        <f>(Table2634[[#This Row],[M1 Money Stock, Billions of Dollars, Weekly, Seasonally Adjusted]]-B503)/B503</f>
        <v/>
      </c>
      <c r="D504" s="34">
        <f>((1+Table2634[[#This Row],[Weekly change]])^52)-1</f>
        <v/>
      </c>
      <c r="E504" s="24">
        <f>AVERAGE(B501:B504)</f>
        <v/>
      </c>
      <c r="F504" s="32">
        <f>(Table2634[[#This Row],[4 weeks average]]-B452)/B452</f>
        <v/>
      </c>
    </row>
    <row r="505">
      <c r="A505" s="22" t="n">
        <v>30893</v>
      </c>
      <c r="B505" s="24">
        <f>VLOOKUP(Table2634[[#This Row],[Date]],'DB Money Supply'!$A:$D,4)</f>
        <v/>
      </c>
      <c r="C505" s="30">
        <f>(Table2634[[#This Row],[M1 Money Stock, Billions of Dollars, Weekly, Seasonally Adjusted]]-B504)/B504</f>
        <v/>
      </c>
      <c r="D505" s="34">
        <f>((1+Table2634[[#This Row],[Weekly change]])^52)-1</f>
        <v/>
      </c>
      <c r="E505" s="24">
        <f>AVERAGE(B502:B505)</f>
        <v/>
      </c>
      <c r="F505" s="32">
        <f>(Table2634[[#This Row],[4 weeks average]]-B453)/B453</f>
        <v/>
      </c>
    </row>
    <row r="506">
      <c r="A506" s="22" t="n">
        <v>30900</v>
      </c>
      <c r="B506" s="24">
        <f>VLOOKUP(Table2634[[#This Row],[Date]],'DB Money Supply'!$A:$D,4)</f>
        <v/>
      </c>
      <c r="C506" s="30">
        <f>(Table2634[[#This Row],[M1 Money Stock, Billions of Dollars, Weekly, Seasonally Adjusted]]-B505)/B505</f>
        <v/>
      </c>
      <c r="D506" s="34">
        <f>((1+Table2634[[#This Row],[Weekly change]])^52)-1</f>
        <v/>
      </c>
      <c r="E506" s="24">
        <f>AVERAGE(B503:B506)</f>
        <v/>
      </c>
      <c r="F506" s="32">
        <f>(Table2634[[#This Row],[4 weeks average]]-B454)/B454</f>
        <v/>
      </c>
    </row>
    <row r="507">
      <c r="A507" s="22" t="n">
        <v>30907</v>
      </c>
      <c r="B507" s="24">
        <f>VLOOKUP(Table2634[[#This Row],[Date]],'DB Money Supply'!$A:$D,4)</f>
        <v/>
      </c>
      <c r="C507" s="30">
        <f>(Table2634[[#This Row],[M1 Money Stock, Billions of Dollars, Weekly, Seasonally Adjusted]]-B506)/B506</f>
        <v/>
      </c>
      <c r="D507" s="34">
        <f>((1+Table2634[[#This Row],[Weekly change]])^52)-1</f>
        <v/>
      </c>
      <c r="E507" s="24">
        <f>AVERAGE(B504:B507)</f>
        <v/>
      </c>
      <c r="F507" s="32">
        <f>(Table2634[[#This Row],[4 weeks average]]-B455)/B455</f>
        <v/>
      </c>
    </row>
    <row r="508">
      <c r="A508" s="22" t="n">
        <v>30914</v>
      </c>
      <c r="B508" s="24">
        <f>VLOOKUP(Table2634[[#This Row],[Date]],'DB Money Supply'!$A:$D,4)</f>
        <v/>
      </c>
      <c r="C508" s="30">
        <f>(Table2634[[#This Row],[M1 Money Stock, Billions of Dollars, Weekly, Seasonally Adjusted]]-B507)/B507</f>
        <v/>
      </c>
      <c r="D508" s="34">
        <f>((1+Table2634[[#This Row],[Weekly change]])^52)-1</f>
        <v/>
      </c>
      <c r="E508" s="24">
        <f>AVERAGE(B505:B508)</f>
        <v/>
      </c>
      <c r="F508" s="32">
        <f>(Table2634[[#This Row],[4 weeks average]]-B456)/B456</f>
        <v/>
      </c>
    </row>
    <row r="509">
      <c r="A509" s="22" t="n">
        <v>30921</v>
      </c>
      <c r="B509" s="24">
        <f>VLOOKUP(Table2634[[#This Row],[Date]],'DB Money Supply'!$A:$D,4)</f>
        <v/>
      </c>
      <c r="C509" s="30">
        <f>(Table2634[[#This Row],[M1 Money Stock, Billions of Dollars, Weekly, Seasonally Adjusted]]-B508)/B508</f>
        <v/>
      </c>
      <c r="D509" s="34">
        <f>((1+Table2634[[#This Row],[Weekly change]])^52)-1</f>
        <v/>
      </c>
      <c r="E509" s="24">
        <f>AVERAGE(B506:B509)</f>
        <v/>
      </c>
      <c r="F509" s="32">
        <f>(Table2634[[#This Row],[4 weeks average]]-B457)/B457</f>
        <v/>
      </c>
    </row>
    <row r="510">
      <c r="A510" s="22" t="n">
        <v>30928</v>
      </c>
      <c r="B510" s="24">
        <f>VLOOKUP(Table2634[[#This Row],[Date]],'DB Money Supply'!$A:$D,4)</f>
        <v/>
      </c>
      <c r="C510" s="30">
        <f>(Table2634[[#This Row],[M1 Money Stock, Billions of Dollars, Weekly, Seasonally Adjusted]]-B509)/B509</f>
        <v/>
      </c>
      <c r="D510" s="34">
        <f>((1+Table2634[[#This Row],[Weekly change]])^52)-1</f>
        <v/>
      </c>
      <c r="E510" s="24">
        <f>AVERAGE(B507:B510)</f>
        <v/>
      </c>
      <c r="F510" s="32">
        <f>(Table2634[[#This Row],[4 weeks average]]-B458)/B458</f>
        <v/>
      </c>
    </row>
    <row r="511">
      <c r="A511" s="22" t="n">
        <v>30935</v>
      </c>
      <c r="B511" s="24">
        <f>VLOOKUP(Table2634[[#This Row],[Date]],'DB Money Supply'!$A:$D,4)</f>
        <v/>
      </c>
      <c r="C511" s="30">
        <f>(Table2634[[#This Row],[M1 Money Stock, Billions of Dollars, Weekly, Seasonally Adjusted]]-B510)/B510</f>
        <v/>
      </c>
      <c r="D511" s="34">
        <f>((1+Table2634[[#This Row],[Weekly change]])^52)-1</f>
        <v/>
      </c>
      <c r="E511" s="24">
        <f>AVERAGE(B508:B511)</f>
        <v/>
      </c>
      <c r="F511" s="32">
        <f>(Table2634[[#This Row],[4 weeks average]]-B459)/B459</f>
        <v/>
      </c>
    </row>
    <row r="512">
      <c r="A512" s="22" t="n">
        <v>30942</v>
      </c>
      <c r="B512" s="24">
        <f>VLOOKUP(Table2634[[#This Row],[Date]],'DB Money Supply'!$A:$D,4)</f>
        <v/>
      </c>
      <c r="C512" s="30">
        <f>(Table2634[[#This Row],[M1 Money Stock, Billions of Dollars, Weekly, Seasonally Adjusted]]-B511)/B511</f>
        <v/>
      </c>
      <c r="D512" s="34">
        <f>((1+Table2634[[#This Row],[Weekly change]])^52)-1</f>
        <v/>
      </c>
      <c r="E512" s="24">
        <f>AVERAGE(B509:B512)</f>
        <v/>
      </c>
      <c r="F512" s="32">
        <f>(Table2634[[#This Row],[4 weeks average]]-B460)/B460</f>
        <v/>
      </c>
    </row>
    <row r="513">
      <c r="A513" s="22" t="n">
        <v>30949</v>
      </c>
      <c r="B513" s="24">
        <f>VLOOKUP(Table2634[[#This Row],[Date]],'DB Money Supply'!$A:$D,4)</f>
        <v/>
      </c>
      <c r="C513" s="30">
        <f>(Table2634[[#This Row],[M1 Money Stock, Billions of Dollars, Weekly, Seasonally Adjusted]]-B512)/B512</f>
        <v/>
      </c>
      <c r="D513" s="34">
        <f>((1+Table2634[[#This Row],[Weekly change]])^52)-1</f>
        <v/>
      </c>
      <c r="E513" s="24">
        <f>AVERAGE(B510:B513)</f>
        <v/>
      </c>
      <c r="F513" s="32">
        <f>(Table2634[[#This Row],[4 weeks average]]-B461)/B461</f>
        <v/>
      </c>
    </row>
    <row r="514">
      <c r="A514" s="22" t="n">
        <v>30956</v>
      </c>
      <c r="B514" s="24">
        <f>VLOOKUP(Table2634[[#This Row],[Date]],'DB Money Supply'!$A:$D,4)</f>
        <v/>
      </c>
      <c r="C514" s="30">
        <f>(Table2634[[#This Row],[M1 Money Stock, Billions of Dollars, Weekly, Seasonally Adjusted]]-B513)/B513</f>
        <v/>
      </c>
      <c r="D514" s="34">
        <f>((1+Table2634[[#This Row],[Weekly change]])^52)-1</f>
        <v/>
      </c>
      <c r="E514" s="24">
        <f>AVERAGE(B511:B514)</f>
        <v/>
      </c>
      <c r="F514" s="32">
        <f>(Table2634[[#This Row],[4 weeks average]]-B462)/B462</f>
        <v/>
      </c>
    </row>
    <row r="515">
      <c r="A515" s="22" t="n">
        <v>30963</v>
      </c>
      <c r="B515" s="24">
        <f>VLOOKUP(Table2634[[#This Row],[Date]],'DB Money Supply'!$A:$D,4)</f>
        <v/>
      </c>
      <c r="C515" s="30">
        <f>(Table2634[[#This Row],[M1 Money Stock, Billions of Dollars, Weekly, Seasonally Adjusted]]-B514)/B514</f>
        <v/>
      </c>
      <c r="D515" s="34">
        <f>((1+Table2634[[#This Row],[Weekly change]])^52)-1</f>
        <v/>
      </c>
      <c r="E515" s="24">
        <f>AVERAGE(B512:B515)</f>
        <v/>
      </c>
      <c r="F515" s="32">
        <f>(Table2634[[#This Row],[4 weeks average]]-B463)/B463</f>
        <v/>
      </c>
    </row>
    <row r="516">
      <c r="A516" s="22" t="n">
        <v>30970</v>
      </c>
      <c r="B516" s="24">
        <f>VLOOKUP(Table2634[[#This Row],[Date]],'DB Money Supply'!$A:$D,4)</f>
        <v/>
      </c>
      <c r="C516" s="30">
        <f>(Table2634[[#This Row],[M1 Money Stock, Billions of Dollars, Weekly, Seasonally Adjusted]]-B515)/B515</f>
        <v/>
      </c>
      <c r="D516" s="34">
        <f>((1+Table2634[[#This Row],[Weekly change]])^52)-1</f>
        <v/>
      </c>
      <c r="E516" s="24">
        <f>AVERAGE(B513:B516)</f>
        <v/>
      </c>
      <c r="F516" s="32">
        <f>(Table2634[[#This Row],[4 weeks average]]-B464)/B464</f>
        <v/>
      </c>
    </row>
    <row r="517">
      <c r="A517" s="22" t="n">
        <v>30977</v>
      </c>
      <c r="B517" s="24">
        <f>VLOOKUP(Table2634[[#This Row],[Date]],'DB Money Supply'!$A:$D,4)</f>
        <v/>
      </c>
      <c r="C517" s="30">
        <f>(Table2634[[#This Row],[M1 Money Stock, Billions of Dollars, Weekly, Seasonally Adjusted]]-B516)/B516</f>
        <v/>
      </c>
      <c r="D517" s="34">
        <f>((1+Table2634[[#This Row],[Weekly change]])^52)-1</f>
        <v/>
      </c>
      <c r="E517" s="24">
        <f>AVERAGE(B514:B517)</f>
        <v/>
      </c>
      <c r="F517" s="32">
        <f>(Table2634[[#This Row],[4 weeks average]]-B465)/B465</f>
        <v/>
      </c>
    </row>
    <row r="518">
      <c r="A518" s="22" t="n">
        <v>30984</v>
      </c>
      <c r="B518" s="24">
        <f>VLOOKUP(Table2634[[#This Row],[Date]],'DB Money Supply'!$A:$D,4)</f>
        <v/>
      </c>
      <c r="C518" s="30">
        <f>(Table2634[[#This Row],[M1 Money Stock, Billions of Dollars, Weekly, Seasonally Adjusted]]-B517)/B517</f>
        <v/>
      </c>
      <c r="D518" s="34">
        <f>((1+Table2634[[#This Row],[Weekly change]])^52)-1</f>
        <v/>
      </c>
      <c r="E518" s="24">
        <f>AVERAGE(B515:B518)</f>
        <v/>
      </c>
      <c r="F518" s="32">
        <f>(Table2634[[#This Row],[4 weeks average]]-B466)/B466</f>
        <v/>
      </c>
    </row>
    <row r="519">
      <c r="A519" s="22" t="n">
        <v>30991</v>
      </c>
      <c r="B519" s="24">
        <f>VLOOKUP(Table2634[[#This Row],[Date]],'DB Money Supply'!$A:$D,4)</f>
        <v/>
      </c>
      <c r="C519" s="30">
        <f>(Table2634[[#This Row],[M1 Money Stock, Billions of Dollars, Weekly, Seasonally Adjusted]]-B518)/B518</f>
        <v/>
      </c>
      <c r="D519" s="34">
        <f>((1+Table2634[[#This Row],[Weekly change]])^52)-1</f>
        <v/>
      </c>
      <c r="E519" s="24">
        <f>AVERAGE(B516:B519)</f>
        <v/>
      </c>
      <c r="F519" s="32">
        <f>(Table2634[[#This Row],[4 weeks average]]-B467)/B467</f>
        <v/>
      </c>
    </row>
    <row r="520">
      <c r="A520" s="22" t="n">
        <v>30998</v>
      </c>
      <c r="B520" s="24">
        <f>VLOOKUP(Table2634[[#This Row],[Date]],'DB Money Supply'!$A:$D,4)</f>
        <v/>
      </c>
      <c r="C520" s="30">
        <f>(Table2634[[#This Row],[M1 Money Stock, Billions of Dollars, Weekly, Seasonally Adjusted]]-B519)/B519</f>
        <v/>
      </c>
      <c r="D520" s="34">
        <f>((1+Table2634[[#This Row],[Weekly change]])^52)-1</f>
        <v/>
      </c>
      <c r="E520" s="24">
        <f>AVERAGE(B517:B520)</f>
        <v/>
      </c>
      <c r="F520" s="32">
        <f>(Table2634[[#This Row],[4 weeks average]]-B468)/B468</f>
        <v/>
      </c>
    </row>
    <row r="521">
      <c r="A521" s="22" t="n">
        <v>31005</v>
      </c>
      <c r="B521" s="24">
        <f>VLOOKUP(Table2634[[#This Row],[Date]],'DB Money Supply'!$A:$D,4)</f>
        <v/>
      </c>
      <c r="C521" s="30">
        <f>(Table2634[[#This Row],[M1 Money Stock, Billions of Dollars, Weekly, Seasonally Adjusted]]-B520)/B520</f>
        <v/>
      </c>
      <c r="D521" s="34">
        <f>((1+Table2634[[#This Row],[Weekly change]])^52)-1</f>
        <v/>
      </c>
      <c r="E521" s="24">
        <f>AVERAGE(B518:B521)</f>
        <v/>
      </c>
      <c r="F521" s="32">
        <f>(Table2634[[#This Row],[4 weeks average]]-B469)/B469</f>
        <v/>
      </c>
    </row>
    <row r="522">
      <c r="A522" s="22" t="n">
        <v>31012</v>
      </c>
      <c r="B522" s="24">
        <f>VLOOKUP(Table2634[[#This Row],[Date]],'DB Money Supply'!$A:$D,4)</f>
        <v/>
      </c>
      <c r="C522" s="30">
        <f>(Table2634[[#This Row],[M1 Money Stock, Billions of Dollars, Weekly, Seasonally Adjusted]]-B521)/B521</f>
        <v/>
      </c>
      <c r="D522" s="34">
        <f>((1+Table2634[[#This Row],[Weekly change]])^52)-1</f>
        <v/>
      </c>
      <c r="E522" s="24">
        <f>AVERAGE(B519:B522)</f>
        <v/>
      </c>
      <c r="F522" s="32">
        <f>(Table2634[[#This Row],[4 weeks average]]-B470)/B470</f>
        <v/>
      </c>
    </row>
    <row r="523">
      <c r="A523" s="22" t="n">
        <v>31019</v>
      </c>
      <c r="B523" s="24">
        <f>VLOOKUP(Table2634[[#This Row],[Date]],'DB Money Supply'!$A:$D,4)</f>
        <v/>
      </c>
      <c r="C523" s="30">
        <f>(Table2634[[#This Row],[M1 Money Stock, Billions of Dollars, Weekly, Seasonally Adjusted]]-B522)/B522</f>
        <v/>
      </c>
      <c r="D523" s="34">
        <f>((1+Table2634[[#This Row],[Weekly change]])^52)-1</f>
        <v/>
      </c>
      <c r="E523" s="24">
        <f>AVERAGE(B520:B523)</f>
        <v/>
      </c>
      <c r="F523" s="32">
        <f>(Table2634[[#This Row],[4 weeks average]]-B471)/B471</f>
        <v/>
      </c>
    </row>
    <row r="524">
      <c r="A524" s="22" t="n">
        <v>31026</v>
      </c>
      <c r="B524" s="24">
        <f>VLOOKUP(Table2634[[#This Row],[Date]],'DB Money Supply'!$A:$D,4)</f>
        <v/>
      </c>
      <c r="C524" s="30">
        <f>(Table2634[[#This Row],[M1 Money Stock, Billions of Dollars, Weekly, Seasonally Adjusted]]-B523)/B523</f>
        <v/>
      </c>
      <c r="D524" s="34">
        <f>((1+Table2634[[#This Row],[Weekly change]])^52)-1</f>
        <v/>
      </c>
      <c r="E524" s="24">
        <f>AVERAGE(B521:B524)</f>
        <v/>
      </c>
      <c r="F524" s="32">
        <f>(Table2634[[#This Row],[4 weeks average]]-B472)/B472</f>
        <v/>
      </c>
    </row>
    <row r="525">
      <c r="A525" s="22" t="n">
        <v>31033</v>
      </c>
      <c r="B525" s="24">
        <f>VLOOKUP(Table2634[[#This Row],[Date]],'DB Money Supply'!$A:$D,4)</f>
        <v/>
      </c>
      <c r="C525" s="30">
        <f>(Table2634[[#This Row],[M1 Money Stock, Billions of Dollars, Weekly, Seasonally Adjusted]]-B524)/B524</f>
        <v/>
      </c>
      <c r="D525" s="34">
        <f>((1+Table2634[[#This Row],[Weekly change]])^52)-1</f>
        <v/>
      </c>
      <c r="E525" s="24">
        <f>AVERAGE(B522:B525)</f>
        <v/>
      </c>
      <c r="F525" s="32">
        <f>(Table2634[[#This Row],[4 weeks average]]-B473)/B473</f>
        <v/>
      </c>
    </row>
    <row r="526">
      <c r="A526" s="22" t="n">
        <v>31040</v>
      </c>
      <c r="B526" s="24">
        <f>VLOOKUP(Table2634[[#This Row],[Date]],'DB Money Supply'!$A:$D,4)</f>
        <v/>
      </c>
      <c r="C526" s="30">
        <f>(Table2634[[#This Row],[M1 Money Stock, Billions of Dollars, Weekly, Seasonally Adjusted]]-B525)/B525</f>
        <v/>
      </c>
      <c r="D526" s="34">
        <f>((1+Table2634[[#This Row],[Weekly change]])^52)-1</f>
        <v/>
      </c>
      <c r="E526" s="24">
        <f>AVERAGE(B523:B526)</f>
        <v/>
      </c>
      <c r="F526" s="32">
        <f>(Table2634[[#This Row],[4 weeks average]]-B474)/B474</f>
        <v/>
      </c>
    </row>
    <row r="527">
      <c r="A527" s="22" t="n">
        <v>31047</v>
      </c>
      <c r="B527" s="24">
        <f>VLOOKUP(Table2634[[#This Row],[Date]],'DB Money Supply'!$A:$D,4)</f>
        <v/>
      </c>
      <c r="C527" s="30">
        <f>(Table2634[[#This Row],[M1 Money Stock, Billions of Dollars, Weekly, Seasonally Adjusted]]-B526)/B526</f>
        <v/>
      </c>
      <c r="D527" s="34">
        <f>((1+Table2634[[#This Row],[Weekly change]])^52)-1</f>
        <v/>
      </c>
      <c r="E527" s="24">
        <f>AVERAGE(B524:B527)</f>
        <v/>
      </c>
      <c r="F527" s="32">
        <f>(Table2634[[#This Row],[4 weeks average]]-B475)/B475</f>
        <v/>
      </c>
    </row>
    <row r="528">
      <c r="A528" s="22" t="n">
        <v>31054</v>
      </c>
      <c r="B528" s="24">
        <f>VLOOKUP(Table2634[[#This Row],[Date]],'DB Money Supply'!$A:$D,4)</f>
        <v/>
      </c>
      <c r="C528" s="30">
        <f>(Table2634[[#This Row],[M1 Money Stock, Billions of Dollars, Weekly, Seasonally Adjusted]]-B527)/B527</f>
        <v/>
      </c>
      <c r="D528" s="34">
        <f>((1+Table2634[[#This Row],[Weekly change]])^52)-1</f>
        <v/>
      </c>
      <c r="E528" s="24">
        <f>AVERAGE(B525:B528)</f>
        <v/>
      </c>
      <c r="F528" s="32">
        <f>(Table2634[[#This Row],[4 weeks average]]-B476)/B476</f>
        <v/>
      </c>
    </row>
    <row r="529">
      <c r="A529" s="22" t="n">
        <v>31061</v>
      </c>
      <c r="B529" s="24">
        <f>VLOOKUP(Table2634[[#This Row],[Date]],'DB Money Supply'!$A:$D,4)</f>
        <v/>
      </c>
      <c r="C529" s="30">
        <f>(Table2634[[#This Row],[M1 Money Stock, Billions of Dollars, Weekly, Seasonally Adjusted]]-B528)/B528</f>
        <v/>
      </c>
      <c r="D529" s="34">
        <f>((1+Table2634[[#This Row],[Weekly change]])^52)-1</f>
        <v/>
      </c>
      <c r="E529" s="24">
        <f>AVERAGE(B526:B529)</f>
        <v/>
      </c>
      <c r="F529" s="32">
        <f>(Table2634[[#This Row],[4 weeks average]]-B477)/B477</f>
        <v/>
      </c>
    </row>
    <row r="530">
      <c r="A530" s="22" t="n">
        <v>31068</v>
      </c>
      <c r="B530" s="24">
        <f>VLOOKUP(Table2634[[#This Row],[Date]],'DB Money Supply'!$A:$D,4)</f>
        <v/>
      </c>
      <c r="C530" s="30">
        <f>(Table2634[[#This Row],[M1 Money Stock, Billions of Dollars, Weekly, Seasonally Adjusted]]-B529)/B529</f>
        <v/>
      </c>
      <c r="D530" s="34">
        <f>((1+Table2634[[#This Row],[Weekly change]])^52)-1</f>
        <v/>
      </c>
      <c r="E530" s="24">
        <f>AVERAGE(B527:B530)</f>
        <v/>
      </c>
      <c r="F530" s="32">
        <f>(Table2634[[#This Row],[4 weeks average]]-B478)/B478</f>
        <v/>
      </c>
    </row>
    <row r="531">
      <c r="A531" s="22" t="n">
        <v>31075</v>
      </c>
      <c r="B531" s="24">
        <f>VLOOKUP(Table2634[[#This Row],[Date]],'DB Money Supply'!$A:$D,4)</f>
        <v/>
      </c>
      <c r="C531" s="30">
        <f>(Table2634[[#This Row],[M1 Money Stock, Billions of Dollars, Weekly, Seasonally Adjusted]]-B530)/B530</f>
        <v/>
      </c>
      <c r="D531" s="34">
        <f>((1+Table2634[[#This Row],[Weekly change]])^52)-1</f>
        <v/>
      </c>
      <c r="E531" s="24">
        <f>AVERAGE(B528:B531)</f>
        <v/>
      </c>
      <c r="F531" s="32">
        <f>(Table2634[[#This Row],[4 weeks average]]-B479)/B479</f>
        <v/>
      </c>
    </row>
    <row r="532">
      <c r="A532" s="22" t="n">
        <v>31082</v>
      </c>
      <c r="B532" s="24">
        <f>VLOOKUP(Table2634[[#This Row],[Date]],'DB Money Supply'!$A:$D,4)</f>
        <v/>
      </c>
      <c r="C532" s="30">
        <f>(Table2634[[#This Row],[M1 Money Stock, Billions of Dollars, Weekly, Seasonally Adjusted]]-B531)/B531</f>
        <v/>
      </c>
      <c r="D532" s="34">
        <f>((1+Table2634[[#This Row],[Weekly change]])^52)-1</f>
        <v/>
      </c>
      <c r="E532" s="24">
        <f>AVERAGE(B529:B532)</f>
        <v/>
      </c>
      <c r="F532" s="32">
        <f>(Table2634[[#This Row],[4 weeks average]]-B480)/B480</f>
        <v/>
      </c>
    </row>
    <row r="533">
      <c r="A533" s="22" t="n">
        <v>31089</v>
      </c>
      <c r="B533" s="24">
        <f>VLOOKUP(Table2634[[#This Row],[Date]],'DB Money Supply'!$A:$D,4)</f>
        <v/>
      </c>
      <c r="C533" s="30">
        <f>(Table2634[[#This Row],[M1 Money Stock, Billions of Dollars, Weekly, Seasonally Adjusted]]-B532)/B532</f>
        <v/>
      </c>
      <c r="D533" s="34">
        <f>((1+Table2634[[#This Row],[Weekly change]])^52)-1</f>
        <v/>
      </c>
      <c r="E533" s="24">
        <f>AVERAGE(B530:B533)</f>
        <v/>
      </c>
      <c r="F533" s="32">
        <f>(Table2634[[#This Row],[4 weeks average]]-B481)/B481</f>
        <v/>
      </c>
    </row>
    <row r="534">
      <c r="A534" s="22" t="n">
        <v>31096</v>
      </c>
      <c r="B534" s="24">
        <f>VLOOKUP(Table2634[[#This Row],[Date]],'DB Money Supply'!$A:$D,4)</f>
        <v/>
      </c>
      <c r="C534" s="30">
        <f>(Table2634[[#This Row],[M1 Money Stock, Billions of Dollars, Weekly, Seasonally Adjusted]]-B533)/B533</f>
        <v/>
      </c>
      <c r="D534" s="34">
        <f>((1+Table2634[[#This Row],[Weekly change]])^52)-1</f>
        <v/>
      </c>
      <c r="E534" s="24">
        <f>AVERAGE(B531:B534)</f>
        <v/>
      </c>
      <c r="F534" s="32">
        <f>(Table2634[[#This Row],[4 weeks average]]-B482)/B482</f>
        <v/>
      </c>
    </row>
    <row r="535">
      <c r="A535" s="22" t="n">
        <v>31103</v>
      </c>
      <c r="B535" s="24">
        <f>VLOOKUP(Table2634[[#This Row],[Date]],'DB Money Supply'!$A:$D,4)</f>
        <v/>
      </c>
      <c r="C535" s="30">
        <f>(Table2634[[#This Row],[M1 Money Stock, Billions of Dollars, Weekly, Seasonally Adjusted]]-B534)/B534</f>
        <v/>
      </c>
      <c r="D535" s="34">
        <f>((1+Table2634[[#This Row],[Weekly change]])^52)-1</f>
        <v/>
      </c>
      <c r="E535" s="24">
        <f>AVERAGE(B532:B535)</f>
        <v/>
      </c>
      <c r="F535" s="32">
        <f>(Table2634[[#This Row],[4 weeks average]]-B483)/B483</f>
        <v/>
      </c>
    </row>
    <row r="536">
      <c r="A536" s="22" t="n">
        <v>31110</v>
      </c>
      <c r="B536" s="24">
        <f>VLOOKUP(Table2634[[#This Row],[Date]],'DB Money Supply'!$A:$D,4)</f>
        <v/>
      </c>
      <c r="C536" s="30">
        <f>(Table2634[[#This Row],[M1 Money Stock, Billions of Dollars, Weekly, Seasonally Adjusted]]-B535)/B535</f>
        <v/>
      </c>
      <c r="D536" s="34">
        <f>((1+Table2634[[#This Row],[Weekly change]])^52)-1</f>
        <v/>
      </c>
      <c r="E536" s="24">
        <f>AVERAGE(B533:B536)</f>
        <v/>
      </c>
      <c r="F536" s="32">
        <f>(Table2634[[#This Row],[4 weeks average]]-B484)/B484</f>
        <v/>
      </c>
    </row>
    <row r="537">
      <c r="A537" s="22" t="n">
        <v>31117</v>
      </c>
      <c r="B537" s="24">
        <f>VLOOKUP(Table2634[[#This Row],[Date]],'DB Money Supply'!$A:$D,4)</f>
        <v/>
      </c>
      <c r="C537" s="30">
        <f>(Table2634[[#This Row],[M1 Money Stock, Billions of Dollars, Weekly, Seasonally Adjusted]]-B536)/B536</f>
        <v/>
      </c>
      <c r="D537" s="34">
        <f>((1+Table2634[[#This Row],[Weekly change]])^52)-1</f>
        <v/>
      </c>
      <c r="E537" s="24">
        <f>AVERAGE(B534:B537)</f>
        <v/>
      </c>
      <c r="F537" s="32">
        <f>(Table2634[[#This Row],[4 weeks average]]-B485)/B485</f>
        <v/>
      </c>
    </row>
    <row r="538">
      <c r="A538" s="22" t="n">
        <v>31124</v>
      </c>
      <c r="B538" s="24">
        <f>VLOOKUP(Table2634[[#This Row],[Date]],'DB Money Supply'!$A:$D,4)</f>
        <v/>
      </c>
      <c r="C538" s="30">
        <f>(Table2634[[#This Row],[M1 Money Stock, Billions of Dollars, Weekly, Seasonally Adjusted]]-B537)/B537</f>
        <v/>
      </c>
      <c r="D538" s="34">
        <f>((1+Table2634[[#This Row],[Weekly change]])^52)-1</f>
        <v/>
      </c>
      <c r="E538" s="24">
        <f>AVERAGE(B535:B538)</f>
        <v/>
      </c>
      <c r="F538" s="32">
        <f>(Table2634[[#This Row],[4 weeks average]]-B486)/B486</f>
        <v/>
      </c>
    </row>
    <row r="539">
      <c r="A539" s="22" t="n">
        <v>31131</v>
      </c>
      <c r="B539" s="24">
        <f>VLOOKUP(Table2634[[#This Row],[Date]],'DB Money Supply'!$A:$D,4)</f>
        <v/>
      </c>
      <c r="C539" s="30">
        <f>(Table2634[[#This Row],[M1 Money Stock, Billions of Dollars, Weekly, Seasonally Adjusted]]-B538)/B538</f>
        <v/>
      </c>
      <c r="D539" s="34">
        <f>((1+Table2634[[#This Row],[Weekly change]])^52)-1</f>
        <v/>
      </c>
      <c r="E539" s="24">
        <f>AVERAGE(B536:B539)</f>
        <v/>
      </c>
      <c r="F539" s="32">
        <f>(Table2634[[#This Row],[4 weeks average]]-B487)/B487</f>
        <v/>
      </c>
    </row>
    <row r="540">
      <c r="A540" s="22" t="n">
        <v>31138</v>
      </c>
      <c r="B540" s="24">
        <f>VLOOKUP(Table2634[[#This Row],[Date]],'DB Money Supply'!$A:$D,4)</f>
        <v/>
      </c>
      <c r="C540" s="30">
        <f>(Table2634[[#This Row],[M1 Money Stock, Billions of Dollars, Weekly, Seasonally Adjusted]]-B539)/B539</f>
        <v/>
      </c>
      <c r="D540" s="34">
        <f>((1+Table2634[[#This Row],[Weekly change]])^52)-1</f>
        <v/>
      </c>
      <c r="E540" s="24">
        <f>AVERAGE(B537:B540)</f>
        <v/>
      </c>
      <c r="F540" s="32">
        <f>(Table2634[[#This Row],[4 weeks average]]-B488)/B488</f>
        <v/>
      </c>
    </row>
    <row r="541">
      <c r="A541" s="22" t="n">
        <v>31145</v>
      </c>
      <c r="B541" s="24">
        <f>VLOOKUP(Table2634[[#This Row],[Date]],'DB Money Supply'!$A:$D,4)</f>
        <v/>
      </c>
      <c r="C541" s="30">
        <f>(Table2634[[#This Row],[M1 Money Stock, Billions of Dollars, Weekly, Seasonally Adjusted]]-B540)/B540</f>
        <v/>
      </c>
      <c r="D541" s="34">
        <f>((1+Table2634[[#This Row],[Weekly change]])^52)-1</f>
        <v/>
      </c>
      <c r="E541" s="24">
        <f>AVERAGE(B538:B541)</f>
        <v/>
      </c>
      <c r="F541" s="32">
        <f>(Table2634[[#This Row],[4 weeks average]]-B489)/B489</f>
        <v/>
      </c>
    </row>
    <row r="542">
      <c r="A542" s="22" t="n">
        <v>31152</v>
      </c>
      <c r="B542" s="24">
        <f>VLOOKUP(Table2634[[#This Row],[Date]],'DB Money Supply'!$A:$D,4)</f>
        <v/>
      </c>
      <c r="C542" s="30">
        <f>(Table2634[[#This Row],[M1 Money Stock, Billions of Dollars, Weekly, Seasonally Adjusted]]-B541)/B541</f>
        <v/>
      </c>
      <c r="D542" s="34">
        <f>((1+Table2634[[#This Row],[Weekly change]])^52)-1</f>
        <v/>
      </c>
      <c r="E542" s="24">
        <f>AVERAGE(B539:B542)</f>
        <v/>
      </c>
      <c r="F542" s="32">
        <f>(Table2634[[#This Row],[4 weeks average]]-B490)/B490</f>
        <v/>
      </c>
    </row>
    <row r="543">
      <c r="A543" s="22" t="n">
        <v>31159</v>
      </c>
      <c r="B543" s="24">
        <f>VLOOKUP(Table2634[[#This Row],[Date]],'DB Money Supply'!$A:$D,4)</f>
        <v/>
      </c>
      <c r="C543" s="30">
        <f>(Table2634[[#This Row],[M1 Money Stock, Billions of Dollars, Weekly, Seasonally Adjusted]]-B542)/B542</f>
        <v/>
      </c>
      <c r="D543" s="34">
        <f>((1+Table2634[[#This Row],[Weekly change]])^52)-1</f>
        <v/>
      </c>
      <c r="E543" s="24">
        <f>AVERAGE(B540:B543)</f>
        <v/>
      </c>
      <c r="F543" s="32">
        <f>(Table2634[[#This Row],[4 weeks average]]-B491)/B491</f>
        <v/>
      </c>
    </row>
    <row r="544">
      <c r="A544" s="22" t="n">
        <v>31166</v>
      </c>
      <c r="B544" s="24">
        <f>VLOOKUP(Table2634[[#This Row],[Date]],'DB Money Supply'!$A:$D,4)</f>
        <v/>
      </c>
      <c r="C544" s="30">
        <f>(Table2634[[#This Row],[M1 Money Stock, Billions of Dollars, Weekly, Seasonally Adjusted]]-B543)/B543</f>
        <v/>
      </c>
      <c r="D544" s="34">
        <f>((1+Table2634[[#This Row],[Weekly change]])^52)-1</f>
        <v/>
      </c>
      <c r="E544" s="24">
        <f>AVERAGE(B541:B544)</f>
        <v/>
      </c>
      <c r="F544" s="32">
        <f>(Table2634[[#This Row],[4 weeks average]]-B492)/B492</f>
        <v/>
      </c>
    </row>
    <row r="545">
      <c r="A545" s="22" t="n">
        <v>31173</v>
      </c>
      <c r="B545" s="24">
        <f>VLOOKUP(Table2634[[#This Row],[Date]],'DB Money Supply'!$A:$D,4)</f>
        <v/>
      </c>
      <c r="C545" s="30">
        <f>(Table2634[[#This Row],[M1 Money Stock, Billions of Dollars, Weekly, Seasonally Adjusted]]-B544)/B544</f>
        <v/>
      </c>
      <c r="D545" s="34">
        <f>((1+Table2634[[#This Row],[Weekly change]])^52)-1</f>
        <v/>
      </c>
      <c r="E545" s="24">
        <f>AVERAGE(B542:B545)</f>
        <v/>
      </c>
      <c r="F545" s="32">
        <f>(Table2634[[#This Row],[4 weeks average]]-B493)/B493</f>
        <v/>
      </c>
    </row>
    <row r="546">
      <c r="A546" s="22" t="n">
        <v>31180</v>
      </c>
      <c r="B546" s="24">
        <f>VLOOKUP(Table2634[[#This Row],[Date]],'DB Money Supply'!$A:$D,4)</f>
        <v/>
      </c>
      <c r="C546" s="30">
        <f>(Table2634[[#This Row],[M1 Money Stock, Billions of Dollars, Weekly, Seasonally Adjusted]]-B545)/B545</f>
        <v/>
      </c>
      <c r="D546" s="34">
        <f>((1+Table2634[[#This Row],[Weekly change]])^52)-1</f>
        <v/>
      </c>
      <c r="E546" s="24">
        <f>AVERAGE(B543:B546)</f>
        <v/>
      </c>
      <c r="F546" s="32">
        <f>(Table2634[[#This Row],[4 weeks average]]-B494)/B494</f>
        <v/>
      </c>
    </row>
    <row r="547">
      <c r="A547" s="22" t="n">
        <v>31187</v>
      </c>
      <c r="B547" s="24">
        <f>VLOOKUP(Table2634[[#This Row],[Date]],'DB Money Supply'!$A:$D,4)</f>
        <v/>
      </c>
      <c r="C547" s="30">
        <f>(Table2634[[#This Row],[M1 Money Stock, Billions of Dollars, Weekly, Seasonally Adjusted]]-B546)/B546</f>
        <v/>
      </c>
      <c r="D547" s="34">
        <f>((1+Table2634[[#This Row],[Weekly change]])^52)-1</f>
        <v/>
      </c>
      <c r="E547" s="24">
        <f>AVERAGE(B544:B547)</f>
        <v/>
      </c>
      <c r="F547" s="32">
        <f>(Table2634[[#This Row],[4 weeks average]]-B495)/B495</f>
        <v/>
      </c>
    </row>
    <row r="548">
      <c r="A548" s="22" t="n">
        <v>31194</v>
      </c>
      <c r="B548" s="24">
        <f>VLOOKUP(Table2634[[#This Row],[Date]],'DB Money Supply'!$A:$D,4)</f>
        <v/>
      </c>
      <c r="C548" s="30">
        <f>(Table2634[[#This Row],[M1 Money Stock, Billions of Dollars, Weekly, Seasonally Adjusted]]-B547)/B547</f>
        <v/>
      </c>
      <c r="D548" s="34">
        <f>((1+Table2634[[#This Row],[Weekly change]])^52)-1</f>
        <v/>
      </c>
      <c r="E548" s="24">
        <f>AVERAGE(B545:B548)</f>
        <v/>
      </c>
      <c r="F548" s="32">
        <f>(Table2634[[#This Row],[4 weeks average]]-B496)/B496</f>
        <v/>
      </c>
    </row>
    <row r="549">
      <c r="A549" s="22" t="n">
        <v>31201</v>
      </c>
      <c r="B549" s="24">
        <f>VLOOKUP(Table2634[[#This Row],[Date]],'DB Money Supply'!$A:$D,4)</f>
        <v/>
      </c>
      <c r="C549" s="30">
        <f>(Table2634[[#This Row],[M1 Money Stock, Billions of Dollars, Weekly, Seasonally Adjusted]]-B548)/B548</f>
        <v/>
      </c>
      <c r="D549" s="34">
        <f>((1+Table2634[[#This Row],[Weekly change]])^52)-1</f>
        <v/>
      </c>
      <c r="E549" s="24">
        <f>AVERAGE(B546:B549)</f>
        <v/>
      </c>
      <c r="F549" s="32">
        <f>(Table2634[[#This Row],[4 weeks average]]-B497)/B497</f>
        <v/>
      </c>
    </row>
    <row r="550">
      <c r="A550" s="22" t="n">
        <v>31208</v>
      </c>
      <c r="B550" s="24">
        <f>VLOOKUP(Table2634[[#This Row],[Date]],'DB Money Supply'!$A:$D,4)</f>
        <v/>
      </c>
      <c r="C550" s="30">
        <f>(Table2634[[#This Row],[M1 Money Stock, Billions of Dollars, Weekly, Seasonally Adjusted]]-B549)/B549</f>
        <v/>
      </c>
      <c r="D550" s="34">
        <f>((1+Table2634[[#This Row],[Weekly change]])^52)-1</f>
        <v/>
      </c>
      <c r="E550" s="24">
        <f>AVERAGE(B547:B550)</f>
        <v/>
      </c>
      <c r="F550" s="32">
        <f>(Table2634[[#This Row],[4 weeks average]]-B498)/B498</f>
        <v/>
      </c>
    </row>
    <row r="551">
      <c r="A551" s="22" t="n">
        <v>31215</v>
      </c>
      <c r="B551" s="24">
        <f>VLOOKUP(Table2634[[#This Row],[Date]],'DB Money Supply'!$A:$D,4)</f>
        <v/>
      </c>
      <c r="C551" s="30">
        <f>(Table2634[[#This Row],[M1 Money Stock, Billions of Dollars, Weekly, Seasonally Adjusted]]-B550)/B550</f>
        <v/>
      </c>
      <c r="D551" s="34">
        <f>((1+Table2634[[#This Row],[Weekly change]])^52)-1</f>
        <v/>
      </c>
      <c r="E551" s="24">
        <f>AVERAGE(B548:B551)</f>
        <v/>
      </c>
      <c r="F551" s="32">
        <f>(Table2634[[#This Row],[4 weeks average]]-B499)/B499</f>
        <v/>
      </c>
    </row>
    <row r="552">
      <c r="A552" s="22" t="n">
        <v>31222</v>
      </c>
      <c r="B552" s="24">
        <f>VLOOKUP(Table2634[[#This Row],[Date]],'DB Money Supply'!$A:$D,4)</f>
        <v/>
      </c>
      <c r="C552" s="30">
        <f>(Table2634[[#This Row],[M1 Money Stock, Billions of Dollars, Weekly, Seasonally Adjusted]]-B551)/B551</f>
        <v/>
      </c>
      <c r="D552" s="34">
        <f>((1+Table2634[[#This Row],[Weekly change]])^52)-1</f>
        <v/>
      </c>
      <c r="E552" s="24">
        <f>AVERAGE(B549:B552)</f>
        <v/>
      </c>
      <c r="F552" s="32">
        <f>(Table2634[[#This Row],[4 weeks average]]-B500)/B500</f>
        <v/>
      </c>
    </row>
    <row r="553">
      <c r="A553" s="22" t="n">
        <v>31229</v>
      </c>
      <c r="B553" s="24">
        <f>VLOOKUP(Table2634[[#This Row],[Date]],'DB Money Supply'!$A:$D,4)</f>
        <v/>
      </c>
      <c r="C553" s="30">
        <f>(Table2634[[#This Row],[M1 Money Stock, Billions of Dollars, Weekly, Seasonally Adjusted]]-B552)/B552</f>
        <v/>
      </c>
      <c r="D553" s="34">
        <f>((1+Table2634[[#This Row],[Weekly change]])^52)-1</f>
        <v/>
      </c>
      <c r="E553" s="24">
        <f>AVERAGE(B550:B553)</f>
        <v/>
      </c>
      <c r="F553" s="32">
        <f>(Table2634[[#This Row],[4 weeks average]]-B501)/B501</f>
        <v/>
      </c>
    </row>
    <row r="554">
      <c r="A554" s="22" t="n">
        <v>31236</v>
      </c>
      <c r="B554" s="24">
        <f>VLOOKUP(Table2634[[#This Row],[Date]],'DB Money Supply'!$A:$D,4)</f>
        <v/>
      </c>
      <c r="C554" s="30">
        <f>(Table2634[[#This Row],[M1 Money Stock, Billions of Dollars, Weekly, Seasonally Adjusted]]-B553)/B553</f>
        <v/>
      </c>
      <c r="D554" s="34">
        <f>((1+Table2634[[#This Row],[Weekly change]])^52)-1</f>
        <v/>
      </c>
      <c r="E554" s="24">
        <f>AVERAGE(B551:B554)</f>
        <v/>
      </c>
      <c r="F554" s="32">
        <f>(Table2634[[#This Row],[4 weeks average]]-B502)/B502</f>
        <v/>
      </c>
    </row>
    <row r="555">
      <c r="A555" s="22" t="n">
        <v>31243</v>
      </c>
      <c r="B555" s="24">
        <f>VLOOKUP(Table2634[[#This Row],[Date]],'DB Money Supply'!$A:$D,4)</f>
        <v/>
      </c>
      <c r="C555" s="30">
        <f>(Table2634[[#This Row],[M1 Money Stock, Billions of Dollars, Weekly, Seasonally Adjusted]]-B554)/B554</f>
        <v/>
      </c>
      <c r="D555" s="34">
        <f>((1+Table2634[[#This Row],[Weekly change]])^52)-1</f>
        <v/>
      </c>
      <c r="E555" s="24">
        <f>AVERAGE(B552:B555)</f>
        <v/>
      </c>
      <c r="F555" s="32">
        <f>(Table2634[[#This Row],[4 weeks average]]-B503)/B503</f>
        <v/>
      </c>
    </row>
    <row r="556">
      <c r="A556" s="22" t="n">
        <v>31250</v>
      </c>
      <c r="B556" s="24">
        <f>VLOOKUP(Table2634[[#This Row],[Date]],'DB Money Supply'!$A:$D,4)</f>
        <v/>
      </c>
      <c r="C556" s="30">
        <f>(Table2634[[#This Row],[M1 Money Stock, Billions of Dollars, Weekly, Seasonally Adjusted]]-B555)/B555</f>
        <v/>
      </c>
      <c r="D556" s="34">
        <f>((1+Table2634[[#This Row],[Weekly change]])^52)-1</f>
        <v/>
      </c>
      <c r="E556" s="24">
        <f>AVERAGE(B553:B556)</f>
        <v/>
      </c>
      <c r="F556" s="32">
        <f>(Table2634[[#This Row],[4 weeks average]]-B504)/B504</f>
        <v/>
      </c>
    </row>
    <row r="557">
      <c r="A557" s="22" t="n">
        <v>31257</v>
      </c>
      <c r="B557" s="24">
        <f>VLOOKUP(Table2634[[#This Row],[Date]],'DB Money Supply'!$A:$D,4)</f>
        <v/>
      </c>
      <c r="C557" s="30">
        <f>(Table2634[[#This Row],[M1 Money Stock, Billions of Dollars, Weekly, Seasonally Adjusted]]-B556)/B556</f>
        <v/>
      </c>
      <c r="D557" s="34">
        <f>((1+Table2634[[#This Row],[Weekly change]])^52)-1</f>
        <v/>
      </c>
      <c r="E557" s="24">
        <f>AVERAGE(B554:B557)</f>
        <v/>
      </c>
      <c r="F557" s="32">
        <f>(Table2634[[#This Row],[4 weeks average]]-B505)/B505</f>
        <v/>
      </c>
    </row>
    <row r="558">
      <c r="A558" s="22" t="n">
        <v>31264</v>
      </c>
      <c r="B558" s="24">
        <f>VLOOKUP(Table2634[[#This Row],[Date]],'DB Money Supply'!$A:$D,4)</f>
        <v/>
      </c>
      <c r="C558" s="30">
        <f>(Table2634[[#This Row],[M1 Money Stock, Billions of Dollars, Weekly, Seasonally Adjusted]]-B557)/B557</f>
        <v/>
      </c>
      <c r="D558" s="34">
        <f>((1+Table2634[[#This Row],[Weekly change]])^52)-1</f>
        <v/>
      </c>
      <c r="E558" s="24">
        <f>AVERAGE(B555:B558)</f>
        <v/>
      </c>
      <c r="F558" s="32">
        <f>(Table2634[[#This Row],[4 weeks average]]-B506)/B506</f>
        <v/>
      </c>
    </row>
    <row r="559">
      <c r="A559" s="22" t="n">
        <v>31271</v>
      </c>
      <c r="B559" s="24">
        <f>VLOOKUP(Table2634[[#This Row],[Date]],'DB Money Supply'!$A:$D,4)</f>
        <v/>
      </c>
      <c r="C559" s="30">
        <f>(Table2634[[#This Row],[M1 Money Stock, Billions of Dollars, Weekly, Seasonally Adjusted]]-B558)/B558</f>
        <v/>
      </c>
      <c r="D559" s="34">
        <f>((1+Table2634[[#This Row],[Weekly change]])^52)-1</f>
        <v/>
      </c>
      <c r="E559" s="24">
        <f>AVERAGE(B556:B559)</f>
        <v/>
      </c>
      <c r="F559" s="32">
        <f>(Table2634[[#This Row],[4 weeks average]]-B507)/B507</f>
        <v/>
      </c>
    </row>
    <row r="560">
      <c r="A560" s="22" t="n">
        <v>31278</v>
      </c>
      <c r="B560" s="24">
        <f>VLOOKUP(Table2634[[#This Row],[Date]],'DB Money Supply'!$A:$D,4)</f>
        <v/>
      </c>
      <c r="C560" s="30">
        <f>(Table2634[[#This Row],[M1 Money Stock, Billions of Dollars, Weekly, Seasonally Adjusted]]-B559)/B559</f>
        <v/>
      </c>
      <c r="D560" s="34">
        <f>((1+Table2634[[#This Row],[Weekly change]])^52)-1</f>
        <v/>
      </c>
      <c r="E560" s="24">
        <f>AVERAGE(B557:B560)</f>
        <v/>
      </c>
      <c r="F560" s="32">
        <f>(Table2634[[#This Row],[4 weeks average]]-B508)/B508</f>
        <v/>
      </c>
    </row>
    <row r="561">
      <c r="A561" s="22" t="n">
        <v>31285</v>
      </c>
      <c r="B561" s="24">
        <f>VLOOKUP(Table2634[[#This Row],[Date]],'DB Money Supply'!$A:$D,4)</f>
        <v/>
      </c>
      <c r="C561" s="30">
        <f>(Table2634[[#This Row],[M1 Money Stock, Billions of Dollars, Weekly, Seasonally Adjusted]]-B560)/B560</f>
        <v/>
      </c>
      <c r="D561" s="34">
        <f>((1+Table2634[[#This Row],[Weekly change]])^52)-1</f>
        <v/>
      </c>
      <c r="E561" s="24">
        <f>AVERAGE(B558:B561)</f>
        <v/>
      </c>
      <c r="F561" s="32">
        <f>(Table2634[[#This Row],[4 weeks average]]-B509)/B509</f>
        <v/>
      </c>
    </row>
    <row r="562">
      <c r="A562" s="22" t="n">
        <v>31292</v>
      </c>
      <c r="B562" s="24">
        <f>VLOOKUP(Table2634[[#This Row],[Date]],'DB Money Supply'!$A:$D,4)</f>
        <v/>
      </c>
      <c r="C562" s="30">
        <f>(Table2634[[#This Row],[M1 Money Stock, Billions of Dollars, Weekly, Seasonally Adjusted]]-B561)/B561</f>
        <v/>
      </c>
      <c r="D562" s="34">
        <f>((1+Table2634[[#This Row],[Weekly change]])^52)-1</f>
        <v/>
      </c>
      <c r="E562" s="24">
        <f>AVERAGE(B559:B562)</f>
        <v/>
      </c>
      <c r="F562" s="32">
        <f>(Table2634[[#This Row],[4 weeks average]]-B510)/B510</f>
        <v/>
      </c>
    </row>
    <row r="563">
      <c r="A563" s="22" t="n">
        <v>31299</v>
      </c>
      <c r="B563" s="24">
        <f>VLOOKUP(Table2634[[#This Row],[Date]],'DB Money Supply'!$A:$D,4)</f>
        <v/>
      </c>
      <c r="C563" s="30">
        <f>(Table2634[[#This Row],[M1 Money Stock, Billions of Dollars, Weekly, Seasonally Adjusted]]-B562)/B562</f>
        <v/>
      </c>
      <c r="D563" s="34">
        <f>((1+Table2634[[#This Row],[Weekly change]])^52)-1</f>
        <v/>
      </c>
      <c r="E563" s="24">
        <f>AVERAGE(B560:B563)</f>
        <v/>
      </c>
      <c r="F563" s="32">
        <f>(Table2634[[#This Row],[4 weeks average]]-B511)/B511</f>
        <v/>
      </c>
    </row>
    <row r="564">
      <c r="A564" s="22" t="n">
        <v>31306</v>
      </c>
      <c r="B564" s="24">
        <f>VLOOKUP(Table2634[[#This Row],[Date]],'DB Money Supply'!$A:$D,4)</f>
        <v/>
      </c>
      <c r="C564" s="30">
        <f>(Table2634[[#This Row],[M1 Money Stock, Billions of Dollars, Weekly, Seasonally Adjusted]]-B563)/B563</f>
        <v/>
      </c>
      <c r="D564" s="34">
        <f>((1+Table2634[[#This Row],[Weekly change]])^52)-1</f>
        <v/>
      </c>
      <c r="E564" s="24">
        <f>AVERAGE(B561:B564)</f>
        <v/>
      </c>
      <c r="F564" s="32">
        <f>(Table2634[[#This Row],[4 weeks average]]-B512)/B512</f>
        <v/>
      </c>
    </row>
    <row r="565">
      <c r="A565" s="22" t="n">
        <v>31313</v>
      </c>
      <c r="B565" s="24">
        <f>VLOOKUP(Table2634[[#This Row],[Date]],'DB Money Supply'!$A:$D,4)</f>
        <v/>
      </c>
      <c r="C565" s="30">
        <f>(Table2634[[#This Row],[M1 Money Stock, Billions of Dollars, Weekly, Seasonally Adjusted]]-B564)/B564</f>
        <v/>
      </c>
      <c r="D565" s="34">
        <f>((1+Table2634[[#This Row],[Weekly change]])^52)-1</f>
        <v/>
      </c>
      <c r="E565" s="24">
        <f>AVERAGE(B562:B565)</f>
        <v/>
      </c>
      <c r="F565" s="32">
        <f>(Table2634[[#This Row],[4 weeks average]]-B513)/B513</f>
        <v/>
      </c>
    </row>
    <row r="566">
      <c r="A566" s="22" t="n">
        <v>31320</v>
      </c>
      <c r="B566" s="24">
        <f>VLOOKUP(Table2634[[#This Row],[Date]],'DB Money Supply'!$A:$D,4)</f>
        <v/>
      </c>
      <c r="C566" s="30">
        <f>(Table2634[[#This Row],[M1 Money Stock, Billions of Dollars, Weekly, Seasonally Adjusted]]-B565)/B565</f>
        <v/>
      </c>
      <c r="D566" s="34">
        <f>((1+Table2634[[#This Row],[Weekly change]])^52)-1</f>
        <v/>
      </c>
      <c r="E566" s="24">
        <f>AVERAGE(B563:B566)</f>
        <v/>
      </c>
      <c r="F566" s="32">
        <f>(Table2634[[#This Row],[4 weeks average]]-B514)/B514</f>
        <v/>
      </c>
    </row>
    <row r="567">
      <c r="A567" s="22" t="n">
        <v>31327</v>
      </c>
      <c r="B567" s="24">
        <f>VLOOKUP(Table2634[[#This Row],[Date]],'DB Money Supply'!$A:$D,4)</f>
        <v/>
      </c>
      <c r="C567" s="30">
        <f>(Table2634[[#This Row],[M1 Money Stock, Billions of Dollars, Weekly, Seasonally Adjusted]]-B566)/B566</f>
        <v/>
      </c>
      <c r="D567" s="34">
        <f>((1+Table2634[[#This Row],[Weekly change]])^52)-1</f>
        <v/>
      </c>
      <c r="E567" s="24">
        <f>AVERAGE(B564:B567)</f>
        <v/>
      </c>
      <c r="F567" s="32">
        <f>(Table2634[[#This Row],[4 weeks average]]-B515)/B515</f>
        <v/>
      </c>
    </row>
    <row r="568">
      <c r="A568" s="22" t="n">
        <v>31334</v>
      </c>
      <c r="B568" s="24">
        <f>VLOOKUP(Table2634[[#This Row],[Date]],'DB Money Supply'!$A:$D,4)</f>
        <v/>
      </c>
      <c r="C568" s="30">
        <f>(Table2634[[#This Row],[M1 Money Stock, Billions of Dollars, Weekly, Seasonally Adjusted]]-B567)/B567</f>
        <v/>
      </c>
      <c r="D568" s="34">
        <f>((1+Table2634[[#This Row],[Weekly change]])^52)-1</f>
        <v/>
      </c>
      <c r="E568" s="24">
        <f>AVERAGE(B565:B568)</f>
        <v/>
      </c>
      <c r="F568" s="32">
        <f>(Table2634[[#This Row],[4 weeks average]]-B516)/B516</f>
        <v/>
      </c>
    </row>
    <row r="569">
      <c r="A569" s="22" t="n">
        <v>31341</v>
      </c>
      <c r="B569" s="24">
        <f>VLOOKUP(Table2634[[#This Row],[Date]],'DB Money Supply'!$A:$D,4)</f>
        <v/>
      </c>
      <c r="C569" s="30">
        <f>(Table2634[[#This Row],[M1 Money Stock, Billions of Dollars, Weekly, Seasonally Adjusted]]-B568)/B568</f>
        <v/>
      </c>
      <c r="D569" s="34">
        <f>((1+Table2634[[#This Row],[Weekly change]])^52)-1</f>
        <v/>
      </c>
      <c r="E569" s="24">
        <f>AVERAGE(B566:B569)</f>
        <v/>
      </c>
      <c r="F569" s="32">
        <f>(Table2634[[#This Row],[4 weeks average]]-B517)/B517</f>
        <v/>
      </c>
    </row>
    <row r="570">
      <c r="A570" s="22" t="n">
        <v>31348</v>
      </c>
      <c r="B570" s="24">
        <f>VLOOKUP(Table2634[[#This Row],[Date]],'DB Money Supply'!$A:$D,4)</f>
        <v/>
      </c>
      <c r="C570" s="30">
        <f>(Table2634[[#This Row],[M1 Money Stock, Billions of Dollars, Weekly, Seasonally Adjusted]]-B569)/B569</f>
        <v/>
      </c>
      <c r="D570" s="34">
        <f>((1+Table2634[[#This Row],[Weekly change]])^52)-1</f>
        <v/>
      </c>
      <c r="E570" s="24">
        <f>AVERAGE(B567:B570)</f>
        <v/>
      </c>
      <c r="F570" s="32">
        <f>(Table2634[[#This Row],[4 weeks average]]-B518)/B518</f>
        <v/>
      </c>
    </row>
    <row r="571">
      <c r="A571" s="22" t="n">
        <v>31355</v>
      </c>
      <c r="B571" s="24">
        <f>VLOOKUP(Table2634[[#This Row],[Date]],'DB Money Supply'!$A:$D,4)</f>
        <v/>
      </c>
      <c r="C571" s="30">
        <f>(Table2634[[#This Row],[M1 Money Stock, Billions of Dollars, Weekly, Seasonally Adjusted]]-B570)/B570</f>
        <v/>
      </c>
      <c r="D571" s="34">
        <f>((1+Table2634[[#This Row],[Weekly change]])^52)-1</f>
        <v/>
      </c>
      <c r="E571" s="24">
        <f>AVERAGE(B568:B571)</f>
        <v/>
      </c>
      <c r="F571" s="32">
        <f>(Table2634[[#This Row],[4 weeks average]]-B519)/B519</f>
        <v/>
      </c>
    </row>
    <row r="572">
      <c r="A572" s="22" t="n">
        <v>31362</v>
      </c>
      <c r="B572" s="24">
        <f>VLOOKUP(Table2634[[#This Row],[Date]],'DB Money Supply'!$A:$D,4)</f>
        <v/>
      </c>
      <c r="C572" s="30">
        <f>(Table2634[[#This Row],[M1 Money Stock, Billions of Dollars, Weekly, Seasonally Adjusted]]-B571)/B571</f>
        <v/>
      </c>
      <c r="D572" s="34">
        <f>((1+Table2634[[#This Row],[Weekly change]])^52)-1</f>
        <v/>
      </c>
      <c r="E572" s="24">
        <f>AVERAGE(B569:B572)</f>
        <v/>
      </c>
      <c r="F572" s="32">
        <f>(Table2634[[#This Row],[4 weeks average]]-B520)/B520</f>
        <v/>
      </c>
    </row>
    <row r="573">
      <c r="A573" s="22" t="n">
        <v>31369</v>
      </c>
      <c r="B573" s="24">
        <f>VLOOKUP(Table2634[[#This Row],[Date]],'DB Money Supply'!$A:$D,4)</f>
        <v/>
      </c>
      <c r="C573" s="30">
        <f>(Table2634[[#This Row],[M1 Money Stock, Billions of Dollars, Weekly, Seasonally Adjusted]]-B572)/B572</f>
        <v/>
      </c>
      <c r="D573" s="34">
        <f>((1+Table2634[[#This Row],[Weekly change]])^52)-1</f>
        <v/>
      </c>
      <c r="E573" s="24">
        <f>AVERAGE(B570:B573)</f>
        <v/>
      </c>
      <c r="F573" s="32">
        <f>(Table2634[[#This Row],[4 weeks average]]-B521)/B521</f>
        <v/>
      </c>
    </row>
    <row r="574">
      <c r="A574" s="22" t="n">
        <v>31376</v>
      </c>
      <c r="B574" s="24">
        <f>VLOOKUP(Table2634[[#This Row],[Date]],'DB Money Supply'!$A:$D,4)</f>
        <v/>
      </c>
      <c r="C574" s="30">
        <f>(Table2634[[#This Row],[M1 Money Stock, Billions of Dollars, Weekly, Seasonally Adjusted]]-B573)/B573</f>
        <v/>
      </c>
      <c r="D574" s="34">
        <f>((1+Table2634[[#This Row],[Weekly change]])^52)-1</f>
        <v/>
      </c>
      <c r="E574" s="24">
        <f>AVERAGE(B571:B574)</f>
        <v/>
      </c>
      <c r="F574" s="32">
        <f>(Table2634[[#This Row],[4 weeks average]]-B522)/B522</f>
        <v/>
      </c>
    </row>
    <row r="575">
      <c r="A575" s="22" t="n">
        <v>31383</v>
      </c>
      <c r="B575" s="24">
        <f>VLOOKUP(Table2634[[#This Row],[Date]],'DB Money Supply'!$A:$D,4)</f>
        <v/>
      </c>
      <c r="C575" s="30">
        <f>(Table2634[[#This Row],[M1 Money Stock, Billions of Dollars, Weekly, Seasonally Adjusted]]-B574)/B574</f>
        <v/>
      </c>
      <c r="D575" s="34">
        <f>((1+Table2634[[#This Row],[Weekly change]])^52)-1</f>
        <v/>
      </c>
      <c r="E575" s="24">
        <f>AVERAGE(B572:B575)</f>
        <v/>
      </c>
      <c r="F575" s="32">
        <f>(Table2634[[#This Row],[4 weeks average]]-B523)/B523</f>
        <v/>
      </c>
    </row>
    <row r="576">
      <c r="A576" s="22" t="n">
        <v>31390</v>
      </c>
      <c r="B576" s="24">
        <f>VLOOKUP(Table2634[[#This Row],[Date]],'DB Money Supply'!$A:$D,4)</f>
        <v/>
      </c>
      <c r="C576" s="30">
        <f>(Table2634[[#This Row],[M1 Money Stock, Billions of Dollars, Weekly, Seasonally Adjusted]]-B575)/B575</f>
        <v/>
      </c>
      <c r="D576" s="34">
        <f>((1+Table2634[[#This Row],[Weekly change]])^52)-1</f>
        <v/>
      </c>
      <c r="E576" s="24">
        <f>AVERAGE(B573:B576)</f>
        <v/>
      </c>
      <c r="F576" s="32">
        <f>(Table2634[[#This Row],[4 weeks average]]-B524)/B524</f>
        <v/>
      </c>
    </row>
    <row r="577">
      <c r="A577" s="22" t="n">
        <v>31397</v>
      </c>
      <c r="B577" s="24">
        <f>VLOOKUP(Table2634[[#This Row],[Date]],'DB Money Supply'!$A:$D,4)</f>
        <v/>
      </c>
      <c r="C577" s="30">
        <f>(Table2634[[#This Row],[M1 Money Stock, Billions of Dollars, Weekly, Seasonally Adjusted]]-B576)/B576</f>
        <v/>
      </c>
      <c r="D577" s="34">
        <f>((1+Table2634[[#This Row],[Weekly change]])^52)-1</f>
        <v/>
      </c>
      <c r="E577" s="24">
        <f>AVERAGE(B574:B577)</f>
        <v/>
      </c>
      <c r="F577" s="32">
        <f>(Table2634[[#This Row],[4 weeks average]]-B525)/B525</f>
        <v/>
      </c>
    </row>
    <row r="578">
      <c r="A578" s="22" t="n">
        <v>31404</v>
      </c>
      <c r="B578" s="24">
        <f>VLOOKUP(Table2634[[#This Row],[Date]],'DB Money Supply'!$A:$D,4)</f>
        <v/>
      </c>
      <c r="C578" s="30">
        <f>(Table2634[[#This Row],[M1 Money Stock, Billions of Dollars, Weekly, Seasonally Adjusted]]-B577)/B577</f>
        <v/>
      </c>
      <c r="D578" s="34">
        <f>((1+Table2634[[#This Row],[Weekly change]])^52)-1</f>
        <v/>
      </c>
      <c r="E578" s="24">
        <f>AVERAGE(B575:B578)</f>
        <v/>
      </c>
      <c r="F578" s="32">
        <f>(Table2634[[#This Row],[4 weeks average]]-B526)/B526</f>
        <v/>
      </c>
    </row>
    <row r="579">
      <c r="A579" s="22" t="n">
        <v>31411</v>
      </c>
      <c r="B579" s="24">
        <f>VLOOKUP(Table2634[[#This Row],[Date]],'DB Money Supply'!$A:$D,4)</f>
        <v/>
      </c>
      <c r="C579" s="30">
        <f>(Table2634[[#This Row],[M1 Money Stock, Billions of Dollars, Weekly, Seasonally Adjusted]]-B578)/B578</f>
        <v/>
      </c>
      <c r="D579" s="34">
        <f>((1+Table2634[[#This Row],[Weekly change]])^52)-1</f>
        <v/>
      </c>
      <c r="E579" s="24">
        <f>AVERAGE(B576:B579)</f>
        <v/>
      </c>
      <c r="F579" s="32">
        <f>(Table2634[[#This Row],[4 weeks average]]-B527)/B527</f>
        <v/>
      </c>
    </row>
    <row r="580">
      <c r="A580" s="22" t="n">
        <v>31418</v>
      </c>
      <c r="B580" s="24">
        <f>VLOOKUP(Table2634[[#This Row],[Date]],'DB Money Supply'!$A:$D,4)</f>
        <v/>
      </c>
      <c r="C580" s="30">
        <f>(Table2634[[#This Row],[M1 Money Stock, Billions of Dollars, Weekly, Seasonally Adjusted]]-B579)/B579</f>
        <v/>
      </c>
      <c r="D580" s="34">
        <f>((1+Table2634[[#This Row],[Weekly change]])^52)-1</f>
        <v/>
      </c>
      <c r="E580" s="24">
        <f>AVERAGE(B577:B580)</f>
        <v/>
      </c>
      <c r="F580" s="32">
        <f>(Table2634[[#This Row],[4 weeks average]]-B528)/B528</f>
        <v/>
      </c>
    </row>
    <row r="581">
      <c r="A581" s="22" t="n">
        <v>31425</v>
      </c>
      <c r="B581" s="24">
        <f>VLOOKUP(Table2634[[#This Row],[Date]],'DB Money Supply'!$A:$D,4)</f>
        <v/>
      </c>
      <c r="C581" s="30">
        <f>(Table2634[[#This Row],[M1 Money Stock, Billions of Dollars, Weekly, Seasonally Adjusted]]-B580)/B580</f>
        <v/>
      </c>
      <c r="D581" s="34">
        <f>((1+Table2634[[#This Row],[Weekly change]])^52)-1</f>
        <v/>
      </c>
      <c r="E581" s="24">
        <f>AVERAGE(B578:B581)</f>
        <v/>
      </c>
      <c r="F581" s="32">
        <f>(Table2634[[#This Row],[4 weeks average]]-B529)/B529</f>
        <v/>
      </c>
    </row>
    <row r="582">
      <c r="A582" s="22" t="n">
        <v>31432</v>
      </c>
      <c r="B582" s="24">
        <f>VLOOKUP(Table2634[[#This Row],[Date]],'DB Money Supply'!$A:$D,4)</f>
        <v/>
      </c>
      <c r="C582" s="30">
        <f>(Table2634[[#This Row],[M1 Money Stock, Billions of Dollars, Weekly, Seasonally Adjusted]]-B581)/B581</f>
        <v/>
      </c>
      <c r="D582" s="34">
        <f>((1+Table2634[[#This Row],[Weekly change]])^52)-1</f>
        <v/>
      </c>
      <c r="E582" s="24">
        <f>AVERAGE(B579:B582)</f>
        <v/>
      </c>
      <c r="F582" s="32">
        <f>(Table2634[[#This Row],[4 weeks average]]-B530)/B530</f>
        <v/>
      </c>
    </row>
    <row r="583">
      <c r="A583" s="22" t="n">
        <v>31439</v>
      </c>
      <c r="B583" s="24">
        <f>VLOOKUP(Table2634[[#This Row],[Date]],'DB Money Supply'!$A:$D,4)</f>
        <v/>
      </c>
      <c r="C583" s="30">
        <f>(Table2634[[#This Row],[M1 Money Stock, Billions of Dollars, Weekly, Seasonally Adjusted]]-B582)/B582</f>
        <v/>
      </c>
      <c r="D583" s="34">
        <f>((1+Table2634[[#This Row],[Weekly change]])^52)-1</f>
        <v/>
      </c>
      <c r="E583" s="24">
        <f>AVERAGE(B580:B583)</f>
        <v/>
      </c>
      <c r="F583" s="32">
        <f>(Table2634[[#This Row],[4 weeks average]]-B531)/B531</f>
        <v/>
      </c>
    </row>
    <row r="584">
      <c r="A584" s="22" t="n">
        <v>31446</v>
      </c>
      <c r="B584" s="24">
        <f>VLOOKUP(Table2634[[#This Row],[Date]],'DB Money Supply'!$A:$D,4)</f>
        <v/>
      </c>
      <c r="C584" s="30">
        <f>(Table2634[[#This Row],[M1 Money Stock, Billions of Dollars, Weekly, Seasonally Adjusted]]-B583)/B583</f>
        <v/>
      </c>
      <c r="D584" s="34">
        <f>((1+Table2634[[#This Row],[Weekly change]])^52)-1</f>
        <v/>
      </c>
      <c r="E584" s="24">
        <f>AVERAGE(B581:B584)</f>
        <v/>
      </c>
      <c r="F584" s="32">
        <f>(Table2634[[#This Row],[4 weeks average]]-B532)/B532</f>
        <v/>
      </c>
    </row>
    <row r="585">
      <c r="A585" s="22" t="n">
        <v>31453</v>
      </c>
      <c r="B585" s="24">
        <f>VLOOKUP(Table2634[[#This Row],[Date]],'DB Money Supply'!$A:$D,4)</f>
        <v/>
      </c>
      <c r="C585" s="30">
        <f>(Table2634[[#This Row],[M1 Money Stock, Billions of Dollars, Weekly, Seasonally Adjusted]]-B584)/B584</f>
        <v/>
      </c>
      <c r="D585" s="34">
        <f>((1+Table2634[[#This Row],[Weekly change]])^52)-1</f>
        <v/>
      </c>
      <c r="E585" s="24">
        <f>AVERAGE(B582:B585)</f>
        <v/>
      </c>
      <c r="F585" s="32">
        <f>(Table2634[[#This Row],[4 weeks average]]-B533)/B533</f>
        <v/>
      </c>
    </row>
    <row r="586">
      <c r="A586" s="22" t="n">
        <v>31460</v>
      </c>
      <c r="B586" s="24">
        <f>VLOOKUP(Table2634[[#This Row],[Date]],'DB Money Supply'!$A:$D,4)</f>
        <v/>
      </c>
      <c r="C586" s="30">
        <f>(Table2634[[#This Row],[M1 Money Stock, Billions of Dollars, Weekly, Seasonally Adjusted]]-B585)/B585</f>
        <v/>
      </c>
      <c r="D586" s="34">
        <f>((1+Table2634[[#This Row],[Weekly change]])^52)-1</f>
        <v/>
      </c>
      <c r="E586" s="24">
        <f>AVERAGE(B583:B586)</f>
        <v/>
      </c>
      <c r="F586" s="32">
        <f>(Table2634[[#This Row],[4 weeks average]]-B534)/B534</f>
        <v/>
      </c>
    </row>
    <row r="587">
      <c r="A587" s="22" t="n">
        <v>31467</v>
      </c>
      <c r="B587" s="24">
        <f>VLOOKUP(Table2634[[#This Row],[Date]],'DB Money Supply'!$A:$D,4)</f>
        <v/>
      </c>
      <c r="C587" s="30">
        <f>(Table2634[[#This Row],[M1 Money Stock, Billions of Dollars, Weekly, Seasonally Adjusted]]-B586)/B586</f>
        <v/>
      </c>
      <c r="D587" s="34">
        <f>((1+Table2634[[#This Row],[Weekly change]])^52)-1</f>
        <v/>
      </c>
      <c r="E587" s="24">
        <f>AVERAGE(B584:B587)</f>
        <v/>
      </c>
      <c r="F587" s="32">
        <f>(Table2634[[#This Row],[4 weeks average]]-B535)/B535</f>
        <v/>
      </c>
    </row>
    <row r="588">
      <c r="A588" s="22" t="n">
        <v>31474</v>
      </c>
      <c r="B588" s="24">
        <f>VLOOKUP(Table2634[[#This Row],[Date]],'DB Money Supply'!$A:$D,4)</f>
        <v/>
      </c>
      <c r="C588" s="30">
        <f>(Table2634[[#This Row],[M1 Money Stock, Billions of Dollars, Weekly, Seasonally Adjusted]]-B587)/B587</f>
        <v/>
      </c>
      <c r="D588" s="34">
        <f>((1+Table2634[[#This Row],[Weekly change]])^52)-1</f>
        <v/>
      </c>
      <c r="E588" s="24">
        <f>AVERAGE(B585:B588)</f>
        <v/>
      </c>
      <c r="F588" s="32">
        <f>(Table2634[[#This Row],[4 weeks average]]-B536)/B536</f>
        <v/>
      </c>
    </row>
    <row r="589">
      <c r="A589" s="22" t="n">
        <v>31481</v>
      </c>
      <c r="B589" s="24">
        <f>VLOOKUP(Table2634[[#This Row],[Date]],'DB Money Supply'!$A:$D,4)</f>
        <v/>
      </c>
      <c r="C589" s="30">
        <f>(Table2634[[#This Row],[M1 Money Stock, Billions of Dollars, Weekly, Seasonally Adjusted]]-B588)/B588</f>
        <v/>
      </c>
      <c r="D589" s="34">
        <f>((1+Table2634[[#This Row],[Weekly change]])^52)-1</f>
        <v/>
      </c>
      <c r="E589" s="24">
        <f>AVERAGE(B586:B589)</f>
        <v/>
      </c>
      <c r="F589" s="32">
        <f>(Table2634[[#This Row],[4 weeks average]]-B537)/B537</f>
        <v/>
      </c>
    </row>
    <row r="590">
      <c r="A590" s="22" t="n">
        <v>31488</v>
      </c>
      <c r="B590" s="24">
        <f>VLOOKUP(Table2634[[#This Row],[Date]],'DB Money Supply'!$A:$D,4)</f>
        <v/>
      </c>
      <c r="C590" s="30">
        <f>(Table2634[[#This Row],[M1 Money Stock, Billions of Dollars, Weekly, Seasonally Adjusted]]-B589)/B589</f>
        <v/>
      </c>
      <c r="D590" s="34">
        <f>((1+Table2634[[#This Row],[Weekly change]])^52)-1</f>
        <v/>
      </c>
      <c r="E590" s="24">
        <f>AVERAGE(B587:B590)</f>
        <v/>
      </c>
      <c r="F590" s="32">
        <f>(Table2634[[#This Row],[4 weeks average]]-B538)/B538</f>
        <v/>
      </c>
    </row>
    <row r="591">
      <c r="A591" s="22" t="n">
        <v>31495</v>
      </c>
      <c r="B591" s="24">
        <f>VLOOKUP(Table2634[[#This Row],[Date]],'DB Money Supply'!$A:$D,4)</f>
        <v/>
      </c>
      <c r="C591" s="30">
        <f>(Table2634[[#This Row],[M1 Money Stock, Billions of Dollars, Weekly, Seasonally Adjusted]]-B590)/B590</f>
        <v/>
      </c>
      <c r="D591" s="34">
        <f>((1+Table2634[[#This Row],[Weekly change]])^52)-1</f>
        <v/>
      </c>
      <c r="E591" s="24">
        <f>AVERAGE(B588:B591)</f>
        <v/>
      </c>
      <c r="F591" s="32">
        <f>(Table2634[[#This Row],[4 weeks average]]-B539)/B539</f>
        <v/>
      </c>
    </row>
    <row r="592">
      <c r="A592" s="22" t="n">
        <v>31502</v>
      </c>
      <c r="B592" s="24">
        <f>VLOOKUP(Table2634[[#This Row],[Date]],'DB Money Supply'!$A:$D,4)</f>
        <v/>
      </c>
      <c r="C592" s="30">
        <f>(Table2634[[#This Row],[M1 Money Stock, Billions of Dollars, Weekly, Seasonally Adjusted]]-B591)/B591</f>
        <v/>
      </c>
      <c r="D592" s="34">
        <f>((1+Table2634[[#This Row],[Weekly change]])^52)-1</f>
        <v/>
      </c>
      <c r="E592" s="24">
        <f>AVERAGE(B589:B592)</f>
        <v/>
      </c>
      <c r="F592" s="32">
        <f>(Table2634[[#This Row],[4 weeks average]]-B540)/B540</f>
        <v/>
      </c>
    </row>
    <row r="593">
      <c r="A593" s="22" t="n">
        <v>31509</v>
      </c>
      <c r="B593" s="24">
        <f>VLOOKUP(Table2634[[#This Row],[Date]],'DB Money Supply'!$A:$D,4)</f>
        <v/>
      </c>
      <c r="C593" s="30">
        <f>(Table2634[[#This Row],[M1 Money Stock, Billions of Dollars, Weekly, Seasonally Adjusted]]-B592)/B592</f>
        <v/>
      </c>
      <c r="D593" s="34">
        <f>((1+Table2634[[#This Row],[Weekly change]])^52)-1</f>
        <v/>
      </c>
      <c r="E593" s="24">
        <f>AVERAGE(B590:B593)</f>
        <v/>
      </c>
      <c r="F593" s="32">
        <f>(Table2634[[#This Row],[4 weeks average]]-B541)/B541</f>
        <v/>
      </c>
    </row>
    <row r="594">
      <c r="A594" s="22" t="n">
        <v>31516</v>
      </c>
      <c r="B594" s="24">
        <f>VLOOKUP(Table2634[[#This Row],[Date]],'DB Money Supply'!$A:$D,4)</f>
        <v/>
      </c>
      <c r="C594" s="30">
        <f>(Table2634[[#This Row],[M1 Money Stock, Billions of Dollars, Weekly, Seasonally Adjusted]]-B593)/B593</f>
        <v/>
      </c>
      <c r="D594" s="34">
        <f>((1+Table2634[[#This Row],[Weekly change]])^52)-1</f>
        <v/>
      </c>
      <c r="E594" s="24">
        <f>AVERAGE(B591:B594)</f>
        <v/>
      </c>
      <c r="F594" s="32">
        <f>(Table2634[[#This Row],[4 weeks average]]-B542)/B542</f>
        <v/>
      </c>
    </row>
    <row r="595">
      <c r="A595" s="22" t="n">
        <v>31523</v>
      </c>
      <c r="B595" s="24">
        <f>VLOOKUP(Table2634[[#This Row],[Date]],'DB Money Supply'!$A:$D,4)</f>
        <v/>
      </c>
      <c r="C595" s="30">
        <f>(Table2634[[#This Row],[M1 Money Stock, Billions of Dollars, Weekly, Seasonally Adjusted]]-B594)/B594</f>
        <v/>
      </c>
      <c r="D595" s="34">
        <f>((1+Table2634[[#This Row],[Weekly change]])^52)-1</f>
        <v/>
      </c>
      <c r="E595" s="24">
        <f>AVERAGE(B592:B595)</f>
        <v/>
      </c>
      <c r="F595" s="32">
        <f>(Table2634[[#This Row],[4 weeks average]]-B543)/B543</f>
        <v/>
      </c>
    </row>
    <row r="596">
      <c r="A596" s="22" t="n">
        <v>31530</v>
      </c>
      <c r="B596" s="24">
        <f>VLOOKUP(Table2634[[#This Row],[Date]],'DB Money Supply'!$A:$D,4)</f>
        <v/>
      </c>
      <c r="C596" s="30">
        <f>(Table2634[[#This Row],[M1 Money Stock, Billions of Dollars, Weekly, Seasonally Adjusted]]-B595)/B595</f>
        <v/>
      </c>
      <c r="D596" s="34">
        <f>((1+Table2634[[#This Row],[Weekly change]])^52)-1</f>
        <v/>
      </c>
      <c r="E596" s="24">
        <f>AVERAGE(B593:B596)</f>
        <v/>
      </c>
      <c r="F596" s="32">
        <f>(Table2634[[#This Row],[4 weeks average]]-B544)/B544</f>
        <v/>
      </c>
    </row>
    <row r="597">
      <c r="A597" s="22" t="n">
        <v>31537</v>
      </c>
      <c r="B597" s="24">
        <f>VLOOKUP(Table2634[[#This Row],[Date]],'DB Money Supply'!$A:$D,4)</f>
        <v/>
      </c>
      <c r="C597" s="30">
        <f>(Table2634[[#This Row],[M1 Money Stock, Billions of Dollars, Weekly, Seasonally Adjusted]]-B596)/B596</f>
        <v/>
      </c>
      <c r="D597" s="34">
        <f>((1+Table2634[[#This Row],[Weekly change]])^52)-1</f>
        <v/>
      </c>
      <c r="E597" s="24">
        <f>AVERAGE(B594:B597)</f>
        <v/>
      </c>
      <c r="F597" s="32">
        <f>(Table2634[[#This Row],[4 weeks average]]-B545)/B545</f>
        <v/>
      </c>
    </row>
    <row r="598">
      <c r="A598" s="22" t="n">
        <v>31544</v>
      </c>
      <c r="B598" s="24">
        <f>VLOOKUP(Table2634[[#This Row],[Date]],'DB Money Supply'!$A:$D,4)</f>
        <v/>
      </c>
      <c r="C598" s="30">
        <f>(Table2634[[#This Row],[M1 Money Stock, Billions of Dollars, Weekly, Seasonally Adjusted]]-B597)/B597</f>
        <v/>
      </c>
      <c r="D598" s="34">
        <f>((1+Table2634[[#This Row],[Weekly change]])^52)-1</f>
        <v/>
      </c>
      <c r="E598" s="24">
        <f>AVERAGE(B595:B598)</f>
        <v/>
      </c>
      <c r="F598" s="32">
        <f>(Table2634[[#This Row],[4 weeks average]]-B546)/B546</f>
        <v/>
      </c>
    </row>
    <row r="599">
      <c r="A599" s="22" t="n">
        <v>31551</v>
      </c>
      <c r="B599" s="24">
        <f>VLOOKUP(Table2634[[#This Row],[Date]],'DB Money Supply'!$A:$D,4)</f>
        <v/>
      </c>
      <c r="C599" s="30">
        <f>(Table2634[[#This Row],[M1 Money Stock, Billions of Dollars, Weekly, Seasonally Adjusted]]-B598)/B598</f>
        <v/>
      </c>
      <c r="D599" s="34">
        <f>((1+Table2634[[#This Row],[Weekly change]])^52)-1</f>
        <v/>
      </c>
      <c r="E599" s="24">
        <f>AVERAGE(B596:B599)</f>
        <v/>
      </c>
      <c r="F599" s="32">
        <f>(Table2634[[#This Row],[4 weeks average]]-B547)/B547</f>
        <v/>
      </c>
    </row>
    <row r="600">
      <c r="A600" s="22" t="n">
        <v>31558</v>
      </c>
      <c r="B600" s="24">
        <f>VLOOKUP(Table2634[[#This Row],[Date]],'DB Money Supply'!$A:$D,4)</f>
        <v/>
      </c>
      <c r="C600" s="30">
        <f>(Table2634[[#This Row],[M1 Money Stock, Billions of Dollars, Weekly, Seasonally Adjusted]]-B599)/B599</f>
        <v/>
      </c>
      <c r="D600" s="34">
        <f>((1+Table2634[[#This Row],[Weekly change]])^52)-1</f>
        <v/>
      </c>
      <c r="E600" s="24">
        <f>AVERAGE(B597:B600)</f>
        <v/>
      </c>
      <c r="F600" s="32">
        <f>(Table2634[[#This Row],[4 weeks average]]-B548)/B548</f>
        <v/>
      </c>
    </row>
    <row r="601">
      <c r="A601" s="22" t="n">
        <v>31565</v>
      </c>
      <c r="B601" s="24">
        <f>VLOOKUP(Table2634[[#This Row],[Date]],'DB Money Supply'!$A:$D,4)</f>
        <v/>
      </c>
      <c r="C601" s="30">
        <f>(Table2634[[#This Row],[M1 Money Stock, Billions of Dollars, Weekly, Seasonally Adjusted]]-B600)/B600</f>
        <v/>
      </c>
      <c r="D601" s="34">
        <f>((1+Table2634[[#This Row],[Weekly change]])^52)-1</f>
        <v/>
      </c>
      <c r="E601" s="24">
        <f>AVERAGE(B598:B601)</f>
        <v/>
      </c>
      <c r="F601" s="32">
        <f>(Table2634[[#This Row],[4 weeks average]]-B549)/B549</f>
        <v/>
      </c>
    </row>
    <row r="602">
      <c r="A602" s="22" t="n">
        <v>31572</v>
      </c>
      <c r="B602" s="24">
        <f>VLOOKUP(Table2634[[#This Row],[Date]],'DB Money Supply'!$A:$D,4)</f>
        <v/>
      </c>
      <c r="C602" s="30">
        <f>(Table2634[[#This Row],[M1 Money Stock, Billions of Dollars, Weekly, Seasonally Adjusted]]-B601)/B601</f>
        <v/>
      </c>
      <c r="D602" s="34">
        <f>((1+Table2634[[#This Row],[Weekly change]])^52)-1</f>
        <v/>
      </c>
      <c r="E602" s="24">
        <f>AVERAGE(B599:B602)</f>
        <v/>
      </c>
      <c r="F602" s="32">
        <f>(Table2634[[#This Row],[4 weeks average]]-B550)/B550</f>
        <v/>
      </c>
    </row>
    <row r="603">
      <c r="A603" s="22" t="n">
        <v>31579</v>
      </c>
      <c r="B603" s="24">
        <f>VLOOKUP(Table2634[[#This Row],[Date]],'DB Money Supply'!$A:$D,4)</f>
        <v/>
      </c>
      <c r="C603" s="30">
        <f>(Table2634[[#This Row],[M1 Money Stock, Billions of Dollars, Weekly, Seasonally Adjusted]]-B602)/B602</f>
        <v/>
      </c>
      <c r="D603" s="34">
        <f>((1+Table2634[[#This Row],[Weekly change]])^52)-1</f>
        <v/>
      </c>
      <c r="E603" s="24">
        <f>AVERAGE(B600:B603)</f>
        <v/>
      </c>
      <c r="F603" s="32">
        <f>(Table2634[[#This Row],[4 weeks average]]-B551)/B551</f>
        <v/>
      </c>
    </row>
    <row r="604">
      <c r="A604" s="22" t="n">
        <v>31586</v>
      </c>
      <c r="B604" s="24">
        <f>VLOOKUP(Table2634[[#This Row],[Date]],'DB Money Supply'!$A:$D,4)</f>
        <v/>
      </c>
      <c r="C604" s="30">
        <f>(Table2634[[#This Row],[M1 Money Stock, Billions of Dollars, Weekly, Seasonally Adjusted]]-B603)/B603</f>
        <v/>
      </c>
      <c r="D604" s="34">
        <f>((1+Table2634[[#This Row],[Weekly change]])^52)-1</f>
        <v/>
      </c>
      <c r="E604" s="24">
        <f>AVERAGE(B601:B604)</f>
        <v/>
      </c>
      <c r="F604" s="32">
        <f>(Table2634[[#This Row],[4 weeks average]]-B552)/B552</f>
        <v/>
      </c>
    </row>
    <row r="605">
      <c r="A605" s="22" t="n">
        <v>31593</v>
      </c>
      <c r="B605" s="24">
        <f>VLOOKUP(Table2634[[#This Row],[Date]],'DB Money Supply'!$A:$D,4)</f>
        <v/>
      </c>
      <c r="C605" s="30">
        <f>(Table2634[[#This Row],[M1 Money Stock, Billions of Dollars, Weekly, Seasonally Adjusted]]-B604)/B604</f>
        <v/>
      </c>
      <c r="D605" s="34">
        <f>((1+Table2634[[#This Row],[Weekly change]])^52)-1</f>
        <v/>
      </c>
      <c r="E605" s="24">
        <f>AVERAGE(B602:B605)</f>
        <v/>
      </c>
      <c r="F605" s="32">
        <f>(Table2634[[#This Row],[4 weeks average]]-B553)/B553</f>
        <v/>
      </c>
    </row>
    <row r="606">
      <c r="A606" s="22" t="n">
        <v>31600</v>
      </c>
      <c r="B606" s="24">
        <f>VLOOKUP(Table2634[[#This Row],[Date]],'DB Money Supply'!$A:$D,4)</f>
        <v/>
      </c>
      <c r="C606" s="30">
        <f>(Table2634[[#This Row],[M1 Money Stock, Billions of Dollars, Weekly, Seasonally Adjusted]]-B605)/B605</f>
        <v/>
      </c>
      <c r="D606" s="34">
        <f>((1+Table2634[[#This Row],[Weekly change]])^52)-1</f>
        <v/>
      </c>
      <c r="E606" s="24">
        <f>AVERAGE(B603:B606)</f>
        <v/>
      </c>
      <c r="F606" s="32">
        <f>(Table2634[[#This Row],[4 weeks average]]-B554)/B554</f>
        <v/>
      </c>
    </row>
    <row r="607">
      <c r="A607" s="22" t="n">
        <v>31607</v>
      </c>
      <c r="B607" s="24">
        <f>VLOOKUP(Table2634[[#This Row],[Date]],'DB Money Supply'!$A:$D,4)</f>
        <v/>
      </c>
      <c r="C607" s="30">
        <f>(Table2634[[#This Row],[M1 Money Stock, Billions of Dollars, Weekly, Seasonally Adjusted]]-B606)/B606</f>
        <v/>
      </c>
      <c r="D607" s="34">
        <f>((1+Table2634[[#This Row],[Weekly change]])^52)-1</f>
        <v/>
      </c>
      <c r="E607" s="24">
        <f>AVERAGE(B604:B607)</f>
        <v/>
      </c>
      <c r="F607" s="32">
        <f>(Table2634[[#This Row],[4 weeks average]]-B555)/B555</f>
        <v/>
      </c>
    </row>
    <row r="608">
      <c r="A608" s="22" t="n">
        <v>31614</v>
      </c>
      <c r="B608" s="24">
        <f>VLOOKUP(Table2634[[#This Row],[Date]],'DB Money Supply'!$A:$D,4)</f>
        <v/>
      </c>
      <c r="C608" s="30">
        <f>(Table2634[[#This Row],[M1 Money Stock, Billions of Dollars, Weekly, Seasonally Adjusted]]-B607)/B607</f>
        <v/>
      </c>
      <c r="D608" s="34">
        <f>((1+Table2634[[#This Row],[Weekly change]])^52)-1</f>
        <v/>
      </c>
      <c r="E608" s="24">
        <f>AVERAGE(B605:B608)</f>
        <v/>
      </c>
      <c r="F608" s="32">
        <f>(Table2634[[#This Row],[4 weeks average]]-B556)/B556</f>
        <v/>
      </c>
    </row>
    <row r="609">
      <c r="A609" s="22" t="n">
        <v>31621</v>
      </c>
      <c r="B609" s="24">
        <f>VLOOKUP(Table2634[[#This Row],[Date]],'DB Money Supply'!$A:$D,4)</f>
        <v/>
      </c>
      <c r="C609" s="30">
        <f>(Table2634[[#This Row],[M1 Money Stock, Billions of Dollars, Weekly, Seasonally Adjusted]]-B608)/B608</f>
        <v/>
      </c>
      <c r="D609" s="34">
        <f>((1+Table2634[[#This Row],[Weekly change]])^52)-1</f>
        <v/>
      </c>
      <c r="E609" s="24">
        <f>AVERAGE(B606:B609)</f>
        <v/>
      </c>
      <c r="F609" s="32">
        <f>(Table2634[[#This Row],[4 weeks average]]-B557)/B557</f>
        <v/>
      </c>
    </row>
    <row r="610">
      <c r="A610" s="22" t="n">
        <v>31628</v>
      </c>
      <c r="B610" s="24">
        <f>VLOOKUP(Table2634[[#This Row],[Date]],'DB Money Supply'!$A:$D,4)</f>
        <v/>
      </c>
      <c r="C610" s="30">
        <f>(Table2634[[#This Row],[M1 Money Stock, Billions of Dollars, Weekly, Seasonally Adjusted]]-B609)/B609</f>
        <v/>
      </c>
      <c r="D610" s="34">
        <f>((1+Table2634[[#This Row],[Weekly change]])^52)-1</f>
        <v/>
      </c>
      <c r="E610" s="24">
        <f>AVERAGE(B607:B610)</f>
        <v/>
      </c>
      <c r="F610" s="32">
        <f>(Table2634[[#This Row],[4 weeks average]]-B558)/B558</f>
        <v/>
      </c>
    </row>
    <row r="611">
      <c r="A611" s="22" t="n">
        <v>31635</v>
      </c>
      <c r="B611" s="24">
        <f>VLOOKUP(Table2634[[#This Row],[Date]],'DB Money Supply'!$A:$D,4)</f>
        <v/>
      </c>
      <c r="C611" s="30">
        <f>(Table2634[[#This Row],[M1 Money Stock, Billions of Dollars, Weekly, Seasonally Adjusted]]-B610)/B610</f>
        <v/>
      </c>
      <c r="D611" s="34">
        <f>((1+Table2634[[#This Row],[Weekly change]])^52)-1</f>
        <v/>
      </c>
      <c r="E611" s="24">
        <f>AVERAGE(B608:B611)</f>
        <v/>
      </c>
      <c r="F611" s="32">
        <f>(Table2634[[#This Row],[4 weeks average]]-B559)/B559</f>
        <v/>
      </c>
    </row>
    <row r="612">
      <c r="A612" s="22" t="n">
        <v>31642</v>
      </c>
      <c r="B612" s="24">
        <f>VLOOKUP(Table2634[[#This Row],[Date]],'DB Money Supply'!$A:$D,4)</f>
        <v/>
      </c>
      <c r="C612" s="30">
        <f>(Table2634[[#This Row],[M1 Money Stock, Billions of Dollars, Weekly, Seasonally Adjusted]]-B611)/B611</f>
        <v/>
      </c>
      <c r="D612" s="34">
        <f>((1+Table2634[[#This Row],[Weekly change]])^52)-1</f>
        <v/>
      </c>
      <c r="E612" s="24">
        <f>AVERAGE(B609:B612)</f>
        <v/>
      </c>
      <c r="F612" s="32">
        <f>(Table2634[[#This Row],[4 weeks average]]-B560)/B560</f>
        <v/>
      </c>
    </row>
    <row r="613">
      <c r="A613" s="22" t="n">
        <v>31649</v>
      </c>
      <c r="B613" s="24">
        <f>VLOOKUP(Table2634[[#This Row],[Date]],'DB Money Supply'!$A:$D,4)</f>
        <v/>
      </c>
      <c r="C613" s="30">
        <f>(Table2634[[#This Row],[M1 Money Stock, Billions of Dollars, Weekly, Seasonally Adjusted]]-B612)/B612</f>
        <v/>
      </c>
      <c r="D613" s="34">
        <f>((1+Table2634[[#This Row],[Weekly change]])^52)-1</f>
        <v/>
      </c>
      <c r="E613" s="24">
        <f>AVERAGE(B610:B613)</f>
        <v/>
      </c>
      <c r="F613" s="32">
        <f>(Table2634[[#This Row],[4 weeks average]]-B561)/B561</f>
        <v/>
      </c>
    </row>
    <row r="614">
      <c r="A614" s="22" t="n">
        <v>31656</v>
      </c>
      <c r="B614" s="24">
        <f>VLOOKUP(Table2634[[#This Row],[Date]],'DB Money Supply'!$A:$D,4)</f>
        <v/>
      </c>
      <c r="C614" s="30">
        <f>(Table2634[[#This Row],[M1 Money Stock, Billions of Dollars, Weekly, Seasonally Adjusted]]-B613)/B613</f>
        <v/>
      </c>
      <c r="D614" s="34">
        <f>((1+Table2634[[#This Row],[Weekly change]])^52)-1</f>
        <v/>
      </c>
      <c r="E614" s="24">
        <f>AVERAGE(B611:B614)</f>
        <v/>
      </c>
      <c r="F614" s="32">
        <f>(Table2634[[#This Row],[4 weeks average]]-B562)/B562</f>
        <v/>
      </c>
    </row>
    <row r="615">
      <c r="A615" s="22" t="n">
        <v>31663</v>
      </c>
      <c r="B615" s="24">
        <f>VLOOKUP(Table2634[[#This Row],[Date]],'DB Money Supply'!$A:$D,4)</f>
        <v/>
      </c>
      <c r="C615" s="30">
        <f>(Table2634[[#This Row],[M1 Money Stock, Billions of Dollars, Weekly, Seasonally Adjusted]]-B614)/B614</f>
        <v/>
      </c>
      <c r="D615" s="34">
        <f>((1+Table2634[[#This Row],[Weekly change]])^52)-1</f>
        <v/>
      </c>
      <c r="E615" s="24">
        <f>AVERAGE(B612:B615)</f>
        <v/>
      </c>
      <c r="F615" s="32">
        <f>(Table2634[[#This Row],[4 weeks average]]-B563)/B563</f>
        <v/>
      </c>
    </row>
    <row r="616">
      <c r="A616" s="22" t="n">
        <v>31670</v>
      </c>
      <c r="B616" s="24">
        <f>VLOOKUP(Table2634[[#This Row],[Date]],'DB Money Supply'!$A:$D,4)</f>
        <v/>
      </c>
      <c r="C616" s="30">
        <f>(Table2634[[#This Row],[M1 Money Stock, Billions of Dollars, Weekly, Seasonally Adjusted]]-B615)/B615</f>
        <v/>
      </c>
      <c r="D616" s="34">
        <f>((1+Table2634[[#This Row],[Weekly change]])^52)-1</f>
        <v/>
      </c>
      <c r="E616" s="24">
        <f>AVERAGE(B613:B616)</f>
        <v/>
      </c>
      <c r="F616" s="32">
        <f>(Table2634[[#This Row],[4 weeks average]]-B564)/B564</f>
        <v/>
      </c>
    </row>
    <row r="617">
      <c r="A617" s="22" t="n">
        <v>31677</v>
      </c>
      <c r="B617" s="24">
        <f>VLOOKUP(Table2634[[#This Row],[Date]],'DB Money Supply'!$A:$D,4)</f>
        <v/>
      </c>
      <c r="C617" s="30">
        <f>(Table2634[[#This Row],[M1 Money Stock, Billions of Dollars, Weekly, Seasonally Adjusted]]-B616)/B616</f>
        <v/>
      </c>
      <c r="D617" s="34">
        <f>((1+Table2634[[#This Row],[Weekly change]])^52)-1</f>
        <v/>
      </c>
      <c r="E617" s="24">
        <f>AVERAGE(B614:B617)</f>
        <v/>
      </c>
      <c r="F617" s="32">
        <f>(Table2634[[#This Row],[4 weeks average]]-B565)/B565</f>
        <v/>
      </c>
    </row>
    <row r="618">
      <c r="A618" s="22" t="n">
        <v>31684</v>
      </c>
      <c r="B618" s="24">
        <f>VLOOKUP(Table2634[[#This Row],[Date]],'DB Money Supply'!$A:$D,4)</f>
        <v/>
      </c>
      <c r="C618" s="30">
        <f>(Table2634[[#This Row],[M1 Money Stock, Billions of Dollars, Weekly, Seasonally Adjusted]]-B617)/B617</f>
        <v/>
      </c>
      <c r="D618" s="34">
        <f>((1+Table2634[[#This Row],[Weekly change]])^52)-1</f>
        <v/>
      </c>
      <c r="E618" s="24">
        <f>AVERAGE(B615:B618)</f>
        <v/>
      </c>
      <c r="F618" s="32">
        <f>(Table2634[[#This Row],[4 weeks average]]-B566)/B566</f>
        <v/>
      </c>
    </row>
    <row r="619">
      <c r="A619" s="22" t="n">
        <v>31691</v>
      </c>
      <c r="B619" s="24">
        <f>VLOOKUP(Table2634[[#This Row],[Date]],'DB Money Supply'!$A:$D,4)</f>
        <v/>
      </c>
      <c r="C619" s="30">
        <f>(Table2634[[#This Row],[M1 Money Stock, Billions of Dollars, Weekly, Seasonally Adjusted]]-B618)/B618</f>
        <v/>
      </c>
      <c r="D619" s="34">
        <f>((1+Table2634[[#This Row],[Weekly change]])^52)-1</f>
        <v/>
      </c>
      <c r="E619" s="24">
        <f>AVERAGE(B616:B619)</f>
        <v/>
      </c>
      <c r="F619" s="32">
        <f>(Table2634[[#This Row],[4 weeks average]]-B567)/B567</f>
        <v/>
      </c>
    </row>
    <row r="620">
      <c r="A620" s="22" t="n">
        <v>31698</v>
      </c>
      <c r="B620" s="24">
        <f>VLOOKUP(Table2634[[#This Row],[Date]],'DB Money Supply'!$A:$D,4)</f>
        <v/>
      </c>
      <c r="C620" s="30">
        <f>(Table2634[[#This Row],[M1 Money Stock, Billions of Dollars, Weekly, Seasonally Adjusted]]-B619)/B619</f>
        <v/>
      </c>
      <c r="D620" s="34">
        <f>((1+Table2634[[#This Row],[Weekly change]])^52)-1</f>
        <v/>
      </c>
      <c r="E620" s="24">
        <f>AVERAGE(B617:B620)</f>
        <v/>
      </c>
      <c r="F620" s="32">
        <f>(Table2634[[#This Row],[4 weeks average]]-B568)/B568</f>
        <v/>
      </c>
    </row>
    <row r="621">
      <c r="A621" s="22" t="n">
        <v>31705</v>
      </c>
      <c r="B621" s="24">
        <f>VLOOKUP(Table2634[[#This Row],[Date]],'DB Money Supply'!$A:$D,4)</f>
        <v/>
      </c>
      <c r="C621" s="30">
        <f>(Table2634[[#This Row],[M1 Money Stock, Billions of Dollars, Weekly, Seasonally Adjusted]]-B620)/B620</f>
        <v/>
      </c>
      <c r="D621" s="34">
        <f>((1+Table2634[[#This Row],[Weekly change]])^52)-1</f>
        <v/>
      </c>
      <c r="E621" s="24">
        <f>AVERAGE(B618:B621)</f>
        <v/>
      </c>
      <c r="F621" s="32">
        <f>(Table2634[[#This Row],[4 weeks average]]-B569)/B569</f>
        <v/>
      </c>
    </row>
    <row r="622">
      <c r="A622" s="22" t="n">
        <v>31712</v>
      </c>
      <c r="B622" s="24">
        <f>VLOOKUP(Table2634[[#This Row],[Date]],'DB Money Supply'!$A:$D,4)</f>
        <v/>
      </c>
      <c r="C622" s="30">
        <f>(Table2634[[#This Row],[M1 Money Stock, Billions of Dollars, Weekly, Seasonally Adjusted]]-B621)/B621</f>
        <v/>
      </c>
      <c r="D622" s="34">
        <f>((1+Table2634[[#This Row],[Weekly change]])^52)-1</f>
        <v/>
      </c>
      <c r="E622" s="24">
        <f>AVERAGE(B619:B622)</f>
        <v/>
      </c>
      <c r="F622" s="32">
        <f>(Table2634[[#This Row],[4 weeks average]]-B570)/B570</f>
        <v/>
      </c>
    </row>
    <row r="623">
      <c r="A623" s="22" t="n">
        <v>31719</v>
      </c>
      <c r="B623" s="24">
        <f>VLOOKUP(Table2634[[#This Row],[Date]],'DB Money Supply'!$A:$D,4)</f>
        <v/>
      </c>
      <c r="C623" s="30">
        <f>(Table2634[[#This Row],[M1 Money Stock, Billions of Dollars, Weekly, Seasonally Adjusted]]-B622)/B622</f>
        <v/>
      </c>
      <c r="D623" s="34">
        <f>((1+Table2634[[#This Row],[Weekly change]])^52)-1</f>
        <v/>
      </c>
      <c r="E623" s="24">
        <f>AVERAGE(B620:B623)</f>
        <v/>
      </c>
      <c r="F623" s="32">
        <f>(Table2634[[#This Row],[4 weeks average]]-B571)/B571</f>
        <v/>
      </c>
    </row>
    <row r="624">
      <c r="A624" s="22" t="n">
        <v>31726</v>
      </c>
      <c r="B624" s="24">
        <f>VLOOKUP(Table2634[[#This Row],[Date]],'DB Money Supply'!$A:$D,4)</f>
        <v/>
      </c>
      <c r="C624" s="30">
        <f>(Table2634[[#This Row],[M1 Money Stock, Billions of Dollars, Weekly, Seasonally Adjusted]]-B623)/B623</f>
        <v/>
      </c>
      <c r="D624" s="34">
        <f>((1+Table2634[[#This Row],[Weekly change]])^52)-1</f>
        <v/>
      </c>
      <c r="E624" s="24">
        <f>AVERAGE(B621:B624)</f>
        <v/>
      </c>
      <c r="F624" s="32">
        <f>(Table2634[[#This Row],[4 weeks average]]-B572)/B572</f>
        <v/>
      </c>
    </row>
    <row r="625">
      <c r="A625" s="22" t="n">
        <v>31733</v>
      </c>
      <c r="B625" s="24">
        <f>VLOOKUP(Table2634[[#This Row],[Date]],'DB Money Supply'!$A:$D,4)</f>
        <v/>
      </c>
      <c r="C625" s="30">
        <f>(Table2634[[#This Row],[M1 Money Stock, Billions of Dollars, Weekly, Seasonally Adjusted]]-B624)/B624</f>
        <v/>
      </c>
      <c r="D625" s="34">
        <f>((1+Table2634[[#This Row],[Weekly change]])^52)-1</f>
        <v/>
      </c>
      <c r="E625" s="24">
        <f>AVERAGE(B622:B625)</f>
        <v/>
      </c>
      <c r="F625" s="32">
        <f>(Table2634[[#This Row],[4 weeks average]]-B573)/B573</f>
        <v/>
      </c>
    </row>
    <row r="626">
      <c r="A626" s="22" t="n">
        <v>31740</v>
      </c>
      <c r="B626" s="24">
        <f>VLOOKUP(Table2634[[#This Row],[Date]],'DB Money Supply'!$A:$D,4)</f>
        <v/>
      </c>
      <c r="C626" s="30">
        <f>(Table2634[[#This Row],[M1 Money Stock, Billions of Dollars, Weekly, Seasonally Adjusted]]-B625)/B625</f>
        <v/>
      </c>
      <c r="D626" s="34">
        <f>((1+Table2634[[#This Row],[Weekly change]])^52)-1</f>
        <v/>
      </c>
      <c r="E626" s="24">
        <f>AVERAGE(B623:B626)</f>
        <v/>
      </c>
      <c r="F626" s="32">
        <f>(Table2634[[#This Row],[4 weeks average]]-B574)/B574</f>
        <v/>
      </c>
    </row>
    <row r="627">
      <c r="A627" s="22" t="n">
        <v>31747</v>
      </c>
      <c r="B627" s="24">
        <f>VLOOKUP(Table2634[[#This Row],[Date]],'DB Money Supply'!$A:$D,4)</f>
        <v/>
      </c>
      <c r="C627" s="30">
        <f>(Table2634[[#This Row],[M1 Money Stock, Billions of Dollars, Weekly, Seasonally Adjusted]]-B626)/B626</f>
        <v/>
      </c>
      <c r="D627" s="34">
        <f>((1+Table2634[[#This Row],[Weekly change]])^52)-1</f>
        <v/>
      </c>
      <c r="E627" s="24">
        <f>AVERAGE(B624:B627)</f>
        <v/>
      </c>
      <c r="F627" s="32">
        <f>(Table2634[[#This Row],[4 weeks average]]-B575)/B575</f>
        <v/>
      </c>
    </row>
    <row r="628">
      <c r="A628" s="22" t="n">
        <v>31754</v>
      </c>
      <c r="B628" s="24">
        <f>VLOOKUP(Table2634[[#This Row],[Date]],'DB Money Supply'!$A:$D,4)</f>
        <v/>
      </c>
      <c r="C628" s="30">
        <f>(Table2634[[#This Row],[M1 Money Stock, Billions of Dollars, Weekly, Seasonally Adjusted]]-B627)/B627</f>
        <v/>
      </c>
      <c r="D628" s="34">
        <f>((1+Table2634[[#This Row],[Weekly change]])^52)-1</f>
        <v/>
      </c>
      <c r="E628" s="24">
        <f>AVERAGE(B625:B628)</f>
        <v/>
      </c>
      <c r="F628" s="32">
        <f>(Table2634[[#This Row],[4 weeks average]]-B576)/B576</f>
        <v/>
      </c>
    </row>
    <row r="629">
      <c r="A629" s="22" t="n">
        <v>31761</v>
      </c>
      <c r="B629" s="24">
        <f>VLOOKUP(Table2634[[#This Row],[Date]],'DB Money Supply'!$A:$D,4)</f>
        <v/>
      </c>
      <c r="C629" s="30">
        <f>(Table2634[[#This Row],[M1 Money Stock, Billions of Dollars, Weekly, Seasonally Adjusted]]-B628)/B628</f>
        <v/>
      </c>
      <c r="D629" s="34">
        <f>((1+Table2634[[#This Row],[Weekly change]])^52)-1</f>
        <v/>
      </c>
      <c r="E629" s="24">
        <f>AVERAGE(B626:B629)</f>
        <v/>
      </c>
      <c r="F629" s="32">
        <f>(Table2634[[#This Row],[4 weeks average]]-B577)/B577</f>
        <v/>
      </c>
    </row>
    <row r="630">
      <c r="A630" s="22" t="n">
        <v>31768</v>
      </c>
      <c r="B630" s="24">
        <f>VLOOKUP(Table2634[[#This Row],[Date]],'DB Money Supply'!$A:$D,4)</f>
        <v/>
      </c>
      <c r="C630" s="30">
        <f>(Table2634[[#This Row],[M1 Money Stock, Billions of Dollars, Weekly, Seasonally Adjusted]]-B629)/B629</f>
        <v/>
      </c>
      <c r="D630" s="34">
        <f>((1+Table2634[[#This Row],[Weekly change]])^52)-1</f>
        <v/>
      </c>
      <c r="E630" s="24">
        <f>AVERAGE(B627:B630)</f>
        <v/>
      </c>
      <c r="F630" s="32">
        <f>(Table2634[[#This Row],[4 weeks average]]-B578)/B578</f>
        <v/>
      </c>
    </row>
    <row r="631">
      <c r="A631" s="22" t="n">
        <v>31775</v>
      </c>
      <c r="B631" s="24">
        <f>VLOOKUP(Table2634[[#This Row],[Date]],'DB Money Supply'!$A:$D,4)</f>
        <v/>
      </c>
      <c r="C631" s="30">
        <f>(Table2634[[#This Row],[M1 Money Stock, Billions of Dollars, Weekly, Seasonally Adjusted]]-B630)/B630</f>
        <v/>
      </c>
      <c r="D631" s="34">
        <f>((1+Table2634[[#This Row],[Weekly change]])^52)-1</f>
        <v/>
      </c>
      <c r="E631" s="24">
        <f>AVERAGE(B628:B631)</f>
        <v/>
      </c>
      <c r="F631" s="32">
        <f>(Table2634[[#This Row],[4 weeks average]]-B579)/B579</f>
        <v/>
      </c>
    </row>
    <row r="632">
      <c r="A632" s="22" t="n">
        <v>31782</v>
      </c>
      <c r="B632" s="24">
        <f>VLOOKUP(Table2634[[#This Row],[Date]],'DB Money Supply'!$A:$D,4)</f>
        <v/>
      </c>
      <c r="C632" s="30">
        <f>(Table2634[[#This Row],[M1 Money Stock, Billions of Dollars, Weekly, Seasonally Adjusted]]-B631)/B631</f>
        <v/>
      </c>
      <c r="D632" s="34">
        <f>((1+Table2634[[#This Row],[Weekly change]])^52)-1</f>
        <v/>
      </c>
      <c r="E632" s="24">
        <f>AVERAGE(B629:B632)</f>
        <v/>
      </c>
      <c r="F632" s="32">
        <f>(Table2634[[#This Row],[4 weeks average]]-B580)/B580</f>
        <v/>
      </c>
    </row>
    <row r="633">
      <c r="A633" s="22" t="n">
        <v>31789</v>
      </c>
      <c r="B633" s="24">
        <f>VLOOKUP(Table2634[[#This Row],[Date]],'DB Money Supply'!$A:$D,4)</f>
        <v/>
      </c>
      <c r="C633" s="30">
        <f>(Table2634[[#This Row],[M1 Money Stock, Billions of Dollars, Weekly, Seasonally Adjusted]]-B632)/B632</f>
        <v/>
      </c>
      <c r="D633" s="34">
        <f>((1+Table2634[[#This Row],[Weekly change]])^52)-1</f>
        <v/>
      </c>
      <c r="E633" s="24">
        <f>AVERAGE(B630:B633)</f>
        <v/>
      </c>
      <c r="F633" s="32">
        <f>(Table2634[[#This Row],[4 weeks average]]-B581)/B581</f>
        <v/>
      </c>
    </row>
    <row r="634">
      <c r="A634" s="22" t="n">
        <v>31796</v>
      </c>
      <c r="B634" s="24">
        <f>VLOOKUP(Table2634[[#This Row],[Date]],'DB Money Supply'!$A:$D,4)</f>
        <v/>
      </c>
      <c r="C634" s="30">
        <f>(Table2634[[#This Row],[M1 Money Stock, Billions of Dollars, Weekly, Seasonally Adjusted]]-B633)/B633</f>
        <v/>
      </c>
      <c r="D634" s="34">
        <f>((1+Table2634[[#This Row],[Weekly change]])^52)-1</f>
        <v/>
      </c>
      <c r="E634" s="24">
        <f>AVERAGE(B631:B634)</f>
        <v/>
      </c>
      <c r="F634" s="32">
        <f>(Table2634[[#This Row],[4 weeks average]]-B582)/B582</f>
        <v/>
      </c>
    </row>
    <row r="635">
      <c r="A635" s="22" t="n">
        <v>31803</v>
      </c>
      <c r="B635" s="24">
        <f>VLOOKUP(Table2634[[#This Row],[Date]],'DB Money Supply'!$A:$D,4)</f>
        <v/>
      </c>
      <c r="C635" s="30">
        <f>(Table2634[[#This Row],[M1 Money Stock, Billions of Dollars, Weekly, Seasonally Adjusted]]-B634)/B634</f>
        <v/>
      </c>
      <c r="D635" s="34">
        <f>((1+Table2634[[#This Row],[Weekly change]])^52)-1</f>
        <v/>
      </c>
      <c r="E635" s="24">
        <f>AVERAGE(B632:B635)</f>
        <v/>
      </c>
      <c r="F635" s="32">
        <f>(Table2634[[#This Row],[4 weeks average]]-B583)/B583</f>
        <v/>
      </c>
    </row>
    <row r="636">
      <c r="A636" s="22" t="n">
        <v>31810</v>
      </c>
      <c r="B636" s="24">
        <f>VLOOKUP(Table2634[[#This Row],[Date]],'DB Money Supply'!$A:$D,4)</f>
        <v/>
      </c>
      <c r="C636" s="30">
        <f>(Table2634[[#This Row],[M1 Money Stock, Billions of Dollars, Weekly, Seasonally Adjusted]]-B635)/B635</f>
        <v/>
      </c>
      <c r="D636" s="34">
        <f>((1+Table2634[[#This Row],[Weekly change]])^52)-1</f>
        <v/>
      </c>
      <c r="E636" s="24">
        <f>AVERAGE(B633:B636)</f>
        <v/>
      </c>
      <c r="F636" s="32">
        <f>(Table2634[[#This Row],[4 weeks average]]-B584)/B584</f>
        <v/>
      </c>
    </row>
    <row r="637">
      <c r="A637" s="22" t="n">
        <v>31817</v>
      </c>
      <c r="B637" s="24">
        <f>VLOOKUP(Table2634[[#This Row],[Date]],'DB Money Supply'!$A:$D,4)</f>
        <v/>
      </c>
      <c r="C637" s="30">
        <f>(Table2634[[#This Row],[M1 Money Stock, Billions of Dollars, Weekly, Seasonally Adjusted]]-B636)/B636</f>
        <v/>
      </c>
      <c r="D637" s="34">
        <f>((1+Table2634[[#This Row],[Weekly change]])^52)-1</f>
        <v/>
      </c>
      <c r="E637" s="24">
        <f>AVERAGE(B634:B637)</f>
        <v/>
      </c>
      <c r="F637" s="32">
        <f>(Table2634[[#This Row],[4 weeks average]]-B585)/B585</f>
        <v/>
      </c>
    </row>
    <row r="638">
      <c r="A638" s="22" t="n">
        <v>31824</v>
      </c>
      <c r="B638" s="24">
        <f>VLOOKUP(Table2634[[#This Row],[Date]],'DB Money Supply'!$A:$D,4)</f>
        <v/>
      </c>
      <c r="C638" s="30">
        <f>(Table2634[[#This Row],[M1 Money Stock, Billions of Dollars, Weekly, Seasonally Adjusted]]-B637)/B637</f>
        <v/>
      </c>
      <c r="D638" s="34">
        <f>((1+Table2634[[#This Row],[Weekly change]])^52)-1</f>
        <v/>
      </c>
      <c r="E638" s="24">
        <f>AVERAGE(B635:B638)</f>
        <v/>
      </c>
      <c r="F638" s="32">
        <f>(Table2634[[#This Row],[4 weeks average]]-B586)/B586</f>
        <v/>
      </c>
    </row>
    <row r="639">
      <c r="A639" s="22" t="n">
        <v>31831</v>
      </c>
      <c r="B639" s="24">
        <f>VLOOKUP(Table2634[[#This Row],[Date]],'DB Money Supply'!$A:$D,4)</f>
        <v/>
      </c>
      <c r="C639" s="30">
        <f>(Table2634[[#This Row],[M1 Money Stock, Billions of Dollars, Weekly, Seasonally Adjusted]]-B638)/B638</f>
        <v/>
      </c>
      <c r="D639" s="34">
        <f>((1+Table2634[[#This Row],[Weekly change]])^52)-1</f>
        <v/>
      </c>
      <c r="E639" s="24">
        <f>AVERAGE(B636:B639)</f>
        <v/>
      </c>
      <c r="F639" s="32">
        <f>(Table2634[[#This Row],[4 weeks average]]-B587)/B587</f>
        <v/>
      </c>
    </row>
    <row r="640">
      <c r="A640" s="22" t="n">
        <v>31838</v>
      </c>
      <c r="B640" s="24">
        <f>VLOOKUP(Table2634[[#This Row],[Date]],'DB Money Supply'!$A:$D,4)</f>
        <v/>
      </c>
      <c r="C640" s="30">
        <f>(Table2634[[#This Row],[M1 Money Stock, Billions of Dollars, Weekly, Seasonally Adjusted]]-B639)/B639</f>
        <v/>
      </c>
      <c r="D640" s="34">
        <f>((1+Table2634[[#This Row],[Weekly change]])^52)-1</f>
        <v/>
      </c>
      <c r="E640" s="24">
        <f>AVERAGE(B637:B640)</f>
        <v/>
      </c>
      <c r="F640" s="32">
        <f>(Table2634[[#This Row],[4 weeks average]]-B588)/B588</f>
        <v/>
      </c>
    </row>
    <row r="641">
      <c r="A641" s="22" t="n">
        <v>31845</v>
      </c>
      <c r="B641" s="24">
        <f>VLOOKUP(Table2634[[#This Row],[Date]],'DB Money Supply'!$A:$D,4)</f>
        <v/>
      </c>
      <c r="C641" s="30">
        <f>(Table2634[[#This Row],[M1 Money Stock, Billions of Dollars, Weekly, Seasonally Adjusted]]-B640)/B640</f>
        <v/>
      </c>
      <c r="D641" s="34">
        <f>((1+Table2634[[#This Row],[Weekly change]])^52)-1</f>
        <v/>
      </c>
      <c r="E641" s="24">
        <f>AVERAGE(B638:B641)</f>
        <v/>
      </c>
      <c r="F641" s="32">
        <f>(Table2634[[#This Row],[4 weeks average]]-B589)/B589</f>
        <v/>
      </c>
    </row>
    <row r="642">
      <c r="A642" s="22" t="n">
        <v>31852</v>
      </c>
      <c r="B642" s="24">
        <f>VLOOKUP(Table2634[[#This Row],[Date]],'DB Money Supply'!$A:$D,4)</f>
        <v/>
      </c>
      <c r="C642" s="30">
        <f>(Table2634[[#This Row],[M1 Money Stock, Billions of Dollars, Weekly, Seasonally Adjusted]]-B641)/B641</f>
        <v/>
      </c>
      <c r="D642" s="34">
        <f>((1+Table2634[[#This Row],[Weekly change]])^52)-1</f>
        <v/>
      </c>
      <c r="E642" s="24">
        <f>AVERAGE(B639:B642)</f>
        <v/>
      </c>
      <c r="F642" s="32">
        <f>(Table2634[[#This Row],[4 weeks average]]-B590)/B590</f>
        <v/>
      </c>
    </row>
    <row r="643">
      <c r="A643" s="22" t="n">
        <v>31859</v>
      </c>
      <c r="B643" s="24">
        <f>VLOOKUP(Table2634[[#This Row],[Date]],'DB Money Supply'!$A:$D,4)</f>
        <v/>
      </c>
      <c r="C643" s="30">
        <f>(Table2634[[#This Row],[M1 Money Stock, Billions of Dollars, Weekly, Seasonally Adjusted]]-B642)/B642</f>
        <v/>
      </c>
      <c r="D643" s="34">
        <f>((1+Table2634[[#This Row],[Weekly change]])^52)-1</f>
        <v/>
      </c>
      <c r="E643" s="24">
        <f>AVERAGE(B640:B643)</f>
        <v/>
      </c>
      <c r="F643" s="32">
        <f>(Table2634[[#This Row],[4 weeks average]]-B591)/B591</f>
        <v/>
      </c>
    </row>
    <row r="644">
      <c r="A644" s="22" t="n">
        <v>31866</v>
      </c>
      <c r="B644" s="24">
        <f>VLOOKUP(Table2634[[#This Row],[Date]],'DB Money Supply'!$A:$D,4)</f>
        <v/>
      </c>
      <c r="C644" s="30">
        <f>(Table2634[[#This Row],[M1 Money Stock, Billions of Dollars, Weekly, Seasonally Adjusted]]-B643)/B643</f>
        <v/>
      </c>
      <c r="D644" s="34">
        <f>((1+Table2634[[#This Row],[Weekly change]])^52)-1</f>
        <v/>
      </c>
      <c r="E644" s="24">
        <f>AVERAGE(B641:B644)</f>
        <v/>
      </c>
      <c r="F644" s="32">
        <f>(Table2634[[#This Row],[4 weeks average]]-B592)/B592</f>
        <v/>
      </c>
    </row>
    <row r="645">
      <c r="A645" s="22" t="n">
        <v>31873</v>
      </c>
      <c r="B645" s="24">
        <f>VLOOKUP(Table2634[[#This Row],[Date]],'DB Money Supply'!$A:$D,4)</f>
        <v/>
      </c>
      <c r="C645" s="30">
        <f>(Table2634[[#This Row],[M1 Money Stock, Billions of Dollars, Weekly, Seasonally Adjusted]]-B644)/B644</f>
        <v/>
      </c>
      <c r="D645" s="34">
        <f>((1+Table2634[[#This Row],[Weekly change]])^52)-1</f>
        <v/>
      </c>
      <c r="E645" s="24">
        <f>AVERAGE(B642:B645)</f>
        <v/>
      </c>
      <c r="F645" s="32">
        <f>(Table2634[[#This Row],[4 weeks average]]-B593)/B593</f>
        <v/>
      </c>
    </row>
    <row r="646">
      <c r="A646" s="22" t="n">
        <v>31880</v>
      </c>
      <c r="B646" s="24">
        <f>VLOOKUP(Table2634[[#This Row],[Date]],'DB Money Supply'!$A:$D,4)</f>
        <v/>
      </c>
      <c r="C646" s="30">
        <f>(Table2634[[#This Row],[M1 Money Stock, Billions of Dollars, Weekly, Seasonally Adjusted]]-B645)/B645</f>
        <v/>
      </c>
      <c r="D646" s="34">
        <f>((1+Table2634[[#This Row],[Weekly change]])^52)-1</f>
        <v/>
      </c>
      <c r="E646" s="24">
        <f>AVERAGE(B643:B646)</f>
        <v/>
      </c>
      <c r="F646" s="32">
        <f>(Table2634[[#This Row],[4 weeks average]]-B594)/B594</f>
        <v/>
      </c>
    </row>
    <row r="647">
      <c r="A647" s="22" t="n">
        <v>31887</v>
      </c>
      <c r="B647" s="24">
        <f>VLOOKUP(Table2634[[#This Row],[Date]],'DB Money Supply'!$A:$D,4)</f>
        <v/>
      </c>
      <c r="C647" s="30">
        <f>(Table2634[[#This Row],[M1 Money Stock, Billions of Dollars, Weekly, Seasonally Adjusted]]-B646)/B646</f>
        <v/>
      </c>
      <c r="D647" s="34">
        <f>((1+Table2634[[#This Row],[Weekly change]])^52)-1</f>
        <v/>
      </c>
      <c r="E647" s="24">
        <f>AVERAGE(B644:B647)</f>
        <v/>
      </c>
      <c r="F647" s="32">
        <f>(Table2634[[#This Row],[4 weeks average]]-B595)/B595</f>
        <v/>
      </c>
    </row>
    <row r="648">
      <c r="A648" s="22" t="n">
        <v>31894</v>
      </c>
      <c r="B648" s="24">
        <f>VLOOKUP(Table2634[[#This Row],[Date]],'DB Money Supply'!$A:$D,4)</f>
        <v/>
      </c>
      <c r="C648" s="30">
        <f>(Table2634[[#This Row],[M1 Money Stock, Billions of Dollars, Weekly, Seasonally Adjusted]]-B647)/B647</f>
        <v/>
      </c>
      <c r="D648" s="34">
        <f>((1+Table2634[[#This Row],[Weekly change]])^52)-1</f>
        <v/>
      </c>
      <c r="E648" s="24">
        <f>AVERAGE(B645:B648)</f>
        <v/>
      </c>
      <c r="F648" s="32">
        <f>(Table2634[[#This Row],[4 weeks average]]-B596)/B596</f>
        <v/>
      </c>
    </row>
    <row r="649">
      <c r="A649" s="22" t="n">
        <v>31901</v>
      </c>
      <c r="B649" s="24">
        <f>VLOOKUP(Table2634[[#This Row],[Date]],'DB Money Supply'!$A:$D,4)</f>
        <v/>
      </c>
      <c r="C649" s="30">
        <f>(Table2634[[#This Row],[M1 Money Stock, Billions of Dollars, Weekly, Seasonally Adjusted]]-B648)/B648</f>
        <v/>
      </c>
      <c r="D649" s="34">
        <f>((1+Table2634[[#This Row],[Weekly change]])^52)-1</f>
        <v/>
      </c>
      <c r="E649" s="24">
        <f>AVERAGE(B646:B649)</f>
        <v/>
      </c>
      <c r="F649" s="32">
        <f>(Table2634[[#This Row],[4 weeks average]]-B597)/B597</f>
        <v/>
      </c>
    </row>
    <row r="650">
      <c r="A650" s="22" t="n">
        <v>31908</v>
      </c>
      <c r="B650" s="24">
        <f>VLOOKUP(Table2634[[#This Row],[Date]],'DB Money Supply'!$A:$D,4)</f>
        <v/>
      </c>
      <c r="C650" s="30">
        <f>(Table2634[[#This Row],[M1 Money Stock, Billions of Dollars, Weekly, Seasonally Adjusted]]-B649)/B649</f>
        <v/>
      </c>
      <c r="D650" s="34">
        <f>((1+Table2634[[#This Row],[Weekly change]])^52)-1</f>
        <v/>
      </c>
      <c r="E650" s="24">
        <f>AVERAGE(B647:B650)</f>
        <v/>
      </c>
      <c r="F650" s="32">
        <f>(Table2634[[#This Row],[4 weeks average]]-B598)/B598</f>
        <v/>
      </c>
    </row>
    <row r="651">
      <c r="A651" s="22" t="n">
        <v>31915</v>
      </c>
      <c r="B651" s="24">
        <f>VLOOKUP(Table2634[[#This Row],[Date]],'DB Money Supply'!$A:$D,4)</f>
        <v/>
      </c>
      <c r="C651" s="30">
        <f>(Table2634[[#This Row],[M1 Money Stock, Billions of Dollars, Weekly, Seasonally Adjusted]]-B650)/B650</f>
        <v/>
      </c>
      <c r="D651" s="34">
        <f>((1+Table2634[[#This Row],[Weekly change]])^52)-1</f>
        <v/>
      </c>
      <c r="E651" s="24">
        <f>AVERAGE(B648:B651)</f>
        <v/>
      </c>
      <c r="F651" s="32">
        <f>(Table2634[[#This Row],[4 weeks average]]-B599)/B599</f>
        <v/>
      </c>
    </row>
    <row r="652">
      <c r="A652" s="22" t="n">
        <v>31922</v>
      </c>
      <c r="B652" s="24">
        <f>VLOOKUP(Table2634[[#This Row],[Date]],'DB Money Supply'!$A:$D,4)</f>
        <v/>
      </c>
      <c r="C652" s="30">
        <f>(Table2634[[#This Row],[M1 Money Stock, Billions of Dollars, Weekly, Seasonally Adjusted]]-B651)/B651</f>
        <v/>
      </c>
      <c r="D652" s="34">
        <f>((1+Table2634[[#This Row],[Weekly change]])^52)-1</f>
        <v/>
      </c>
      <c r="E652" s="24">
        <f>AVERAGE(B649:B652)</f>
        <v/>
      </c>
      <c r="F652" s="32">
        <f>(Table2634[[#This Row],[4 weeks average]]-B600)/B600</f>
        <v/>
      </c>
    </row>
    <row r="653">
      <c r="A653" s="22" t="n">
        <v>31929</v>
      </c>
      <c r="B653" s="24">
        <f>VLOOKUP(Table2634[[#This Row],[Date]],'DB Money Supply'!$A:$D,4)</f>
        <v/>
      </c>
      <c r="C653" s="30">
        <f>(Table2634[[#This Row],[M1 Money Stock, Billions of Dollars, Weekly, Seasonally Adjusted]]-B652)/B652</f>
        <v/>
      </c>
      <c r="D653" s="34">
        <f>((1+Table2634[[#This Row],[Weekly change]])^52)-1</f>
        <v/>
      </c>
      <c r="E653" s="24">
        <f>AVERAGE(B650:B653)</f>
        <v/>
      </c>
      <c r="F653" s="32">
        <f>(Table2634[[#This Row],[4 weeks average]]-B601)/B601</f>
        <v/>
      </c>
    </row>
    <row r="654">
      <c r="A654" s="22" t="n">
        <v>31936</v>
      </c>
      <c r="B654" s="24">
        <f>VLOOKUP(Table2634[[#This Row],[Date]],'DB Money Supply'!$A:$D,4)</f>
        <v/>
      </c>
      <c r="C654" s="30">
        <f>(Table2634[[#This Row],[M1 Money Stock, Billions of Dollars, Weekly, Seasonally Adjusted]]-B653)/B653</f>
        <v/>
      </c>
      <c r="D654" s="34">
        <f>((1+Table2634[[#This Row],[Weekly change]])^52)-1</f>
        <v/>
      </c>
      <c r="E654" s="24">
        <f>AVERAGE(B651:B654)</f>
        <v/>
      </c>
      <c r="F654" s="32">
        <f>(Table2634[[#This Row],[4 weeks average]]-B602)/B602</f>
        <v/>
      </c>
    </row>
    <row r="655">
      <c r="A655" s="22" t="n">
        <v>31943</v>
      </c>
      <c r="B655" s="24">
        <f>VLOOKUP(Table2634[[#This Row],[Date]],'DB Money Supply'!$A:$D,4)</f>
        <v/>
      </c>
      <c r="C655" s="30">
        <f>(Table2634[[#This Row],[M1 Money Stock, Billions of Dollars, Weekly, Seasonally Adjusted]]-B654)/B654</f>
        <v/>
      </c>
      <c r="D655" s="34">
        <f>((1+Table2634[[#This Row],[Weekly change]])^52)-1</f>
        <v/>
      </c>
      <c r="E655" s="24">
        <f>AVERAGE(B652:B655)</f>
        <v/>
      </c>
      <c r="F655" s="32">
        <f>(Table2634[[#This Row],[4 weeks average]]-B603)/B603</f>
        <v/>
      </c>
    </row>
    <row r="656">
      <c r="A656" s="22" t="n">
        <v>31950</v>
      </c>
      <c r="B656" s="24">
        <f>VLOOKUP(Table2634[[#This Row],[Date]],'DB Money Supply'!$A:$D,4)</f>
        <v/>
      </c>
      <c r="C656" s="30">
        <f>(Table2634[[#This Row],[M1 Money Stock, Billions of Dollars, Weekly, Seasonally Adjusted]]-B655)/B655</f>
        <v/>
      </c>
      <c r="D656" s="34">
        <f>((1+Table2634[[#This Row],[Weekly change]])^52)-1</f>
        <v/>
      </c>
      <c r="E656" s="24">
        <f>AVERAGE(B653:B656)</f>
        <v/>
      </c>
      <c r="F656" s="32">
        <f>(Table2634[[#This Row],[4 weeks average]]-B604)/B604</f>
        <v/>
      </c>
    </row>
    <row r="657">
      <c r="A657" s="22" t="n">
        <v>31957</v>
      </c>
      <c r="B657" s="24">
        <f>VLOOKUP(Table2634[[#This Row],[Date]],'DB Money Supply'!$A:$D,4)</f>
        <v/>
      </c>
      <c r="C657" s="30">
        <f>(Table2634[[#This Row],[M1 Money Stock, Billions of Dollars, Weekly, Seasonally Adjusted]]-B656)/B656</f>
        <v/>
      </c>
      <c r="D657" s="34">
        <f>((1+Table2634[[#This Row],[Weekly change]])^52)-1</f>
        <v/>
      </c>
      <c r="E657" s="24">
        <f>AVERAGE(B654:B657)</f>
        <v/>
      </c>
      <c r="F657" s="32">
        <f>(Table2634[[#This Row],[4 weeks average]]-B605)/B605</f>
        <v/>
      </c>
    </row>
    <row r="658">
      <c r="A658" s="22" t="n">
        <v>31964</v>
      </c>
      <c r="B658" s="24">
        <f>VLOOKUP(Table2634[[#This Row],[Date]],'DB Money Supply'!$A:$D,4)</f>
        <v/>
      </c>
      <c r="C658" s="30">
        <f>(Table2634[[#This Row],[M1 Money Stock, Billions of Dollars, Weekly, Seasonally Adjusted]]-B657)/B657</f>
        <v/>
      </c>
      <c r="D658" s="34">
        <f>((1+Table2634[[#This Row],[Weekly change]])^52)-1</f>
        <v/>
      </c>
      <c r="E658" s="24">
        <f>AVERAGE(B655:B658)</f>
        <v/>
      </c>
      <c r="F658" s="32">
        <f>(Table2634[[#This Row],[4 weeks average]]-B606)/B606</f>
        <v/>
      </c>
    </row>
    <row r="659">
      <c r="A659" s="22" t="n">
        <v>31971</v>
      </c>
      <c r="B659" s="24">
        <f>VLOOKUP(Table2634[[#This Row],[Date]],'DB Money Supply'!$A:$D,4)</f>
        <v/>
      </c>
      <c r="C659" s="30">
        <f>(Table2634[[#This Row],[M1 Money Stock, Billions of Dollars, Weekly, Seasonally Adjusted]]-B658)/B658</f>
        <v/>
      </c>
      <c r="D659" s="34">
        <f>((1+Table2634[[#This Row],[Weekly change]])^52)-1</f>
        <v/>
      </c>
      <c r="E659" s="24">
        <f>AVERAGE(B656:B659)</f>
        <v/>
      </c>
      <c r="F659" s="32">
        <f>(Table2634[[#This Row],[4 weeks average]]-B607)/B607</f>
        <v/>
      </c>
    </row>
    <row r="660">
      <c r="A660" s="22" t="n">
        <v>31978</v>
      </c>
      <c r="B660" s="24">
        <f>VLOOKUP(Table2634[[#This Row],[Date]],'DB Money Supply'!$A:$D,4)</f>
        <v/>
      </c>
      <c r="C660" s="30">
        <f>(Table2634[[#This Row],[M1 Money Stock, Billions of Dollars, Weekly, Seasonally Adjusted]]-B659)/B659</f>
        <v/>
      </c>
      <c r="D660" s="34">
        <f>((1+Table2634[[#This Row],[Weekly change]])^52)-1</f>
        <v/>
      </c>
      <c r="E660" s="24">
        <f>AVERAGE(B657:B660)</f>
        <v/>
      </c>
      <c r="F660" s="32">
        <f>(Table2634[[#This Row],[4 weeks average]]-B608)/B608</f>
        <v/>
      </c>
    </row>
    <row r="661">
      <c r="A661" s="22" t="n">
        <v>31985</v>
      </c>
      <c r="B661" s="24">
        <f>VLOOKUP(Table2634[[#This Row],[Date]],'DB Money Supply'!$A:$D,4)</f>
        <v/>
      </c>
      <c r="C661" s="30">
        <f>(Table2634[[#This Row],[M1 Money Stock, Billions of Dollars, Weekly, Seasonally Adjusted]]-B660)/B660</f>
        <v/>
      </c>
      <c r="D661" s="34">
        <f>((1+Table2634[[#This Row],[Weekly change]])^52)-1</f>
        <v/>
      </c>
      <c r="E661" s="24">
        <f>AVERAGE(B658:B661)</f>
        <v/>
      </c>
      <c r="F661" s="32">
        <f>(Table2634[[#This Row],[4 weeks average]]-B609)/B609</f>
        <v/>
      </c>
    </row>
    <row r="662">
      <c r="A662" s="22" t="n">
        <v>31992</v>
      </c>
      <c r="B662" s="24">
        <f>VLOOKUP(Table2634[[#This Row],[Date]],'DB Money Supply'!$A:$D,4)</f>
        <v/>
      </c>
      <c r="C662" s="30">
        <f>(Table2634[[#This Row],[M1 Money Stock, Billions of Dollars, Weekly, Seasonally Adjusted]]-B661)/B661</f>
        <v/>
      </c>
      <c r="D662" s="34">
        <f>((1+Table2634[[#This Row],[Weekly change]])^52)-1</f>
        <v/>
      </c>
      <c r="E662" s="24">
        <f>AVERAGE(B659:B662)</f>
        <v/>
      </c>
      <c r="F662" s="32">
        <f>(Table2634[[#This Row],[4 weeks average]]-B610)/B610</f>
        <v/>
      </c>
    </row>
    <row r="663">
      <c r="A663" s="22" t="n">
        <v>31999</v>
      </c>
      <c r="B663" s="24">
        <f>VLOOKUP(Table2634[[#This Row],[Date]],'DB Money Supply'!$A:$D,4)</f>
        <v/>
      </c>
      <c r="C663" s="30">
        <f>(Table2634[[#This Row],[M1 Money Stock, Billions of Dollars, Weekly, Seasonally Adjusted]]-B662)/B662</f>
        <v/>
      </c>
      <c r="D663" s="34">
        <f>((1+Table2634[[#This Row],[Weekly change]])^52)-1</f>
        <v/>
      </c>
      <c r="E663" s="24">
        <f>AVERAGE(B660:B663)</f>
        <v/>
      </c>
      <c r="F663" s="32">
        <f>(Table2634[[#This Row],[4 weeks average]]-B611)/B611</f>
        <v/>
      </c>
    </row>
    <row r="664">
      <c r="A664" s="22" t="n">
        <v>32006</v>
      </c>
      <c r="B664" s="24">
        <f>VLOOKUP(Table2634[[#This Row],[Date]],'DB Money Supply'!$A:$D,4)</f>
        <v/>
      </c>
      <c r="C664" s="30">
        <f>(Table2634[[#This Row],[M1 Money Stock, Billions of Dollars, Weekly, Seasonally Adjusted]]-B663)/B663</f>
        <v/>
      </c>
      <c r="D664" s="34">
        <f>((1+Table2634[[#This Row],[Weekly change]])^52)-1</f>
        <v/>
      </c>
      <c r="E664" s="24">
        <f>AVERAGE(B661:B664)</f>
        <v/>
      </c>
      <c r="F664" s="32">
        <f>(Table2634[[#This Row],[4 weeks average]]-B612)/B612</f>
        <v/>
      </c>
    </row>
    <row r="665">
      <c r="A665" s="22" t="n">
        <v>32013</v>
      </c>
      <c r="B665" s="24">
        <f>VLOOKUP(Table2634[[#This Row],[Date]],'DB Money Supply'!$A:$D,4)</f>
        <v/>
      </c>
      <c r="C665" s="30">
        <f>(Table2634[[#This Row],[M1 Money Stock, Billions of Dollars, Weekly, Seasonally Adjusted]]-B664)/B664</f>
        <v/>
      </c>
      <c r="D665" s="34">
        <f>((1+Table2634[[#This Row],[Weekly change]])^52)-1</f>
        <v/>
      </c>
      <c r="E665" s="24">
        <f>AVERAGE(B662:B665)</f>
        <v/>
      </c>
      <c r="F665" s="32">
        <f>(Table2634[[#This Row],[4 weeks average]]-B613)/B613</f>
        <v/>
      </c>
    </row>
    <row r="666">
      <c r="A666" s="22" t="n">
        <v>32020</v>
      </c>
      <c r="B666" s="24">
        <f>VLOOKUP(Table2634[[#This Row],[Date]],'DB Money Supply'!$A:$D,4)</f>
        <v/>
      </c>
      <c r="C666" s="30">
        <f>(Table2634[[#This Row],[M1 Money Stock, Billions of Dollars, Weekly, Seasonally Adjusted]]-B665)/B665</f>
        <v/>
      </c>
      <c r="D666" s="34">
        <f>((1+Table2634[[#This Row],[Weekly change]])^52)-1</f>
        <v/>
      </c>
      <c r="E666" s="24">
        <f>AVERAGE(B663:B666)</f>
        <v/>
      </c>
      <c r="F666" s="32">
        <f>(Table2634[[#This Row],[4 weeks average]]-B614)/B614</f>
        <v/>
      </c>
    </row>
    <row r="667">
      <c r="A667" s="22" t="n">
        <v>32027</v>
      </c>
      <c r="B667" s="24">
        <f>VLOOKUP(Table2634[[#This Row],[Date]],'DB Money Supply'!$A:$D,4)</f>
        <v/>
      </c>
      <c r="C667" s="30">
        <f>(Table2634[[#This Row],[M1 Money Stock, Billions of Dollars, Weekly, Seasonally Adjusted]]-B666)/B666</f>
        <v/>
      </c>
      <c r="D667" s="34">
        <f>((1+Table2634[[#This Row],[Weekly change]])^52)-1</f>
        <v/>
      </c>
      <c r="E667" s="24">
        <f>AVERAGE(B664:B667)</f>
        <v/>
      </c>
      <c r="F667" s="32">
        <f>(Table2634[[#This Row],[4 weeks average]]-B615)/B615</f>
        <v/>
      </c>
    </row>
    <row r="668">
      <c r="A668" s="22" t="n">
        <v>32034</v>
      </c>
      <c r="B668" s="24">
        <f>VLOOKUP(Table2634[[#This Row],[Date]],'DB Money Supply'!$A:$D,4)</f>
        <v/>
      </c>
      <c r="C668" s="30">
        <f>(Table2634[[#This Row],[M1 Money Stock, Billions of Dollars, Weekly, Seasonally Adjusted]]-B667)/B667</f>
        <v/>
      </c>
      <c r="D668" s="34">
        <f>((1+Table2634[[#This Row],[Weekly change]])^52)-1</f>
        <v/>
      </c>
      <c r="E668" s="24">
        <f>AVERAGE(B665:B668)</f>
        <v/>
      </c>
      <c r="F668" s="32">
        <f>(Table2634[[#This Row],[4 weeks average]]-B616)/B616</f>
        <v/>
      </c>
    </row>
    <row r="669">
      <c r="A669" s="22" t="n">
        <v>32041</v>
      </c>
      <c r="B669" s="24">
        <f>VLOOKUP(Table2634[[#This Row],[Date]],'DB Money Supply'!$A:$D,4)</f>
        <v/>
      </c>
      <c r="C669" s="30">
        <f>(Table2634[[#This Row],[M1 Money Stock, Billions of Dollars, Weekly, Seasonally Adjusted]]-B668)/B668</f>
        <v/>
      </c>
      <c r="D669" s="34">
        <f>((1+Table2634[[#This Row],[Weekly change]])^52)-1</f>
        <v/>
      </c>
      <c r="E669" s="24">
        <f>AVERAGE(B666:B669)</f>
        <v/>
      </c>
      <c r="F669" s="32">
        <f>(Table2634[[#This Row],[4 weeks average]]-B617)/B617</f>
        <v/>
      </c>
    </row>
    <row r="670">
      <c r="A670" s="22" t="n">
        <v>32048</v>
      </c>
      <c r="B670" s="24">
        <f>VLOOKUP(Table2634[[#This Row],[Date]],'DB Money Supply'!$A:$D,4)</f>
        <v/>
      </c>
      <c r="C670" s="30">
        <f>(Table2634[[#This Row],[M1 Money Stock, Billions of Dollars, Weekly, Seasonally Adjusted]]-B669)/B669</f>
        <v/>
      </c>
      <c r="D670" s="34">
        <f>((1+Table2634[[#This Row],[Weekly change]])^52)-1</f>
        <v/>
      </c>
      <c r="E670" s="24">
        <f>AVERAGE(B667:B670)</f>
        <v/>
      </c>
      <c r="F670" s="32">
        <f>(Table2634[[#This Row],[4 weeks average]]-B618)/B618</f>
        <v/>
      </c>
    </row>
    <row r="671">
      <c r="A671" s="22" t="n">
        <v>32055</v>
      </c>
      <c r="B671" s="24">
        <f>VLOOKUP(Table2634[[#This Row],[Date]],'DB Money Supply'!$A:$D,4)</f>
        <v/>
      </c>
      <c r="C671" s="30">
        <f>(Table2634[[#This Row],[M1 Money Stock, Billions of Dollars, Weekly, Seasonally Adjusted]]-B670)/B670</f>
        <v/>
      </c>
      <c r="D671" s="34">
        <f>((1+Table2634[[#This Row],[Weekly change]])^52)-1</f>
        <v/>
      </c>
      <c r="E671" s="24">
        <f>AVERAGE(B668:B671)</f>
        <v/>
      </c>
      <c r="F671" s="32">
        <f>(Table2634[[#This Row],[4 weeks average]]-B619)/B619</f>
        <v/>
      </c>
    </row>
    <row r="672">
      <c r="A672" s="22" t="n">
        <v>32062</v>
      </c>
      <c r="B672" s="24">
        <f>VLOOKUP(Table2634[[#This Row],[Date]],'DB Money Supply'!$A:$D,4)</f>
        <v/>
      </c>
      <c r="C672" s="30">
        <f>(Table2634[[#This Row],[M1 Money Stock, Billions of Dollars, Weekly, Seasonally Adjusted]]-B671)/B671</f>
        <v/>
      </c>
      <c r="D672" s="34">
        <f>((1+Table2634[[#This Row],[Weekly change]])^52)-1</f>
        <v/>
      </c>
      <c r="E672" s="24">
        <f>AVERAGE(B669:B672)</f>
        <v/>
      </c>
      <c r="F672" s="32">
        <f>(Table2634[[#This Row],[4 weeks average]]-B620)/B620</f>
        <v/>
      </c>
    </row>
    <row r="673">
      <c r="A673" s="22" t="n">
        <v>32069</v>
      </c>
      <c r="B673" s="24">
        <f>VLOOKUP(Table2634[[#This Row],[Date]],'DB Money Supply'!$A:$D,4)</f>
        <v/>
      </c>
      <c r="C673" s="30">
        <f>(Table2634[[#This Row],[M1 Money Stock, Billions of Dollars, Weekly, Seasonally Adjusted]]-B672)/B672</f>
        <v/>
      </c>
      <c r="D673" s="34">
        <f>((1+Table2634[[#This Row],[Weekly change]])^52)-1</f>
        <v/>
      </c>
      <c r="E673" s="24">
        <f>AVERAGE(B670:B673)</f>
        <v/>
      </c>
      <c r="F673" s="32">
        <f>(Table2634[[#This Row],[4 weeks average]]-B621)/B621</f>
        <v/>
      </c>
    </row>
    <row r="674">
      <c r="A674" s="22" t="n">
        <v>32076</v>
      </c>
      <c r="B674" s="24">
        <f>VLOOKUP(Table2634[[#This Row],[Date]],'DB Money Supply'!$A:$D,4)</f>
        <v/>
      </c>
      <c r="C674" s="30">
        <f>(Table2634[[#This Row],[M1 Money Stock, Billions of Dollars, Weekly, Seasonally Adjusted]]-B673)/B673</f>
        <v/>
      </c>
      <c r="D674" s="34">
        <f>((1+Table2634[[#This Row],[Weekly change]])^52)-1</f>
        <v/>
      </c>
      <c r="E674" s="24">
        <f>AVERAGE(B671:B674)</f>
        <v/>
      </c>
      <c r="F674" s="32">
        <f>(Table2634[[#This Row],[4 weeks average]]-B622)/B622</f>
        <v/>
      </c>
    </row>
    <row r="675">
      <c r="A675" s="22" t="n">
        <v>32083</v>
      </c>
      <c r="B675" s="24">
        <f>VLOOKUP(Table2634[[#This Row],[Date]],'DB Money Supply'!$A:$D,4)</f>
        <v/>
      </c>
      <c r="C675" s="30">
        <f>(Table2634[[#This Row],[M1 Money Stock, Billions of Dollars, Weekly, Seasonally Adjusted]]-B674)/B674</f>
        <v/>
      </c>
      <c r="D675" s="34">
        <f>((1+Table2634[[#This Row],[Weekly change]])^52)-1</f>
        <v/>
      </c>
      <c r="E675" s="24">
        <f>AVERAGE(B672:B675)</f>
        <v/>
      </c>
      <c r="F675" s="32">
        <f>(Table2634[[#This Row],[4 weeks average]]-B623)/B623</f>
        <v/>
      </c>
    </row>
    <row r="676">
      <c r="A676" s="22" t="n">
        <v>32090</v>
      </c>
      <c r="B676" s="24">
        <f>VLOOKUP(Table2634[[#This Row],[Date]],'DB Money Supply'!$A:$D,4)</f>
        <v/>
      </c>
      <c r="C676" s="30">
        <f>(Table2634[[#This Row],[M1 Money Stock, Billions of Dollars, Weekly, Seasonally Adjusted]]-B675)/B675</f>
        <v/>
      </c>
      <c r="D676" s="34">
        <f>((1+Table2634[[#This Row],[Weekly change]])^52)-1</f>
        <v/>
      </c>
      <c r="E676" s="24">
        <f>AVERAGE(B673:B676)</f>
        <v/>
      </c>
      <c r="F676" s="32">
        <f>(Table2634[[#This Row],[4 weeks average]]-B624)/B624</f>
        <v/>
      </c>
    </row>
    <row r="677">
      <c r="A677" s="22" t="n">
        <v>32097</v>
      </c>
      <c r="B677" s="24">
        <f>VLOOKUP(Table2634[[#This Row],[Date]],'DB Money Supply'!$A:$D,4)</f>
        <v/>
      </c>
      <c r="C677" s="30">
        <f>(Table2634[[#This Row],[M1 Money Stock, Billions of Dollars, Weekly, Seasonally Adjusted]]-B676)/B676</f>
        <v/>
      </c>
      <c r="D677" s="34">
        <f>((1+Table2634[[#This Row],[Weekly change]])^52)-1</f>
        <v/>
      </c>
      <c r="E677" s="24">
        <f>AVERAGE(B674:B677)</f>
        <v/>
      </c>
      <c r="F677" s="32">
        <f>(Table2634[[#This Row],[4 weeks average]]-B625)/B625</f>
        <v/>
      </c>
    </row>
    <row r="678">
      <c r="A678" s="22" t="n">
        <v>32104</v>
      </c>
      <c r="B678" s="24">
        <f>VLOOKUP(Table2634[[#This Row],[Date]],'DB Money Supply'!$A:$D,4)</f>
        <v/>
      </c>
      <c r="C678" s="30">
        <f>(Table2634[[#This Row],[M1 Money Stock, Billions of Dollars, Weekly, Seasonally Adjusted]]-B677)/B677</f>
        <v/>
      </c>
      <c r="D678" s="34">
        <f>((1+Table2634[[#This Row],[Weekly change]])^52)-1</f>
        <v/>
      </c>
      <c r="E678" s="24">
        <f>AVERAGE(B675:B678)</f>
        <v/>
      </c>
      <c r="F678" s="32">
        <f>(Table2634[[#This Row],[4 weeks average]]-B626)/B626</f>
        <v/>
      </c>
    </row>
    <row r="679">
      <c r="A679" s="22" t="n">
        <v>32111</v>
      </c>
      <c r="B679" s="24">
        <f>VLOOKUP(Table2634[[#This Row],[Date]],'DB Money Supply'!$A:$D,4)</f>
        <v/>
      </c>
      <c r="C679" s="30">
        <f>(Table2634[[#This Row],[M1 Money Stock, Billions of Dollars, Weekly, Seasonally Adjusted]]-B678)/B678</f>
        <v/>
      </c>
      <c r="D679" s="34">
        <f>((1+Table2634[[#This Row],[Weekly change]])^52)-1</f>
        <v/>
      </c>
      <c r="E679" s="24">
        <f>AVERAGE(B676:B679)</f>
        <v/>
      </c>
      <c r="F679" s="32">
        <f>(Table2634[[#This Row],[4 weeks average]]-B627)/B627</f>
        <v/>
      </c>
    </row>
    <row r="680">
      <c r="A680" s="22" t="n">
        <v>32118</v>
      </c>
      <c r="B680" s="24">
        <f>VLOOKUP(Table2634[[#This Row],[Date]],'DB Money Supply'!$A:$D,4)</f>
        <v/>
      </c>
      <c r="C680" s="30">
        <f>(Table2634[[#This Row],[M1 Money Stock, Billions of Dollars, Weekly, Seasonally Adjusted]]-B679)/B679</f>
        <v/>
      </c>
      <c r="D680" s="34">
        <f>((1+Table2634[[#This Row],[Weekly change]])^52)-1</f>
        <v/>
      </c>
      <c r="E680" s="24">
        <f>AVERAGE(B677:B680)</f>
        <v/>
      </c>
      <c r="F680" s="32">
        <f>(Table2634[[#This Row],[4 weeks average]]-B628)/B628</f>
        <v/>
      </c>
    </row>
    <row r="681">
      <c r="A681" s="22" t="n">
        <v>32125</v>
      </c>
      <c r="B681" s="24">
        <f>VLOOKUP(Table2634[[#This Row],[Date]],'DB Money Supply'!$A:$D,4)</f>
        <v/>
      </c>
      <c r="C681" s="30">
        <f>(Table2634[[#This Row],[M1 Money Stock, Billions of Dollars, Weekly, Seasonally Adjusted]]-B680)/B680</f>
        <v/>
      </c>
      <c r="D681" s="34">
        <f>((1+Table2634[[#This Row],[Weekly change]])^52)-1</f>
        <v/>
      </c>
      <c r="E681" s="24">
        <f>AVERAGE(B678:B681)</f>
        <v/>
      </c>
      <c r="F681" s="32">
        <f>(Table2634[[#This Row],[4 weeks average]]-B629)/B629</f>
        <v/>
      </c>
    </row>
    <row r="682">
      <c r="A682" s="22" t="n">
        <v>32132</v>
      </c>
      <c r="B682" s="24">
        <f>VLOOKUP(Table2634[[#This Row],[Date]],'DB Money Supply'!$A:$D,4)</f>
        <v/>
      </c>
      <c r="C682" s="30">
        <f>(Table2634[[#This Row],[M1 Money Stock, Billions of Dollars, Weekly, Seasonally Adjusted]]-B681)/B681</f>
        <v/>
      </c>
      <c r="D682" s="34">
        <f>((1+Table2634[[#This Row],[Weekly change]])^52)-1</f>
        <v/>
      </c>
      <c r="E682" s="24">
        <f>AVERAGE(B679:B682)</f>
        <v/>
      </c>
      <c r="F682" s="32">
        <f>(Table2634[[#This Row],[4 weeks average]]-B630)/B630</f>
        <v/>
      </c>
    </row>
    <row r="683">
      <c r="A683" s="22" t="n">
        <v>32139</v>
      </c>
      <c r="B683" s="24">
        <f>VLOOKUP(Table2634[[#This Row],[Date]],'DB Money Supply'!$A:$D,4)</f>
        <v/>
      </c>
      <c r="C683" s="30">
        <f>(Table2634[[#This Row],[M1 Money Stock, Billions of Dollars, Weekly, Seasonally Adjusted]]-B682)/B682</f>
        <v/>
      </c>
      <c r="D683" s="34">
        <f>((1+Table2634[[#This Row],[Weekly change]])^52)-1</f>
        <v/>
      </c>
      <c r="E683" s="24">
        <f>AVERAGE(B680:B683)</f>
        <v/>
      </c>
      <c r="F683" s="32">
        <f>(Table2634[[#This Row],[4 weeks average]]-B631)/B631</f>
        <v/>
      </c>
    </row>
    <row r="684">
      <c r="A684" s="22" t="n">
        <v>32146</v>
      </c>
      <c r="B684" s="24">
        <f>VLOOKUP(Table2634[[#This Row],[Date]],'DB Money Supply'!$A:$D,4)</f>
        <v/>
      </c>
      <c r="C684" s="30">
        <f>(Table2634[[#This Row],[M1 Money Stock, Billions of Dollars, Weekly, Seasonally Adjusted]]-B683)/B683</f>
        <v/>
      </c>
      <c r="D684" s="34">
        <f>((1+Table2634[[#This Row],[Weekly change]])^52)-1</f>
        <v/>
      </c>
      <c r="E684" s="24">
        <f>AVERAGE(B681:B684)</f>
        <v/>
      </c>
      <c r="F684" s="32">
        <f>(Table2634[[#This Row],[4 weeks average]]-B632)/B632</f>
        <v/>
      </c>
    </row>
    <row r="685">
      <c r="A685" s="22" t="n">
        <v>32153</v>
      </c>
      <c r="B685" s="24">
        <f>VLOOKUP(Table2634[[#This Row],[Date]],'DB Money Supply'!$A:$D,4)</f>
        <v/>
      </c>
      <c r="C685" s="30">
        <f>(Table2634[[#This Row],[M1 Money Stock, Billions of Dollars, Weekly, Seasonally Adjusted]]-B684)/B684</f>
        <v/>
      </c>
      <c r="D685" s="34">
        <f>((1+Table2634[[#This Row],[Weekly change]])^52)-1</f>
        <v/>
      </c>
      <c r="E685" s="24">
        <f>AVERAGE(B682:B685)</f>
        <v/>
      </c>
      <c r="F685" s="32">
        <f>(Table2634[[#This Row],[4 weeks average]]-B633)/B633</f>
        <v/>
      </c>
    </row>
    <row r="686">
      <c r="A686" s="22" t="n">
        <v>32160</v>
      </c>
      <c r="B686" s="24">
        <f>VLOOKUP(Table2634[[#This Row],[Date]],'DB Money Supply'!$A:$D,4)</f>
        <v/>
      </c>
      <c r="C686" s="30">
        <f>(Table2634[[#This Row],[M1 Money Stock, Billions of Dollars, Weekly, Seasonally Adjusted]]-B685)/B685</f>
        <v/>
      </c>
      <c r="D686" s="34">
        <f>((1+Table2634[[#This Row],[Weekly change]])^52)-1</f>
        <v/>
      </c>
      <c r="E686" s="24">
        <f>AVERAGE(B683:B686)</f>
        <v/>
      </c>
      <c r="F686" s="32">
        <f>(Table2634[[#This Row],[4 weeks average]]-B634)/B634</f>
        <v/>
      </c>
    </row>
    <row r="687">
      <c r="A687" s="22" t="n">
        <v>32167</v>
      </c>
      <c r="B687" s="24">
        <f>VLOOKUP(Table2634[[#This Row],[Date]],'DB Money Supply'!$A:$D,4)</f>
        <v/>
      </c>
      <c r="C687" s="30">
        <f>(Table2634[[#This Row],[M1 Money Stock, Billions of Dollars, Weekly, Seasonally Adjusted]]-B686)/B686</f>
        <v/>
      </c>
      <c r="D687" s="34">
        <f>((1+Table2634[[#This Row],[Weekly change]])^52)-1</f>
        <v/>
      </c>
      <c r="E687" s="24">
        <f>AVERAGE(B684:B687)</f>
        <v/>
      </c>
      <c r="F687" s="32">
        <f>(Table2634[[#This Row],[4 weeks average]]-B635)/B635</f>
        <v/>
      </c>
    </row>
    <row r="688">
      <c r="A688" s="22" t="n">
        <v>32174</v>
      </c>
      <c r="B688" s="24">
        <f>VLOOKUP(Table2634[[#This Row],[Date]],'DB Money Supply'!$A:$D,4)</f>
        <v/>
      </c>
      <c r="C688" s="30">
        <f>(Table2634[[#This Row],[M1 Money Stock, Billions of Dollars, Weekly, Seasonally Adjusted]]-B687)/B687</f>
        <v/>
      </c>
      <c r="D688" s="34">
        <f>((1+Table2634[[#This Row],[Weekly change]])^52)-1</f>
        <v/>
      </c>
      <c r="E688" s="24">
        <f>AVERAGE(B685:B688)</f>
        <v/>
      </c>
      <c r="F688" s="32">
        <f>(Table2634[[#This Row],[4 weeks average]]-B636)/B636</f>
        <v/>
      </c>
    </row>
    <row r="689">
      <c r="A689" s="22" t="n">
        <v>32181</v>
      </c>
      <c r="B689" s="24">
        <f>VLOOKUP(Table2634[[#This Row],[Date]],'DB Money Supply'!$A:$D,4)</f>
        <v/>
      </c>
      <c r="C689" s="30">
        <f>(Table2634[[#This Row],[M1 Money Stock, Billions of Dollars, Weekly, Seasonally Adjusted]]-B688)/B688</f>
        <v/>
      </c>
      <c r="D689" s="34">
        <f>((1+Table2634[[#This Row],[Weekly change]])^52)-1</f>
        <v/>
      </c>
      <c r="E689" s="24">
        <f>AVERAGE(B686:B689)</f>
        <v/>
      </c>
      <c r="F689" s="32">
        <f>(Table2634[[#This Row],[4 weeks average]]-B637)/B637</f>
        <v/>
      </c>
    </row>
    <row r="690">
      <c r="A690" s="22" t="n">
        <v>32188</v>
      </c>
      <c r="B690" s="24">
        <f>VLOOKUP(Table2634[[#This Row],[Date]],'DB Money Supply'!$A:$D,4)</f>
        <v/>
      </c>
      <c r="C690" s="30">
        <f>(Table2634[[#This Row],[M1 Money Stock, Billions of Dollars, Weekly, Seasonally Adjusted]]-B689)/B689</f>
        <v/>
      </c>
      <c r="D690" s="34">
        <f>((1+Table2634[[#This Row],[Weekly change]])^52)-1</f>
        <v/>
      </c>
      <c r="E690" s="24">
        <f>AVERAGE(B687:B690)</f>
        <v/>
      </c>
      <c r="F690" s="32">
        <f>(Table2634[[#This Row],[4 weeks average]]-B638)/B638</f>
        <v/>
      </c>
    </row>
    <row r="691">
      <c r="A691" s="22" t="n">
        <v>32195</v>
      </c>
      <c r="B691" s="24">
        <f>VLOOKUP(Table2634[[#This Row],[Date]],'DB Money Supply'!$A:$D,4)</f>
        <v/>
      </c>
      <c r="C691" s="30">
        <f>(Table2634[[#This Row],[M1 Money Stock, Billions of Dollars, Weekly, Seasonally Adjusted]]-B690)/B690</f>
        <v/>
      </c>
      <c r="D691" s="34">
        <f>((1+Table2634[[#This Row],[Weekly change]])^52)-1</f>
        <v/>
      </c>
      <c r="E691" s="24">
        <f>AVERAGE(B688:B691)</f>
        <v/>
      </c>
      <c r="F691" s="32">
        <f>(Table2634[[#This Row],[4 weeks average]]-B639)/B639</f>
        <v/>
      </c>
    </row>
    <row r="692">
      <c r="A692" s="22" t="n">
        <v>32202</v>
      </c>
      <c r="B692" s="24">
        <f>VLOOKUP(Table2634[[#This Row],[Date]],'DB Money Supply'!$A:$D,4)</f>
        <v/>
      </c>
      <c r="C692" s="30">
        <f>(Table2634[[#This Row],[M1 Money Stock, Billions of Dollars, Weekly, Seasonally Adjusted]]-B691)/B691</f>
        <v/>
      </c>
      <c r="D692" s="34">
        <f>((1+Table2634[[#This Row],[Weekly change]])^52)-1</f>
        <v/>
      </c>
      <c r="E692" s="24">
        <f>AVERAGE(B689:B692)</f>
        <v/>
      </c>
      <c r="F692" s="32">
        <f>(Table2634[[#This Row],[4 weeks average]]-B640)/B640</f>
        <v/>
      </c>
    </row>
    <row r="693">
      <c r="A693" s="22" t="n">
        <v>32209</v>
      </c>
      <c r="B693" s="24">
        <f>VLOOKUP(Table2634[[#This Row],[Date]],'DB Money Supply'!$A:$D,4)</f>
        <v/>
      </c>
      <c r="C693" s="30">
        <f>(Table2634[[#This Row],[M1 Money Stock, Billions of Dollars, Weekly, Seasonally Adjusted]]-B692)/B692</f>
        <v/>
      </c>
      <c r="D693" s="34">
        <f>((1+Table2634[[#This Row],[Weekly change]])^52)-1</f>
        <v/>
      </c>
      <c r="E693" s="24">
        <f>AVERAGE(B690:B693)</f>
        <v/>
      </c>
      <c r="F693" s="32">
        <f>(Table2634[[#This Row],[4 weeks average]]-B641)/B641</f>
        <v/>
      </c>
    </row>
    <row r="694">
      <c r="A694" s="22" t="n">
        <v>32216</v>
      </c>
      <c r="B694" s="24">
        <f>VLOOKUP(Table2634[[#This Row],[Date]],'DB Money Supply'!$A:$D,4)</f>
        <v/>
      </c>
      <c r="C694" s="30">
        <f>(Table2634[[#This Row],[M1 Money Stock, Billions of Dollars, Weekly, Seasonally Adjusted]]-B693)/B693</f>
        <v/>
      </c>
      <c r="D694" s="34">
        <f>((1+Table2634[[#This Row],[Weekly change]])^52)-1</f>
        <v/>
      </c>
      <c r="E694" s="24">
        <f>AVERAGE(B691:B694)</f>
        <v/>
      </c>
      <c r="F694" s="32">
        <f>(Table2634[[#This Row],[4 weeks average]]-B642)/B642</f>
        <v/>
      </c>
    </row>
    <row r="695">
      <c r="A695" s="22" t="n">
        <v>32223</v>
      </c>
      <c r="B695" s="24">
        <f>VLOOKUP(Table2634[[#This Row],[Date]],'DB Money Supply'!$A:$D,4)</f>
        <v/>
      </c>
      <c r="C695" s="30">
        <f>(Table2634[[#This Row],[M1 Money Stock, Billions of Dollars, Weekly, Seasonally Adjusted]]-B694)/B694</f>
        <v/>
      </c>
      <c r="D695" s="34">
        <f>((1+Table2634[[#This Row],[Weekly change]])^52)-1</f>
        <v/>
      </c>
      <c r="E695" s="24">
        <f>AVERAGE(B692:B695)</f>
        <v/>
      </c>
      <c r="F695" s="32">
        <f>(Table2634[[#This Row],[4 weeks average]]-B643)/B643</f>
        <v/>
      </c>
    </row>
    <row r="696">
      <c r="A696" s="22" t="n">
        <v>32230</v>
      </c>
      <c r="B696" s="24">
        <f>VLOOKUP(Table2634[[#This Row],[Date]],'DB Money Supply'!$A:$D,4)</f>
        <v/>
      </c>
      <c r="C696" s="30">
        <f>(Table2634[[#This Row],[M1 Money Stock, Billions of Dollars, Weekly, Seasonally Adjusted]]-B695)/B695</f>
        <v/>
      </c>
      <c r="D696" s="34">
        <f>((1+Table2634[[#This Row],[Weekly change]])^52)-1</f>
        <v/>
      </c>
      <c r="E696" s="24">
        <f>AVERAGE(B693:B696)</f>
        <v/>
      </c>
      <c r="F696" s="32">
        <f>(Table2634[[#This Row],[4 weeks average]]-B644)/B644</f>
        <v/>
      </c>
    </row>
    <row r="697">
      <c r="A697" s="22" t="n">
        <v>32237</v>
      </c>
      <c r="B697" s="24">
        <f>VLOOKUP(Table2634[[#This Row],[Date]],'DB Money Supply'!$A:$D,4)</f>
        <v/>
      </c>
      <c r="C697" s="30">
        <f>(Table2634[[#This Row],[M1 Money Stock, Billions of Dollars, Weekly, Seasonally Adjusted]]-B696)/B696</f>
        <v/>
      </c>
      <c r="D697" s="34">
        <f>((1+Table2634[[#This Row],[Weekly change]])^52)-1</f>
        <v/>
      </c>
      <c r="E697" s="24">
        <f>AVERAGE(B694:B697)</f>
        <v/>
      </c>
      <c r="F697" s="32">
        <f>(Table2634[[#This Row],[4 weeks average]]-B645)/B645</f>
        <v/>
      </c>
    </row>
    <row r="698">
      <c r="A698" s="22" t="n">
        <v>32244</v>
      </c>
      <c r="B698" s="24">
        <f>VLOOKUP(Table2634[[#This Row],[Date]],'DB Money Supply'!$A:$D,4)</f>
        <v/>
      </c>
      <c r="C698" s="30">
        <f>(Table2634[[#This Row],[M1 Money Stock, Billions of Dollars, Weekly, Seasonally Adjusted]]-B697)/B697</f>
        <v/>
      </c>
      <c r="D698" s="34">
        <f>((1+Table2634[[#This Row],[Weekly change]])^52)-1</f>
        <v/>
      </c>
      <c r="E698" s="24">
        <f>AVERAGE(B695:B698)</f>
        <v/>
      </c>
      <c r="F698" s="32">
        <f>(Table2634[[#This Row],[4 weeks average]]-B646)/B646</f>
        <v/>
      </c>
    </row>
    <row r="699">
      <c r="A699" s="22" t="n">
        <v>32251</v>
      </c>
      <c r="B699" s="24">
        <f>VLOOKUP(Table2634[[#This Row],[Date]],'DB Money Supply'!$A:$D,4)</f>
        <v/>
      </c>
      <c r="C699" s="30">
        <f>(Table2634[[#This Row],[M1 Money Stock, Billions of Dollars, Weekly, Seasonally Adjusted]]-B698)/B698</f>
        <v/>
      </c>
      <c r="D699" s="34">
        <f>((1+Table2634[[#This Row],[Weekly change]])^52)-1</f>
        <v/>
      </c>
      <c r="E699" s="24">
        <f>AVERAGE(B696:B699)</f>
        <v/>
      </c>
      <c r="F699" s="32">
        <f>(Table2634[[#This Row],[4 weeks average]]-B647)/B647</f>
        <v/>
      </c>
    </row>
    <row r="700">
      <c r="A700" s="22" t="n">
        <v>32258</v>
      </c>
      <c r="B700" s="24">
        <f>VLOOKUP(Table2634[[#This Row],[Date]],'DB Money Supply'!$A:$D,4)</f>
        <v/>
      </c>
      <c r="C700" s="30">
        <f>(Table2634[[#This Row],[M1 Money Stock, Billions of Dollars, Weekly, Seasonally Adjusted]]-B699)/B699</f>
        <v/>
      </c>
      <c r="D700" s="34">
        <f>((1+Table2634[[#This Row],[Weekly change]])^52)-1</f>
        <v/>
      </c>
      <c r="E700" s="24">
        <f>AVERAGE(B697:B700)</f>
        <v/>
      </c>
      <c r="F700" s="32">
        <f>(Table2634[[#This Row],[4 weeks average]]-B648)/B648</f>
        <v/>
      </c>
    </row>
    <row r="701">
      <c r="A701" s="22" t="n">
        <v>32265</v>
      </c>
      <c r="B701" s="24">
        <f>VLOOKUP(Table2634[[#This Row],[Date]],'DB Money Supply'!$A:$D,4)</f>
        <v/>
      </c>
      <c r="C701" s="30">
        <f>(Table2634[[#This Row],[M1 Money Stock, Billions of Dollars, Weekly, Seasonally Adjusted]]-B700)/B700</f>
        <v/>
      </c>
      <c r="D701" s="34">
        <f>((1+Table2634[[#This Row],[Weekly change]])^52)-1</f>
        <v/>
      </c>
      <c r="E701" s="24">
        <f>AVERAGE(B698:B701)</f>
        <v/>
      </c>
      <c r="F701" s="32">
        <f>(Table2634[[#This Row],[4 weeks average]]-B649)/B649</f>
        <v/>
      </c>
    </row>
    <row r="702">
      <c r="A702" s="22" t="n">
        <v>32272</v>
      </c>
      <c r="B702" s="24">
        <f>VLOOKUP(Table2634[[#This Row],[Date]],'DB Money Supply'!$A:$D,4)</f>
        <v/>
      </c>
      <c r="C702" s="30">
        <f>(Table2634[[#This Row],[M1 Money Stock, Billions of Dollars, Weekly, Seasonally Adjusted]]-B701)/B701</f>
        <v/>
      </c>
      <c r="D702" s="34">
        <f>((1+Table2634[[#This Row],[Weekly change]])^52)-1</f>
        <v/>
      </c>
      <c r="E702" s="24">
        <f>AVERAGE(B699:B702)</f>
        <v/>
      </c>
      <c r="F702" s="32">
        <f>(Table2634[[#This Row],[4 weeks average]]-B650)/B650</f>
        <v/>
      </c>
    </row>
    <row r="703">
      <c r="A703" s="22" t="n">
        <v>32279</v>
      </c>
      <c r="B703" s="24">
        <f>VLOOKUP(Table2634[[#This Row],[Date]],'DB Money Supply'!$A:$D,4)</f>
        <v/>
      </c>
      <c r="C703" s="30">
        <f>(Table2634[[#This Row],[M1 Money Stock, Billions of Dollars, Weekly, Seasonally Adjusted]]-B702)/B702</f>
        <v/>
      </c>
      <c r="D703" s="34">
        <f>((1+Table2634[[#This Row],[Weekly change]])^52)-1</f>
        <v/>
      </c>
      <c r="E703" s="24">
        <f>AVERAGE(B700:B703)</f>
        <v/>
      </c>
      <c r="F703" s="32">
        <f>(Table2634[[#This Row],[4 weeks average]]-B651)/B651</f>
        <v/>
      </c>
    </row>
    <row r="704">
      <c r="A704" s="22" t="n">
        <v>32286</v>
      </c>
      <c r="B704" s="24">
        <f>VLOOKUP(Table2634[[#This Row],[Date]],'DB Money Supply'!$A:$D,4)</f>
        <v/>
      </c>
      <c r="C704" s="30">
        <f>(Table2634[[#This Row],[M1 Money Stock, Billions of Dollars, Weekly, Seasonally Adjusted]]-B703)/B703</f>
        <v/>
      </c>
      <c r="D704" s="34">
        <f>((1+Table2634[[#This Row],[Weekly change]])^52)-1</f>
        <v/>
      </c>
      <c r="E704" s="24">
        <f>AVERAGE(B701:B704)</f>
        <v/>
      </c>
      <c r="F704" s="32">
        <f>(Table2634[[#This Row],[4 weeks average]]-B652)/B652</f>
        <v/>
      </c>
    </row>
    <row r="705">
      <c r="A705" s="22" t="n">
        <v>32293</v>
      </c>
      <c r="B705" s="24">
        <f>VLOOKUP(Table2634[[#This Row],[Date]],'DB Money Supply'!$A:$D,4)</f>
        <v/>
      </c>
      <c r="C705" s="30">
        <f>(Table2634[[#This Row],[M1 Money Stock, Billions of Dollars, Weekly, Seasonally Adjusted]]-B704)/B704</f>
        <v/>
      </c>
      <c r="D705" s="34">
        <f>((1+Table2634[[#This Row],[Weekly change]])^52)-1</f>
        <v/>
      </c>
      <c r="E705" s="24">
        <f>AVERAGE(B702:B705)</f>
        <v/>
      </c>
      <c r="F705" s="32">
        <f>(Table2634[[#This Row],[4 weeks average]]-B653)/B653</f>
        <v/>
      </c>
    </row>
    <row r="706">
      <c r="A706" s="22" t="n">
        <v>32300</v>
      </c>
      <c r="B706" s="24">
        <f>VLOOKUP(Table2634[[#This Row],[Date]],'DB Money Supply'!$A:$D,4)</f>
        <v/>
      </c>
      <c r="C706" s="30">
        <f>(Table2634[[#This Row],[M1 Money Stock, Billions of Dollars, Weekly, Seasonally Adjusted]]-B705)/B705</f>
        <v/>
      </c>
      <c r="D706" s="34">
        <f>((1+Table2634[[#This Row],[Weekly change]])^52)-1</f>
        <v/>
      </c>
      <c r="E706" s="24">
        <f>AVERAGE(B703:B706)</f>
        <v/>
      </c>
      <c r="F706" s="32">
        <f>(Table2634[[#This Row],[4 weeks average]]-B654)/B654</f>
        <v/>
      </c>
    </row>
    <row r="707">
      <c r="A707" s="22" t="n">
        <v>32307</v>
      </c>
      <c r="B707" s="24">
        <f>VLOOKUP(Table2634[[#This Row],[Date]],'DB Money Supply'!$A:$D,4)</f>
        <v/>
      </c>
      <c r="C707" s="30">
        <f>(Table2634[[#This Row],[M1 Money Stock, Billions of Dollars, Weekly, Seasonally Adjusted]]-B706)/B706</f>
        <v/>
      </c>
      <c r="D707" s="34">
        <f>((1+Table2634[[#This Row],[Weekly change]])^52)-1</f>
        <v/>
      </c>
      <c r="E707" s="24">
        <f>AVERAGE(B704:B707)</f>
        <v/>
      </c>
      <c r="F707" s="32">
        <f>(Table2634[[#This Row],[4 weeks average]]-B655)/B655</f>
        <v/>
      </c>
    </row>
    <row r="708">
      <c r="A708" s="22" t="n">
        <v>32314</v>
      </c>
      <c r="B708" s="24">
        <f>VLOOKUP(Table2634[[#This Row],[Date]],'DB Money Supply'!$A:$D,4)</f>
        <v/>
      </c>
      <c r="C708" s="30">
        <f>(Table2634[[#This Row],[M1 Money Stock, Billions of Dollars, Weekly, Seasonally Adjusted]]-B707)/B707</f>
        <v/>
      </c>
      <c r="D708" s="34">
        <f>((1+Table2634[[#This Row],[Weekly change]])^52)-1</f>
        <v/>
      </c>
      <c r="E708" s="24">
        <f>AVERAGE(B705:B708)</f>
        <v/>
      </c>
      <c r="F708" s="32">
        <f>(Table2634[[#This Row],[4 weeks average]]-B656)/B656</f>
        <v/>
      </c>
    </row>
    <row r="709">
      <c r="A709" s="22" t="n">
        <v>32321</v>
      </c>
      <c r="B709" s="24">
        <f>VLOOKUP(Table2634[[#This Row],[Date]],'DB Money Supply'!$A:$D,4)</f>
        <v/>
      </c>
      <c r="C709" s="30">
        <f>(Table2634[[#This Row],[M1 Money Stock, Billions of Dollars, Weekly, Seasonally Adjusted]]-B708)/B708</f>
        <v/>
      </c>
      <c r="D709" s="34">
        <f>((1+Table2634[[#This Row],[Weekly change]])^52)-1</f>
        <v/>
      </c>
      <c r="E709" s="24">
        <f>AVERAGE(B706:B709)</f>
        <v/>
      </c>
      <c r="F709" s="32">
        <f>(Table2634[[#This Row],[4 weeks average]]-B657)/B657</f>
        <v/>
      </c>
    </row>
    <row r="710">
      <c r="A710" s="22" t="n">
        <v>32328</v>
      </c>
      <c r="B710" s="24">
        <f>VLOOKUP(Table2634[[#This Row],[Date]],'DB Money Supply'!$A:$D,4)</f>
        <v/>
      </c>
      <c r="C710" s="30">
        <f>(Table2634[[#This Row],[M1 Money Stock, Billions of Dollars, Weekly, Seasonally Adjusted]]-B709)/B709</f>
        <v/>
      </c>
      <c r="D710" s="34">
        <f>((1+Table2634[[#This Row],[Weekly change]])^52)-1</f>
        <v/>
      </c>
      <c r="E710" s="24">
        <f>AVERAGE(B707:B710)</f>
        <v/>
      </c>
      <c r="F710" s="32">
        <f>(Table2634[[#This Row],[4 weeks average]]-B658)/B658</f>
        <v/>
      </c>
    </row>
    <row r="711">
      <c r="A711" s="22" t="n">
        <v>32335</v>
      </c>
      <c r="B711" s="24">
        <f>VLOOKUP(Table2634[[#This Row],[Date]],'DB Money Supply'!$A:$D,4)</f>
        <v/>
      </c>
      <c r="C711" s="30">
        <f>(Table2634[[#This Row],[M1 Money Stock, Billions of Dollars, Weekly, Seasonally Adjusted]]-B710)/B710</f>
        <v/>
      </c>
      <c r="D711" s="34">
        <f>((1+Table2634[[#This Row],[Weekly change]])^52)-1</f>
        <v/>
      </c>
      <c r="E711" s="24">
        <f>AVERAGE(B708:B711)</f>
        <v/>
      </c>
      <c r="F711" s="32">
        <f>(Table2634[[#This Row],[4 weeks average]]-B659)/B659</f>
        <v/>
      </c>
    </row>
    <row r="712">
      <c r="A712" s="22" t="n">
        <v>32342</v>
      </c>
      <c r="B712" s="24">
        <f>VLOOKUP(Table2634[[#This Row],[Date]],'DB Money Supply'!$A:$D,4)</f>
        <v/>
      </c>
      <c r="C712" s="30">
        <f>(Table2634[[#This Row],[M1 Money Stock, Billions of Dollars, Weekly, Seasonally Adjusted]]-B711)/B711</f>
        <v/>
      </c>
      <c r="D712" s="34">
        <f>((1+Table2634[[#This Row],[Weekly change]])^52)-1</f>
        <v/>
      </c>
      <c r="E712" s="24">
        <f>AVERAGE(B709:B712)</f>
        <v/>
      </c>
      <c r="F712" s="32">
        <f>(Table2634[[#This Row],[4 weeks average]]-B660)/B660</f>
        <v/>
      </c>
    </row>
    <row r="713">
      <c r="A713" s="22" t="n">
        <v>32349</v>
      </c>
      <c r="B713" s="24">
        <f>VLOOKUP(Table2634[[#This Row],[Date]],'DB Money Supply'!$A:$D,4)</f>
        <v/>
      </c>
      <c r="C713" s="30">
        <f>(Table2634[[#This Row],[M1 Money Stock, Billions of Dollars, Weekly, Seasonally Adjusted]]-B712)/B712</f>
        <v/>
      </c>
      <c r="D713" s="34">
        <f>((1+Table2634[[#This Row],[Weekly change]])^52)-1</f>
        <v/>
      </c>
      <c r="E713" s="24">
        <f>AVERAGE(B710:B713)</f>
        <v/>
      </c>
      <c r="F713" s="32">
        <f>(Table2634[[#This Row],[4 weeks average]]-B661)/B661</f>
        <v/>
      </c>
    </row>
    <row r="714">
      <c r="A714" s="22" t="n">
        <v>32356</v>
      </c>
      <c r="B714" s="24">
        <f>VLOOKUP(Table2634[[#This Row],[Date]],'DB Money Supply'!$A:$D,4)</f>
        <v/>
      </c>
      <c r="C714" s="30">
        <f>(Table2634[[#This Row],[M1 Money Stock, Billions of Dollars, Weekly, Seasonally Adjusted]]-B713)/B713</f>
        <v/>
      </c>
      <c r="D714" s="34">
        <f>((1+Table2634[[#This Row],[Weekly change]])^52)-1</f>
        <v/>
      </c>
      <c r="E714" s="24">
        <f>AVERAGE(B711:B714)</f>
        <v/>
      </c>
      <c r="F714" s="32">
        <f>(Table2634[[#This Row],[4 weeks average]]-B662)/B662</f>
        <v/>
      </c>
    </row>
    <row r="715">
      <c r="A715" s="22" t="n">
        <v>32363</v>
      </c>
      <c r="B715" s="24">
        <f>VLOOKUP(Table2634[[#This Row],[Date]],'DB Money Supply'!$A:$D,4)</f>
        <v/>
      </c>
      <c r="C715" s="30">
        <f>(Table2634[[#This Row],[M1 Money Stock, Billions of Dollars, Weekly, Seasonally Adjusted]]-B714)/B714</f>
        <v/>
      </c>
      <c r="D715" s="34">
        <f>((1+Table2634[[#This Row],[Weekly change]])^52)-1</f>
        <v/>
      </c>
      <c r="E715" s="24">
        <f>AVERAGE(B712:B715)</f>
        <v/>
      </c>
      <c r="F715" s="32">
        <f>(Table2634[[#This Row],[4 weeks average]]-B663)/B663</f>
        <v/>
      </c>
    </row>
    <row r="716">
      <c r="A716" s="22" t="n">
        <v>32370</v>
      </c>
      <c r="B716" s="24">
        <f>VLOOKUP(Table2634[[#This Row],[Date]],'DB Money Supply'!$A:$D,4)</f>
        <v/>
      </c>
      <c r="C716" s="30">
        <f>(Table2634[[#This Row],[M1 Money Stock, Billions of Dollars, Weekly, Seasonally Adjusted]]-B715)/B715</f>
        <v/>
      </c>
      <c r="D716" s="34">
        <f>((1+Table2634[[#This Row],[Weekly change]])^52)-1</f>
        <v/>
      </c>
      <c r="E716" s="24">
        <f>AVERAGE(B713:B716)</f>
        <v/>
      </c>
      <c r="F716" s="32">
        <f>(Table2634[[#This Row],[4 weeks average]]-B664)/B664</f>
        <v/>
      </c>
    </row>
    <row r="717">
      <c r="A717" s="22" t="n">
        <v>32377</v>
      </c>
      <c r="B717" s="24">
        <f>VLOOKUP(Table2634[[#This Row],[Date]],'DB Money Supply'!$A:$D,4)</f>
        <v/>
      </c>
      <c r="C717" s="30">
        <f>(Table2634[[#This Row],[M1 Money Stock, Billions of Dollars, Weekly, Seasonally Adjusted]]-B716)/B716</f>
        <v/>
      </c>
      <c r="D717" s="34">
        <f>((1+Table2634[[#This Row],[Weekly change]])^52)-1</f>
        <v/>
      </c>
      <c r="E717" s="24">
        <f>AVERAGE(B714:B717)</f>
        <v/>
      </c>
      <c r="F717" s="32">
        <f>(Table2634[[#This Row],[4 weeks average]]-B665)/B665</f>
        <v/>
      </c>
    </row>
    <row r="718">
      <c r="A718" s="22" t="n">
        <v>32384</v>
      </c>
      <c r="B718" s="24">
        <f>VLOOKUP(Table2634[[#This Row],[Date]],'DB Money Supply'!$A:$D,4)</f>
        <v/>
      </c>
      <c r="C718" s="30">
        <f>(Table2634[[#This Row],[M1 Money Stock, Billions of Dollars, Weekly, Seasonally Adjusted]]-B717)/B717</f>
        <v/>
      </c>
      <c r="D718" s="34">
        <f>((1+Table2634[[#This Row],[Weekly change]])^52)-1</f>
        <v/>
      </c>
      <c r="E718" s="24">
        <f>AVERAGE(B715:B718)</f>
        <v/>
      </c>
      <c r="F718" s="32">
        <f>(Table2634[[#This Row],[4 weeks average]]-B666)/B666</f>
        <v/>
      </c>
    </row>
    <row r="719">
      <c r="A719" s="22" t="n">
        <v>32391</v>
      </c>
      <c r="B719" s="24">
        <f>VLOOKUP(Table2634[[#This Row],[Date]],'DB Money Supply'!$A:$D,4)</f>
        <v/>
      </c>
      <c r="C719" s="30">
        <f>(Table2634[[#This Row],[M1 Money Stock, Billions of Dollars, Weekly, Seasonally Adjusted]]-B718)/B718</f>
        <v/>
      </c>
      <c r="D719" s="34">
        <f>((1+Table2634[[#This Row],[Weekly change]])^52)-1</f>
        <v/>
      </c>
      <c r="E719" s="24">
        <f>AVERAGE(B716:B719)</f>
        <v/>
      </c>
      <c r="F719" s="32">
        <f>(Table2634[[#This Row],[4 weeks average]]-B667)/B667</f>
        <v/>
      </c>
    </row>
    <row r="720">
      <c r="A720" s="22" t="n">
        <v>32398</v>
      </c>
      <c r="B720" s="24">
        <f>VLOOKUP(Table2634[[#This Row],[Date]],'DB Money Supply'!$A:$D,4)</f>
        <v/>
      </c>
      <c r="C720" s="30">
        <f>(Table2634[[#This Row],[M1 Money Stock, Billions of Dollars, Weekly, Seasonally Adjusted]]-B719)/B719</f>
        <v/>
      </c>
      <c r="D720" s="34">
        <f>((1+Table2634[[#This Row],[Weekly change]])^52)-1</f>
        <v/>
      </c>
      <c r="E720" s="24">
        <f>AVERAGE(B717:B720)</f>
        <v/>
      </c>
      <c r="F720" s="32">
        <f>(Table2634[[#This Row],[4 weeks average]]-B668)/B668</f>
        <v/>
      </c>
    </row>
    <row r="721">
      <c r="A721" s="22" t="n">
        <v>32405</v>
      </c>
      <c r="B721" s="24">
        <f>VLOOKUP(Table2634[[#This Row],[Date]],'DB Money Supply'!$A:$D,4)</f>
        <v/>
      </c>
      <c r="C721" s="30">
        <f>(Table2634[[#This Row],[M1 Money Stock, Billions of Dollars, Weekly, Seasonally Adjusted]]-B720)/B720</f>
        <v/>
      </c>
      <c r="D721" s="34">
        <f>((1+Table2634[[#This Row],[Weekly change]])^52)-1</f>
        <v/>
      </c>
      <c r="E721" s="24">
        <f>AVERAGE(B718:B721)</f>
        <v/>
      </c>
      <c r="F721" s="32">
        <f>(Table2634[[#This Row],[4 weeks average]]-B669)/B669</f>
        <v/>
      </c>
    </row>
    <row r="722">
      <c r="A722" s="22" t="n">
        <v>32412</v>
      </c>
      <c r="B722" s="24">
        <f>VLOOKUP(Table2634[[#This Row],[Date]],'DB Money Supply'!$A:$D,4)</f>
        <v/>
      </c>
      <c r="C722" s="30">
        <f>(Table2634[[#This Row],[M1 Money Stock, Billions of Dollars, Weekly, Seasonally Adjusted]]-B721)/B721</f>
        <v/>
      </c>
      <c r="D722" s="34">
        <f>((1+Table2634[[#This Row],[Weekly change]])^52)-1</f>
        <v/>
      </c>
      <c r="E722" s="24">
        <f>AVERAGE(B719:B722)</f>
        <v/>
      </c>
      <c r="F722" s="32">
        <f>(Table2634[[#This Row],[4 weeks average]]-B670)/B670</f>
        <v/>
      </c>
    </row>
    <row r="723">
      <c r="A723" s="22" t="n">
        <v>32419</v>
      </c>
      <c r="B723" s="24">
        <f>VLOOKUP(Table2634[[#This Row],[Date]],'DB Money Supply'!$A:$D,4)</f>
        <v/>
      </c>
      <c r="C723" s="30">
        <f>(Table2634[[#This Row],[M1 Money Stock, Billions of Dollars, Weekly, Seasonally Adjusted]]-B722)/B722</f>
        <v/>
      </c>
      <c r="D723" s="34">
        <f>((1+Table2634[[#This Row],[Weekly change]])^52)-1</f>
        <v/>
      </c>
      <c r="E723" s="24">
        <f>AVERAGE(B720:B723)</f>
        <v/>
      </c>
      <c r="F723" s="32">
        <f>(Table2634[[#This Row],[4 weeks average]]-B671)/B671</f>
        <v/>
      </c>
    </row>
    <row r="724">
      <c r="A724" s="22" t="n">
        <v>32426</v>
      </c>
      <c r="B724" s="24">
        <f>VLOOKUP(Table2634[[#This Row],[Date]],'DB Money Supply'!$A:$D,4)</f>
        <v/>
      </c>
      <c r="C724" s="30">
        <f>(Table2634[[#This Row],[M1 Money Stock, Billions of Dollars, Weekly, Seasonally Adjusted]]-B723)/B723</f>
        <v/>
      </c>
      <c r="D724" s="34">
        <f>((1+Table2634[[#This Row],[Weekly change]])^52)-1</f>
        <v/>
      </c>
      <c r="E724" s="24">
        <f>AVERAGE(B721:B724)</f>
        <v/>
      </c>
      <c r="F724" s="32">
        <f>(Table2634[[#This Row],[4 weeks average]]-B672)/B672</f>
        <v/>
      </c>
    </row>
    <row r="725">
      <c r="A725" s="22" t="n">
        <v>32433</v>
      </c>
      <c r="B725" s="24">
        <f>VLOOKUP(Table2634[[#This Row],[Date]],'DB Money Supply'!$A:$D,4)</f>
        <v/>
      </c>
      <c r="C725" s="30">
        <f>(Table2634[[#This Row],[M1 Money Stock, Billions of Dollars, Weekly, Seasonally Adjusted]]-B724)/B724</f>
        <v/>
      </c>
      <c r="D725" s="34">
        <f>((1+Table2634[[#This Row],[Weekly change]])^52)-1</f>
        <v/>
      </c>
      <c r="E725" s="24">
        <f>AVERAGE(B722:B725)</f>
        <v/>
      </c>
      <c r="F725" s="32">
        <f>(Table2634[[#This Row],[4 weeks average]]-B673)/B673</f>
        <v/>
      </c>
    </row>
    <row r="726">
      <c r="A726" s="22" t="n">
        <v>32440</v>
      </c>
      <c r="B726" s="24">
        <f>VLOOKUP(Table2634[[#This Row],[Date]],'DB Money Supply'!$A:$D,4)</f>
        <v/>
      </c>
      <c r="C726" s="30">
        <f>(Table2634[[#This Row],[M1 Money Stock, Billions of Dollars, Weekly, Seasonally Adjusted]]-B725)/B725</f>
        <v/>
      </c>
      <c r="D726" s="34">
        <f>((1+Table2634[[#This Row],[Weekly change]])^52)-1</f>
        <v/>
      </c>
      <c r="E726" s="24">
        <f>AVERAGE(B723:B726)</f>
        <v/>
      </c>
      <c r="F726" s="32">
        <f>(Table2634[[#This Row],[4 weeks average]]-B674)/B674</f>
        <v/>
      </c>
    </row>
    <row r="727">
      <c r="A727" s="22" t="n">
        <v>32447</v>
      </c>
      <c r="B727" s="24">
        <f>VLOOKUP(Table2634[[#This Row],[Date]],'DB Money Supply'!$A:$D,4)</f>
        <v/>
      </c>
      <c r="C727" s="30">
        <f>(Table2634[[#This Row],[M1 Money Stock, Billions of Dollars, Weekly, Seasonally Adjusted]]-B726)/B726</f>
        <v/>
      </c>
      <c r="D727" s="34">
        <f>((1+Table2634[[#This Row],[Weekly change]])^52)-1</f>
        <v/>
      </c>
      <c r="E727" s="24">
        <f>AVERAGE(B724:B727)</f>
        <v/>
      </c>
      <c r="F727" s="32">
        <f>(Table2634[[#This Row],[4 weeks average]]-B675)/B675</f>
        <v/>
      </c>
    </row>
    <row r="728">
      <c r="A728" s="22" t="n">
        <v>32454</v>
      </c>
      <c r="B728" s="24">
        <f>VLOOKUP(Table2634[[#This Row],[Date]],'DB Money Supply'!$A:$D,4)</f>
        <v/>
      </c>
      <c r="C728" s="30">
        <f>(Table2634[[#This Row],[M1 Money Stock, Billions of Dollars, Weekly, Seasonally Adjusted]]-B727)/B727</f>
        <v/>
      </c>
      <c r="D728" s="34">
        <f>((1+Table2634[[#This Row],[Weekly change]])^52)-1</f>
        <v/>
      </c>
      <c r="E728" s="24">
        <f>AVERAGE(B725:B728)</f>
        <v/>
      </c>
      <c r="F728" s="32">
        <f>(Table2634[[#This Row],[4 weeks average]]-B676)/B676</f>
        <v/>
      </c>
    </row>
    <row r="729">
      <c r="A729" s="22" t="n">
        <v>32461</v>
      </c>
      <c r="B729" s="24">
        <f>VLOOKUP(Table2634[[#This Row],[Date]],'DB Money Supply'!$A:$D,4)</f>
        <v/>
      </c>
      <c r="C729" s="30">
        <f>(Table2634[[#This Row],[M1 Money Stock, Billions of Dollars, Weekly, Seasonally Adjusted]]-B728)/B728</f>
        <v/>
      </c>
      <c r="D729" s="34">
        <f>((1+Table2634[[#This Row],[Weekly change]])^52)-1</f>
        <v/>
      </c>
      <c r="E729" s="24">
        <f>AVERAGE(B726:B729)</f>
        <v/>
      </c>
      <c r="F729" s="32">
        <f>(Table2634[[#This Row],[4 weeks average]]-B677)/B677</f>
        <v/>
      </c>
    </row>
    <row r="730">
      <c r="A730" s="22" t="n">
        <v>32468</v>
      </c>
      <c r="B730" s="24">
        <f>VLOOKUP(Table2634[[#This Row],[Date]],'DB Money Supply'!$A:$D,4)</f>
        <v/>
      </c>
      <c r="C730" s="30">
        <f>(Table2634[[#This Row],[M1 Money Stock, Billions of Dollars, Weekly, Seasonally Adjusted]]-B729)/B729</f>
        <v/>
      </c>
      <c r="D730" s="34">
        <f>((1+Table2634[[#This Row],[Weekly change]])^52)-1</f>
        <v/>
      </c>
      <c r="E730" s="24">
        <f>AVERAGE(B727:B730)</f>
        <v/>
      </c>
      <c r="F730" s="32">
        <f>(Table2634[[#This Row],[4 weeks average]]-B678)/B678</f>
        <v/>
      </c>
    </row>
    <row r="731">
      <c r="A731" s="22" t="n">
        <v>32475</v>
      </c>
      <c r="B731" s="24">
        <f>VLOOKUP(Table2634[[#This Row],[Date]],'DB Money Supply'!$A:$D,4)</f>
        <v/>
      </c>
      <c r="C731" s="30">
        <f>(Table2634[[#This Row],[M1 Money Stock, Billions of Dollars, Weekly, Seasonally Adjusted]]-B730)/B730</f>
        <v/>
      </c>
      <c r="D731" s="34">
        <f>((1+Table2634[[#This Row],[Weekly change]])^52)-1</f>
        <v/>
      </c>
      <c r="E731" s="24">
        <f>AVERAGE(B728:B731)</f>
        <v/>
      </c>
      <c r="F731" s="32">
        <f>(Table2634[[#This Row],[4 weeks average]]-B679)/B679</f>
        <v/>
      </c>
    </row>
    <row r="732">
      <c r="A732" s="22" t="n">
        <v>32482</v>
      </c>
      <c r="B732" s="24">
        <f>VLOOKUP(Table2634[[#This Row],[Date]],'DB Money Supply'!$A:$D,4)</f>
        <v/>
      </c>
      <c r="C732" s="30">
        <f>(Table2634[[#This Row],[M1 Money Stock, Billions of Dollars, Weekly, Seasonally Adjusted]]-B731)/B731</f>
        <v/>
      </c>
      <c r="D732" s="34">
        <f>((1+Table2634[[#This Row],[Weekly change]])^52)-1</f>
        <v/>
      </c>
      <c r="E732" s="24">
        <f>AVERAGE(B729:B732)</f>
        <v/>
      </c>
      <c r="F732" s="32">
        <f>(Table2634[[#This Row],[4 weeks average]]-B680)/B680</f>
        <v/>
      </c>
    </row>
    <row r="733">
      <c r="A733" s="22" t="n">
        <v>32489</v>
      </c>
      <c r="B733" s="24">
        <f>VLOOKUP(Table2634[[#This Row],[Date]],'DB Money Supply'!$A:$D,4)</f>
        <v/>
      </c>
      <c r="C733" s="30">
        <f>(Table2634[[#This Row],[M1 Money Stock, Billions of Dollars, Weekly, Seasonally Adjusted]]-B732)/B732</f>
        <v/>
      </c>
      <c r="D733" s="34">
        <f>((1+Table2634[[#This Row],[Weekly change]])^52)-1</f>
        <v/>
      </c>
      <c r="E733" s="24">
        <f>AVERAGE(B730:B733)</f>
        <v/>
      </c>
      <c r="F733" s="32">
        <f>(Table2634[[#This Row],[4 weeks average]]-B681)/B681</f>
        <v/>
      </c>
    </row>
    <row r="734">
      <c r="A734" s="22" t="n">
        <v>32496</v>
      </c>
      <c r="B734" s="24">
        <f>VLOOKUP(Table2634[[#This Row],[Date]],'DB Money Supply'!$A:$D,4)</f>
        <v/>
      </c>
      <c r="C734" s="30">
        <f>(Table2634[[#This Row],[M1 Money Stock, Billions of Dollars, Weekly, Seasonally Adjusted]]-B733)/B733</f>
        <v/>
      </c>
      <c r="D734" s="34">
        <f>((1+Table2634[[#This Row],[Weekly change]])^52)-1</f>
        <v/>
      </c>
      <c r="E734" s="24">
        <f>AVERAGE(B731:B734)</f>
        <v/>
      </c>
      <c r="F734" s="32">
        <f>(Table2634[[#This Row],[4 weeks average]]-B682)/B682</f>
        <v/>
      </c>
    </row>
    <row r="735">
      <c r="A735" s="22" t="n">
        <v>32503</v>
      </c>
      <c r="B735" s="24">
        <f>VLOOKUP(Table2634[[#This Row],[Date]],'DB Money Supply'!$A:$D,4)</f>
        <v/>
      </c>
      <c r="C735" s="30">
        <f>(Table2634[[#This Row],[M1 Money Stock, Billions of Dollars, Weekly, Seasonally Adjusted]]-B734)/B734</f>
        <v/>
      </c>
      <c r="D735" s="34">
        <f>((1+Table2634[[#This Row],[Weekly change]])^52)-1</f>
        <v/>
      </c>
      <c r="E735" s="24">
        <f>AVERAGE(B732:B735)</f>
        <v/>
      </c>
      <c r="F735" s="32">
        <f>(Table2634[[#This Row],[4 weeks average]]-B683)/B683</f>
        <v/>
      </c>
    </row>
    <row r="736">
      <c r="A736" s="22" t="n">
        <v>32510</v>
      </c>
      <c r="B736" s="24">
        <f>VLOOKUP(Table2634[[#This Row],[Date]],'DB Money Supply'!$A:$D,4)</f>
        <v/>
      </c>
      <c r="C736" s="30">
        <f>(Table2634[[#This Row],[M1 Money Stock, Billions of Dollars, Weekly, Seasonally Adjusted]]-B735)/B735</f>
        <v/>
      </c>
      <c r="D736" s="34">
        <f>((1+Table2634[[#This Row],[Weekly change]])^52)-1</f>
        <v/>
      </c>
      <c r="E736" s="24">
        <f>AVERAGE(B733:B736)</f>
        <v/>
      </c>
      <c r="F736" s="32">
        <f>(Table2634[[#This Row],[4 weeks average]]-B684)/B684</f>
        <v/>
      </c>
    </row>
    <row r="737">
      <c r="A737" s="22" t="n">
        <v>32517</v>
      </c>
      <c r="B737" s="24">
        <f>VLOOKUP(Table2634[[#This Row],[Date]],'DB Money Supply'!$A:$D,4)</f>
        <v/>
      </c>
      <c r="C737" s="30">
        <f>(Table2634[[#This Row],[M1 Money Stock, Billions of Dollars, Weekly, Seasonally Adjusted]]-B736)/B736</f>
        <v/>
      </c>
      <c r="D737" s="34">
        <f>((1+Table2634[[#This Row],[Weekly change]])^52)-1</f>
        <v/>
      </c>
      <c r="E737" s="24">
        <f>AVERAGE(B734:B737)</f>
        <v/>
      </c>
      <c r="F737" s="32">
        <f>(Table2634[[#This Row],[4 weeks average]]-B685)/B685</f>
        <v/>
      </c>
    </row>
    <row r="738">
      <c r="A738" s="22" t="n">
        <v>32524</v>
      </c>
      <c r="B738" s="24">
        <f>VLOOKUP(Table2634[[#This Row],[Date]],'DB Money Supply'!$A:$D,4)</f>
        <v/>
      </c>
      <c r="C738" s="30">
        <f>(Table2634[[#This Row],[M1 Money Stock, Billions of Dollars, Weekly, Seasonally Adjusted]]-B737)/B737</f>
        <v/>
      </c>
      <c r="D738" s="34">
        <f>((1+Table2634[[#This Row],[Weekly change]])^52)-1</f>
        <v/>
      </c>
      <c r="E738" s="24">
        <f>AVERAGE(B735:B738)</f>
        <v/>
      </c>
      <c r="F738" s="32">
        <f>(Table2634[[#This Row],[4 weeks average]]-B686)/B686</f>
        <v/>
      </c>
    </row>
    <row r="739">
      <c r="A739" s="22" t="n">
        <v>32531</v>
      </c>
      <c r="B739" s="24">
        <f>VLOOKUP(Table2634[[#This Row],[Date]],'DB Money Supply'!$A:$D,4)</f>
        <v/>
      </c>
      <c r="C739" s="30">
        <f>(Table2634[[#This Row],[M1 Money Stock, Billions of Dollars, Weekly, Seasonally Adjusted]]-B738)/B738</f>
        <v/>
      </c>
      <c r="D739" s="34">
        <f>((1+Table2634[[#This Row],[Weekly change]])^52)-1</f>
        <v/>
      </c>
      <c r="E739" s="24">
        <f>AVERAGE(B736:B739)</f>
        <v/>
      </c>
      <c r="F739" s="32">
        <f>(Table2634[[#This Row],[4 weeks average]]-B687)/B687</f>
        <v/>
      </c>
    </row>
    <row r="740">
      <c r="A740" s="22" t="n">
        <v>32538</v>
      </c>
      <c r="B740" s="24">
        <f>VLOOKUP(Table2634[[#This Row],[Date]],'DB Money Supply'!$A:$D,4)</f>
        <v/>
      </c>
      <c r="C740" s="30">
        <f>(Table2634[[#This Row],[M1 Money Stock, Billions of Dollars, Weekly, Seasonally Adjusted]]-B739)/B739</f>
        <v/>
      </c>
      <c r="D740" s="34">
        <f>((1+Table2634[[#This Row],[Weekly change]])^52)-1</f>
        <v/>
      </c>
      <c r="E740" s="24">
        <f>AVERAGE(B737:B740)</f>
        <v/>
      </c>
      <c r="F740" s="32">
        <f>(Table2634[[#This Row],[4 weeks average]]-B688)/B688</f>
        <v/>
      </c>
    </row>
    <row r="741">
      <c r="A741" s="22" t="n">
        <v>32545</v>
      </c>
      <c r="B741" s="24">
        <f>VLOOKUP(Table2634[[#This Row],[Date]],'DB Money Supply'!$A:$D,4)</f>
        <v/>
      </c>
      <c r="C741" s="30">
        <f>(Table2634[[#This Row],[M1 Money Stock, Billions of Dollars, Weekly, Seasonally Adjusted]]-B740)/B740</f>
        <v/>
      </c>
      <c r="D741" s="34">
        <f>((1+Table2634[[#This Row],[Weekly change]])^52)-1</f>
        <v/>
      </c>
      <c r="E741" s="24">
        <f>AVERAGE(B738:B741)</f>
        <v/>
      </c>
      <c r="F741" s="32">
        <f>(Table2634[[#This Row],[4 weeks average]]-B689)/B689</f>
        <v/>
      </c>
    </row>
    <row r="742">
      <c r="A742" s="22" t="n">
        <v>32552</v>
      </c>
      <c r="B742" s="24">
        <f>VLOOKUP(Table2634[[#This Row],[Date]],'DB Money Supply'!$A:$D,4)</f>
        <v/>
      </c>
      <c r="C742" s="30">
        <f>(Table2634[[#This Row],[M1 Money Stock, Billions of Dollars, Weekly, Seasonally Adjusted]]-B741)/B741</f>
        <v/>
      </c>
      <c r="D742" s="34">
        <f>((1+Table2634[[#This Row],[Weekly change]])^52)-1</f>
        <v/>
      </c>
      <c r="E742" s="24">
        <f>AVERAGE(B739:B742)</f>
        <v/>
      </c>
      <c r="F742" s="32">
        <f>(Table2634[[#This Row],[4 weeks average]]-B690)/B690</f>
        <v/>
      </c>
    </row>
    <row r="743">
      <c r="A743" s="22" t="n">
        <v>32559</v>
      </c>
      <c r="B743" s="24">
        <f>VLOOKUP(Table2634[[#This Row],[Date]],'DB Money Supply'!$A:$D,4)</f>
        <v/>
      </c>
      <c r="C743" s="30">
        <f>(Table2634[[#This Row],[M1 Money Stock, Billions of Dollars, Weekly, Seasonally Adjusted]]-B742)/B742</f>
        <v/>
      </c>
      <c r="D743" s="34">
        <f>((1+Table2634[[#This Row],[Weekly change]])^52)-1</f>
        <v/>
      </c>
      <c r="E743" s="24">
        <f>AVERAGE(B740:B743)</f>
        <v/>
      </c>
      <c r="F743" s="32">
        <f>(Table2634[[#This Row],[4 weeks average]]-B691)/B691</f>
        <v/>
      </c>
    </row>
    <row r="744">
      <c r="A744" s="22" t="n">
        <v>32566</v>
      </c>
      <c r="B744" s="24">
        <f>VLOOKUP(Table2634[[#This Row],[Date]],'DB Money Supply'!$A:$D,4)</f>
        <v/>
      </c>
      <c r="C744" s="30">
        <f>(Table2634[[#This Row],[M1 Money Stock, Billions of Dollars, Weekly, Seasonally Adjusted]]-B743)/B743</f>
        <v/>
      </c>
      <c r="D744" s="34">
        <f>((1+Table2634[[#This Row],[Weekly change]])^52)-1</f>
        <v/>
      </c>
      <c r="E744" s="24">
        <f>AVERAGE(B741:B744)</f>
        <v/>
      </c>
      <c r="F744" s="32">
        <f>(Table2634[[#This Row],[4 weeks average]]-B692)/B692</f>
        <v/>
      </c>
    </row>
    <row r="745">
      <c r="A745" s="22" t="n">
        <v>32573</v>
      </c>
      <c r="B745" s="24">
        <f>VLOOKUP(Table2634[[#This Row],[Date]],'DB Money Supply'!$A:$D,4)</f>
        <v/>
      </c>
      <c r="C745" s="30">
        <f>(Table2634[[#This Row],[M1 Money Stock, Billions of Dollars, Weekly, Seasonally Adjusted]]-B744)/B744</f>
        <v/>
      </c>
      <c r="D745" s="34">
        <f>((1+Table2634[[#This Row],[Weekly change]])^52)-1</f>
        <v/>
      </c>
      <c r="E745" s="24">
        <f>AVERAGE(B742:B745)</f>
        <v/>
      </c>
      <c r="F745" s="32">
        <f>(Table2634[[#This Row],[4 weeks average]]-B693)/B693</f>
        <v/>
      </c>
    </row>
    <row r="746">
      <c r="A746" s="22" t="n">
        <v>32580</v>
      </c>
      <c r="B746" s="24">
        <f>VLOOKUP(Table2634[[#This Row],[Date]],'DB Money Supply'!$A:$D,4)</f>
        <v/>
      </c>
      <c r="C746" s="30">
        <f>(Table2634[[#This Row],[M1 Money Stock, Billions of Dollars, Weekly, Seasonally Adjusted]]-B745)/B745</f>
        <v/>
      </c>
      <c r="D746" s="34">
        <f>((1+Table2634[[#This Row],[Weekly change]])^52)-1</f>
        <v/>
      </c>
      <c r="E746" s="24">
        <f>AVERAGE(B743:B746)</f>
        <v/>
      </c>
      <c r="F746" s="32">
        <f>(Table2634[[#This Row],[4 weeks average]]-B694)/B694</f>
        <v/>
      </c>
    </row>
    <row r="747">
      <c r="A747" s="22" t="n">
        <v>32587</v>
      </c>
      <c r="B747" s="24">
        <f>VLOOKUP(Table2634[[#This Row],[Date]],'DB Money Supply'!$A:$D,4)</f>
        <v/>
      </c>
      <c r="C747" s="30">
        <f>(Table2634[[#This Row],[M1 Money Stock, Billions of Dollars, Weekly, Seasonally Adjusted]]-B746)/B746</f>
        <v/>
      </c>
      <c r="D747" s="34">
        <f>((1+Table2634[[#This Row],[Weekly change]])^52)-1</f>
        <v/>
      </c>
      <c r="E747" s="24">
        <f>AVERAGE(B744:B747)</f>
        <v/>
      </c>
      <c r="F747" s="32">
        <f>(Table2634[[#This Row],[4 weeks average]]-B695)/B695</f>
        <v/>
      </c>
    </row>
    <row r="748">
      <c r="A748" s="22" t="n">
        <v>32594</v>
      </c>
      <c r="B748" s="24">
        <f>VLOOKUP(Table2634[[#This Row],[Date]],'DB Money Supply'!$A:$D,4)</f>
        <v/>
      </c>
      <c r="C748" s="30">
        <f>(Table2634[[#This Row],[M1 Money Stock, Billions of Dollars, Weekly, Seasonally Adjusted]]-B747)/B747</f>
        <v/>
      </c>
      <c r="D748" s="34">
        <f>((1+Table2634[[#This Row],[Weekly change]])^52)-1</f>
        <v/>
      </c>
      <c r="E748" s="24">
        <f>AVERAGE(B745:B748)</f>
        <v/>
      </c>
      <c r="F748" s="32">
        <f>(Table2634[[#This Row],[4 weeks average]]-B696)/B696</f>
        <v/>
      </c>
    </row>
    <row r="749">
      <c r="A749" s="22" t="n">
        <v>32601</v>
      </c>
      <c r="B749" s="24">
        <f>VLOOKUP(Table2634[[#This Row],[Date]],'DB Money Supply'!$A:$D,4)</f>
        <v/>
      </c>
      <c r="C749" s="30">
        <f>(Table2634[[#This Row],[M1 Money Stock, Billions of Dollars, Weekly, Seasonally Adjusted]]-B748)/B748</f>
        <v/>
      </c>
      <c r="D749" s="34">
        <f>((1+Table2634[[#This Row],[Weekly change]])^52)-1</f>
        <v/>
      </c>
      <c r="E749" s="24">
        <f>AVERAGE(B746:B749)</f>
        <v/>
      </c>
      <c r="F749" s="32">
        <f>(Table2634[[#This Row],[4 weeks average]]-B697)/B697</f>
        <v/>
      </c>
    </row>
    <row r="750">
      <c r="A750" s="22" t="n">
        <v>32608</v>
      </c>
      <c r="B750" s="24">
        <f>VLOOKUP(Table2634[[#This Row],[Date]],'DB Money Supply'!$A:$D,4)</f>
        <v/>
      </c>
      <c r="C750" s="30">
        <f>(Table2634[[#This Row],[M1 Money Stock, Billions of Dollars, Weekly, Seasonally Adjusted]]-B749)/B749</f>
        <v/>
      </c>
      <c r="D750" s="34">
        <f>((1+Table2634[[#This Row],[Weekly change]])^52)-1</f>
        <v/>
      </c>
      <c r="E750" s="24">
        <f>AVERAGE(B747:B750)</f>
        <v/>
      </c>
      <c r="F750" s="32">
        <f>(Table2634[[#This Row],[4 weeks average]]-B698)/B698</f>
        <v/>
      </c>
    </row>
    <row r="751">
      <c r="A751" s="22" t="n">
        <v>32615</v>
      </c>
      <c r="B751" s="24">
        <f>VLOOKUP(Table2634[[#This Row],[Date]],'DB Money Supply'!$A:$D,4)</f>
        <v/>
      </c>
      <c r="C751" s="30">
        <f>(Table2634[[#This Row],[M1 Money Stock, Billions of Dollars, Weekly, Seasonally Adjusted]]-B750)/B750</f>
        <v/>
      </c>
      <c r="D751" s="34">
        <f>((1+Table2634[[#This Row],[Weekly change]])^52)-1</f>
        <v/>
      </c>
      <c r="E751" s="24">
        <f>AVERAGE(B748:B751)</f>
        <v/>
      </c>
      <c r="F751" s="32">
        <f>(Table2634[[#This Row],[4 weeks average]]-B699)/B699</f>
        <v/>
      </c>
    </row>
    <row r="752">
      <c r="A752" s="22" t="n">
        <v>32622</v>
      </c>
      <c r="B752" s="24">
        <f>VLOOKUP(Table2634[[#This Row],[Date]],'DB Money Supply'!$A:$D,4)</f>
        <v/>
      </c>
      <c r="C752" s="30">
        <f>(Table2634[[#This Row],[M1 Money Stock, Billions of Dollars, Weekly, Seasonally Adjusted]]-B751)/B751</f>
        <v/>
      </c>
      <c r="D752" s="34">
        <f>((1+Table2634[[#This Row],[Weekly change]])^52)-1</f>
        <v/>
      </c>
      <c r="E752" s="24">
        <f>AVERAGE(B749:B752)</f>
        <v/>
      </c>
      <c r="F752" s="32">
        <f>(Table2634[[#This Row],[4 weeks average]]-B700)/B700</f>
        <v/>
      </c>
    </row>
    <row r="753">
      <c r="A753" s="22" t="n">
        <v>32629</v>
      </c>
      <c r="B753" s="24">
        <f>VLOOKUP(Table2634[[#This Row],[Date]],'DB Money Supply'!$A:$D,4)</f>
        <v/>
      </c>
      <c r="C753" s="30">
        <f>(Table2634[[#This Row],[M1 Money Stock, Billions of Dollars, Weekly, Seasonally Adjusted]]-B752)/B752</f>
        <v/>
      </c>
      <c r="D753" s="34">
        <f>((1+Table2634[[#This Row],[Weekly change]])^52)-1</f>
        <v/>
      </c>
      <c r="E753" s="24">
        <f>AVERAGE(B750:B753)</f>
        <v/>
      </c>
      <c r="F753" s="32">
        <f>(Table2634[[#This Row],[4 weeks average]]-B701)/B701</f>
        <v/>
      </c>
    </row>
    <row r="754">
      <c r="A754" s="22" t="n">
        <v>32636</v>
      </c>
      <c r="B754" s="24">
        <f>VLOOKUP(Table2634[[#This Row],[Date]],'DB Money Supply'!$A:$D,4)</f>
        <v/>
      </c>
      <c r="C754" s="30">
        <f>(Table2634[[#This Row],[M1 Money Stock, Billions of Dollars, Weekly, Seasonally Adjusted]]-B753)/B753</f>
        <v/>
      </c>
      <c r="D754" s="34">
        <f>((1+Table2634[[#This Row],[Weekly change]])^52)-1</f>
        <v/>
      </c>
      <c r="E754" s="24">
        <f>AVERAGE(B751:B754)</f>
        <v/>
      </c>
      <c r="F754" s="32">
        <f>(Table2634[[#This Row],[4 weeks average]]-B702)/B702</f>
        <v/>
      </c>
    </row>
    <row r="755">
      <c r="A755" s="22" t="n">
        <v>32643</v>
      </c>
      <c r="B755" s="24">
        <f>VLOOKUP(Table2634[[#This Row],[Date]],'DB Money Supply'!$A:$D,4)</f>
        <v/>
      </c>
      <c r="C755" s="30">
        <f>(Table2634[[#This Row],[M1 Money Stock, Billions of Dollars, Weekly, Seasonally Adjusted]]-B754)/B754</f>
        <v/>
      </c>
      <c r="D755" s="34">
        <f>((1+Table2634[[#This Row],[Weekly change]])^52)-1</f>
        <v/>
      </c>
      <c r="E755" s="24">
        <f>AVERAGE(B752:B755)</f>
        <v/>
      </c>
      <c r="F755" s="32">
        <f>(Table2634[[#This Row],[4 weeks average]]-B703)/B703</f>
        <v/>
      </c>
    </row>
    <row r="756">
      <c r="A756" s="22" t="n">
        <v>32650</v>
      </c>
      <c r="B756" s="24">
        <f>VLOOKUP(Table2634[[#This Row],[Date]],'DB Money Supply'!$A:$D,4)</f>
        <v/>
      </c>
      <c r="C756" s="30">
        <f>(Table2634[[#This Row],[M1 Money Stock, Billions of Dollars, Weekly, Seasonally Adjusted]]-B755)/B755</f>
        <v/>
      </c>
      <c r="D756" s="34">
        <f>((1+Table2634[[#This Row],[Weekly change]])^52)-1</f>
        <v/>
      </c>
      <c r="E756" s="24">
        <f>AVERAGE(B753:B756)</f>
        <v/>
      </c>
      <c r="F756" s="32">
        <f>(Table2634[[#This Row],[4 weeks average]]-B704)/B704</f>
        <v/>
      </c>
    </row>
    <row r="757">
      <c r="A757" s="22" t="n">
        <v>32657</v>
      </c>
      <c r="B757" s="24">
        <f>VLOOKUP(Table2634[[#This Row],[Date]],'DB Money Supply'!$A:$D,4)</f>
        <v/>
      </c>
      <c r="C757" s="30">
        <f>(Table2634[[#This Row],[M1 Money Stock, Billions of Dollars, Weekly, Seasonally Adjusted]]-B756)/B756</f>
        <v/>
      </c>
      <c r="D757" s="34">
        <f>((1+Table2634[[#This Row],[Weekly change]])^52)-1</f>
        <v/>
      </c>
      <c r="E757" s="24">
        <f>AVERAGE(B754:B757)</f>
        <v/>
      </c>
      <c r="F757" s="32">
        <f>(Table2634[[#This Row],[4 weeks average]]-B705)/B705</f>
        <v/>
      </c>
    </row>
    <row r="758">
      <c r="A758" s="22" t="n">
        <v>32664</v>
      </c>
      <c r="B758" s="24">
        <f>VLOOKUP(Table2634[[#This Row],[Date]],'DB Money Supply'!$A:$D,4)</f>
        <v/>
      </c>
      <c r="C758" s="30">
        <f>(Table2634[[#This Row],[M1 Money Stock, Billions of Dollars, Weekly, Seasonally Adjusted]]-B757)/B757</f>
        <v/>
      </c>
      <c r="D758" s="34">
        <f>((1+Table2634[[#This Row],[Weekly change]])^52)-1</f>
        <v/>
      </c>
      <c r="E758" s="24">
        <f>AVERAGE(B755:B758)</f>
        <v/>
      </c>
      <c r="F758" s="32">
        <f>(Table2634[[#This Row],[4 weeks average]]-B706)/B706</f>
        <v/>
      </c>
    </row>
    <row r="759">
      <c r="A759" s="22" t="n">
        <v>32671</v>
      </c>
      <c r="B759" s="24">
        <f>VLOOKUP(Table2634[[#This Row],[Date]],'DB Money Supply'!$A:$D,4)</f>
        <v/>
      </c>
      <c r="C759" s="30">
        <f>(Table2634[[#This Row],[M1 Money Stock, Billions of Dollars, Weekly, Seasonally Adjusted]]-B758)/B758</f>
        <v/>
      </c>
      <c r="D759" s="34">
        <f>((1+Table2634[[#This Row],[Weekly change]])^52)-1</f>
        <v/>
      </c>
      <c r="E759" s="24">
        <f>AVERAGE(B756:B759)</f>
        <v/>
      </c>
      <c r="F759" s="32">
        <f>(Table2634[[#This Row],[4 weeks average]]-B707)/B707</f>
        <v/>
      </c>
    </row>
    <row r="760">
      <c r="A760" s="22" t="n">
        <v>32678</v>
      </c>
      <c r="B760" s="24">
        <f>VLOOKUP(Table2634[[#This Row],[Date]],'DB Money Supply'!$A:$D,4)</f>
        <v/>
      </c>
      <c r="C760" s="30">
        <f>(Table2634[[#This Row],[M1 Money Stock, Billions of Dollars, Weekly, Seasonally Adjusted]]-B759)/B759</f>
        <v/>
      </c>
      <c r="D760" s="34">
        <f>((1+Table2634[[#This Row],[Weekly change]])^52)-1</f>
        <v/>
      </c>
      <c r="E760" s="24">
        <f>AVERAGE(B757:B760)</f>
        <v/>
      </c>
      <c r="F760" s="32">
        <f>(Table2634[[#This Row],[4 weeks average]]-B708)/B708</f>
        <v/>
      </c>
    </row>
    <row r="761">
      <c r="A761" s="22" t="n">
        <v>32685</v>
      </c>
      <c r="B761" s="24">
        <f>VLOOKUP(Table2634[[#This Row],[Date]],'DB Money Supply'!$A:$D,4)</f>
        <v/>
      </c>
      <c r="C761" s="30">
        <f>(Table2634[[#This Row],[M1 Money Stock, Billions of Dollars, Weekly, Seasonally Adjusted]]-B760)/B760</f>
        <v/>
      </c>
      <c r="D761" s="34">
        <f>((1+Table2634[[#This Row],[Weekly change]])^52)-1</f>
        <v/>
      </c>
      <c r="E761" s="24">
        <f>AVERAGE(B758:B761)</f>
        <v/>
      </c>
      <c r="F761" s="32">
        <f>(Table2634[[#This Row],[4 weeks average]]-B709)/B709</f>
        <v/>
      </c>
    </row>
    <row r="762">
      <c r="A762" s="22" t="n">
        <v>32692</v>
      </c>
      <c r="B762" s="24">
        <f>VLOOKUP(Table2634[[#This Row],[Date]],'DB Money Supply'!$A:$D,4)</f>
        <v/>
      </c>
      <c r="C762" s="30">
        <f>(Table2634[[#This Row],[M1 Money Stock, Billions of Dollars, Weekly, Seasonally Adjusted]]-B761)/B761</f>
        <v/>
      </c>
      <c r="D762" s="34">
        <f>((1+Table2634[[#This Row],[Weekly change]])^52)-1</f>
        <v/>
      </c>
      <c r="E762" s="24">
        <f>AVERAGE(B759:B762)</f>
        <v/>
      </c>
      <c r="F762" s="32">
        <f>(Table2634[[#This Row],[4 weeks average]]-B710)/B710</f>
        <v/>
      </c>
    </row>
    <row r="763">
      <c r="A763" s="22" t="n">
        <v>32699</v>
      </c>
      <c r="B763" s="24">
        <f>VLOOKUP(Table2634[[#This Row],[Date]],'DB Money Supply'!$A:$D,4)</f>
        <v/>
      </c>
      <c r="C763" s="30">
        <f>(Table2634[[#This Row],[M1 Money Stock, Billions of Dollars, Weekly, Seasonally Adjusted]]-B762)/B762</f>
        <v/>
      </c>
      <c r="D763" s="34">
        <f>((1+Table2634[[#This Row],[Weekly change]])^52)-1</f>
        <v/>
      </c>
      <c r="E763" s="24">
        <f>AVERAGE(B760:B763)</f>
        <v/>
      </c>
      <c r="F763" s="32">
        <f>(Table2634[[#This Row],[4 weeks average]]-B711)/B711</f>
        <v/>
      </c>
    </row>
    <row r="764">
      <c r="A764" s="22" t="n">
        <v>32706</v>
      </c>
      <c r="B764" s="24">
        <f>VLOOKUP(Table2634[[#This Row],[Date]],'DB Money Supply'!$A:$D,4)</f>
        <v/>
      </c>
      <c r="C764" s="30">
        <f>(Table2634[[#This Row],[M1 Money Stock, Billions of Dollars, Weekly, Seasonally Adjusted]]-B763)/B763</f>
        <v/>
      </c>
      <c r="D764" s="34">
        <f>((1+Table2634[[#This Row],[Weekly change]])^52)-1</f>
        <v/>
      </c>
      <c r="E764" s="24">
        <f>AVERAGE(B761:B764)</f>
        <v/>
      </c>
      <c r="F764" s="32">
        <f>(Table2634[[#This Row],[4 weeks average]]-B712)/B712</f>
        <v/>
      </c>
    </row>
    <row r="765">
      <c r="A765" s="22" t="n">
        <v>32713</v>
      </c>
      <c r="B765" s="24">
        <f>VLOOKUP(Table2634[[#This Row],[Date]],'DB Money Supply'!$A:$D,4)</f>
        <v/>
      </c>
      <c r="C765" s="30">
        <f>(Table2634[[#This Row],[M1 Money Stock, Billions of Dollars, Weekly, Seasonally Adjusted]]-B764)/B764</f>
        <v/>
      </c>
      <c r="D765" s="34">
        <f>((1+Table2634[[#This Row],[Weekly change]])^52)-1</f>
        <v/>
      </c>
      <c r="E765" s="24">
        <f>AVERAGE(B762:B765)</f>
        <v/>
      </c>
      <c r="F765" s="32">
        <f>(Table2634[[#This Row],[4 weeks average]]-B713)/B713</f>
        <v/>
      </c>
    </row>
    <row r="766">
      <c r="A766" s="22" t="n">
        <v>32720</v>
      </c>
      <c r="B766" s="24">
        <f>VLOOKUP(Table2634[[#This Row],[Date]],'DB Money Supply'!$A:$D,4)</f>
        <v/>
      </c>
      <c r="C766" s="30">
        <f>(Table2634[[#This Row],[M1 Money Stock, Billions of Dollars, Weekly, Seasonally Adjusted]]-B765)/B765</f>
        <v/>
      </c>
      <c r="D766" s="34">
        <f>((1+Table2634[[#This Row],[Weekly change]])^52)-1</f>
        <v/>
      </c>
      <c r="E766" s="24">
        <f>AVERAGE(B763:B766)</f>
        <v/>
      </c>
      <c r="F766" s="32">
        <f>(Table2634[[#This Row],[4 weeks average]]-B714)/B714</f>
        <v/>
      </c>
    </row>
    <row r="767">
      <c r="A767" s="22" t="n">
        <v>32727</v>
      </c>
      <c r="B767" s="24">
        <f>VLOOKUP(Table2634[[#This Row],[Date]],'DB Money Supply'!$A:$D,4)</f>
        <v/>
      </c>
      <c r="C767" s="30">
        <f>(Table2634[[#This Row],[M1 Money Stock, Billions of Dollars, Weekly, Seasonally Adjusted]]-B766)/B766</f>
        <v/>
      </c>
      <c r="D767" s="34">
        <f>((1+Table2634[[#This Row],[Weekly change]])^52)-1</f>
        <v/>
      </c>
      <c r="E767" s="24">
        <f>AVERAGE(B764:B767)</f>
        <v/>
      </c>
      <c r="F767" s="32">
        <f>(Table2634[[#This Row],[4 weeks average]]-B715)/B715</f>
        <v/>
      </c>
    </row>
    <row r="768">
      <c r="A768" s="22" t="n">
        <v>32734</v>
      </c>
      <c r="B768" s="24">
        <f>VLOOKUP(Table2634[[#This Row],[Date]],'DB Money Supply'!$A:$D,4)</f>
        <v/>
      </c>
      <c r="C768" s="30">
        <f>(Table2634[[#This Row],[M1 Money Stock, Billions of Dollars, Weekly, Seasonally Adjusted]]-B767)/B767</f>
        <v/>
      </c>
      <c r="D768" s="34">
        <f>((1+Table2634[[#This Row],[Weekly change]])^52)-1</f>
        <v/>
      </c>
      <c r="E768" s="24">
        <f>AVERAGE(B765:B768)</f>
        <v/>
      </c>
      <c r="F768" s="32">
        <f>(Table2634[[#This Row],[4 weeks average]]-B716)/B716</f>
        <v/>
      </c>
    </row>
    <row r="769">
      <c r="A769" s="22" t="n">
        <v>32741</v>
      </c>
      <c r="B769" s="24">
        <f>VLOOKUP(Table2634[[#This Row],[Date]],'DB Money Supply'!$A:$D,4)</f>
        <v/>
      </c>
      <c r="C769" s="30">
        <f>(Table2634[[#This Row],[M1 Money Stock, Billions of Dollars, Weekly, Seasonally Adjusted]]-B768)/B768</f>
        <v/>
      </c>
      <c r="D769" s="34">
        <f>((1+Table2634[[#This Row],[Weekly change]])^52)-1</f>
        <v/>
      </c>
      <c r="E769" s="24">
        <f>AVERAGE(B766:B769)</f>
        <v/>
      </c>
      <c r="F769" s="32">
        <f>(Table2634[[#This Row],[4 weeks average]]-B717)/B717</f>
        <v/>
      </c>
    </row>
    <row r="770">
      <c r="A770" s="22" t="n">
        <v>32748</v>
      </c>
      <c r="B770" s="24">
        <f>VLOOKUP(Table2634[[#This Row],[Date]],'DB Money Supply'!$A:$D,4)</f>
        <v/>
      </c>
      <c r="C770" s="30">
        <f>(Table2634[[#This Row],[M1 Money Stock, Billions of Dollars, Weekly, Seasonally Adjusted]]-B769)/B769</f>
        <v/>
      </c>
      <c r="D770" s="34">
        <f>((1+Table2634[[#This Row],[Weekly change]])^52)-1</f>
        <v/>
      </c>
      <c r="E770" s="24">
        <f>AVERAGE(B767:B770)</f>
        <v/>
      </c>
      <c r="F770" s="32">
        <f>(Table2634[[#This Row],[4 weeks average]]-B718)/B718</f>
        <v/>
      </c>
    </row>
    <row r="771">
      <c r="A771" s="22" t="n">
        <v>32755</v>
      </c>
      <c r="B771" s="24">
        <f>VLOOKUP(Table2634[[#This Row],[Date]],'DB Money Supply'!$A:$D,4)</f>
        <v/>
      </c>
      <c r="C771" s="30">
        <f>(Table2634[[#This Row],[M1 Money Stock, Billions of Dollars, Weekly, Seasonally Adjusted]]-B770)/B770</f>
        <v/>
      </c>
      <c r="D771" s="34">
        <f>((1+Table2634[[#This Row],[Weekly change]])^52)-1</f>
        <v/>
      </c>
      <c r="E771" s="24">
        <f>AVERAGE(B768:B771)</f>
        <v/>
      </c>
      <c r="F771" s="32">
        <f>(Table2634[[#This Row],[4 weeks average]]-B719)/B719</f>
        <v/>
      </c>
    </row>
    <row r="772">
      <c r="A772" s="22" t="n">
        <v>32762</v>
      </c>
      <c r="B772" s="24">
        <f>VLOOKUP(Table2634[[#This Row],[Date]],'DB Money Supply'!$A:$D,4)</f>
        <v/>
      </c>
      <c r="C772" s="30">
        <f>(Table2634[[#This Row],[M1 Money Stock, Billions of Dollars, Weekly, Seasonally Adjusted]]-B771)/B771</f>
        <v/>
      </c>
      <c r="D772" s="34">
        <f>((1+Table2634[[#This Row],[Weekly change]])^52)-1</f>
        <v/>
      </c>
      <c r="E772" s="24">
        <f>AVERAGE(B769:B772)</f>
        <v/>
      </c>
      <c r="F772" s="32">
        <f>(Table2634[[#This Row],[4 weeks average]]-B720)/B720</f>
        <v/>
      </c>
    </row>
    <row r="773">
      <c r="A773" s="22" t="n">
        <v>32769</v>
      </c>
      <c r="B773" s="24">
        <f>VLOOKUP(Table2634[[#This Row],[Date]],'DB Money Supply'!$A:$D,4)</f>
        <v/>
      </c>
      <c r="C773" s="30">
        <f>(Table2634[[#This Row],[M1 Money Stock, Billions of Dollars, Weekly, Seasonally Adjusted]]-B772)/B772</f>
        <v/>
      </c>
      <c r="D773" s="34">
        <f>((1+Table2634[[#This Row],[Weekly change]])^52)-1</f>
        <v/>
      </c>
      <c r="E773" s="24">
        <f>AVERAGE(B770:B773)</f>
        <v/>
      </c>
      <c r="F773" s="32">
        <f>(Table2634[[#This Row],[4 weeks average]]-B721)/B721</f>
        <v/>
      </c>
    </row>
    <row r="774">
      <c r="A774" s="22" t="n">
        <v>32776</v>
      </c>
      <c r="B774" s="24">
        <f>VLOOKUP(Table2634[[#This Row],[Date]],'DB Money Supply'!$A:$D,4)</f>
        <v/>
      </c>
      <c r="C774" s="30">
        <f>(Table2634[[#This Row],[M1 Money Stock, Billions of Dollars, Weekly, Seasonally Adjusted]]-B773)/B773</f>
        <v/>
      </c>
      <c r="D774" s="34">
        <f>((1+Table2634[[#This Row],[Weekly change]])^52)-1</f>
        <v/>
      </c>
      <c r="E774" s="24">
        <f>AVERAGE(B771:B774)</f>
        <v/>
      </c>
      <c r="F774" s="32">
        <f>(Table2634[[#This Row],[4 weeks average]]-B722)/B722</f>
        <v/>
      </c>
    </row>
    <row r="775">
      <c r="A775" s="22" t="n">
        <v>32783</v>
      </c>
      <c r="B775" s="24">
        <f>VLOOKUP(Table2634[[#This Row],[Date]],'DB Money Supply'!$A:$D,4)</f>
        <v/>
      </c>
      <c r="C775" s="30">
        <f>(Table2634[[#This Row],[M1 Money Stock, Billions of Dollars, Weekly, Seasonally Adjusted]]-B774)/B774</f>
        <v/>
      </c>
      <c r="D775" s="34">
        <f>((1+Table2634[[#This Row],[Weekly change]])^52)-1</f>
        <v/>
      </c>
      <c r="E775" s="24">
        <f>AVERAGE(B772:B775)</f>
        <v/>
      </c>
      <c r="F775" s="32">
        <f>(Table2634[[#This Row],[4 weeks average]]-B723)/B723</f>
        <v/>
      </c>
    </row>
    <row r="776">
      <c r="A776" s="22" t="n">
        <v>32790</v>
      </c>
      <c r="B776" s="24">
        <f>VLOOKUP(Table2634[[#This Row],[Date]],'DB Money Supply'!$A:$D,4)</f>
        <v/>
      </c>
      <c r="C776" s="30">
        <f>(Table2634[[#This Row],[M1 Money Stock, Billions of Dollars, Weekly, Seasonally Adjusted]]-B775)/B775</f>
        <v/>
      </c>
      <c r="D776" s="34">
        <f>((1+Table2634[[#This Row],[Weekly change]])^52)-1</f>
        <v/>
      </c>
      <c r="E776" s="24">
        <f>AVERAGE(B773:B776)</f>
        <v/>
      </c>
      <c r="F776" s="32">
        <f>(Table2634[[#This Row],[4 weeks average]]-B724)/B724</f>
        <v/>
      </c>
    </row>
    <row r="777">
      <c r="A777" s="22" t="n">
        <v>32797</v>
      </c>
      <c r="B777" s="24">
        <f>VLOOKUP(Table2634[[#This Row],[Date]],'DB Money Supply'!$A:$D,4)</f>
        <v/>
      </c>
      <c r="C777" s="30">
        <f>(Table2634[[#This Row],[M1 Money Stock, Billions of Dollars, Weekly, Seasonally Adjusted]]-B776)/B776</f>
        <v/>
      </c>
      <c r="D777" s="34">
        <f>((1+Table2634[[#This Row],[Weekly change]])^52)-1</f>
        <v/>
      </c>
      <c r="E777" s="24">
        <f>AVERAGE(B774:B777)</f>
        <v/>
      </c>
      <c r="F777" s="32">
        <f>(Table2634[[#This Row],[4 weeks average]]-B725)/B725</f>
        <v/>
      </c>
    </row>
    <row r="778">
      <c r="A778" s="22" t="n">
        <v>32804</v>
      </c>
      <c r="B778" s="24">
        <f>VLOOKUP(Table2634[[#This Row],[Date]],'DB Money Supply'!$A:$D,4)</f>
        <v/>
      </c>
      <c r="C778" s="30">
        <f>(Table2634[[#This Row],[M1 Money Stock, Billions of Dollars, Weekly, Seasonally Adjusted]]-B777)/B777</f>
        <v/>
      </c>
      <c r="D778" s="34">
        <f>((1+Table2634[[#This Row],[Weekly change]])^52)-1</f>
        <v/>
      </c>
      <c r="E778" s="24">
        <f>AVERAGE(B775:B778)</f>
        <v/>
      </c>
      <c r="F778" s="32">
        <f>(Table2634[[#This Row],[4 weeks average]]-B726)/B726</f>
        <v/>
      </c>
    </row>
    <row r="779">
      <c r="A779" s="22" t="n">
        <v>32811</v>
      </c>
      <c r="B779" s="24">
        <f>VLOOKUP(Table2634[[#This Row],[Date]],'DB Money Supply'!$A:$D,4)</f>
        <v/>
      </c>
      <c r="C779" s="30">
        <f>(Table2634[[#This Row],[M1 Money Stock, Billions of Dollars, Weekly, Seasonally Adjusted]]-B778)/B778</f>
        <v/>
      </c>
      <c r="D779" s="34">
        <f>((1+Table2634[[#This Row],[Weekly change]])^52)-1</f>
        <v/>
      </c>
      <c r="E779" s="24">
        <f>AVERAGE(B776:B779)</f>
        <v/>
      </c>
      <c r="F779" s="32">
        <f>(Table2634[[#This Row],[4 weeks average]]-B727)/B727</f>
        <v/>
      </c>
    </row>
    <row r="780">
      <c r="A780" s="22" t="n">
        <v>32818</v>
      </c>
      <c r="B780" s="24">
        <f>VLOOKUP(Table2634[[#This Row],[Date]],'DB Money Supply'!$A:$D,4)</f>
        <v/>
      </c>
      <c r="C780" s="30">
        <f>(Table2634[[#This Row],[M1 Money Stock, Billions of Dollars, Weekly, Seasonally Adjusted]]-B779)/B779</f>
        <v/>
      </c>
      <c r="D780" s="34">
        <f>((1+Table2634[[#This Row],[Weekly change]])^52)-1</f>
        <v/>
      </c>
      <c r="E780" s="24">
        <f>AVERAGE(B777:B780)</f>
        <v/>
      </c>
      <c r="F780" s="32">
        <f>(Table2634[[#This Row],[4 weeks average]]-B728)/B728</f>
        <v/>
      </c>
    </row>
    <row r="781">
      <c r="A781" s="22" t="n">
        <v>32825</v>
      </c>
      <c r="B781" s="24">
        <f>VLOOKUP(Table2634[[#This Row],[Date]],'DB Money Supply'!$A:$D,4)</f>
        <v/>
      </c>
      <c r="C781" s="30">
        <f>(Table2634[[#This Row],[M1 Money Stock, Billions of Dollars, Weekly, Seasonally Adjusted]]-B780)/B780</f>
        <v/>
      </c>
      <c r="D781" s="34">
        <f>((1+Table2634[[#This Row],[Weekly change]])^52)-1</f>
        <v/>
      </c>
      <c r="E781" s="24">
        <f>AVERAGE(B778:B781)</f>
        <v/>
      </c>
      <c r="F781" s="32">
        <f>(Table2634[[#This Row],[4 weeks average]]-B729)/B729</f>
        <v/>
      </c>
    </row>
    <row r="782">
      <c r="A782" s="22" t="n">
        <v>32832</v>
      </c>
      <c r="B782" s="24">
        <f>VLOOKUP(Table2634[[#This Row],[Date]],'DB Money Supply'!$A:$D,4)</f>
        <v/>
      </c>
      <c r="C782" s="30">
        <f>(Table2634[[#This Row],[M1 Money Stock, Billions of Dollars, Weekly, Seasonally Adjusted]]-B781)/B781</f>
        <v/>
      </c>
      <c r="D782" s="34">
        <f>((1+Table2634[[#This Row],[Weekly change]])^52)-1</f>
        <v/>
      </c>
      <c r="E782" s="24">
        <f>AVERAGE(B779:B782)</f>
        <v/>
      </c>
      <c r="F782" s="32">
        <f>(Table2634[[#This Row],[4 weeks average]]-B730)/B730</f>
        <v/>
      </c>
    </row>
    <row r="783">
      <c r="A783" s="22" t="n">
        <v>32839</v>
      </c>
      <c r="B783" s="24">
        <f>VLOOKUP(Table2634[[#This Row],[Date]],'DB Money Supply'!$A:$D,4)</f>
        <v/>
      </c>
      <c r="C783" s="30">
        <f>(Table2634[[#This Row],[M1 Money Stock, Billions of Dollars, Weekly, Seasonally Adjusted]]-B782)/B782</f>
        <v/>
      </c>
      <c r="D783" s="34">
        <f>((1+Table2634[[#This Row],[Weekly change]])^52)-1</f>
        <v/>
      </c>
      <c r="E783" s="24">
        <f>AVERAGE(B780:B783)</f>
        <v/>
      </c>
      <c r="F783" s="32">
        <f>(Table2634[[#This Row],[4 weeks average]]-B731)/B731</f>
        <v/>
      </c>
    </row>
    <row r="784">
      <c r="A784" s="22" t="n">
        <v>32846</v>
      </c>
      <c r="B784" s="24">
        <f>VLOOKUP(Table2634[[#This Row],[Date]],'DB Money Supply'!$A:$D,4)</f>
        <v/>
      </c>
      <c r="C784" s="30">
        <f>(Table2634[[#This Row],[M1 Money Stock, Billions of Dollars, Weekly, Seasonally Adjusted]]-B783)/B783</f>
        <v/>
      </c>
      <c r="D784" s="34">
        <f>((1+Table2634[[#This Row],[Weekly change]])^52)-1</f>
        <v/>
      </c>
      <c r="E784" s="24">
        <f>AVERAGE(B781:B784)</f>
        <v/>
      </c>
      <c r="F784" s="32">
        <f>(Table2634[[#This Row],[4 weeks average]]-B732)/B732</f>
        <v/>
      </c>
    </row>
    <row r="785">
      <c r="A785" s="22" t="n">
        <v>32853</v>
      </c>
      <c r="B785" s="24">
        <f>VLOOKUP(Table2634[[#This Row],[Date]],'DB Money Supply'!$A:$D,4)</f>
        <v/>
      </c>
      <c r="C785" s="30">
        <f>(Table2634[[#This Row],[M1 Money Stock, Billions of Dollars, Weekly, Seasonally Adjusted]]-B784)/B784</f>
        <v/>
      </c>
      <c r="D785" s="34">
        <f>((1+Table2634[[#This Row],[Weekly change]])^52)-1</f>
        <v/>
      </c>
      <c r="E785" s="24">
        <f>AVERAGE(B782:B785)</f>
        <v/>
      </c>
      <c r="F785" s="32">
        <f>(Table2634[[#This Row],[4 weeks average]]-B733)/B733</f>
        <v/>
      </c>
    </row>
    <row r="786">
      <c r="A786" s="22" t="n">
        <v>32860</v>
      </c>
      <c r="B786" s="24">
        <f>VLOOKUP(Table2634[[#This Row],[Date]],'DB Money Supply'!$A:$D,4)</f>
        <v/>
      </c>
      <c r="C786" s="30">
        <f>(Table2634[[#This Row],[M1 Money Stock, Billions of Dollars, Weekly, Seasonally Adjusted]]-B785)/B785</f>
        <v/>
      </c>
      <c r="D786" s="34">
        <f>((1+Table2634[[#This Row],[Weekly change]])^52)-1</f>
        <v/>
      </c>
      <c r="E786" s="24">
        <f>AVERAGE(B783:B786)</f>
        <v/>
      </c>
      <c r="F786" s="32">
        <f>(Table2634[[#This Row],[4 weeks average]]-B734)/B734</f>
        <v/>
      </c>
    </row>
    <row r="787">
      <c r="A787" s="22" t="n">
        <v>32867</v>
      </c>
      <c r="B787" s="24">
        <f>VLOOKUP(Table2634[[#This Row],[Date]],'DB Money Supply'!$A:$D,4)</f>
        <v/>
      </c>
      <c r="C787" s="30">
        <f>(Table2634[[#This Row],[M1 Money Stock, Billions of Dollars, Weekly, Seasonally Adjusted]]-B786)/B786</f>
        <v/>
      </c>
      <c r="D787" s="34">
        <f>((1+Table2634[[#This Row],[Weekly change]])^52)-1</f>
        <v/>
      </c>
      <c r="E787" s="24">
        <f>AVERAGE(B784:B787)</f>
        <v/>
      </c>
      <c r="F787" s="32">
        <f>(Table2634[[#This Row],[4 weeks average]]-B735)/B735</f>
        <v/>
      </c>
    </row>
    <row r="788">
      <c r="A788" s="22" t="n">
        <v>32874</v>
      </c>
      <c r="B788" s="24">
        <f>VLOOKUP(Table2634[[#This Row],[Date]],'DB Money Supply'!$A:$D,4)</f>
        <v/>
      </c>
      <c r="C788" s="30">
        <f>(Table2634[[#This Row],[M1 Money Stock, Billions of Dollars, Weekly, Seasonally Adjusted]]-B787)/B787</f>
        <v/>
      </c>
      <c r="D788" s="34">
        <f>((1+Table2634[[#This Row],[Weekly change]])^52)-1</f>
        <v/>
      </c>
      <c r="E788" s="24">
        <f>AVERAGE(B785:B788)</f>
        <v/>
      </c>
      <c r="F788" s="32">
        <f>(Table2634[[#This Row],[4 weeks average]]-B736)/B736</f>
        <v/>
      </c>
    </row>
    <row r="789">
      <c r="A789" s="22" t="n">
        <v>32881</v>
      </c>
      <c r="B789" s="24">
        <f>VLOOKUP(Table2634[[#This Row],[Date]],'DB Money Supply'!$A:$D,4)</f>
        <v/>
      </c>
      <c r="C789" s="30">
        <f>(Table2634[[#This Row],[M1 Money Stock, Billions of Dollars, Weekly, Seasonally Adjusted]]-B788)/B788</f>
        <v/>
      </c>
      <c r="D789" s="34">
        <f>((1+Table2634[[#This Row],[Weekly change]])^52)-1</f>
        <v/>
      </c>
      <c r="E789" s="24">
        <f>AVERAGE(B786:B789)</f>
        <v/>
      </c>
      <c r="F789" s="32">
        <f>(Table2634[[#This Row],[4 weeks average]]-B737)/B737</f>
        <v/>
      </c>
    </row>
    <row r="790">
      <c r="A790" s="22" t="n">
        <v>32888</v>
      </c>
      <c r="B790" s="24">
        <f>VLOOKUP(Table2634[[#This Row],[Date]],'DB Money Supply'!$A:$D,4)</f>
        <v/>
      </c>
      <c r="C790" s="30">
        <f>(Table2634[[#This Row],[M1 Money Stock, Billions of Dollars, Weekly, Seasonally Adjusted]]-B789)/B789</f>
        <v/>
      </c>
      <c r="D790" s="34">
        <f>((1+Table2634[[#This Row],[Weekly change]])^52)-1</f>
        <v/>
      </c>
      <c r="E790" s="24">
        <f>AVERAGE(B787:B790)</f>
        <v/>
      </c>
      <c r="F790" s="32">
        <f>(Table2634[[#This Row],[4 weeks average]]-B738)/B738</f>
        <v/>
      </c>
    </row>
    <row r="791">
      <c r="A791" s="22" t="n">
        <v>32895</v>
      </c>
      <c r="B791" s="24">
        <f>VLOOKUP(Table2634[[#This Row],[Date]],'DB Money Supply'!$A:$D,4)</f>
        <v/>
      </c>
      <c r="C791" s="30">
        <f>(Table2634[[#This Row],[M1 Money Stock, Billions of Dollars, Weekly, Seasonally Adjusted]]-B790)/B790</f>
        <v/>
      </c>
      <c r="D791" s="34">
        <f>((1+Table2634[[#This Row],[Weekly change]])^52)-1</f>
        <v/>
      </c>
      <c r="E791" s="24">
        <f>AVERAGE(B788:B791)</f>
        <v/>
      </c>
      <c r="F791" s="32">
        <f>(Table2634[[#This Row],[4 weeks average]]-B739)/B739</f>
        <v/>
      </c>
    </row>
    <row r="792">
      <c r="A792" s="22" t="n">
        <v>32902</v>
      </c>
      <c r="B792" s="24">
        <f>VLOOKUP(Table2634[[#This Row],[Date]],'DB Money Supply'!$A:$D,4)</f>
        <v/>
      </c>
      <c r="C792" s="30">
        <f>(Table2634[[#This Row],[M1 Money Stock, Billions of Dollars, Weekly, Seasonally Adjusted]]-B791)/B791</f>
        <v/>
      </c>
      <c r="D792" s="34">
        <f>((1+Table2634[[#This Row],[Weekly change]])^52)-1</f>
        <v/>
      </c>
      <c r="E792" s="24">
        <f>AVERAGE(B789:B792)</f>
        <v/>
      </c>
      <c r="F792" s="32">
        <f>(Table2634[[#This Row],[4 weeks average]]-B740)/B740</f>
        <v/>
      </c>
    </row>
    <row r="793">
      <c r="A793" s="22" t="n">
        <v>32909</v>
      </c>
      <c r="B793" s="24">
        <f>VLOOKUP(Table2634[[#This Row],[Date]],'DB Money Supply'!$A:$D,4)</f>
        <v/>
      </c>
      <c r="C793" s="30">
        <f>(Table2634[[#This Row],[M1 Money Stock, Billions of Dollars, Weekly, Seasonally Adjusted]]-B792)/B792</f>
        <v/>
      </c>
      <c r="D793" s="34">
        <f>((1+Table2634[[#This Row],[Weekly change]])^52)-1</f>
        <v/>
      </c>
      <c r="E793" s="24">
        <f>AVERAGE(B790:B793)</f>
        <v/>
      </c>
      <c r="F793" s="32">
        <f>(Table2634[[#This Row],[4 weeks average]]-B741)/B741</f>
        <v/>
      </c>
    </row>
    <row r="794">
      <c r="A794" s="22" t="n">
        <v>32916</v>
      </c>
      <c r="B794" s="24">
        <f>VLOOKUP(Table2634[[#This Row],[Date]],'DB Money Supply'!$A:$D,4)</f>
        <v/>
      </c>
      <c r="C794" s="30">
        <f>(Table2634[[#This Row],[M1 Money Stock, Billions of Dollars, Weekly, Seasonally Adjusted]]-B793)/B793</f>
        <v/>
      </c>
      <c r="D794" s="34">
        <f>((1+Table2634[[#This Row],[Weekly change]])^52)-1</f>
        <v/>
      </c>
      <c r="E794" s="24">
        <f>AVERAGE(B791:B794)</f>
        <v/>
      </c>
      <c r="F794" s="32">
        <f>(Table2634[[#This Row],[4 weeks average]]-B742)/B742</f>
        <v/>
      </c>
    </row>
    <row r="795">
      <c r="A795" s="22" t="n">
        <v>32923</v>
      </c>
      <c r="B795" s="24">
        <f>VLOOKUP(Table2634[[#This Row],[Date]],'DB Money Supply'!$A:$D,4)</f>
        <v/>
      </c>
      <c r="C795" s="30">
        <f>(Table2634[[#This Row],[M1 Money Stock, Billions of Dollars, Weekly, Seasonally Adjusted]]-B794)/B794</f>
        <v/>
      </c>
      <c r="D795" s="34">
        <f>((1+Table2634[[#This Row],[Weekly change]])^52)-1</f>
        <v/>
      </c>
      <c r="E795" s="24">
        <f>AVERAGE(B792:B795)</f>
        <v/>
      </c>
      <c r="F795" s="32">
        <f>(Table2634[[#This Row],[4 weeks average]]-B743)/B743</f>
        <v/>
      </c>
    </row>
    <row r="796">
      <c r="A796" s="22" t="n">
        <v>32930</v>
      </c>
      <c r="B796" s="24">
        <f>VLOOKUP(Table2634[[#This Row],[Date]],'DB Money Supply'!$A:$D,4)</f>
        <v/>
      </c>
      <c r="C796" s="30">
        <f>(Table2634[[#This Row],[M1 Money Stock, Billions of Dollars, Weekly, Seasonally Adjusted]]-B795)/B795</f>
        <v/>
      </c>
      <c r="D796" s="34">
        <f>((1+Table2634[[#This Row],[Weekly change]])^52)-1</f>
        <v/>
      </c>
      <c r="E796" s="24">
        <f>AVERAGE(B793:B796)</f>
        <v/>
      </c>
      <c r="F796" s="32">
        <f>(Table2634[[#This Row],[4 weeks average]]-B744)/B744</f>
        <v/>
      </c>
    </row>
    <row r="797">
      <c r="A797" s="22" t="n">
        <v>32937</v>
      </c>
      <c r="B797" s="24">
        <f>VLOOKUP(Table2634[[#This Row],[Date]],'DB Money Supply'!$A:$D,4)</f>
        <v/>
      </c>
      <c r="C797" s="30">
        <f>(Table2634[[#This Row],[M1 Money Stock, Billions of Dollars, Weekly, Seasonally Adjusted]]-B796)/B796</f>
        <v/>
      </c>
      <c r="D797" s="34">
        <f>((1+Table2634[[#This Row],[Weekly change]])^52)-1</f>
        <v/>
      </c>
      <c r="E797" s="24">
        <f>AVERAGE(B794:B797)</f>
        <v/>
      </c>
      <c r="F797" s="32">
        <f>(Table2634[[#This Row],[4 weeks average]]-B745)/B745</f>
        <v/>
      </c>
    </row>
    <row r="798">
      <c r="A798" s="22" t="n">
        <v>32944</v>
      </c>
      <c r="B798" s="24">
        <f>VLOOKUP(Table2634[[#This Row],[Date]],'DB Money Supply'!$A:$D,4)</f>
        <v/>
      </c>
      <c r="C798" s="30">
        <f>(Table2634[[#This Row],[M1 Money Stock, Billions of Dollars, Weekly, Seasonally Adjusted]]-B797)/B797</f>
        <v/>
      </c>
      <c r="D798" s="34">
        <f>((1+Table2634[[#This Row],[Weekly change]])^52)-1</f>
        <v/>
      </c>
      <c r="E798" s="24">
        <f>AVERAGE(B795:B798)</f>
        <v/>
      </c>
      <c r="F798" s="32">
        <f>(Table2634[[#This Row],[4 weeks average]]-B746)/B746</f>
        <v/>
      </c>
    </row>
    <row r="799">
      <c r="A799" s="22" t="n">
        <v>32951</v>
      </c>
      <c r="B799" s="24">
        <f>VLOOKUP(Table2634[[#This Row],[Date]],'DB Money Supply'!$A:$D,4)</f>
        <v/>
      </c>
      <c r="C799" s="30">
        <f>(Table2634[[#This Row],[M1 Money Stock, Billions of Dollars, Weekly, Seasonally Adjusted]]-B798)/B798</f>
        <v/>
      </c>
      <c r="D799" s="34">
        <f>((1+Table2634[[#This Row],[Weekly change]])^52)-1</f>
        <v/>
      </c>
      <c r="E799" s="24">
        <f>AVERAGE(B796:B799)</f>
        <v/>
      </c>
      <c r="F799" s="32">
        <f>(Table2634[[#This Row],[4 weeks average]]-B747)/B747</f>
        <v/>
      </c>
    </row>
    <row r="800">
      <c r="A800" s="22" t="n">
        <v>32958</v>
      </c>
      <c r="B800" s="24">
        <f>VLOOKUP(Table2634[[#This Row],[Date]],'DB Money Supply'!$A:$D,4)</f>
        <v/>
      </c>
      <c r="C800" s="30">
        <f>(Table2634[[#This Row],[M1 Money Stock, Billions of Dollars, Weekly, Seasonally Adjusted]]-B799)/B799</f>
        <v/>
      </c>
      <c r="D800" s="34">
        <f>((1+Table2634[[#This Row],[Weekly change]])^52)-1</f>
        <v/>
      </c>
      <c r="E800" s="24">
        <f>AVERAGE(B797:B800)</f>
        <v/>
      </c>
      <c r="F800" s="32">
        <f>(Table2634[[#This Row],[4 weeks average]]-B748)/B748</f>
        <v/>
      </c>
    </row>
    <row r="801">
      <c r="A801" s="22" t="n">
        <v>32965</v>
      </c>
      <c r="B801" s="24">
        <f>VLOOKUP(Table2634[[#This Row],[Date]],'DB Money Supply'!$A:$D,4)</f>
        <v/>
      </c>
      <c r="C801" s="30">
        <f>(Table2634[[#This Row],[M1 Money Stock, Billions of Dollars, Weekly, Seasonally Adjusted]]-B800)/B800</f>
        <v/>
      </c>
      <c r="D801" s="34">
        <f>((1+Table2634[[#This Row],[Weekly change]])^52)-1</f>
        <v/>
      </c>
      <c r="E801" s="24">
        <f>AVERAGE(B798:B801)</f>
        <v/>
      </c>
      <c r="F801" s="32">
        <f>(Table2634[[#This Row],[4 weeks average]]-B749)/B749</f>
        <v/>
      </c>
    </row>
    <row r="802">
      <c r="A802" s="22" t="n">
        <v>32972</v>
      </c>
      <c r="B802" s="24">
        <f>VLOOKUP(Table2634[[#This Row],[Date]],'DB Money Supply'!$A:$D,4)</f>
        <v/>
      </c>
      <c r="C802" s="30">
        <f>(Table2634[[#This Row],[M1 Money Stock, Billions of Dollars, Weekly, Seasonally Adjusted]]-B801)/B801</f>
        <v/>
      </c>
      <c r="D802" s="34">
        <f>((1+Table2634[[#This Row],[Weekly change]])^52)-1</f>
        <v/>
      </c>
      <c r="E802" s="24">
        <f>AVERAGE(B799:B802)</f>
        <v/>
      </c>
      <c r="F802" s="32">
        <f>(Table2634[[#This Row],[4 weeks average]]-B750)/B750</f>
        <v/>
      </c>
    </row>
    <row r="803">
      <c r="A803" s="22" t="n">
        <v>32979</v>
      </c>
      <c r="B803" s="24">
        <f>VLOOKUP(Table2634[[#This Row],[Date]],'DB Money Supply'!$A:$D,4)</f>
        <v/>
      </c>
      <c r="C803" s="30">
        <f>(Table2634[[#This Row],[M1 Money Stock, Billions of Dollars, Weekly, Seasonally Adjusted]]-B802)/B802</f>
        <v/>
      </c>
      <c r="D803" s="34">
        <f>((1+Table2634[[#This Row],[Weekly change]])^52)-1</f>
        <v/>
      </c>
      <c r="E803" s="24">
        <f>AVERAGE(B800:B803)</f>
        <v/>
      </c>
      <c r="F803" s="32">
        <f>(Table2634[[#This Row],[4 weeks average]]-B751)/B751</f>
        <v/>
      </c>
    </row>
    <row r="804">
      <c r="A804" s="22" t="n">
        <v>32986</v>
      </c>
      <c r="B804" s="24">
        <f>VLOOKUP(Table2634[[#This Row],[Date]],'DB Money Supply'!$A:$D,4)</f>
        <v/>
      </c>
      <c r="C804" s="30">
        <f>(Table2634[[#This Row],[M1 Money Stock, Billions of Dollars, Weekly, Seasonally Adjusted]]-B803)/B803</f>
        <v/>
      </c>
      <c r="D804" s="34">
        <f>((1+Table2634[[#This Row],[Weekly change]])^52)-1</f>
        <v/>
      </c>
      <c r="E804" s="24">
        <f>AVERAGE(B801:B804)</f>
        <v/>
      </c>
      <c r="F804" s="32">
        <f>(Table2634[[#This Row],[4 weeks average]]-B752)/B752</f>
        <v/>
      </c>
    </row>
    <row r="805">
      <c r="A805" s="22" t="n">
        <v>32993</v>
      </c>
      <c r="B805" s="24">
        <f>VLOOKUP(Table2634[[#This Row],[Date]],'DB Money Supply'!$A:$D,4)</f>
        <v/>
      </c>
      <c r="C805" s="30">
        <f>(Table2634[[#This Row],[M1 Money Stock, Billions of Dollars, Weekly, Seasonally Adjusted]]-B804)/B804</f>
        <v/>
      </c>
      <c r="D805" s="34">
        <f>((1+Table2634[[#This Row],[Weekly change]])^52)-1</f>
        <v/>
      </c>
      <c r="E805" s="24">
        <f>AVERAGE(B802:B805)</f>
        <v/>
      </c>
      <c r="F805" s="32">
        <f>(Table2634[[#This Row],[4 weeks average]]-B753)/B753</f>
        <v/>
      </c>
    </row>
    <row r="806">
      <c r="A806" s="22" t="n">
        <v>33000</v>
      </c>
      <c r="B806" s="24">
        <f>VLOOKUP(Table2634[[#This Row],[Date]],'DB Money Supply'!$A:$D,4)</f>
        <v/>
      </c>
      <c r="C806" s="30">
        <f>(Table2634[[#This Row],[M1 Money Stock, Billions of Dollars, Weekly, Seasonally Adjusted]]-B805)/B805</f>
        <v/>
      </c>
      <c r="D806" s="34">
        <f>((1+Table2634[[#This Row],[Weekly change]])^52)-1</f>
        <v/>
      </c>
      <c r="E806" s="24">
        <f>AVERAGE(B803:B806)</f>
        <v/>
      </c>
      <c r="F806" s="32">
        <f>(Table2634[[#This Row],[4 weeks average]]-B754)/B754</f>
        <v/>
      </c>
    </row>
    <row r="807">
      <c r="A807" s="22" t="n">
        <v>33007</v>
      </c>
      <c r="B807" s="24">
        <f>VLOOKUP(Table2634[[#This Row],[Date]],'DB Money Supply'!$A:$D,4)</f>
        <v/>
      </c>
      <c r="C807" s="30">
        <f>(Table2634[[#This Row],[M1 Money Stock, Billions of Dollars, Weekly, Seasonally Adjusted]]-B806)/B806</f>
        <v/>
      </c>
      <c r="D807" s="34">
        <f>((1+Table2634[[#This Row],[Weekly change]])^52)-1</f>
        <v/>
      </c>
      <c r="E807" s="24">
        <f>AVERAGE(B804:B807)</f>
        <v/>
      </c>
      <c r="F807" s="32">
        <f>(Table2634[[#This Row],[4 weeks average]]-B755)/B755</f>
        <v/>
      </c>
    </row>
    <row r="808">
      <c r="A808" s="22" t="n">
        <v>33014</v>
      </c>
      <c r="B808" s="24">
        <f>VLOOKUP(Table2634[[#This Row],[Date]],'DB Money Supply'!$A:$D,4)</f>
        <v/>
      </c>
      <c r="C808" s="30">
        <f>(Table2634[[#This Row],[M1 Money Stock, Billions of Dollars, Weekly, Seasonally Adjusted]]-B807)/B807</f>
        <v/>
      </c>
      <c r="D808" s="34">
        <f>((1+Table2634[[#This Row],[Weekly change]])^52)-1</f>
        <v/>
      </c>
      <c r="E808" s="24">
        <f>AVERAGE(B805:B808)</f>
        <v/>
      </c>
      <c r="F808" s="32">
        <f>(Table2634[[#This Row],[4 weeks average]]-B756)/B756</f>
        <v/>
      </c>
    </row>
    <row r="809">
      <c r="A809" s="22" t="n">
        <v>33021</v>
      </c>
      <c r="B809" s="24">
        <f>VLOOKUP(Table2634[[#This Row],[Date]],'DB Money Supply'!$A:$D,4)</f>
        <v/>
      </c>
      <c r="C809" s="30">
        <f>(Table2634[[#This Row],[M1 Money Stock, Billions of Dollars, Weekly, Seasonally Adjusted]]-B808)/B808</f>
        <v/>
      </c>
      <c r="D809" s="34">
        <f>((1+Table2634[[#This Row],[Weekly change]])^52)-1</f>
        <v/>
      </c>
      <c r="E809" s="24">
        <f>AVERAGE(B806:B809)</f>
        <v/>
      </c>
      <c r="F809" s="32">
        <f>(Table2634[[#This Row],[4 weeks average]]-B757)/B757</f>
        <v/>
      </c>
    </row>
    <row r="810">
      <c r="A810" s="22" t="n">
        <v>33028</v>
      </c>
      <c r="B810" s="24">
        <f>VLOOKUP(Table2634[[#This Row],[Date]],'DB Money Supply'!$A:$D,4)</f>
        <v/>
      </c>
      <c r="C810" s="30">
        <f>(Table2634[[#This Row],[M1 Money Stock, Billions of Dollars, Weekly, Seasonally Adjusted]]-B809)/B809</f>
        <v/>
      </c>
      <c r="D810" s="34">
        <f>((1+Table2634[[#This Row],[Weekly change]])^52)-1</f>
        <v/>
      </c>
      <c r="E810" s="24">
        <f>AVERAGE(B807:B810)</f>
        <v/>
      </c>
      <c r="F810" s="32">
        <f>(Table2634[[#This Row],[4 weeks average]]-B758)/B758</f>
        <v/>
      </c>
    </row>
    <row r="811">
      <c r="A811" s="22" t="n">
        <v>33035</v>
      </c>
      <c r="B811" s="24">
        <f>VLOOKUP(Table2634[[#This Row],[Date]],'DB Money Supply'!$A:$D,4)</f>
        <v/>
      </c>
      <c r="C811" s="30">
        <f>(Table2634[[#This Row],[M1 Money Stock, Billions of Dollars, Weekly, Seasonally Adjusted]]-B810)/B810</f>
        <v/>
      </c>
      <c r="D811" s="34">
        <f>((1+Table2634[[#This Row],[Weekly change]])^52)-1</f>
        <v/>
      </c>
      <c r="E811" s="24">
        <f>AVERAGE(B808:B811)</f>
        <v/>
      </c>
      <c r="F811" s="32">
        <f>(Table2634[[#This Row],[4 weeks average]]-B759)/B759</f>
        <v/>
      </c>
    </row>
    <row r="812">
      <c r="A812" s="22" t="n">
        <v>33042</v>
      </c>
      <c r="B812" s="24">
        <f>VLOOKUP(Table2634[[#This Row],[Date]],'DB Money Supply'!$A:$D,4)</f>
        <v/>
      </c>
      <c r="C812" s="30">
        <f>(Table2634[[#This Row],[M1 Money Stock, Billions of Dollars, Weekly, Seasonally Adjusted]]-B811)/B811</f>
        <v/>
      </c>
      <c r="D812" s="34">
        <f>((1+Table2634[[#This Row],[Weekly change]])^52)-1</f>
        <v/>
      </c>
      <c r="E812" s="24">
        <f>AVERAGE(B809:B812)</f>
        <v/>
      </c>
      <c r="F812" s="32">
        <f>(Table2634[[#This Row],[4 weeks average]]-B760)/B760</f>
        <v/>
      </c>
    </row>
    <row r="813">
      <c r="A813" s="22" t="n">
        <v>33049</v>
      </c>
      <c r="B813" s="24">
        <f>VLOOKUP(Table2634[[#This Row],[Date]],'DB Money Supply'!$A:$D,4)</f>
        <v/>
      </c>
      <c r="C813" s="30">
        <f>(Table2634[[#This Row],[M1 Money Stock, Billions of Dollars, Weekly, Seasonally Adjusted]]-B812)/B812</f>
        <v/>
      </c>
      <c r="D813" s="34">
        <f>((1+Table2634[[#This Row],[Weekly change]])^52)-1</f>
        <v/>
      </c>
      <c r="E813" s="24">
        <f>AVERAGE(B810:B813)</f>
        <v/>
      </c>
      <c r="F813" s="32">
        <f>(Table2634[[#This Row],[4 weeks average]]-B761)/B761</f>
        <v/>
      </c>
    </row>
    <row r="814">
      <c r="A814" s="22" t="n">
        <v>33056</v>
      </c>
      <c r="B814" s="24">
        <f>VLOOKUP(Table2634[[#This Row],[Date]],'DB Money Supply'!$A:$D,4)</f>
        <v/>
      </c>
      <c r="C814" s="30">
        <f>(Table2634[[#This Row],[M1 Money Stock, Billions of Dollars, Weekly, Seasonally Adjusted]]-B813)/B813</f>
        <v/>
      </c>
      <c r="D814" s="34">
        <f>((1+Table2634[[#This Row],[Weekly change]])^52)-1</f>
        <v/>
      </c>
      <c r="E814" s="24">
        <f>AVERAGE(B811:B814)</f>
        <v/>
      </c>
      <c r="F814" s="32">
        <f>(Table2634[[#This Row],[4 weeks average]]-B762)/B762</f>
        <v/>
      </c>
    </row>
    <row r="815">
      <c r="A815" s="22" t="n">
        <v>33063</v>
      </c>
      <c r="B815" s="24">
        <f>VLOOKUP(Table2634[[#This Row],[Date]],'DB Money Supply'!$A:$D,4)</f>
        <v/>
      </c>
      <c r="C815" s="30">
        <f>(Table2634[[#This Row],[M1 Money Stock, Billions of Dollars, Weekly, Seasonally Adjusted]]-B814)/B814</f>
        <v/>
      </c>
      <c r="D815" s="34">
        <f>((1+Table2634[[#This Row],[Weekly change]])^52)-1</f>
        <v/>
      </c>
      <c r="E815" s="24">
        <f>AVERAGE(B812:B815)</f>
        <v/>
      </c>
      <c r="F815" s="32">
        <f>(Table2634[[#This Row],[4 weeks average]]-B763)/B763</f>
        <v/>
      </c>
    </row>
    <row r="816">
      <c r="A816" s="22" t="n">
        <v>33070</v>
      </c>
      <c r="B816" s="24">
        <f>VLOOKUP(Table2634[[#This Row],[Date]],'DB Money Supply'!$A:$D,4)</f>
        <v/>
      </c>
      <c r="C816" s="30">
        <f>(Table2634[[#This Row],[M1 Money Stock, Billions of Dollars, Weekly, Seasonally Adjusted]]-B815)/B815</f>
        <v/>
      </c>
      <c r="D816" s="34">
        <f>((1+Table2634[[#This Row],[Weekly change]])^52)-1</f>
        <v/>
      </c>
      <c r="E816" s="24">
        <f>AVERAGE(B813:B816)</f>
        <v/>
      </c>
      <c r="F816" s="32">
        <f>(Table2634[[#This Row],[4 weeks average]]-B764)/B764</f>
        <v/>
      </c>
    </row>
    <row r="817">
      <c r="A817" s="22" t="n">
        <v>33077</v>
      </c>
      <c r="B817" s="24">
        <f>VLOOKUP(Table2634[[#This Row],[Date]],'DB Money Supply'!$A:$D,4)</f>
        <v/>
      </c>
      <c r="C817" s="30">
        <f>(Table2634[[#This Row],[M1 Money Stock, Billions of Dollars, Weekly, Seasonally Adjusted]]-B816)/B816</f>
        <v/>
      </c>
      <c r="D817" s="34">
        <f>((1+Table2634[[#This Row],[Weekly change]])^52)-1</f>
        <v/>
      </c>
      <c r="E817" s="24">
        <f>AVERAGE(B814:B817)</f>
        <v/>
      </c>
      <c r="F817" s="32">
        <f>(Table2634[[#This Row],[4 weeks average]]-B765)/B765</f>
        <v/>
      </c>
    </row>
    <row r="818">
      <c r="A818" s="22" t="n">
        <v>33084</v>
      </c>
      <c r="B818" s="24">
        <f>VLOOKUP(Table2634[[#This Row],[Date]],'DB Money Supply'!$A:$D,4)</f>
        <v/>
      </c>
      <c r="C818" s="30">
        <f>(Table2634[[#This Row],[M1 Money Stock, Billions of Dollars, Weekly, Seasonally Adjusted]]-B817)/B817</f>
        <v/>
      </c>
      <c r="D818" s="34">
        <f>((1+Table2634[[#This Row],[Weekly change]])^52)-1</f>
        <v/>
      </c>
      <c r="E818" s="24">
        <f>AVERAGE(B815:B818)</f>
        <v/>
      </c>
      <c r="F818" s="32">
        <f>(Table2634[[#This Row],[4 weeks average]]-B766)/B766</f>
        <v/>
      </c>
    </row>
    <row r="819">
      <c r="A819" s="22" t="n">
        <v>33091</v>
      </c>
      <c r="B819" s="24">
        <f>VLOOKUP(Table2634[[#This Row],[Date]],'DB Money Supply'!$A:$D,4)</f>
        <v/>
      </c>
      <c r="C819" s="30">
        <f>(Table2634[[#This Row],[M1 Money Stock, Billions of Dollars, Weekly, Seasonally Adjusted]]-B818)/B818</f>
        <v/>
      </c>
      <c r="D819" s="34">
        <f>((1+Table2634[[#This Row],[Weekly change]])^52)-1</f>
        <v/>
      </c>
      <c r="E819" s="24">
        <f>AVERAGE(B816:B819)</f>
        <v/>
      </c>
      <c r="F819" s="32">
        <f>(Table2634[[#This Row],[4 weeks average]]-B767)/B767</f>
        <v/>
      </c>
    </row>
    <row r="820">
      <c r="A820" s="22" t="n">
        <v>33098</v>
      </c>
      <c r="B820" s="24">
        <f>VLOOKUP(Table2634[[#This Row],[Date]],'DB Money Supply'!$A:$D,4)</f>
        <v/>
      </c>
      <c r="C820" s="30">
        <f>(Table2634[[#This Row],[M1 Money Stock, Billions of Dollars, Weekly, Seasonally Adjusted]]-B819)/B819</f>
        <v/>
      </c>
      <c r="D820" s="34">
        <f>((1+Table2634[[#This Row],[Weekly change]])^52)-1</f>
        <v/>
      </c>
      <c r="E820" s="24">
        <f>AVERAGE(B817:B820)</f>
        <v/>
      </c>
      <c r="F820" s="32">
        <f>(Table2634[[#This Row],[4 weeks average]]-B768)/B768</f>
        <v/>
      </c>
    </row>
    <row r="821">
      <c r="A821" s="22" t="n">
        <v>33105</v>
      </c>
      <c r="B821" s="24">
        <f>VLOOKUP(Table2634[[#This Row],[Date]],'DB Money Supply'!$A:$D,4)</f>
        <v/>
      </c>
      <c r="C821" s="30">
        <f>(Table2634[[#This Row],[M1 Money Stock, Billions of Dollars, Weekly, Seasonally Adjusted]]-B820)/B820</f>
        <v/>
      </c>
      <c r="D821" s="34">
        <f>((1+Table2634[[#This Row],[Weekly change]])^52)-1</f>
        <v/>
      </c>
      <c r="E821" s="24">
        <f>AVERAGE(B818:B821)</f>
        <v/>
      </c>
      <c r="F821" s="32">
        <f>(Table2634[[#This Row],[4 weeks average]]-B769)/B769</f>
        <v/>
      </c>
    </row>
    <row r="822">
      <c r="A822" s="22" t="n">
        <v>33112</v>
      </c>
      <c r="B822" s="24">
        <f>VLOOKUP(Table2634[[#This Row],[Date]],'DB Money Supply'!$A:$D,4)</f>
        <v/>
      </c>
      <c r="C822" s="30">
        <f>(Table2634[[#This Row],[M1 Money Stock, Billions of Dollars, Weekly, Seasonally Adjusted]]-B821)/B821</f>
        <v/>
      </c>
      <c r="D822" s="34">
        <f>((1+Table2634[[#This Row],[Weekly change]])^52)-1</f>
        <v/>
      </c>
      <c r="E822" s="24">
        <f>AVERAGE(B819:B822)</f>
        <v/>
      </c>
      <c r="F822" s="32">
        <f>(Table2634[[#This Row],[4 weeks average]]-B770)/B770</f>
        <v/>
      </c>
    </row>
    <row r="823">
      <c r="A823" s="22" t="n">
        <v>33119</v>
      </c>
      <c r="B823" s="24">
        <f>VLOOKUP(Table2634[[#This Row],[Date]],'DB Money Supply'!$A:$D,4)</f>
        <v/>
      </c>
      <c r="C823" s="30">
        <f>(Table2634[[#This Row],[M1 Money Stock, Billions of Dollars, Weekly, Seasonally Adjusted]]-B822)/B822</f>
        <v/>
      </c>
      <c r="D823" s="34">
        <f>((1+Table2634[[#This Row],[Weekly change]])^52)-1</f>
        <v/>
      </c>
      <c r="E823" s="24">
        <f>AVERAGE(B820:B823)</f>
        <v/>
      </c>
      <c r="F823" s="32">
        <f>(Table2634[[#This Row],[4 weeks average]]-B771)/B771</f>
        <v/>
      </c>
    </row>
    <row r="824">
      <c r="A824" s="22" t="n">
        <v>33126</v>
      </c>
      <c r="B824" s="24">
        <f>VLOOKUP(Table2634[[#This Row],[Date]],'DB Money Supply'!$A:$D,4)</f>
        <v/>
      </c>
      <c r="C824" s="30">
        <f>(Table2634[[#This Row],[M1 Money Stock, Billions of Dollars, Weekly, Seasonally Adjusted]]-B823)/B823</f>
        <v/>
      </c>
      <c r="D824" s="34">
        <f>((1+Table2634[[#This Row],[Weekly change]])^52)-1</f>
        <v/>
      </c>
      <c r="E824" s="24">
        <f>AVERAGE(B821:B824)</f>
        <v/>
      </c>
      <c r="F824" s="32">
        <f>(Table2634[[#This Row],[4 weeks average]]-B772)/B772</f>
        <v/>
      </c>
    </row>
    <row r="825">
      <c r="A825" s="22" t="n">
        <v>33133</v>
      </c>
      <c r="B825" s="24">
        <f>VLOOKUP(Table2634[[#This Row],[Date]],'DB Money Supply'!$A:$D,4)</f>
        <v/>
      </c>
      <c r="C825" s="30">
        <f>(Table2634[[#This Row],[M1 Money Stock, Billions of Dollars, Weekly, Seasonally Adjusted]]-B824)/B824</f>
        <v/>
      </c>
      <c r="D825" s="34">
        <f>((1+Table2634[[#This Row],[Weekly change]])^52)-1</f>
        <v/>
      </c>
      <c r="E825" s="24">
        <f>AVERAGE(B822:B825)</f>
        <v/>
      </c>
      <c r="F825" s="32">
        <f>(Table2634[[#This Row],[4 weeks average]]-B773)/B773</f>
        <v/>
      </c>
    </row>
    <row r="826">
      <c r="A826" s="22" t="n">
        <v>33140</v>
      </c>
      <c r="B826" s="24">
        <f>VLOOKUP(Table2634[[#This Row],[Date]],'DB Money Supply'!$A:$D,4)</f>
        <v/>
      </c>
      <c r="C826" s="30">
        <f>(Table2634[[#This Row],[M1 Money Stock, Billions of Dollars, Weekly, Seasonally Adjusted]]-B825)/B825</f>
        <v/>
      </c>
      <c r="D826" s="34">
        <f>((1+Table2634[[#This Row],[Weekly change]])^52)-1</f>
        <v/>
      </c>
      <c r="E826" s="24">
        <f>AVERAGE(B823:B826)</f>
        <v/>
      </c>
      <c r="F826" s="32">
        <f>(Table2634[[#This Row],[4 weeks average]]-B774)/B774</f>
        <v/>
      </c>
    </row>
    <row r="827">
      <c r="A827" s="22" t="n">
        <v>33147</v>
      </c>
      <c r="B827" s="24">
        <f>VLOOKUP(Table2634[[#This Row],[Date]],'DB Money Supply'!$A:$D,4)</f>
        <v/>
      </c>
      <c r="C827" s="30">
        <f>(Table2634[[#This Row],[M1 Money Stock, Billions of Dollars, Weekly, Seasonally Adjusted]]-B826)/B826</f>
        <v/>
      </c>
      <c r="D827" s="34">
        <f>((1+Table2634[[#This Row],[Weekly change]])^52)-1</f>
        <v/>
      </c>
      <c r="E827" s="24">
        <f>AVERAGE(B824:B827)</f>
        <v/>
      </c>
      <c r="F827" s="32">
        <f>(Table2634[[#This Row],[4 weeks average]]-B775)/B775</f>
        <v/>
      </c>
    </row>
    <row r="828">
      <c r="A828" s="22" t="n">
        <v>33154</v>
      </c>
      <c r="B828" s="24">
        <f>VLOOKUP(Table2634[[#This Row],[Date]],'DB Money Supply'!$A:$D,4)</f>
        <v/>
      </c>
      <c r="C828" s="30">
        <f>(Table2634[[#This Row],[M1 Money Stock, Billions of Dollars, Weekly, Seasonally Adjusted]]-B827)/B827</f>
        <v/>
      </c>
      <c r="D828" s="34">
        <f>((1+Table2634[[#This Row],[Weekly change]])^52)-1</f>
        <v/>
      </c>
      <c r="E828" s="24">
        <f>AVERAGE(B825:B828)</f>
        <v/>
      </c>
      <c r="F828" s="32">
        <f>(Table2634[[#This Row],[4 weeks average]]-B776)/B776</f>
        <v/>
      </c>
    </row>
    <row r="829">
      <c r="A829" s="22" t="n">
        <v>33161</v>
      </c>
      <c r="B829" s="24">
        <f>VLOOKUP(Table2634[[#This Row],[Date]],'DB Money Supply'!$A:$D,4)</f>
        <v/>
      </c>
      <c r="C829" s="30">
        <f>(Table2634[[#This Row],[M1 Money Stock, Billions of Dollars, Weekly, Seasonally Adjusted]]-B828)/B828</f>
        <v/>
      </c>
      <c r="D829" s="34">
        <f>((1+Table2634[[#This Row],[Weekly change]])^52)-1</f>
        <v/>
      </c>
      <c r="E829" s="24">
        <f>AVERAGE(B826:B829)</f>
        <v/>
      </c>
      <c r="F829" s="32">
        <f>(Table2634[[#This Row],[4 weeks average]]-B777)/B777</f>
        <v/>
      </c>
    </row>
    <row r="830">
      <c r="A830" s="22" t="n">
        <v>33168</v>
      </c>
      <c r="B830" s="24">
        <f>VLOOKUP(Table2634[[#This Row],[Date]],'DB Money Supply'!$A:$D,4)</f>
        <v/>
      </c>
      <c r="C830" s="30">
        <f>(Table2634[[#This Row],[M1 Money Stock, Billions of Dollars, Weekly, Seasonally Adjusted]]-B829)/B829</f>
        <v/>
      </c>
      <c r="D830" s="34">
        <f>((1+Table2634[[#This Row],[Weekly change]])^52)-1</f>
        <v/>
      </c>
      <c r="E830" s="24">
        <f>AVERAGE(B827:B830)</f>
        <v/>
      </c>
      <c r="F830" s="32">
        <f>(Table2634[[#This Row],[4 weeks average]]-B778)/B778</f>
        <v/>
      </c>
    </row>
    <row r="831">
      <c r="A831" s="22" t="n">
        <v>33175</v>
      </c>
      <c r="B831" s="24">
        <f>VLOOKUP(Table2634[[#This Row],[Date]],'DB Money Supply'!$A:$D,4)</f>
        <v/>
      </c>
      <c r="C831" s="30">
        <f>(Table2634[[#This Row],[M1 Money Stock, Billions of Dollars, Weekly, Seasonally Adjusted]]-B830)/B830</f>
        <v/>
      </c>
      <c r="D831" s="34">
        <f>((1+Table2634[[#This Row],[Weekly change]])^52)-1</f>
        <v/>
      </c>
      <c r="E831" s="24">
        <f>AVERAGE(B828:B831)</f>
        <v/>
      </c>
      <c r="F831" s="32">
        <f>(Table2634[[#This Row],[4 weeks average]]-B779)/B779</f>
        <v/>
      </c>
    </row>
    <row r="832">
      <c r="A832" s="22" t="n">
        <v>33182</v>
      </c>
      <c r="B832" s="24">
        <f>VLOOKUP(Table2634[[#This Row],[Date]],'DB Money Supply'!$A:$D,4)</f>
        <v/>
      </c>
      <c r="C832" s="30">
        <f>(Table2634[[#This Row],[M1 Money Stock, Billions of Dollars, Weekly, Seasonally Adjusted]]-B831)/B831</f>
        <v/>
      </c>
      <c r="D832" s="34">
        <f>((1+Table2634[[#This Row],[Weekly change]])^52)-1</f>
        <v/>
      </c>
      <c r="E832" s="24">
        <f>AVERAGE(B829:B832)</f>
        <v/>
      </c>
      <c r="F832" s="32">
        <f>(Table2634[[#This Row],[4 weeks average]]-B780)/B780</f>
        <v/>
      </c>
    </row>
    <row r="833">
      <c r="A833" s="22" t="n">
        <v>33189</v>
      </c>
      <c r="B833" s="24">
        <f>VLOOKUP(Table2634[[#This Row],[Date]],'DB Money Supply'!$A:$D,4)</f>
        <v/>
      </c>
      <c r="C833" s="30">
        <f>(Table2634[[#This Row],[M1 Money Stock, Billions of Dollars, Weekly, Seasonally Adjusted]]-B832)/B832</f>
        <v/>
      </c>
      <c r="D833" s="34">
        <f>((1+Table2634[[#This Row],[Weekly change]])^52)-1</f>
        <v/>
      </c>
      <c r="E833" s="24">
        <f>AVERAGE(B830:B833)</f>
        <v/>
      </c>
      <c r="F833" s="32">
        <f>(Table2634[[#This Row],[4 weeks average]]-B781)/B781</f>
        <v/>
      </c>
    </row>
    <row r="834">
      <c r="A834" s="22" t="n">
        <v>33196</v>
      </c>
      <c r="B834" s="24">
        <f>VLOOKUP(Table2634[[#This Row],[Date]],'DB Money Supply'!$A:$D,4)</f>
        <v/>
      </c>
      <c r="C834" s="30">
        <f>(Table2634[[#This Row],[M1 Money Stock, Billions of Dollars, Weekly, Seasonally Adjusted]]-B833)/B833</f>
        <v/>
      </c>
      <c r="D834" s="34">
        <f>((1+Table2634[[#This Row],[Weekly change]])^52)-1</f>
        <v/>
      </c>
      <c r="E834" s="24">
        <f>AVERAGE(B831:B834)</f>
        <v/>
      </c>
      <c r="F834" s="32">
        <f>(Table2634[[#This Row],[4 weeks average]]-B782)/B782</f>
        <v/>
      </c>
    </row>
    <row r="835">
      <c r="A835" s="22" t="n">
        <v>33203</v>
      </c>
      <c r="B835" s="24">
        <f>VLOOKUP(Table2634[[#This Row],[Date]],'DB Money Supply'!$A:$D,4)</f>
        <v/>
      </c>
      <c r="C835" s="30">
        <f>(Table2634[[#This Row],[M1 Money Stock, Billions of Dollars, Weekly, Seasonally Adjusted]]-B834)/B834</f>
        <v/>
      </c>
      <c r="D835" s="34">
        <f>((1+Table2634[[#This Row],[Weekly change]])^52)-1</f>
        <v/>
      </c>
      <c r="E835" s="24">
        <f>AVERAGE(B832:B835)</f>
        <v/>
      </c>
      <c r="F835" s="32">
        <f>(Table2634[[#This Row],[4 weeks average]]-B783)/B783</f>
        <v/>
      </c>
    </row>
    <row r="836">
      <c r="A836" s="22" t="n">
        <v>33210</v>
      </c>
      <c r="B836" s="24">
        <f>VLOOKUP(Table2634[[#This Row],[Date]],'DB Money Supply'!$A:$D,4)</f>
        <v/>
      </c>
      <c r="C836" s="30">
        <f>(Table2634[[#This Row],[M1 Money Stock, Billions of Dollars, Weekly, Seasonally Adjusted]]-B835)/B835</f>
        <v/>
      </c>
      <c r="D836" s="34">
        <f>((1+Table2634[[#This Row],[Weekly change]])^52)-1</f>
        <v/>
      </c>
      <c r="E836" s="24">
        <f>AVERAGE(B833:B836)</f>
        <v/>
      </c>
      <c r="F836" s="32">
        <f>(Table2634[[#This Row],[4 weeks average]]-B784)/B784</f>
        <v/>
      </c>
    </row>
    <row r="837">
      <c r="A837" s="22" t="n">
        <v>33217</v>
      </c>
      <c r="B837" s="24">
        <f>VLOOKUP(Table2634[[#This Row],[Date]],'DB Money Supply'!$A:$D,4)</f>
        <v/>
      </c>
      <c r="C837" s="30">
        <f>(Table2634[[#This Row],[M1 Money Stock, Billions of Dollars, Weekly, Seasonally Adjusted]]-B836)/B836</f>
        <v/>
      </c>
      <c r="D837" s="34">
        <f>((1+Table2634[[#This Row],[Weekly change]])^52)-1</f>
        <v/>
      </c>
      <c r="E837" s="24">
        <f>AVERAGE(B834:B837)</f>
        <v/>
      </c>
      <c r="F837" s="32">
        <f>(Table2634[[#This Row],[4 weeks average]]-B785)/B785</f>
        <v/>
      </c>
    </row>
    <row r="838">
      <c r="A838" s="22" t="n">
        <v>33224</v>
      </c>
      <c r="B838" s="24">
        <f>VLOOKUP(Table2634[[#This Row],[Date]],'DB Money Supply'!$A:$D,4)</f>
        <v/>
      </c>
      <c r="C838" s="30">
        <f>(Table2634[[#This Row],[M1 Money Stock, Billions of Dollars, Weekly, Seasonally Adjusted]]-B837)/B837</f>
        <v/>
      </c>
      <c r="D838" s="34">
        <f>((1+Table2634[[#This Row],[Weekly change]])^52)-1</f>
        <v/>
      </c>
      <c r="E838" s="24">
        <f>AVERAGE(B835:B838)</f>
        <v/>
      </c>
      <c r="F838" s="32">
        <f>(Table2634[[#This Row],[4 weeks average]]-B786)/B786</f>
        <v/>
      </c>
    </row>
    <row r="839">
      <c r="A839" s="22" t="n">
        <v>33231</v>
      </c>
      <c r="B839" s="24">
        <f>VLOOKUP(Table2634[[#This Row],[Date]],'DB Money Supply'!$A:$D,4)</f>
        <v/>
      </c>
      <c r="C839" s="30">
        <f>(Table2634[[#This Row],[M1 Money Stock, Billions of Dollars, Weekly, Seasonally Adjusted]]-B838)/B838</f>
        <v/>
      </c>
      <c r="D839" s="34">
        <f>((1+Table2634[[#This Row],[Weekly change]])^52)-1</f>
        <v/>
      </c>
      <c r="E839" s="24">
        <f>AVERAGE(B836:B839)</f>
        <v/>
      </c>
      <c r="F839" s="32">
        <f>(Table2634[[#This Row],[4 weeks average]]-B787)/B787</f>
        <v/>
      </c>
    </row>
    <row r="840">
      <c r="A840" s="22" t="n">
        <v>33238</v>
      </c>
      <c r="B840" s="24">
        <f>VLOOKUP(Table2634[[#This Row],[Date]],'DB Money Supply'!$A:$D,4)</f>
        <v/>
      </c>
      <c r="C840" s="30">
        <f>(Table2634[[#This Row],[M1 Money Stock, Billions of Dollars, Weekly, Seasonally Adjusted]]-B839)/B839</f>
        <v/>
      </c>
      <c r="D840" s="34">
        <f>((1+Table2634[[#This Row],[Weekly change]])^52)-1</f>
        <v/>
      </c>
      <c r="E840" s="24">
        <f>AVERAGE(B837:B840)</f>
        <v/>
      </c>
      <c r="F840" s="32">
        <f>(Table2634[[#This Row],[4 weeks average]]-B788)/B788</f>
        <v/>
      </c>
    </row>
    <row r="841">
      <c r="A841" s="22" t="n">
        <v>33245</v>
      </c>
      <c r="B841" s="24">
        <f>VLOOKUP(Table2634[[#This Row],[Date]],'DB Money Supply'!$A:$D,4)</f>
        <v/>
      </c>
      <c r="C841" s="30">
        <f>(Table2634[[#This Row],[M1 Money Stock, Billions of Dollars, Weekly, Seasonally Adjusted]]-B840)/B840</f>
        <v/>
      </c>
      <c r="D841" s="34">
        <f>((1+Table2634[[#This Row],[Weekly change]])^52)-1</f>
        <v/>
      </c>
      <c r="E841" s="24">
        <f>AVERAGE(B838:B841)</f>
        <v/>
      </c>
      <c r="F841" s="32">
        <f>(Table2634[[#This Row],[4 weeks average]]-B789)/B789</f>
        <v/>
      </c>
    </row>
    <row r="842">
      <c r="A842" s="22" t="n">
        <v>33252</v>
      </c>
      <c r="B842" s="24">
        <f>VLOOKUP(Table2634[[#This Row],[Date]],'DB Money Supply'!$A:$D,4)</f>
        <v/>
      </c>
      <c r="C842" s="30">
        <f>(Table2634[[#This Row],[M1 Money Stock, Billions of Dollars, Weekly, Seasonally Adjusted]]-B841)/B841</f>
        <v/>
      </c>
      <c r="D842" s="34">
        <f>((1+Table2634[[#This Row],[Weekly change]])^52)-1</f>
        <v/>
      </c>
      <c r="E842" s="24">
        <f>AVERAGE(B839:B842)</f>
        <v/>
      </c>
      <c r="F842" s="32">
        <f>(Table2634[[#This Row],[4 weeks average]]-B790)/B790</f>
        <v/>
      </c>
    </row>
    <row r="843">
      <c r="A843" s="22" t="n">
        <v>33259</v>
      </c>
      <c r="B843" s="24">
        <f>VLOOKUP(Table2634[[#This Row],[Date]],'DB Money Supply'!$A:$D,4)</f>
        <v/>
      </c>
      <c r="C843" s="30">
        <f>(Table2634[[#This Row],[M1 Money Stock, Billions of Dollars, Weekly, Seasonally Adjusted]]-B842)/B842</f>
        <v/>
      </c>
      <c r="D843" s="34">
        <f>((1+Table2634[[#This Row],[Weekly change]])^52)-1</f>
        <v/>
      </c>
      <c r="E843" s="24">
        <f>AVERAGE(B840:B843)</f>
        <v/>
      </c>
      <c r="F843" s="32">
        <f>(Table2634[[#This Row],[4 weeks average]]-B791)/B791</f>
        <v/>
      </c>
    </row>
    <row r="844">
      <c r="A844" s="22" t="n">
        <v>33266</v>
      </c>
      <c r="B844" s="24">
        <f>VLOOKUP(Table2634[[#This Row],[Date]],'DB Money Supply'!$A:$D,4)</f>
        <v/>
      </c>
      <c r="C844" s="30">
        <f>(Table2634[[#This Row],[M1 Money Stock, Billions of Dollars, Weekly, Seasonally Adjusted]]-B843)/B843</f>
        <v/>
      </c>
      <c r="D844" s="34">
        <f>((1+Table2634[[#This Row],[Weekly change]])^52)-1</f>
        <v/>
      </c>
      <c r="E844" s="24">
        <f>AVERAGE(B841:B844)</f>
        <v/>
      </c>
      <c r="F844" s="32">
        <f>(Table2634[[#This Row],[4 weeks average]]-B792)/B792</f>
        <v/>
      </c>
    </row>
    <row r="845">
      <c r="A845" s="22" t="n">
        <v>33273</v>
      </c>
      <c r="B845" s="24">
        <f>VLOOKUP(Table2634[[#This Row],[Date]],'DB Money Supply'!$A:$D,4)</f>
        <v/>
      </c>
      <c r="C845" s="30">
        <f>(Table2634[[#This Row],[M1 Money Stock, Billions of Dollars, Weekly, Seasonally Adjusted]]-B844)/B844</f>
        <v/>
      </c>
      <c r="D845" s="34">
        <f>((1+Table2634[[#This Row],[Weekly change]])^52)-1</f>
        <v/>
      </c>
      <c r="E845" s="24">
        <f>AVERAGE(B842:B845)</f>
        <v/>
      </c>
      <c r="F845" s="32">
        <f>(Table2634[[#This Row],[4 weeks average]]-B793)/B793</f>
        <v/>
      </c>
    </row>
    <row r="846">
      <c r="A846" s="22" t="n">
        <v>33280</v>
      </c>
      <c r="B846" s="24">
        <f>VLOOKUP(Table2634[[#This Row],[Date]],'DB Money Supply'!$A:$D,4)</f>
        <v/>
      </c>
      <c r="C846" s="30">
        <f>(Table2634[[#This Row],[M1 Money Stock, Billions of Dollars, Weekly, Seasonally Adjusted]]-B845)/B845</f>
        <v/>
      </c>
      <c r="D846" s="34">
        <f>((1+Table2634[[#This Row],[Weekly change]])^52)-1</f>
        <v/>
      </c>
      <c r="E846" s="24">
        <f>AVERAGE(B843:B846)</f>
        <v/>
      </c>
      <c r="F846" s="32">
        <f>(Table2634[[#This Row],[4 weeks average]]-B794)/B794</f>
        <v/>
      </c>
    </row>
    <row r="847">
      <c r="A847" s="22" t="n">
        <v>33287</v>
      </c>
      <c r="B847" s="24">
        <f>VLOOKUP(Table2634[[#This Row],[Date]],'DB Money Supply'!$A:$D,4)</f>
        <v/>
      </c>
      <c r="C847" s="30">
        <f>(Table2634[[#This Row],[M1 Money Stock, Billions of Dollars, Weekly, Seasonally Adjusted]]-B846)/B846</f>
        <v/>
      </c>
      <c r="D847" s="34">
        <f>((1+Table2634[[#This Row],[Weekly change]])^52)-1</f>
        <v/>
      </c>
      <c r="E847" s="24">
        <f>AVERAGE(B844:B847)</f>
        <v/>
      </c>
      <c r="F847" s="32">
        <f>(Table2634[[#This Row],[4 weeks average]]-B795)/B795</f>
        <v/>
      </c>
    </row>
    <row r="848">
      <c r="A848" s="22" t="n">
        <v>33294</v>
      </c>
      <c r="B848" s="24">
        <f>VLOOKUP(Table2634[[#This Row],[Date]],'DB Money Supply'!$A:$D,4)</f>
        <v/>
      </c>
      <c r="C848" s="30">
        <f>(Table2634[[#This Row],[M1 Money Stock, Billions of Dollars, Weekly, Seasonally Adjusted]]-B847)/B847</f>
        <v/>
      </c>
      <c r="D848" s="34">
        <f>((1+Table2634[[#This Row],[Weekly change]])^52)-1</f>
        <v/>
      </c>
      <c r="E848" s="24">
        <f>AVERAGE(B845:B848)</f>
        <v/>
      </c>
      <c r="F848" s="32">
        <f>(Table2634[[#This Row],[4 weeks average]]-B796)/B796</f>
        <v/>
      </c>
    </row>
    <row r="849">
      <c r="A849" s="22" t="n">
        <v>33301</v>
      </c>
      <c r="B849" s="24">
        <f>VLOOKUP(Table2634[[#This Row],[Date]],'DB Money Supply'!$A:$D,4)</f>
        <v/>
      </c>
      <c r="C849" s="30">
        <f>(Table2634[[#This Row],[M1 Money Stock, Billions of Dollars, Weekly, Seasonally Adjusted]]-B848)/B848</f>
        <v/>
      </c>
      <c r="D849" s="34">
        <f>((1+Table2634[[#This Row],[Weekly change]])^52)-1</f>
        <v/>
      </c>
      <c r="E849" s="24">
        <f>AVERAGE(B846:B849)</f>
        <v/>
      </c>
      <c r="F849" s="32">
        <f>(Table2634[[#This Row],[4 weeks average]]-B797)/B797</f>
        <v/>
      </c>
    </row>
    <row r="850">
      <c r="A850" s="22" t="n">
        <v>33308</v>
      </c>
      <c r="B850" s="24">
        <f>VLOOKUP(Table2634[[#This Row],[Date]],'DB Money Supply'!$A:$D,4)</f>
        <v/>
      </c>
      <c r="C850" s="30">
        <f>(Table2634[[#This Row],[M1 Money Stock, Billions of Dollars, Weekly, Seasonally Adjusted]]-B849)/B849</f>
        <v/>
      </c>
      <c r="D850" s="34">
        <f>((1+Table2634[[#This Row],[Weekly change]])^52)-1</f>
        <v/>
      </c>
      <c r="E850" s="24">
        <f>AVERAGE(B847:B850)</f>
        <v/>
      </c>
      <c r="F850" s="32">
        <f>(Table2634[[#This Row],[4 weeks average]]-B798)/B798</f>
        <v/>
      </c>
    </row>
    <row r="851">
      <c r="A851" s="22" t="n">
        <v>33315</v>
      </c>
      <c r="B851" s="24">
        <f>VLOOKUP(Table2634[[#This Row],[Date]],'DB Money Supply'!$A:$D,4)</f>
        <v/>
      </c>
      <c r="C851" s="30">
        <f>(Table2634[[#This Row],[M1 Money Stock, Billions of Dollars, Weekly, Seasonally Adjusted]]-B850)/B850</f>
        <v/>
      </c>
      <c r="D851" s="34">
        <f>((1+Table2634[[#This Row],[Weekly change]])^52)-1</f>
        <v/>
      </c>
      <c r="E851" s="24">
        <f>AVERAGE(B848:B851)</f>
        <v/>
      </c>
      <c r="F851" s="32">
        <f>(Table2634[[#This Row],[4 weeks average]]-B799)/B799</f>
        <v/>
      </c>
    </row>
    <row r="852">
      <c r="A852" s="22" t="n">
        <v>33322</v>
      </c>
      <c r="B852" s="24">
        <f>VLOOKUP(Table2634[[#This Row],[Date]],'DB Money Supply'!$A:$D,4)</f>
        <v/>
      </c>
      <c r="C852" s="30">
        <f>(Table2634[[#This Row],[M1 Money Stock, Billions of Dollars, Weekly, Seasonally Adjusted]]-B851)/B851</f>
        <v/>
      </c>
      <c r="D852" s="34">
        <f>((1+Table2634[[#This Row],[Weekly change]])^52)-1</f>
        <v/>
      </c>
      <c r="E852" s="24">
        <f>AVERAGE(B849:B852)</f>
        <v/>
      </c>
      <c r="F852" s="32">
        <f>(Table2634[[#This Row],[4 weeks average]]-B800)/B800</f>
        <v/>
      </c>
    </row>
    <row r="853">
      <c r="A853" s="22" t="n">
        <v>33329</v>
      </c>
      <c r="B853" s="24">
        <f>VLOOKUP(Table2634[[#This Row],[Date]],'DB Money Supply'!$A:$D,4)</f>
        <v/>
      </c>
      <c r="C853" s="30">
        <f>(Table2634[[#This Row],[M1 Money Stock, Billions of Dollars, Weekly, Seasonally Adjusted]]-B852)/B852</f>
        <v/>
      </c>
      <c r="D853" s="34">
        <f>((1+Table2634[[#This Row],[Weekly change]])^52)-1</f>
        <v/>
      </c>
      <c r="E853" s="24">
        <f>AVERAGE(B850:B853)</f>
        <v/>
      </c>
      <c r="F853" s="32">
        <f>(Table2634[[#This Row],[4 weeks average]]-B801)/B801</f>
        <v/>
      </c>
    </row>
    <row r="854">
      <c r="A854" s="22" t="n">
        <v>33336</v>
      </c>
      <c r="B854" s="24">
        <f>VLOOKUP(Table2634[[#This Row],[Date]],'DB Money Supply'!$A:$D,4)</f>
        <v/>
      </c>
      <c r="C854" s="30">
        <f>(Table2634[[#This Row],[M1 Money Stock, Billions of Dollars, Weekly, Seasonally Adjusted]]-B853)/B853</f>
        <v/>
      </c>
      <c r="D854" s="34">
        <f>((1+Table2634[[#This Row],[Weekly change]])^52)-1</f>
        <v/>
      </c>
      <c r="E854" s="24">
        <f>AVERAGE(B851:B854)</f>
        <v/>
      </c>
      <c r="F854" s="32">
        <f>(Table2634[[#This Row],[4 weeks average]]-B802)/B802</f>
        <v/>
      </c>
    </row>
    <row r="855">
      <c r="A855" s="22" t="n">
        <v>33343</v>
      </c>
      <c r="B855" s="24">
        <f>VLOOKUP(Table2634[[#This Row],[Date]],'DB Money Supply'!$A:$D,4)</f>
        <v/>
      </c>
      <c r="C855" s="30">
        <f>(Table2634[[#This Row],[M1 Money Stock, Billions of Dollars, Weekly, Seasonally Adjusted]]-B854)/B854</f>
        <v/>
      </c>
      <c r="D855" s="34">
        <f>((1+Table2634[[#This Row],[Weekly change]])^52)-1</f>
        <v/>
      </c>
      <c r="E855" s="24">
        <f>AVERAGE(B852:B855)</f>
        <v/>
      </c>
      <c r="F855" s="32">
        <f>(Table2634[[#This Row],[4 weeks average]]-B803)/B803</f>
        <v/>
      </c>
    </row>
    <row r="856">
      <c r="A856" s="22" t="n">
        <v>33350</v>
      </c>
      <c r="B856" s="24">
        <f>VLOOKUP(Table2634[[#This Row],[Date]],'DB Money Supply'!$A:$D,4)</f>
        <v/>
      </c>
      <c r="C856" s="30">
        <f>(Table2634[[#This Row],[M1 Money Stock, Billions of Dollars, Weekly, Seasonally Adjusted]]-B855)/B855</f>
        <v/>
      </c>
      <c r="D856" s="34">
        <f>((1+Table2634[[#This Row],[Weekly change]])^52)-1</f>
        <v/>
      </c>
      <c r="E856" s="24">
        <f>AVERAGE(B853:B856)</f>
        <v/>
      </c>
      <c r="F856" s="32">
        <f>(Table2634[[#This Row],[4 weeks average]]-B804)/B804</f>
        <v/>
      </c>
    </row>
    <row r="857">
      <c r="A857" s="22" t="n">
        <v>33357</v>
      </c>
      <c r="B857" s="24">
        <f>VLOOKUP(Table2634[[#This Row],[Date]],'DB Money Supply'!$A:$D,4)</f>
        <v/>
      </c>
      <c r="C857" s="30">
        <f>(Table2634[[#This Row],[M1 Money Stock, Billions of Dollars, Weekly, Seasonally Adjusted]]-B856)/B856</f>
        <v/>
      </c>
      <c r="D857" s="34">
        <f>((1+Table2634[[#This Row],[Weekly change]])^52)-1</f>
        <v/>
      </c>
      <c r="E857" s="24">
        <f>AVERAGE(B854:B857)</f>
        <v/>
      </c>
      <c r="F857" s="32">
        <f>(Table2634[[#This Row],[4 weeks average]]-B805)/B805</f>
        <v/>
      </c>
    </row>
    <row r="858">
      <c r="A858" s="22" t="n">
        <v>33364</v>
      </c>
      <c r="B858" s="24">
        <f>VLOOKUP(Table2634[[#This Row],[Date]],'DB Money Supply'!$A:$D,4)</f>
        <v/>
      </c>
      <c r="C858" s="30">
        <f>(Table2634[[#This Row],[M1 Money Stock, Billions of Dollars, Weekly, Seasonally Adjusted]]-B857)/B857</f>
        <v/>
      </c>
      <c r="D858" s="34">
        <f>((1+Table2634[[#This Row],[Weekly change]])^52)-1</f>
        <v/>
      </c>
      <c r="E858" s="24">
        <f>AVERAGE(B855:B858)</f>
        <v/>
      </c>
      <c r="F858" s="32">
        <f>(Table2634[[#This Row],[4 weeks average]]-B806)/B806</f>
        <v/>
      </c>
    </row>
    <row r="859">
      <c r="A859" s="22" t="n">
        <v>33371</v>
      </c>
      <c r="B859" s="24">
        <f>VLOOKUP(Table2634[[#This Row],[Date]],'DB Money Supply'!$A:$D,4)</f>
        <v/>
      </c>
      <c r="C859" s="30">
        <f>(Table2634[[#This Row],[M1 Money Stock, Billions of Dollars, Weekly, Seasonally Adjusted]]-B858)/B858</f>
        <v/>
      </c>
      <c r="D859" s="34">
        <f>((1+Table2634[[#This Row],[Weekly change]])^52)-1</f>
        <v/>
      </c>
      <c r="E859" s="24">
        <f>AVERAGE(B856:B859)</f>
        <v/>
      </c>
      <c r="F859" s="32">
        <f>(Table2634[[#This Row],[4 weeks average]]-B807)/B807</f>
        <v/>
      </c>
    </row>
    <row r="860">
      <c r="A860" s="22" t="n">
        <v>33378</v>
      </c>
      <c r="B860" s="24">
        <f>VLOOKUP(Table2634[[#This Row],[Date]],'DB Money Supply'!$A:$D,4)</f>
        <v/>
      </c>
      <c r="C860" s="30">
        <f>(Table2634[[#This Row],[M1 Money Stock, Billions of Dollars, Weekly, Seasonally Adjusted]]-B859)/B859</f>
        <v/>
      </c>
      <c r="D860" s="34">
        <f>((1+Table2634[[#This Row],[Weekly change]])^52)-1</f>
        <v/>
      </c>
      <c r="E860" s="24">
        <f>AVERAGE(B857:B860)</f>
        <v/>
      </c>
      <c r="F860" s="32">
        <f>(Table2634[[#This Row],[4 weeks average]]-B808)/B808</f>
        <v/>
      </c>
    </row>
    <row r="861">
      <c r="A861" s="22" t="n">
        <v>33385</v>
      </c>
      <c r="B861" s="24">
        <f>VLOOKUP(Table2634[[#This Row],[Date]],'DB Money Supply'!$A:$D,4)</f>
        <v/>
      </c>
      <c r="C861" s="30">
        <f>(Table2634[[#This Row],[M1 Money Stock, Billions of Dollars, Weekly, Seasonally Adjusted]]-B860)/B860</f>
        <v/>
      </c>
      <c r="D861" s="34">
        <f>((1+Table2634[[#This Row],[Weekly change]])^52)-1</f>
        <v/>
      </c>
      <c r="E861" s="24">
        <f>AVERAGE(B858:B861)</f>
        <v/>
      </c>
      <c r="F861" s="32">
        <f>(Table2634[[#This Row],[4 weeks average]]-B809)/B809</f>
        <v/>
      </c>
    </row>
    <row r="862">
      <c r="A862" s="22" t="n">
        <v>33392</v>
      </c>
      <c r="B862" s="24">
        <f>VLOOKUP(Table2634[[#This Row],[Date]],'DB Money Supply'!$A:$D,4)</f>
        <v/>
      </c>
      <c r="C862" s="30">
        <f>(Table2634[[#This Row],[M1 Money Stock, Billions of Dollars, Weekly, Seasonally Adjusted]]-B861)/B861</f>
        <v/>
      </c>
      <c r="D862" s="34">
        <f>((1+Table2634[[#This Row],[Weekly change]])^52)-1</f>
        <v/>
      </c>
      <c r="E862" s="24">
        <f>AVERAGE(B859:B862)</f>
        <v/>
      </c>
      <c r="F862" s="32">
        <f>(Table2634[[#This Row],[4 weeks average]]-B810)/B810</f>
        <v/>
      </c>
    </row>
    <row r="863">
      <c r="A863" s="22" t="n">
        <v>33399</v>
      </c>
      <c r="B863" s="24">
        <f>VLOOKUP(Table2634[[#This Row],[Date]],'DB Money Supply'!$A:$D,4)</f>
        <v/>
      </c>
      <c r="C863" s="30">
        <f>(Table2634[[#This Row],[M1 Money Stock, Billions of Dollars, Weekly, Seasonally Adjusted]]-B862)/B862</f>
        <v/>
      </c>
      <c r="D863" s="34">
        <f>((1+Table2634[[#This Row],[Weekly change]])^52)-1</f>
        <v/>
      </c>
      <c r="E863" s="24">
        <f>AVERAGE(B860:B863)</f>
        <v/>
      </c>
      <c r="F863" s="32">
        <f>(Table2634[[#This Row],[4 weeks average]]-B811)/B811</f>
        <v/>
      </c>
    </row>
    <row r="864">
      <c r="A864" s="22" t="n">
        <v>33406</v>
      </c>
      <c r="B864" s="24">
        <f>VLOOKUP(Table2634[[#This Row],[Date]],'DB Money Supply'!$A:$D,4)</f>
        <v/>
      </c>
      <c r="C864" s="30">
        <f>(Table2634[[#This Row],[M1 Money Stock, Billions of Dollars, Weekly, Seasonally Adjusted]]-B863)/B863</f>
        <v/>
      </c>
      <c r="D864" s="34">
        <f>((1+Table2634[[#This Row],[Weekly change]])^52)-1</f>
        <v/>
      </c>
      <c r="E864" s="24">
        <f>AVERAGE(B861:B864)</f>
        <v/>
      </c>
      <c r="F864" s="32">
        <f>(Table2634[[#This Row],[4 weeks average]]-B812)/B812</f>
        <v/>
      </c>
    </row>
    <row r="865">
      <c r="A865" s="22" t="n">
        <v>33413</v>
      </c>
      <c r="B865" s="24">
        <f>VLOOKUP(Table2634[[#This Row],[Date]],'DB Money Supply'!$A:$D,4)</f>
        <v/>
      </c>
      <c r="C865" s="30">
        <f>(Table2634[[#This Row],[M1 Money Stock, Billions of Dollars, Weekly, Seasonally Adjusted]]-B864)/B864</f>
        <v/>
      </c>
      <c r="D865" s="34">
        <f>((1+Table2634[[#This Row],[Weekly change]])^52)-1</f>
        <v/>
      </c>
      <c r="E865" s="24">
        <f>AVERAGE(B862:B865)</f>
        <v/>
      </c>
      <c r="F865" s="32">
        <f>(Table2634[[#This Row],[4 weeks average]]-B813)/B813</f>
        <v/>
      </c>
    </row>
    <row r="866">
      <c r="A866" s="22" t="n">
        <v>33420</v>
      </c>
      <c r="B866" s="24">
        <f>VLOOKUP(Table2634[[#This Row],[Date]],'DB Money Supply'!$A:$D,4)</f>
        <v/>
      </c>
      <c r="C866" s="30">
        <f>(Table2634[[#This Row],[M1 Money Stock, Billions of Dollars, Weekly, Seasonally Adjusted]]-B865)/B865</f>
        <v/>
      </c>
      <c r="D866" s="34">
        <f>((1+Table2634[[#This Row],[Weekly change]])^52)-1</f>
        <v/>
      </c>
      <c r="E866" s="24">
        <f>AVERAGE(B863:B866)</f>
        <v/>
      </c>
      <c r="F866" s="32">
        <f>(Table2634[[#This Row],[4 weeks average]]-B814)/B814</f>
        <v/>
      </c>
    </row>
    <row r="867">
      <c r="A867" s="22" t="n">
        <v>33427</v>
      </c>
      <c r="B867" s="24">
        <f>VLOOKUP(Table2634[[#This Row],[Date]],'DB Money Supply'!$A:$D,4)</f>
        <v/>
      </c>
      <c r="C867" s="30">
        <f>(Table2634[[#This Row],[M1 Money Stock, Billions of Dollars, Weekly, Seasonally Adjusted]]-B866)/B866</f>
        <v/>
      </c>
      <c r="D867" s="34">
        <f>((1+Table2634[[#This Row],[Weekly change]])^52)-1</f>
        <v/>
      </c>
      <c r="E867" s="24">
        <f>AVERAGE(B864:B867)</f>
        <v/>
      </c>
      <c r="F867" s="32">
        <f>(Table2634[[#This Row],[4 weeks average]]-B815)/B815</f>
        <v/>
      </c>
    </row>
    <row r="868">
      <c r="A868" s="22" t="n">
        <v>33434</v>
      </c>
      <c r="B868" s="24">
        <f>VLOOKUP(Table2634[[#This Row],[Date]],'DB Money Supply'!$A:$D,4)</f>
        <v/>
      </c>
      <c r="C868" s="30">
        <f>(Table2634[[#This Row],[M1 Money Stock, Billions of Dollars, Weekly, Seasonally Adjusted]]-B867)/B867</f>
        <v/>
      </c>
      <c r="D868" s="34">
        <f>((1+Table2634[[#This Row],[Weekly change]])^52)-1</f>
        <v/>
      </c>
      <c r="E868" s="24">
        <f>AVERAGE(B865:B868)</f>
        <v/>
      </c>
      <c r="F868" s="32">
        <f>(Table2634[[#This Row],[4 weeks average]]-B816)/B816</f>
        <v/>
      </c>
    </row>
    <row r="869">
      <c r="A869" s="22" t="n">
        <v>33441</v>
      </c>
      <c r="B869" s="24">
        <f>VLOOKUP(Table2634[[#This Row],[Date]],'DB Money Supply'!$A:$D,4)</f>
        <v/>
      </c>
      <c r="C869" s="30">
        <f>(Table2634[[#This Row],[M1 Money Stock, Billions of Dollars, Weekly, Seasonally Adjusted]]-B868)/B868</f>
        <v/>
      </c>
      <c r="D869" s="34">
        <f>((1+Table2634[[#This Row],[Weekly change]])^52)-1</f>
        <v/>
      </c>
      <c r="E869" s="24">
        <f>AVERAGE(B866:B869)</f>
        <v/>
      </c>
      <c r="F869" s="32">
        <f>(Table2634[[#This Row],[4 weeks average]]-B817)/B817</f>
        <v/>
      </c>
    </row>
    <row r="870">
      <c r="A870" s="22" t="n">
        <v>33448</v>
      </c>
      <c r="B870" s="24">
        <f>VLOOKUP(Table2634[[#This Row],[Date]],'DB Money Supply'!$A:$D,4)</f>
        <v/>
      </c>
      <c r="C870" s="30">
        <f>(Table2634[[#This Row],[M1 Money Stock, Billions of Dollars, Weekly, Seasonally Adjusted]]-B869)/B869</f>
        <v/>
      </c>
      <c r="D870" s="34">
        <f>((1+Table2634[[#This Row],[Weekly change]])^52)-1</f>
        <v/>
      </c>
      <c r="E870" s="24">
        <f>AVERAGE(B867:B870)</f>
        <v/>
      </c>
      <c r="F870" s="32">
        <f>(Table2634[[#This Row],[4 weeks average]]-B818)/B818</f>
        <v/>
      </c>
    </row>
    <row r="871">
      <c r="A871" s="22" t="n">
        <v>33455</v>
      </c>
      <c r="B871" s="24">
        <f>VLOOKUP(Table2634[[#This Row],[Date]],'DB Money Supply'!$A:$D,4)</f>
        <v/>
      </c>
      <c r="C871" s="30">
        <f>(Table2634[[#This Row],[M1 Money Stock, Billions of Dollars, Weekly, Seasonally Adjusted]]-B870)/B870</f>
        <v/>
      </c>
      <c r="D871" s="34">
        <f>((1+Table2634[[#This Row],[Weekly change]])^52)-1</f>
        <v/>
      </c>
      <c r="E871" s="24">
        <f>AVERAGE(B868:B871)</f>
        <v/>
      </c>
      <c r="F871" s="32">
        <f>(Table2634[[#This Row],[4 weeks average]]-B819)/B819</f>
        <v/>
      </c>
    </row>
    <row r="872">
      <c r="A872" s="22" t="n">
        <v>33462</v>
      </c>
      <c r="B872" s="24">
        <f>VLOOKUP(Table2634[[#This Row],[Date]],'DB Money Supply'!$A:$D,4)</f>
        <v/>
      </c>
      <c r="C872" s="30">
        <f>(Table2634[[#This Row],[M1 Money Stock, Billions of Dollars, Weekly, Seasonally Adjusted]]-B871)/B871</f>
        <v/>
      </c>
      <c r="D872" s="34">
        <f>((1+Table2634[[#This Row],[Weekly change]])^52)-1</f>
        <v/>
      </c>
      <c r="E872" s="24">
        <f>AVERAGE(B869:B872)</f>
        <v/>
      </c>
      <c r="F872" s="32">
        <f>(Table2634[[#This Row],[4 weeks average]]-B820)/B820</f>
        <v/>
      </c>
    </row>
    <row r="873">
      <c r="A873" s="22" t="n">
        <v>33469</v>
      </c>
      <c r="B873" s="24">
        <f>VLOOKUP(Table2634[[#This Row],[Date]],'DB Money Supply'!$A:$D,4)</f>
        <v/>
      </c>
      <c r="C873" s="30">
        <f>(Table2634[[#This Row],[M1 Money Stock, Billions of Dollars, Weekly, Seasonally Adjusted]]-B872)/B872</f>
        <v/>
      </c>
      <c r="D873" s="34">
        <f>((1+Table2634[[#This Row],[Weekly change]])^52)-1</f>
        <v/>
      </c>
      <c r="E873" s="24">
        <f>AVERAGE(B870:B873)</f>
        <v/>
      </c>
      <c r="F873" s="32">
        <f>(Table2634[[#This Row],[4 weeks average]]-B821)/B821</f>
        <v/>
      </c>
    </row>
    <row r="874">
      <c r="A874" s="22" t="n">
        <v>33476</v>
      </c>
      <c r="B874" s="24">
        <f>VLOOKUP(Table2634[[#This Row],[Date]],'DB Money Supply'!$A:$D,4)</f>
        <v/>
      </c>
      <c r="C874" s="30">
        <f>(Table2634[[#This Row],[M1 Money Stock, Billions of Dollars, Weekly, Seasonally Adjusted]]-B873)/B873</f>
        <v/>
      </c>
      <c r="D874" s="34">
        <f>((1+Table2634[[#This Row],[Weekly change]])^52)-1</f>
        <v/>
      </c>
      <c r="E874" s="24">
        <f>AVERAGE(B871:B874)</f>
        <v/>
      </c>
      <c r="F874" s="32">
        <f>(Table2634[[#This Row],[4 weeks average]]-B822)/B822</f>
        <v/>
      </c>
    </row>
    <row r="875">
      <c r="A875" s="22" t="n">
        <v>33483</v>
      </c>
      <c r="B875" s="24">
        <f>VLOOKUP(Table2634[[#This Row],[Date]],'DB Money Supply'!$A:$D,4)</f>
        <v/>
      </c>
      <c r="C875" s="30">
        <f>(Table2634[[#This Row],[M1 Money Stock, Billions of Dollars, Weekly, Seasonally Adjusted]]-B874)/B874</f>
        <v/>
      </c>
      <c r="D875" s="34">
        <f>((1+Table2634[[#This Row],[Weekly change]])^52)-1</f>
        <v/>
      </c>
      <c r="E875" s="24">
        <f>AVERAGE(B872:B875)</f>
        <v/>
      </c>
      <c r="F875" s="32">
        <f>(Table2634[[#This Row],[4 weeks average]]-B823)/B823</f>
        <v/>
      </c>
    </row>
    <row r="876">
      <c r="A876" s="22" t="n">
        <v>33490</v>
      </c>
      <c r="B876" s="24">
        <f>VLOOKUP(Table2634[[#This Row],[Date]],'DB Money Supply'!$A:$D,4)</f>
        <v/>
      </c>
      <c r="C876" s="30">
        <f>(Table2634[[#This Row],[M1 Money Stock, Billions of Dollars, Weekly, Seasonally Adjusted]]-B875)/B875</f>
        <v/>
      </c>
      <c r="D876" s="34">
        <f>((1+Table2634[[#This Row],[Weekly change]])^52)-1</f>
        <v/>
      </c>
      <c r="E876" s="24">
        <f>AVERAGE(B873:B876)</f>
        <v/>
      </c>
      <c r="F876" s="32">
        <f>(Table2634[[#This Row],[4 weeks average]]-B824)/B824</f>
        <v/>
      </c>
    </row>
    <row r="877">
      <c r="A877" s="22" t="n">
        <v>33497</v>
      </c>
      <c r="B877" s="24">
        <f>VLOOKUP(Table2634[[#This Row],[Date]],'DB Money Supply'!$A:$D,4)</f>
        <v/>
      </c>
      <c r="C877" s="30">
        <f>(Table2634[[#This Row],[M1 Money Stock, Billions of Dollars, Weekly, Seasonally Adjusted]]-B876)/B876</f>
        <v/>
      </c>
      <c r="D877" s="34">
        <f>((1+Table2634[[#This Row],[Weekly change]])^52)-1</f>
        <v/>
      </c>
      <c r="E877" s="24">
        <f>AVERAGE(B874:B877)</f>
        <v/>
      </c>
      <c r="F877" s="32">
        <f>(Table2634[[#This Row],[4 weeks average]]-B825)/B825</f>
        <v/>
      </c>
    </row>
    <row r="878">
      <c r="A878" s="22" t="n">
        <v>33504</v>
      </c>
      <c r="B878" s="24">
        <f>VLOOKUP(Table2634[[#This Row],[Date]],'DB Money Supply'!$A:$D,4)</f>
        <v/>
      </c>
      <c r="C878" s="30">
        <f>(Table2634[[#This Row],[M1 Money Stock, Billions of Dollars, Weekly, Seasonally Adjusted]]-B877)/B877</f>
        <v/>
      </c>
      <c r="D878" s="34">
        <f>((1+Table2634[[#This Row],[Weekly change]])^52)-1</f>
        <v/>
      </c>
      <c r="E878" s="24">
        <f>AVERAGE(B875:B878)</f>
        <v/>
      </c>
      <c r="F878" s="32">
        <f>(Table2634[[#This Row],[4 weeks average]]-B826)/B826</f>
        <v/>
      </c>
    </row>
    <row r="879">
      <c r="A879" s="22" t="n">
        <v>33511</v>
      </c>
      <c r="B879" s="24">
        <f>VLOOKUP(Table2634[[#This Row],[Date]],'DB Money Supply'!$A:$D,4)</f>
        <v/>
      </c>
      <c r="C879" s="30">
        <f>(Table2634[[#This Row],[M1 Money Stock, Billions of Dollars, Weekly, Seasonally Adjusted]]-B878)/B878</f>
        <v/>
      </c>
      <c r="D879" s="34">
        <f>((1+Table2634[[#This Row],[Weekly change]])^52)-1</f>
        <v/>
      </c>
      <c r="E879" s="24">
        <f>AVERAGE(B876:B879)</f>
        <v/>
      </c>
      <c r="F879" s="32">
        <f>(Table2634[[#This Row],[4 weeks average]]-B827)/B827</f>
        <v/>
      </c>
    </row>
    <row r="880">
      <c r="A880" s="22" t="n">
        <v>33518</v>
      </c>
      <c r="B880" s="24">
        <f>VLOOKUP(Table2634[[#This Row],[Date]],'DB Money Supply'!$A:$D,4)</f>
        <v/>
      </c>
      <c r="C880" s="30">
        <f>(Table2634[[#This Row],[M1 Money Stock, Billions of Dollars, Weekly, Seasonally Adjusted]]-B879)/B879</f>
        <v/>
      </c>
      <c r="D880" s="34">
        <f>((1+Table2634[[#This Row],[Weekly change]])^52)-1</f>
        <v/>
      </c>
      <c r="E880" s="24">
        <f>AVERAGE(B877:B880)</f>
        <v/>
      </c>
      <c r="F880" s="32">
        <f>(Table2634[[#This Row],[4 weeks average]]-B828)/B828</f>
        <v/>
      </c>
    </row>
    <row r="881">
      <c r="A881" s="22" t="n">
        <v>33525</v>
      </c>
      <c r="B881" s="24">
        <f>VLOOKUP(Table2634[[#This Row],[Date]],'DB Money Supply'!$A:$D,4)</f>
        <v/>
      </c>
      <c r="C881" s="30">
        <f>(Table2634[[#This Row],[M1 Money Stock, Billions of Dollars, Weekly, Seasonally Adjusted]]-B880)/B880</f>
        <v/>
      </c>
      <c r="D881" s="34">
        <f>((1+Table2634[[#This Row],[Weekly change]])^52)-1</f>
        <v/>
      </c>
      <c r="E881" s="24">
        <f>AVERAGE(B878:B881)</f>
        <v/>
      </c>
      <c r="F881" s="32">
        <f>(Table2634[[#This Row],[4 weeks average]]-B829)/B829</f>
        <v/>
      </c>
    </row>
    <row r="882">
      <c r="A882" s="22" t="n">
        <v>33532</v>
      </c>
      <c r="B882" s="24">
        <f>VLOOKUP(Table2634[[#This Row],[Date]],'DB Money Supply'!$A:$D,4)</f>
        <v/>
      </c>
      <c r="C882" s="30">
        <f>(Table2634[[#This Row],[M1 Money Stock, Billions of Dollars, Weekly, Seasonally Adjusted]]-B881)/B881</f>
        <v/>
      </c>
      <c r="D882" s="34">
        <f>((1+Table2634[[#This Row],[Weekly change]])^52)-1</f>
        <v/>
      </c>
      <c r="E882" s="24">
        <f>AVERAGE(B879:B882)</f>
        <v/>
      </c>
      <c r="F882" s="32">
        <f>(Table2634[[#This Row],[4 weeks average]]-B830)/B830</f>
        <v/>
      </c>
    </row>
    <row r="883">
      <c r="A883" s="22" t="n">
        <v>33539</v>
      </c>
      <c r="B883" s="24">
        <f>VLOOKUP(Table2634[[#This Row],[Date]],'DB Money Supply'!$A:$D,4)</f>
        <v/>
      </c>
      <c r="C883" s="30">
        <f>(Table2634[[#This Row],[M1 Money Stock, Billions of Dollars, Weekly, Seasonally Adjusted]]-B882)/B882</f>
        <v/>
      </c>
      <c r="D883" s="34">
        <f>((1+Table2634[[#This Row],[Weekly change]])^52)-1</f>
        <v/>
      </c>
      <c r="E883" s="24">
        <f>AVERAGE(B880:B883)</f>
        <v/>
      </c>
      <c r="F883" s="32">
        <f>(Table2634[[#This Row],[4 weeks average]]-B831)/B831</f>
        <v/>
      </c>
    </row>
    <row r="884">
      <c r="A884" s="22" t="n">
        <v>33546</v>
      </c>
      <c r="B884" s="24">
        <f>VLOOKUP(Table2634[[#This Row],[Date]],'DB Money Supply'!$A:$D,4)</f>
        <v/>
      </c>
      <c r="C884" s="30">
        <f>(Table2634[[#This Row],[M1 Money Stock, Billions of Dollars, Weekly, Seasonally Adjusted]]-B883)/B883</f>
        <v/>
      </c>
      <c r="D884" s="34">
        <f>((1+Table2634[[#This Row],[Weekly change]])^52)-1</f>
        <v/>
      </c>
      <c r="E884" s="24">
        <f>AVERAGE(B881:B884)</f>
        <v/>
      </c>
      <c r="F884" s="32">
        <f>(Table2634[[#This Row],[4 weeks average]]-B832)/B832</f>
        <v/>
      </c>
    </row>
    <row r="885">
      <c r="A885" s="22" t="n">
        <v>33553</v>
      </c>
      <c r="B885" s="24">
        <f>VLOOKUP(Table2634[[#This Row],[Date]],'DB Money Supply'!$A:$D,4)</f>
        <v/>
      </c>
      <c r="C885" s="30">
        <f>(Table2634[[#This Row],[M1 Money Stock, Billions of Dollars, Weekly, Seasonally Adjusted]]-B884)/B884</f>
        <v/>
      </c>
      <c r="D885" s="34">
        <f>((1+Table2634[[#This Row],[Weekly change]])^52)-1</f>
        <v/>
      </c>
      <c r="E885" s="24">
        <f>AVERAGE(B882:B885)</f>
        <v/>
      </c>
      <c r="F885" s="32">
        <f>(Table2634[[#This Row],[4 weeks average]]-B833)/B833</f>
        <v/>
      </c>
    </row>
    <row r="886">
      <c r="A886" s="22" t="n">
        <v>33560</v>
      </c>
      <c r="B886" s="24">
        <f>VLOOKUP(Table2634[[#This Row],[Date]],'DB Money Supply'!$A:$D,4)</f>
        <v/>
      </c>
      <c r="C886" s="30">
        <f>(Table2634[[#This Row],[M1 Money Stock, Billions of Dollars, Weekly, Seasonally Adjusted]]-B885)/B885</f>
        <v/>
      </c>
      <c r="D886" s="34">
        <f>((1+Table2634[[#This Row],[Weekly change]])^52)-1</f>
        <v/>
      </c>
      <c r="E886" s="24">
        <f>AVERAGE(B883:B886)</f>
        <v/>
      </c>
      <c r="F886" s="32">
        <f>(Table2634[[#This Row],[4 weeks average]]-B834)/B834</f>
        <v/>
      </c>
    </row>
    <row r="887">
      <c r="A887" s="22" t="n">
        <v>33567</v>
      </c>
      <c r="B887" s="24">
        <f>VLOOKUP(Table2634[[#This Row],[Date]],'DB Money Supply'!$A:$D,4)</f>
        <v/>
      </c>
      <c r="C887" s="30">
        <f>(Table2634[[#This Row],[M1 Money Stock, Billions of Dollars, Weekly, Seasonally Adjusted]]-B886)/B886</f>
        <v/>
      </c>
      <c r="D887" s="34">
        <f>((1+Table2634[[#This Row],[Weekly change]])^52)-1</f>
        <v/>
      </c>
      <c r="E887" s="24">
        <f>AVERAGE(B884:B887)</f>
        <v/>
      </c>
      <c r="F887" s="32">
        <f>(Table2634[[#This Row],[4 weeks average]]-B835)/B835</f>
        <v/>
      </c>
    </row>
    <row r="888">
      <c r="A888" s="22" t="n">
        <v>33574</v>
      </c>
      <c r="B888" s="24">
        <f>VLOOKUP(Table2634[[#This Row],[Date]],'DB Money Supply'!$A:$D,4)</f>
        <v/>
      </c>
      <c r="C888" s="30">
        <f>(Table2634[[#This Row],[M1 Money Stock, Billions of Dollars, Weekly, Seasonally Adjusted]]-B887)/B887</f>
        <v/>
      </c>
      <c r="D888" s="34">
        <f>((1+Table2634[[#This Row],[Weekly change]])^52)-1</f>
        <v/>
      </c>
      <c r="E888" s="24">
        <f>AVERAGE(B885:B888)</f>
        <v/>
      </c>
      <c r="F888" s="32">
        <f>(Table2634[[#This Row],[4 weeks average]]-B836)/B836</f>
        <v/>
      </c>
    </row>
    <row r="889">
      <c r="A889" s="22" t="n">
        <v>33581</v>
      </c>
      <c r="B889" s="24">
        <f>VLOOKUP(Table2634[[#This Row],[Date]],'DB Money Supply'!$A:$D,4)</f>
        <v/>
      </c>
      <c r="C889" s="30">
        <f>(Table2634[[#This Row],[M1 Money Stock, Billions of Dollars, Weekly, Seasonally Adjusted]]-B888)/B888</f>
        <v/>
      </c>
      <c r="D889" s="34">
        <f>((1+Table2634[[#This Row],[Weekly change]])^52)-1</f>
        <v/>
      </c>
      <c r="E889" s="24">
        <f>AVERAGE(B886:B889)</f>
        <v/>
      </c>
      <c r="F889" s="32">
        <f>(Table2634[[#This Row],[4 weeks average]]-B837)/B837</f>
        <v/>
      </c>
    </row>
    <row r="890">
      <c r="A890" s="22" t="n">
        <v>33588</v>
      </c>
      <c r="B890" s="24">
        <f>VLOOKUP(Table2634[[#This Row],[Date]],'DB Money Supply'!$A:$D,4)</f>
        <v/>
      </c>
      <c r="C890" s="30">
        <f>(Table2634[[#This Row],[M1 Money Stock, Billions of Dollars, Weekly, Seasonally Adjusted]]-B889)/B889</f>
        <v/>
      </c>
      <c r="D890" s="34">
        <f>((1+Table2634[[#This Row],[Weekly change]])^52)-1</f>
        <v/>
      </c>
      <c r="E890" s="24">
        <f>AVERAGE(B887:B890)</f>
        <v/>
      </c>
      <c r="F890" s="32">
        <f>(Table2634[[#This Row],[4 weeks average]]-B838)/B838</f>
        <v/>
      </c>
    </row>
    <row r="891">
      <c r="A891" s="22" t="n">
        <v>33595</v>
      </c>
      <c r="B891" s="24">
        <f>VLOOKUP(Table2634[[#This Row],[Date]],'DB Money Supply'!$A:$D,4)</f>
        <v/>
      </c>
      <c r="C891" s="30">
        <f>(Table2634[[#This Row],[M1 Money Stock, Billions of Dollars, Weekly, Seasonally Adjusted]]-B890)/B890</f>
        <v/>
      </c>
      <c r="D891" s="34">
        <f>((1+Table2634[[#This Row],[Weekly change]])^52)-1</f>
        <v/>
      </c>
      <c r="E891" s="24">
        <f>AVERAGE(B888:B891)</f>
        <v/>
      </c>
      <c r="F891" s="32">
        <f>(Table2634[[#This Row],[4 weeks average]]-B839)/B839</f>
        <v/>
      </c>
    </row>
    <row r="892">
      <c r="A892" s="22" t="n">
        <v>33602</v>
      </c>
      <c r="B892" s="24">
        <f>VLOOKUP(Table2634[[#This Row],[Date]],'DB Money Supply'!$A:$D,4)</f>
        <v/>
      </c>
      <c r="C892" s="30">
        <f>(Table2634[[#This Row],[M1 Money Stock, Billions of Dollars, Weekly, Seasonally Adjusted]]-B891)/B891</f>
        <v/>
      </c>
      <c r="D892" s="34">
        <f>((1+Table2634[[#This Row],[Weekly change]])^52)-1</f>
        <v/>
      </c>
      <c r="E892" s="24">
        <f>AVERAGE(B889:B892)</f>
        <v/>
      </c>
      <c r="F892" s="32">
        <f>(Table2634[[#This Row],[4 weeks average]]-B840)/B840</f>
        <v/>
      </c>
    </row>
    <row r="893">
      <c r="A893" s="22" t="n">
        <v>33609</v>
      </c>
      <c r="B893" s="24">
        <f>VLOOKUP(Table2634[[#This Row],[Date]],'DB Money Supply'!$A:$D,4)</f>
        <v/>
      </c>
      <c r="C893" s="30">
        <f>(Table2634[[#This Row],[M1 Money Stock, Billions of Dollars, Weekly, Seasonally Adjusted]]-B892)/B892</f>
        <v/>
      </c>
      <c r="D893" s="34">
        <f>((1+Table2634[[#This Row],[Weekly change]])^52)-1</f>
        <v/>
      </c>
      <c r="E893" s="24">
        <f>AVERAGE(B890:B893)</f>
        <v/>
      </c>
      <c r="F893" s="32">
        <f>(Table2634[[#This Row],[4 weeks average]]-B841)/B841</f>
        <v/>
      </c>
    </row>
    <row r="894">
      <c r="A894" s="22" t="n">
        <v>33616</v>
      </c>
      <c r="B894" s="24">
        <f>VLOOKUP(Table2634[[#This Row],[Date]],'DB Money Supply'!$A:$D,4)</f>
        <v/>
      </c>
      <c r="C894" s="30">
        <f>(Table2634[[#This Row],[M1 Money Stock, Billions of Dollars, Weekly, Seasonally Adjusted]]-B893)/B893</f>
        <v/>
      </c>
      <c r="D894" s="34">
        <f>((1+Table2634[[#This Row],[Weekly change]])^52)-1</f>
        <v/>
      </c>
      <c r="E894" s="24">
        <f>AVERAGE(B891:B894)</f>
        <v/>
      </c>
      <c r="F894" s="32">
        <f>(Table2634[[#This Row],[4 weeks average]]-B842)/B842</f>
        <v/>
      </c>
    </row>
    <row r="895">
      <c r="A895" s="22" t="n">
        <v>33623</v>
      </c>
      <c r="B895" s="24">
        <f>VLOOKUP(Table2634[[#This Row],[Date]],'DB Money Supply'!$A:$D,4)</f>
        <v/>
      </c>
      <c r="C895" s="30">
        <f>(Table2634[[#This Row],[M1 Money Stock, Billions of Dollars, Weekly, Seasonally Adjusted]]-B894)/B894</f>
        <v/>
      </c>
      <c r="D895" s="34">
        <f>((1+Table2634[[#This Row],[Weekly change]])^52)-1</f>
        <v/>
      </c>
      <c r="E895" s="24">
        <f>AVERAGE(B892:B895)</f>
        <v/>
      </c>
      <c r="F895" s="32">
        <f>(Table2634[[#This Row],[4 weeks average]]-B843)/B843</f>
        <v/>
      </c>
    </row>
    <row r="896">
      <c r="A896" s="22" t="n">
        <v>33630</v>
      </c>
      <c r="B896" s="24">
        <f>VLOOKUP(Table2634[[#This Row],[Date]],'DB Money Supply'!$A:$D,4)</f>
        <v/>
      </c>
      <c r="C896" s="30">
        <f>(Table2634[[#This Row],[M1 Money Stock, Billions of Dollars, Weekly, Seasonally Adjusted]]-B895)/B895</f>
        <v/>
      </c>
      <c r="D896" s="34">
        <f>((1+Table2634[[#This Row],[Weekly change]])^52)-1</f>
        <v/>
      </c>
      <c r="E896" s="24">
        <f>AVERAGE(B893:B896)</f>
        <v/>
      </c>
      <c r="F896" s="32">
        <f>(Table2634[[#This Row],[4 weeks average]]-B844)/B844</f>
        <v/>
      </c>
    </row>
    <row r="897">
      <c r="A897" s="22" t="n">
        <v>33637</v>
      </c>
      <c r="B897" s="24">
        <f>VLOOKUP(Table2634[[#This Row],[Date]],'DB Money Supply'!$A:$D,4)</f>
        <v/>
      </c>
      <c r="C897" s="30">
        <f>(Table2634[[#This Row],[M1 Money Stock, Billions of Dollars, Weekly, Seasonally Adjusted]]-B896)/B896</f>
        <v/>
      </c>
      <c r="D897" s="34">
        <f>((1+Table2634[[#This Row],[Weekly change]])^52)-1</f>
        <v/>
      </c>
      <c r="E897" s="24">
        <f>AVERAGE(B894:B897)</f>
        <v/>
      </c>
      <c r="F897" s="32">
        <f>(Table2634[[#This Row],[4 weeks average]]-B845)/B845</f>
        <v/>
      </c>
    </row>
    <row r="898">
      <c r="A898" s="22" t="n">
        <v>33644</v>
      </c>
      <c r="B898" s="24">
        <f>VLOOKUP(Table2634[[#This Row],[Date]],'DB Money Supply'!$A:$D,4)</f>
        <v/>
      </c>
      <c r="C898" s="30">
        <f>(Table2634[[#This Row],[M1 Money Stock, Billions of Dollars, Weekly, Seasonally Adjusted]]-B897)/B897</f>
        <v/>
      </c>
      <c r="D898" s="34">
        <f>((1+Table2634[[#This Row],[Weekly change]])^52)-1</f>
        <v/>
      </c>
      <c r="E898" s="24">
        <f>AVERAGE(B895:B898)</f>
        <v/>
      </c>
      <c r="F898" s="32">
        <f>(Table2634[[#This Row],[4 weeks average]]-B846)/B846</f>
        <v/>
      </c>
    </row>
    <row r="899">
      <c r="A899" s="22" t="n">
        <v>33651</v>
      </c>
      <c r="B899" s="24">
        <f>VLOOKUP(Table2634[[#This Row],[Date]],'DB Money Supply'!$A:$D,4)</f>
        <v/>
      </c>
      <c r="C899" s="30">
        <f>(Table2634[[#This Row],[M1 Money Stock, Billions of Dollars, Weekly, Seasonally Adjusted]]-B898)/B898</f>
        <v/>
      </c>
      <c r="D899" s="34">
        <f>((1+Table2634[[#This Row],[Weekly change]])^52)-1</f>
        <v/>
      </c>
      <c r="E899" s="24">
        <f>AVERAGE(B896:B899)</f>
        <v/>
      </c>
      <c r="F899" s="32">
        <f>(Table2634[[#This Row],[4 weeks average]]-B847)/B847</f>
        <v/>
      </c>
    </row>
    <row r="900">
      <c r="A900" s="22" t="n">
        <v>33658</v>
      </c>
      <c r="B900" s="24">
        <f>VLOOKUP(Table2634[[#This Row],[Date]],'DB Money Supply'!$A:$D,4)</f>
        <v/>
      </c>
      <c r="C900" s="30">
        <f>(Table2634[[#This Row],[M1 Money Stock, Billions of Dollars, Weekly, Seasonally Adjusted]]-B899)/B899</f>
        <v/>
      </c>
      <c r="D900" s="34">
        <f>((1+Table2634[[#This Row],[Weekly change]])^52)-1</f>
        <v/>
      </c>
      <c r="E900" s="24">
        <f>AVERAGE(B897:B900)</f>
        <v/>
      </c>
      <c r="F900" s="32">
        <f>(Table2634[[#This Row],[4 weeks average]]-B848)/B848</f>
        <v/>
      </c>
    </row>
    <row r="901">
      <c r="A901" s="22" t="n">
        <v>33665</v>
      </c>
      <c r="B901" s="24">
        <f>VLOOKUP(Table2634[[#This Row],[Date]],'DB Money Supply'!$A:$D,4)</f>
        <v/>
      </c>
      <c r="C901" s="30">
        <f>(Table2634[[#This Row],[M1 Money Stock, Billions of Dollars, Weekly, Seasonally Adjusted]]-B900)/B900</f>
        <v/>
      </c>
      <c r="D901" s="34">
        <f>((1+Table2634[[#This Row],[Weekly change]])^52)-1</f>
        <v/>
      </c>
      <c r="E901" s="24">
        <f>AVERAGE(B898:B901)</f>
        <v/>
      </c>
      <c r="F901" s="32">
        <f>(Table2634[[#This Row],[4 weeks average]]-B849)/B849</f>
        <v/>
      </c>
    </row>
    <row r="902">
      <c r="A902" s="22" t="n">
        <v>33672</v>
      </c>
      <c r="B902" s="24">
        <f>VLOOKUP(Table2634[[#This Row],[Date]],'DB Money Supply'!$A:$D,4)</f>
        <v/>
      </c>
      <c r="C902" s="30">
        <f>(Table2634[[#This Row],[M1 Money Stock, Billions of Dollars, Weekly, Seasonally Adjusted]]-B901)/B901</f>
        <v/>
      </c>
      <c r="D902" s="34">
        <f>((1+Table2634[[#This Row],[Weekly change]])^52)-1</f>
        <v/>
      </c>
      <c r="E902" s="24">
        <f>AVERAGE(B899:B902)</f>
        <v/>
      </c>
      <c r="F902" s="32">
        <f>(Table2634[[#This Row],[4 weeks average]]-B850)/B850</f>
        <v/>
      </c>
    </row>
    <row r="903">
      <c r="A903" s="22" t="n">
        <v>33679</v>
      </c>
      <c r="B903" s="24">
        <f>VLOOKUP(Table2634[[#This Row],[Date]],'DB Money Supply'!$A:$D,4)</f>
        <v/>
      </c>
      <c r="C903" s="30">
        <f>(Table2634[[#This Row],[M1 Money Stock, Billions of Dollars, Weekly, Seasonally Adjusted]]-B902)/B902</f>
        <v/>
      </c>
      <c r="D903" s="34">
        <f>((1+Table2634[[#This Row],[Weekly change]])^52)-1</f>
        <v/>
      </c>
      <c r="E903" s="24">
        <f>AVERAGE(B900:B903)</f>
        <v/>
      </c>
      <c r="F903" s="32">
        <f>(Table2634[[#This Row],[4 weeks average]]-B851)/B851</f>
        <v/>
      </c>
    </row>
    <row r="904">
      <c r="A904" s="22" t="n">
        <v>33686</v>
      </c>
      <c r="B904" s="24">
        <f>VLOOKUP(Table2634[[#This Row],[Date]],'DB Money Supply'!$A:$D,4)</f>
        <v/>
      </c>
      <c r="C904" s="30">
        <f>(Table2634[[#This Row],[M1 Money Stock, Billions of Dollars, Weekly, Seasonally Adjusted]]-B903)/B903</f>
        <v/>
      </c>
      <c r="D904" s="34">
        <f>((1+Table2634[[#This Row],[Weekly change]])^52)-1</f>
        <v/>
      </c>
      <c r="E904" s="24">
        <f>AVERAGE(B901:B904)</f>
        <v/>
      </c>
      <c r="F904" s="32">
        <f>(Table2634[[#This Row],[4 weeks average]]-B852)/B852</f>
        <v/>
      </c>
    </row>
    <row r="905">
      <c r="A905" s="22" t="n">
        <v>33693</v>
      </c>
      <c r="B905" s="24">
        <f>VLOOKUP(Table2634[[#This Row],[Date]],'DB Money Supply'!$A:$D,4)</f>
        <v/>
      </c>
      <c r="C905" s="30">
        <f>(Table2634[[#This Row],[M1 Money Stock, Billions of Dollars, Weekly, Seasonally Adjusted]]-B904)/B904</f>
        <v/>
      </c>
      <c r="D905" s="34">
        <f>((1+Table2634[[#This Row],[Weekly change]])^52)-1</f>
        <v/>
      </c>
      <c r="E905" s="24">
        <f>AVERAGE(B902:B905)</f>
        <v/>
      </c>
      <c r="F905" s="32">
        <f>(Table2634[[#This Row],[4 weeks average]]-B853)/B853</f>
        <v/>
      </c>
    </row>
    <row r="906">
      <c r="A906" s="22" t="n">
        <v>33700</v>
      </c>
      <c r="B906" s="24">
        <f>VLOOKUP(Table2634[[#This Row],[Date]],'DB Money Supply'!$A:$D,4)</f>
        <v/>
      </c>
      <c r="C906" s="30">
        <f>(Table2634[[#This Row],[M1 Money Stock, Billions of Dollars, Weekly, Seasonally Adjusted]]-B905)/B905</f>
        <v/>
      </c>
      <c r="D906" s="34">
        <f>((1+Table2634[[#This Row],[Weekly change]])^52)-1</f>
        <v/>
      </c>
      <c r="E906" s="24">
        <f>AVERAGE(B903:B906)</f>
        <v/>
      </c>
      <c r="F906" s="32">
        <f>(Table2634[[#This Row],[4 weeks average]]-B854)/B854</f>
        <v/>
      </c>
    </row>
    <row r="907">
      <c r="A907" s="22" t="n">
        <v>33707</v>
      </c>
      <c r="B907" s="24">
        <f>VLOOKUP(Table2634[[#This Row],[Date]],'DB Money Supply'!$A:$D,4)</f>
        <v/>
      </c>
      <c r="C907" s="30">
        <f>(Table2634[[#This Row],[M1 Money Stock, Billions of Dollars, Weekly, Seasonally Adjusted]]-B906)/B906</f>
        <v/>
      </c>
      <c r="D907" s="34">
        <f>((1+Table2634[[#This Row],[Weekly change]])^52)-1</f>
        <v/>
      </c>
      <c r="E907" s="24">
        <f>AVERAGE(B904:B907)</f>
        <v/>
      </c>
      <c r="F907" s="32">
        <f>(Table2634[[#This Row],[4 weeks average]]-B855)/B855</f>
        <v/>
      </c>
    </row>
    <row r="908">
      <c r="A908" s="22" t="n">
        <v>33714</v>
      </c>
      <c r="B908" s="24">
        <f>VLOOKUP(Table2634[[#This Row],[Date]],'DB Money Supply'!$A:$D,4)</f>
        <v/>
      </c>
      <c r="C908" s="30">
        <f>(Table2634[[#This Row],[M1 Money Stock, Billions of Dollars, Weekly, Seasonally Adjusted]]-B907)/B907</f>
        <v/>
      </c>
      <c r="D908" s="34">
        <f>((1+Table2634[[#This Row],[Weekly change]])^52)-1</f>
        <v/>
      </c>
      <c r="E908" s="24">
        <f>AVERAGE(B905:B908)</f>
        <v/>
      </c>
      <c r="F908" s="32">
        <f>(Table2634[[#This Row],[4 weeks average]]-B856)/B856</f>
        <v/>
      </c>
    </row>
    <row r="909">
      <c r="A909" s="22" t="n">
        <v>33721</v>
      </c>
      <c r="B909" s="24">
        <f>VLOOKUP(Table2634[[#This Row],[Date]],'DB Money Supply'!$A:$D,4)</f>
        <v/>
      </c>
      <c r="C909" s="30">
        <f>(Table2634[[#This Row],[M1 Money Stock, Billions of Dollars, Weekly, Seasonally Adjusted]]-B908)/B908</f>
        <v/>
      </c>
      <c r="D909" s="34">
        <f>((1+Table2634[[#This Row],[Weekly change]])^52)-1</f>
        <v/>
      </c>
      <c r="E909" s="24">
        <f>AVERAGE(B906:B909)</f>
        <v/>
      </c>
      <c r="F909" s="32">
        <f>(Table2634[[#This Row],[4 weeks average]]-B857)/B857</f>
        <v/>
      </c>
    </row>
    <row r="910">
      <c r="A910" s="22" t="n">
        <v>33728</v>
      </c>
      <c r="B910" s="24">
        <f>VLOOKUP(Table2634[[#This Row],[Date]],'DB Money Supply'!$A:$D,4)</f>
        <v/>
      </c>
      <c r="C910" s="30">
        <f>(Table2634[[#This Row],[M1 Money Stock, Billions of Dollars, Weekly, Seasonally Adjusted]]-B909)/B909</f>
        <v/>
      </c>
      <c r="D910" s="34">
        <f>((1+Table2634[[#This Row],[Weekly change]])^52)-1</f>
        <v/>
      </c>
      <c r="E910" s="24">
        <f>AVERAGE(B907:B910)</f>
        <v/>
      </c>
      <c r="F910" s="32">
        <f>(Table2634[[#This Row],[4 weeks average]]-B858)/B858</f>
        <v/>
      </c>
    </row>
    <row r="911">
      <c r="A911" s="22" t="n">
        <v>33735</v>
      </c>
      <c r="B911" s="24">
        <f>VLOOKUP(Table2634[[#This Row],[Date]],'DB Money Supply'!$A:$D,4)</f>
        <v/>
      </c>
      <c r="C911" s="30">
        <f>(Table2634[[#This Row],[M1 Money Stock, Billions of Dollars, Weekly, Seasonally Adjusted]]-B910)/B910</f>
        <v/>
      </c>
      <c r="D911" s="34">
        <f>((1+Table2634[[#This Row],[Weekly change]])^52)-1</f>
        <v/>
      </c>
      <c r="E911" s="24">
        <f>AVERAGE(B908:B911)</f>
        <v/>
      </c>
      <c r="F911" s="32">
        <f>(Table2634[[#This Row],[4 weeks average]]-B859)/B859</f>
        <v/>
      </c>
    </row>
    <row r="912">
      <c r="A912" s="22" t="n">
        <v>33742</v>
      </c>
      <c r="B912" s="24">
        <f>VLOOKUP(Table2634[[#This Row],[Date]],'DB Money Supply'!$A:$D,4)</f>
        <v/>
      </c>
      <c r="C912" s="30">
        <f>(Table2634[[#This Row],[M1 Money Stock, Billions of Dollars, Weekly, Seasonally Adjusted]]-B911)/B911</f>
        <v/>
      </c>
      <c r="D912" s="34">
        <f>((1+Table2634[[#This Row],[Weekly change]])^52)-1</f>
        <v/>
      </c>
      <c r="E912" s="24">
        <f>AVERAGE(B909:B912)</f>
        <v/>
      </c>
      <c r="F912" s="32">
        <f>(Table2634[[#This Row],[4 weeks average]]-B860)/B860</f>
        <v/>
      </c>
    </row>
    <row r="913">
      <c r="A913" s="22" t="n">
        <v>33749</v>
      </c>
      <c r="B913" s="24">
        <f>VLOOKUP(Table2634[[#This Row],[Date]],'DB Money Supply'!$A:$D,4)</f>
        <v/>
      </c>
      <c r="C913" s="30">
        <f>(Table2634[[#This Row],[M1 Money Stock, Billions of Dollars, Weekly, Seasonally Adjusted]]-B912)/B912</f>
        <v/>
      </c>
      <c r="D913" s="34">
        <f>((1+Table2634[[#This Row],[Weekly change]])^52)-1</f>
        <v/>
      </c>
      <c r="E913" s="24">
        <f>AVERAGE(B910:B913)</f>
        <v/>
      </c>
      <c r="F913" s="32">
        <f>(Table2634[[#This Row],[4 weeks average]]-B861)/B861</f>
        <v/>
      </c>
    </row>
    <row r="914">
      <c r="A914" s="22" t="n">
        <v>33756</v>
      </c>
      <c r="B914" s="24">
        <f>VLOOKUP(Table2634[[#This Row],[Date]],'DB Money Supply'!$A:$D,4)</f>
        <v/>
      </c>
      <c r="C914" s="30">
        <f>(Table2634[[#This Row],[M1 Money Stock, Billions of Dollars, Weekly, Seasonally Adjusted]]-B913)/B913</f>
        <v/>
      </c>
      <c r="D914" s="34">
        <f>((1+Table2634[[#This Row],[Weekly change]])^52)-1</f>
        <v/>
      </c>
      <c r="E914" s="24">
        <f>AVERAGE(B911:B914)</f>
        <v/>
      </c>
      <c r="F914" s="32">
        <f>(Table2634[[#This Row],[4 weeks average]]-B862)/B862</f>
        <v/>
      </c>
    </row>
    <row r="915">
      <c r="A915" s="22" t="n">
        <v>33763</v>
      </c>
      <c r="B915" s="24">
        <f>VLOOKUP(Table2634[[#This Row],[Date]],'DB Money Supply'!$A:$D,4)</f>
        <v/>
      </c>
      <c r="C915" s="30">
        <f>(Table2634[[#This Row],[M1 Money Stock, Billions of Dollars, Weekly, Seasonally Adjusted]]-B914)/B914</f>
        <v/>
      </c>
      <c r="D915" s="34">
        <f>((1+Table2634[[#This Row],[Weekly change]])^52)-1</f>
        <v/>
      </c>
      <c r="E915" s="24">
        <f>AVERAGE(B912:B915)</f>
        <v/>
      </c>
      <c r="F915" s="32">
        <f>(Table2634[[#This Row],[4 weeks average]]-B863)/B863</f>
        <v/>
      </c>
    </row>
    <row r="916">
      <c r="A916" s="22" t="n">
        <v>33770</v>
      </c>
      <c r="B916" s="24">
        <f>VLOOKUP(Table2634[[#This Row],[Date]],'DB Money Supply'!$A:$D,4)</f>
        <v/>
      </c>
      <c r="C916" s="30">
        <f>(Table2634[[#This Row],[M1 Money Stock, Billions of Dollars, Weekly, Seasonally Adjusted]]-B915)/B915</f>
        <v/>
      </c>
      <c r="D916" s="34">
        <f>((1+Table2634[[#This Row],[Weekly change]])^52)-1</f>
        <v/>
      </c>
      <c r="E916" s="24">
        <f>AVERAGE(B913:B916)</f>
        <v/>
      </c>
      <c r="F916" s="32">
        <f>(Table2634[[#This Row],[4 weeks average]]-B864)/B864</f>
        <v/>
      </c>
    </row>
    <row r="917">
      <c r="A917" s="22" t="n">
        <v>33777</v>
      </c>
      <c r="B917" s="24">
        <f>VLOOKUP(Table2634[[#This Row],[Date]],'DB Money Supply'!$A:$D,4)</f>
        <v/>
      </c>
      <c r="C917" s="30">
        <f>(Table2634[[#This Row],[M1 Money Stock, Billions of Dollars, Weekly, Seasonally Adjusted]]-B916)/B916</f>
        <v/>
      </c>
      <c r="D917" s="34">
        <f>((1+Table2634[[#This Row],[Weekly change]])^52)-1</f>
        <v/>
      </c>
      <c r="E917" s="24">
        <f>AVERAGE(B914:B917)</f>
        <v/>
      </c>
      <c r="F917" s="32">
        <f>(Table2634[[#This Row],[4 weeks average]]-B865)/B865</f>
        <v/>
      </c>
    </row>
    <row r="918">
      <c r="A918" s="22" t="n">
        <v>33784</v>
      </c>
      <c r="B918" s="24">
        <f>VLOOKUP(Table2634[[#This Row],[Date]],'DB Money Supply'!$A:$D,4)</f>
        <v/>
      </c>
      <c r="C918" s="30">
        <f>(Table2634[[#This Row],[M1 Money Stock, Billions of Dollars, Weekly, Seasonally Adjusted]]-B917)/B917</f>
        <v/>
      </c>
      <c r="D918" s="34">
        <f>((1+Table2634[[#This Row],[Weekly change]])^52)-1</f>
        <v/>
      </c>
      <c r="E918" s="24">
        <f>AVERAGE(B915:B918)</f>
        <v/>
      </c>
      <c r="F918" s="32">
        <f>(Table2634[[#This Row],[4 weeks average]]-B866)/B866</f>
        <v/>
      </c>
    </row>
    <row r="919">
      <c r="A919" s="22" t="n">
        <v>33791</v>
      </c>
      <c r="B919" s="24">
        <f>VLOOKUP(Table2634[[#This Row],[Date]],'DB Money Supply'!$A:$D,4)</f>
        <v/>
      </c>
      <c r="C919" s="30">
        <f>(Table2634[[#This Row],[M1 Money Stock, Billions of Dollars, Weekly, Seasonally Adjusted]]-B918)/B918</f>
        <v/>
      </c>
      <c r="D919" s="34">
        <f>((1+Table2634[[#This Row],[Weekly change]])^52)-1</f>
        <v/>
      </c>
      <c r="E919" s="24">
        <f>AVERAGE(B916:B919)</f>
        <v/>
      </c>
      <c r="F919" s="32">
        <f>(Table2634[[#This Row],[4 weeks average]]-B867)/B867</f>
        <v/>
      </c>
    </row>
    <row r="920">
      <c r="A920" s="22" t="n">
        <v>33798</v>
      </c>
      <c r="B920" s="24">
        <f>VLOOKUP(Table2634[[#This Row],[Date]],'DB Money Supply'!$A:$D,4)</f>
        <v/>
      </c>
      <c r="C920" s="30">
        <f>(Table2634[[#This Row],[M1 Money Stock, Billions of Dollars, Weekly, Seasonally Adjusted]]-B919)/B919</f>
        <v/>
      </c>
      <c r="D920" s="34">
        <f>((1+Table2634[[#This Row],[Weekly change]])^52)-1</f>
        <v/>
      </c>
      <c r="E920" s="24">
        <f>AVERAGE(B917:B920)</f>
        <v/>
      </c>
      <c r="F920" s="32">
        <f>(Table2634[[#This Row],[4 weeks average]]-B868)/B868</f>
        <v/>
      </c>
    </row>
    <row r="921">
      <c r="A921" s="22" t="n">
        <v>33805</v>
      </c>
      <c r="B921" s="24">
        <f>VLOOKUP(Table2634[[#This Row],[Date]],'DB Money Supply'!$A:$D,4)</f>
        <v/>
      </c>
      <c r="C921" s="30">
        <f>(Table2634[[#This Row],[M1 Money Stock, Billions of Dollars, Weekly, Seasonally Adjusted]]-B920)/B920</f>
        <v/>
      </c>
      <c r="D921" s="34">
        <f>((1+Table2634[[#This Row],[Weekly change]])^52)-1</f>
        <v/>
      </c>
      <c r="E921" s="24">
        <f>AVERAGE(B918:B921)</f>
        <v/>
      </c>
      <c r="F921" s="32">
        <f>(Table2634[[#This Row],[4 weeks average]]-B869)/B869</f>
        <v/>
      </c>
    </row>
    <row r="922">
      <c r="A922" s="22" t="n">
        <v>33812</v>
      </c>
      <c r="B922" s="24">
        <f>VLOOKUP(Table2634[[#This Row],[Date]],'DB Money Supply'!$A:$D,4)</f>
        <v/>
      </c>
      <c r="C922" s="30">
        <f>(Table2634[[#This Row],[M1 Money Stock, Billions of Dollars, Weekly, Seasonally Adjusted]]-B921)/B921</f>
        <v/>
      </c>
      <c r="D922" s="34">
        <f>((1+Table2634[[#This Row],[Weekly change]])^52)-1</f>
        <v/>
      </c>
      <c r="E922" s="24">
        <f>AVERAGE(B919:B922)</f>
        <v/>
      </c>
      <c r="F922" s="32">
        <f>(Table2634[[#This Row],[4 weeks average]]-B870)/B870</f>
        <v/>
      </c>
    </row>
    <row r="923">
      <c r="A923" s="22" t="n">
        <v>33819</v>
      </c>
      <c r="B923" s="24">
        <f>VLOOKUP(Table2634[[#This Row],[Date]],'DB Money Supply'!$A:$D,4)</f>
        <v/>
      </c>
      <c r="C923" s="30">
        <f>(Table2634[[#This Row],[M1 Money Stock, Billions of Dollars, Weekly, Seasonally Adjusted]]-B922)/B922</f>
        <v/>
      </c>
      <c r="D923" s="34">
        <f>((1+Table2634[[#This Row],[Weekly change]])^52)-1</f>
        <v/>
      </c>
      <c r="E923" s="24">
        <f>AVERAGE(B920:B923)</f>
        <v/>
      </c>
      <c r="F923" s="32">
        <f>(Table2634[[#This Row],[4 weeks average]]-B871)/B871</f>
        <v/>
      </c>
    </row>
    <row r="924">
      <c r="A924" s="22" t="n">
        <v>33826</v>
      </c>
      <c r="B924" s="24">
        <f>VLOOKUP(Table2634[[#This Row],[Date]],'DB Money Supply'!$A:$D,4)</f>
        <v/>
      </c>
      <c r="C924" s="30">
        <f>(Table2634[[#This Row],[M1 Money Stock, Billions of Dollars, Weekly, Seasonally Adjusted]]-B923)/B923</f>
        <v/>
      </c>
      <c r="D924" s="34">
        <f>((1+Table2634[[#This Row],[Weekly change]])^52)-1</f>
        <v/>
      </c>
      <c r="E924" s="24">
        <f>AVERAGE(B921:B924)</f>
        <v/>
      </c>
      <c r="F924" s="32">
        <f>(Table2634[[#This Row],[4 weeks average]]-B872)/B872</f>
        <v/>
      </c>
    </row>
    <row r="925">
      <c r="A925" s="22" t="n">
        <v>33833</v>
      </c>
      <c r="B925" s="24">
        <f>VLOOKUP(Table2634[[#This Row],[Date]],'DB Money Supply'!$A:$D,4)</f>
        <v/>
      </c>
      <c r="C925" s="30">
        <f>(Table2634[[#This Row],[M1 Money Stock, Billions of Dollars, Weekly, Seasonally Adjusted]]-B924)/B924</f>
        <v/>
      </c>
      <c r="D925" s="34">
        <f>((1+Table2634[[#This Row],[Weekly change]])^52)-1</f>
        <v/>
      </c>
      <c r="E925" s="24">
        <f>AVERAGE(B922:B925)</f>
        <v/>
      </c>
      <c r="F925" s="32">
        <f>(Table2634[[#This Row],[4 weeks average]]-B873)/B873</f>
        <v/>
      </c>
    </row>
    <row r="926">
      <c r="A926" s="22" t="n">
        <v>33840</v>
      </c>
      <c r="B926" s="24">
        <f>VLOOKUP(Table2634[[#This Row],[Date]],'DB Money Supply'!$A:$D,4)</f>
        <v/>
      </c>
      <c r="C926" s="30">
        <f>(Table2634[[#This Row],[M1 Money Stock, Billions of Dollars, Weekly, Seasonally Adjusted]]-B925)/B925</f>
        <v/>
      </c>
      <c r="D926" s="34">
        <f>((1+Table2634[[#This Row],[Weekly change]])^52)-1</f>
        <v/>
      </c>
      <c r="E926" s="24">
        <f>AVERAGE(B923:B926)</f>
        <v/>
      </c>
      <c r="F926" s="32">
        <f>(Table2634[[#This Row],[4 weeks average]]-B874)/B874</f>
        <v/>
      </c>
    </row>
    <row r="927">
      <c r="A927" s="22" t="n">
        <v>33847</v>
      </c>
      <c r="B927" s="24">
        <f>VLOOKUP(Table2634[[#This Row],[Date]],'DB Money Supply'!$A:$D,4)</f>
        <v/>
      </c>
      <c r="C927" s="30">
        <f>(Table2634[[#This Row],[M1 Money Stock, Billions of Dollars, Weekly, Seasonally Adjusted]]-B926)/B926</f>
        <v/>
      </c>
      <c r="D927" s="34">
        <f>((1+Table2634[[#This Row],[Weekly change]])^52)-1</f>
        <v/>
      </c>
      <c r="E927" s="24">
        <f>AVERAGE(B924:B927)</f>
        <v/>
      </c>
      <c r="F927" s="32">
        <f>(Table2634[[#This Row],[4 weeks average]]-B875)/B875</f>
        <v/>
      </c>
    </row>
    <row r="928">
      <c r="A928" s="22" t="n">
        <v>33854</v>
      </c>
      <c r="B928" s="24">
        <f>VLOOKUP(Table2634[[#This Row],[Date]],'DB Money Supply'!$A:$D,4)</f>
        <v/>
      </c>
      <c r="C928" s="30">
        <f>(Table2634[[#This Row],[M1 Money Stock, Billions of Dollars, Weekly, Seasonally Adjusted]]-B927)/B927</f>
        <v/>
      </c>
      <c r="D928" s="34">
        <f>((1+Table2634[[#This Row],[Weekly change]])^52)-1</f>
        <v/>
      </c>
      <c r="E928" s="24">
        <f>AVERAGE(B925:B928)</f>
        <v/>
      </c>
      <c r="F928" s="32">
        <f>(Table2634[[#This Row],[4 weeks average]]-B876)/B876</f>
        <v/>
      </c>
    </row>
    <row r="929">
      <c r="A929" s="22" t="n">
        <v>33861</v>
      </c>
      <c r="B929" s="24">
        <f>VLOOKUP(Table2634[[#This Row],[Date]],'DB Money Supply'!$A:$D,4)</f>
        <v/>
      </c>
      <c r="C929" s="30">
        <f>(Table2634[[#This Row],[M1 Money Stock, Billions of Dollars, Weekly, Seasonally Adjusted]]-B928)/B928</f>
        <v/>
      </c>
      <c r="D929" s="34">
        <f>((1+Table2634[[#This Row],[Weekly change]])^52)-1</f>
        <v/>
      </c>
      <c r="E929" s="24">
        <f>AVERAGE(B926:B929)</f>
        <v/>
      </c>
      <c r="F929" s="32">
        <f>(Table2634[[#This Row],[4 weeks average]]-B877)/B877</f>
        <v/>
      </c>
    </row>
    <row r="930">
      <c r="A930" s="22" t="n">
        <v>33868</v>
      </c>
      <c r="B930" s="24">
        <f>VLOOKUP(Table2634[[#This Row],[Date]],'DB Money Supply'!$A:$D,4)</f>
        <v/>
      </c>
      <c r="C930" s="30">
        <f>(Table2634[[#This Row],[M1 Money Stock, Billions of Dollars, Weekly, Seasonally Adjusted]]-B929)/B929</f>
        <v/>
      </c>
      <c r="D930" s="34">
        <f>((1+Table2634[[#This Row],[Weekly change]])^52)-1</f>
        <v/>
      </c>
      <c r="E930" s="24">
        <f>AVERAGE(B927:B930)</f>
        <v/>
      </c>
      <c r="F930" s="32">
        <f>(Table2634[[#This Row],[4 weeks average]]-B878)/B878</f>
        <v/>
      </c>
    </row>
    <row r="931">
      <c r="A931" s="22" t="n">
        <v>33875</v>
      </c>
      <c r="B931" s="24">
        <f>VLOOKUP(Table2634[[#This Row],[Date]],'DB Money Supply'!$A:$D,4)</f>
        <v/>
      </c>
      <c r="C931" s="30">
        <f>(Table2634[[#This Row],[M1 Money Stock, Billions of Dollars, Weekly, Seasonally Adjusted]]-B930)/B930</f>
        <v/>
      </c>
      <c r="D931" s="34">
        <f>((1+Table2634[[#This Row],[Weekly change]])^52)-1</f>
        <v/>
      </c>
      <c r="E931" s="24">
        <f>AVERAGE(B928:B931)</f>
        <v/>
      </c>
      <c r="F931" s="32">
        <f>(Table2634[[#This Row],[4 weeks average]]-B879)/B879</f>
        <v/>
      </c>
    </row>
    <row r="932">
      <c r="A932" s="22" t="n">
        <v>33882</v>
      </c>
      <c r="B932" s="24">
        <f>VLOOKUP(Table2634[[#This Row],[Date]],'DB Money Supply'!$A:$D,4)</f>
        <v/>
      </c>
      <c r="C932" s="30">
        <f>(Table2634[[#This Row],[M1 Money Stock, Billions of Dollars, Weekly, Seasonally Adjusted]]-B931)/B931</f>
        <v/>
      </c>
      <c r="D932" s="34">
        <f>((1+Table2634[[#This Row],[Weekly change]])^52)-1</f>
        <v/>
      </c>
      <c r="E932" s="24">
        <f>AVERAGE(B929:B932)</f>
        <v/>
      </c>
      <c r="F932" s="32">
        <f>(Table2634[[#This Row],[4 weeks average]]-B880)/B880</f>
        <v/>
      </c>
    </row>
    <row r="933">
      <c r="A933" s="22" t="n">
        <v>33889</v>
      </c>
      <c r="B933" s="24">
        <f>VLOOKUP(Table2634[[#This Row],[Date]],'DB Money Supply'!$A:$D,4)</f>
        <v/>
      </c>
      <c r="C933" s="30">
        <f>(Table2634[[#This Row],[M1 Money Stock, Billions of Dollars, Weekly, Seasonally Adjusted]]-B932)/B932</f>
        <v/>
      </c>
      <c r="D933" s="34">
        <f>((1+Table2634[[#This Row],[Weekly change]])^52)-1</f>
        <v/>
      </c>
      <c r="E933" s="24">
        <f>AVERAGE(B930:B933)</f>
        <v/>
      </c>
      <c r="F933" s="32">
        <f>(Table2634[[#This Row],[4 weeks average]]-B881)/B881</f>
        <v/>
      </c>
    </row>
    <row r="934">
      <c r="A934" s="22" t="n">
        <v>33896</v>
      </c>
      <c r="B934" s="24">
        <f>VLOOKUP(Table2634[[#This Row],[Date]],'DB Money Supply'!$A:$D,4)</f>
        <v/>
      </c>
      <c r="C934" s="30">
        <f>(Table2634[[#This Row],[M1 Money Stock, Billions of Dollars, Weekly, Seasonally Adjusted]]-B933)/B933</f>
        <v/>
      </c>
      <c r="D934" s="34">
        <f>((1+Table2634[[#This Row],[Weekly change]])^52)-1</f>
        <v/>
      </c>
      <c r="E934" s="24">
        <f>AVERAGE(B931:B934)</f>
        <v/>
      </c>
      <c r="F934" s="32">
        <f>(Table2634[[#This Row],[4 weeks average]]-B882)/B882</f>
        <v/>
      </c>
    </row>
    <row r="935">
      <c r="A935" s="22" t="n">
        <v>33903</v>
      </c>
      <c r="B935" s="24">
        <f>VLOOKUP(Table2634[[#This Row],[Date]],'DB Money Supply'!$A:$D,4)</f>
        <v/>
      </c>
      <c r="C935" s="30">
        <f>(Table2634[[#This Row],[M1 Money Stock, Billions of Dollars, Weekly, Seasonally Adjusted]]-B934)/B934</f>
        <v/>
      </c>
      <c r="D935" s="34">
        <f>((1+Table2634[[#This Row],[Weekly change]])^52)-1</f>
        <v/>
      </c>
      <c r="E935" s="24">
        <f>AVERAGE(B932:B935)</f>
        <v/>
      </c>
      <c r="F935" s="32">
        <f>(Table2634[[#This Row],[4 weeks average]]-B883)/B883</f>
        <v/>
      </c>
    </row>
    <row r="936">
      <c r="A936" s="22" t="n">
        <v>33910</v>
      </c>
      <c r="B936" s="24">
        <f>VLOOKUP(Table2634[[#This Row],[Date]],'DB Money Supply'!$A:$D,4)</f>
        <v/>
      </c>
      <c r="C936" s="30">
        <f>(Table2634[[#This Row],[M1 Money Stock, Billions of Dollars, Weekly, Seasonally Adjusted]]-B935)/B935</f>
        <v/>
      </c>
      <c r="D936" s="34">
        <f>((1+Table2634[[#This Row],[Weekly change]])^52)-1</f>
        <v/>
      </c>
      <c r="E936" s="24">
        <f>AVERAGE(B933:B936)</f>
        <v/>
      </c>
      <c r="F936" s="32">
        <f>(Table2634[[#This Row],[4 weeks average]]-B884)/B884</f>
        <v/>
      </c>
    </row>
    <row r="937">
      <c r="A937" s="22" t="n">
        <v>33917</v>
      </c>
      <c r="B937" s="24">
        <f>VLOOKUP(Table2634[[#This Row],[Date]],'DB Money Supply'!$A:$D,4)</f>
        <v/>
      </c>
      <c r="C937" s="30">
        <f>(Table2634[[#This Row],[M1 Money Stock, Billions of Dollars, Weekly, Seasonally Adjusted]]-B936)/B936</f>
        <v/>
      </c>
      <c r="D937" s="34">
        <f>((1+Table2634[[#This Row],[Weekly change]])^52)-1</f>
        <v/>
      </c>
      <c r="E937" s="24">
        <f>AVERAGE(B934:B937)</f>
        <v/>
      </c>
      <c r="F937" s="32">
        <f>(Table2634[[#This Row],[4 weeks average]]-B885)/B885</f>
        <v/>
      </c>
    </row>
    <row r="938">
      <c r="A938" s="22" t="n">
        <v>33924</v>
      </c>
      <c r="B938" s="24">
        <f>VLOOKUP(Table2634[[#This Row],[Date]],'DB Money Supply'!$A:$D,4)</f>
        <v/>
      </c>
      <c r="C938" s="30">
        <f>(Table2634[[#This Row],[M1 Money Stock, Billions of Dollars, Weekly, Seasonally Adjusted]]-B937)/B937</f>
        <v/>
      </c>
      <c r="D938" s="34">
        <f>((1+Table2634[[#This Row],[Weekly change]])^52)-1</f>
        <v/>
      </c>
      <c r="E938" s="24">
        <f>AVERAGE(B935:B938)</f>
        <v/>
      </c>
      <c r="F938" s="32">
        <f>(Table2634[[#This Row],[4 weeks average]]-B886)/B886</f>
        <v/>
      </c>
    </row>
    <row r="939">
      <c r="A939" s="22" t="n">
        <v>33931</v>
      </c>
      <c r="B939" s="24">
        <f>VLOOKUP(Table2634[[#This Row],[Date]],'DB Money Supply'!$A:$D,4)</f>
        <v/>
      </c>
      <c r="C939" s="30">
        <f>(Table2634[[#This Row],[M1 Money Stock, Billions of Dollars, Weekly, Seasonally Adjusted]]-B938)/B938</f>
        <v/>
      </c>
      <c r="D939" s="34">
        <f>((1+Table2634[[#This Row],[Weekly change]])^52)-1</f>
        <v/>
      </c>
      <c r="E939" s="24">
        <f>AVERAGE(B936:B939)</f>
        <v/>
      </c>
      <c r="F939" s="32">
        <f>(Table2634[[#This Row],[4 weeks average]]-B887)/B887</f>
        <v/>
      </c>
    </row>
    <row r="940">
      <c r="A940" s="22" t="n">
        <v>33938</v>
      </c>
      <c r="B940" s="24">
        <f>VLOOKUP(Table2634[[#This Row],[Date]],'DB Money Supply'!$A:$D,4)</f>
        <v/>
      </c>
      <c r="C940" s="30">
        <f>(Table2634[[#This Row],[M1 Money Stock, Billions of Dollars, Weekly, Seasonally Adjusted]]-B939)/B939</f>
        <v/>
      </c>
      <c r="D940" s="34">
        <f>((1+Table2634[[#This Row],[Weekly change]])^52)-1</f>
        <v/>
      </c>
      <c r="E940" s="24">
        <f>AVERAGE(B937:B940)</f>
        <v/>
      </c>
      <c r="F940" s="32">
        <f>(Table2634[[#This Row],[4 weeks average]]-B888)/B888</f>
        <v/>
      </c>
    </row>
    <row r="941">
      <c r="A941" s="22" t="n">
        <v>33945</v>
      </c>
      <c r="B941" s="24">
        <f>VLOOKUP(Table2634[[#This Row],[Date]],'DB Money Supply'!$A:$D,4)</f>
        <v/>
      </c>
      <c r="C941" s="30">
        <f>(Table2634[[#This Row],[M1 Money Stock, Billions of Dollars, Weekly, Seasonally Adjusted]]-B940)/B940</f>
        <v/>
      </c>
      <c r="D941" s="34">
        <f>((1+Table2634[[#This Row],[Weekly change]])^52)-1</f>
        <v/>
      </c>
      <c r="E941" s="24">
        <f>AVERAGE(B938:B941)</f>
        <v/>
      </c>
      <c r="F941" s="32">
        <f>(Table2634[[#This Row],[4 weeks average]]-B889)/B889</f>
        <v/>
      </c>
    </row>
    <row r="942">
      <c r="A942" s="22" t="n">
        <v>33952</v>
      </c>
      <c r="B942" s="24">
        <f>VLOOKUP(Table2634[[#This Row],[Date]],'DB Money Supply'!$A:$D,4)</f>
        <v/>
      </c>
      <c r="C942" s="30">
        <f>(Table2634[[#This Row],[M1 Money Stock, Billions of Dollars, Weekly, Seasonally Adjusted]]-B941)/B941</f>
        <v/>
      </c>
      <c r="D942" s="34">
        <f>((1+Table2634[[#This Row],[Weekly change]])^52)-1</f>
        <v/>
      </c>
      <c r="E942" s="24">
        <f>AVERAGE(B939:B942)</f>
        <v/>
      </c>
      <c r="F942" s="32">
        <f>(Table2634[[#This Row],[4 weeks average]]-B890)/B890</f>
        <v/>
      </c>
    </row>
    <row r="943">
      <c r="A943" s="22" t="n">
        <v>33959</v>
      </c>
      <c r="B943" s="24">
        <f>VLOOKUP(Table2634[[#This Row],[Date]],'DB Money Supply'!$A:$D,4)</f>
        <v/>
      </c>
      <c r="C943" s="30">
        <f>(Table2634[[#This Row],[M1 Money Stock, Billions of Dollars, Weekly, Seasonally Adjusted]]-B942)/B942</f>
        <v/>
      </c>
      <c r="D943" s="34">
        <f>((1+Table2634[[#This Row],[Weekly change]])^52)-1</f>
        <v/>
      </c>
      <c r="E943" s="24">
        <f>AVERAGE(B940:B943)</f>
        <v/>
      </c>
      <c r="F943" s="32">
        <f>(Table2634[[#This Row],[4 weeks average]]-B891)/B891</f>
        <v/>
      </c>
    </row>
    <row r="944">
      <c r="A944" s="22" t="n">
        <v>33966</v>
      </c>
      <c r="B944" s="24">
        <f>VLOOKUP(Table2634[[#This Row],[Date]],'DB Money Supply'!$A:$D,4)</f>
        <v/>
      </c>
      <c r="C944" s="30">
        <f>(Table2634[[#This Row],[M1 Money Stock, Billions of Dollars, Weekly, Seasonally Adjusted]]-B943)/B943</f>
        <v/>
      </c>
      <c r="D944" s="34">
        <f>((1+Table2634[[#This Row],[Weekly change]])^52)-1</f>
        <v/>
      </c>
      <c r="E944" s="24">
        <f>AVERAGE(B941:B944)</f>
        <v/>
      </c>
      <c r="F944" s="32">
        <f>(Table2634[[#This Row],[4 weeks average]]-B892)/B892</f>
        <v/>
      </c>
    </row>
    <row r="945">
      <c r="A945" s="22" t="n">
        <v>33973</v>
      </c>
      <c r="B945" s="24">
        <f>VLOOKUP(Table2634[[#This Row],[Date]],'DB Money Supply'!$A:$D,4)</f>
        <v/>
      </c>
      <c r="C945" s="30">
        <f>(Table2634[[#This Row],[M1 Money Stock, Billions of Dollars, Weekly, Seasonally Adjusted]]-B944)/B944</f>
        <v/>
      </c>
      <c r="D945" s="34">
        <f>((1+Table2634[[#This Row],[Weekly change]])^52)-1</f>
        <v/>
      </c>
      <c r="E945" s="24">
        <f>AVERAGE(B942:B945)</f>
        <v/>
      </c>
      <c r="F945" s="32">
        <f>(Table2634[[#This Row],[4 weeks average]]-B893)/B893</f>
        <v/>
      </c>
    </row>
    <row r="946">
      <c r="A946" s="22" t="n">
        <v>33980</v>
      </c>
      <c r="B946" s="24">
        <f>VLOOKUP(Table2634[[#This Row],[Date]],'DB Money Supply'!$A:$D,4)</f>
        <v/>
      </c>
      <c r="C946" s="30">
        <f>(Table2634[[#This Row],[M1 Money Stock, Billions of Dollars, Weekly, Seasonally Adjusted]]-B945)/B945</f>
        <v/>
      </c>
      <c r="D946" s="34">
        <f>((1+Table2634[[#This Row],[Weekly change]])^52)-1</f>
        <v/>
      </c>
      <c r="E946" s="24">
        <f>AVERAGE(B943:B946)</f>
        <v/>
      </c>
      <c r="F946" s="32">
        <f>(Table2634[[#This Row],[4 weeks average]]-B894)/B894</f>
        <v/>
      </c>
    </row>
    <row r="947">
      <c r="A947" s="22" t="n">
        <v>33987</v>
      </c>
      <c r="B947" s="24">
        <f>VLOOKUP(Table2634[[#This Row],[Date]],'DB Money Supply'!$A:$D,4)</f>
        <v/>
      </c>
      <c r="C947" s="30">
        <f>(Table2634[[#This Row],[M1 Money Stock, Billions of Dollars, Weekly, Seasonally Adjusted]]-B946)/B946</f>
        <v/>
      </c>
      <c r="D947" s="34">
        <f>((1+Table2634[[#This Row],[Weekly change]])^52)-1</f>
        <v/>
      </c>
      <c r="E947" s="24">
        <f>AVERAGE(B944:B947)</f>
        <v/>
      </c>
      <c r="F947" s="32">
        <f>(Table2634[[#This Row],[4 weeks average]]-B895)/B895</f>
        <v/>
      </c>
    </row>
    <row r="948">
      <c r="A948" s="22" t="n">
        <v>33994</v>
      </c>
      <c r="B948" s="24">
        <f>VLOOKUP(Table2634[[#This Row],[Date]],'DB Money Supply'!$A:$D,4)</f>
        <v/>
      </c>
      <c r="C948" s="30">
        <f>(Table2634[[#This Row],[M1 Money Stock, Billions of Dollars, Weekly, Seasonally Adjusted]]-B947)/B947</f>
        <v/>
      </c>
      <c r="D948" s="34">
        <f>((1+Table2634[[#This Row],[Weekly change]])^52)-1</f>
        <v/>
      </c>
      <c r="E948" s="24">
        <f>AVERAGE(B945:B948)</f>
        <v/>
      </c>
      <c r="F948" s="32">
        <f>(Table2634[[#This Row],[4 weeks average]]-B896)/B896</f>
        <v/>
      </c>
    </row>
    <row r="949">
      <c r="A949" s="22" t="n">
        <v>34001</v>
      </c>
      <c r="B949" s="24">
        <f>VLOOKUP(Table2634[[#This Row],[Date]],'DB Money Supply'!$A:$D,4)</f>
        <v/>
      </c>
      <c r="C949" s="30">
        <f>(Table2634[[#This Row],[M1 Money Stock, Billions of Dollars, Weekly, Seasonally Adjusted]]-B948)/B948</f>
        <v/>
      </c>
      <c r="D949" s="34">
        <f>((1+Table2634[[#This Row],[Weekly change]])^52)-1</f>
        <v/>
      </c>
      <c r="E949" s="24">
        <f>AVERAGE(B946:B949)</f>
        <v/>
      </c>
      <c r="F949" s="32">
        <f>(Table2634[[#This Row],[4 weeks average]]-B897)/B897</f>
        <v/>
      </c>
    </row>
    <row r="950">
      <c r="A950" s="22" t="n">
        <v>34008</v>
      </c>
      <c r="B950" s="24">
        <f>VLOOKUP(Table2634[[#This Row],[Date]],'DB Money Supply'!$A:$D,4)</f>
        <v/>
      </c>
      <c r="C950" s="30">
        <f>(Table2634[[#This Row],[M1 Money Stock, Billions of Dollars, Weekly, Seasonally Adjusted]]-B949)/B949</f>
        <v/>
      </c>
      <c r="D950" s="34">
        <f>((1+Table2634[[#This Row],[Weekly change]])^52)-1</f>
        <v/>
      </c>
      <c r="E950" s="24">
        <f>AVERAGE(B947:B950)</f>
        <v/>
      </c>
      <c r="F950" s="32">
        <f>(Table2634[[#This Row],[4 weeks average]]-B898)/B898</f>
        <v/>
      </c>
    </row>
    <row r="951">
      <c r="A951" s="22" t="n">
        <v>34015</v>
      </c>
      <c r="B951" s="24">
        <f>VLOOKUP(Table2634[[#This Row],[Date]],'DB Money Supply'!$A:$D,4)</f>
        <v/>
      </c>
      <c r="C951" s="30">
        <f>(Table2634[[#This Row],[M1 Money Stock, Billions of Dollars, Weekly, Seasonally Adjusted]]-B950)/B950</f>
        <v/>
      </c>
      <c r="D951" s="34">
        <f>((1+Table2634[[#This Row],[Weekly change]])^52)-1</f>
        <v/>
      </c>
      <c r="E951" s="24">
        <f>AVERAGE(B948:B951)</f>
        <v/>
      </c>
      <c r="F951" s="32">
        <f>(Table2634[[#This Row],[4 weeks average]]-B899)/B899</f>
        <v/>
      </c>
    </row>
    <row r="952">
      <c r="A952" s="22" t="n">
        <v>34022</v>
      </c>
      <c r="B952" s="24">
        <f>VLOOKUP(Table2634[[#This Row],[Date]],'DB Money Supply'!$A:$D,4)</f>
        <v/>
      </c>
      <c r="C952" s="30">
        <f>(Table2634[[#This Row],[M1 Money Stock, Billions of Dollars, Weekly, Seasonally Adjusted]]-B951)/B951</f>
        <v/>
      </c>
      <c r="D952" s="34">
        <f>((1+Table2634[[#This Row],[Weekly change]])^52)-1</f>
        <v/>
      </c>
      <c r="E952" s="24">
        <f>AVERAGE(B949:B952)</f>
        <v/>
      </c>
      <c r="F952" s="32">
        <f>(Table2634[[#This Row],[4 weeks average]]-B900)/B900</f>
        <v/>
      </c>
    </row>
    <row r="953">
      <c r="A953" s="22" t="n">
        <v>34029</v>
      </c>
      <c r="B953" s="24">
        <f>VLOOKUP(Table2634[[#This Row],[Date]],'DB Money Supply'!$A:$D,4)</f>
        <v/>
      </c>
      <c r="C953" s="30">
        <f>(Table2634[[#This Row],[M1 Money Stock, Billions of Dollars, Weekly, Seasonally Adjusted]]-B952)/B952</f>
        <v/>
      </c>
      <c r="D953" s="34">
        <f>((1+Table2634[[#This Row],[Weekly change]])^52)-1</f>
        <v/>
      </c>
      <c r="E953" s="24">
        <f>AVERAGE(B950:B953)</f>
        <v/>
      </c>
      <c r="F953" s="32">
        <f>(Table2634[[#This Row],[4 weeks average]]-B901)/B901</f>
        <v/>
      </c>
    </row>
    <row r="954">
      <c r="A954" s="22" t="n">
        <v>34036</v>
      </c>
      <c r="B954" s="24">
        <f>VLOOKUP(Table2634[[#This Row],[Date]],'DB Money Supply'!$A:$D,4)</f>
        <v/>
      </c>
      <c r="C954" s="30">
        <f>(Table2634[[#This Row],[M1 Money Stock, Billions of Dollars, Weekly, Seasonally Adjusted]]-B953)/B953</f>
        <v/>
      </c>
      <c r="D954" s="34">
        <f>((1+Table2634[[#This Row],[Weekly change]])^52)-1</f>
        <v/>
      </c>
      <c r="E954" s="24">
        <f>AVERAGE(B951:B954)</f>
        <v/>
      </c>
      <c r="F954" s="32">
        <f>(Table2634[[#This Row],[4 weeks average]]-B902)/B902</f>
        <v/>
      </c>
    </row>
    <row r="955">
      <c r="A955" s="22" t="n">
        <v>34043</v>
      </c>
      <c r="B955" s="24">
        <f>VLOOKUP(Table2634[[#This Row],[Date]],'DB Money Supply'!$A:$D,4)</f>
        <v/>
      </c>
      <c r="C955" s="30">
        <f>(Table2634[[#This Row],[M1 Money Stock, Billions of Dollars, Weekly, Seasonally Adjusted]]-B954)/B954</f>
        <v/>
      </c>
      <c r="D955" s="34">
        <f>((1+Table2634[[#This Row],[Weekly change]])^52)-1</f>
        <v/>
      </c>
      <c r="E955" s="24">
        <f>AVERAGE(B952:B955)</f>
        <v/>
      </c>
      <c r="F955" s="32">
        <f>(Table2634[[#This Row],[4 weeks average]]-B903)/B903</f>
        <v/>
      </c>
    </row>
    <row r="956">
      <c r="A956" s="22" t="n">
        <v>34050</v>
      </c>
      <c r="B956" s="24">
        <f>VLOOKUP(Table2634[[#This Row],[Date]],'DB Money Supply'!$A:$D,4)</f>
        <v/>
      </c>
      <c r="C956" s="30">
        <f>(Table2634[[#This Row],[M1 Money Stock, Billions of Dollars, Weekly, Seasonally Adjusted]]-B955)/B955</f>
        <v/>
      </c>
      <c r="D956" s="34">
        <f>((1+Table2634[[#This Row],[Weekly change]])^52)-1</f>
        <v/>
      </c>
      <c r="E956" s="24">
        <f>AVERAGE(B953:B956)</f>
        <v/>
      </c>
      <c r="F956" s="32">
        <f>(Table2634[[#This Row],[4 weeks average]]-B904)/B904</f>
        <v/>
      </c>
    </row>
    <row r="957">
      <c r="A957" s="22" t="n">
        <v>34057</v>
      </c>
      <c r="B957" s="24">
        <f>VLOOKUP(Table2634[[#This Row],[Date]],'DB Money Supply'!$A:$D,4)</f>
        <v/>
      </c>
      <c r="C957" s="30">
        <f>(Table2634[[#This Row],[M1 Money Stock, Billions of Dollars, Weekly, Seasonally Adjusted]]-B956)/B956</f>
        <v/>
      </c>
      <c r="D957" s="34">
        <f>((1+Table2634[[#This Row],[Weekly change]])^52)-1</f>
        <v/>
      </c>
      <c r="E957" s="24">
        <f>AVERAGE(B954:B957)</f>
        <v/>
      </c>
      <c r="F957" s="32">
        <f>(Table2634[[#This Row],[4 weeks average]]-B905)/B905</f>
        <v/>
      </c>
    </row>
    <row r="958">
      <c r="A958" s="22" t="n">
        <v>34064</v>
      </c>
      <c r="B958" s="24">
        <f>VLOOKUP(Table2634[[#This Row],[Date]],'DB Money Supply'!$A:$D,4)</f>
        <v/>
      </c>
      <c r="C958" s="30">
        <f>(Table2634[[#This Row],[M1 Money Stock, Billions of Dollars, Weekly, Seasonally Adjusted]]-B957)/B957</f>
        <v/>
      </c>
      <c r="D958" s="34">
        <f>((1+Table2634[[#This Row],[Weekly change]])^52)-1</f>
        <v/>
      </c>
      <c r="E958" s="24">
        <f>AVERAGE(B955:B958)</f>
        <v/>
      </c>
      <c r="F958" s="32">
        <f>(Table2634[[#This Row],[4 weeks average]]-B906)/B906</f>
        <v/>
      </c>
    </row>
    <row r="959">
      <c r="A959" s="22" t="n">
        <v>34071</v>
      </c>
      <c r="B959" s="24">
        <f>VLOOKUP(Table2634[[#This Row],[Date]],'DB Money Supply'!$A:$D,4)</f>
        <v/>
      </c>
      <c r="C959" s="30">
        <f>(Table2634[[#This Row],[M1 Money Stock, Billions of Dollars, Weekly, Seasonally Adjusted]]-B958)/B958</f>
        <v/>
      </c>
      <c r="D959" s="34">
        <f>((1+Table2634[[#This Row],[Weekly change]])^52)-1</f>
        <v/>
      </c>
      <c r="E959" s="24">
        <f>AVERAGE(B956:B959)</f>
        <v/>
      </c>
      <c r="F959" s="32">
        <f>(Table2634[[#This Row],[4 weeks average]]-B907)/B907</f>
        <v/>
      </c>
    </row>
    <row r="960">
      <c r="A960" s="22" t="n">
        <v>34078</v>
      </c>
      <c r="B960" s="24">
        <f>VLOOKUP(Table2634[[#This Row],[Date]],'DB Money Supply'!$A:$D,4)</f>
        <v/>
      </c>
      <c r="C960" s="30">
        <f>(Table2634[[#This Row],[M1 Money Stock, Billions of Dollars, Weekly, Seasonally Adjusted]]-B959)/B959</f>
        <v/>
      </c>
      <c r="D960" s="34">
        <f>((1+Table2634[[#This Row],[Weekly change]])^52)-1</f>
        <v/>
      </c>
      <c r="E960" s="24">
        <f>AVERAGE(B957:B960)</f>
        <v/>
      </c>
      <c r="F960" s="32">
        <f>(Table2634[[#This Row],[4 weeks average]]-B908)/B908</f>
        <v/>
      </c>
    </row>
    <row r="961">
      <c r="A961" s="22" t="n">
        <v>34085</v>
      </c>
      <c r="B961" s="24">
        <f>VLOOKUP(Table2634[[#This Row],[Date]],'DB Money Supply'!$A:$D,4)</f>
        <v/>
      </c>
      <c r="C961" s="30">
        <f>(Table2634[[#This Row],[M1 Money Stock, Billions of Dollars, Weekly, Seasonally Adjusted]]-B960)/B960</f>
        <v/>
      </c>
      <c r="D961" s="34">
        <f>((1+Table2634[[#This Row],[Weekly change]])^52)-1</f>
        <v/>
      </c>
      <c r="E961" s="24">
        <f>AVERAGE(B958:B961)</f>
        <v/>
      </c>
      <c r="F961" s="32">
        <f>(Table2634[[#This Row],[4 weeks average]]-B909)/B909</f>
        <v/>
      </c>
    </row>
    <row r="962">
      <c r="A962" s="22" t="n">
        <v>34092</v>
      </c>
      <c r="B962" s="24">
        <f>VLOOKUP(Table2634[[#This Row],[Date]],'DB Money Supply'!$A:$D,4)</f>
        <v/>
      </c>
      <c r="C962" s="30">
        <f>(Table2634[[#This Row],[M1 Money Stock, Billions of Dollars, Weekly, Seasonally Adjusted]]-B961)/B961</f>
        <v/>
      </c>
      <c r="D962" s="34">
        <f>((1+Table2634[[#This Row],[Weekly change]])^52)-1</f>
        <v/>
      </c>
      <c r="E962" s="24">
        <f>AVERAGE(B959:B962)</f>
        <v/>
      </c>
      <c r="F962" s="32">
        <f>(Table2634[[#This Row],[4 weeks average]]-B910)/B910</f>
        <v/>
      </c>
    </row>
    <row r="963">
      <c r="A963" s="22" t="n">
        <v>34099</v>
      </c>
      <c r="B963" s="24">
        <f>VLOOKUP(Table2634[[#This Row],[Date]],'DB Money Supply'!$A:$D,4)</f>
        <v/>
      </c>
      <c r="C963" s="30">
        <f>(Table2634[[#This Row],[M1 Money Stock, Billions of Dollars, Weekly, Seasonally Adjusted]]-B962)/B962</f>
        <v/>
      </c>
      <c r="D963" s="34">
        <f>((1+Table2634[[#This Row],[Weekly change]])^52)-1</f>
        <v/>
      </c>
      <c r="E963" s="24">
        <f>AVERAGE(B960:B963)</f>
        <v/>
      </c>
      <c r="F963" s="32">
        <f>(Table2634[[#This Row],[4 weeks average]]-B911)/B911</f>
        <v/>
      </c>
    </row>
    <row r="964">
      <c r="A964" s="22" t="n">
        <v>34106</v>
      </c>
      <c r="B964" s="24">
        <f>VLOOKUP(Table2634[[#This Row],[Date]],'DB Money Supply'!$A:$D,4)</f>
        <v/>
      </c>
      <c r="C964" s="30">
        <f>(Table2634[[#This Row],[M1 Money Stock, Billions of Dollars, Weekly, Seasonally Adjusted]]-B963)/B963</f>
        <v/>
      </c>
      <c r="D964" s="34">
        <f>((1+Table2634[[#This Row],[Weekly change]])^52)-1</f>
        <v/>
      </c>
      <c r="E964" s="24">
        <f>AVERAGE(B961:B964)</f>
        <v/>
      </c>
      <c r="F964" s="32">
        <f>(Table2634[[#This Row],[4 weeks average]]-B912)/B912</f>
        <v/>
      </c>
    </row>
    <row r="965">
      <c r="A965" s="22" t="n">
        <v>34113</v>
      </c>
      <c r="B965" s="24">
        <f>VLOOKUP(Table2634[[#This Row],[Date]],'DB Money Supply'!$A:$D,4)</f>
        <v/>
      </c>
      <c r="C965" s="30">
        <f>(Table2634[[#This Row],[M1 Money Stock, Billions of Dollars, Weekly, Seasonally Adjusted]]-B964)/B964</f>
        <v/>
      </c>
      <c r="D965" s="34">
        <f>((1+Table2634[[#This Row],[Weekly change]])^52)-1</f>
        <v/>
      </c>
      <c r="E965" s="24">
        <f>AVERAGE(B962:B965)</f>
        <v/>
      </c>
      <c r="F965" s="32">
        <f>(Table2634[[#This Row],[4 weeks average]]-B913)/B913</f>
        <v/>
      </c>
    </row>
    <row r="966">
      <c r="A966" s="22" t="n">
        <v>34120</v>
      </c>
      <c r="B966" s="24">
        <f>VLOOKUP(Table2634[[#This Row],[Date]],'DB Money Supply'!$A:$D,4)</f>
        <v/>
      </c>
      <c r="C966" s="30">
        <f>(Table2634[[#This Row],[M1 Money Stock, Billions of Dollars, Weekly, Seasonally Adjusted]]-B965)/B965</f>
        <v/>
      </c>
      <c r="D966" s="34">
        <f>((1+Table2634[[#This Row],[Weekly change]])^52)-1</f>
        <v/>
      </c>
      <c r="E966" s="24">
        <f>AVERAGE(B963:B966)</f>
        <v/>
      </c>
      <c r="F966" s="32">
        <f>(Table2634[[#This Row],[4 weeks average]]-B914)/B914</f>
        <v/>
      </c>
    </row>
    <row r="967">
      <c r="A967" s="22" t="n">
        <v>34127</v>
      </c>
      <c r="B967" s="24">
        <f>VLOOKUP(Table2634[[#This Row],[Date]],'DB Money Supply'!$A:$D,4)</f>
        <v/>
      </c>
      <c r="C967" s="30">
        <f>(Table2634[[#This Row],[M1 Money Stock, Billions of Dollars, Weekly, Seasonally Adjusted]]-B966)/B966</f>
        <v/>
      </c>
      <c r="D967" s="34">
        <f>((1+Table2634[[#This Row],[Weekly change]])^52)-1</f>
        <v/>
      </c>
      <c r="E967" s="24">
        <f>AVERAGE(B964:B967)</f>
        <v/>
      </c>
      <c r="F967" s="32">
        <f>(Table2634[[#This Row],[4 weeks average]]-B915)/B915</f>
        <v/>
      </c>
    </row>
    <row r="968">
      <c r="A968" s="22" t="n">
        <v>34134</v>
      </c>
      <c r="B968" s="24">
        <f>VLOOKUP(Table2634[[#This Row],[Date]],'DB Money Supply'!$A:$D,4)</f>
        <v/>
      </c>
      <c r="C968" s="30">
        <f>(Table2634[[#This Row],[M1 Money Stock, Billions of Dollars, Weekly, Seasonally Adjusted]]-B967)/B967</f>
        <v/>
      </c>
      <c r="D968" s="34">
        <f>((1+Table2634[[#This Row],[Weekly change]])^52)-1</f>
        <v/>
      </c>
      <c r="E968" s="24">
        <f>AVERAGE(B965:B968)</f>
        <v/>
      </c>
      <c r="F968" s="32">
        <f>(Table2634[[#This Row],[4 weeks average]]-B916)/B916</f>
        <v/>
      </c>
    </row>
    <row r="969">
      <c r="A969" s="22" t="n">
        <v>34141</v>
      </c>
      <c r="B969" s="24">
        <f>VLOOKUP(Table2634[[#This Row],[Date]],'DB Money Supply'!$A:$D,4)</f>
        <v/>
      </c>
      <c r="C969" s="30">
        <f>(Table2634[[#This Row],[M1 Money Stock, Billions of Dollars, Weekly, Seasonally Adjusted]]-B968)/B968</f>
        <v/>
      </c>
      <c r="D969" s="34">
        <f>((1+Table2634[[#This Row],[Weekly change]])^52)-1</f>
        <v/>
      </c>
      <c r="E969" s="24">
        <f>AVERAGE(B966:B969)</f>
        <v/>
      </c>
      <c r="F969" s="32">
        <f>(Table2634[[#This Row],[4 weeks average]]-B917)/B917</f>
        <v/>
      </c>
    </row>
    <row r="970">
      <c r="A970" s="22" t="n">
        <v>34148</v>
      </c>
      <c r="B970" s="24">
        <f>VLOOKUP(Table2634[[#This Row],[Date]],'DB Money Supply'!$A:$D,4)</f>
        <v/>
      </c>
      <c r="C970" s="30">
        <f>(Table2634[[#This Row],[M1 Money Stock, Billions of Dollars, Weekly, Seasonally Adjusted]]-B969)/B969</f>
        <v/>
      </c>
      <c r="D970" s="34">
        <f>((1+Table2634[[#This Row],[Weekly change]])^52)-1</f>
        <v/>
      </c>
      <c r="E970" s="24">
        <f>AVERAGE(B967:B970)</f>
        <v/>
      </c>
      <c r="F970" s="32">
        <f>(Table2634[[#This Row],[4 weeks average]]-B918)/B918</f>
        <v/>
      </c>
    </row>
    <row r="971">
      <c r="A971" s="22" t="n">
        <v>34155</v>
      </c>
      <c r="B971" s="24">
        <f>VLOOKUP(Table2634[[#This Row],[Date]],'DB Money Supply'!$A:$D,4)</f>
        <v/>
      </c>
      <c r="C971" s="30">
        <f>(Table2634[[#This Row],[M1 Money Stock, Billions of Dollars, Weekly, Seasonally Adjusted]]-B970)/B970</f>
        <v/>
      </c>
      <c r="D971" s="34">
        <f>((1+Table2634[[#This Row],[Weekly change]])^52)-1</f>
        <v/>
      </c>
      <c r="E971" s="24">
        <f>AVERAGE(B968:B971)</f>
        <v/>
      </c>
      <c r="F971" s="32">
        <f>(Table2634[[#This Row],[4 weeks average]]-B919)/B919</f>
        <v/>
      </c>
    </row>
    <row r="972">
      <c r="A972" s="22" t="n">
        <v>34162</v>
      </c>
      <c r="B972" s="24">
        <f>VLOOKUP(Table2634[[#This Row],[Date]],'DB Money Supply'!$A:$D,4)</f>
        <v/>
      </c>
      <c r="C972" s="30">
        <f>(Table2634[[#This Row],[M1 Money Stock, Billions of Dollars, Weekly, Seasonally Adjusted]]-B971)/B971</f>
        <v/>
      </c>
      <c r="D972" s="34">
        <f>((1+Table2634[[#This Row],[Weekly change]])^52)-1</f>
        <v/>
      </c>
      <c r="E972" s="24">
        <f>AVERAGE(B969:B972)</f>
        <v/>
      </c>
      <c r="F972" s="32">
        <f>(Table2634[[#This Row],[4 weeks average]]-B920)/B920</f>
        <v/>
      </c>
    </row>
    <row r="973">
      <c r="A973" s="22" t="n">
        <v>34169</v>
      </c>
      <c r="B973" s="24">
        <f>VLOOKUP(Table2634[[#This Row],[Date]],'DB Money Supply'!$A:$D,4)</f>
        <v/>
      </c>
      <c r="C973" s="30">
        <f>(Table2634[[#This Row],[M1 Money Stock, Billions of Dollars, Weekly, Seasonally Adjusted]]-B972)/B972</f>
        <v/>
      </c>
      <c r="D973" s="34">
        <f>((1+Table2634[[#This Row],[Weekly change]])^52)-1</f>
        <v/>
      </c>
      <c r="E973" s="24">
        <f>AVERAGE(B970:B973)</f>
        <v/>
      </c>
      <c r="F973" s="32">
        <f>(Table2634[[#This Row],[4 weeks average]]-B921)/B921</f>
        <v/>
      </c>
    </row>
    <row r="974">
      <c r="A974" s="22" t="n">
        <v>34176</v>
      </c>
      <c r="B974" s="24">
        <f>VLOOKUP(Table2634[[#This Row],[Date]],'DB Money Supply'!$A:$D,4)</f>
        <v/>
      </c>
      <c r="C974" s="30">
        <f>(Table2634[[#This Row],[M1 Money Stock, Billions of Dollars, Weekly, Seasonally Adjusted]]-B973)/B973</f>
        <v/>
      </c>
      <c r="D974" s="34">
        <f>((1+Table2634[[#This Row],[Weekly change]])^52)-1</f>
        <v/>
      </c>
      <c r="E974" s="24">
        <f>AVERAGE(B971:B974)</f>
        <v/>
      </c>
      <c r="F974" s="32">
        <f>(Table2634[[#This Row],[4 weeks average]]-B922)/B922</f>
        <v/>
      </c>
    </row>
    <row r="975">
      <c r="A975" s="22" t="n">
        <v>34183</v>
      </c>
      <c r="B975" s="24">
        <f>VLOOKUP(Table2634[[#This Row],[Date]],'DB Money Supply'!$A:$D,4)</f>
        <v/>
      </c>
      <c r="C975" s="30">
        <f>(Table2634[[#This Row],[M1 Money Stock, Billions of Dollars, Weekly, Seasonally Adjusted]]-B974)/B974</f>
        <v/>
      </c>
      <c r="D975" s="34">
        <f>((1+Table2634[[#This Row],[Weekly change]])^52)-1</f>
        <v/>
      </c>
      <c r="E975" s="24">
        <f>AVERAGE(B972:B975)</f>
        <v/>
      </c>
      <c r="F975" s="32">
        <f>(Table2634[[#This Row],[4 weeks average]]-B923)/B923</f>
        <v/>
      </c>
    </row>
    <row r="976">
      <c r="A976" s="22" t="n">
        <v>34190</v>
      </c>
      <c r="B976" s="24">
        <f>VLOOKUP(Table2634[[#This Row],[Date]],'DB Money Supply'!$A:$D,4)</f>
        <v/>
      </c>
      <c r="C976" s="30">
        <f>(Table2634[[#This Row],[M1 Money Stock, Billions of Dollars, Weekly, Seasonally Adjusted]]-B975)/B975</f>
        <v/>
      </c>
      <c r="D976" s="34">
        <f>((1+Table2634[[#This Row],[Weekly change]])^52)-1</f>
        <v/>
      </c>
      <c r="E976" s="24">
        <f>AVERAGE(B973:B976)</f>
        <v/>
      </c>
      <c r="F976" s="32">
        <f>(Table2634[[#This Row],[4 weeks average]]-B924)/B924</f>
        <v/>
      </c>
    </row>
    <row r="977">
      <c r="A977" s="22" t="n">
        <v>34197</v>
      </c>
      <c r="B977" s="24">
        <f>VLOOKUP(Table2634[[#This Row],[Date]],'DB Money Supply'!$A:$D,4)</f>
        <v/>
      </c>
      <c r="C977" s="30">
        <f>(Table2634[[#This Row],[M1 Money Stock, Billions of Dollars, Weekly, Seasonally Adjusted]]-B976)/B976</f>
        <v/>
      </c>
      <c r="D977" s="34">
        <f>((1+Table2634[[#This Row],[Weekly change]])^52)-1</f>
        <v/>
      </c>
      <c r="E977" s="24">
        <f>AVERAGE(B974:B977)</f>
        <v/>
      </c>
      <c r="F977" s="32">
        <f>(Table2634[[#This Row],[4 weeks average]]-B925)/B925</f>
        <v/>
      </c>
    </row>
    <row r="978">
      <c r="A978" s="22" t="n">
        <v>34204</v>
      </c>
      <c r="B978" s="24">
        <f>VLOOKUP(Table2634[[#This Row],[Date]],'DB Money Supply'!$A:$D,4)</f>
        <v/>
      </c>
      <c r="C978" s="30">
        <f>(Table2634[[#This Row],[M1 Money Stock, Billions of Dollars, Weekly, Seasonally Adjusted]]-B977)/B977</f>
        <v/>
      </c>
      <c r="D978" s="34">
        <f>((1+Table2634[[#This Row],[Weekly change]])^52)-1</f>
        <v/>
      </c>
      <c r="E978" s="24">
        <f>AVERAGE(B975:B978)</f>
        <v/>
      </c>
      <c r="F978" s="32">
        <f>(Table2634[[#This Row],[4 weeks average]]-B926)/B926</f>
        <v/>
      </c>
    </row>
    <row r="979">
      <c r="A979" s="22" t="n">
        <v>34211</v>
      </c>
      <c r="B979" s="24">
        <f>VLOOKUP(Table2634[[#This Row],[Date]],'DB Money Supply'!$A:$D,4)</f>
        <v/>
      </c>
      <c r="C979" s="30">
        <f>(Table2634[[#This Row],[M1 Money Stock, Billions of Dollars, Weekly, Seasonally Adjusted]]-B978)/B978</f>
        <v/>
      </c>
      <c r="D979" s="34">
        <f>((1+Table2634[[#This Row],[Weekly change]])^52)-1</f>
        <v/>
      </c>
      <c r="E979" s="24">
        <f>AVERAGE(B976:B979)</f>
        <v/>
      </c>
      <c r="F979" s="32">
        <f>(Table2634[[#This Row],[4 weeks average]]-B927)/B927</f>
        <v/>
      </c>
    </row>
    <row r="980">
      <c r="A980" s="22" t="n">
        <v>34218</v>
      </c>
      <c r="B980" s="24">
        <f>VLOOKUP(Table2634[[#This Row],[Date]],'DB Money Supply'!$A:$D,4)</f>
        <v/>
      </c>
      <c r="C980" s="30">
        <f>(Table2634[[#This Row],[M1 Money Stock, Billions of Dollars, Weekly, Seasonally Adjusted]]-B979)/B979</f>
        <v/>
      </c>
      <c r="D980" s="34">
        <f>((1+Table2634[[#This Row],[Weekly change]])^52)-1</f>
        <v/>
      </c>
      <c r="E980" s="24">
        <f>AVERAGE(B977:B980)</f>
        <v/>
      </c>
      <c r="F980" s="32">
        <f>(Table2634[[#This Row],[4 weeks average]]-B928)/B928</f>
        <v/>
      </c>
    </row>
    <row r="981">
      <c r="A981" s="22" t="n">
        <v>34225</v>
      </c>
      <c r="B981" s="24">
        <f>VLOOKUP(Table2634[[#This Row],[Date]],'DB Money Supply'!$A:$D,4)</f>
        <v/>
      </c>
      <c r="C981" s="30">
        <f>(Table2634[[#This Row],[M1 Money Stock, Billions of Dollars, Weekly, Seasonally Adjusted]]-B980)/B980</f>
        <v/>
      </c>
      <c r="D981" s="34">
        <f>((1+Table2634[[#This Row],[Weekly change]])^52)-1</f>
        <v/>
      </c>
      <c r="E981" s="24">
        <f>AVERAGE(B978:B981)</f>
        <v/>
      </c>
      <c r="F981" s="32">
        <f>(Table2634[[#This Row],[4 weeks average]]-B929)/B929</f>
        <v/>
      </c>
    </row>
    <row r="982">
      <c r="A982" s="22" t="n">
        <v>34232</v>
      </c>
      <c r="B982" s="24">
        <f>VLOOKUP(Table2634[[#This Row],[Date]],'DB Money Supply'!$A:$D,4)</f>
        <v/>
      </c>
      <c r="C982" s="30">
        <f>(Table2634[[#This Row],[M1 Money Stock, Billions of Dollars, Weekly, Seasonally Adjusted]]-B981)/B981</f>
        <v/>
      </c>
      <c r="D982" s="34">
        <f>((1+Table2634[[#This Row],[Weekly change]])^52)-1</f>
        <v/>
      </c>
      <c r="E982" s="24">
        <f>AVERAGE(B979:B982)</f>
        <v/>
      </c>
      <c r="F982" s="32">
        <f>(Table2634[[#This Row],[4 weeks average]]-B930)/B930</f>
        <v/>
      </c>
    </row>
    <row r="983">
      <c r="A983" s="22" t="n">
        <v>34239</v>
      </c>
      <c r="B983" s="24">
        <f>VLOOKUP(Table2634[[#This Row],[Date]],'DB Money Supply'!$A:$D,4)</f>
        <v/>
      </c>
      <c r="C983" s="30">
        <f>(Table2634[[#This Row],[M1 Money Stock, Billions of Dollars, Weekly, Seasonally Adjusted]]-B982)/B982</f>
        <v/>
      </c>
      <c r="D983" s="34">
        <f>((1+Table2634[[#This Row],[Weekly change]])^52)-1</f>
        <v/>
      </c>
      <c r="E983" s="24">
        <f>AVERAGE(B980:B983)</f>
        <v/>
      </c>
      <c r="F983" s="32">
        <f>(Table2634[[#This Row],[4 weeks average]]-B931)/B931</f>
        <v/>
      </c>
    </row>
    <row r="984">
      <c r="A984" s="22" t="n">
        <v>34246</v>
      </c>
      <c r="B984" s="24">
        <f>VLOOKUP(Table2634[[#This Row],[Date]],'DB Money Supply'!$A:$D,4)</f>
        <v/>
      </c>
      <c r="C984" s="30">
        <f>(Table2634[[#This Row],[M1 Money Stock, Billions of Dollars, Weekly, Seasonally Adjusted]]-B983)/B983</f>
        <v/>
      </c>
      <c r="D984" s="34">
        <f>((1+Table2634[[#This Row],[Weekly change]])^52)-1</f>
        <v/>
      </c>
      <c r="E984" s="24">
        <f>AVERAGE(B981:B984)</f>
        <v/>
      </c>
      <c r="F984" s="32">
        <f>(Table2634[[#This Row],[4 weeks average]]-B932)/B932</f>
        <v/>
      </c>
    </row>
    <row r="985">
      <c r="A985" s="22" t="n">
        <v>34253</v>
      </c>
      <c r="B985" s="24">
        <f>VLOOKUP(Table2634[[#This Row],[Date]],'DB Money Supply'!$A:$D,4)</f>
        <v/>
      </c>
      <c r="C985" s="30">
        <f>(Table2634[[#This Row],[M1 Money Stock, Billions of Dollars, Weekly, Seasonally Adjusted]]-B984)/B984</f>
        <v/>
      </c>
      <c r="D985" s="34">
        <f>((1+Table2634[[#This Row],[Weekly change]])^52)-1</f>
        <v/>
      </c>
      <c r="E985" s="24">
        <f>AVERAGE(B982:B985)</f>
        <v/>
      </c>
      <c r="F985" s="32">
        <f>(Table2634[[#This Row],[4 weeks average]]-B933)/B933</f>
        <v/>
      </c>
    </row>
    <row r="986">
      <c r="A986" s="22" t="n">
        <v>34260</v>
      </c>
      <c r="B986" s="24">
        <f>VLOOKUP(Table2634[[#This Row],[Date]],'DB Money Supply'!$A:$D,4)</f>
        <v/>
      </c>
      <c r="C986" s="30">
        <f>(Table2634[[#This Row],[M1 Money Stock, Billions of Dollars, Weekly, Seasonally Adjusted]]-B985)/B985</f>
        <v/>
      </c>
      <c r="D986" s="34">
        <f>((1+Table2634[[#This Row],[Weekly change]])^52)-1</f>
        <v/>
      </c>
      <c r="E986" s="24">
        <f>AVERAGE(B983:B986)</f>
        <v/>
      </c>
      <c r="F986" s="32">
        <f>(Table2634[[#This Row],[4 weeks average]]-B934)/B934</f>
        <v/>
      </c>
    </row>
    <row r="987">
      <c r="A987" s="22" t="n">
        <v>34267</v>
      </c>
      <c r="B987" s="24">
        <f>VLOOKUP(Table2634[[#This Row],[Date]],'DB Money Supply'!$A:$D,4)</f>
        <v/>
      </c>
      <c r="C987" s="30">
        <f>(Table2634[[#This Row],[M1 Money Stock, Billions of Dollars, Weekly, Seasonally Adjusted]]-B986)/B986</f>
        <v/>
      </c>
      <c r="D987" s="34">
        <f>((1+Table2634[[#This Row],[Weekly change]])^52)-1</f>
        <v/>
      </c>
      <c r="E987" s="24">
        <f>AVERAGE(B984:B987)</f>
        <v/>
      </c>
      <c r="F987" s="32">
        <f>(Table2634[[#This Row],[4 weeks average]]-B935)/B935</f>
        <v/>
      </c>
    </row>
    <row r="988">
      <c r="A988" s="22" t="n">
        <v>34274</v>
      </c>
      <c r="B988" s="24">
        <f>VLOOKUP(Table2634[[#This Row],[Date]],'DB Money Supply'!$A:$D,4)</f>
        <v/>
      </c>
      <c r="C988" s="30">
        <f>(Table2634[[#This Row],[M1 Money Stock, Billions of Dollars, Weekly, Seasonally Adjusted]]-B987)/B987</f>
        <v/>
      </c>
      <c r="D988" s="34">
        <f>((1+Table2634[[#This Row],[Weekly change]])^52)-1</f>
        <v/>
      </c>
      <c r="E988" s="24">
        <f>AVERAGE(B985:B988)</f>
        <v/>
      </c>
      <c r="F988" s="32">
        <f>(Table2634[[#This Row],[4 weeks average]]-B936)/B936</f>
        <v/>
      </c>
    </row>
    <row r="989">
      <c r="A989" s="22" t="n">
        <v>34281</v>
      </c>
      <c r="B989" s="24">
        <f>VLOOKUP(Table2634[[#This Row],[Date]],'DB Money Supply'!$A:$D,4)</f>
        <v/>
      </c>
      <c r="C989" s="30">
        <f>(Table2634[[#This Row],[M1 Money Stock, Billions of Dollars, Weekly, Seasonally Adjusted]]-B988)/B988</f>
        <v/>
      </c>
      <c r="D989" s="34">
        <f>((1+Table2634[[#This Row],[Weekly change]])^52)-1</f>
        <v/>
      </c>
      <c r="E989" s="24">
        <f>AVERAGE(B986:B989)</f>
        <v/>
      </c>
      <c r="F989" s="32">
        <f>(Table2634[[#This Row],[4 weeks average]]-B937)/B937</f>
        <v/>
      </c>
    </row>
    <row r="990">
      <c r="A990" s="22" t="n">
        <v>34288</v>
      </c>
      <c r="B990" s="24">
        <f>VLOOKUP(Table2634[[#This Row],[Date]],'DB Money Supply'!$A:$D,4)</f>
        <v/>
      </c>
      <c r="C990" s="30">
        <f>(Table2634[[#This Row],[M1 Money Stock, Billions of Dollars, Weekly, Seasonally Adjusted]]-B989)/B989</f>
        <v/>
      </c>
      <c r="D990" s="34">
        <f>((1+Table2634[[#This Row],[Weekly change]])^52)-1</f>
        <v/>
      </c>
      <c r="E990" s="24">
        <f>AVERAGE(B987:B990)</f>
        <v/>
      </c>
      <c r="F990" s="32">
        <f>(Table2634[[#This Row],[4 weeks average]]-B938)/B938</f>
        <v/>
      </c>
    </row>
    <row r="991">
      <c r="A991" s="22" t="n">
        <v>34295</v>
      </c>
      <c r="B991" s="24">
        <f>VLOOKUP(Table2634[[#This Row],[Date]],'DB Money Supply'!$A:$D,4)</f>
        <v/>
      </c>
      <c r="C991" s="30">
        <f>(Table2634[[#This Row],[M1 Money Stock, Billions of Dollars, Weekly, Seasonally Adjusted]]-B990)/B990</f>
        <v/>
      </c>
      <c r="D991" s="34">
        <f>((1+Table2634[[#This Row],[Weekly change]])^52)-1</f>
        <v/>
      </c>
      <c r="E991" s="24">
        <f>AVERAGE(B988:B991)</f>
        <v/>
      </c>
      <c r="F991" s="32">
        <f>(Table2634[[#This Row],[4 weeks average]]-B939)/B939</f>
        <v/>
      </c>
    </row>
    <row r="992">
      <c r="A992" s="22" t="n">
        <v>34302</v>
      </c>
      <c r="B992" s="24">
        <f>VLOOKUP(Table2634[[#This Row],[Date]],'DB Money Supply'!$A:$D,4)</f>
        <v/>
      </c>
      <c r="C992" s="30">
        <f>(Table2634[[#This Row],[M1 Money Stock, Billions of Dollars, Weekly, Seasonally Adjusted]]-B991)/B991</f>
        <v/>
      </c>
      <c r="D992" s="34">
        <f>((1+Table2634[[#This Row],[Weekly change]])^52)-1</f>
        <v/>
      </c>
      <c r="E992" s="24">
        <f>AVERAGE(B989:B992)</f>
        <v/>
      </c>
      <c r="F992" s="32">
        <f>(Table2634[[#This Row],[4 weeks average]]-B940)/B940</f>
        <v/>
      </c>
    </row>
    <row r="993">
      <c r="A993" s="22" t="n">
        <v>34309</v>
      </c>
      <c r="B993" s="24">
        <f>VLOOKUP(Table2634[[#This Row],[Date]],'DB Money Supply'!$A:$D,4)</f>
        <v/>
      </c>
      <c r="C993" s="30">
        <f>(Table2634[[#This Row],[M1 Money Stock, Billions of Dollars, Weekly, Seasonally Adjusted]]-B992)/B992</f>
        <v/>
      </c>
      <c r="D993" s="34">
        <f>((1+Table2634[[#This Row],[Weekly change]])^52)-1</f>
        <v/>
      </c>
      <c r="E993" s="24">
        <f>AVERAGE(B990:B993)</f>
        <v/>
      </c>
      <c r="F993" s="32">
        <f>(Table2634[[#This Row],[4 weeks average]]-B941)/B941</f>
        <v/>
      </c>
    </row>
    <row r="994">
      <c r="A994" s="22" t="n">
        <v>34316</v>
      </c>
      <c r="B994" s="24">
        <f>VLOOKUP(Table2634[[#This Row],[Date]],'DB Money Supply'!$A:$D,4)</f>
        <v/>
      </c>
      <c r="C994" s="30">
        <f>(Table2634[[#This Row],[M1 Money Stock, Billions of Dollars, Weekly, Seasonally Adjusted]]-B993)/B993</f>
        <v/>
      </c>
      <c r="D994" s="34">
        <f>((1+Table2634[[#This Row],[Weekly change]])^52)-1</f>
        <v/>
      </c>
      <c r="E994" s="24">
        <f>AVERAGE(B991:B994)</f>
        <v/>
      </c>
      <c r="F994" s="32">
        <f>(Table2634[[#This Row],[4 weeks average]]-B942)/B942</f>
        <v/>
      </c>
    </row>
    <row r="995">
      <c r="A995" s="22" t="n">
        <v>34323</v>
      </c>
      <c r="B995" s="24">
        <f>VLOOKUP(Table2634[[#This Row],[Date]],'DB Money Supply'!$A:$D,4)</f>
        <v/>
      </c>
      <c r="C995" s="30">
        <f>(Table2634[[#This Row],[M1 Money Stock, Billions of Dollars, Weekly, Seasonally Adjusted]]-B994)/B994</f>
        <v/>
      </c>
      <c r="D995" s="34">
        <f>((1+Table2634[[#This Row],[Weekly change]])^52)-1</f>
        <v/>
      </c>
      <c r="E995" s="24">
        <f>AVERAGE(B992:B995)</f>
        <v/>
      </c>
      <c r="F995" s="32">
        <f>(Table2634[[#This Row],[4 weeks average]]-B943)/B943</f>
        <v/>
      </c>
    </row>
    <row r="996">
      <c r="A996" s="22" t="n">
        <v>34330</v>
      </c>
      <c r="B996" s="24">
        <f>VLOOKUP(Table2634[[#This Row],[Date]],'DB Money Supply'!$A:$D,4)</f>
        <v/>
      </c>
      <c r="C996" s="30">
        <f>(Table2634[[#This Row],[M1 Money Stock, Billions of Dollars, Weekly, Seasonally Adjusted]]-B995)/B995</f>
        <v/>
      </c>
      <c r="D996" s="34">
        <f>((1+Table2634[[#This Row],[Weekly change]])^52)-1</f>
        <v/>
      </c>
      <c r="E996" s="24">
        <f>AVERAGE(B993:B996)</f>
        <v/>
      </c>
      <c r="F996" s="32">
        <f>(Table2634[[#This Row],[4 weeks average]]-B944)/B944</f>
        <v/>
      </c>
    </row>
    <row r="997">
      <c r="A997" s="22" t="n">
        <v>34337</v>
      </c>
      <c r="B997" s="24">
        <f>VLOOKUP(Table2634[[#This Row],[Date]],'DB Money Supply'!$A:$D,4)</f>
        <v/>
      </c>
      <c r="C997" s="30">
        <f>(Table2634[[#This Row],[M1 Money Stock, Billions of Dollars, Weekly, Seasonally Adjusted]]-B996)/B996</f>
        <v/>
      </c>
      <c r="D997" s="34">
        <f>((1+Table2634[[#This Row],[Weekly change]])^52)-1</f>
        <v/>
      </c>
      <c r="E997" s="24">
        <f>AVERAGE(B994:B997)</f>
        <v/>
      </c>
      <c r="F997" s="32">
        <f>(Table2634[[#This Row],[4 weeks average]]-B945)/B945</f>
        <v/>
      </c>
    </row>
    <row r="998">
      <c r="A998" s="22" t="n">
        <v>34344</v>
      </c>
      <c r="B998" s="24">
        <f>VLOOKUP(Table2634[[#This Row],[Date]],'DB Money Supply'!$A:$D,4)</f>
        <v/>
      </c>
      <c r="C998" s="30">
        <f>(Table2634[[#This Row],[M1 Money Stock, Billions of Dollars, Weekly, Seasonally Adjusted]]-B997)/B997</f>
        <v/>
      </c>
      <c r="D998" s="34">
        <f>((1+Table2634[[#This Row],[Weekly change]])^52)-1</f>
        <v/>
      </c>
      <c r="E998" s="24">
        <f>AVERAGE(B995:B998)</f>
        <v/>
      </c>
      <c r="F998" s="32">
        <f>(Table2634[[#This Row],[4 weeks average]]-B946)/B946</f>
        <v/>
      </c>
    </row>
    <row r="999">
      <c r="A999" s="22" t="n">
        <v>34351</v>
      </c>
      <c r="B999" s="24">
        <f>VLOOKUP(Table2634[[#This Row],[Date]],'DB Money Supply'!$A:$D,4)</f>
        <v/>
      </c>
      <c r="C999" s="30">
        <f>(Table2634[[#This Row],[M1 Money Stock, Billions of Dollars, Weekly, Seasonally Adjusted]]-B998)/B998</f>
        <v/>
      </c>
      <c r="D999" s="34">
        <f>((1+Table2634[[#This Row],[Weekly change]])^52)-1</f>
        <v/>
      </c>
      <c r="E999" s="24">
        <f>AVERAGE(B996:B999)</f>
        <v/>
      </c>
      <c r="F999" s="32">
        <f>(Table2634[[#This Row],[4 weeks average]]-B947)/B947</f>
        <v/>
      </c>
    </row>
    <row r="1000">
      <c r="A1000" s="22" t="n">
        <v>34358</v>
      </c>
      <c r="B1000" s="24">
        <f>VLOOKUP(Table2634[[#This Row],[Date]],'DB Money Supply'!$A:$D,4)</f>
        <v/>
      </c>
      <c r="C1000" s="30">
        <f>(Table2634[[#This Row],[M1 Money Stock, Billions of Dollars, Weekly, Seasonally Adjusted]]-B999)/B999</f>
        <v/>
      </c>
      <c r="D1000" s="34">
        <f>((1+Table2634[[#This Row],[Weekly change]])^52)-1</f>
        <v/>
      </c>
      <c r="E1000" s="24">
        <f>AVERAGE(B997:B1000)</f>
        <v/>
      </c>
      <c r="F1000" s="32">
        <f>(Table2634[[#This Row],[4 weeks average]]-B948)/B948</f>
        <v/>
      </c>
    </row>
    <row r="1001">
      <c r="A1001" s="22" t="n">
        <v>34365</v>
      </c>
      <c r="B1001" s="24">
        <f>VLOOKUP(Table2634[[#This Row],[Date]],'DB Money Supply'!$A:$D,4)</f>
        <v/>
      </c>
      <c r="C1001" s="30">
        <f>(Table2634[[#This Row],[M1 Money Stock, Billions of Dollars, Weekly, Seasonally Adjusted]]-B1000)/B1000</f>
        <v/>
      </c>
      <c r="D1001" s="34">
        <f>((1+Table2634[[#This Row],[Weekly change]])^52)-1</f>
        <v/>
      </c>
      <c r="E1001" s="24">
        <f>AVERAGE(B998:B1001)</f>
        <v/>
      </c>
      <c r="F1001" s="32">
        <f>(Table2634[[#This Row],[4 weeks average]]-B949)/B949</f>
        <v/>
      </c>
    </row>
    <row r="1002">
      <c r="A1002" s="22" t="n">
        <v>34372</v>
      </c>
      <c r="B1002" s="24">
        <f>VLOOKUP(Table2634[[#This Row],[Date]],'DB Money Supply'!$A:$D,4)</f>
        <v/>
      </c>
      <c r="C1002" s="30">
        <f>(Table2634[[#This Row],[M1 Money Stock, Billions of Dollars, Weekly, Seasonally Adjusted]]-B1001)/B1001</f>
        <v/>
      </c>
      <c r="D1002" s="34">
        <f>((1+Table2634[[#This Row],[Weekly change]])^52)-1</f>
        <v/>
      </c>
      <c r="E1002" s="24">
        <f>AVERAGE(B999:B1002)</f>
        <v/>
      </c>
      <c r="F1002" s="32">
        <f>(Table2634[[#This Row],[4 weeks average]]-B950)/B950</f>
        <v/>
      </c>
    </row>
    <row r="1003">
      <c r="A1003" s="22" t="n">
        <v>34379</v>
      </c>
      <c r="B1003" s="24">
        <f>VLOOKUP(Table2634[[#This Row],[Date]],'DB Money Supply'!$A:$D,4)</f>
        <v/>
      </c>
      <c r="C1003" s="30">
        <f>(Table2634[[#This Row],[M1 Money Stock, Billions of Dollars, Weekly, Seasonally Adjusted]]-B1002)/B1002</f>
        <v/>
      </c>
      <c r="D1003" s="34">
        <f>((1+Table2634[[#This Row],[Weekly change]])^52)-1</f>
        <v/>
      </c>
      <c r="E1003" s="24">
        <f>AVERAGE(B1000:B1003)</f>
        <v/>
      </c>
      <c r="F1003" s="32">
        <f>(Table2634[[#This Row],[4 weeks average]]-B951)/B951</f>
        <v/>
      </c>
    </row>
    <row r="1004">
      <c r="A1004" s="22" t="n">
        <v>34386</v>
      </c>
      <c r="B1004" s="24">
        <f>VLOOKUP(Table2634[[#This Row],[Date]],'DB Money Supply'!$A:$D,4)</f>
        <v/>
      </c>
      <c r="C1004" s="30">
        <f>(Table2634[[#This Row],[M1 Money Stock, Billions of Dollars, Weekly, Seasonally Adjusted]]-B1003)/B1003</f>
        <v/>
      </c>
      <c r="D1004" s="34">
        <f>((1+Table2634[[#This Row],[Weekly change]])^52)-1</f>
        <v/>
      </c>
      <c r="E1004" s="24">
        <f>AVERAGE(B1001:B1004)</f>
        <v/>
      </c>
      <c r="F1004" s="32">
        <f>(Table2634[[#This Row],[4 weeks average]]-B952)/B952</f>
        <v/>
      </c>
    </row>
    <row r="1005">
      <c r="A1005" s="22" t="n">
        <v>34393</v>
      </c>
      <c r="B1005" s="24">
        <f>VLOOKUP(Table2634[[#This Row],[Date]],'DB Money Supply'!$A:$D,4)</f>
        <v/>
      </c>
      <c r="C1005" s="30">
        <f>(Table2634[[#This Row],[M1 Money Stock, Billions of Dollars, Weekly, Seasonally Adjusted]]-B1004)/B1004</f>
        <v/>
      </c>
      <c r="D1005" s="34">
        <f>((1+Table2634[[#This Row],[Weekly change]])^52)-1</f>
        <v/>
      </c>
      <c r="E1005" s="24">
        <f>AVERAGE(B1002:B1005)</f>
        <v/>
      </c>
      <c r="F1005" s="32">
        <f>(Table2634[[#This Row],[4 weeks average]]-B953)/B953</f>
        <v/>
      </c>
    </row>
    <row r="1006">
      <c r="A1006" s="22" t="n">
        <v>34400</v>
      </c>
      <c r="B1006" s="24">
        <f>VLOOKUP(Table2634[[#This Row],[Date]],'DB Money Supply'!$A:$D,4)</f>
        <v/>
      </c>
      <c r="C1006" s="30">
        <f>(Table2634[[#This Row],[M1 Money Stock, Billions of Dollars, Weekly, Seasonally Adjusted]]-B1005)/B1005</f>
        <v/>
      </c>
      <c r="D1006" s="34">
        <f>((1+Table2634[[#This Row],[Weekly change]])^52)-1</f>
        <v/>
      </c>
      <c r="E1006" s="24">
        <f>AVERAGE(B1003:B1006)</f>
        <v/>
      </c>
      <c r="F1006" s="32">
        <f>(Table2634[[#This Row],[4 weeks average]]-B954)/B954</f>
        <v/>
      </c>
    </row>
    <row r="1007">
      <c r="A1007" s="22" t="n">
        <v>34407</v>
      </c>
      <c r="B1007" s="24">
        <f>VLOOKUP(Table2634[[#This Row],[Date]],'DB Money Supply'!$A:$D,4)</f>
        <v/>
      </c>
      <c r="C1007" s="30">
        <f>(Table2634[[#This Row],[M1 Money Stock, Billions of Dollars, Weekly, Seasonally Adjusted]]-B1006)/B1006</f>
        <v/>
      </c>
      <c r="D1007" s="34">
        <f>((1+Table2634[[#This Row],[Weekly change]])^52)-1</f>
        <v/>
      </c>
      <c r="E1007" s="24">
        <f>AVERAGE(B1004:B1007)</f>
        <v/>
      </c>
      <c r="F1007" s="32">
        <f>(Table2634[[#This Row],[4 weeks average]]-B955)/B955</f>
        <v/>
      </c>
    </row>
    <row r="1008">
      <c r="A1008" s="22" t="n">
        <v>34414</v>
      </c>
      <c r="B1008" s="24">
        <f>VLOOKUP(Table2634[[#This Row],[Date]],'DB Money Supply'!$A:$D,4)</f>
        <v/>
      </c>
      <c r="C1008" s="30">
        <f>(Table2634[[#This Row],[M1 Money Stock, Billions of Dollars, Weekly, Seasonally Adjusted]]-B1007)/B1007</f>
        <v/>
      </c>
      <c r="D1008" s="34">
        <f>((1+Table2634[[#This Row],[Weekly change]])^52)-1</f>
        <v/>
      </c>
      <c r="E1008" s="24">
        <f>AVERAGE(B1005:B1008)</f>
        <v/>
      </c>
      <c r="F1008" s="32">
        <f>(Table2634[[#This Row],[4 weeks average]]-B956)/B956</f>
        <v/>
      </c>
    </row>
    <row r="1009">
      <c r="A1009" s="22" t="n">
        <v>34421</v>
      </c>
      <c r="B1009" s="24">
        <f>VLOOKUP(Table2634[[#This Row],[Date]],'DB Money Supply'!$A:$D,4)</f>
        <v/>
      </c>
      <c r="C1009" s="30">
        <f>(Table2634[[#This Row],[M1 Money Stock, Billions of Dollars, Weekly, Seasonally Adjusted]]-B1008)/B1008</f>
        <v/>
      </c>
      <c r="D1009" s="34">
        <f>((1+Table2634[[#This Row],[Weekly change]])^52)-1</f>
        <v/>
      </c>
      <c r="E1009" s="24">
        <f>AVERAGE(B1006:B1009)</f>
        <v/>
      </c>
      <c r="F1009" s="32">
        <f>(Table2634[[#This Row],[4 weeks average]]-B957)/B957</f>
        <v/>
      </c>
    </row>
    <row r="1010">
      <c r="A1010" s="22" t="n">
        <v>34428</v>
      </c>
      <c r="B1010" s="24">
        <f>VLOOKUP(Table2634[[#This Row],[Date]],'DB Money Supply'!$A:$D,4)</f>
        <v/>
      </c>
      <c r="C1010" s="30">
        <f>(Table2634[[#This Row],[M1 Money Stock, Billions of Dollars, Weekly, Seasonally Adjusted]]-B1009)/B1009</f>
        <v/>
      </c>
      <c r="D1010" s="34">
        <f>((1+Table2634[[#This Row],[Weekly change]])^52)-1</f>
        <v/>
      </c>
      <c r="E1010" s="24">
        <f>AVERAGE(B1007:B1010)</f>
        <v/>
      </c>
      <c r="F1010" s="32">
        <f>(Table2634[[#This Row],[4 weeks average]]-B958)/B958</f>
        <v/>
      </c>
    </row>
    <row r="1011">
      <c r="A1011" s="22" t="n">
        <v>34435</v>
      </c>
      <c r="B1011" s="24">
        <f>VLOOKUP(Table2634[[#This Row],[Date]],'DB Money Supply'!$A:$D,4)</f>
        <v/>
      </c>
      <c r="C1011" s="30">
        <f>(Table2634[[#This Row],[M1 Money Stock, Billions of Dollars, Weekly, Seasonally Adjusted]]-B1010)/B1010</f>
        <v/>
      </c>
      <c r="D1011" s="34">
        <f>((1+Table2634[[#This Row],[Weekly change]])^52)-1</f>
        <v/>
      </c>
      <c r="E1011" s="24">
        <f>AVERAGE(B1008:B1011)</f>
        <v/>
      </c>
      <c r="F1011" s="32">
        <f>(Table2634[[#This Row],[4 weeks average]]-B959)/B959</f>
        <v/>
      </c>
    </row>
    <row r="1012">
      <c r="A1012" s="22" t="n">
        <v>34442</v>
      </c>
      <c r="B1012" s="24">
        <f>VLOOKUP(Table2634[[#This Row],[Date]],'DB Money Supply'!$A:$D,4)</f>
        <v/>
      </c>
      <c r="C1012" s="30">
        <f>(Table2634[[#This Row],[M1 Money Stock, Billions of Dollars, Weekly, Seasonally Adjusted]]-B1011)/B1011</f>
        <v/>
      </c>
      <c r="D1012" s="34">
        <f>((1+Table2634[[#This Row],[Weekly change]])^52)-1</f>
        <v/>
      </c>
      <c r="E1012" s="24">
        <f>AVERAGE(B1009:B1012)</f>
        <v/>
      </c>
      <c r="F1012" s="32">
        <f>(Table2634[[#This Row],[4 weeks average]]-B960)/B960</f>
        <v/>
      </c>
    </row>
    <row r="1013">
      <c r="A1013" s="22" t="n">
        <v>34449</v>
      </c>
      <c r="B1013" s="24">
        <f>VLOOKUP(Table2634[[#This Row],[Date]],'DB Money Supply'!$A:$D,4)</f>
        <v/>
      </c>
      <c r="C1013" s="30">
        <f>(Table2634[[#This Row],[M1 Money Stock, Billions of Dollars, Weekly, Seasonally Adjusted]]-B1012)/B1012</f>
        <v/>
      </c>
      <c r="D1013" s="34">
        <f>((1+Table2634[[#This Row],[Weekly change]])^52)-1</f>
        <v/>
      </c>
      <c r="E1013" s="24">
        <f>AVERAGE(B1010:B1013)</f>
        <v/>
      </c>
      <c r="F1013" s="32">
        <f>(Table2634[[#This Row],[4 weeks average]]-B961)/B961</f>
        <v/>
      </c>
    </row>
    <row r="1014">
      <c r="A1014" s="22" t="n">
        <v>34456</v>
      </c>
      <c r="B1014" s="24">
        <f>VLOOKUP(Table2634[[#This Row],[Date]],'DB Money Supply'!$A:$D,4)</f>
        <v/>
      </c>
      <c r="C1014" s="30">
        <f>(Table2634[[#This Row],[M1 Money Stock, Billions of Dollars, Weekly, Seasonally Adjusted]]-B1013)/B1013</f>
        <v/>
      </c>
      <c r="D1014" s="34">
        <f>((1+Table2634[[#This Row],[Weekly change]])^52)-1</f>
        <v/>
      </c>
      <c r="E1014" s="24">
        <f>AVERAGE(B1011:B1014)</f>
        <v/>
      </c>
      <c r="F1014" s="32">
        <f>(Table2634[[#This Row],[4 weeks average]]-B962)/B962</f>
        <v/>
      </c>
    </row>
    <row r="1015">
      <c r="A1015" s="22" t="n">
        <v>34463</v>
      </c>
      <c r="B1015" s="24">
        <f>VLOOKUP(Table2634[[#This Row],[Date]],'DB Money Supply'!$A:$D,4)</f>
        <v/>
      </c>
      <c r="C1015" s="30">
        <f>(Table2634[[#This Row],[M1 Money Stock, Billions of Dollars, Weekly, Seasonally Adjusted]]-B1014)/B1014</f>
        <v/>
      </c>
      <c r="D1015" s="34">
        <f>((1+Table2634[[#This Row],[Weekly change]])^52)-1</f>
        <v/>
      </c>
      <c r="E1015" s="24">
        <f>AVERAGE(B1012:B1015)</f>
        <v/>
      </c>
      <c r="F1015" s="32">
        <f>(Table2634[[#This Row],[4 weeks average]]-B963)/B963</f>
        <v/>
      </c>
    </row>
    <row r="1016">
      <c r="A1016" s="22" t="n">
        <v>34470</v>
      </c>
      <c r="B1016" s="24">
        <f>VLOOKUP(Table2634[[#This Row],[Date]],'DB Money Supply'!$A:$D,4)</f>
        <v/>
      </c>
      <c r="C1016" s="30">
        <f>(Table2634[[#This Row],[M1 Money Stock, Billions of Dollars, Weekly, Seasonally Adjusted]]-B1015)/B1015</f>
        <v/>
      </c>
      <c r="D1016" s="34">
        <f>((1+Table2634[[#This Row],[Weekly change]])^52)-1</f>
        <v/>
      </c>
      <c r="E1016" s="24">
        <f>AVERAGE(B1013:B1016)</f>
        <v/>
      </c>
      <c r="F1016" s="32">
        <f>(Table2634[[#This Row],[4 weeks average]]-B964)/B964</f>
        <v/>
      </c>
    </row>
    <row r="1017">
      <c r="A1017" s="22" t="n">
        <v>34477</v>
      </c>
      <c r="B1017" s="24">
        <f>VLOOKUP(Table2634[[#This Row],[Date]],'DB Money Supply'!$A:$D,4)</f>
        <v/>
      </c>
      <c r="C1017" s="30">
        <f>(Table2634[[#This Row],[M1 Money Stock, Billions of Dollars, Weekly, Seasonally Adjusted]]-B1016)/B1016</f>
        <v/>
      </c>
      <c r="D1017" s="34">
        <f>((1+Table2634[[#This Row],[Weekly change]])^52)-1</f>
        <v/>
      </c>
      <c r="E1017" s="24">
        <f>AVERAGE(B1014:B1017)</f>
        <v/>
      </c>
      <c r="F1017" s="32">
        <f>(Table2634[[#This Row],[4 weeks average]]-B965)/B965</f>
        <v/>
      </c>
    </row>
    <row r="1018">
      <c r="A1018" s="22" t="n">
        <v>34484</v>
      </c>
      <c r="B1018" s="24">
        <f>VLOOKUP(Table2634[[#This Row],[Date]],'DB Money Supply'!$A:$D,4)</f>
        <v/>
      </c>
      <c r="C1018" s="30">
        <f>(Table2634[[#This Row],[M1 Money Stock, Billions of Dollars, Weekly, Seasonally Adjusted]]-B1017)/B1017</f>
        <v/>
      </c>
      <c r="D1018" s="34">
        <f>((1+Table2634[[#This Row],[Weekly change]])^52)-1</f>
        <v/>
      </c>
      <c r="E1018" s="24">
        <f>AVERAGE(B1015:B1018)</f>
        <v/>
      </c>
      <c r="F1018" s="32">
        <f>(Table2634[[#This Row],[4 weeks average]]-B966)/B966</f>
        <v/>
      </c>
    </row>
    <row r="1019">
      <c r="A1019" s="22" t="n">
        <v>34491</v>
      </c>
      <c r="B1019" s="24">
        <f>VLOOKUP(Table2634[[#This Row],[Date]],'DB Money Supply'!$A:$D,4)</f>
        <v/>
      </c>
      <c r="C1019" s="30">
        <f>(Table2634[[#This Row],[M1 Money Stock, Billions of Dollars, Weekly, Seasonally Adjusted]]-B1018)/B1018</f>
        <v/>
      </c>
      <c r="D1019" s="34">
        <f>((1+Table2634[[#This Row],[Weekly change]])^52)-1</f>
        <v/>
      </c>
      <c r="E1019" s="24">
        <f>AVERAGE(B1016:B1019)</f>
        <v/>
      </c>
      <c r="F1019" s="32">
        <f>(Table2634[[#This Row],[4 weeks average]]-B967)/B967</f>
        <v/>
      </c>
    </row>
    <row r="1020">
      <c r="A1020" s="22" t="n">
        <v>34498</v>
      </c>
      <c r="B1020" s="24">
        <f>VLOOKUP(Table2634[[#This Row],[Date]],'DB Money Supply'!$A:$D,4)</f>
        <v/>
      </c>
      <c r="C1020" s="30">
        <f>(Table2634[[#This Row],[M1 Money Stock, Billions of Dollars, Weekly, Seasonally Adjusted]]-B1019)/B1019</f>
        <v/>
      </c>
      <c r="D1020" s="34">
        <f>((1+Table2634[[#This Row],[Weekly change]])^52)-1</f>
        <v/>
      </c>
      <c r="E1020" s="24">
        <f>AVERAGE(B1017:B1020)</f>
        <v/>
      </c>
      <c r="F1020" s="32">
        <f>(Table2634[[#This Row],[4 weeks average]]-B968)/B968</f>
        <v/>
      </c>
    </row>
    <row r="1021">
      <c r="A1021" s="22" t="n">
        <v>34505</v>
      </c>
      <c r="B1021" s="24">
        <f>VLOOKUP(Table2634[[#This Row],[Date]],'DB Money Supply'!$A:$D,4)</f>
        <v/>
      </c>
      <c r="C1021" s="30">
        <f>(Table2634[[#This Row],[M1 Money Stock, Billions of Dollars, Weekly, Seasonally Adjusted]]-B1020)/B1020</f>
        <v/>
      </c>
      <c r="D1021" s="34">
        <f>((1+Table2634[[#This Row],[Weekly change]])^52)-1</f>
        <v/>
      </c>
      <c r="E1021" s="24">
        <f>AVERAGE(B1018:B1021)</f>
        <v/>
      </c>
      <c r="F1021" s="32">
        <f>(Table2634[[#This Row],[4 weeks average]]-B969)/B969</f>
        <v/>
      </c>
    </row>
    <row r="1022">
      <c r="A1022" s="22" t="n">
        <v>34512</v>
      </c>
      <c r="B1022" s="24">
        <f>VLOOKUP(Table2634[[#This Row],[Date]],'DB Money Supply'!$A:$D,4)</f>
        <v/>
      </c>
      <c r="C1022" s="30">
        <f>(Table2634[[#This Row],[M1 Money Stock, Billions of Dollars, Weekly, Seasonally Adjusted]]-B1021)/B1021</f>
        <v/>
      </c>
      <c r="D1022" s="34">
        <f>((1+Table2634[[#This Row],[Weekly change]])^52)-1</f>
        <v/>
      </c>
      <c r="E1022" s="24">
        <f>AVERAGE(B1019:B1022)</f>
        <v/>
      </c>
      <c r="F1022" s="32">
        <f>(Table2634[[#This Row],[4 weeks average]]-B970)/B970</f>
        <v/>
      </c>
    </row>
    <row r="1023">
      <c r="A1023" s="22" t="n">
        <v>34519</v>
      </c>
      <c r="B1023" s="24">
        <f>VLOOKUP(Table2634[[#This Row],[Date]],'DB Money Supply'!$A:$D,4)</f>
        <v/>
      </c>
      <c r="C1023" s="30">
        <f>(Table2634[[#This Row],[M1 Money Stock, Billions of Dollars, Weekly, Seasonally Adjusted]]-B1022)/B1022</f>
        <v/>
      </c>
      <c r="D1023" s="34">
        <f>((1+Table2634[[#This Row],[Weekly change]])^52)-1</f>
        <v/>
      </c>
      <c r="E1023" s="24">
        <f>AVERAGE(B1020:B1023)</f>
        <v/>
      </c>
      <c r="F1023" s="32">
        <f>(Table2634[[#This Row],[4 weeks average]]-B971)/B971</f>
        <v/>
      </c>
    </row>
    <row r="1024">
      <c r="A1024" s="22" t="n">
        <v>34526</v>
      </c>
      <c r="B1024" s="24">
        <f>VLOOKUP(Table2634[[#This Row],[Date]],'DB Money Supply'!$A:$D,4)</f>
        <v/>
      </c>
      <c r="C1024" s="30">
        <f>(Table2634[[#This Row],[M1 Money Stock, Billions of Dollars, Weekly, Seasonally Adjusted]]-B1023)/B1023</f>
        <v/>
      </c>
      <c r="D1024" s="34">
        <f>((1+Table2634[[#This Row],[Weekly change]])^52)-1</f>
        <v/>
      </c>
      <c r="E1024" s="24">
        <f>AVERAGE(B1021:B1024)</f>
        <v/>
      </c>
      <c r="F1024" s="32">
        <f>(Table2634[[#This Row],[4 weeks average]]-B972)/B972</f>
        <v/>
      </c>
    </row>
    <row r="1025">
      <c r="A1025" s="22" t="n">
        <v>34533</v>
      </c>
      <c r="B1025" s="24">
        <f>VLOOKUP(Table2634[[#This Row],[Date]],'DB Money Supply'!$A:$D,4)</f>
        <v/>
      </c>
      <c r="C1025" s="30">
        <f>(Table2634[[#This Row],[M1 Money Stock, Billions of Dollars, Weekly, Seasonally Adjusted]]-B1024)/B1024</f>
        <v/>
      </c>
      <c r="D1025" s="34">
        <f>((1+Table2634[[#This Row],[Weekly change]])^52)-1</f>
        <v/>
      </c>
      <c r="E1025" s="24">
        <f>AVERAGE(B1022:B1025)</f>
        <v/>
      </c>
      <c r="F1025" s="32">
        <f>(Table2634[[#This Row],[4 weeks average]]-B973)/B973</f>
        <v/>
      </c>
    </row>
    <row r="1026">
      <c r="A1026" s="22" t="n">
        <v>34540</v>
      </c>
      <c r="B1026" s="24">
        <f>VLOOKUP(Table2634[[#This Row],[Date]],'DB Money Supply'!$A:$D,4)</f>
        <v/>
      </c>
      <c r="C1026" s="30">
        <f>(Table2634[[#This Row],[M1 Money Stock, Billions of Dollars, Weekly, Seasonally Adjusted]]-B1025)/B1025</f>
        <v/>
      </c>
      <c r="D1026" s="34">
        <f>((1+Table2634[[#This Row],[Weekly change]])^52)-1</f>
        <v/>
      </c>
      <c r="E1026" s="24">
        <f>AVERAGE(B1023:B1026)</f>
        <v/>
      </c>
      <c r="F1026" s="32">
        <f>(Table2634[[#This Row],[4 weeks average]]-B974)/B974</f>
        <v/>
      </c>
    </row>
    <row r="1027">
      <c r="A1027" s="22" t="n">
        <v>34547</v>
      </c>
      <c r="B1027" s="24">
        <f>VLOOKUP(Table2634[[#This Row],[Date]],'DB Money Supply'!$A:$D,4)</f>
        <v/>
      </c>
      <c r="C1027" s="30">
        <f>(Table2634[[#This Row],[M1 Money Stock, Billions of Dollars, Weekly, Seasonally Adjusted]]-B1026)/B1026</f>
        <v/>
      </c>
      <c r="D1027" s="34">
        <f>((1+Table2634[[#This Row],[Weekly change]])^52)-1</f>
        <v/>
      </c>
      <c r="E1027" s="24">
        <f>AVERAGE(B1024:B1027)</f>
        <v/>
      </c>
      <c r="F1027" s="32">
        <f>(Table2634[[#This Row],[4 weeks average]]-B975)/B975</f>
        <v/>
      </c>
    </row>
    <row r="1028">
      <c r="A1028" s="22" t="n">
        <v>34554</v>
      </c>
      <c r="B1028" s="24">
        <f>VLOOKUP(Table2634[[#This Row],[Date]],'DB Money Supply'!$A:$D,4)</f>
        <v/>
      </c>
      <c r="C1028" s="30">
        <f>(Table2634[[#This Row],[M1 Money Stock, Billions of Dollars, Weekly, Seasonally Adjusted]]-B1027)/B1027</f>
        <v/>
      </c>
      <c r="D1028" s="34">
        <f>((1+Table2634[[#This Row],[Weekly change]])^52)-1</f>
        <v/>
      </c>
      <c r="E1028" s="24">
        <f>AVERAGE(B1025:B1028)</f>
        <v/>
      </c>
      <c r="F1028" s="32">
        <f>(Table2634[[#This Row],[4 weeks average]]-B976)/B976</f>
        <v/>
      </c>
    </row>
    <row r="1029">
      <c r="A1029" s="22" t="n">
        <v>34561</v>
      </c>
      <c r="B1029" s="24">
        <f>VLOOKUP(Table2634[[#This Row],[Date]],'DB Money Supply'!$A:$D,4)</f>
        <v/>
      </c>
      <c r="C1029" s="30">
        <f>(Table2634[[#This Row],[M1 Money Stock, Billions of Dollars, Weekly, Seasonally Adjusted]]-B1028)/B1028</f>
        <v/>
      </c>
      <c r="D1029" s="34">
        <f>((1+Table2634[[#This Row],[Weekly change]])^52)-1</f>
        <v/>
      </c>
      <c r="E1029" s="24">
        <f>AVERAGE(B1026:B1029)</f>
        <v/>
      </c>
      <c r="F1029" s="32">
        <f>(Table2634[[#This Row],[4 weeks average]]-B977)/B977</f>
        <v/>
      </c>
    </row>
    <row r="1030">
      <c r="A1030" s="22" t="n">
        <v>34568</v>
      </c>
      <c r="B1030" s="24">
        <f>VLOOKUP(Table2634[[#This Row],[Date]],'DB Money Supply'!$A:$D,4)</f>
        <v/>
      </c>
      <c r="C1030" s="30">
        <f>(Table2634[[#This Row],[M1 Money Stock, Billions of Dollars, Weekly, Seasonally Adjusted]]-B1029)/B1029</f>
        <v/>
      </c>
      <c r="D1030" s="34">
        <f>((1+Table2634[[#This Row],[Weekly change]])^52)-1</f>
        <v/>
      </c>
      <c r="E1030" s="24">
        <f>AVERAGE(B1027:B1030)</f>
        <v/>
      </c>
      <c r="F1030" s="32">
        <f>(Table2634[[#This Row],[4 weeks average]]-B978)/B978</f>
        <v/>
      </c>
    </row>
    <row r="1031">
      <c r="A1031" s="22" t="n">
        <v>34575</v>
      </c>
      <c r="B1031" s="24">
        <f>VLOOKUP(Table2634[[#This Row],[Date]],'DB Money Supply'!$A:$D,4)</f>
        <v/>
      </c>
      <c r="C1031" s="30">
        <f>(Table2634[[#This Row],[M1 Money Stock, Billions of Dollars, Weekly, Seasonally Adjusted]]-B1030)/B1030</f>
        <v/>
      </c>
      <c r="D1031" s="34">
        <f>((1+Table2634[[#This Row],[Weekly change]])^52)-1</f>
        <v/>
      </c>
      <c r="E1031" s="24">
        <f>AVERAGE(B1028:B1031)</f>
        <v/>
      </c>
      <c r="F1031" s="32">
        <f>(Table2634[[#This Row],[4 weeks average]]-B979)/B979</f>
        <v/>
      </c>
    </row>
    <row r="1032">
      <c r="A1032" s="22" t="n">
        <v>34582</v>
      </c>
      <c r="B1032" s="24">
        <f>VLOOKUP(Table2634[[#This Row],[Date]],'DB Money Supply'!$A:$D,4)</f>
        <v/>
      </c>
      <c r="C1032" s="30">
        <f>(Table2634[[#This Row],[M1 Money Stock, Billions of Dollars, Weekly, Seasonally Adjusted]]-B1031)/B1031</f>
        <v/>
      </c>
      <c r="D1032" s="34">
        <f>((1+Table2634[[#This Row],[Weekly change]])^52)-1</f>
        <v/>
      </c>
      <c r="E1032" s="24">
        <f>AVERAGE(B1029:B1032)</f>
        <v/>
      </c>
      <c r="F1032" s="32">
        <f>(Table2634[[#This Row],[4 weeks average]]-B980)/B980</f>
        <v/>
      </c>
    </row>
    <row r="1033">
      <c r="A1033" s="22" t="n">
        <v>34589</v>
      </c>
      <c r="B1033" s="24">
        <f>VLOOKUP(Table2634[[#This Row],[Date]],'DB Money Supply'!$A:$D,4)</f>
        <v/>
      </c>
      <c r="C1033" s="30">
        <f>(Table2634[[#This Row],[M1 Money Stock, Billions of Dollars, Weekly, Seasonally Adjusted]]-B1032)/B1032</f>
        <v/>
      </c>
      <c r="D1033" s="34">
        <f>((1+Table2634[[#This Row],[Weekly change]])^52)-1</f>
        <v/>
      </c>
      <c r="E1033" s="24">
        <f>AVERAGE(B1030:B1033)</f>
        <v/>
      </c>
      <c r="F1033" s="32">
        <f>(Table2634[[#This Row],[4 weeks average]]-B981)/B981</f>
        <v/>
      </c>
    </row>
    <row r="1034">
      <c r="A1034" s="22" t="n">
        <v>34596</v>
      </c>
      <c r="B1034" s="24">
        <f>VLOOKUP(Table2634[[#This Row],[Date]],'DB Money Supply'!$A:$D,4)</f>
        <v/>
      </c>
      <c r="C1034" s="30">
        <f>(Table2634[[#This Row],[M1 Money Stock, Billions of Dollars, Weekly, Seasonally Adjusted]]-B1033)/B1033</f>
        <v/>
      </c>
      <c r="D1034" s="34">
        <f>((1+Table2634[[#This Row],[Weekly change]])^52)-1</f>
        <v/>
      </c>
      <c r="E1034" s="24">
        <f>AVERAGE(B1031:B1034)</f>
        <v/>
      </c>
      <c r="F1034" s="32">
        <f>(Table2634[[#This Row],[4 weeks average]]-B982)/B982</f>
        <v/>
      </c>
    </row>
    <row r="1035">
      <c r="A1035" s="22" t="n">
        <v>34603</v>
      </c>
      <c r="B1035" s="24">
        <f>VLOOKUP(Table2634[[#This Row],[Date]],'DB Money Supply'!$A:$D,4)</f>
        <v/>
      </c>
      <c r="C1035" s="30">
        <f>(Table2634[[#This Row],[M1 Money Stock, Billions of Dollars, Weekly, Seasonally Adjusted]]-B1034)/B1034</f>
        <v/>
      </c>
      <c r="D1035" s="34">
        <f>((1+Table2634[[#This Row],[Weekly change]])^52)-1</f>
        <v/>
      </c>
      <c r="E1035" s="24">
        <f>AVERAGE(B1032:B1035)</f>
        <v/>
      </c>
      <c r="F1035" s="32">
        <f>(Table2634[[#This Row],[4 weeks average]]-B983)/B983</f>
        <v/>
      </c>
    </row>
    <row r="1036">
      <c r="A1036" s="22" t="n">
        <v>34610</v>
      </c>
      <c r="B1036" s="24">
        <f>VLOOKUP(Table2634[[#This Row],[Date]],'DB Money Supply'!$A:$D,4)</f>
        <v/>
      </c>
      <c r="C1036" s="30">
        <f>(Table2634[[#This Row],[M1 Money Stock, Billions of Dollars, Weekly, Seasonally Adjusted]]-B1035)/B1035</f>
        <v/>
      </c>
      <c r="D1036" s="34">
        <f>((1+Table2634[[#This Row],[Weekly change]])^52)-1</f>
        <v/>
      </c>
      <c r="E1036" s="24">
        <f>AVERAGE(B1033:B1036)</f>
        <v/>
      </c>
      <c r="F1036" s="32">
        <f>(Table2634[[#This Row],[4 weeks average]]-B984)/B984</f>
        <v/>
      </c>
    </row>
    <row r="1037">
      <c r="A1037" s="22" t="n">
        <v>34617</v>
      </c>
      <c r="B1037" s="24">
        <f>VLOOKUP(Table2634[[#This Row],[Date]],'DB Money Supply'!$A:$D,4)</f>
        <v/>
      </c>
      <c r="C1037" s="30">
        <f>(Table2634[[#This Row],[M1 Money Stock, Billions of Dollars, Weekly, Seasonally Adjusted]]-B1036)/B1036</f>
        <v/>
      </c>
      <c r="D1037" s="34">
        <f>((1+Table2634[[#This Row],[Weekly change]])^52)-1</f>
        <v/>
      </c>
      <c r="E1037" s="24">
        <f>AVERAGE(B1034:B1037)</f>
        <v/>
      </c>
      <c r="F1037" s="32">
        <f>(Table2634[[#This Row],[4 weeks average]]-B985)/B985</f>
        <v/>
      </c>
    </row>
    <row r="1038">
      <c r="A1038" s="22" t="n">
        <v>34624</v>
      </c>
      <c r="B1038" s="24">
        <f>VLOOKUP(Table2634[[#This Row],[Date]],'DB Money Supply'!$A:$D,4)</f>
        <v/>
      </c>
      <c r="C1038" s="30">
        <f>(Table2634[[#This Row],[M1 Money Stock, Billions of Dollars, Weekly, Seasonally Adjusted]]-B1037)/B1037</f>
        <v/>
      </c>
      <c r="D1038" s="34">
        <f>((1+Table2634[[#This Row],[Weekly change]])^52)-1</f>
        <v/>
      </c>
      <c r="E1038" s="24">
        <f>AVERAGE(B1035:B1038)</f>
        <v/>
      </c>
      <c r="F1038" s="32">
        <f>(Table2634[[#This Row],[4 weeks average]]-B986)/B986</f>
        <v/>
      </c>
    </row>
    <row r="1039">
      <c r="A1039" s="22" t="n">
        <v>34631</v>
      </c>
      <c r="B1039" s="24">
        <f>VLOOKUP(Table2634[[#This Row],[Date]],'DB Money Supply'!$A:$D,4)</f>
        <v/>
      </c>
      <c r="C1039" s="30">
        <f>(Table2634[[#This Row],[M1 Money Stock, Billions of Dollars, Weekly, Seasonally Adjusted]]-B1038)/B1038</f>
        <v/>
      </c>
      <c r="D1039" s="34">
        <f>((1+Table2634[[#This Row],[Weekly change]])^52)-1</f>
        <v/>
      </c>
      <c r="E1039" s="24">
        <f>AVERAGE(B1036:B1039)</f>
        <v/>
      </c>
      <c r="F1039" s="32">
        <f>(Table2634[[#This Row],[4 weeks average]]-B987)/B987</f>
        <v/>
      </c>
    </row>
    <row r="1040">
      <c r="A1040" s="22" t="n">
        <v>34638</v>
      </c>
      <c r="B1040" s="24">
        <f>VLOOKUP(Table2634[[#This Row],[Date]],'DB Money Supply'!$A:$D,4)</f>
        <v/>
      </c>
      <c r="C1040" s="30">
        <f>(Table2634[[#This Row],[M1 Money Stock, Billions of Dollars, Weekly, Seasonally Adjusted]]-B1039)/B1039</f>
        <v/>
      </c>
      <c r="D1040" s="34">
        <f>((1+Table2634[[#This Row],[Weekly change]])^52)-1</f>
        <v/>
      </c>
      <c r="E1040" s="24">
        <f>AVERAGE(B1037:B1040)</f>
        <v/>
      </c>
      <c r="F1040" s="32">
        <f>(Table2634[[#This Row],[4 weeks average]]-B988)/B988</f>
        <v/>
      </c>
    </row>
    <row r="1041">
      <c r="A1041" s="22" t="n">
        <v>34645</v>
      </c>
      <c r="B1041" s="24">
        <f>VLOOKUP(Table2634[[#This Row],[Date]],'DB Money Supply'!$A:$D,4)</f>
        <v/>
      </c>
      <c r="C1041" s="30">
        <f>(Table2634[[#This Row],[M1 Money Stock, Billions of Dollars, Weekly, Seasonally Adjusted]]-B1040)/B1040</f>
        <v/>
      </c>
      <c r="D1041" s="34">
        <f>((1+Table2634[[#This Row],[Weekly change]])^52)-1</f>
        <v/>
      </c>
      <c r="E1041" s="24">
        <f>AVERAGE(B1038:B1041)</f>
        <v/>
      </c>
      <c r="F1041" s="32">
        <f>(Table2634[[#This Row],[4 weeks average]]-B989)/B989</f>
        <v/>
      </c>
    </row>
    <row r="1042">
      <c r="A1042" s="22" t="n">
        <v>34652</v>
      </c>
      <c r="B1042" s="24">
        <f>VLOOKUP(Table2634[[#This Row],[Date]],'DB Money Supply'!$A:$D,4)</f>
        <v/>
      </c>
      <c r="C1042" s="30">
        <f>(Table2634[[#This Row],[M1 Money Stock, Billions of Dollars, Weekly, Seasonally Adjusted]]-B1041)/B1041</f>
        <v/>
      </c>
      <c r="D1042" s="34">
        <f>((1+Table2634[[#This Row],[Weekly change]])^52)-1</f>
        <v/>
      </c>
      <c r="E1042" s="24">
        <f>AVERAGE(B1039:B1042)</f>
        <v/>
      </c>
      <c r="F1042" s="32">
        <f>(Table2634[[#This Row],[4 weeks average]]-B990)/B990</f>
        <v/>
      </c>
    </row>
    <row r="1043">
      <c r="A1043" s="22" t="n">
        <v>34659</v>
      </c>
      <c r="B1043" s="24">
        <f>VLOOKUP(Table2634[[#This Row],[Date]],'DB Money Supply'!$A:$D,4)</f>
        <v/>
      </c>
      <c r="C1043" s="30">
        <f>(Table2634[[#This Row],[M1 Money Stock, Billions of Dollars, Weekly, Seasonally Adjusted]]-B1042)/B1042</f>
        <v/>
      </c>
      <c r="D1043" s="34">
        <f>((1+Table2634[[#This Row],[Weekly change]])^52)-1</f>
        <v/>
      </c>
      <c r="E1043" s="24">
        <f>AVERAGE(B1040:B1043)</f>
        <v/>
      </c>
      <c r="F1043" s="32">
        <f>(Table2634[[#This Row],[4 weeks average]]-B991)/B991</f>
        <v/>
      </c>
    </row>
    <row r="1044">
      <c r="A1044" s="22" t="n">
        <v>34666</v>
      </c>
      <c r="B1044" s="24">
        <f>VLOOKUP(Table2634[[#This Row],[Date]],'DB Money Supply'!$A:$D,4)</f>
        <v/>
      </c>
      <c r="C1044" s="30">
        <f>(Table2634[[#This Row],[M1 Money Stock, Billions of Dollars, Weekly, Seasonally Adjusted]]-B1043)/B1043</f>
        <v/>
      </c>
      <c r="D1044" s="34">
        <f>((1+Table2634[[#This Row],[Weekly change]])^52)-1</f>
        <v/>
      </c>
      <c r="E1044" s="24">
        <f>AVERAGE(B1041:B1044)</f>
        <v/>
      </c>
      <c r="F1044" s="32">
        <f>(Table2634[[#This Row],[4 weeks average]]-B992)/B992</f>
        <v/>
      </c>
    </row>
    <row r="1045">
      <c r="A1045" s="22" t="n">
        <v>34673</v>
      </c>
      <c r="B1045" s="24">
        <f>VLOOKUP(Table2634[[#This Row],[Date]],'DB Money Supply'!$A:$D,4)</f>
        <v/>
      </c>
      <c r="C1045" s="30">
        <f>(Table2634[[#This Row],[M1 Money Stock, Billions of Dollars, Weekly, Seasonally Adjusted]]-B1044)/B1044</f>
        <v/>
      </c>
      <c r="D1045" s="34">
        <f>((1+Table2634[[#This Row],[Weekly change]])^52)-1</f>
        <v/>
      </c>
      <c r="E1045" s="24">
        <f>AVERAGE(B1042:B1045)</f>
        <v/>
      </c>
      <c r="F1045" s="32">
        <f>(Table2634[[#This Row],[4 weeks average]]-B993)/B993</f>
        <v/>
      </c>
    </row>
    <row r="1046">
      <c r="A1046" s="22" t="n">
        <v>34680</v>
      </c>
      <c r="B1046" s="24">
        <f>VLOOKUP(Table2634[[#This Row],[Date]],'DB Money Supply'!$A:$D,4)</f>
        <v/>
      </c>
      <c r="C1046" s="30">
        <f>(Table2634[[#This Row],[M1 Money Stock, Billions of Dollars, Weekly, Seasonally Adjusted]]-B1045)/B1045</f>
        <v/>
      </c>
      <c r="D1046" s="34">
        <f>((1+Table2634[[#This Row],[Weekly change]])^52)-1</f>
        <v/>
      </c>
      <c r="E1046" s="24">
        <f>AVERAGE(B1043:B1046)</f>
        <v/>
      </c>
      <c r="F1046" s="32">
        <f>(Table2634[[#This Row],[4 weeks average]]-B994)/B994</f>
        <v/>
      </c>
    </row>
    <row r="1047">
      <c r="A1047" s="22" t="n">
        <v>34687</v>
      </c>
      <c r="B1047" s="24">
        <f>VLOOKUP(Table2634[[#This Row],[Date]],'DB Money Supply'!$A:$D,4)</f>
        <v/>
      </c>
      <c r="C1047" s="30">
        <f>(Table2634[[#This Row],[M1 Money Stock, Billions of Dollars, Weekly, Seasonally Adjusted]]-B1046)/B1046</f>
        <v/>
      </c>
      <c r="D1047" s="34">
        <f>((1+Table2634[[#This Row],[Weekly change]])^52)-1</f>
        <v/>
      </c>
      <c r="E1047" s="24">
        <f>AVERAGE(B1044:B1047)</f>
        <v/>
      </c>
      <c r="F1047" s="32">
        <f>(Table2634[[#This Row],[4 weeks average]]-B995)/B995</f>
        <v/>
      </c>
    </row>
    <row r="1048">
      <c r="A1048" s="22" t="n">
        <v>34694</v>
      </c>
      <c r="B1048" s="24">
        <f>VLOOKUP(Table2634[[#This Row],[Date]],'DB Money Supply'!$A:$D,4)</f>
        <v/>
      </c>
      <c r="C1048" s="30">
        <f>(Table2634[[#This Row],[M1 Money Stock, Billions of Dollars, Weekly, Seasonally Adjusted]]-B1047)/B1047</f>
        <v/>
      </c>
      <c r="D1048" s="34">
        <f>((1+Table2634[[#This Row],[Weekly change]])^52)-1</f>
        <v/>
      </c>
      <c r="E1048" s="24">
        <f>AVERAGE(B1045:B1048)</f>
        <v/>
      </c>
      <c r="F1048" s="32">
        <f>(Table2634[[#This Row],[4 weeks average]]-B996)/B996</f>
        <v/>
      </c>
    </row>
    <row r="1049">
      <c r="A1049" s="22" t="n">
        <v>34701</v>
      </c>
      <c r="B1049" s="24">
        <f>VLOOKUP(Table2634[[#This Row],[Date]],'DB Money Supply'!$A:$D,4)</f>
        <v/>
      </c>
      <c r="C1049" s="30">
        <f>(Table2634[[#This Row],[M1 Money Stock, Billions of Dollars, Weekly, Seasonally Adjusted]]-B1048)/B1048</f>
        <v/>
      </c>
      <c r="D1049" s="34">
        <f>((1+Table2634[[#This Row],[Weekly change]])^52)-1</f>
        <v/>
      </c>
      <c r="E1049" s="24">
        <f>AVERAGE(B1046:B1049)</f>
        <v/>
      </c>
      <c r="F1049" s="32">
        <f>(Table2634[[#This Row],[4 weeks average]]-B997)/B997</f>
        <v/>
      </c>
    </row>
    <row r="1050">
      <c r="A1050" s="22" t="n">
        <v>34708</v>
      </c>
      <c r="B1050" s="24">
        <f>VLOOKUP(Table2634[[#This Row],[Date]],'DB Money Supply'!$A:$D,4)</f>
        <v/>
      </c>
      <c r="C1050" s="30">
        <f>(Table2634[[#This Row],[M1 Money Stock, Billions of Dollars, Weekly, Seasonally Adjusted]]-B1049)/B1049</f>
        <v/>
      </c>
      <c r="D1050" s="34">
        <f>((1+Table2634[[#This Row],[Weekly change]])^52)-1</f>
        <v/>
      </c>
      <c r="E1050" s="24">
        <f>AVERAGE(B1047:B1050)</f>
        <v/>
      </c>
      <c r="F1050" s="32">
        <f>(Table2634[[#This Row],[4 weeks average]]-B998)/B998</f>
        <v/>
      </c>
    </row>
    <row r="1051">
      <c r="A1051" s="22" t="n">
        <v>34715</v>
      </c>
      <c r="B1051" s="24">
        <f>VLOOKUP(Table2634[[#This Row],[Date]],'DB Money Supply'!$A:$D,4)</f>
        <v/>
      </c>
      <c r="C1051" s="30">
        <f>(Table2634[[#This Row],[M1 Money Stock, Billions of Dollars, Weekly, Seasonally Adjusted]]-B1050)/B1050</f>
        <v/>
      </c>
      <c r="D1051" s="34">
        <f>((1+Table2634[[#This Row],[Weekly change]])^52)-1</f>
        <v/>
      </c>
      <c r="E1051" s="24">
        <f>AVERAGE(B1048:B1051)</f>
        <v/>
      </c>
      <c r="F1051" s="32">
        <f>(Table2634[[#This Row],[4 weeks average]]-B999)/B999</f>
        <v/>
      </c>
    </row>
    <row r="1052">
      <c r="A1052" s="22" t="n">
        <v>34722</v>
      </c>
      <c r="B1052" s="24">
        <f>VLOOKUP(Table2634[[#This Row],[Date]],'DB Money Supply'!$A:$D,4)</f>
        <v/>
      </c>
      <c r="C1052" s="30">
        <f>(Table2634[[#This Row],[M1 Money Stock, Billions of Dollars, Weekly, Seasonally Adjusted]]-B1051)/B1051</f>
        <v/>
      </c>
      <c r="D1052" s="34">
        <f>((1+Table2634[[#This Row],[Weekly change]])^52)-1</f>
        <v/>
      </c>
      <c r="E1052" s="24">
        <f>AVERAGE(B1049:B1052)</f>
        <v/>
      </c>
      <c r="F1052" s="32">
        <f>(Table2634[[#This Row],[4 weeks average]]-B1000)/B1000</f>
        <v/>
      </c>
    </row>
    <row r="1053">
      <c r="A1053" s="22" t="n">
        <v>34729</v>
      </c>
      <c r="B1053" s="24">
        <f>VLOOKUP(Table2634[[#This Row],[Date]],'DB Money Supply'!$A:$D,4)</f>
        <v/>
      </c>
      <c r="C1053" s="30">
        <f>(Table2634[[#This Row],[M1 Money Stock, Billions of Dollars, Weekly, Seasonally Adjusted]]-B1052)/B1052</f>
        <v/>
      </c>
      <c r="D1053" s="34">
        <f>((1+Table2634[[#This Row],[Weekly change]])^52)-1</f>
        <v/>
      </c>
      <c r="E1053" s="24">
        <f>AVERAGE(B1050:B1053)</f>
        <v/>
      </c>
      <c r="F1053" s="32">
        <f>(Table2634[[#This Row],[4 weeks average]]-B1001)/B1001</f>
        <v/>
      </c>
    </row>
    <row r="1054">
      <c r="A1054" s="22" t="n">
        <v>34736</v>
      </c>
      <c r="B1054" s="24">
        <f>VLOOKUP(Table2634[[#This Row],[Date]],'DB Money Supply'!$A:$D,4)</f>
        <v/>
      </c>
      <c r="C1054" s="30">
        <f>(Table2634[[#This Row],[M1 Money Stock, Billions of Dollars, Weekly, Seasonally Adjusted]]-B1053)/B1053</f>
        <v/>
      </c>
      <c r="D1054" s="34">
        <f>((1+Table2634[[#This Row],[Weekly change]])^52)-1</f>
        <v/>
      </c>
      <c r="E1054" s="24">
        <f>AVERAGE(B1051:B1054)</f>
        <v/>
      </c>
      <c r="F1054" s="32">
        <f>(Table2634[[#This Row],[4 weeks average]]-B1002)/B1002</f>
        <v/>
      </c>
    </row>
    <row r="1055">
      <c r="A1055" s="22" t="n">
        <v>34743</v>
      </c>
      <c r="B1055" s="24">
        <f>VLOOKUP(Table2634[[#This Row],[Date]],'DB Money Supply'!$A:$D,4)</f>
        <v/>
      </c>
      <c r="C1055" s="30">
        <f>(Table2634[[#This Row],[M1 Money Stock, Billions of Dollars, Weekly, Seasonally Adjusted]]-B1054)/B1054</f>
        <v/>
      </c>
      <c r="D1055" s="34">
        <f>((1+Table2634[[#This Row],[Weekly change]])^52)-1</f>
        <v/>
      </c>
      <c r="E1055" s="24">
        <f>AVERAGE(B1052:B1055)</f>
        <v/>
      </c>
      <c r="F1055" s="32">
        <f>(Table2634[[#This Row],[4 weeks average]]-B1003)/B1003</f>
        <v/>
      </c>
    </row>
    <row r="1056">
      <c r="A1056" s="22" t="n">
        <v>34750</v>
      </c>
      <c r="B1056" s="24">
        <f>VLOOKUP(Table2634[[#This Row],[Date]],'DB Money Supply'!$A:$D,4)</f>
        <v/>
      </c>
      <c r="C1056" s="30">
        <f>(Table2634[[#This Row],[M1 Money Stock, Billions of Dollars, Weekly, Seasonally Adjusted]]-B1055)/B1055</f>
        <v/>
      </c>
      <c r="D1056" s="34">
        <f>((1+Table2634[[#This Row],[Weekly change]])^52)-1</f>
        <v/>
      </c>
      <c r="E1056" s="24">
        <f>AVERAGE(B1053:B1056)</f>
        <v/>
      </c>
      <c r="F1056" s="32">
        <f>(Table2634[[#This Row],[4 weeks average]]-B1004)/B1004</f>
        <v/>
      </c>
    </row>
    <row r="1057">
      <c r="A1057" s="22" t="n">
        <v>34757</v>
      </c>
      <c r="B1057" s="24">
        <f>VLOOKUP(Table2634[[#This Row],[Date]],'DB Money Supply'!$A:$D,4)</f>
        <v/>
      </c>
      <c r="C1057" s="30">
        <f>(Table2634[[#This Row],[M1 Money Stock, Billions of Dollars, Weekly, Seasonally Adjusted]]-B1056)/B1056</f>
        <v/>
      </c>
      <c r="D1057" s="34">
        <f>((1+Table2634[[#This Row],[Weekly change]])^52)-1</f>
        <v/>
      </c>
      <c r="E1057" s="24">
        <f>AVERAGE(B1054:B1057)</f>
        <v/>
      </c>
      <c r="F1057" s="32">
        <f>(Table2634[[#This Row],[4 weeks average]]-B1005)/B1005</f>
        <v/>
      </c>
    </row>
    <row r="1058">
      <c r="A1058" s="22" t="n">
        <v>34764</v>
      </c>
      <c r="B1058" s="24">
        <f>VLOOKUP(Table2634[[#This Row],[Date]],'DB Money Supply'!$A:$D,4)</f>
        <v/>
      </c>
      <c r="C1058" s="30">
        <f>(Table2634[[#This Row],[M1 Money Stock, Billions of Dollars, Weekly, Seasonally Adjusted]]-B1057)/B1057</f>
        <v/>
      </c>
      <c r="D1058" s="34">
        <f>((1+Table2634[[#This Row],[Weekly change]])^52)-1</f>
        <v/>
      </c>
      <c r="E1058" s="24">
        <f>AVERAGE(B1055:B1058)</f>
        <v/>
      </c>
      <c r="F1058" s="32">
        <f>(Table2634[[#This Row],[4 weeks average]]-B1006)/B1006</f>
        <v/>
      </c>
    </row>
    <row r="1059">
      <c r="A1059" s="22" t="n">
        <v>34771</v>
      </c>
      <c r="B1059" s="24">
        <f>VLOOKUP(Table2634[[#This Row],[Date]],'DB Money Supply'!$A:$D,4)</f>
        <v/>
      </c>
      <c r="C1059" s="30">
        <f>(Table2634[[#This Row],[M1 Money Stock, Billions of Dollars, Weekly, Seasonally Adjusted]]-B1058)/B1058</f>
        <v/>
      </c>
      <c r="D1059" s="34">
        <f>((1+Table2634[[#This Row],[Weekly change]])^52)-1</f>
        <v/>
      </c>
      <c r="E1059" s="24">
        <f>AVERAGE(B1056:B1059)</f>
        <v/>
      </c>
      <c r="F1059" s="32">
        <f>(Table2634[[#This Row],[4 weeks average]]-B1007)/B1007</f>
        <v/>
      </c>
    </row>
    <row r="1060">
      <c r="A1060" s="22" t="n">
        <v>34778</v>
      </c>
      <c r="B1060" s="24">
        <f>VLOOKUP(Table2634[[#This Row],[Date]],'DB Money Supply'!$A:$D,4)</f>
        <v/>
      </c>
      <c r="C1060" s="30">
        <f>(Table2634[[#This Row],[M1 Money Stock, Billions of Dollars, Weekly, Seasonally Adjusted]]-B1059)/B1059</f>
        <v/>
      </c>
      <c r="D1060" s="34">
        <f>((1+Table2634[[#This Row],[Weekly change]])^52)-1</f>
        <v/>
      </c>
      <c r="E1060" s="24">
        <f>AVERAGE(B1057:B1060)</f>
        <v/>
      </c>
      <c r="F1060" s="32">
        <f>(Table2634[[#This Row],[4 weeks average]]-B1008)/B1008</f>
        <v/>
      </c>
    </row>
    <row r="1061">
      <c r="A1061" s="22" t="n">
        <v>34785</v>
      </c>
      <c r="B1061" s="24">
        <f>VLOOKUP(Table2634[[#This Row],[Date]],'DB Money Supply'!$A:$D,4)</f>
        <v/>
      </c>
      <c r="C1061" s="30">
        <f>(Table2634[[#This Row],[M1 Money Stock, Billions of Dollars, Weekly, Seasonally Adjusted]]-B1060)/B1060</f>
        <v/>
      </c>
      <c r="D1061" s="34">
        <f>((1+Table2634[[#This Row],[Weekly change]])^52)-1</f>
        <v/>
      </c>
      <c r="E1061" s="24">
        <f>AVERAGE(B1058:B1061)</f>
        <v/>
      </c>
      <c r="F1061" s="32">
        <f>(Table2634[[#This Row],[4 weeks average]]-B1009)/B1009</f>
        <v/>
      </c>
    </row>
    <row r="1062">
      <c r="A1062" s="22" t="n">
        <v>34792</v>
      </c>
      <c r="B1062" s="24">
        <f>VLOOKUP(Table2634[[#This Row],[Date]],'DB Money Supply'!$A:$D,4)</f>
        <v/>
      </c>
      <c r="C1062" s="30">
        <f>(Table2634[[#This Row],[M1 Money Stock, Billions of Dollars, Weekly, Seasonally Adjusted]]-B1061)/B1061</f>
        <v/>
      </c>
      <c r="D1062" s="34">
        <f>((1+Table2634[[#This Row],[Weekly change]])^52)-1</f>
        <v/>
      </c>
      <c r="E1062" s="24">
        <f>AVERAGE(B1059:B1062)</f>
        <v/>
      </c>
      <c r="F1062" s="32">
        <f>(Table2634[[#This Row],[4 weeks average]]-B1010)/B1010</f>
        <v/>
      </c>
    </row>
    <row r="1063">
      <c r="A1063" s="22" t="n">
        <v>34799</v>
      </c>
      <c r="B1063" s="24">
        <f>VLOOKUP(Table2634[[#This Row],[Date]],'DB Money Supply'!$A:$D,4)</f>
        <v/>
      </c>
      <c r="C1063" s="30">
        <f>(Table2634[[#This Row],[M1 Money Stock, Billions of Dollars, Weekly, Seasonally Adjusted]]-B1062)/B1062</f>
        <v/>
      </c>
      <c r="D1063" s="34">
        <f>((1+Table2634[[#This Row],[Weekly change]])^52)-1</f>
        <v/>
      </c>
      <c r="E1063" s="24">
        <f>AVERAGE(B1060:B1063)</f>
        <v/>
      </c>
      <c r="F1063" s="32">
        <f>(Table2634[[#This Row],[4 weeks average]]-B1011)/B1011</f>
        <v/>
      </c>
    </row>
    <row r="1064">
      <c r="A1064" s="22" t="n">
        <v>34806</v>
      </c>
      <c r="B1064" s="24">
        <f>VLOOKUP(Table2634[[#This Row],[Date]],'DB Money Supply'!$A:$D,4)</f>
        <v/>
      </c>
      <c r="C1064" s="30">
        <f>(Table2634[[#This Row],[M1 Money Stock, Billions of Dollars, Weekly, Seasonally Adjusted]]-B1063)/B1063</f>
        <v/>
      </c>
      <c r="D1064" s="34">
        <f>((1+Table2634[[#This Row],[Weekly change]])^52)-1</f>
        <v/>
      </c>
      <c r="E1064" s="24">
        <f>AVERAGE(B1061:B1064)</f>
        <v/>
      </c>
      <c r="F1064" s="32">
        <f>(Table2634[[#This Row],[4 weeks average]]-B1012)/B1012</f>
        <v/>
      </c>
    </row>
    <row r="1065">
      <c r="A1065" s="22" t="n">
        <v>34813</v>
      </c>
      <c r="B1065" s="24">
        <f>VLOOKUP(Table2634[[#This Row],[Date]],'DB Money Supply'!$A:$D,4)</f>
        <v/>
      </c>
      <c r="C1065" s="30">
        <f>(Table2634[[#This Row],[M1 Money Stock, Billions of Dollars, Weekly, Seasonally Adjusted]]-B1064)/B1064</f>
        <v/>
      </c>
      <c r="D1065" s="34">
        <f>((1+Table2634[[#This Row],[Weekly change]])^52)-1</f>
        <v/>
      </c>
      <c r="E1065" s="24">
        <f>AVERAGE(B1062:B1065)</f>
        <v/>
      </c>
      <c r="F1065" s="32">
        <f>(Table2634[[#This Row],[4 weeks average]]-B1013)/B1013</f>
        <v/>
      </c>
    </row>
    <row r="1066">
      <c r="A1066" s="22" t="n">
        <v>34820</v>
      </c>
      <c r="B1066" s="24">
        <f>VLOOKUP(Table2634[[#This Row],[Date]],'DB Money Supply'!$A:$D,4)</f>
        <v/>
      </c>
      <c r="C1066" s="30">
        <f>(Table2634[[#This Row],[M1 Money Stock, Billions of Dollars, Weekly, Seasonally Adjusted]]-B1065)/B1065</f>
        <v/>
      </c>
      <c r="D1066" s="34">
        <f>((1+Table2634[[#This Row],[Weekly change]])^52)-1</f>
        <v/>
      </c>
      <c r="E1066" s="24">
        <f>AVERAGE(B1063:B1066)</f>
        <v/>
      </c>
      <c r="F1066" s="32">
        <f>(Table2634[[#This Row],[4 weeks average]]-B1014)/B1014</f>
        <v/>
      </c>
    </row>
    <row r="1067">
      <c r="A1067" s="22" t="n">
        <v>34827</v>
      </c>
      <c r="B1067" s="24">
        <f>VLOOKUP(Table2634[[#This Row],[Date]],'DB Money Supply'!$A:$D,4)</f>
        <v/>
      </c>
      <c r="C1067" s="30">
        <f>(Table2634[[#This Row],[M1 Money Stock, Billions of Dollars, Weekly, Seasonally Adjusted]]-B1066)/B1066</f>
        <v/>
      </c>
      <c r="D1067" s="34">
        <f>((1+Table2634[[#This Row],[Weekly change]])^52)-1</f>
        <v/>
      </c>
      <c r="E1067" s="24">
        <f>AVERAGE(B1064:B1067)</f>
        <v/>
      </c>
      <c r="F1067" s="32">
        <f>(Table2634[[#This Row],[4 weeks average]]-B1015)/B1015</f>
        <v/>
      </c>
    </row>
    <row r="1068">
      <c r="A1068" s="22" t="n">
        <v>34834</v>
      </c>
      <c r="B1068" s="24">
        <f>VLOOKUP(Table2634[[#This Row],[Date]],'DB Money Supply'!$A:$D,4)</f>
        <v/>
      </c>
      <c r="C1068" s="30">
        <f>(Table2634[[#This Row],[M1 Money Stock, Billions of Dollars, Weekly, Seasonally Adjusted]]-B1067)/B1067</f>
        <v/>
      </c>
      <c r="D1068" s="34">
        <f>((1+Table2634[[#This Row],[Weekly change]])^52)-1</f>
        <v/>
      </c>
      <c r="E1068" s="24">
        <f>AVERAGE(B1065:B1068)</f>
        <v/>
      </c>
      <c r="F1068" s="32">
        <f>(Table2634[[#This Row],[4 weeks average]]-B1016)/B1016</f>
        <v/>
      </c>
    </row>
    <row r="1069">
      <c r="A1069" s="22" t="n">
        <v>34841</v>
      </c>
      <c r="B1069" s="24">
        <f>VLOOKUP(Table2634[[#This Row],[Date]],'DB Money Supply'!$A:$D,4)</f>
        <v/>
      </c>
      <c r="C1069" s="30">
        <f>(Table2634[[#This Row],[M1 Money Stock, Billions of Dollars, Weekly, Seasonally Adjusted]]-B1068)/B1068</f>
        <v/>
      </c>
      <c r="D1069" s="34">
        <f>((1+Table2634[[#This Row],[Weekly change]])^52)-1</f>
        <v/>
      </c>
      <c r="E1069" s="24">
        <f>AVERAGE(B1066:B1069)</f>
        <v/>
      </c>
      <c r="F1069" s="32">
        <f>(Table2634[[#This Row],[4 weeks average]]-B1017)/B1017</f>
        <v/>
      </c>
    </row>
    <row r="1070">
      <c r="A1070" s="22" t="n">
        <v>34848</v>
      </c>
      <c r="B1070" s="24">
        <f>VLOOKUP(Table2634[[#This Row],[Date]],'DB Money Supply'!$A:$D,4)</f>
        <v/>
      </c>
      <c r="C1070" s="30">
        <f>(Table2634[[#This Row],[M1 Money Stock, Billions of Dollars, Weekly, Seasonally Adjusted]]-B1069)/B1069</f>
        <v/>
      </c>
      <c r="D1070" s="34">
        <f>((1+Table2634[[#This Row],[Weekly change]])^52)-1</f>
        <v/>
      </c>
      <c r="E1070" s="24">
        <f>AVERAGE(B1067:B1070)</f>
        <v/>
      </c>
      <c r="F1070" s="32">
        <f>(Table2634[[#This Row],[4 weeks average]]-B1018)/B1018</f>
        <v/>
      </c>
    </row>
    <row r="1071">
      <c r="A1071" s="22" t="n">
        <v>34855</v>
      </c>
      <c r="B1071" s="24">
        <f>VLOOKUP(Table2634[[#This Row],[Date]],'DB Money Supply'!$A:$D,4)</f>
        <v/>
      </c>
      <c r="C1071" s="30">
        <f>(Table2634[[#This Row],[M1 Money Stock, Billions of Dollars, Weekly, Seasonally Adjusted]]-B1070)/B1070</f>
        <v/>
      </c>
      <c r="D1071" s="34">
        <f>((1+Table2634[[#This Row],[Weekly change]])^52)-1</f>
        <v/>
      </c>
      <c r="E1071" s="24">
        <f>AVERAGE(B1068:B1071)</f>
        <v/>
      </c>
      <c r="F1071" s="32">
        <f>(Table2634[[#This Row],[4 weeks average]]-B1019)/B1019</f>
        <v/>
      </c>
    </row>
    <row r="1072">
      <c r="A1072" s="22" t="n">
        <v>34862</v>
      </c>
      <c r="B1072" s="24">
        <f>VLOOKUP(Table2634[[#This Row],[Date]],'DB Money Supply'!$A:$D,4)</f>
        <v/>
      </c>
      <c r="C1072" s="30">
        <f>(Table2634[[#This Row],[M1 Money Stock, Billions of Dollars, Weekly, Seasonally Adjusted]]-B1071)/B1071</f>
        <v/>
      </c>
      <c r="D1072" s="34">
        <f>((1+Table2634[[#This Row],[Weekly change]])^52)-1</f>
        <v/>
      </c>
      <c r="E1072" s="24">
        <f>AVERAGE(B1069:B1072)</f>
        <v/>
      </c>
      <c r="F1072" s="32">
        <f>(Table2634[[#This Row],[4 weeks average]]-B1020)/B1020</f>
        <v/>
      </c>
    </row>
    <row r="1073">
      <c r="A1073" s="22" t="n">
        <v>34869</v>
      </c>
      <c r="B1073" s="24">
        <f>VLOOKUP(Table2634[[#This Row],[Date]],'DB Money Supply'!$A:$D,4)</f>
        <v/>
      </c>
      <c r="C1073" s="30">
        <f>(Table2634[[#This Row],[M1 Money Stock, Billions of Dollars, Weekly, Seasonally Adjusted]]-B1072)/B1072</f>
        <v/>
      </c>
      <c r="D1073" s="34">
        <f>((1+Table2634[[#This Row],[Weekly change]])^52)-1</f>
        <v/>
      </c>
      <c r="E1073" s="24">
        <f>AVERAGE(B1070:B1073)</f>
        <v/>
      </c>
      <c r="F1073" s="32">
        <f>(Table2634[[#This Row],[4 weeks average]]-B1021)/B1021</f>
        <v/>
      </c>
    </row>
    <row r="1074">
      <c r="A1074" s="22" t="n">
        <v>34876</v>
      </c>
      <c r="B1074" s="24">
        <f>VLOOKUP(Table2634[[#This Row],[Date]],'DB Money Supply'!$A:$D,4)</f>
        <v/>
      </c>
      <c r="C1074" s="30">
        <f>(Table2634[[#This Row],[M1 Money Stock, Billions of Dollars, Weekly, Seasonally Adjusted]]-B1073)/B1073</f>
        <v/>
      </c>
      <c r="D1074" s="34">
        <f>((1+Table2634[[#This Row],[Weekly change]])^52)-1</f>
        <v/>
      </c>
      <c r="E1074" s="24">
        <f>AVERAGE(B1071:B1074)</f>
        <v/>
      </c>
      <c r="F1074" s="32">
        <f>(Table2634[[#This Row],[4 weeks average]]-B1022)/B1022</f>
        <v/>
      </c>
    </row>
    <row r="1075">
      <c r="A1075" s="22" t="n">
        <v>34883</v>
      </c>
      <c r="B1075" s="24">
        <f>VLOOKUP(Table2634[[#This Row],[Date]],'DB Money Supply'!$A:$D,4)</f>
        <v/>
      </c>
      <c r="C1075" s="30">
        <f>(Table2634[[#This Row],[M1 Money Stock, Billions of Dollars, Weekly, Seasonally Adjusted]]-B1074)/B1074</f>
        <v/>
      </c>
      <c r="D1075" s="34">
        <f>((1+Table2634[[#This Row],[Weekly change]])^52)-1</f>
        <v/>
      </c>
      <c r="E1075" s="24">
        <f>AVERAGE(B1072:B1075)</f>
        <v/>
      </c>
      <c r="F1075" s="32">
        <f>(Table2634[[#This Row],[4 weeks average]]-B1023)/B1023</f>
        <v/>
      </c>
    </row>
    <row r="1076">
      <c r="A1076" s="22" t="n">
        <v>34890</v>
      </c>
      <c r="B1076" s="24">
        <f>VLOOKUP(Table2634[[#This Row],[Date]],'DB Money Supply'!$A:$D,4)</f>
        <v/>
      </c>
      <c r="C1076" s="30">
        <f>(Table2634[[#This Row],[M1 Money Stock, Billions of Dollars, Weekly, Seasonally Adjusted]]-B1075)/B1075</f>
        <v/>
      </c>
      <c r="D1076" s="34">
        <f>((1+Table2634[[#This Row],[Weekly change]])^52)-1</f>
        <v/>
      </c>
      <c r="E1076" s="24">
        <f>AVERAGE(B1073:B1076)</f>
        <v/>
      </c>
      <c r="F1076" s="32">
        <f>(Table2634[[#This Row],[4 weeks average]]-B1024)/B1024</f>
        <v/>
      </c>
    </row>
    <row r="1077">
      <c r="A1077" s="22" t="n">
        <v>34897</v>
      </c>
      <c r="B1077" s="24">
        <f>VLOOKUP(Table2634[[#This Row],[Date]],'DB Money Supply'!$A:$D,4)</f>
        <v/>
      </c>
      <c r="C1077" s="30">
        <f>(Table2634[[#This Row],[M1 Money Stock, Billions of Dollars, Weekly, Seasonally Adjusted]]-B1076)/B1076</f>
        <v/>
      </c>
      <c r="D1077" s="34">
        <f>((1+Table2634[[#This Row],[Weekly change]])^52)-1</f>
        <v/>
      </c>
      <c r="E1077" s="24">
        <f>AVERAGE(B1074:B1077)</f>
        <v/>
      </c>
      <c r="F1077" s="32">
        <f>(Table2634[[#This Row],[4 weeks average]]-B1025)/B1025</f>
        <v/>
      </c>
    </row>
    <row r="1078">
      <c r="A1078" s="22" t="n">
        <v>34904</v>
      </c>
      <c r="B1078" s="24">
        <f>VLOOKUP(Table2634[[#This Row],[Date]],'DB Money Supply'!$A:$D,4)</f>
        <v/>
      </c>
      <c r="C1078" s="30">
        <f>(Table2634[[#This Row],[M1 Money Stock, Billions of Dollars, Weekly, Seasonally Adjusted]]-B1077)/B1077</f>
        <v/>
      </c>
      <c r="D1078" s="34">
        <f>((1+Table2634[[#This Row],[Weekly change]])^52)-1</f>
        <v/>
      </c>
      <c r="E1078" s="24">
        <f>AVERAGE(B1075:B1078)</f>
        <v/>
      </c>
      <c r="F1078" s="32">
        <f>(Table2634[[#This Row],[4 weeks average]]-B1026)/B1026</f>
        <v/>
      </c>
    </row>
    <row r="1079">
      <c r="A1079" s="22" t="n">
        <v>34911</v>
      </c>
      <c r="B1079" s="24">
        <f>VLOOKUP(Table2634[[#This Row],[Date]],'DB Money Supply'!$A:$D,4)</f>
        <v/>
      </c>
      <c r="C1079" s="30">
        <f>(Table2634[[#This Row],[M1 Money Stock, Billions of Dollars, Weekly, Seasonally Adjusted]]-B1078)/B1078</f>
        <v/>
      </c>
      <c r="D1079" s="34">
        <f>((1+Table2634[[#This Row],[Weekly change]])^52)-1</f>
        <v/>
      </c>
      <c r="E1079" s="24">
        <f>AVERAGE(B1076:B1079)</f>
        <v/>
      </c>
      <c r="F1079" s="32">
        <f>(Table2634[[#This Row],[4 weeks average]]-B1027)/B1027</f>
        <v/>
      </c>
    </row>
    <row r="1080">
      <c r="A1080" s="22" t="n">
        <v>34918</v>
      </c>
      <c r="B1080" s="24">
        <f>VLOOKUP(Table2634[[#This Row],[Date]],'DB Money Supply'!$A:$D,4)</f>
        <v/>
      </c>
      <c r="C1080" s="30">
        <f>(Table2634[[#This Row],[M1 Money Stock, Billions of Dollars, Weekly, Seasonally Adjusted]]-B1079)/B1079</f>
        <v/>
      </c>
      <c r="D1080" s="34">
        <f>((1+Table2634[[#This Row],[Weekly change]])^52)-1</f>
        <v/>
      </c>
      <c r="E1080" s="24">
        <f>AVERAGE(B1077:B1080)</f>
        <v/>
      </c>
      <c r="F1080" s="32">
        <f>(Table2634[[#This Row],[4 weeks average]]-B1028)/B1028</f>
        <v/>
      </c>
    </row>
    <row r="1081">
      <c r="A1081" s="22" t="n">
        <v>34925</v>
      </c>
      <c r="B1081" s="24">
        <f>VLOOKUP(Table2634[[#This Row],[Date]],'DB Money Supply'!$A:$D,4)</f>
        <v/>
      </c>
      <c r="C1081" s="30">
        <f>(Table2634[[#This Row],[M1 Money Stock, Billions of Dollars, Weekly, Seasonally Adjusted]]-B1080)/B1080</f>
        <v/>
      </c>
      <c r="D1081" s="34">
        <f>((1+Table2634[[#This Row],[Weekly change]])^52)-1</f>
        <v/>
      </c>
      <c r="E1081" s="24">
        <f>AVERAGE(B1078:B1081)</f>
        <v/>
      </c>
      <c r="F1081" s="32">
        <f>(Table2634[[#This Row],[4 weeks average]]-B1029)/B1029</f>
        <v/>
      </c>
    </row>
    <row r="1082">
      <c r="A1082" s="22" t="n">
        <v>34932</v>
      </c>
      <c r="B1082" s="24">
        <f>VLOOKUP(Table2634[[#This Row],[Date]],'DB Money Supply'!$A:$D,4)</f>
        <v/>
      </c>
      <c r="C1082" s="30">
        <f>(Table2634[[#This Row],[M1 Money Stock, Billions of Dollars, Weekly, Seasonally Adjusted]]-B1081)/B1081</f>
        <v/>
      </c>
      <c r="D1082" s="34">
        <f>((1+Table2634[[#This Row],[Weekly change]])^52)-1</f>
        <v/>
      </c>
      <c r="E1082" s="24">
        <f>AVERAGE(B1079:B1082)</f>
        <v/>
      </c>
      <c r="F1082" s="32">
        <f>(Table2634[[#This Row],[4 weeks average]]-B1030)/B1030</f>
        <v/>
      </c>
    </row>
    <row r="1083">
      <c r="A1083" s="22" t="n">
        <v>34939</v>
      </c>
      <c r="B1083" s="24">
        <f>VLOOKUP(Table2634[[#This Row],[Date]],'DB Money Supply'!$A:$D,4)</f>
        <v/>
      </c>
      <c r="C1083" s="30">
        <f>(Table2634[[#This Row],[M1 Money Stock, Billions of Dollars, Weekly, Seasonally Adjusted]]-B1082)/B1082</f>
        <v/>
      </c>
      <c r="D1083" s="34">
        <f>((1+Table2634[[#This Row],[Weekly change]])^52)-1</f>
        <v/>
      </c>
      <c r="E1083" s="24">
        <f>AVERAGE(B1080:B1083)</f>
        <v/>
      </c>
      <c r="F1083" s="32">
        <f>(Table2634[[#This Row],[4 weeks average]]-B1031)/B1031</f>
        <v/>
      </c>
    </row>
    <row r="1084">
      <c r="A1084" s="22" t="n">
        <v>34946</v>
      </c>
      <c r="B1084" s="24">
        <f>VLOOKUP(Table2634[[#This Row],[Date]],'DB Money Supply'!$A:$D,4)</f>
        <v/>
      </c>
      <c r="C1084" s="30">
        <f>(Table2634[[#This Row],[M1 Money Stock, Billions of Dollars, Weekly, Seasonally Adjusted]]-B1083)/B1083</f>
        <v/>
      </c>
      <c r="D1084" s="34">
        <f>((1+Table2634[[#This Row],[Weekly change]])^52)-1</f>
        <v/>
      </c>
      <c r="E1084" s="24">
        <f>AVERAGE(B1081:B1084)</f>
        <v/>
      </c>
      <c r="F1084" s="32">
        <f>(Table2634[[#This Row],[4 weeks average]]-B1032)/B1032</f>
        <v/>
      </c>
    </row>
    <row r="1085">
      <c r="A1085" s="22" t="n">
        <v>34953</v>
      </c>
      <c r="B1085" s="24">
        <f>VLOOKUP(Table2634[[#This Row],[Date]],'DB Money Supply'!$A:$D,4)</f>
        <v/>
      </c>
      <c r="C1085" s="30">
        <f>(Table2634[[#This Row],[M1 Money Stock, Billions of Dollars, Weekly, Seasonally Adjusted]]-B1084)/B1084</f>
        <v/>
      </c>
      <c r="D1085" s="34">
        <f>((1+Table2634[[#This Row],[Weekly change]])^52)-1</f>
        <v/>
      </c>
      <c r="E1085" s="24">
        <f>AVERAGE(B1082:B1085)</f>
        <v/>
      </c>
      <c r="F1085" s="32">
        <f>(Table2634[[#This Row],[4 weeks average]]-B1033)/B1033</f>
        <v/>
      </c>
    </row>
    <row r="1086">
      <c r="A1086" s="22" t="n">
        <v>34960</v>
      </c>
      <c r="B1086" s="24">
        <f>VLOOKUP(Table2634[[#This Row],[Date]],'DB Money Supply'!$A:$D,4)</f>
        <v/>
      </c>
      <c r="C1086" s="30">
        <f>(Table2634[[#This Row],[M1 Money Stock, Billions of Dollars, Weekly, Seasonally Adjusted]]-B1085)/B1085</f>
        <v/>
      </c>
      <c r="D1086" s="34">
        <f>((1+Table2634[[#This Row],[Weekly change]])^52)-1</f>
        <v/>
      </c>
      <c r="E1086" s="24">
        <f>AVERAGE(B1083:B1086)</f>
        <v/>
      </c>
      <c r="F1086" s="32">
        <f>(Table2634[[#This Row],[4 weeks average]]-B1034)/B1034</f>
        <v/>
      </c>
    </row>
    <row r="1087">
      <c r="A1087" s="22" t="n">
        <v>34967</v>
      </c>
      <c r="B1087" s="24">
        <f>VLOOKUP(Table2634[[#This Row],[Date]],'DB Money Supply'!$A:$D,4)</f>
        <v/>
      </c>
      <c r="C1087" s="30">
        <f>(Table2634[[#This Row],[M1 Money Stock, Billions of Dollars, Weekly, Seasonally Adjusted]]-B1086)/B1086</f>
        <v/>
      </c>
      <c r="D1087" s="34">
        <f>((1+Table2634[[#This Row],[Weekly change]])^52)-1</f>
        <v/>
      </c>
      <c r="E1087" s="24">
        <f>AVERAGE(B1084:B1087)</f>
        <v/>
      </c>
      <c r="F1087" s="32">
        <f>(Table2634[[#This Row],[4 weeks average]]-B1035)/B1035</f>
        <v/>
      </c>
    </row>
    <row r="1088">
      <c r="A1088" s="22" t="n">
        <v>34974</v>
      </c>
      <c r="B1088" s="24">
        <f>VLOOKUP(Table2634[[#This Row],[Date]],'DB Money Supply'!$A:$D,4)</f>
        <v/>
      </c>
      <c r="C1088" s="30">
        <f>(Table2634[[#This Row],[M1 Money Stock, Billions of Dollars, Weekly, Seasonally Adjusted]]-B1087)/B1087</f>
        <v/>
      </c>
      <c r="D1088" s="34">
        <f>((1+Table2634[[#This Row],[Weekly change]])^52)-1</f>
        <v/>
      </c>
      <c r="E1088" s="24">
        <f>AVERAGE(B1085:B1088)</f>
        <v/>
      </c>
      <c r="F1088" s="32">
        <f>(Table2634[[#This Row],[4 weeks average]]-B1036)/B1036</f>
        <v/>
      </c>
    </row>
    <row r="1089">
      <c r="A1089" s="22" t="n">
        <v>34981</v>
      </c>
      <c r="B1089" s="24">
        <f>VLOOKUP(Table2634[[#This Row],[Date]],'DB Money Supply'!$A:$D,4)</f>
        <v/>
      </c>
      <c r="C1089" s="30">
        <f>(Table2634[[#This Row],[M1 Money Stock, Billions of Dollars, Weekly, Seasonally Adjusted]]-B1088)/B1088</f>
        <v/>
      </c>
      <c r="D1089" s="34">
        <f>((1+Table2634[[#This Row],[Weekly change]])^52)-1</f>
        <v/>
      </c>
      <c r="E1089" s="24">
        <f>AVERAGE(B1086:B1089)</f>
        <v/>
      </c>
      <c r="F1089" s="32">
        <f>(Table2634[[#This Row],[4 weeks average]]-B1037)/B1037</f>
        <v/>
      </c>
    </row>
    <row r="1090">
      <c r="A1090" s="22" t="n">
        <v>34988</v>
      </c>
      <c r="B1090" s="24">
        <f>VLOOKUP(Table2634[[#This Row],[Date]],'DB Money Supply'!$A:$D,4)</f>
        <v/>
      </c>
      <c r="C1090" s="30">
        <f>(Table2634[[#This Row],[M1 Money Stock, Billions of Dollars, Weekly, Seasonally Adjusted]]-B1089)/B1089</f>
        <v/>
      </c>
      <c r="D1090" s="34">
        <f>((1+Table2634[[#This Row],[Weekly change]])^52)-1</f>
        <v/>
      </c>
      <c r="E1090" s="24">
        <f>AVERAGE(B1087:B1090)</f>
        <v/>
      </c>
      <c r="F1090" s="32">
        <f>(Table2634[[#This Row],[4 weeks average]]-B1038)/B1038</f>
        <v/>
      </c>
    </row>
    <row r="1091">
      <c r="A1091" s="22" t="n">
        <v>34995</v>
      </c>
      <c r="B1091" s="24">
        <f>VLOOKUP(Table2634[[#This Row],[Date]],'DB Money Supply'!$A:$D,4)</f>
        <v/>
      </c>
      <c r="C1091" s="30">
        <f>(Table2634[[#This Row],[M1 Money Stock, Billions of Dollars, Weekly, Seasonally Adjusted]]-B1090)/B1090</f>
        <v/>
      </c>
      <c r="D1091" s="34">
        <f>((1+Table2634[[#This Row],[Weekly change]])^52)-1</f>
        <v/>
      </c>
      <c r="E1091" s="24">
        <f>AVERAGE(B1088:B1091)</f>
        <v/>
      </c>
      <c r="F1091" s="32">
        <f>(Table2634[[#This Row],[4 weeks average]]-B1039)/B1039</f>
        <v/>
      </c>
    </row>
    <row r="1092">
      <c r="A1092" s="22" t="n">
        <v>35002</v>
      </c>
      <c r="B1092" s="24">
        <f>VLOOKUP(Table2634[[#This Row],[Date]],'DB Money Supply'!$A:$D,4)</f>
        <v/>
      </c>
      <c r="C1092" s="30">
        <f>(Table2634[[#This Row],[M1 Money Stock, Billions of Dollars, Weekly, Seasonally Adjusted]]-B1091)/B1091</f>
        <v/>
      </c>
      <c r="D1092" s="34">
        <f>((1+Table2634[[#This Row],[Weekly change]])^52)-1</f>
        <v/>
      </c>
      <c r="E1092" s="24">
        <f>AVERAGE(B1089:B1092)</f>
        <v/>
      </c>
      <c r="F1092" s="32">
        <f>(Table2634[[#This Row],[4 weeks average]]-B1040)/B1040</f>
        <v/>
      </c>
    </row>
    <row r="1093">
      <c r="A1093" s="22" t="n">
        <v>35009</v>
      </c>
      <c r="B1093" s="24">
        <f>VLOOKUP(Table2634[[#This Row],[Date]],'DB Money Supply'!$A:$D,4)</f>
        <v/>
      </c>
      <c r="C1093" s="30">
        <f>(Table2634[[#This Row],[M1 Money Stock, Billions of Dollars, Weekly, Seasonally Adjusted]]-B1092)/B1092</f>
        <v/>
      </c>
      <c r="D1093" s="34">
        <f>((1+Table2634[[#This Row],[Weekly change]])^52)-1</f>
        <v/>
      </c>
      <c r="E1093" s="24">
        <f>AVERAGE(B1090:B1093)</f>
        <v/>
      </c>
      <c r="F1093" s="32">
        <f>(Table2634[[#This Row],[4 weeks average]]-B1041)/B1041</f>
        <v/>
      </c>
    </row>
    <row r="1094">
      <c r="A1094" s="22" t="n">
        <v>35016</v>
      </c>
      <c r="B1094" s="24">
        <f>VLOOKUP(Table2634[[#This Row],[Date]],'DB Money Supply'!$A:$D,4)</f>
        <v/>
      </c>
      <c r="C1094" s="30">
        <f>(Table2634[[#This Row],[M1 Money Stock, Billions of Dollars, Weekly, Seasonally Adjusted]]-B1093)/B1093</f>
        <v/>
      </c>
      <c r="D1094" s="34">
        <f>((1+Table2634[[#This Row],[Weekly change]])^52)-1</f>
        <v/>
      </c>
      <c r="E1094" s="24">
        <f>AVERAGE(B1091:B1094)</f>
        <v/>
      </c>
      <c r="F1094" s="32">
        <f>(Table2634[[#This Row],[4 weeks average]]-B1042)/B1042</f>
        <v/>
      </c>
    </row>
    <row r="1095">
      <c r="A1095" s="22" t="n">
        <v>35023</v>
      </c>
      <c r="B1095" s="24">
        <f>VLOOKUP(Table2634[[#This Row],[Date]],'DB Money Supply'!$A:$D,4)</f>
        <v/>
      </c>
      <c r="C1095" s="30">
        <f>(Table2634[[#This Row],[M1 Money Stock, Billions of Dollars, Weekly, Seasonally Adjusted]]-B1094)/B1094</f>
        <v/>
      </c>
      <c r="D1095" s="34">
        <f>((1+Table2634[[#This Row],[Weekly change]])^52)-1</f>
        <v/>
      </c>
      <c r="E1095" s="24">
        <f>AVERAGE(B1092:B1095)</f>
        <v/>
      </c>
      <c r="F1095" s="32">
        <f>(Table2634[[#This Row],[4 weeks average]]-B1043)/B1043</f>
        <v/>
      </c>
    </row>
    <row r="1096">
      <c r="A1096" s="22" t="n">
        <v>35030</v>
      </c>
      <c r="B1096" s="24">
        <f>VLOOKUP(Table2634[[#This Row],[Date]],'DB Money Supply'!$A:$D,4)</f>
        <v/>
      </c>
      <c r="C1096" s="30">
        <f>(Table2634[[#This Row],[M1 Money Stock, Billions of Dollars, Weekly, Seasonally Adjusted]]-B1095)/B1095</f>
        <v/>
      </c>
      <c r="D1096" s="34">
        <f>((1+Table2634[[#This Row],[Weekly change]])^52)-1</f>
        <v/>
      </c>
      <c r="E1096" s="24">
        <f>AVERAGE(B1093:B1096)</f>
        <v/>
      </c>
      <c r="F1096" s="32">
        <f>(Table2634[[#This Row],[4 weeks average]]-B1044)/B1044</f>
        <v/>
      </c>
    </row>
    <row r="1097">
      <c r="A1097" s="22" t="n">
        <v>35037</v>
      </c>
      <c r="B1097" s="24">
        <f>VLOOKUP(Table2634[[#This Row],[Date]],'DB Money Supply'!$A:$D,4)</f>
        <v/>
      </c>
      <c r="C1097" s="30">
        <f>(Table2634[[#This Row],[M1 Money Stock, Billions of Dollars, Weekly, Seasonally Adjusted]]-B1096)/B1096</f>
        <v/>
      </c>
      <c r="D1097" s="34">
        <f>((1+Table2634[[#This Row],[Weekly change]])^52)-1</f>
        <v/>
      </c>
      <c r="E1097" s="24">
        <f>AVERAGE(B1094:B1097)</f>
        <v/>
      </c>
      <c r="F1097" s="32">
        <f>(Table2634[[#This Row],[4 weeks average]]-B1045)/B1045</f>
        <v/>
      </c>
    </row>
    <row r="1098">
      <c r="A1098" s="22" t="n">
        <v>35044</v>
      </c>
      <c r="B1098" s="24">
        <f>VLOOKUP(Table2634[[#This Row],[Date]],'DB Money Supply'!$A:$D,4)</f>
        <v/>
      </c>
      <c r="C1098" s="30">
        <f>(Table2634[[#This Row],[M1 Money Stock, Billions of Dollars, Weekly, Seasonally Adjusted]]-B1097)/B1097</f>
        <v/>
      </c>
      <c r="D1098" s="34">
        <f>((1+Table2634[[#This Row],[Weekly change]])^52)-1</f>
        <v/>
      </c>
      <c r="E1098" s="24">
        <f>AVERAGE(B1095:B1098)</f>
        <v/>
      </c>
      <c r="F1098" s="32">
        <f>(Table2634[[#This Row],[4 weeks average]]-B1046)/B1046</f>
        <v/>
      </c>
    </row>
    <row r="1099">
      <c r="A1099" s="22" t="n">
        <v>35051</v>
      </c>
      <c r="B1099" s="24">
        <f>VLOOKUP(Table2634[[#This Row],[Date]],'DB Money Supply'!$A:$D,4)</f>
        <v/>
      </c>
      <c r="C1099" s="30">
        <f>(Table2634[[#This Row],[M1 Money Stock, Billions of Dollars, Weekly, Seasonally Adjusted]]-B1098)/B1098</f>
        <v/>
      </c>
      <c r="D1099" s="34">
        <f>((1+Table2634[[#This Row],[Weekly change]])^52)-1</f>
        <v/>
      </c>
      <c r="E1099" s="24">
        <f>AVERAGE(B1096:B1099)</f>
        <v/>
      </c>
      <c r="F1099" s="32">
        <f>(Table2634[[#This Row],[4 weeks average]]-B1047)/B1047</f>
        <v/>
      </c>
    </row>
    <row r="1100">
      <c r="A1100" s="22" t="n">
        <v>35058</v>
      </c>
      <c r="B1100" s="24">
        <f>VLOOKUP(Table2634[[#This Row],[Date]],'DB Money Supply'!$A:$D,4)</f>
        <v/>
      </c>
      <c r="C1100" s="30">
        <f>(Table2634[[#This Row],[M1 Money Stock, Billions of Dollars, Weekly, Seasonally Adjusted]]-B1099)/B1099</f>
        <v/>
      </c>
      <c r="D1100" s="34">
        <f>((1+Table2634[[#This Row],[Weekly change]])^52)-1</f>
        <v/>
      </c>
      <c r="E1100" s="24">
        <f>AVERAGE(B1097:B1100)</f>
        <v/>
      </c>
      <c r="F1100" s="32">
        <f>(Table2634[[#This Row],[4 weeks average]]-B1048)/B1048</f>
        <v/>
      </c>
    </row>
    <row r="1101">
      <c r="A1101" s="22" t="n">
        <v>35065</v>
      </c>
      <c r="B1101" s="24">
        <f>VLOOKUP(Table2634[[#This Row],[Date]],'DB Money Supply'!$A:$D,4)</f>
        <v/>
      </c>
      <c r="C1101" s="30">
        <f>(Table2634[[#This Row],[M1 Money Stock, Billions of Dollars, Weekly, Seasonally Adjusted]]-B1100)/B1100</f>
        <v/>
      </c>
      <c r="D1101" s="34">
        <f>((1+Table2634[[#This Row],[Weekly change]])^52)-1</f>
        <v/>
      </c>
      <c r="E1101" s="24">
        <f>AVERAGE(B1098:B1101)</f>
        <v/>
      </c>
      <c r="F1101" s="32">
        <f>(Table2634[[#This Row],[4 weeks average]]-B1049)/B1049</f>
        <v/>
      </c>
    </row>
    <row r="1102">
      <c r="A1102" s="22" t="n">
        <v>35072</v>
      </c>
      <c r="B1102" s="24">
        <f>VLOOKUP(Table2634[[#This Row],[Date]],'DB Money Supply'!$A:$D,4)</f>
        <v/>
      </c>
      <c r="C1102" s="30">
        <f>(Table2634[[#This Row],[M1 Money Stock, Billions of Dollars, Weekly, Seasonally Adjusted]]-B1101)/B1101</f>
        <v/>
      </c>
      <c r="D1102" s="34">
        <f>((1+Table2634[[#This Row],[Weekly change]])^52)-1</f>
        <v/>
      </c>
      <c r="E1102" s="24">
        <f>AVERAGE(B1099:B1102)</f>
        <v/>
      </c>
      <c r="F1102" s="32">
        <f>(Table2634[[#This Row],[4 weeks average]]-B1050)/B1050</f>
        <v/>
      </c>
    </row>
    <row r="1103">
      <c r="A1103" s="22" t="n">
        <v>35079</v>
      </c>
      <c r="B1103" s="24">
        <f>VLOOKUP(Table2634[[#This Row],[Date]],'DB Money Supply'!$A:$D,4)</f>
        <v/>
      </c>
      <c r="C1103" s="30">
        <f>(Table2634[[#This Row],[M1 Money Stock, Billions of Dollars, Weekly, Seasonally Adjusted]]-B1102)/B1102</f>
        <v/>
      </c>
      <c r="D1103" s="34">
        <f>((1+Table2634[[#This Row],[Weekly change]])^52)-1</f>
        <v/>
      </c>
      <c r="E1103" s="24">
        <f>AVERAGE(B1100:B1103)</f>
        <v/>
      </c>
      <c r="F1103" s="32">
        <f>(Table2634[[#This Row],[4 weeks average]]-B1051)/B1051</f>
        <v/>
      </c>
    </row>
    <row r="1104">
      <c r="A1104" s="22" t="n">
        <v>35086</v>
      </c>
      <c r="B1104" s="24">
        <f>VLOOKUP(Table2634[[#This Row],[Date]],'DB Money Supply'!$A:$D,4)</f>
        <v/>
      </c>
      <c r="C1104" s="30">
        <f>(Table2634[[#This Row],[M1 Money Stock, Billions of Dollars, Weekly, Seasonally Adjusted]]-B1103)/B1103</f>
        <v/>
      </c>
      <c r="D1104" s="34">
        <f>((1+Table2634[[#This Row],[Weekly change]])^52)-1</f>
        <v/>
      </c>
      <c r="E1104" s="24">
        <f>AVERAGE(B1101:B1104)</f>
        <v/>
      </c>
      <c r="F1104" s="32">
        <f>(Table2634[[#This Row],[4 weeks average]]-B1052)/B1052</f>
        <v/>
      </c>
    </row>
    <row r="1105">
      <c r="A1105" s="22" t="n">
        <v>35093</v>
      </c>
      <c r="B1105" s="24">
        <f>VLOOKUP(Table2634[[#This Row],[Date]],'DB Money Supply'!$A:$D,4)</f>
        <v/>
      </c>
      <c r="C1105" s="30">
        <f>(Table2634[[#This Row],[M1 Money Stock, Billions of Dollars, Weekly, Seasonally Adjusted]]-B1104)/B1104</f>
        <v/>
      </c>
      <c r="D1105" s="34">
        <f>((1+Table2634[[#This Row],[Weekly change]])^52)-1</f>
        <v/>
      </c>
      <c r="E1105" s="24">
        <f>AVERAGE(B1102:B1105)</f>
        <v/>
      </c>
      <c r="F1105" s="32">
        <f>(Table2634[[#This Row],[4 weeks average]]-B1053)/B1053</f>
        <v/>
      </c>
    </row>
    <row r="1106">
      <c r="A1106" s="22" t="n">
        <v>35100</v>
      </c>
      <c r="B1106" s="24">
        <f>VLOOKUP(Table2634[[#This Row],[Date]],'DB Money Supply'!$A:$D,4)</f>
        <v/>
      </c>
      <c r="C1106" s="30">
        <f>(Table2634[[#This Row],[M1 Money Stock, Billions of Dollars, Weekly, Seasonally Adjusted]]-B1105)/B1105</f>
        <v/>
      </c>
      <c r="D1106" s="34">
        <f>((1+Table2634[[#This Row],[Weekly change]])^52)-1</f>
        <v/>
      </c>
      <c r="E1106" s="24">
        <f>AVERAGE(B1103:B1106)</f>
        <v/>
      </c>
      <c r="F1106" s="32">
        <f>(Table2634[[#This Row],[4 weeks average]]-B1054)/B1054</f>
        <v/>
      </c>
    </row>
    <row r="1107">
      <c r="A1107" s="22" t="n">
        <v>35107</v>
      </c>
      <c r="B1107" s="24">
        <f>VLOOKUP(Table2634[[#This Row],[Date]],'DB Money Supply'!$A:$D,4)</f>
        <v/>
      </c>
      <c r="C1107" s="30">
        <f>(Table2634[[#This Row],[M1 Money Stock, Billions of Dollars, Weekly, Seasonally Adjusted]]-B1106)/B1106</f>
        <v/>
      </c>
      <c r="D1107" s="34">
        <f>((1+Table2634[[#This Row],[Weekly change]])^52)-1</f>
        <v/>
      </c>
      <c r="E1107" s="24">
        <f>AVERAGE(B1104:B1107)</f>
        <v/>
      </c>
      <c r="F1107" s="32">
        <f>(Table2634[[#This Row],[4 weeks average]]-B1055)/B1055</f>
        <v/>
      </c>
    </row>
    <row r="1108">
      <c r="A1108" s="22" t="n">
        <v>35114</v>
      </c>
      <c r="B1108" s="24">
        <f>VLOOKUP(Table2634[[#This Row],[Date]],'DB Money Supply'!$A:$D,4)</f>
        <v/>
      </c>
      <c r="C1108" s="30">
        <f>(Table2634[[#This Row],[M1 Money Stock, Billions of Dollars, Weekly, Seasonally Adjusted]]-B1107)/B1107</f>
        <v/>
      </c>
      <c r="D1108" s="34">
        <f>((1+Table2634[[#This Row],[Weekly change]])^52)-1</f>
        <v/>
      </c>
      <c r="E1108" s="24">
        <f>AVERAGE(B1105:B1108)</f>
        <v/>
      </c>
      <c r="F1108" s="32">
        <f>(Table2634[[#This Row],[4 weeks average]]-B1056)/B1056</f>
        <v/>
      </c>
    </row>
    <row r="1109">
      <c r="A1109" s="22" t="n">
        <v>35121</v>
      </c>
      <c r="B1109" s="24">
        <f>VLOOKUP(Table2634[[#This Row],[Date]],'DB Money Supply'!$A:$D,4)</f>
        <v/>
      </c>
      <c r="C1109" s="30">
        <f>(Table2634[[#This Row],[M1 Money Stock, Billions of Dollars, Weekly, Seasonally Adjusted]]-B1108)/B1108</f>
        <v/>
      </c>
      <c r="D1109" s="34">
        <f>((1+Table2634[[#This Row],[Weekly change]])^52)-1</f>
        <v/>
      </c>
      <c r="E1109" s="24">
        <f>AVERAGE(B1106:B1109)</f>
        <v/>
      </c>
      <c r="F1109" s="32">
        <f>(Table2634[[#This Row],[4 weeks average]]-B1057)/B1057</f>
        <v/>
      </c>
    </row>
    <row r="1110">
      <c r="A1110" s="22" t="n">
        <v>35128</v>
      </c>
      <c r="B1110" s="24">
        <f>VLOOKUP(Table2634[[#This Row],[Date]],'DB Money Supply'!$A:$D,4)</f>
        <v/>
      </c>
      <c r="C1110" s="30">
        <f>(Table2634[[#This Row],[M1 Money Stock, Billions of Dollars, Weekly, Seasonally Adjusted]]-B1109)/B1109</f>
        <v/>
      </c>
      <c r="D1110" s="34">
        <f>((1+Table2634[[#This Row],[Weekly change]])^52)-1</f>
        <v/>
      </c>
      <c r="E1110" s="24">
        <f>AVERAGE(B1107:B1110)</f>
        <v/>
      </c>
      <c r="F1110" s="32">
        <f>(Table2634[[#This Row],[4 weeks average]]-B1058)/B1058</f>
        <v/>
      </c>
    </row>
    <row r="1111">
      <c r="A1111" s="22" t="n">
        <v>35135</v>
      </c>
      <c r="B1111" s="24">
        <f>VLOOKUP(Table2634[[#This Row],[Date]],'DB Money Supply'!$A:$D,4)</f>
        <v/>
      </c>
      <c r="C1111" s="30">
        <f>(Table2634[[#This Row],[M1 Money Stock, Billions of Dollars, Weekly, Seasonally Adjusted]]-B1110)/B1110</f>
        <v/>
      </c>
      <c r="D1111" s="34">
        <f>((1+Table2634[[#This Row],[Weekly change]])^52)-1</f>
        <v/>
      </c>
      <c r="E1111" s="24">
        <f>AVERAGE(B1108:B1111)</f>
        <v/>
      </c>
      <c r="F1111" s="32">
        <f>(Table2634[[#This Row],[4 weeks average]]-B1059)/B1059</f>
        <v/>
      </c>
    </row>
    <row r="1112">
      <c r="A1112" s="22" t="n">
        <v>35142</v>
      </c>
      <c r="B1112" s="24">
        <f>VLOOKUP(Table2634[[#This Row],[Date]],'DB Money Supply'!$A:$D,4)</f>
        <v/>
      </c>
      <c r="C1112" s="30">
        <f>(Table2634[[#This Row],[M1 Money Stock, Billions of Dollars, Weekly, Seasonally Adjusted]]-B1111)/B1111</f>
        <v/>
      </c>
      <c r="D1112" s="34">
        <f>((1+Table2634[[#This Row],[Weekly change]])^52)-1</f>
        <v/>
      </c>
      <c r="E1112" s="24">
        <f>AVERAGE(B1109:B1112)</f>
        <v/>
      </c>
      <c r="F1112" s="32">
        <f>(Table2634[[#This Row],[4 weeks average]]-B1060)/B1060</f>
        <v/>
      </c>
    </row>
    <row r="1113">
      <c r="A1113" s="22" t="n">
        <v>35149</v>
      </c>
      <c r="B1113" s="24">
        <f>VLOOKUP(Table2634[[#This Row],[Date]],'DB Money Supply'!$A:$D,4)</f>
        <v/>
      </c>
      <c r="C1113" s="30">
        <f>(Table2634[[#This Row],[M1 Money Stock, Billions of Dollars, Weekly, Seasonally Adjusted]]-B1112)/B1112</f>
        <v/>
      </c>
      <c r="D1113" s="34">
        <f>((1+Table2634[[#This Row],[Weekly change]])^52)-1</f>
        <v/>
      </c>
      <c r="E1113" s="24">
        <f>AVERAGE(B1110:B1113)</f>
        <v/>
      </c>
      <c r="F1113" s="32">
        <f>(Table2634[[#This Row],[4 weeks average]]-B1061)/B1061</f>
        <v/>
      </c>
    </row>
    <row r="1114">
      <c r="A1114" s="22" t="n">
        <v>35156</v>
      </c>
      <c r="B1114" s="24">
        <f>VLOOKUP(Table2634[[#This Row],[Date]],'DB Money Supply'!$A:$D,4)</f>
        <v/>
      </c>
      <c r="C1114" s="30">
        <f>(Table2634[[#This Row],[M1 Money Stock, Billions of Dollars, Weekly, Seasonally Adjusted]]-B1113)/B1113</f>
        <v/>
      </c>
      <c r="D1114" s="34">
        <f>((1+Table2634[[#This Row],[Weekly change]])^52)-1</f>
        <v/>
      </c>
      <c r="E1114" s="24">
        <f>AVERAGE(B1111:B1114)</f>
        <v/>
      </c>
      <c r="F1114" s="32">
        <f>(Table2634[[#This Row],[4 weeks average]]-B1062)/B1062</f>
        <v/>
      </c>
    </row>
    <row r="1115">
      <c r="A1115" s="22" t="n">
        <v>35163</v>
      </c>
      <c r="B1115" s="24">
        <f>VLOOKUP(Table2634[[#This Row],[Date]],'DB Money Supply'!$A:$D,4)</f>
        <v/>
      </c>
      <c r="C1115" s="30">
        <f>(Table2634[[#This Row],[M1 Money Stock, Billions of Dollars, Weekly, Seasonally Adjusted]]-B1114)/B1114</f>
        <v/>
      </c>
      <c r="D1115" s="34">
        <f>((1+Table2634[[#This Row],[Weekly change]])^52)-1</f>
        <v/>
      </c>
      <c r="E1115" s="24">
        <f>AVERAGE(B1112:B1115)</f>
        <v/>
      </c>
      <c r="F1115" s="32">
        <f>(Table2634[[#This Row],[4 weeks average]]-B1063)/B1063</f>
        <v/>
      </c>
    </row>
    <row r="1116">
      <c r="A1116" s="22" t="n">
        <v>35170</v>
      </c>
      <c r="B1116" s="24">
        <f>VLOOKUP(Table2634[[#This Row],[Date]],'DB Money Supply'!$A:$D,4)</f>
        <v/>
      </c>
      <c r="C1116" s="30">
        <f>(Table2634[[#This Row],[M1 Money Stock, Billions of Dollars, Weekly, Seasonally Adjusted]]-B1115)/B1115</f>
        <v/>
      </c>
      <c r="D1116" s="34">
        <f>((1+Table2634[[#This Row],[Weekly change]])^52)-1</f>
        <v/>
      </c>
      <c r="E1116" s="24">
        <f>AVERAGE(B1113:B1116)</f>
        <v/>
      </c>
      <c r="F1116" s="32">
        <f>(Table2634[[#This Row],[4 weeks average]]-B1064)/B1064</f>
        <v/>
      </c>
    </row>
    <row r="1117">
      <c r="A1117" s="22" t="n">
        <v>35177</v>
      </c>
      <c r="B1117" s="24">
        <f>VLOOKUP(Table2634[[#This Row],[Date]],'DB Money Supply'!$A:$D,4)</f>
        <v/>
      </c>
      <c r="C1117" s="30">
        <f>(Table2634[[#This Row],[M1 Money Stock, Billions of Dollars, Weekly, Seasonally Adjusted]]-B1116)/B1116</f>
        <v/>
      </c>
      <c r="D1117" s="34">
        <f>((1+Table2634[[#This Row],[Weekly change]])^52)-1</f>
        <v/>
      </c>
      <c r="E1117" s="24">
        <f>AVERAGE(B1114:B1117)</f>
        <v/>
      </c>
      <c r="F1117" s="32">
        <f>(Table2634[[#This Row],[4 weeks average]]-B1065)/B1065</f>
        <v/>
      </c>
    </row>
    <row r="1118">
      <c r="A1118" s="22" t="n">
        <v>35184</v>
      </c>
      <c r="B1118" s="24">
        <f>VLOOKUP(Table2634[[#This Row],[Date]],'DB Money Supply'!$A:$D,4)</f>
        <v/>
      </c>
      <c r="C1118" s="30">
        <f>(Table2634[[#This Row],[M1 Money Stock, Billions of Dollars, Weekly, Seasonally Adjusted]]-B1117)/B1117</f>
        <v/>
      </c>
      <c r="D1118" s="34">
        <f>((1+Table2634[[#This Row],[Weekly change]])^52)-1</f>
        <v/>
      </c>
      <c r="E1118" s="24">
        <f>AVERAGE(B1115:B1118)</f>
        <v/>
      </c>
      <c r="F1118" s="32">
        <f>(Table2634[[#This Row],[4 weeks average]]-B1066)/B1066</f>
        <v/>
      </c>
    </row>
    <row r="1119">
      <c r="A1119" s="22" t="n">
        <v>35191</v>
      </c>
      <c r="B1119" s="24">
        <f>VLOOKUP(Table2634[[#This Row],[Date]],'DB Money Supply'!$A:$D,4)</f>
        <v/>
      </c>
      <c r="C1119" s="30">
        <f>(Table2634[[#This Row],[M1 Money Stock, Billions of Dollars, Weekly, Seasonally Adjusted]]-B1118)/B1118</f>
        <v/>
      </c>
      <c r="D1119" s="34">
        <f>((1+Table2634[[#This Row],[Weekly change]])^52)-1</f>
        <v/>
      </c>
      <c r="E1119" s="24">
        <f>AVERAGE(B1116:B1119)</f>
        <v/>
      </c>
      <c r="F1119" s="32">
        <f>(Table2634[[#This Row],[4 weeks average]]-B1067)/B1067</f>
        <v/>
      </c>
    </row>
    <row r="1120">
      <c r="A1120" s="22" t="n">
        <v>35198</v>
      </c>
      <c r="B1120" s="24">
        <f>VLOOKUP(Table2634[[#This Row],[Date]],'DB Money Supply'!$A:$D,4)</f>
        <v/>
      </c>
      <c r="C1120" s="30">
        <f>(Table2634[[#This Row],[M1 Money Stock, Billions of Dollars, Weekly, Seasonally Adjusted]]-B1119)/B1119</f>
        <v/>
      </c>
      <c r="D1120" s="34">
        <f>((1+Table2634[[#This Row],[Weekly change]])^52)-1</f>
        <v/>
      </c>
      <c r="E1120" s="24">
        <f>AVERAGE(B1117:B1120)</f>
        <v/>
      </c>
      <c r="F1120" s="32">
        <f>(Table2634[[#This Row],[4 weeks average]]-B1068)/B1068</f>
        <v/>
      </c>
    </row>
    <row r="1121">
      <c r="A1121" s="22" t="n">
        <v>35205</v>
      </c>
      <c r="B1121" s="24">
        <f>VLOOKUP(Table2634[[#This Row],[Date]],'DB Money Supply'!$A:$D,4)</f>
        <v/>
      </c>
      <c r="C1121" s="30">
        <f>(Table2634[[#This Row],[M1 Money Stock, Billions of Dollars, Weekly, Seasonally Adjusted]]-B1120)/B1120</f>
        <v/>
      </c>
      <c r="D1121" s="34">
        <f>((1+Table2634[[#This Row],[Weekly change]])^52)-1</f>
        <v/>
      </c>
      <c r="E1121" s="24">
        <f>AVERAGE(B1118:B1121)</f>
        <v/>
      </c>
      <c r="F1121" s="32">
        <f>(Table2634[[#This Row],[4 weeks average]]-B1069)/B1069</f>
        <v/>
      </c>
    </row>
    <row r="1122">
      <c r="A1122" s="22" t="n">
        <v>35212</v>
      </c>
      <c r="B1122" s="24">
        <f>VLOOKUP(Table2634[[#This Row],[Date]],'DB Money Supply'!$A:$D,4)</f>
        <v/>
      </c>
      <c r="C1122" s="30">
        <f>(Table2634[[#This Row],[M1 Money Stock, Billions of Dollars, Weekly, Seasonally Adjusted]]-B1121)/B1121</f>
        <v/>
      </c>
      <c r="D1122" s="34">
        <f>((1+Table2634[[#This Row],[Weekly change]])^52)-1</f>
        <v/>
      </c>
      <c r="E1122" s="24">
        <f>AVERAGE(B1119:B1122)</f>
        <v/>
      </c>
      <c r="F1122" s="32">
        <f>(Table2634[[#This Row],[4 weeks average]]-B1070)/B1070</f>
        <v/>
      </c>
    </row>
    <row r="1123">
      <c r="A1123" s="22" t="n">
        <v>35219</v>
      </c>
      <c r="B1123" s="24">
        <f>VLOOKUP(Table2634[[#This Row],[Date]],'DB Money Supply'!$A:$D,4)</f>
        <v/>
      </c>
      <c r="C1123" s="30">
        <f>(Table2634[[#This Row],[M1 Money Stock, Billions of Dollars, Weekly, Seasonally Adjusted]]-B1122)/B1122</f>
        <v/>
      </c>
      <c r="D1123" s="34">
        <f>((1+Table2634[[#This Row],[Weekly change]])^52)-1</f>
        <v/>
      </c>
      <c r="E1123" s="24">
        <f>AVERAGE(B1120:B1123)</f>
        <v/>
      </c>
      <c r="F1123" s="32">
        <f>(Table2634[[#This Row],[4 weeks average]]-B1071)/B1071</f>
        <v/>
      </c>
    </row>
    <row r="1124">
      <c r="A1124" s="22" t="n">
        <v>35226</v>
      </c>
      <c r="B1124" s="24">
        <f>VLOOKUP(Table2634[[#This Row],[Date]],'DB Money Supply'!$A:$D,4)</f>
        <v/>
      </c>
      <c r="C1124" s="30">
        <f>(Table2634[[#This Row],[M1 Money Stock, Billions of Dollars, Weekly, Seasonally Adjusted]]-B1123)/B1123</f>
        <v/>
      </c>
      <c r="D1124" s="34">
        <f>((1+Table2634[[#This Row],[Weekly change]])^52)-1</f>
        <v/>
      </c>
      <c r="E1124" s="24">
        <f>AVERAGE(B1121:B1124)</f>
        <v/>
      </c>
      <c r="F1124" s="32">
        <f>(Table2634[[#This Row],[4 weeks average]]-B1072)/B1072</f>
        <v/>
      </c>
    </row>
    <row r="1125">
      <c r="A1125" s="22" t="n">
        <v>35233</v>
      </c>
      <c r="B1125" s="24">
        <f>VLOOKUP(Table2634[[#This Row],[Date]],'DB Money Supply'!$A:$D,4)</f>
        <v/>
      </c>
      <c r="C1125" s="30">
        <f>(Table2634[[#This Row],[M1 Money Stock, Billions of Dollars, Weekly, Seasonally Adjusted]]-B1124)/B1124</f>
        <v/>
      </c>
      <c r="D1125" s="34">
        <f>((1+Table2634[[#This Row],[Weekly change]])^52)-1</f>
        <v/>
      </c>
      <c r="E1125" s="24">
        <f>AVERAGE(B1122:B1125)</f>
        <v/>
      </c>
      <c r="F1125" s="32">
        <f>(Table2634[[#This Row],[4 weeks average]]-B1073)/B1073</f>
        <v/>
      </c>
    </row>
    <row r="1126">
      <c r="A1126" s="22" t="n">
        <v>35240</v>
      </c>
      <c r="B1126" s="24">
        <f>VLOOKUP(Table2634[[#This Row],[Date]],'DB Money Supply'!$A:$D,4)</f>
        <v/>
      </c>
      <c r="C1126" s="30">
        <f>(Table2634[[#This Row],[M1 Money Stock, Billions of Dollars, Weekly, Seasonally Adjusted]]-B1125)/B1125</f>
        <v/>
      </c>
      <c r="D1126" s="34">
        <f>((1+Table2634[[#This Row],[Weekly change]])^52)-1</f>
        <v/>
      </c>
      <c r="E1126" s="24">
        <f>AVERAGE(B1123:B1126)</f>
        <v/>
      </c>
      <c r="F1126" s="32">
        <f>(Table2634[[#This Row],[4 weeks average]]-B1074)/B1074</f>
        <v/>
      </c>
    </row>
    <row r="1127">
      <c r="A1127" s="22" t="n">
        <v>35247</v>
      </c>
      <c r="B1127" s="24">
        <f>VLOOKUP(Table2634[[#This Row],[Date]],'DB Money Supply'!$A:$D,4)</f>
        <v/>
      </c>
      <c r="C1127" s="30">
        <f>(Table2634[[#This Row],[M1 Money Stock, Billions of Dollars, Weekly, Seasonally Adjusted]]-B1126)/B1126</f>
        <v/>
      </c>
      <c r="D1127" s="34">
        <f>((1+Table2634[[#This Row],[Weekly change]])^52)-1</f>
        <v/>
      </c>
      <c r="E1127" s="24">
        <f>AVERAGE(B1124:B1127)</f>
        <v/>
      </c>
      <c r="F1127" s="32">
        <f>(Table2634[[#This Row],[4 weeks average]]-B1075)/B1075</f>
        <v/>
      </c>
    </row>
    <row r="1128">
      <c r="A1128" s="22" t="n">
        <v>35254</v>
      </c>
      <c r="B1128" s="24">
        <f>VLOOKUP(Table2634[[#This Row],[Date]],'DB Money Supply'!$A:$D,4)</f>
        <v/>
      </c>
      <c r="C1128" s="30">
        <f>(Table2634[[#This Row],[M1 Money Stock, Billions of Dollars, Weekly, Seasonally Adjusted]]-B1127)/B1127</f>
        <v/>
      </c>
      <c r="D1128" s="34">
        <f>((1+Table2634[[#This Row],[Weekly change]])^52)-1</f>
        <v/>
      </c>
      <c r="E1128" s="24">
        <f>AVERAGE(B1125:B1128)</f>
        <v/>
      </c>
      <c r="F1128" s="32">
        <f>(Table2634[[#This Row],[4 weeks average]]-B1076)/B1076</f>
        <v/>
      </c>
    </row>
    <row r="1129">
      <c r="A1129" s="22" t="n">
        <v>35261</v>
      </c>
      <c r="B1129" s="24">
        <f>VLOOKUP(Table2634[[#This Row],[Date]],'DB Money Supply'!$A:$D,4)</f>
        <v/>
      </c>
      <c r="C1129" s="30">
        <f>(Table2634[[#This Row],[M1 Money Stock, Billions of Dollars, Weekly, Seasonally Adjusted]]-B1128)/B1128</f>
        <v/>
      </c>
      <c r="D1129" s="34">
        <f>((1+Table2634[[#This Row],[Weekly change]])^52)-1</f>
        <v/>
      </c>
      <c r="E1129" s="24">
        <f>AVERAGE(B1126:B1129)</f>
        <v/>
      </c>
      <c r="F1129" s="32">
        <f>(Table2634[[#This Row],[4 weeks average]]-B1077)/B1077</f>
        <v/>
      </c>
    </row>
    <row r="1130">
      <c r="A1130" s="22" t="n">
        <v>35268</v>
      </c>
      <c r="B1130" s="24">
        <f>VLOOKUP(Table2634[[#This Row],[Date]],'DB Money Supply'!$A:$D,4)</f>
        <v/>
      </c>
      <c r="C1130" s="30">
        <f>(Table2634[[#This Row],[M1 Money Stock, Billions of Dollars, Weekly, Seasonally Adjusted]]-B1129)/B1129</f>
        <v/>
      </c>
      <c r="D1130" s="34">
        <f>((1+Table2634[[#This Row],[Weekly change]])^52)-1</f>
        <v/>
      </c>
      <c r="E1130" s="24">
        <f>AVERAGE(B1127:B1130)</f>
        <v/>
      </c>
      <c r="F1130" s="32">
        <f>(Table2634[[#This Row],[4 weeks average]]-B1078)/B1078</f>
        <v/>
      </c>
    </row>
    <row r="1131">
      <c r="A1131" s="22" t="n">
        <v>35275</v>
      </c>
      <c r="B1131" s="24">
        <f>VLOOKUP(Table2634[[#This Row],[Date]],'DB Money Supply'!$A:$D,4)</f>
        <v/>
      </c>
      <c r="C1131" s="30">
        <f>(Table2634[[#This Row],[M1 Money Stock, Billions of Dollars, Weekly, Seasonally Adjusted]]-B1130)/B1130</f>
        <v/>
      </c>
      <c r="D1131" s="34">
        <f>((1+Table2634[[#This Row],[Weekly change]])^52)-1</f>
        <v/>
      </c>
      <c r="E1131" s="24">
        <f>AVERAGE(B1128:B1131)</f>
        <v/>
      </c>
      <c r="F1131" s="32">
        <f>(Table2634[[#This Row],[4 weeks average]]-B1079)/B1079</f>
        <v/>
      </c>
    </row>
    <row r="1132">
      <c r="A1132" s="22" t="n">
        <v>35282</v>
      </c>
      <c r="B1132" s="24">
        <f>VLOOKUP(Table2634[[#This Row],[Date]],'DB Money Supply'!$A:$D,4)</f>
        <v/>
      </c>
      <c r="C1132" s="30">
        <f>(Table2634[[#This Row],[M1 Money Stock, Billions of Dollars, Weekly, Seasonally Adjusted]]-B1131)/B1131</f>
        <v/>
      </c>
      <c r="D1132" s="34">
        <f>((1+Table2634[[#This Row],[Weekly change]])^52)-1</f>
        <v/>
      </c>
      <c r="E1132" s="24">
        <f>AVERAGE(B1129:B1132)</f>
        <v/>
      </c>
      <c r="F1132" s="32">
        <f>(Table2634[[#This Row],[4 weeks average]]-B1080)/B1080</f>
        <v/>
      </c>
    </row>
    <row r="1133">
      <c r="A1133" s="22" t="n">
        <v>35289</v>
      </c>
      <c r="B1133" s="24">
        <f>VLOOKUP(Table2634[[#This Row],[Date]],'DB Money Supply'!$A:$D,4)</f>
        <v/>
      </c>
      <c r="C1133" s="30">
        <f>(Table2634[[#This Row],[M1 Money Stock, Billions of Dollars, Weekly, Seasonally Adjusted]]-B1132)/B1132</f>
        <v/>
      </c>
      <c r="D1133" s="34">
        <f>((1+Table2634[[#This Row],[Weekly change]])^52)-1</f>
        <v/>
      </c>
      <c r="E1133" s="24">
        <f>AVERAGE(B1130:B1133)</f>
        <v/>
      </c>
      <c r="F1133" s="32">
        <f>(Table2634[[#This Row],[4 weeks average]]-B1081)/B1081</f>
        <v/>
      </c>
    </row>
    <row r="1134">
      <c r="A1134" s="22" t="n">
        <v>35296</v>
      </c>
      <c r="B1134" s="24">
        <f>VLOOKUP(Table2634[[#This Row],[Date]],'DB Money Supply'!$A:$D,4)</f>
        <v/>
      </c>
      <c r="C1134" s="30">
        <f>(Table2634[[#This Row],[M1 Money Stock, Billions of Dollars, Weekly, Seasonally Adjusted]]-B1133)/B1133</f>
        <v/>
      </c>
      <c r="D1134" s="34">
        <f>((1+Table2634[[#This Row],[Weekly change]])^52)-1</f>
        <v/>
      </c>
      <c r="E1134" s="24">
        <f>AVERAGE(B1131:B1134)</f>
        <v/>
      </c>
      <c r="F1134" s="32">
        <f>(Table2634[[#This Row],[4 weeks average]]-B1082)/B1082</f>
        <v/>
      </c>
    </row>
    <row r="1135">
      <c r="A1135" s="22" t="n">
        <v>35303</v>
      </c>
      <c r="B1135" s="24">
        <f>VLOOKUP(Table2634[[#This Row],[Date]],'DB Money Supply'!$A:$D,4)</f>
        <v/>
      </c>
      <c r="C1135" s="30">
        <f>(Table2634[[#This Row],[M1 Money Stock, Billions of Dollars, Weekly, Seasonally Adjusted]]-B1134)/B1134</f>
        <v/>
      </c>
      <c r="D1135" s="34">
        <f>((1+Table2634[[#This Row],[Weekly change]])^52)-1</f>
        <v/>
      </c>
      <c r="E1135" s="24">
        <f>AVERAGE(B1132:B1135)</f>
        <v/>
      </c>
      <c r="F1135" s="32">
        <f>(Table2634[[#This Row],[4 weeks average]]-B1083)/B1083</f>
        <v/>
      </c>
    </row>
    <row r="1136">
      <c r="A1136" s="22" t="n">
        <v>35310</v>
      </c>
      <c r="B1136" s="24">
        <f>VLOOKUP(Table2634[[#This Row],[Date]],'DB Money Supply'!$A:$D,4)</f>
        <v/>
      </c>
      <c r="C1136" s="30">
        <f>(Table2634[[#This Row],[M1 Money Stock, Billions of Dollars, Weekly, Seasonally Adjusted]]-B1135)/B1135</f>
        <v/>
      </c>
      <c r="D1136" s="34">
        <f>((1+Table2634[[#This Row],[Weekly change]])^52)-1</f>
        <v/>
      </c>
      <c r="E1136" s="24">
        <f>AVERAGE(B1133:B1136)</f>
        <v/>
      </c>
      <c r="F1136" s="32">
        <f>(Table2634[[#This Row],[4 weeks average]]-B1084)/B1084</f>
        <v/>
      </c>
    </row>
    <row r="1137">
      <c r="A1137" s="22" t="n">
        <v>35317</v>
      </c>
      <c r="B1137" s="24">
        <f>VLOOKUP(Table2634[[#This Row],[Date]],'DB Money Supply'!$A:$D,4)</f>
        <v/>
      </c>
      <c r="C1137" s="30">
        <f>(Table2634[[#This Row],[M1 Money Stock, Billions of Dollars, Weekly, Seasonally Adjusted]]-B1136)/B1136</f>
        <v/>
      </c>
      <c r="D1137" s="34">
        <f>((1+Table2634[[#This Row],[Weekly change]])^52)-1</f>
        <v/>
      </c>
      <c r="E1137" s="24">
        <f>AVERAGE(B1134:B1137)</f>
        <v/>
      </c>
      <c r="F1137" s="32">
        <f>(Table2634[[#This Row],[4 weeks average]]-B1085)/B1085</f>
        <v/>
      </c>
    </row>
    <row r="1138">
      <c r="A1138" s="22" t="n">
        <v>35324</v>
      </c>
      <c r="B1138" s="24">
        <f>VLOOKUP(Table2634[[#This Row],[Date]],'DB Money Supply'!$A:$D,4)</f>
        <v/>
      </c>
      <c r="C1138" s="30">
        <f>(Table2634[[#This Row],[M1 Money Stock, Billions of Dollars, Weekly, Seasonally Adjusted]]-B1137)/B1137</f>
        <v/>
      </c>
      <c r="D1138" s="34">
        <f>((1+Table2634[[#This Row],[Weekly change]])^52)-1</f>
        <v/>
      </c>
      <c r="E1138" s="24">
        <f>AVERAGE(B1135:B1138)</f>
        <v/>
      </c>
      <c r="F1138" s="32">
        <f>(Table2634[[#This Row],[4 weeks average]]-B1086)/B1086</f>
        <v/>
      </c>
    </row>
    <row r="1139">
      <c r="A1139" s="22" t="n">
        <v>35331</v>
      </c>
      <c r="B1139" s="24">
        <f>VLOOKUP(Table2634[[#This Row],[Date]],'DB Money Supply'!$A:$D,4)</f>
        <v/>
      </c>
      <c r="C1139" s="30">
        <f>(Table2634[[#This Row],[M1 Money Stock, Billions of Dollars, Weekly, Seasonally Adjusted]]-B1138)/B1138</f>
        <v/>
      </c>
      <c r="D1139" s="34">
        <f>((1+Table2634[[#This Row],[Weekly change]])^52)-1</f>
        <v/>
      </c>
      <c r="E1139" s="24">
        <f>AVERAGE(B1136:B1139)</f>
        <v/>
      </c>
      <c r="F1139" s="32">
        <f>(Table2634[[#This Row],[4 weeks average]]-B1087)/B1087</f>
        <v/>
      </c>
    </row>
    <row r="1140">
      <c r="A1140" s="22" t="n">
        <v>35338</v>
      </c>
      <c r="B1140" s="24">
        <f>VLOOKUP(Table2634[[#This Row],[Date]],'DB Money Supply'!$A:$D,4)</f>
        <v/>
      </c>
      <c r="C1140" s="30">
        <f>(Table2634[[#This Row],[M1 Money Stock, Billions of Dollars, Weekly, Seasonally Adjusted]]-B1139)/B1139</f>
        <v/>
      </c>
      <c r="D1140" s="34">
        <f>((1+Table2634[[#This Row],[Weekly change]])^52)-1</f>
        <v/>
      </c>
      <c r="E1140" s="24">
        <f>AVERAGE(B1137:B1140)</f>
        <v/>
      </c>
      <c r="F1140" s="32">
        <f>(Table2634[[#This Row],[4 weeks average]]-B1088)/B1088</f>
        <v/>
      </c>
    </row>
    <row r="1141">
      <c r="A1141" s="22" t="n">
        <v>35345</v>
      </c>
      <c r="B1141" s="24">
        <f>VLOOKUP(Table2634[[#This Row],[Date]],'DB Money Supply'!$A:$D,4)</f>
        <v/>
      </c>
      <c r="C1141" s="30">
        <f>(Table2634[[#This Row],[M1 Money Stock, Billions of Dollars, Weekly, Seasonally Adjusted]]-B1140)/B1140</f>
        <v/>
      </c>
      <c r="D1141" s="34">
        <f>((1+Table2634[[#This Row],[Weekly change]])^52)-1</f>
        <v/>
      </c>
      <c r="E1141" s="24">
        <f>AVERAGE(B1138:B1141)</f>
        <v/>
      </c>
      <c r="F1141" s="32">
        <f>(Table2634[[#This Row],[4 weeks average]]-B1089)/B1089</f>
        <v/>
      </c>
    </row>
    <row r="1142">
      <c r="A1142" s="22" t="n">
        <v>35352</v>
      </c>
      <c r="B1142" s="24">
        <f>VLOOKUP(Table2634[[#This Row],[Date]],'DB Money Supply'!$A:$D,4)</f>
        <v/>
      </c>
      <c r="C1142" s="30">
        <f>(Table2634[[#This Row],[M1 Money Stock, Billions of Dollars, Weekly, Seasonally Adjusted]]-B1141)/B1141</f>
        <v/>
      </c>
      <c r="D1142" s="34">
        <f>((1+Table2634[[#This Row],[Weekly change]])^52)-1</f>
        <v/>
      </c>
      <c r="E1142" s="24">
        <f>AVERAGE(B1139:B1142)</f>
        <v/>
      </c>
      <c r="F1142" s="32">
        <f>(Table2634[[#This Row],[4 weeks average]]-B1090)/B1090</f>
        <v/>
      </c>
    </row>
    <row r="1143">
      <c r="A1143" s="22" t="n">
        <v>35359</v>
      </c>
      <c r="B1143" s="24">
        <f>VLOOKUP(Table2634[[#This Row],[Date]],'DB Money Supply'!$A:$D,4)</f>
        <v/>
      </c>
      <c r="C1143" s="30">
        <f>(Table2634[[#This Row],[M1 Money Stock, Billions of Dollars, Weekly, Seasonally Adjusted]]-B1142)/B1142</f>
        <v/>
      </c>
      <c r="D1143" s="34">
        <f>((1+Table2634[[#This Row],[Weekly change]])^52)-1</f>
        <v/>
      </c>
      <c r="E1143" s="24">
        <f>AVERAGE(B1140:B1143)</f>
        <v/>
      </c>
      <c r="F1143" s="32">
        <f>(Table2634[[#This Row],[4 weeks average]]-B1091)/B1091</f>
        <v/>
      </c>
    </row>
    <row r="1144">
      <c r="A1144" s="22" t="n">
        <v>35366</v>
      </c>
      <c r="B1144" s="24">
        <f>VLOOKUP(Table2634[[#This Row],[Date]],'DB Money Supply'!$A:$D,4)</f>
        <v/>
      </c>
      <c r="C1144" s="30">
        <f>(Table2634[[#This Row],[M1 Money Stock, Billions of Dollars, Weekly, Seasonally Adjusted]]-B1143)/B1143</f>
        <v/>
      </c>
      <c r="D1144" s="34">
        <f>((1+Table2634[[#This Row],[Weekly change]])^52)-1</f>
        <v/>
      </c>
      <c r="E1144" s="24">
        <f>AVERAGE(B1141:B1144)</f>
        <v/>
      </c>
      <c r="F1144" s="32">
        <f>(Table2634[[#This Row],[4 weeks average]]-B1092)/B1092</f>
        <v/>
      </c>
    </row>
    <row r="1145">
      <c r="A1145" s="22" t="n">
        <v>35373</v>
      </c>
      <c r="B1145" s="24">
        <f>VLOOKUP(Table2634[[#This Row],[Date]],'DB Money Supply'!$A:$D,4)</f>
        <v/>
      </c>
      <c r="C1145" s="30">
        <f>(Table2634[[#This Row],[M1 Money Stock, Billions of Dollars, Weekly, Seasonally Adjusted]]-B1144)/B1144</f>
        <v/>
      </c>
      <c r="D1145" s="34">
        <f>((1+Table2634[[#This Row],[Weekly change]])^52)-1</f>
        <v/>
      </c>
      <c r="E1145" s="24">
        <f>AVERAGE(B1142:B1145)</f>
        <v/>
      </c>
      <c r="F1145" s="32">
        <f>(Table2634[[#This Row],[4 weeks average]]-B1093)/B1093</f>
        <v/>
      </c>
    </row>
    <row r="1146">
      <c r="A1146" s="22" t="n">
        <v>35380</v>
      </c>
      <c r="B1146" s="24">
        <f>VLOOKUP(Table2634[[#This Row],[Date]],'DB Money Supply'!$A:$D,4)</f>
        <v/>
      </c>
      <c r="C1146" s="30">
        <f>(Table2634[[#This Row],[M1 Money Stock, Billions of Dollars, Weekly, Seasonally Adjusted]]-B1145)/B1145</f>
        <v/>
      </c>
      <c r="D1146" s="34">
        <f>((1+Table2634[[#This Row],[Weekly change]])^52)-1</f>
        <v/>
      </c>
      <c r="E1146" s="24">
        <f>AVERAGE(B1143:B1146)</f>
        <v/>
      </c>
      <c r="F1146" s="32">
        <f>(Table2634[[#This Row],[4 weeks average]]-B1094)/B1094</f>
        <v/>
      </c>
    </row>
    <row r="1147">
      <c r="A1147" s="22" t="n">
        <v>35387</v>
      </c>
      <c r="B1147" s="24">
        <f>VLOOKUP(Table2634[[#This Row],[Date]],'DB Money Supply'!$A:$D,4)</f>
        <v/>
      </c>
      <c r="C1147" s="30">
        <f>(Table2634[[#This Row],[M1 Money Stock, Billions of Dollars, Weekly, Seasonally Adjusted]]-B1146)/B1146</f>
        <v/>
      </c>
      <c r="D1147" s="34">
        <f>((1+Table2634[[#This Row],[Weekly change]])^52)-1</f>
        <v/>
      </c>
      <c r="E1147" s="24">
        <f>AVERAGE(B1144:B1147)</f>
        <v/>
      </c>
      <c r="F1147" s="32">
        <f>(Table2634[[#This Row],[4 weeks average]]-B1095)/B1095</f>
        <v/>
      </c>
    </row>
    <row r="1148">
      <c r="A1148" s="22" t="n">
        <v>35394</v>
      </c>
      <c r="B1148" s="24">
        <f>VLOOKUP(Table2634[[#This Row],[Date]],'DB Money Supply'!$A:$D,4)</f>
        <v/>
      </c>
      <c r="C1148" s="30">
        <f>(Table2634[[#This Row],[M1 Money Stock, Billions of Dollars, Weekly, Seasonally Adjusted]]-B1147)/B1147</f>
        <v/>
      </c>
      <c r="D1148" s="34">
        <f>((1+Table2634[[#This Row],[Weekly change]])^52)-1</f>
        <v/>
      </c>
      <c r="E1148" s="24">
        <f>AVERAGE(B1145:B1148)</f>
        <v/>
      </c>
      <c r="F1148" s="32">
        <f>(Table2634[[#This Row],[4 weeks average]]-B1096)/B1096</f>
        <v/>
      </c>
    </row>
    <row r="1149">
      <c r="A1149" s="22" t="n">
        <v>35401</v>
      </c>
      <c r="B1149" s="24">
        <f>VLOOKUP(Table2634[[#This Row],[Date]],'DB Money Supply'!$A:$D,4)</f>
        <v/>
      </c>
      <c r="C1149" s="30">
        <f>(Table2634[[#This Row],[M1 Money Stock, Billions of Dollars, Weekly, Seasonally Adjusted]]-B1148)/B1148</f>
        <v/>
      </c>
      <c r="D1149" s="34">
        <f>((1+Table2634[[#This Row],[Weekly change]])^52)-1</f>
        <v/>
      </c>
      <c r="E1149" s="24">
        <f>AVERAGE(B1146:B1149)</f>
        <v/>
      </c>
      <c r="F1149" s="32">
        <f>(Table2634[[#This Row],[4 weeks average]]-B1097)/B1097</f>
        <v/>
      </c>
    </row>
    <row r="1150">
      <c r="A1150" s="22" t="n">
        <v>35408</v>
      </c>
      <c r="B1150" s="24">
        <f>VLOOKUP(Table2634[[#This Row],[Date]],'DB Money Supply'!$A:$D,4)</f>
        <v/>
      </c>
      <c r="C1150" s="30">
        <f>(Table2634[[#This Row],[M1 Money Stock, Billions of Dollars, Weekly, Seasonally Adjusted]]-B1149)/B1149</f>
        <v/>
      </c>
      <c r="D1150" s="34">
        <f>((1+Table2634[[#This Row],[Weekly change]])^52)-1</f>
        <v/>
      </c>
      <c r="E1150" s="24">
        <f>AVERAGE(B1147:B1150)</f>
        <v/>
      </c>
      <c r="F1150" s="32">
        <f>(Table2634[[#This Row],[4 weeks average]]-B1098)/B1098</f>
        <v/>
      </c>
    </row>
    <row r="1151">
      <c r="A1151" s="22" t="n">
        <v>35415</v>
      </c>
      <c r="B1151" s="24">
        <f>VLOOKUP(Table2634[[#This Row],[Date]],'DB Money Supply'!$A:$D,4)</f>
        <v/>
      </c>
      <c r="C1151" s="30">
        <f>(Table2634[[#This Row],[M1 Money Stock, Billions of Dollars, Weekly, Seasonally Adjusted]]-B1150)/B1150</f>
        <v/>
      </c>
      <c r="D1151" s="34">
        <f>((1+Table2634[[#This Row],[Weekly change]])^52)-1</f>
        <v/>
      </c>
      <c r="E1151" s="24">
        <f>AVERAGE(B1148:B1151)</f>
        <v/>
      </c>
      <c r="F1151" s="32">
        <f>(Table2634[[#This Row],[4 weeks average]]-B1099)/B1099</f>
        <v/>
      </c>
    </row>
    <row r="1152">
      <c r="A1152" s="22" t="n">
        <v>35422</v>
      </c>
      <c r="B1152" s="24">
        <f>VLOOKUP(Table2634[[#This Row],[Date]],'DB Money Supply'!$A:$D,4)</f>
        <v/>
      </c>
      <c r="C1152" s="30">
        <f>(Table2634[[#This Row],[M1 Money Stock, Billions of Dollars, Weekly, Seasonally Adjusted]]-B1151)/B1151</f>
        <v/>
      </c>
      <c r="D1152" s="34">
        <f>((1+Table2634[[#This Row],[Weekly change]])^52)-1</f>
        <v/>
      </c>
      <c r="E1152" s="24">
        <f>AVERAGE(B1149:B1152)</f>
        <v/>
      </c>
      <c r="F1152" s="32">
        <f>(Table2634[[#This Row],[4 weeks average]]-B1100)/B1100</f>
        <v/>
      </c>
    </row>
    <row r="1153">
      <c r="A1153" s="22" t="n">
        <v>35429</v>
      </c>
      <c r="B1153" s="24">
        <f>VLOOKUP(Table2634[[#This Row],[Date]],'DB Money Supply'!$A:$D,4)</f>
        <v/>
      </c>
      <c r="C1153" s="30">
        <f>(Table2634[[#This Row],[M1 Money Stock, Billions of Dollars, Weekly, Seasonally Adjusted]]-B1152)/B1152</f>
        <v/>
      </c>
      <c r="D1153" s="34">
        <f>((1+Table2634[[#This Row],[Weekly change]])^52)-1</f>
        <v/>
      </c>
      <c r="E1153" s="24">
        <f>AVERAGE(B1150:B1153)</f>
        <v/>
      </c>
      <c r="F1153" s="32">
        <f>(Table2634[[#This Row],[4 weeks average]]-B1101)/B1101</f>
        <v/>
      </c>
    </row>
    <row r="1154">
      <c r="A1154" s="22" t="n">
        <v>35436</v>
      </c>
      <c r="B1154" s="24">
        <f>VLOOKUP(Table2634[[#This Row],[Date]],'DB Money Supply'!$A:$D,4)</f>
        <v/>
      </c>
      <c r="C1154" s="30">
        <f>(Table2634[[#This Row],[M1 Money Stock, Billions of Dollars, Weekly, Seasonally Adjusted]]-B1153)/B1153</f>
        <v/>
      </c>
      <c r="D1154" s="34">
        <f>((1+Table2634[[#This Row],[Weekly change]])^52)-1</f>
        <v/>
      </c>
      <c r="E1154" s="24">
        <f>AVERAGE(B1151:B1154)</f>
        <v/>
      </c>
      <c r="F1154" s="32">
        <f>(Table2634[[#This Row],[4 weeks average]]-B1102)/B1102</f>
        <v/>
      </c>
    </row>
    <row r="1155">
      <c r="A1155" s="22" t="n">
        <v>35443</v>
      </c>
      <c r="B1155" s="24">
        <f>VLOOKUP(Table2634[[#This Row],[Date]],'DB Money Supply'!$A:$D,4)</f>
        <v/>
      </c>
      <c r="C1155" s="30">
        <f>(Table2634[[#This Row],[M1 Money Stock, Billions of Dollars, Weekly, Seasonally Adjusted]]-B1154)/B1154</f>
        <v/>
      </c>
      <c r="D1155" s="34">
        <f>((1+Table2634[[#This Row],[Weekly change]])^52)-1</f>
        <v/>
      </c>
      <c r="E1155" s="24">
        <f>AVERAGE(B1152:B1155)</f>
        <v/>
      </c>
      <c r="F1155" s="32">
        <f>(Table2634[[#This Row],[4 weeks average]]-B1103)/B1103</f>
        <v/>
      </c>
    </row>
    <row r="1156">
      <c r="A1156" s="22" t="n">
        <v>35450</v>
      </c>
      <c r="B1156" s="24">
        <f>VLOOKUP(Table2634[[#This Row],[Date]],'DB Money Supply'!$A:$D,4)</f>
        <v/>
      </c>
      <c r="C1156" s="30">
        <f>(Table2634[[#This Row],[M1 Money Stock, Billions of Dollars, Weekly, Seasonally Adjusted]]-B1155)/B1155</f>
        <v/>
      </c>
      <c r="D1156" s="34">
        <f>((1+Table2634[[#This Row],[Weekly change]])^52)-1</f>
        <v/>
      </c>
      <c r="E1156" s="24">
        <f>AVERAGE(B1153:B1156)</f>
        <v/>
      </c>
      <c r="F1156" s="32">
        <f>(Table2634[[#This Row],[4 weeks average]]-B1104)/B1104</f>
        <v/>
      </c>
    </row>
    <row r="1157">
      <c r="A1157" s="22" t="n">
        <v>35457</v>
      </c>
      <c r="B1157" s="24">
        <f>VLOOKUP(Table2634[[#This Row],[Date]],'DB Money Supply'!$A:$D,4)</f>
        <v/>
      </c>
      <c r="C1157" s="30">
        <f>(Table2634[[#This Row],[M1 Money Stock, Billions of Dollars, Weekly, Seasonally Adjusted]]-B1156)/B1156</f>
        <v/>
      </c>
      <c r="D1157" s="34">
        <f>((1+Table2634[[#This Row],[Weekly change]])^52)-1</f>
        <v/>
      </c>
      <c r="E1157" s="24">
        <f>AVERAGE(B1154:B1157)</f>
        <v/>
      </c>
      <c r="F1157" s="32">
        <f>(Table2634[[#This Row],[4 weeks average]]-B1105)/B1105</f>
        <v/>
      </c>
    </row>
    <row r="1158">
      <c r="A1158" s="22" t="n">
        <v>35464</v>
      </c>
      <c r="B1158" s="24">
        <f>VLOOKUP(Table2634[[#This Row],[Date]],'DB Money Supply'!$A:$D,4)</f>
        <v/>
      </c>
      <c r="C1158" s="30">
        <f>(Table2634[[#This Row],[M1 Money Stock, Billions of Dollars, Weekly, Seasonally Adjusted]]-B1157)/B1157</f>
        <v/>
      </c>
      <c r="D1158" s="34">
        <f>((1+Table2634[[#This Row],[Weekly change]])^52)-1</f>
        <v/>
      </c>
      <c r="E1158" s="24">
        <f>AVERAGE(B1155:B1158)</f>
        <v/>
      </c>
      <c r="F1158" s="32">
        <f>(Table2634[[#This Row],[4 weeks average]]-B1106)/B1106</f>
        <v/>
      </c>
    </row>
    <row r="1159">
      <c r="A1159" s="22" t="n">
        <v>35471</v>
      </c>
      <c r="B1159" s="24">
        <f>VLOOKUP(Table2634[[#This Row],[Date]],'DB Money Supply'!$A:$D,4)</f>
        <v/>
      </c>
      <c r="C1159" s="30">
        <f>(Table2634[[#This Row],[M1 Money Stock, Billions of Dollars, Weekly, Seasonally Adjusted]]-B1158)/B1158</f>
        <v/>
      </c>
      <c r="D1159" s="34">
        <f>((1+Table2634[[#This Row],[Weekly change]])^52)-1</f>
        <v/>
      </c>
      <c r="E1159" s="24">
        <f>AVERAGE(B1156:B1159)</f>
        <v/>
      </c>
      <c r="F1159" s="32">
        <f>(Table2634[[#This Row],[4 weeks average]]-B1107)/B1107</f>
        <v/>
      </c>
    </row>
    <row r="1160">
      <c r="A1160" s="22" t="n">
        <v>35478</v>
      </c>
      <c r="B1160" s="24">
        <f>VLOOKUP(Table2634[[#This Row],[Date]],'DB Money Supply'!$A:$D,4)</f>
        <v/>
      </c>
      <c r="C1160" s="30">
        <f>(Table2634[[#This Row],[M1 Money Stock, Billions of Dollars, Weekly, Seasonally Adjusted]]-B1159)/B1159</f>
        <v/>
      </c>
      <c r="D1160" s="34">
        <f>((1+Table2634[[#This Row],[Weekly change]])^52)-1</f>
        <v/>
      </c>
      <c r="E1160" s="24">
        <f>AVERAGE(B1157:B1160)</f>
        <v/>
      </c>
      <c r="F1160" s="32">
        <f>(Table2634[[#This Row],[4 weeks average]]-B1108)/B1108</f>
        <v/>
      </c>
    </row>
    <row r="1161">
      <c r="A1161" s="22" t="n">
        <v>35485</v>
      </c>
      <c r="B1161" s="24">
        <f>VLOOKUP(Table2634[[#This Row],[Date]],'DB Money Supply'!$A:$D,4)</f>
        <v/>
      </c>
      <c r="C1161" s="30">
        <f>(Table2634[[#This Row],[M1 Money Stock, Billions of Dollars, Weekly, Seasonally Adjusted]]-B1160)/B1160</f>
        <v/>
      </c>
      <c r="D1161" s="34">
        <f>((1+Table2634[[#This Row],[Weekly change]])^52)-1</f>
        <v/>
      </c>
      <c r="E1161" s="24">
        <f>AVERAGE(B1158:B1161)</f>
        <v/>
      </c>
      <c r="F1161" s="32">
        <f>(Table2634[[#This Row],[4 weeks average]]-B1109)/B1109</f>
        <v/>
      </c>
    </row>
    <row r="1162">
      <c r="A1162" s="22" t="n">
        <v>35492</v>
      </c>
      <c r="B1162" s="24">
        <f>VLOOKUP(Table2634[[#This Row],[Date]],'DB Money Supply'!$A:$D,4)</f>
        <v/>
      </c>
      <c r="C1162" s="30">
        <f>(Table2634[[#This Row],[M1 Money Stock, Billions of Dollars, Weekly, Seasonally Adjusted]]-B1161)/B1161</f>
        <v/>
      </c>
      <c r="D1162" s="34">
        <f>((1+Table2634[[#This Row],[Weekly change]])^52)-1</f>
        <v/>
      </c>
      <c r="E1162" s="24">
        <f>AVERAGE(B1159:B1162)</f>
        <v/>
      </c>
      <c r="F1162" s="32">
        <f>(Table2634[[#This Row],[4 weeks average]]-B1110)/B1110</f>
        <v/>
      </c>
    </row>
    <row r="1163">
      <c r="A1163" s="22" t="n">
        <v>35499</v>
      </c>
      <c r="B1163" s="24">
        <f>VLOOKUP(Table2634[[#This Row],[Date]],'DB Money Supply'!$A:$D,4)</f>
        <v/>
      </c>
      <c r="C1163" s="30">
        <f>(Table2634[[#This Row],[M1 Money Stock, Billions of Dollars, Weekly, Seasonally Adjusted]]-B1162)/B1162</f>
        <v/>
      </c>
      <c r="D1163" s="34">
        <f>((1+Table2634[[#This Row],[Weekly change]])^52)-1</f>
        <v/>
      </c>
      <c r="E1163" s="24">
        <f>AVERAGE(B1160:B1163)</f>
        <v/>
      </c>
      <c r="F1163" s="32">
        <f>(Table2634[[#This Row],[4 weeks average]]-B1111)/B1111</f>
        <v/>
      </c>
    </row>
    <row r="1164">
      <c r="A1164" s="22" t="n">
        <v>35506</v>
      </c>
      <c r="B1164" s="24">
        <f>VLOOKUP(Table2634[[#This Row],[Date]],'DB Money Supply'!$A:$D,4)</f>
        <v/>
      </c>
      <c r="C1164" s="30">
        <f>(Table2634[[#This Row],[M1 Money Stock, Billions of Dollars, Weekly, Seasonally Adjusted]]-B1163)/B1163</f>
        <v/>
      </c>
      <c r="D1164" s="34">
        <f>((1+Table2634[[#This Row],[Weekly change]])^52)-1</f>
        <v/>
      </c>
      <c r="E1164" s="24">
        <f>AVERAGE(B1161:B1164)</f>
        <v/>
      </c>
      <c r="F1164" s="32">
        <f>(Table2634[[#This Row],[4 weeks average]]-B1112)/B1112</f>
        <v/>
      </c>
    </row>
    <row r="1165">
      <c r="A1165" s="22" t="n">
        <v>35513</v>
      </c>
      <c r="B1165" s="24">
        <f>VLOOKUP(Table2634[[#This Row],[Date]],'DB Money Supply'!$A:$D,4)</f>
        <v/>
      </c>
      <c r="C1165" s="30">
        <f>(Table2634[[#This Row],[M1 Money Stock, Billions of Dollars, Weekly, Seasonally Adjusted]]-B1164)/B1164</f>
        <v/>
      </c>
      <c r="D1165" s="34">
        <f>((1+Table2634[[#This Row],[Weekly change]])^52)-1</f>
        <v/>
      </c>
      <c r="E1165" s="24">
        <f>AVERAGE(B1162:B1165)</f>
        <v/>
      </c>
      <c r="F1165" s="32">
        <f>(Table2634[[#This Row],[4 weeks average]]-B1113)/B1113</f>
        <v/>
      </c>
    </row>
    <row r="1166">
      <c r="A1166" s="22" t="n">
        <v>35520</v>
      </c>
      <c r="B1166" s="24">
        <f>VLOOKUP(Table2634[[#This Row],[Date]],'DB Money Supply'!$A:$D,4)</f>
        <v/>
      </c>
      <c r="C1166" s="30">
        <f>(Table2634[[#This Row],[M1 Money Stock, Billions of Dollars, Weekly, Seasonally Adjusted]]-B1165)/B1165</f>
        <v/>
      </c>
      <c r="D1166" s="34">
        <f>((1+Table2634[[#This Row],[Weekly change]])^52)-1</f>
        <v/>
      </c>
      <c r="E1166" s="24">
        <f>AVERAGE(B1163:B1166)</f>
        <v/>
      </c>
      <c r="F1166" s="32">
        <f>(Table2634[[#This Row],[4 weeks average]]-B1114)/B1114</f>
        <v/>
      </c>
    </row>
    <row r="1167">
      <c r="A1167" s="22" t="n">
        <v>35527</v>
      </c>
      <c r="B1167" s="24">
        <f>VLOOKUP(Table2634[[#This Row],[Date]],'DB Money Supply'!$A:$D,4)</f>
        <v/>
      </c>
      <c r="C1167" s="30">
        <f>(Table2634[[#This Row],[M1 Money Stock, Billions of Dollars, Weekly, Seasonally Adjusted]]-B1166)/B1166</f>
        <v/>
      </c>
      <c r="D1167" s="34">
        <f>((1+Table2634[[#This Row],[Weekly change]])^52)-1</f>
        <v/>
      </c>
      <c r="E1167" s="24">
        <f>AVERAGE(B1164:B1167)</f>
        <v/>
      </c>
      <c r="F1167" s="32">
        <f>(Table2634[[#This Row],[4 weeks average]]-B1115)/B1115</f>
        <v/>
      </c>
    </row>
    <row r="1168">
      <c r="A1168" s="22" t="n">
        <v>35534</v>
      </c>
      <c r="B1168" s="24">
        <f>VLOOKUP(Table2634[[#This Row],[Date]],'DB Money Supply'!$A:$D,4)</f>
        <v/>
      </c>
      <c r="C1168" s="30">
        <f>(Table2634[[#This Row],[M1 Money Stock, Billions of Dollars, Weekly, Seasonally Adjusted]]-B1167)/B1167</f>
        <v/>
      </c>
      <c r="D1168" s="34">
        <f>((1+Table2634[[#This Row],[Weekly change]])^52)-1</f>
        <v/>
      </c>
      <c r="E1168" s="24">
        <f>AVERAGE(B1165:B1168)</f>
        <v/>
      </c>
      <c r="F1168" s="32">
        <f>(Table2634[[#This Row],[4 weeks average]]-B1116)/B1116</f>
        <v/>
      </c>
    </row>
    <row r="1169">
      <c r="A1169" s="22" t="n">
        <v>35541</v>
      </c>
      <c r="B1169" s="24">
        <f>VLOOKUP(Table2634[[#This Row],[Date]],'DB Money Supply'!$A:$D,4)</f>
        <v/>
      </c>
      <c r="C1169" s="30">
        <f>(Table2634[[#This Row],[M1 Money Stock, Billions of Dollars, Weekly, Seasonally Adjusted]]-B1168)/B1168</f>
        <v/>
      </c>
      <c r="D1169" s="34">
        <f>((1+Table2634[[#This Row],[Weekly change]])^52)-1</f>
        <v/>
      </c>
      <c r="E1169" s="24">
        <f>AVERAGE(B1166:B1169)</f>
        <v/>
      </c>
      <c r="F1169" s="32">
        <f>(Table2634[[#This Row],[4 weeks average]]-B1117)/B1117</f>
        <v/>
      </c>
    </row>
    <row r="1170">
      <c r="A1170" s="22" t="n">
        <v>35548</v>
      </c>
      <c r="B1170" s="24">
        <f>VLOOKUP(Table2634[[#This Row],[Date]],'DB Money Supply'!$A:$D,4)</f>
        <v/>
      </c>
      <c r="C1170" s="30">
        <f>(Table2634[[#This Row],[M1 Money Stock, Billions of Dollars, Weekly, Seasonally Adjusted]]-B1169)/B1169</f>
        <v/>
      </c>
      <c r="D1170" s="34">
        <f>((1+Table2634[[#This Row],[Weekly change]])^52)-1</f>
        <v/>
      </c>
      <c r="E1170" s="24">
        <f>AVERAGE(B1167:B1170)</f>
        <v/>
      </c>
      <c r="F1170" s="32">
        <f>(Table2634[[#This Row],[4 weeks average]]-B1118)/B1118</f>
        <v/>
      </c>
    </row>
    <row r="1171">
      <c r="A1171" s="22" t="n">
        <v>35555</v>
      </c>
      <c r="B1171" s="24">
        <f>VLOOKUP(Table2634[[#This Row],[Date]],'DB Money Supply'!$A:$D,4)</f>
        <v/>
      </c>
      <c r="C1171" s="30">
        <f>(Table2634[[#This Row],[M1 Money Stock, Billions of Dollars, Weekly, Seasonally Adjusted]]-B1170)/B1170</f>
        <v/>
      </c>
      <c r="D1171" s="34">
        <f>((1+Table2634[[#This Row],[Weekly change]])^52)-1</f>
        <v/>
      </c>
      <c r="E1171" s="24">
        <f>AVERAGE(B1168:B1171)</f>
        <v/>
      </c>
      <c r="F1171" s="32">
        <f>(Table2634[[#This Row],[4 weeks average]]-B1119)/B1119</f>
        <v/>
      </c>
    </row>
    <row r="1172">
      <c r="A1172" s="22" t="n">
        <v>35562</v>
      </c>
      <c r="B1172" s="24">
        <f>VLOOKUP(Table2634[[#This Row],[Date]],'DB Money Supply'!$A:$D,4)</f>
        <v/>
      </c>
      <c r="C1172" s="30">
        <f>(Table2634[[#This Row],[M1 Money Stock, Billions of Dollars, Weekly, Seasonally Adjusted]]-B1171)/B1171</f>
        <v/>
      </c>
      <c r="D1172" s="34">
        <f>((1+Table2634[[#This Row],[Weekly change]])^52)-1</f>
        <v/>
      </c>
      <c r="E1172" s="24">
        <f>AVERAGE(B1169:B1172)</f>
        <v/>
      </c>
      <c r="F1172" s="32">
        <f>(Table2634[[#This Row],[4 weeks average]]-B1120)/B1120</f>
        <v/>
      </c>
    </row>
    <row r="1173">
      <c r="A1173" s="22" t="n">
        <v>35569</v>
      </c>
      <c r="B1173" s="24">
        <f>VLOOKUP(Table2634[[#This Row],[Date]],'DB Money Supply'!$A:$D,4)</f>
        <v/>
      </c>
      <c r="C1173" s="30">
        <f>(Table2634[[#This Row],[M1 Money Stock, Billions of Dollars, Weekly, Seasonally Adjusted]]-B1172)/B1172</f>
        <v/>
      </c>
      <c r="D1173" s="34">
        <f>((1+Table2634[[#This Row],[Weekly change]])^52)-1</f>
        <v/>
      </c>
      <c r="E1173" s="24">
        <f>AVERAGE(B1170:B1173)</f>
        <v/>
      </c>
      <c r="F1173" s="32">
        <f>(Table2634[[#This Row],[4 weeks average]]-B1121)/B1121</f>
        <v/>
      </c>
    </row>
    <row r="1174">
      <c r="A1174" s="22" t="n">
        <v>35576</v>
      </c>
      <c r="B1174" s="24">
        <f>VLOOKUP(Table2634[[#This Row],[Date]],'DB Money Supply'!$A:$D,4)</f>
        <v/>
      </c>
      <c r="C1174" s="30">
        <f>(Table2634[[#This Row],[M1 Money Stock, Billions of Dollars, Weekly, Seasonally Adjusted]]-B1173)/B1173</f>
        <v/>
      </c>
      <c r="D1174" s="34">
        <f>((1+Table2634[[#This Row],[Weekly change]])^52)-1</f>
        <v/>
      </c>
      <c r="E1174" s="24">
        <f>AVERAGE(B1171:B1174)</f>
        <v/>
      </c>
      <c r="F1174" s="32">
        <f>(Table2634[[#This Row],[4 weeks average]]-B1122)/B1122</f>
        <v/>
      </c>
    </row>
    <row r="1175">
      <c r="A1175" s="22" t="n">
        <v>35583</v>
      </c>
      <c r="B1175" s="24">
        <f>VLOOKUP(Table2634[[#This Row],[Date]],'DB Money Supply'!$A:$D,4)</f>
        <v/>
      </c>
      <c r="C1175" s="30">
        <f>(Table2634[[#This Row],[M1 Money Stock, Billions of Dollars, Weekly, Seasonally Adjusted]]-B1174)/B1174</f>
        <v/>
      </c>
      <c r="D1175" s="34">
        <f>((1+Table2634[[#This Row],[Weekly change]])^52)-1</f>
        <v/>
      </c>
      <c r="E1175" s="24">
        <f>AVERAGE(B1172:B1175)</f>
        <v/>
      </c>
      <c r="F1175" s="32">
        <f>(Table2634[[#This Row],[4 weeks average]]-B1123)/B1123</f>
        <v/>
      </c>
    </row>
    <row r="1176">
      <c r="A1176" s="22" t="n">
        <v>35590</v>
      </c>
      <c r="B1176" s="24">
        <f>VLOOKUP(Table2634[[#This Row],[Date]],'DB Money Supply'!$A:$D,4)</f>
        <v/>
      </c>
      <c r="C1176" s="30">
        <f>(Table2634[[#This Row],[M1 Money Stock, Billions of Dollars, Weekly, Seasonally Adjusted]]-B1175)/B1175</f>
        <v/>
      </c>
      <c r="D1176" s="34">
        <f>((1+Table2634[[#This Row],[Weekly change]])^52)-1</f>
        <v/>
      </c>
      <c r="E1176" s="24">
        <f>AVERAGE(B1173:B1176)</f>
        <v/>
      </c>
      <c r="F1176" s="32">
        <f>(Table2634[[#This Row],[4 weeks average]]-B1124)/B1124</f>
        <v/>
      </c>
    </row>
    <row r="1177">
      <c r="A1177" s="22" t="n">
        <v>35597</v>
      </c>
      <c r="B1177" s="24">
        <f>VLOOKUP(Table2634[[#This Row],[Date]],'DB Money Supply'!$A:$D,4)</f>
        <v/>
      </c>
      <c r="C1177" s="30">
        <f>(Table2634[[#This Row],[M1 Money Stock, Billions of Dollars, Weekly, Seasonally Adjusted]]-B1176)/B1176</f>
        <v/>
      </c>
      <c r="D1177" s="34">
        <f>((1+Table2634[[#This Row],[Weekly change]])^52)-1</f>
        <v/>
      </c>
      <c r="E1177" s="24">
        <f>AVERAGE(B1174:B1177)</f>
        <v/>
      </c>
      <c r="F1177" s="32">
        <f>(Table2634[[#This Row],[4 weeks average]]-B1125)/B1125</f>
        <v/>
      </c>
    </row>
    <row r="1178">
      <c r="A1178" s="22" t="n">
        <v>35604</v>
      </c>
      <c r="B1178" s="24">
        <f>VLOOKUP(Table2634[[#This Row],[Date]],'DB Money Supply'!$A:$D,4)</f>
        <v/>
      </c>
      <c r="C1178" s="30">
        <f>(Table2634[[#This Row],[M1 Money Stock, Billions of Dollars, Weekly, Seasonally Adjusted]]-B1177)/B1177</f>
        <v/>
      </c>
      <c r="D1178" s="34">
        <f>((1+Table2634[[#This Row],[Weekly change]])^52)-1</f>
        <v/>
      </c>
      <c r="E1178" s="24">
        <f>AVERAGE(B1175:B1178)</f>
        <v/>
      </c>
      <c r="F1178" s="32">
        <f>(Table2634[[#This Row],[4 weeks average]]-B1126)/B1126</f>
        <v/>
      </c>
    </row>
    <row r="1179">
      <c r="A1179" s="22" t="n">
        <v>35611</v>
      </c>
      <c r="B1179" s="24">
        <f>VLOOKUP(Table2634[[#This Row],[Date]],'DB Money Supply'!$A:$D,4)</f>
        <v/>
      </c>
      <c r="C1179" s="30">
        <f>(Table2634[[#This Row],[M1 Money Stock, Billions of Dollars, Weekly, Seasonally Adjusted]]-B1178)/B1178</f>
        <v/>
      </c>
      <c r="D1179" s="34">
        <f>((1+Table2634[[#This Row],[Weekly change]])^52)-1</f>
        <v/>
      </c>
      <c r="E1179" s="24">
        <f>AVERAGE(B1176:B1179)</f>
        <v/>
      </c>
      <c r="F1179" s="32">
        <f>(Table2634[[#This Row],[4 weeks average]]-B1127)/B1127</f>
        <v/>
      </c>
    </row>
    <row r="1180">
      <c r="A1180" s="22" t="n">
        <v>35618</v>
      </c>
      <c r="B1180" s="24">
        <f>VLOOKUP(Table2634[[#This Row],[Date]],'DB Money Supply'!$A:$D,4)</f>
        <v/>
      </c>
      <c r="C1180" s="30">
        <f>(Table2634[[#This Row],[M1 Money Stock, Billions of Dollars, Weekly, Seasonally Adjusted]]-B1179)/B1179</f>
        <v/>
      </c>
      <c r="D1180" s="34">
        <f>((1+Table2634[[#This Row],[Weekly change]])^52)-1</f>
        <v/>
      </c>
      <c r="E1180" s="24">
        <f>AVERAGE(B1177:B1180)</f>
        <v/>
      </c>
      <c r="F1180" s="32">
        <f>(Table2634[[#This Row],[4 weeks average]]-B1128)/B1128</f>
        <v/>
      </c>
    </row>
    <row r="1181">
      <c r="A1181" s="22" t="n">
        <v>35625</v>
      </c>
      <c r="B1181" s="24">
        <f>VLOOKUP(Table2634[[#This Row],[Date]],'DB Money Supply'!$A:$D,4)</f>
        <v/>
      </c>
      <c r="C1181" s="30">
        <f>(Table2634[[#This Row],[M1 Money Stock, Billions of Dollars, Weekly, Seasonally Adjusted]]-B1180)/B1180</f>
        <v/>
      </c>
      <c r="D1181" s="34">
        <f>((1+Table2634[[#This Row],[Weekly change]])^52)-1</f>
        <v/>
      </c>
      <c r="E1181" s="24">
        <f>AVERAGE(B1178:B1181)</f>
        <v/>
      </c>
      <c r="F1181" s="32">
        <f>(Table2634[[#This Row],[4 weeks average]]-B1129)/B1129</f>
        <v/>
      </c>
    </row>
    <row r="1182">
      <c r="A1182" s="22" t="n">
        <v>35632</v>
      </c>
      <c r="B1182" s="24">
        <f>VLOOKUP(Table2634[[#This Row],[Date]],'DB Money Supply'!$A:$D,4)</f>
        <v/>
      </c>
      <c r="C1182" s="30">
        <f>(Table2634[[#This Row],[M1 Money Stock, Billions of Dollars, Weekly, Seasonally Adjusted]]-B1181)/B1181</f>
        <v/>
      </c>
      <c r="D1182" s="34">
        <f>((1+Table2634[[#This Row],[Weekly change]])^52)-1</f>
        <v/>
      </c>
      <c r="E1182" s="24">
        <f>AVERAGE(B1179:B1182)</f>
        <v/>
      </c>
      <c r="F1182" s="32">
        <f>(Table2634[[#This Row],[4 weeks average]]-B1130)/B1130</f>
        <v/>
      </c>
    </row>
    <row r="1183">
      <c r="A1183" s="22" t="n">
        <v>35639</v>
      </c>
      <c r="B1183" s="24">
        <f>VLOOKUP(Table2634[[#This Row],[Date]],'DB Money Supply'!$A:$D,4)</f>
        <v/>
      </c>
      <c r="C1183" s="30">
        <f>(Table2634[[#This Row],[M1 Money Stock, Billions of Dollars, Weekly, Seasonally Adjusted]]-B1182)/B1182</f>
        <v/>
      </c>
      <c r="D1183" s="34">
        <f>((1+Table2634[[#This Row],[Weekly change]])^52)-1</f>
        <v/>
      </c>
      <c r="E1183" s="24">
        <f>AVERAGE(B1180:B1183)</f>
        <v/>
      </c>
      <c r="F1183" s="32">
        <f>(Table2634[[#This Row],[4 weeks average]]-B1131)/B1131</f>
        <v/>
      </c>
    </row>
    <row r="1184">
      <c r="A1184" s="22" t="n">
        <v>35646</v>
      </c>
      <c r="B1184" s="24">
        <f>VLOOKUP(Table2634[[#This Row],[Date]],'DB Money Supply'!$A:$D,4)</f>
        <v/>
      </c>
      <c r="C1184" s="30">
        <f>(Table2634[[#This Row],[M1 Money Stock, Billions of Dollars, Weekly, Seasonally Adjusted]]-B1183)/B1183</f>
        <v/>
      </c>
      <c r="D1184" s="34">
        <f>((1+Table2634[[#This Row],[Weekly change]])^52)-1</f>
        <v/>
      </c>
      <c r="E1184" s="24">
        <f>AVERAGE(B1181:B1184)</f>
        <v/>
      </c>
      <c r="F1184" s="32">
        <f>(Table2634[[#This Row],[4 weeks average]]-B1132)/B1132</f>
        <v/>
      </c>
    </row>
    <row r="1185">
      <c r="A1185" s="22" t="n">
        <v>35653</v>
      </c>
      <c r="B1185" s="24">
        <f>VLOOKUP(Table2634[[#This Row],[Date]],'DB Money Supply'!$A:$D,4)</f>
        <v/>
      </c>
      <c r="C1185" s="30">
        <f>(Table2634[[#This Row],[M1 Money Stock, Billions of Dollars, Weekly, Seasonally Adjusted]]-B1184)/B1184</f>
        <v/>
      </c>
      <c r="D1185" s="34">
        <f>((1+Table2634[[#This Row],[Weekly change]])^52)-1</f>
        <v/>
      </c>
      <c r="E1185" s="24">
        <f>AVERAGE(B1182:B1185)</f>
        <v/>
      </c>
      <c r="F1185" s="32">
        <f>(Table2634[[#This Row],[4 weeks average]]-B1133)/B1133</f>
        <v/>
      </c>
    </row>
    <row r="1186">
      <c r="A1186" s="22" t="n">
        <v>35660</v>
      </c>
      <c r="B1186" s="24">
        <f>VLOOKUP(Table2634[[#This Row],[Date]],'DB Money Supply'!$A:$D,4)</f>
        <v/>
      </c>
      <c r="C1186" s="30">
        <f>(Table2634[[#This Row],[M1 Money Stock, Billions of Dollars, Weekly, Seasonally Adjusted]]-B1185)/B1185</f>
        <v/>
      </c>
      <c r="D1186" s="34">
        <f>((1+Table2634[[#This Row],[Weekly change]])^52)-1</f>
        <v/>
      </c>
      <c r="E1186" s="24">
        <f>AVERAGE(B1183:B1186)</f>
        <v/>
      </c>
      <c r="F1186" s="32">
        <f>(Table2634[[#This Row],[4 weeks average]]-B1134)/B1134</f>
        <v/>
      </c>
    </row>
    <row r="1187">
      <c r="A1187" s="22" t="n">
        <v>35667</v>
      </c>
      <c r="B1187" s="24">
        <f>VLOOKUP(Table2634[[#This Row],[Date]],'DB Money Supply'!$A:$D,4)</f>
        <v/>
      </c>
      <c r="C1187" s="30">
        <f>(Table2634[[#This Row],[M1 Money Stock, Billions of Dollars, Weekly, Seasonally Adjusted]]-B1186)/B1186</f>
        <v/>
      </c>
      <c r="D1187" s="34">
        <f>((1+Table2634[[#This Row],[Weekly change]])^52)-1</f>
        <v/>
      </c>
      <c r="E1187" s="24">
        <f>AVERAGE(B1184:B1187)</f>
        <v/>
      </c>
      <c r="F1187" s="32">
        <f>(Table2634[[#This Row],[4 weeks average]]-B1135)/B1135</f>
        <v/>
      </c>
    </row>
    <row r="1188">
      <c r="A1188" s="22" t="n">
        <v>35674</v>
      </c>
      <c r="B1188" s="24">
        <f>VLOOKUP(Table2634[[#This Row],[Date]],'DB Money Supply'!$A:$D,4)</f>
        <v/>
      </c>
      <c r="C1188" s="30">
        <f>(Table2634[[#This Row],[M1 Money Stock, Billions of Dollars, Weekly, Seasonally Adjusted]]-B1187)/B1187</f>
        <v/>
      </c>
      <c r="D1188" s="34">
        <f>((1+Table2634[[#This Row],[Weekly change]])^52)-1</f>
        <v/>
      </c>
      <c r="E1188" s="24">
        <f>AVERAGE(B1185:B1188)</f>
        <v/>
      </c>
      <c r="F1188" s="32">
        <f>(Table2634[[#This Row],[4 weeks average]]-B1136)/B1136</f>
        <v/>
      </c>
    </row>
    <row r="1189">
      <c r="A1189" s="22" t="n">
        <v>35681</v>
      </c>
      <c r="B1189" s="24">
        <f>VLOOKUP(Table2634[[#This Row],[Date]],'DB Money Supply'!$A:$D,4)</f>
        <v/>
      </c>
      <c r="C1189" s="30">
        <f>(Table2634[[#This Row],[M1 Money Stock, Billions of Dollars, Weekly, Seasonally Adjusted]]-B1188)/B1188</f>
        <v/>
      </c>
      <c r="D1189" s="34">
        <f>((1+Table2634[[#This Row],[Weekly change]])^52)-1</f>
        <v/>
      </c>
      <c r="E1189" s="24">
        <f>AVERAGE(B1186:B1189)</f>
        <v/>
      </c>
      <c r="F1189" s="32">
        <f>(Table2634[[#This Row],[4 weeks average]]-B1137)/B1137</f>
        <v/>
      </c>
    </row>
    <row r="1190">
      <c r="A1190" s="22" t="n">
        <v>35688</v>
      </c>
      <c r="B1190" s="24">
        <f>VLOOKUP(Table2634[[#This Row],[Date]],'DB Money Supply'!$A:$D,4)</f>
        <v/>
      </c>
      <c r="C1190" s="30">
        <f>(Table2634[[#This Row],[M1 Money Stock, Billions of Dollars, Weekly, Seasonally Adjusted]]-B1189)/B1189</f>
        <v/>
      </c>
      <c r="D1190" s="34">
        <f>((1+Table2634[[#This Row],[Weekly change]])^52)-1</f>
        <v/>
      </c>
      <c r="E1190" s="24">
        <f>AVERAGE(B1187:B1190)</f>
        <v/>
      </c>
      <c r="F1190" s="32">
        <f>(Table2634[[#This Row],[4 weeks average]]-B1138)/B1138</f>
        <v/>
      </c>
    </row>
    <row r="1191">
      <c r="A1191" s="22" t="n">
        <v>35695</v>
      </c>
      <c r="B1191" s="24">
        <f>VLOOKUP(Table2634[[#This Row],[Date]],'DB Money Supply'!$A:$D,4)</f>
        <v/>
      </c>
      <c r="C1191" s="30">
        <f>(Table2634[[#This Row],[M1 Money Stock, Billions of Dollars, Weekly, Seasonally Adjusted]]-B1190)/B1190</f>
        <v/>
      </c>
      <c r="D1191" s="34">
        <f>((1+Table2634[[#This Row],[Weekly change]])^52)-1</f>
        <v/>
      </c>
      <c r="E1191" s="24">
        <f>AVERAGE(B1188:B1191)</f>
        <v/>
      </c>
      <c r="F1191" s="32">
        <f>(Table2634[[#This Row],[4 weeks average]]-B1139)/B1139</f>
        <v/>
      </c>
    </row>
    <row r="1192">
      <c r="A1192" s="22" t="n">
        <v>35702</v>
      </c>
      <c r="B1192" s="24">
        <f>VLOOKUP(Table2634[[#This Row],[Date]],'DB Money Supply'!$A:$D,4)</f>
        <v/>
      </c>
      <c r="C1192" s="30">
        <f>(Table2634[[#This Row],[M1 Money Stock, Billions of Dollars, Weekly, Seasonally Adjusted]]-B1191)/B1191</f>
        <v/>
      </c>
      <c r="D1192" s="34">
        <f>((1+Table2634[[#This Row],[Weekly change]])^52)-1</f>
        <v/>
      </c>
      <c r="E1192" s="24">
        <f>AVERAGE(B1189:B1192)</f>
        <v/>
      </c>
      <c r="F1192" s="32">
        <f>(Table2634[[#This Row],[4 weeks average]]-B1140)/B1140</f>
        <v/>
      </c>
    </row>
    <row r="1193">
      <c r="A1193" s="22" t="n">
        <v>35709</v>
      </c>
      <c r="B1193" s="24">
        <f>VLOOKUP(Table2634[[#This Row],[Date]],'DB Money Supply'!$A:$D,4)</f>
        <v/>
      </c>
      <c r="C1193" s="30">
        <f>(Table2634[[#This Row],[M1 Money Stock, Billions of Dollars, Weekly, Seasonally Adjusted]]-B1192)/B1192</f>
        <v/>
      </c>
      <c r="D1193" s="34">
        <f>((1+Table2634[[#This Row],[Weekly change]])^52)-1</f>
        <v/>
      </c>
      <c r="E1193" s="24">
        <f>AVERAGE(B1190:B1193)</f>
        <v/>
      </c>
      <c r="F1193" s="32">
        <f>(Table2634[[#This Row],[4 weeks average]]-B1141)/B1141</f>
        <v/>
      </c>
    </row>
    <row r="1194">
      <c r="A1194" s="22" t="n">
        <v>35716</v>
      </c>
      <c r="B1194" s="24">
        <f>VLOOKUP(Table2634[[#This Row],[Date]],'DB Money Supply'!$A:$D,4)</f>
        <v/>
      </c>
      <c r="C1194" s="30">
        <f>(Table2634[[#This Row],[M1 Money Stock, Billions of Dollars, Weekly, Seasonally Adjusted]]-B1193)/B1193</f>
        <v/>
      </c>
      <c r="D1194" s="34">
        <f>((1+Table2634[[#This Row],[Weekly change]])^52)-1</f>
        <v/>
      </c>
      <c r="E1194" s="24">
        <f>AVERAGE(B1191:B1194)</f>
        <v/>
      </c>
      <c r="F1194" s="32">
        <f>(Table2634[[#This Row],[4 weeks average]]-B1142)/B1142</f>
        <v/>
      </c>
    </row>
    <row r="1195">
      <c r="A1195" s="22" t="n">
        <v>35723</v>
      </c>
      <c r="B1195" s="24">
        <f>VLOOKUP(Table2634[[#This Row],[Date]],'DB Money Supply'!$A:$D,4)</f>
        <v/>
      </c>
      <c r="C1195" s="30">
        <f>(Table2634[[#This Row],[M1 Money Stock, Billions of Dollars, Weekly, Seasonally Adjusted]]-B1194)/B1194</f>
        <v/>
      </c>
      <c r="D1195" s="34">
        <f>((1+Table2634[[#This Row],[Weekly change]])^52)-1</f>
        <v/>
      </c>
      <c r="E1195" s="24">
        <f>AVERAGE(B1192:B1195)</f>
        <v/>
      </c>
      <c r="F1195" s="32">
        <f>(Table2634[[#This Row],[4 weeks average]]-B1143)/B1143</f>
        <v/>
      </c>
    </row>
    <row r="1196">
      <c r="A1196" s="22" t="n">
        <v>35730</v>
      </c>
      <c r="B1196" s="24">
        <f>VLOOKUP(Table2634[[#This Row],[Date]],'DB Money Supply'!$A:$D,4)</f>
        <v/>
      </c>
      <c r="C1196" s="30">
        <f>(Table2634[[#This Row],[M1 Money Stock, Billions of Dollars, Weekly, Seasonally Adjusted]]-B1195)/B1195</f>
        <v/>
      </c>
      <c r="D1196" s="34">
        <f>((1+Table2634[[#This Row],[Weekly change]])^52)-1</f>
        <v/>
      </c>
      <c r="E1196" s="24">
        <f>AVERAGE(B1193:B1196)</f>
        <v/>
      </c>
      <c r="F1196" s="32">
        <f>(Table2634[[#This Row],[4 weeks average]]-B1144)/B1144</f>
        <v/>
      </c>
    </row>
    <row r="1197">
      <c r="A1197" s="22" t="n">
        <v>35737</v>
      </c>
      <c r="B1197" s="24">
        <f>VLOOKUP(Table2634[[#This Row],[Date]],'DB Money Supply'!$A:$D,4)</f>
        <v/>
      </c>
      <c r="C1197" s="30">
        <f>(Table2634[[#This Row],[M1 Money Stock, Billions of Dollars, Weekly, Seasonally Adjusted]]-B1196)/B1196</f>
        <v/>
      </c>
      <c r="D1197" s="34">
        <f>((1+Table2634[[#This Row],[Weekly change]])^52)-1</f>
        <v/>
      </c>
      <c r="E1197" s="24">
        <f>AVERAGE(B1194:B1197)</f>
        <v/>
      </c>
      <c r="F1197" s="32">
        <f>(Table2634[[#This Row],[4 weeks average]]-B1145)/B1145</f>
        <v/>
      </c>
    </row>
    <row r="1198">
      <c r="A1198" s="22" t="n">
        <v>35744</v>
      </c>
      <c r="B1198" s="24">
        <f>VLOOKUP(Table2634[[#This Row],[Date]],'DB Money Supply'!$A:$D,4)</f>
        <v/>
      </c>
      <c r="C1198" s="30">
        <f>(Table2634[[#This Row],[M1 Money Stock, Billions of Dollars, Weekly, Seasonally Adjusted]]-B1197)/B1197</f>
        <v/>
      </c>
      <c r="D1198" s="34">
        <f>((1+Table2634[[#This Row],[Weekly change]])^52)-1</f>
        <v/>
      </c>
      <c r="E1198" s="24">
        <f>AVERAGE(B1195:B1198)</f>
        <v/>
      </c>
      <c r="F1198" s="32">
        <f>(Table2634[[#This Row],[4 weeks average]]-B1146)/B1146</f>
        <v/>
      </c>
    </row>
    <row r="1199">
      <c r="A1199" s="22" t="n">
        <v>35751</v>
      </c>
      <c r="B1199" s="24">
        <f>VLOOKUP(Table2634[[#This Row],[Date]],'DB Money Supply'!$A:$D,4)</f>
        <v/>
      </c>
      <c r="C1199" s="30">
        <f>(Table2634[[#This Row],[M1 Money Stock, Billions of Dollars, Weekly, Seasonally Adjusted]]-B1198)/B1198</f>
        <v/>
      </c>
      <c r="D1199" s="34">
        <f>((1+Table2634[[#This Row],[Weekly change]])^52)-1</f>
        <v/>
      </c>
      <c r="E1199" s="24">
        <f>AVERAGE(B1196:B1199)</f>
        <v/>
      </c>
      <c r="F1199" s="32">
        <f>(Table2634[[#This Row],[4 weeks average]]-B1147)/B1147</f>
        <v/>
      </c>
    </row>
    <row r="1200">
      <c r="A1200" s="22" t="n">
        <v>35758</v>
      </c>
      <c r="B1200" s="24">
        <f>VLOOKUP(Table2634[[#This Row],[Date]],'DB Money Supply'!$A:$D,4)</f>
        <v/>
      </c>
      <c r="C1200" s="30">
        <f>(Table2634[[#This Row],[M1 Money Stock, Billions of Dollars, Weekly, Seasonally Adjusted]]-B1199)/B1199</f>
        <v/>
      </c>
      <c r="D1200" s="34">
        <f>((1+Table2634[[#This Row],[Weekly change]])^52)-1</f>
        <v/>
      </c>
      <c r="E1200" s="24">
        <f>AVERAGE(B1197:B1200)</f>
        <v/>
      </c>
      <c r="F1200" s="32">
        <f>(Table2634[[#This Row],[4 weeks average]]-B1148)/B1148</f>
        <v/>
      </c>
    </row>
    <row r="1201">
      <c r="A1201" s="22" t="n">
        <v>35765</v>
      </c>
      <c r="B1201" s="24">
        <f>VLOOKUP(Table2634[[#This Row],[Date]],'DB Money Supply'!$A:$D,4)</f>
        <v/>
      </c>
      <c r="C1201" s="30">
        <f>(Table2634[[#This Row],[M1 Money Stock, Billions of Dollars, Weekly, Seasonally Adjusted]]-B1200)/B1200</f>
        <v/>
      </c>
      <c r="D1201" s="34">
        <f>((1+Table2634[[#This Row],[Weekly change]])^52)-1</f>
        <v/>
      </c>
      <c r="E1201" s="24">
        <f>AVERAGE(B1198:B1201)</f>
        <v/>
      </c>
      <c r="F1201" s="32">
        <f>(Table2634[[#This Row],[4 weeks average]]-B1149)/B1149</f>
        <v/>
      </c>
    </row>
    <row r="1202">
      <c r="A1202" s="22" t="n">
        <v>35772</v>
      </c>
      <c r="B1202" s="24">
        <f>VLOOKUP(Table2634[[#This Row],[Date]],'DB Money Supply'!$A:$D,4)</f>
        <v/>
      </c>
      <c r="C1202" s="30">
        <f>(Table2634[[#This Row],[M1 Money Stock, Billions of Dollars, Weekly, Seasonally Adjusted]]-B1201)/B1201</f>
        <v/>
      </c>
      <c r="D1202" s="34">
        <f>((1+Table2634[[#This Row],[Weekly change]])^52)-1</f>
        <v/>
      </c>
      <c r="E1202" s="24">
        <f>AVERAGE(B1199:B1202)</f>
        <v/>
      </c>
      <c r="F1202" s="32">
        <f>(Table2634[[#This Row],[4 weeks average]]-B1150)/B1150</f>
        <v/>
      </c>
    </row>
    <row r="1203">
      <c r="A1203" s="22" t="n">
        <v>35779</v>
      </c>
      <c r="B1203" s="24">
        <f>VLOOKUP(Table2634[[#This Row],[Date]],'DB Money Supply'!$A:$D,4)</f>
        <v/>
      </c>
      <c r="C1203" s="30">
        <f>(Table2634[[#This Row],[M1 Money Stock, Billions of Dollars, Weekly, Seasonally Adjusted]]-B1202)/B1202</f>
        <v/>
      </c>
      <c r="D1203" s="34">
        <f>((1+Table2634[[#This Row],[Weekly change]])^52)-1</f>
        <v/>
      </c>
      <c r="E1203" s="24">
        <f>AVERAGE(B1200:B1203)</f>
        <v/>
      </c>
      <c r="F1203" s="32">
        <f>(Table2634[[#This Row],[4 weeks average]]-B1151)/B1151</f>
        <v/>
      </c>
    </row>
    <row r="1204">
      <c r="A1204" s="22" t="n">
        <v>35786</v>
      </c>
      <c r="B1204" s="24">
        <f>VLOOKUP(Table2634[[#This Row],[Date]],'DB Money Supply'!$A:$D,4)</f>
        <v/>
      </c>
      <c r="C1204" s="30">
        <f>(Table2634[[#This Row],[M1 Money Stock, Billions of Dollars, Weekly, Seasonally Adjusted]]-B1203)/B1203</f>
        <v/>
      </c>
      <c r="D1204" s="34">
        <f>((1+Table2634[[#This Row],[Weekly change]])^52)-1</f>
        <v/>
      </c>
      <c r="E1204" s="24">
        <f>AVERAGE(B1201:B1204)</f>
        <v/>
      </c>
      <c r="F1204" s="32">
        <f>(Table2634[[#This Row],[4 weeks average]]-B1152)/B1152</f>
        <v/>
      </c>
    </row>
    <row r="1205">
      <c r="A1205" s="22" t="n">
        <v>35793</v>
      </c>
      <c r="B1205" s="24">
        <f>VLOOKUP(Table2634[[#This Row],[Date]],'DB Money Supply'!$A:$D,4)</f>
        <v/>
      </c>
      <c r="C1205" s="30">
        <f>(Table2634[[#This Row],[M1 Money Stock, Billions of Dollars, Weekly, Seasonally Adjusted]]-B1204)/B1204</f>
        <v/>
      </c>
      <c r="D1205" s="34">
        <f>((1+Table2634[[#This Row],[Weekly change]])^52)-1</f>
        <v/>
      </c>
      <c r="E1205" s="24">
        <f>AVERAGE(B1202:B1205)</f>
        <v/>
      </c>
      <c r="F1205" s="32">
        <f>(Table2634[[#This Row],[4 weeks average]]-B1153)/B1153</f>
        <v/>
      </c>
    </row>
    <row r="1206">
      <c r="A1206" s="22" t="n">
        <v>35800</v>
      </c>
      <c r="B1206" s="24">
        <f>VLOOKUP(Table2634[[#This Row],[Date]],'DB Money Supply'!$A:$D,4)</f>
        <v/>
      </c>
      <c r="C1206" s="30">
        <f>(Table2634[[#This Row],[M1 Money Stock, Billions of Dollars, Weekly, Seasonally Adjusted]]-B1205)/B1205</f>
        <v/>
      </c>
      <c r="D1206" s="34">
        <f>((1+Table2634[[#This Row],[Weekly change]])^52)-1</f>
        <v/>
      </c>
      <c r="E1206" s="24">
        <f>AVERAGE(B1203:B1206)</f>
        <v/>
      </c>
      <c r="F1206" s="32">
        <f>(Table2634[[#This Row],[4 weeks average]]-B1154)/B1154</f>
        <v/>
      </c>
    </row>
    <row r="1207">
      <c r="A1207" s="22" t="n">
        <v>35807</v>
      </c>
      <c r="B1207" s="24">
        <f>VLOOKUP(Table2634[[#This Row],[Date]],'DB Money Supply'!$A:$D,4)</f>
        <v/>
      </c>
      <c r="C1207" s="30">
        <f>(Table2634[[#This Row],[M1 Money Stock, Billions of Dollars, Weekly, Seasonally Adjusted]]-B1206)/B1206</f>
        <v/>
      </c>
      <c r="D1207" s="34">
        <f>((1+Table2634[[#This Row],[Weekly change]])^52)-1</f>
        <v/>
      </c>
      <c r="E1207" s="24">
        <f>AVERAGE(B1204:B1207)</f>
        <v/>
      </c>
      <c r="F1207" s="32">
        <f>(Table2634[[#This Row],[4 weeks average]]-B1155)/B1155</f>
        <v/>
      </c>
    </row>
    <row r="1208">
      <c r="A1208" s="22" t="n">
        <v>35814</v>
      </c>
      <c r="B1208" s="24">
        <f>VLOOKUP(Table2634[[#This Row],[Date]],'DB Money Supply'!$A:$D,4)</f>
        <v/>
      </c>
      <c r="C1208" s="30">
        <f>(Table2634[[#This Row],[M1 Money Stock, Billions of Dollars, Weekly, Seasonally Adjusted]]-B1207)/B1207</f>
        <v/>
      </c>
      <c r="D1208" s="34">
        <f>((1+Table2634[[#This Row],[Weekly change]])^52)-1</f>
        <v/>
      </c>
      <c r="E1208" s="24">
        <f>AVERAGE(B1205:B1208)</f>
        <v/>
      </c>
      <c r="F1208" s="32">
        <f>(Table2634[[#This Row],[4 weeks average]]-B1156)/B1156</f>
        <v/>
      </c>
    </row>
    <row r="1209">
      <c r="A1209" s="22" t="n">
        <v>35821</v>
      </c>
      <c r="B1209" s="24">
        <f>VLOOKUP(Table2634[[#This Row],[Date]],'DB Money Supply'!$A:$D,4)</f>
        <v/>
      </c>
      <c r="C1209" s="30">
        <f>(Table2634[[#This Row],[M1 Money Stock, Billions of Dollars, Weekly, Seasonally Adjusted]]-B1208)/B1208</f>
        <v/>
      </c>
      <c r="D1209" s="34">
        <f>((1+Table2634[[#This Row],[Weekly change]])^52)-1</f>
        <v/>
      </c>
      <c r="E1209" s="24">
        <f>AVERAGE(B1206:B1209)</f>
        <v/>
      </c>
      <c r="F1209" s="32">
        <f>(Table2634[[#This Row],[4 weeks average]]-B1157)/B1157</f>
        <v/>
      </c>
    </row>
    <row r="1210">
      <c r="A1210" s="22" t="n">
        <v>35828</v>
      </c>
      <c r="B1210" s="24">
        <f>VLOOKUP(Table2634[[#This Row],[Date]],'DB Money Supply'!$A:$D,4)</f>
        <v/>
      </c>
      <c r="C1210" s="30">
        <f>(Table2634[[#This Row],[M1 Money Stock, Billions of Dollars, Weekly, Seasonally Adjusted]]-B1209)/B1209</f>
        <v/>
      </c>
      <c r="D1210" s="34">
        <f>((1+Table2634[[#This Row],[Weekly change]])^52)-1</f>
        <v/>
      </c>
      <c r="E1210" s="24">
        <f>AVERAGE(B1207:B1210)</f>
        <v/>
      </c>
      <c r="F1210" s="32">
        <f>(Table2634[[#This Row],[4 weeks average]]-B1158)/B1158</f>
        <v/>
      </c>
    </row>
    <row r="1211">
      <c r="A1211" s="22" t="n">
        <v>35835</v>
      </c>
      <c r="B1211" s="24">
        <f>VLOOKUP(Table2634[[#This Row],[Date]],'DB Money Supply'!$A:$D,4)</f>
        <v/>
      </c>
      <c r="C1211" s="30">
        <f>(Table2634[[#This Row],[M1 Money Stock, Billions of Dollars, Weekly, Seasonally Adjusted]]-B1210)/B1210</f>
        <v/>
      </c>
      <c r="D1211" s="34">
        <f>((1+Table2634[[#This Row],[Weekly change]])^52)-1</f>
        <v/>
      </c>
      <c r="E1211" s="24">
        <f>AVERAGE(B1208:B1211)</f>
        <v/>
      </c>
      <c r="F1211" s="32">
        <f>(Table2634[[#This Row],[4 weeks average]]-B1159)/B1159</f>
        <v/>
      </c>
    </row>
    <row r="1212">
      <c r="A1212" s="22" t="n">
        <v>35842</v>
      </c>
      <c r="B1212" s="24">
        <f>VLOOKUP(Table2634[[#This Row],[Date]],'DB Money Supply'!$A:$D,4)</f>
        <v/>
      </c>
      <c r="C1212" s="30">
        <f>(Table2634[[#This Row],[M1 Money Stock, Billions of Dollars, Weekly, Seasonally Adjusted]]-B1211)/B1211</f>
        <v/>
      </c>
      <c r="D1212" s="34">
        <f>((1+Table2634[[#This Row],[Weekly change]])^52)-1</f>
        <v/>
      </c>
      <c r="E1212" s="24">
        <f>AVERAGE(B1209:B1212)</f>
        <v/>
      </c>
      <c r="F1212" s="32">
        <f>(Table2634[[#This Row],[4 weeks average]]-B1160)/B1160</f>
        <v/>
      </c>
    </row>
    <row r="1213">
      <c r="A1213" s="22" t="n">
        <v>35849</v>
      </c>
      <c r="B1213" s="24">
        <f>VLOOKUP(Table2634[[#This Row],[Date]],'DB Money Supply'!$A:$D,4)</f>
        <v/>
      </c>
      <c r="C1213" s="30">
        <f>(Table2634[[#This Row],[M1 Money Stock, Billions of Dollars, Weekly, Seasonally Adjusted]]-B1212)/B1212</f>
        <v/>
      </c>
      <c r="D1213" s="34">
        <f>((1+Table2634[[#This Row],[Weekly change]])^52)-1</f>
        <v/>
      </c>
      <c r="E1213" s="24">
        <f>AVERAGE(B1210:B1213)</f>
        <v/>
      </c>
      <c r="F1213" s="32">
        <f>(Table2634[[#This Row],[4 weeks average]]-B1161)/B1161</f>
        <v/>
      </c>
    </row>
    <row r="1214">
      <c r="A1214" s="22" t="n">
        <v>35856</v>
      </c>
      <c r="B1214" s="24">
        <f>VLOOKUP(Table2634[[#This Row],[Date]],'DB Money Supply'!$A:$D,4)</f>
        <v/>
      </c>
      <c r="C1214" s="30">
        <f>(Table2634[[#This Row],[M1 Money Stock, Billions of Dollars, Weekly, Seasonally Adjusted]]-B1213)/B1213</f>
        <v/>
      </c>
      <c r="D1214" s="34">
        <f>((1+Table2634[[#This Row],[Weekly change]])^52)-1</f>
        <v/>
      </c>
      <c r="E1214" s="24">
        <f>AVERAGE(B1211:B1214)</f>
        <v/>
      </c>
      <c r="F1214" s="32">
        <f>(Table2634[[#This Row],[4 weeks average]]-B1162)/B1162</f>
        <v/>
      </c>
    </row>
    <row r="1215">
      <c r="A1215" s="22" t="n">
        <v>35863</v>
      </c>
      <c r="B1215" s="24">
        <f>VLOOKUP(Table2634[[#This Row],[Date]],'DB Money Supply'!$A:$D,4)</f>
        <v/>
      </c>
      <c r="C1215" s="30">
        <f>(Table2634[[#This Row],[M1 Money Stock, Billions of Dollars, Weekly, Seasonally Adjusted]]-B1214)/B1214</f>
        <v/>
      </c>
      <c r="D1215" s="34">
        <f>((1+Table2634[[#This Row],[Weekly change]])^52)-1</f>
        <v/>
      </c>
      <c r="E1215" s="24">
        <f>AVERAGE(B1212:B1215)</f>
        <v/>
      </c>
      <c r="F1215" s="32">
        <f>(Table2634[[#This Row],[4 weeks average]]-B1163)/B1163</f>
        <v/>
      </c>
    </row>
    <row r="1216">
      <c r="A1216" s="22" t="n">
        <v>35870</v>
      </c>
      <c r="B1216" s="24">
        <f>VLOOKUP(Table2634[[#This Row],[Date]],'DB Money Supply'!$A:$D,4)</f>
        <v/>
      </c>
      <c r="C1216" s="30">
        <f>(Table2634[[#This Row],[M1 Money Stock, Billions of Dollars, Weekly, Seasonally Adjusted]]-B1215)/B1215</f>
        <v/>
      </c>
      <c r="D1216" s="34">
        <f>((1+Table2634[[#This Row],[Weekly change]])^52)-1</f>
        <v/>
      </c>
      <c r="E1216" s="24">
        <f>AVERAGE(B1213:B1216)</f>
        <v/>
      </c>
      <c r="F1216" s="32">
        <f>(Table2634[[#This Row],[4 weeks average]]-B1164)/B1164</f>
        <v/>
      </c>
    </row>
    <row r="1217">
      <c r="A1217" s="22" t="n">
        <v>35877</v>
      </c>
      <c r="B1217" s="24">
        <f>VLOOKUP(Table2634[[#This Row],[Date]],'DB Money Supply'!$A:$D,4)</f>
        <v/>
      </c>
      <c r="C1217" s="30">
        <f>(Table2634[[#This Row],[M1 Money Stock, Billions of Dollars, Weekly, Seasonally Adjusted]]-B1216)/B1216</f>
        <v/>
      </c>
      <c r="D1217" s="34">
        <f>((1+Table2634[[#This Row],[Weekly change]])^52)-1</f>
        <v/>
      </c>
      <c r="E1217" s="24">
        <f>AVERAGE(B1214:B1217)</f>
        <v/>
      </c>
      <c r="F1217" s="32">
        <f>(Table2634[[#This Row],[4 weeks average]]-B1165)/B1165</f>
        <v/>
      </c>
    </row>
    <row r="1218">
      <c r="A1218" s="22" t="n">
        <v>35884</v>
      </c>
      <c r="B1218" s="24">
        <f>VLOOKUP(Table2634[[#This Row],[Date]],'DB Money Supply'!$A:$D,4)</f>
        <v/>
      </c>
      <c r="C1218" s="30">
        <f>(Table2634[[#This Row],[M1 Money Stock, Billions of Dollars, Weekly, Seasonally Adjusted]]-B1217)/B1217</f>
        <v/>
      </c>
      <c r="D1218" s="34">
        <f>((1+Table2634[[#This Row],[Weekly change]])^52)-1</f>
        <v/>
      </c>
      <c r="E1218" s="24">
        <f>AVERAGE(B1215:B1218)</f>
        <v/>
      </c>
      <c r="F1218" s="32">
        <f>(Table2634[[#This Row],[4 weeks average]]-B1166)/B1166</f>
        <v/>
      </c>
    </row>
    <row r="1219">
      <c r="A1219" s="22" t="n">
        <v>35891</v>
      </c>
      <c r="B1219" s="24">
        <f>VLOOKUP(Table2634[[#This Row],[Date]],'DB Money Supply'!$A:$D,4)</f>
        <v/>
      </c>
      <c r="C1219" s="30">
        <f>(Table2634[[#This Row],[M1 Money Stock, Billions of Dollars, Weekly, Seasonally Adjusted]]-B1218)/B1218</f>
        <v/>
      </c>
      <c r="D1219" s="34">
        <f>((1+Table2634[[#This Row],[Weekly change]])^52)-1</f>
        <v/>
      </c>
      <c r="E1219" s="24">
        <f>AVERAGE(B1216:B1219)</f>
        <v/>
      </c>
      <c r="F1219" s="32">
        <f>(Table2634[[#This Row],[4 weeks average]]-B1167)/B1167</f>
        <v/>
      </c>
    </row>
    <row r="1220">
      <c r="A1220" s="22" t="n">
        <v>35898</v>
      </c>
      <c r="B1220" s="24">
        <f>VLOOKUP(Table2634[[#This Row],[Date]],'DB Money Supply'!$A:$D,4)</f>
        <v/>
      </c>
      <c r="C1220" s="30">
        <f>(Table2634[[#This Row],[M1 Money Stock, Billions of Dollars, Weekly, Seasonally Adjusted]]-B1219)/B1219</f>
        <v/>
      </c>
      <c r="D1220" s="34">
        <f>((1+Table2634[[#This Row],[Weekly change]])^52)-1</f>
        <v/>
      </c>
      <c r="E1220" s="24">
        <f>AVERAGE(B1217:B1220)</f>
        <v/>
      </c>
      <c r="F1220" s="32">
        <f>(Table2634[[#This Row],[4 weeks average]]-B1168)/B1168</f>
        <v/>
      </c>
    </row>
    <row r="1221">
      <c r="A1221" s="22" t="n">
        <v>35905</v>
      </c>
      <c r="B1221" s="24">
        <f>VLOOKUP(Table2634[[#This Row],[Date]],'DB Money Supply'!$A:$D,4)</f>
        <v/>
      </c>
      <c r="C1221" s="30">
        <f>(Table2634[[#This Row],[M1 Money Stock, Billions of Dollars, Weekly, Seasonally Adjusted]]-B1220)/B1220</f>
        <v/>
      </c>
      <c r="D1221" s="34">
        <f>((1+Table2634[[#This Row],[Weekly change]])^52)-1</f>
        <v/>
      </c>
      <c r="E1221" s="24">
        <f>AVERAGE(B1218:B1221)</f>
        <v/>
      </c>
      <c r="F1221" s="32">
        <f>(Table2634[[#This Row],[4 weeks average]]-B1169)/B1169</f>
        <v/>
      </c>
    </row>
    <row r="1222">
      <c r="A1222" s="22" t="n">
        <v>35912</v>
      </c>
      <c r="B1222" s="24">
        <f>VLOOKUP(Table2634[[#This Row],[Date]],'DB Money Supply'!$A:$D,4)</f>
        <v/>
      </c>
      <c r="C1222" s="30">
        <f>(Table2634[[#This Row],[M1 Money Stock, Billions of Dollars, Weekly, Seasonally Adjusted]]-B1221)/B1221</f>
        <v/>
      </c>
      <c r="D1222" s="34">
        <f>((1+Table2634[[#This Row],[Weekly change]])^52)-1</f>
        <v/>
      </c>
      <c r="E1222" s="24">
        <f>AVERAGE(B1219:B1222)</f>
        <v/>
      </c>
      <c r="F1222" s="32">
        <f>(Table2634[[#This Row],[4 weeks average]]-B1170)/B1170</f>
        <v/>
      </c>
    </row>
    <row r="1223">
      <c r="A1223" s="22" t="n">
        <v>35919</v>
      </c>
      <c r="B1223" s="24">
        <f>VLOOKUP(Table2634[[#This Row],[Date]],'DB Money Supply'!$A:$D,4)</f>
        <v/>
      </c>
      <c r="C1223" s="30">
        <f>(Table2634[[#This Row],[M1 Money Stock, Billions of Dollars, Weekly, Seasonally Adjusted]]-B1222)/B1222</f>
        <v/>
      </c>
      <c r="D1223" s="34">
        <f>((1+Table2634[[#This Row],[Weekly change]])^52)-1</f>
        <v/>
      </c>
      <c r="E1223" s="24">
        <f>AVERAGE(B1220:B1223)</f>
        <v/>
      </c>
      <c r="F1223" s="32">
        <f>(Table2634[[#This Row],[4 weeks average]]-B1171)/B1171</f>
        <v/>
      </c>
    </row>
    <row r="1224">
      <c r="A1224" s="22" t="n">
        <v>35926</v>
      </c>
      <c r="B1224" s="24">
        <f>VLOOKUP(Table2634[[#This Row],[Date]],'DB Money Supply'!$A:$D,4)</f>
        <v/>
      </c>
      <c r="C1224" s="30">
        <f>(Table2634[[#This Row],[M1 Money Stock, Billions of Dollars, Weekly, Seasonally Adjusted]]-B1223)/B1223</f>
        <v/>
      </c>
      <c r="D1224" s="34">
        <f>((1+Table2634[[#This Row],[Weekly change]])^52)-1</f>
        <v/>
      </c>
      <c r="E1224" s="24">
        <f>AVERAGE(B1221:B1224)</f>
        <v/>
      </c>
      <c r="F1224" s="32">
        <f>(Table2634[[#This Row],[4 weeks average]]-B1172)/B1172</f>
        <v/>
      </c>
    </row>
    <row r="1225">
      <c r="A1225" s="22" t="n">
        <v>35933</v>
      </c>
      <c r="B1225" s="24">
        <f>VLOOKUP(Table2634[[#This Row],[Date]],'DB Money Supply'!$A:$D,4)</f>
        <v/>
      </c>
      <c r="C1225" s="30">
        <f>(Table2634[[#This Row],[M1 Money Stock, Billions of Dollars, Weekly, Seasonally Adjusted]]-B1224)/B1224</f>
        <v/>
      </c>
      <c r="D1225" s="34">
        <f>((1+Table2634[[#This Row],[Weekly change]])^52)-1</f>
        <v/>
      </c>
      <c r="E1225" s="24">
        <f>AVERAGE(B1222:B1225)</f>
        <v/>
      </c>
      <c r="F1225" s="32">
        <f>(Table2634[[#This Row],[4 weeks average]]-B1173)/B1173</f>
        <v/>
      </c>
    </row>
    <row r="1226">
      <c r="A1226" s="22" t="n">
        <v>35940</v>
      </c>
      <c r="B1226" s="24">
        <f>VLOOKUP(Table2634[[#This Row],[Date]],'DB Money Supply'!$A:$D,4)</f>
        <v/>
      </c>
      <c r="C1226" s="30">
        <f>(Table2634[[#This Row],[M1 Money Stock, Billions of Dollars, Weekly, Seasonally Adjusted]]-B1225)/B1225</f>
        <v/>
      </c>
      <c r="D1226" s="34">
        <f>((1+Table2634[[#This Row],[Weekly change]])^52)-1</f>
        <v/>
      </c>
      <c r="E1226" s="24">
        <f>AVERAGE(B1223:B1226)</f>
        <v/>
      </c>
      <c r="F1226" s="32">
        <f>(Table2634[[#This Row],[4 weeks average]]-B1174)/B1174</f>
        <v/>
      </c>
    </row>
    <row r="1227">
      <c r="A1227" s="22" t="n">
        <v>35947</v>
      </c>
      <c r="B1227" s="24">
        <f>VLOOKUP(Table2634[[#This Row],[Date]],'DB Money Supply'!$A:$D,4)</f>
        <v/>
      </c>
      <c r="C1227" s="30">
        <f>(Table2634[[#This Row],[M1 Money Stock, Billions of Dollars, Weekly, Seasonally Adjusted]]-B1226)/B1226</f>
        <v/>
      </c>
      <c r="D1227" s="34">
        <f>((1+Table2634[[#This Row],[Weekly change]])^52)-1</f>
        <v/>
      </c>
      <c r="E1227" s="24">
        <f>AVERAGE(B1224:B1227)</f>
        <v/>
      </c>
      <c r="F1227" s="32">
        <f>(Table2634[[#This Row],[4 weeks average]]-B1175)/B1175</f>
        <v/>
      </c>
    </row>
    <row r="1228">
      <c r="A1228" s="22" t="n">
        <v>35954</v>
      </c>
      <c r="B1228" s="24">
        <f>VLOOKUP(Table2634[[#This Row],[Date]],'DB Money Supply'!$A:$D,4)</f>
        <v/>
      </c>
      <c r="C1228" s="30">
        <f>(Table2634[[#This Row],[M1 Money Stock, Billions of Dollars, Weekly, Seasonally Adjusted]]-B1227)/B1227</f>
        <v/>
      </c>
      <c r="D1228" s="34">
        <f>((1+Table2634[[#This Row],[Weekly change]])^52)-1</f>
        <v/>
      </c>
      <c r="E1228" s="24">
        <f>AVERAGE(B1225:B1228)</f>
        <v/>
      </c>
      <c r="F1228" s="32">
        <f>(Table2634[[#This Row],[4 weeks average]]-B1176)/B1176</f>
        <v/>
      </c>
    </row>
    <row r="1229">
      <c r="A1229" s="22" t="n">
        <v>35961</v>
      </c>
      <c r="B1229" s="24">
        <f>VLOOKUP(Table2634[[#This Row],[Date]],'DB Money Supply'!$A:$D,4)</f>
        <v/>
      </c>
      <c r="C1229" s="30">
        <f>(Table2634[[#This Row],[M1 Money Stock, Billions of Dollars, Weekly, Seasonally Adjusted]]-B1228)/B1228</f>
        <v/>
      </c>
      <c r="D1229" s="34">
        <f>((1+Table2634[[#This Row],[Weekly change]])^52)-1</f>
        <v/>
      </c>
      <c r="E1229" s="24">
        <f>AVERAGE(B1226:B1229)</f>
        <v/>
      </c>
      <c r="F1229" s="32">
        <f>(Table2634[[#This Row],[4 weeks average]]-B1177)/B1177</f>
        <v/>
      </c>
    </row>
    <row r="1230">
      <c r="A1230" s="22" t="n">
        <v>35968</v>
      </c>
      <c r="B1230" s="24">
        <f>VLOOKUP(Table2634[[#This Row],[Date]],'DB Money Supply'!$A:$D,4)</f>
        <v/>
      </c>
      <c r="C1230" s="30">
        <f>(Table2634[[#This Row],[M1 Money Stock, Billions of Dollars, Weekly, Seasonally Adjusted]]-B1229)/B1229</f>
        <v/>
      </c>
      <c r="D1230" s="34">
        <f>((1+Table2634[[#This Row],[Weekly change]])^52)-1</f>
        <v/>
      </c>
      <c r="E1230" s="24">
        <f>AVERAGE(B1227:B1230)</f>
        <v/>
      </c>
      <c r="F1230" s="32">
        <f>(Table2634[[#This Row],[4 weeks average]]-B1178)/B1178</f>
        <v/>
      </c>
    </row>
    <row r="1231">
      <c r="A1231" s="22" t="n">
        <v>35975</v>
      </c>
      <c r="B1231" s="24">
        <f>VLOOKUP(Table2634[[#This Row],[Date]],'DB Money Supply'!$A:$D,4)</f>
        <v/>
      </c>
      <c r="C1231" s="30">
        <f>(Table2634[[#This Row],[M1 Money Stock, Billions of Dollars, Weekly, Seasonally Adjusted]]-B1230)/B1230</f>
        <v/>
      </c>
      <c r="D1231" s="34">
        <f>((1+Table2634[[#This Row],[Weekly change]])^52)-1</f>
        <v/>
      </c>
      <c r="E1231" s="24">
        <f>AVERAGE(B1228:B1231)</f>
        <v/>
      </c>
      <c r="F1231" s="32">
        <f>(Table2634[[#This Row],[4 weeks average]]-B1179)/B1179</f>
        <v/>
      </c>
    </row>
    <row r="1232">
      <c r="A1232" s="22" t="n">
        <v>35982</v>
      </c>
      <c r="B1232" s="24">
        <f>VLOOKUP(Table2634[[#This Row],[Date]],'DB Money Supply'!$A:$D,4)</f>
        <v/>
      </c>
      <c r="C1232" s="30">
        <f>(Table2634[[#This Row],[M1 Money Stock, Billions of Dollars, Weekly, Seasonally Adjusted]]-B1231)/B1231</f>
        <v/>
      </c>
      <c r="D1232" s="34">
        <f>((1+Table2634[[#This Row],[Weekly change]])^52)-1</f>
        <v/>
      </c>
      <c r="E1232" s="24">
        <f>AVERAGE(B1229:B1232)</f>
        <v/>
      </c>
      <c r="F1232" s="32">
        <f>(Table2634[[#This Row],[4 weeks average]]-B1180)/B1180</f>
        <v/>
      </c>
    </row>
    <row r="1233">
      <c r="A1233" s="22" t="n">
        <v>35989</v>
      </c>
      <c r="B1233" s="24">
        <f>VLOOKUP(Table2634[[#This Row],[Date]],'DB Money Supply'!$A:$D,4)</f>
        <v/>
      </c>
      <c r="C1233" s="30">
        <f>(Table2634[[#This Row],[M1 Money Stock, Billions of Dollars, Weekly, Seasonally Adjusted]]-B1232)/B1232</f>
        <v/>
      </c>
      <c r="D1233" s="34">
        <f>((1+Table2634[[#This Row],[Weekly change]])^52)-1</f>
        <v/>
      </c>
      <c r="E1233" s="24">
        <f>AVERAGE(B1230:B1233)</f>
        <v/>
      </c>
      <c r="F1233" s="32">
        <f>(Table2634[[#This Row],[4 weeks average]]-B1181)/B1181</f>
        <v/>
      </c>
    </row>
    <row r="1234">
      <c r="A1234" s="22" t="n">
        <v>35996</v>
      </c>
      <c r="B1234" s="24">
        <f>VLOOKUP(Table2634[[#This Row],[Date]],'DB Money Supply'!$A:$D,4)</f>
        <v/>
      </c>
      <c r="C1234" s="30">
        <f>(Table2634[[#This Row],[M1 Money Stock, Billions of Dollars, Weekly, Seasonally Adjusted]]-B1233)/B1233</f>
        <v/>
      </c>
      <c r="D1234" s="34">
        <f>((1+Table2634[[#This Row],[Weekly change]])^52)-1</f>
        <v/>
      </c>
      <c r="E1234" s="24">
        <f>AVERAGE(B1231:B1234)</f>
        <v/>
      </c>
      <c r="F1234" s="32">
        <f>(Table2634[[#This Row],[4 weeks average]]-B1182)/B1182</f>
        <v/>
      </c>
    </row>
    <row r="1235">
      <c r="A1235" s="22" t="n">
        <v>36003</v>
      </c>
      <c r="B1235" s="24">
        <f>VLOOKUP(Table2634[[#This Row],[Date]],'DB Money Supply'!$A:$D,4)</f>
        <v/>
      </c>
      <c r="C1235" s="30">
        <f>(Table2634[[#This Row],[M1 Money Stock, Billions of Dollars, Weekly, Seasonally Adjusted]]-B1234)/B1234</f>
        <v/>
      </c>
      <c r="D1235" s="34">
        <f>((1+Table2634[[#This Row],[Weekly change]])^52)-1</f>
        <v/>
      </c>
      <c r="E1235" s="24">
        <f>AVERAGE(B1232:B1235)</f>
        <v/>
      </c>
      <c r="F1235" s="32">
        <f>(Table2634[[#This Row],[4 weeks average]]-B1183)/B1183</f>
        <v/>
      </c>
    </row>
    <row r="1236">
      <c r="A1236" s="22" t="n">
        <v>36010</v>
      </c>
      <c r="B1236" s="24">
        <f>VLOOKUP(Table2634[[#This Row],[Date]],'DB Money Supply'!$A:$D,4)</f>
        <v/>
      </c>
      <c r="C1236" s="30">
        <f>(Table2634[[#This Row],[M1 Money Stock, Billions of Dollars, Weekly, Seasonally Adjusted]]-B1235)/B1235</f>
        <v/>
      </c>
      <c r="D1236" s="34">
        <f>((1+Table2634[[#This Row],[Weekly change]])^52)-1</f>
        <v/>
      </c>
      <c r="E1236" s="24">
        <f>AVERAGE(B1233:B1236)</f>
        <v/>
      </c>
      <c r="F1236" s="32">
        <f>(Table2634[[#This Row],[4 weeks average]]-B1184)/B1184</f>
        <v/>
      </c>
    </row>
    <row r="1237">
      <c r="A1237" s="22" t="n">
        <v>36017</v>
      </c>
      <c r="B1237" s="24">
        <f>VLOOKUP(Table2634[[#This Row],[Date]],'DB Money Supply'!$A:$D,4)</f>
        <v/>
      </c>
      <c r="C1237" s="30">
        <f>(Table2634[[#This Row],[M1 Money Stock, Billions of Dollars, Weekly, Seasonally Adjusted]]-B1236)/B1236</f>
        <v/>
      </c>
      <c r="D1237" s="34">
        <f>((1+Table2634[[#This Row],[Weekly change]])^52)-1</f>
        <v/>
      </c>
      <c r="E1237" s="24">
        <f>AVERAGE(B1234:B1237)</f>
        <v/>
      </c>
      <c r="F1237" s="32">
        <f>(Table2634[[#This Row],[4 weeks average]]-B1185)/B1185</f>
        <v/>
      </c>
    </row>
    <row r="1238">
      <c r="A1238" s="22" t="n">
        <v>36024</v>
      </c>
      <c r="B1238" s="24">
        <f>VLOOKUP(Table2634[[#This Row],[Date]],'DB Money Supply'!$A:$D,4)</f>
        <v/>
      </c>
      <c r="C1238" s="30">
        <f>(Table2634[[#This Row],[M1 Money Stock, Billions of Dollars, Weekly, Seasonally Adjusted]]-B1237)/B1237</f>
        <v/>
      </c>
      <c r="D1238" s="34">
        <f>((1+Table2634[[#This Row],[Weekly change]])^52)-1</f>
        <v/>
      </c>
      <c r="E1238" s="24">
        <f>AVERAGE(B1235:B1238)</f>
        <v/>
      </c>
      <c r="F1238" s="32">
        <f>(Table2634[[#This Row],[4 weeks average]]-B1186)/B1186</f>
        <v/>
      </c>
    </row>
    <row r="1239">
      <c r="A1239" s="22" t="n">
        <v>36031</v>
      </c>
      <c r="B1239" s="24">
        <f>VLOOKUP(Table2634[[#This Row],[Date]],'DB Money Supply'!$A:$D,4)</f>
        <v/>
      </c>
      <c r="C1239" s="30">
        <f>(Table2634[[#This Row],[M1 Money Stock, Billions of Dollars, Weekly, Seasonally Adjusted]]-B1238)/B1238</f>
        <v/>
      </c>
      <c r="D1239" s="34">
        <f>((1+Table2634[[#This Row],[Weekly change]])^52)-1</f>
        <v/>
      </c>
      <c r="E1239" s="24">
        <f>AVERAGE(B1236:B1239)</f>
        <v/>
      </c>
      <c r="F1239" s="32">
        <f>(Table2634[[#This Row],[4 weeks average]]-B1187)/B1187</f>
        <v/>
      </c>
    </row>
    <row r="1240">
      <c r="A1240" s="22" t="n">
        <v>36038</v>
      </c>
      <c r="B1240" s="24">
        <f>VLOOKUP(Table2634[[#This Row],[Date]],'DB Money Supply'!$A:$D,4)</f>
        <v/>
      </c>
      <c r="C1240" s="30">
        <f>(Table2634[[#This Row],[M1 Money Stock, Billions of Dollars, Weekly, Seasonally Adjusted]]-B1239)/B1239</f>
        <v/>
      </c>
      <c r="D1240" s="34">
        <f>((1+Table2634[[#This Row],[Weekly change]])^52)-1</f>
        <v/>
      </c>
      <c r="E1240" s="24">
        <f>AVERAGE(B1237:B1240)</f>
        <v/>
      </c>
      <c r="F1240" s="32">
        <f>(Table2634[[#This Row],[4 weeks average]]-B1188)/B1188</f>
        <v/>
      </c>
    </row>
    <row r="1241">
      <c r="A1241" s="22" t="n">
        <v>36045</v>
      </c>
      <c r="B1241" s="24">
        <f>VLOOKUP(Table2634[[#This Row],[Date]],'DB Money Supply'!$A:$D,4)</f>
        <v/>
      </c>
      <c r="C1241" s="30">
        <f>(Table2634[[#This Row],[M1 Money Stock, Billions of Dollars, Weekly, Seasonally Adjusted]]-B1240)/B1240</f>
        <v/>
      </c>
      <c r="D1241" s="34">
        <f>((1+Table2634[[#This Row],[Weekly change]])^52)-1</f>
        <v/>
      </c>
      <c r="E1241" s="24">
        <f>AVERAGE(B1238:B1241)</f>
        <v/>
      </c>
      <c r="F1241" s="32">
        <f>(Table2634[[#This Row],[4 weeks average]]-B1189)/B1189</f>
        <v/>
      </c>
    </row>
    <row r="1242">
      <c r="A1242" s="22" t="n">
        <v>36052</v>
      </c>
      <c r="B1242" s="24">
        <f>VLOOKUP(Table2634[[#This Row],[Date]],'DB Money Supply'!$A:$D,4)</f>
        <v/>
      </c>
      <c r="C1242" s="30">
        <f>(Table2634[[#This Row],[M1 Money Stock, Billions of Dollars, Weekly, Seasonally Adjusted]]-B1241)/B1241</f>
        <v/>
      </c>
      <c r="D1242" s="34">
        <f>((1+Table2634[[#This Row],[Weekly change]])^52)-1</f>
        <v/>
      </c>
      <c r="E1242" s="24">
        <f>AVERAGE(B1239:B1242)</f>
        <v/>
      </c>
      <c r="F1242" s="32">
        <f>(Table2634[[#This Row],[4 weeks average]]-B1190)/B1190</f>
        <v/>
      </c>
    </row>
    <row r="1243">
      <c r="A1243" s="22" t="n">
        <v>36059</v>
      </c>
      <c r="B1243" s="24">
        <f>VLOOKUP(Table2634[[#This Row],[Date]],'DB Money Supply'!$A:$D,4)</f>
        <v/>
      </c>
      <c r="C1243" s="30">
        <f>(Table2634[[#This Row],[M1 Money Stock, Billions of Dollars, Weekly, Seasonally Adjusted]]-B1242)/B1242</f>
        <v/>
      </c>
      <c r="D1243" s="34">
        <f>((1+Table2634[[#This Row],[Weekly change]])^52)-1</f>
        <v/>
      </c>
      <c r="E1243" s="24">
        <f>AVERAGE(B1240:B1243)</f>
        <v/>
      </c>
      <c r="F1243" s="32">
        <f>(Table2634[[#This Row],[4 weeks average]]-B1191)/B1191</f>
        <v/>
      </c>
    </row>
    <row r="1244">
      <c r="A1244" s="22" t="n">
        <v>36066</v>
      </c>
      <c r="B1244" s="24">
        <f>VLOOKUP(Table2634[[#This Row],[Date]],'DB Money Supply'!$A:$D,4)</f>
        <v/>
      </c>
      <c r="C1244" s="30">
        <f>(Table2634[[#This Row],[M1 Money Stock, Billions of Dollars, Weekly, Seasonally Adjusted]]-B1243)/B1243</f>
        <v/>
      </c>
      <c r="D1244" s="34">
        <f>((1+Table2634[[#This Row],[Weekly change]])^52)-1</f>
        <v/>
      </c>
      <c r="E1244" s="24">
        <f>AVERAGE(B1241:B1244)</f>
        <v/>
      </c>
      <c r="F1244" s="32">
        <f>(Table2634[[#This Row],[4 weeks average]]-B1192)/B1192</f>
        <v/>
      </c>
    </row>
    <row r="1245">
      <c r="A1245" s="22" t="n">
        <v>36073</v>
      </c>
      <c r="B1245" s="24">
        <f>VLOOKUP(Table2634[[#This Row],[Date]],'DB Money Supply'!$A:$D,4)</f>
        <v/>
      </c>
      <c r="C1245" s="30">
        <f>(Table2634[[#This Row],[M1 Money Stock, Billions of Dollars, Weekly, Seasonally Adjusted]]-B1244)/B1244</f>
        <v/>
      </c>
      <c r="D1245" s="34">
        <f>((1+Table2634[[#This Row],[Weekly change]])^52)-1</f>
        <v/>
      </c>
      <c r="E1245" s="24">
        <f>AVERAGE(B1242:B1245)</f>
        <v/>
      </c>
      <c r="F1245" s="32">
        <f>(Table2634[[#This Row],[4 weeks average]]-B1193)/B1193</f>
        <v/>
      </c>
    </row>
    <row r="1246">
      <c r="A1246" s="22" t="n">
        <v>36080</v>
      </c>
      <c r="B1246" s="24">
        <f>VLOOKUP(Table2634[[#This Row],[Date]],'DB Money Supply'!$A:$D,4)</f>
        <v/>
      </c>
      <c r="C1246" s="30">
        <f>(Table2634[[#This Row],[M1 Money Stock, Billions of Dollars, Weekly, Seasonally Adjusted]]-B1245)/B1245</f>
        <v/>
      </c>
      <c r="D1246" s="34">
        <f>((1+Table2634[[#This Row],[Weekly change]])^52)-1</f>
        <v/>
      </c>
      <c r="E1246" s="24">
        <f>AVERAGE(B1243:B1246)</f>
        <v/>
      </c>
      <c r="F1246" s="32">
        <f>(Table2634[[#This Row],[4 weeks average]]-B1194)/B1194</f>
        <v/>
      </c>
    </row>
    <row r="1247">
      <c r="A1247" s="22" t="n">
        <v>36087</v>
      </c>
      <c r="B1247" s="24">
        <f>VLOOKUP(Table2634[[#This Row],[Date]],'DB Money Supply'!$A:$D,4)</f>
        <v/>
      </c>
      <c r="C1247" s="30">
        <f>(Table2634[[#This Row],[M1 Money Stock, Billions of Dollars, Weekly, Seasonally Adjusted]]-B1246)/B1246</f>
        <v/>
      </c>
      <c r="D1247" s="34">
        <f>((1+Table2634[[#This Row],[Weekly change]])^52)-1</f>
        <v/>
      </c>
      <c r="E1247" s="24">
        <f>AVERAGE(B1244:B1247)</f>
        <v/>
      </c>
      <c r="F1247" s="32">
        <f>(Table2634[[#This Row],[4 weeks average]]-B1195)/B1195</f>
        <v/>
      </c>
    </row>
    <row r="1248">
      <c r="A1248" s="22" t="n">
        <v>36094</v>
      </c>
      <c r="B1248" s="24">
        <f>VLOOKUP(Table2634[[#This Row],[Date]],'DB Money Supply'!$A:$D,4)</f>
        <v/>
      </c>
      <c r="C1248" s="30">
        <f>(Table2634[[#This Row],[M1 Money Stock, Billions of Dollars, Weekly, Seasonally Adjusted]]-B1247)/B1247</f>
        <v/>
      </c>
      <c r="D1248" s="34">
        <f>((1+Table2634[[#This Row],[Weekly change]])^52)-1</f>
        <v/>
      </c>
      <c r="E1248" s="24">
        <f>AVERAGE(B1245:B1248)</f>
        <v/>
      </c>
      <c r="F1248" s="32">
        <f>(Table2634[[#This Row],[4 weeks average]]-B1196)/B1196</f>
        <v/>
      </c>
    </row>
    <row r="1249">
      <c r="A1249" s="22" t="n">
        <v>36101</v>
      </c>
      <c r="B1249" s="24">
        <f>VLOOKUP(Table2634[[#This Row],[Date]],'DB Money Supply'!$A:$D,4)</f>
        <v/>
      </c>
      <c r="C1249" s="30">
        <f>(Table2634[[#This Row],[M1 Money Stock, Billions of Dollars, Weekly, Seasonally Adjusted]]-B1248)/B1248</f>
        <v/>
      </c>
      <c r="D1249" s="34">
        <f>((1+Table2634[[#This Row],[Weekly change]])^52)-1</f>
        <v/>
      </c>
      <c r="E1249" s="24">
        <f>AVERAGE(B1246:B1249)</f>
        <v/>
      </c>
      <c r="F1249" s="32">
        <f>(Table2634[[#This Row],[4 weeks average]]-B1197)/B1197</f>
        <v/>
      </c>
    </row>
    <row r="1250">
      <c r="A1250" s="22" t="n">
        <v>36108</v>
      </c>
      <c r="B1250" s="24">
        <f>VLOOKUP(Table2634[[#This Row],[Date]],'DB Money Supply'!$A:$D,4)</f>
        <v/>
      </c>
      <c r="C1250" s="30">
        <f>(Table2634[[#This Row],[M1 Money Stock, Billions of Dollars, Weekly, Seasonally Adjusted]]-B1249)/B1249</f>
        <v/>
      </c>
      <c r="D1250" s="34">
        <f>((1+Table2634[[#This Row],[Weekly change]])^52)-1</f>
        <v/>
      </c>
      <c r="E1250" s="24">
        <f>AVERAGE(B1247:B1250)</f>
        <v/>
      </c>
      <c r="F1250" s="32">
        <f>(Table2634[[#This Row],[4 weeks average]]-B1198)/B1198</f>
        <v/>
      </c>
    </row>
    <row r="1251">
      <c r="A1251" s="22" t="n">
        <v>36115</v>
      </c>
      <c r="B1251" s="24">
        <f>VLOOKUP(Table2634[[#This Row],[Date]],'DB Money Supply'!$A:$D,4)</f>
        <v/>
      </c>
      <c r="C1251" s="30">
        <f>(Table2634[[#This Row],[M1 Money Stock, Billions of Dollars, Weekly, Seasonally Adjusted]]-B1250)/B1250</f>
        <v/>
      </c>
      <c r="D1251" s="34">
        <f>((1+Table2634[[#This Row],[Weekly change]])^52)-1</f>
        <v/>
      </c>
      <c r="E1251" s="24">
        <f>AVERAGE(B1248:B1251)</f>
        <v/>
      </c>
      <c r="F1251" s="32">
        <f>(Table2634[[#This Row],[4 weeks average]]-B1199)/B1199</f>
        <v/>
      </c>
    </row>
    <row r="1252">
      <c r="A1252" s="22" t="n">
        <v>36122</v>
      </c>
      <c r="B1252" s="24">
        <f>VLOOKUP(Table2634[[#This Row],[Date]],'DB Money Supply'!$A:$D,4)</f>
        <v/>
      </c>
      <c r="C1252" s="30">
        <f>(Table2634[[#This Row],[M1 Money Stock, Billions of Dollars, Weekly, Seasonally Adjusted]]-B1251)/B1251</f>
        <v/>
      </c>
      <c r="D1252" s="34">
        <f>((1+Table2634[[#This Row],[Weekly change]])^52)-1</f>
        <v/>
      </c>
      <c r="E1252" s="24">
        <f>AVERAGE(B1249:B1252)</f>
        <v/>
      </c>
      <c r="F1252" s="32">
        <f>(Table2634[[#This Row],[4 weeks average]]-B1200)/B1200</f>
        <v/>
      </c>
    </row>
    <row r="1253">
      <c r="A1253" s="22" t="n">
        <v>36129</v>
      </c>
      <c r="B1253" s="24">
        <f>VLOOKUP(Table2634[[#This Row],[Date]],'DB Money Supply'!$A:$D,4)</f>
        <v/>
      </c>
      <c r="C1253" s="30">
        <f>(Table2634[[#This Row],[M1 Money Stock, Billions of Dollars, Weekly, Seasonally Adjusted]]-B1252)/B1252</f>
        <v/>
      </c>
      <c r="D1253" s="34">
        <f>((1+Table2634[[#This Row],[Weekly change]])^52)-1</f>
        <v/>
      </c>
      <c r="E1253" s="24">
        <f>AVERAGE(B1250:B1253)</f>
        <v/>
      </c>
      <c r="F1253" s="32">
        <f>(Table2634[[#This Row],[4 weeks average]]-B1201)/B1201</f>
        <v/>
      </c>
    </row>
    <row r="1254">
      <c r="A1254" s="22" t="n">
        <v>36136</v>
      </c>
      <c r="B1254" s="24">
        <f>VLOOKUP(Table2634[[#This Row],[Date]],'DB Money Supply'!$A:$D,4)</f>
        <v/>
      </c>
      <c r="C1254" s="30">
        <f>(Table2634[[#This Row],[M1 Money Stock, Billions of Dollars, Weekly, Seasonally Adjusted]]-B1253)/B1253</f>
        <v/>
      </c>
      <c r="D1254" s="34">
        <f>((1+Table2634[[#This Row],[Weekly change]])^52)-1</f>
        <v/>
      </c>
      <c r="E1254" s="24">
        <f>AVERAGE(B1251:B1254)</f>
        <v/>
      </c>
      <c r="F1254" s="32">
        <f>(Table2634[[#This Row],[4 weeks average]]-B1202)/B1202</f>
        <v/>
      </c>
    </row>
    <row r="1255">
      <c r="A1255" s="22" t="n">
        <v>36143</v>
      </c>
      <c r="B1255" s="24">
        <f>VLOOKUP(Table2634[[#This Row],[Date]],'DB Money Supply'!$A:$D,4)</f>
        <v/>
      </c>
      <c r="C1255" s="30">
        <f>(Table2634[[#This Row],[M1 Money Stock, Billions of Dollars, Weekly, Seasonally Adjusted]]-B1254)/B1254</f>
        <v/>
      </c>
      <c r="D1255" s="34">
        <f>((1+Table2634[[#This Row],[Weekly change]])^52)-1</f>
        <v/>
      </c>
      <c r="E1255" s="24">
        <f>AVERAGE(B1252:B1255)</f>
        <v/>
      </c>
      <c r="F1255" s="32">
        <f>(Table2634[[#This Row],[4 weeks average]]-B1203)/B1203</f>
        <v/>
      </c>
    </row>
    <row r="1256">
      <c r="A1256" s="22" t="n">
        <v>36150</v>
      </c>
      <c r="B1256" s="24">
        <f>VLOOKUP(Table2634[[#This Row],[Date]],'DB Money Supply'!$A:$D,4)</f>
        <v/>
      </c>
      <c r="C1256" s="30">
        <f>(Table2634[[#This Row],[M1 Money Stock, Billions of Dollars, Weekly, Seasonally Adjusted]]-B1255)/B1255</f>
        <v/>
      </c>
      <c r="D1256" s="34">
        <f>((1+Table2634[[#This Row],[Weekly change]])^52)-1</f>
        <v/>
      </c>
      <c r="E1256" s="24">
        <f>AVERAGE(B1253:B1256)</f>
        <v/>
      </c>
      <c r="F1256" s="32">
        <f>(Table2634[[#This Row],[4 weeks average]]-B1204)/B1204</f>
        <v/>
      </c>
    </row>
    <row r="1257">
      <c r="A1257" s="22" t="n">
        <v>36157</v>
      </c>
      <c r="B1257" s="24">
        <f>VLOOKUP(Table2634[[#This Row],[Date]],'DB Money Supply'!$A:$D,4)</f>
        <v/>
      </c>
      <c r="C1257" s="30">
        <f>(Table2634[[#This Row],[M1 Money Stock, Billions of Dollars, Weekly, Seasonally Adjusted]]-B1256)/B1256</f>
        <v/>
      </c>
      <c r="D1257" s="34">
        <f>((1+Table2634[[#This Row],[Weekly change]])^52)-1</f>
        <v/>
      </c>
      <c r="E1257" s="24">
        <f>AVERAGE(B1254:B1257)</f>
        <v/>
      </c>
      <c r="F1257" s="32">
        <f>(Table2634[[#This Row],[4 weeks average]]-B1205)/B1205</f>
        <v/>
      </c>
    </row>
    <row r="1258">
      <c r="A1258" s="22" t="n">
        <v>36164</v>
      </c>
      <c r="B1258" s="24">
        <f>VLOOKUP(Table2634[[#This Row],[Date]],'DB Money Supply'!$A:$D,4)</f>
        <v/>
      </c>
      <c r="C1258" s="30">
        <f>(Table2634[[#This Row],[M1 Money Stock, Billions of Dollars, Weekly, Seasonally Adjusted]]-B1257)/B1257</f>
        <v/>
      </c>
      <c r="D1258" s="34">
        <f>((1+Table2634[[#This Row],[Weekly change]])^52)-1</f>
        <v/>
      </c>
      <c r="E1258" s="24">
        <f>AVERAGE(B1255:B1258)</f>
        <v/>
      </c>
      <c r="F1258" s="32">
        <f>(Table2634[[#This Row],[4 weeks average]]-B1206)/B1206</f>
        <v/>
      </c>
    </row>
    <row r="1259">
      <c r="A1259" s="22" t="n">
        <v>36171</v>
      </c>
      <c r="B1259" s="24">
        <f>VLOOKUP(Table2634[[#This Row],[Date]],'DB Money Supply'!$A:$D,4)</f>
        <v/>
      </c>
      <c r="C1259" s="30">
        <f>(Table2634[[#This Row],[M1 Money Stock, Billions of Dollars, Weekly, Seasonally Adjusted]]-B1258)/B1258</f>
        <v/>
      </c>
      <c r="D1259" s="34">
        <f>((1+Table2634[[#This Row],[Weekly change]])^52)-1</f>
        <v/>
      </c>
      <c r="E1259" s="24">
        <f>AVERAGE(B1256:B1259)</f>
        <v/>
      </c>
      <c r="F1259" s="32">
        <f>(Table2634[[#This Row],[4 weeks average]]-B1207)/B1207</f>
        <v/>
      </c>
    </row>
    <row r="1260">
      <c r="A1260" s="22" t="n">
        <v>36178</v>
      </c>
      <c r="B1260" s="24">
        <f>VLOOKUP(Table2634[[#This Row],[Date]],'DB Money Supply'!$A:$D,4)</f>
        <v/>
      </c>
      <c r="C1260" s="30">
        <f>(Table2634[[#This Row],[M1 Money Stock, Billions of Dollars, Weekly, Seasonally Adjusted]]-B1259)/B1259</f>
        <v/>
      </c>
      <c r="D1260" s="34">
        <f>((1+Table2634[[#This Row],[Weekly change]])^52)-1</f>
        <v/>
      </c>
      <c r="E1260" s="24">
        <f>AVERAGE(B1257:B1260)</f>
        <v/>
      </c>
      <c r="F1260" s="32">
        <f>(Table2634[[#This Row],[4 weeks average]]-B1208)/B1208</f>
        <v/>
      </c>
    </row>
    <row r="1261">
      <c r="A1261" s="22" t="n">
        <v>36185</v>
      </c>
      <c r="B1261" s="24">
        <f>VLOOKUP(Table2634[[#This Row],[Date]],'DB Money Supply'!$A:$D,4)</f>
        <v/>
      </c>
      <c r="C1261" s="30">
        <f>(Table2634[[#This Row],[M1 Money Stock, Billions of Dollars, Weekly, Seasonally Adjusted]]-B1260)/B1260</f>
        <v/>
      </c>
      <c r="D1261" s="34">
        <f>((1+Table2634[[#This Row],[Weekly change]])^52)-1</f>
        <v/>
      </c>
      <c r="E1261" s="24">
        <f>AVERAGE(B1258:B1261)</f>
        <v/>
      </c>
      <c r="F1261" s="32">
        <f>(Table2634[[#This Row],[4 weeks average]]-B1209)/B1209</f>
        <v/>
      </c>
    </row>
    <row r="1262">
      <c r="A1262" s="22" t="n">
        <v>36192</v>
      </c>
      <c r="B1262" s="24">
        <f>VLOOKUP(Table2634[[#This Row],[Date]],'DB Money Supply'!$A:$D,4)</f>
        <v/>
      </c>
      <c r="C1262" s="30">
        <f>(Table2634[[#This Row],[M1 Money Stock, Billions of Dollars, Weekly, Seasonally Adjusted]]-B1261)/B1261</f>
        <v/>
      </c>
      <c r="D1262" s="34">
        <f>((1+Table2634[[#This Row],[Weekly change]])^52)-1</f>
        <v/>
      </c>
      <c r="E1262" s="24">
        <f>AVERAGE(B1259:B1262)</f>
        <v/>
      </c>
      <c r="F1262" s="32">
        <f>(Table2634[[#This Row],[4 weeks average]]-B1210)/B1210</f>
        <v/>
      </c>
    </row>
    <row r="1263">
      <c r="A1263" s="22" t="n">
        <v>36199</v>
      </c>
      <c r="B1263" s="24">
        <f>VLOOKUP(Table2634[[#This Row],[Date]],'DB Money Supply'!$A:$D,4)</f>
        <v/>
      </c>
      <c r="C1263" s="30">
        <f>(Table2634[[#This Row],[M1 Money Stock, Billions of Dollars, Weekly, Seasonally Adjusted]]-B1262)/B1262</f>
        <v/>
      </c>
      <c r="D1263" s="34">
        <f>((1+Table2634[[#This Row],[Weekly change]])^52)-1</f>
        <v/>
      </c>
      <c r="E1263" s="24">
        <f>AVERAGE(B1260:B1263)</f>
        <v/>
      </c>
      <c r="F1263" s="32">
        <f>(Table2634[[#This Row],[4 weeks average]]-B1211)/B1211</f>
        <v/>
      </c>
    </row>
    <row r="1264">
      <c r="A1264" s="22" t="n">
        <v>36206</v>
      </c>
      <c r="B1264" s="24">
        <f>VLOOKUP(Table2634[[#This Row],[Date]],'DB Money Supply'!$A:$D,4)</f>
        <v/>
      </c>
      <c r="C1264" s="30">
        <f>(Table2634[[#This Row],[M1 Money Stock, Billions of Dollars, Weekly, Seasonally Adjusted]]-B1263)/B1263</f>
        <v/>
      </c>
      <c r="D1264" s="34">
        <f>((1+Table2634[[#This Row],[Weekly change]])^52)-1</f>
        <v/>
      </c>
      <c r="E1264" s="24">
        <f>AVERAGE(B1261:B1264)</f>
        <v/>
      </c>
      <c r="F1264" s="32">
        <f>(Table2634[[#This Row],[4 weeks average]]-B1212)/B1212</f>
        <v/>
      </c>
    </row>
    <row r="1265">
      <c r="A1265" s="22" t="n">
        <v>36213</v>
      </c>
      <c r="B1265" s="24">
        <f>VLOOKUP(Table2634[[#This Row],[Date]],'DB Money Supply'!$A:$D,4)</f>
        <v/>
      </c>
      <c r="C1265" s="30">
        <f>(Table2634[[#This Row],[M1 Money Stock, Billions of Dollars, Weekly, Seasonally Adjusted]]-B1264)/B1264</f>
        <v/>
      </c>
      <c r="D1265" s="34">
        <f>((1+Table2634[[#This Row],[Weekly change]])^52)-1</f>
        <v/>
      </c>
      <c r="E1265" s="24">
        <f>AVERAGE(B1262:B1265)</f>
        <v/>
      </c>
      <c r="F1265" s="32">
        <f>(Table2634[[#This Row],[4 weeks average]]-B1213)/B1213</f>
        <v/>
      </c>
    </row>
    <row r="1266">
      <c r="A1266" s="22" t="n">
        <v>36220</v>
      </c>
      <c r="B1266" s="24">
        <f>VLOOKUP(Table2634[[#This Row],[Date]],'DB Money Supply'!$A:$D,4)</f>
        <v/>
      </c>
      <c r="C1266" s="30">
        <f>(Table2634[[#This Row],[M1 Money Stock, Billions of Dollars, Weekly, Seasonally Adjusted]]-B1265)/B1265</f>
        <v/>
      </c>
      <c r="D1266" s="34">
        <f>((1+Table2634[[#This Row],[Weekly change]])^52)-1</f>
        <v/>
      </c>
      <c r="E1266" s="24">
        <f>AVERAGE(B1263:B1266)</f>
        <v/>
      </c>
      <c r="F1266" s="32">
        <f>(Table2634[[#This Row],[4 weeks average]]-B1214)/B1214</f>
        <v/>
      </c>
    </row>
    <row r="1267">
      <c r="A1267" s="22" t="n">
        <v>36227</v>
      </c>
      <c r="B1267" s="24">
        <f>VLOOKUP(Table2634[[#This Row],[Date]],'DB Money Supply'!$A:$D,4)</f>
        <v/>
      </c>
      <c r="C1267" s="30">
        <f>(Table2634[[#This Row],[M1 Money Stock, Billions of Dollars, Weekly, Seasonally Adjusted]]-B1266)/B1266</f>
        <v/>
      </c>
      <c r="D1267" s="34">
        <f>((1+Table2634[[#This Row],[Weekly change]])^52)-1</f>
        <v/>
      </c>
      <c r="E1267" s="24">
        <f>AVERAGE(B1264:B1267)</f>
        <v/>
      </c>
      <c r="F1267" s="32">
        <f>(Table2634[[#This Row],[4 weeks average]]-B1215)/B1215</f>
        <v/>
      </c>
    </row>
    <row r="1268">
      <c r="A1268" s="22" t="n">
        <v>36234</v>
      </c>
      <c r="B1268" s="24">
        <f>VLOOKUP(Table2634[[#This Row],[Date]],'DB Money Supply'!$A:$D,4)</f>
        <v/>
      </c>
      <c r="C1268" s="30">
        <f>(Table2634[[#This Row],[M1 Money Stock, Billions of Dollars, Weekly, Seasonally Adjusted]]-B1267)/B1267</f>
        <v/>
      </c>
      <c r="D1268" s="34">
        <f>((1+Table2634[[#This Row],[Weekly change]])^52)-1</f>
        <v/>
      </c>
      <c r="E1268" s="24">
        <f>AVERAGE(B1265:B1268)</f>
        <v/>
      </c>
      <c r="F1268" s="32">
        <f>(Table2634[[#This Row],[4 weeks average]]-B1216)/B1216</f>
        <v/>
      </c>
    </row>
    <row r="1269">
      <c r="A1269" s="22" t="n">
        <v>36241</v>
      </c>
      <c r="B1269" s="24">
        <f>VLOOKUP(Table2634[[#This Row],[Date]],'DB Money Supply'!$A:$D,4)</f>
        <v/>
      </c>
      <c r="C1269" s="30">
        <f>(Table2634[[#This Row],[M1 Money Stock, Billions of Dollars, Weekly, Seasonally Adjusted]]-B1268)/B1268</f>
        <v/>
      </c>
      <c r="D1269" s="34">
        <f>((1+Table2634[[#This Row],[Weekly change]])^52)-1</f>
        <v/>
      </c>
      <c r="E1269" s="24">
        <f>AVERAGE(B1266:B1269)</f>
        <v/>
      </c>
      <c r="F1269" s="32">
        <f>(Table2634[[#This Row],[4 weeks average]]-B1217)/B1217</f>
        <v/>
      </c>
    </row>
    <row r="1270">
      <c r="A1270" s="22" t="n">
        <v>36248</v>
      </c>
      <c r="B1270" s="24">
        <f>VLOOKUP(Table2634[[#This Row],[Date]],'DB Money Supply'!$A:$D,4)</f>
        <v/>
      </c>
      <c r="C1270" s="30">
        <f>(Table2634[[#This Row],[M1 Money Stock, Billions of Dollars, Weekly, Seasonally Adjusted]]-B1269)/B1269</f>
        <v/>
      </c>
      <c r="D1270" s="34">
        <f>((1+Table2634[[#This Row],[Weekly change]])^52)-1</f>
        <v/>
      </c>
      <c r="E1270" s="24">
        <f>AVERAGE(B1267:B1270)</f>
        <v/>
      </c>
      <c r="F1270" s="32">
        <f>(Table2634[[#This Row],[4 weeks average]]-B1218)/B1218</f>
        <v/>
      </c>
    </row>
    <row r="1271">
      <c r="A1271" s="22" t="n">
        <v>36255</v>
      </c>
      <c r="B1271" s="24">
        <f>VLOOKUP(Table2634[[#This Row],[Date]],'DB Money Supply'!$A:$D,4)</f>
        <v/>
      </c>
      <c r="C1271" s="30">
        <f>(Table2634[[#This Row],[M1 Money Stock, Billions of Dollars, Weekly, Seasonally Adjusted]]-B1270)/B1270</f>
        <v/>
      </c>
      <c r="D1271" s="34">
        <f>((1+Table2634[[#This Row],[Weekly change]])^52)-1</f>
        <v/>
      </c>
      <c r="E1271" s="24">
        <f>AVERAGE(B1268:B1271)</f>
        <v/>
      </c>
      <c r="F1271" s="32">
        <f>(Table2634[[#This Row],[4 weeks average]]-B1219)/B1219</f>
        <v/>
      </c>
    </row>
    <row r="1272">
      <c r="A1272" s="22" t="n">
        <v>36262</v>
      </c>
      <c r="B1272" s="24">
        <f>VLOOKUP(Table2634[[#This Row],[Date]],'DB Money Supply'!$A:$D,4)</f>
        <v/>
      </c>
      <c r="C1272" s="30">
        <f>(Table2634[[#This Row],[M1 Money Stock, Billions of Dollars, Weekly, Seasonally Adjusted]]-B1271)/B1271</f>
        <v/>
      </c>
      <c r="D1272" s="34">
        <f>((1+Table2634[[#This Row],[Weekly change]])^52)-1</f>
        <v/>
      </c>
      <c r="E1272" s="24">
        <f>AVERAGE(B1269:B1272)</f>
        <v/>
      </c>
      <c r="F1272" s="32">
        <f>(Table2634[[#This Row],[4 weeks average]]-B1220)/B1220</f>
        <v/>
      </c>
    </row>
    <row r="1273">
      <c r="A1273" s="22" t="n">
        <v>36269</v>
      </c>
      <c r="B1273" s="24">
        <f>VLOOKUP(Table2634[[#This Row],[Date]],'DB Money Supply'!$A:$D,4)</f>
        <v/>
      </c>
      <c r="C1273" s="30">
        <f>(Table2634[[#This Row],[M1 Money Stock, Billions of Dollars, Weekly, Seasonally Adjusted]]-B1272)/B1272</f>
        <v/>
      </c>
      <c r="D1273" s="34">
        <f>((1+Table2634[[#This Row],[Weekly change]])^52)-1</f>
        <v/>
      </c>
      <c r="E1273" s="24">
        <f>AVERAGE(B1270:B1273)</f>
        <v/>
      </c>
      <c r="F1273" s="32">
        <f>(Table2634[[#This Row],[4 weeks average]]-B1221)/B1221</f>
        <v/>
      </c>
    </row>
    <row r="1274">
      <c r="A1274" s="22" t="n">
        <v>36276</v>
      </c>
      <c r="B1274" s="24">
        <f>VLOOKUP(Table2634[[#This Row],[Date]],'DB Money Supply'!$A:$D,4)</f>
        <v/>
      </c>
      <c r="C1274" s="30">
        <f>(Table2634[[#This Row],[M1 Money Stock, Billions of Dollars, Weekly, Seasonally Adjusted]]-B1273)/B1273</f>
        <v/>
      </c>
      <c r="D1274" s="34">
        <f>((1+Table2634[[#This Row],[Weekly change]])^52)-1</f>
        <v/>
      </c>
      <c r="E1274" s="24">
        <f>AVERAGE(B1271:B1274)</f>
        <v/>
      </c>
      <c r="F1274" s="32">
        <f>(Table2634[[#This Row],[4 weeks average]]-B1222)/B1222</f>
        <v/>
      </c>
    </row>
    <row r="1275">
      <c r="A1275" s="22" t="n">
        <v>36283</v>
      </c>
      <c r="B1275" s="24">
        <f>VLOOKUP(Table2634[[#This Row],[Date]],'DB Money Supply'!$A:$D,4)</f>
        <v/>
      </c>
      <c r="C1275" s="30">
        <f>(Table2634[[#This Row],[M1 Money Stock, Billions of Dollars, Weekly, Seasonally Adjusted]]-B1274)/B1274</f>
        <v/>
      </c>
      <c r="D1275" s="34">
        <f>((1+Table2634[[#This Row],[Weekly change]])^52)-1</f>
        <v/>
      </c>
      <c r="E1275" s="24">
        <f>AVERAGE(B1272:B1275)</f>
        <v/>
      </c>
      <c r="F1275" s="32">
        <f>(Table2634[[#This Row],[4 weeks average]]-B1223)/B1223</f>
        <v/>
      </c>
    </row>
    <row r="1276">
      <c r="A1276" s="22" t="n">
        <v>36290</v>
      </c>
      <c r="B1276" s="24">
        <f>VLOOKUP(Table2634[[#This Row],[Date]],'DB Money Supply'!$A:$D,4)</f>
        <v/>
      </c>
      <c r="C1276" s="30">
        <f>(Table2634[[#This Row],[M1 Money Stock, Billions of Dollars, Weekly, Seasonally Adjusted]]-B1275)/B1275</f>
        <v/>
      </c>
      <c r="D1276" s="34">
        <f>((1+Table2634[[#This Row],[Weekly change]])^52)-1</f>
        <v/>
      </c>
      <c r="E1276" s="24">
        <f>AVERAGE(B1273:B1276)</f>
        <v/>
      </c>
      <c r="F1276" s="32">
        <f>(Table2634[[#This Row],[4 weeks average]]-B1224)/B1224</f>
        <v/>
      </c>
    </row>
    <row r="1277">
      <c r="A1277" s="22" t="n">
        <v>36297</v>
      </c>
      <c r="B1277" s="24">
        <f>VLOOKUP(Table2634[[#This Row],[Date]],'DB Money Supply'!$A:$D,4)</f>
        <v/>
      </c>
      <c r="C1277" s="30">
        <f>(Table2634[[#This Row],[M1 Money Stock, Billions of Dollars, Weekly, Seasonally Adjusted]]-B1276)/B1276</f>
        <v/>
      </c>
      <c r="D1277" s="34">
        <f>((1+Table2634[[#This Row],[Weekly change]])^52)-1</f>
        <v/>
      </c>
      <c r="E1277" s="24">
        <f>AVERAGE(B1274:B1277)</f>
        <v/>
      </c>
      <c r="F1277" s="32">
        <f>(Table2634[[#This Row],[4 weeks average]]-B1225)/B1225</f>
        <v/>
      </c>
    </row>
    <row r="1278">
      <c r="A1278" s="22" t="n">
        <v>36304</v>
      </c>
      <c r="B1278" s="24">
        <f>VLOOKUP(Table2634[[#This Row],[Date]],'DB Money Supply'!$A:$D,4)</f>
        <v/>
      </c>
      <c r="C1278" s="30">
        <f>(Table2634[[#This Row],[M1 Money Stock, Billions of Dollars, Weekly, Seasonally Adjusted]]-B1277)/B1277</f>
        <v/>
      </c>
      <c r="D1278" s="34">
        <f>((1+Table2634[[#This Row],[Weekly change]])^52)-1</f>
        <v/>
      </c>
      <c r="E1278" s="24">
        <f>AVERAGE(B1275:B1278)</f>
        <v/>
      </c>
      <c r="F1278" s="32">
        <f>(Table2634[[#This Row],[4 weeks average]]-B1226)/B1226</f>
        <v/>
      </c>
    </row>
    <row r="1279">
      <c r="A1279" s="22" t="n">
        <v>36311</v>
      </c>
      <c r="B1279" s="24">
        <f>VLOOKUP(Table2634[[#This Row],[Date]],'DB Money Supply'!$A:$D,4)</f>
        <v/>
      </c>
      <c r="C1279" s="30">
        <f>(Table2634[[#This Row],[M1 Money Stock, Billions of Dollars, Weekly, Seasonally Adjusted]]-B1278)/B1278</f>
        <v/>
      </c>
      <c r="D1279" s="34">
        <f>((1+Table2634[[#This Row],[Weekly change]])^52)-1</f>
        <v/>
      </c>
      <c r="E1279" s="24">
        <f>AVERAGE(B1276:B1279)</f>
        <v/>
      </c>
      <c r="F1279" s="32">
        <f>(Table2634[[#This Row],[4 weeks average]]-B1227)/B1227</f>
        <v/>
      </c>
    </row>
    <row r="1280">
      <c r="A1280" s="22" t="n">
        <v>36318</v>
      </c>
      <c r="B1280" s="24">
        <f>VLOOKUP(Table2634[[#This Row],[Date]],'DB Money Supply'!$A:$D,4)</f>
        <v/>
      </c>
      <c r="C1280" s="30">
        <f>(Table2634[[#This Row],[M1 Money Stock, Billions of Dollars, Weekly, Seasonally Adjusted]]-B1279)/B1279</f>
        <v/>
      </c>
      <c r="D1280" s="34">
        <f>((1+Table2634[[#This Row],[Weekly change]])^52)-1</f>
        <v/>
      </c>
      <c r="E1280" s="24">
        <f>AVERAGE(B1277:B1280)</f>
        <v/>
      </c>
      <c r="F1280" s="32">
        <f>(Table2634[[#This Row],[4 weeks average]]-B1228)/B1228</f>
        <v/>
      </c>
    </row>
    <row r="1281">
      <c r="A1281" s="22" t="n">
        <v>36325</v>
      </c>
      <c r="B1281" s="24">
        <f>VLOOKUP(Table2634[[#This Row],[Date]],'DB Money Supply'!$A:$D,4)</f>
        <v/>
      </c>
      <c r="C1281" s="30">
        <f>(Table2634[[#This Row],[M1 Money Stock, Billions of Dollars, Weekly, Seasonally Adjusted]]-B1280)/B1280</f>
        <v/>
      </c>
      <c r="D1281" s="34">
        <f>((1+Table2634[[#This Row],[Weekly change]])^52)-1</f>
        <v/>
      </c>
      <c r="E1281" s="24">
        <f>AVERAGE(B1278:B1281)</f>
        <v/>
      </c>
      <c r="F1281" s="32">
        <f>(Table2634[[#This Row],[4 weeks average]]-B1229)/B1229</f>
        <v/>
      </c>
    </row>
    <row r="1282">
      <c r="A1282" s="22" t="n">
        <v>36332</v>
      </c>
      <c r="B1282" s="24">
        <f>VLOOKUP(Table2634[[#This Row],[Date]],'DB Money Supply'!$A:$D,4)</f>
        <v/>
      </c>
      <c r="C1282" s="30">
        <f>(Table2634[[#This Row],[M1 Money Stock, Billions of Dollars, Weekly, Seasonally Adjusted]]-B1281)/B1281</f>
        <v/>
      </c>
      <c r="D1282" s="34">
        <f>((1+Table2634[[#This Row],[Weekly change]])^52)-1</f>
        <v/>
      </c>
      <c r="E1282" s="24">
        <f>AVERAGE(B1279:B1282)</f>
        <v/>
      </c>
      <c r="F1282" s="32">
        <f>(Table2634[[#This Row],[4 weeks average]]-B1230)/B1230</f>
        <v/>
      </c>
    </row>
    <row r="1283">
      <c r="A1283" s="22" t="n">
        <v>36339</v>
      </c>
      <c r="B1283" s="24">
        <f>VLOOKUP(Table2634[[#This Row],[Date]],'DB Money Supply'!$A:$D,4)</f>
        <v/>
      </c>
      <c r="C1283" s="30">
        <f>(Table2634[[#This Row],[M1 Money Stock, Billions of Dollars, Weekly, Seasonally Adjusted]]-B1282)/B1282</f>
        <v/>
      </c>
      <c r="D1283" s="34">
        <f>((1+Table2634[[#This Row],[Weekly change]])^52)-1</f>
        <v/>
      </c>
      <c r="E1283" s="24">
        <f>AVERAGE(B1280:B1283)</f>
        <v/>
      </c>
      <c r="F1283" s="32">
        <f>(Table2634[[#This Row],[4 weeks average]]-B1231)/B1231</f>
        <v/>
      </c>
    </row>
    <row r="1284">
      <c r="A1284" s="22" t="n">
        <v>36346</v>
      </c>
      <c r="B1284" s="24">
        <f>VLOOKUP(Table2634[[#This Row],[Date]],'DB Money Supply'!$A:$D,4)</f>
        <v/>
      </c>
      <c r="C1284" s="30">
        <f>(Table2634[[#This Row],[M1 Money Stock, Billions of Dollars, Weekly, Seasonally Adjusted]]-B1283)/B1283</f>
        <v/>
      </c>
      <c r="D1284" s="34">
        <f>((1+Table2634[[#This Row],[Weekly change]])^52)-1</f>
        <v/>
      </c>
      <c r="E1284" s="24">
        <f>AVERAGE(B1281:B1284)</f>
        <v/>
      </c>
      <c r="F1284" s="32">
        <f>(Table2634[[#This Row],[4 weeks average]]-B1232)/B1232</f>
        <v/>
      </c>
    </row>
    <row r="1285">
      <c r="A1285" s="22" t="n">
        <v>36353</v>
      </c>
      <c r="B1285" s="24">
        <f>VLOOKUP(Table2634[[#This Row],[Date]],'DB Money Supply'!$A:$D,4)</f>
        <v/>
      </c>
      <c r="C1285" s="30">
        <f>(Table2634[[#This Row],[M1 Money Stock, Billions of Dollars, Weekly, Seasonally Adjusted]]-B1284)/B1284</f>
        <v/>
      </c>
      <c r="D1285" s="34">
        <f>((1+Table2634[[#This Row],[Weekly change]])^52)-1</f>
        <v/>
      </c>
      <c r="E1285" s="24">
        <f>AVERAGE(B1282:B1285)</f>
        <v/>
      </c>
      <c r="F1285" s="32">
        <f>(Table2634[[#This Row],[4 weeks average]]-B1233)/B1233</f>
        <v/>
      </c>
    </row>
    <row r="1286">
      <c r="A1286" s="22" t="n">
        <v>36360</v>
      </c>
      <c r="B1286" s="24">
        <f>VLOOKUP(Table2634[[#This Row],[Date]],'DB Money Supply'!$A:$D,4)</f>
        <v/>
      </c>
      <c r="C1286" s="30">
        <f>(Table2634[[#This Row],[M1 Money Stock, Billions of Dollars, Weekly, Seasonally Adjusted]]-B1285)/B1285</f>
        <v/>
      </c>
      <c r="D1286" s="34">
        <f>((1+Table2634[[#This Row],[Weekly change]])^52)-1</f>
        <v/>
      </c>
      <c r="E1286" s="24">
        <f>AVERAGE(B1283:B1286)</f>
        <v/>
      </c>
      <c r="F1286" s="32">
        <f>(Table2634[[#This Row],[4 weeks average]]-B1234)/B1234</f>
        <v/>
      </c>
    </row>
    <row r="1287">
      <c r="A1287" s="22" t="n">
        <v>36367</v>
      </c>
      <c r="B1287" s="24">
        <f>VLOOKUP(Table2634[[#This Row],[Date]],'DB Money Supply'!$A:$D,4)</f>
        <v/>
      </c>
      <c r="C1287" s="30">
        <f>(Table2634[[#This Row],[M1 Money Stock, Billions of Dollars, Weekly, Seasonally Adjusted]]-B1286)/B1286</f>
        <v/>
      </c>
      <c r="D1287" s="34">
        <f>((1+Table2634[[#This Row],[Weekly change]])^52)-1</f>
        <v/>
      </c>
      <c r="E1287" s="24">
        <f>AVERAGE(B1284:B1287)</f>
        <v/>
      </c>
      <c r="F1287" s="32">
        <f>(Table2634[[#This Row],[4 weeks average]]-B1235)/B1235</f>
        <v/>
      </c>
    </row>
    <row r="1288">
      <c r="A1288" s="22" t="n">
        <v>36374</v>
      </c>
      <c r="B1288" s="24">
        <f>VLOOKUP(Table2634[[#This Row],[Date]],'DB Money Supply'!$A:$D,4)</f>
        <v/>
      </c>
      <c r="C1288" s="30">
        <f>(Table2634[[#This Row],[M1 Money Stock, Billions of Dollars, Weekly, Seasonally Adjusted]]-B1287)/B1287</f>
        <v/>
      </c>
      <c r="D1288" s="34">
        <f>((1+Table2634[[#This Row],[Weekly change]])^52)-1</f>
        <v/>
      </c>
      <c r="E1288" s="24">
        <f>AVERAGE(B1285:B1288)</f>
        <v/>
      </c>
      <c r="F1288" s="32">
        <f>(Table2634[[#This Row],[4 weeks average]]-B1236)/B1236</f>
        <v/>
      </c>
    </row>
    <row r="1289">
      <c r="A1289" s="22" t="n">
        <v>36381</v>
      </c>
      <c r="B1289" s="24">
        <f>VLOOKUP(Table2634[[#This Row],[Date]],'DB Money Supply'!$A:$D,4)</f>
        <v/>
      </c>
      <c r="C1289" s="30">
        <f>(Table2634[[#This Row],[M1 Money Stock, Billions of Dollars, Weekly, Seasonally Adjusted]]-B1288)/B1288</f>
        <v/>
      </c>
      <c r="D1289" s="34">
        <f>((1+Table2634[[#This Row],[Weekly change]])^52)-1</f>
        <v/>
      </c>
      <c r="E1289" s="24">
        <f>AVERAGE(B1286:B1289)</f>
        <v/>
      </c>
      <c r="F1289" s="32">
        <f>(Table2634[[#This Row],[4 weeks average]]-B1237)/B1237</f>
        <v/>
      </c>
    </row>
    <row r="1290">
      <c r="A1290" s="22" t="n">
        <v>36388</v>
      </c>
      <c r="B1290" s="24">
        <f>VLOOKUP(Table2634[[#This Row],[Date]],'DB Money Supply'!$A:$D,4)</f>
        <v/>
      </c>
      <c r="C1290" s="30">
        <f>(Table2634[[#This Row],[M1 Money Stock, Billions of Dollars, Weekly, Seasonally Adjusted]]-B1289)/B1289</f>
        <v/>
      </c>
      <c r="D1290" s="34">
        <f>((1+Table2634[[#This Row],[Weekly change]])^52)-1</f>
        <v/>
      </c>
      <c r="E1290" s="24">
        <f>AVERAGE(B1287:B1290)</f>
        <v/>
      </c>
      <c r="F1290" s="32">
        <f>(Table2634[[#This Row],[4 weeks average]]-B1238)/B1238</f>
        <v/>
      </c>
    </row>
    <row r="1291">
      <c r="A1291" s="22" t="n">
        <v>36395</v>
      </c>
      <c r="B1291" s="24">
        <f>VLOOKUP(Table2634[[#This Row],[Date]],'DB Money Supply'!$A:$D,4)</f>
        <v/>
      </c>
      <c r="C1291" s="30">
        <f>(Table2634[[#This Row],[M1 Money Stock, Billions of Dollars, Weekly, Seasonally Adjusted]]-B1290)/B1290</f>
        <v/>
      </c>
      <c r="D1291" s="34">
        <f>((1+Table2634[[#This Row],[Weekly change]])^52)-1</f>
        <v/>
      </c>
      <c r="E1291" s="24">
        <f>AVERAGE(B1288:B1291)</f>
        <v/>
      </c>
      <c r="F1291" s="32">
        <f>(Table2634[[#This Row],[4 weeks average]]-B1239)/B1239</f>
        <v/>
      </c>
    </row>
    <row r="1292">
      <c r="A1292" s="22" t="n">
        <v>36402</v>
      </c>
      <c r="B1292" s="24">
        <f>VLOOKUP(Table2634[[#This Row],[Date]],'DB Money Supply'!$A:$D,4)</f>
        <v/>
      </c>
      <c r="C1292" s="30">
        <f>(Table2634[[#This Row],[M1 Money Stock, Billions of Dollars, Weekly, Seasonally Adjusted]]-B1291)/B1291</f>
        <v/>
      </c>
      <c r="D1292" s="34">
        <f>((1+Table2634[[#This Row],[Weekly change]])^52)-1</f>
        <v/>
      </c>
      <c r="E1292" s="24">
        <f>AVERAGE(B1289:B1292)</f>
        <v/>
      </c>
      <c r="F1292" s="32">
        <f>(Table2634[[#This Row],[4 weeks average]]-B1240)/B1240</f>
        <v/>
      </c>
    </row>
    <row r="1293">
      <c r="A1293" s="22" t="n">
        <v>36409</v>
      </c>
      <c r="B1293" s="24">
        <f>VLOOKUP(Table2634[[#This Row],[Date]],'DB Money Supply'!$A:$D,4)</f>
        <v/>
      </c>
      <c r="C1293" s="30">
        <f>(Table2634[[#This Row],[M1 Money Stock, Billions of Dollars, Weekly, Seasonally Adjusted]]-B1292)/B1292</f>
        <v/>
      </c>
      <c r="D1293" s="34">
        <f>((1+Table2634[[#This Row],[Weekly change]])^52)-1</f>
        <v/>
      </c>
      <c r="E1293" s="24">
        <f>AVERAGE(B1290:B1293)</f>
        <v/>
      </c>
      <c r="F1293" s="32">
        <f>(Table2634[[#This Row],[4 weeks average]]-B1241)/B1241</f>
        <v/>
      </c>
    </row>
    <row r="1294">
      <c r="A1294" s="22" t="n">
        <v>36416</v>
      </c>
      <c r="B1294" s="24">
        <f>VLOOKUP(Table2634[[#This Row],[Date]],'DB Money Supply'!$A:$D,4)</f>
        <v/>
      </c>
      <c r="C1294" s="30">
        <f>(Table2634[[#This Row],[M1 Money Stock, Billions of Dollars, Weekly, Seasonally Adjusted]]-B1293)/B1293</f>
        <v/>
      </c>
      <c r="D1294" s="34">
        <f>((1+Table2634[[#This Row],[Weekly change]])^52)-1</f>
        <v/>
      </c>
      <c r="E1294" s="24">
        <f>AVERAGE(B1291:B1294)</f>
        <v/>
      </c>
      <c r="F1294" s="32">
        <f>(Table2634[[#This Row],[4 weeks average]]-B1242)/B1242</f>
        <v/>
      </c>
    </row>
    <row r="1295">
      <c r="A1295" s="22" t="n">
        <v>36423</v>
      </c>
      <c r="B1295" s="24">
        <f>VLOOKUP(Table2634[[#This Row],[Date]],'DB Money Supply'!$A:$D,4)</f>
        <v/>
      </c>
      <c r="C1295" s="30">
        <f>(Table2634[[#This Row],[M1 Money Stock, Billions of Dollars, Weekly, Seasonally Adjusted]]-B1294)/B1294</f>
        <v/>
      </c>
      <c r="D1295" s="34">
        <f>((1+Table2634[[#This Row],[Weekly change]])^52)-1</f>
        <v/>
      </c>
      <c r="E1295" s="24">
        <f>AVERAGE(B1292:B1295)</f>
        <v/>
      </c>
      <c r="F1295" s="32">
        <f>(Table2634[[#This Row],[4 weeks average]]-B1243)/B1243</f>
        <v/>
      </c>
    </row>
    <row r="1296">
      <c r="A1296" s="22" t="n">
        <v>36430</v>
      </c>
      <c r="B1296" s="24">
        <f>VLOOKUP(Table2634[[#This Row],[Date]],'DB Money Supply'!$A:$D,4)</f>
        <v/>
      </c>
      <c r="C1296" s="30">
        <f>(Table2634[[#This Row],[M1 Money Stock, Billions of Dollars, Weekly, Seasonally Adjusted]]-B1295)/B1295</f>
        <v/>
      </c>
      <c r="D1296" s="34">
        <f>((1+Table2634[[#This Row],[Weekly change]])^52)-1</f>
        <v/>
      </c>
      <c r="E1296" s="24">
        <f>AVERAGE(B1293:B1296)</f>
        <v/>
      </c>
      <c r="F1296" s="32">
        <f>(Table2634[[#This Row],[4 weeks average]]-B1244)/B1244</f>
        <v/>
      </c>
    </row>
    <row r="1297">
      <c r="A1297" s="22" t="n">
        <v>36437</v>
      </c>
      <c r="B1297" s="24">
        <f>VLOOKUP(Table2634[[#This Row],[Date]],'DB Money Supply'!$A:$D,4)</f>
        <v/>
      </c>
      <c r="C1297" s="30">
        <f>(Table2634[[#This Row],[M1 Money Stock, Billions of Dollars, Weekly, Seasonally Adjusted]]-B1296)/B1296</f>
        <v/>
      </c>
      <c r="D1297" s="34">
        <f>((1+Table2634[[#This Row],[Weekly change]])^52)-1</f>
        <v/>
      </c>
      <c r="E1297" s="24">
        <f>AVERAGE(B1294:B1297)</f>
        <v/>
      </c>
      <c r="F1297" s="32">
        <f>(Table2634[[#This Row],[4 weeks average]]-B1245)/B1245</f>
        <v/>
      </c>
    </row>
    <row r="1298">
      <c r="A1298" s="22" t="n">
        <v>36444</v>
      </c>
      <c r="B1298" s="24">
        <f>VLOOKUP(Table2634[[#This Row],[Date]],'DB Money Supply'!$A:$D,4)</f>
        <v/>
      </c>
      <c r="C1298" s="30">
        <f>(Table2634[[#This Row],[M1 Money Stock, Billions of Dollars, Weekly, Seasonally Adjusted]]-B1297)/B1297</f>
        <v/>
      </c>
      <c r="D1298" s="34">
        <f>((1+Table2634[[#This Row],[Weekly change]])^52)-1</f>
        <v/>
      </c>
      <c r="E1298" s="24">
        <f>AVERAGE(B1295:B1298)</f>
        <v/>
      </c>
      <c r="F1298" s="32">
        <f>(Table2634[[#This Row],[4 weeks average]]-B1246)/B1246</f>
        <v/>
      </c>
    </row>
    <row r="1299">
      <c r="A1299" s="22" t="n">
        <v>36451</v>
      </c>
      <c r="B1299" s="24">
        <f>VLOOKUP(Table2634[[#This Row],[Date]],'DB Money Supply'!$A:$D,4)</f>
        <v/>
      </c>
      <c r="C1299" s="30">
        <f>(Table2634[[#This Row],[M1 Money Stock, Billions of Dollars, Weekly, Seasonally Adjusted]]-B1298)/B1298</f>
        <v/>
      </c>
      <c r="D1299" s="34">
        <f>((1+Table2634[[#This Row],[Weekly change]])^52)-1</f>
        <v/>
      </c>
      <c r="E1299" s="24">
        <f>AVERAGE(B1296:B1299)</f>
        <v/>
      </c>
      <c r="F1299" s="32">
        <f>(Table2634[[#This Row],[4 weeks average]]-B1247)/B1247</f>
        <v/>
      </c>
    </row>
    <row r="1300">
      <c r="A1300" s="22" t="n">
        <v>36458</v>
      </c>
      <c r="B1300" s="24">
        <f>VLOOKUP(Table2634[[#This Row],[Date]],'DB Money Supply'!$A:$D,4)</f>
        <v/>
      </c>
      <c r="C1300" s="30">
        <f>(Table2634[[#This Row],[M1 Money Stock, Billions of Dollars, Weekly, Seasonally Adjusted]]-B1299)/B1299</f>
        <v/>
      </c>
      <c r="D1300" s="34">
        <f>((1+Table2634[[#This Row],[Weekly change]])^52)-1</f>
        <v/>
      </c>
      <c r="E1300" s="24">
        <f>AVERAGE(B1297:B1300)</f>
        <v/>
      </c>
      <c r="F1300" s="32">
        <f>(Table2634[[#This Row],[4 weeks average]]-B1248)/B1248</f>
        <v/>
      </c>
    </row>
    <row r="1301">
      <c r="A1301" s="22" t="n">
        <v>36465</v>
      </c>
      <c r="B1301" s="24">
        <f>VLOOKUP(Table2634[[#This Row],[Date]],'DB Money Supply'!$A:$D,4)</f>
        <v/>
      </c>
      <c r="C1301" s="30">
        <f>(Table2634[[#This Row],[M1 Money Stock, Billions of Dollars, Weekly, Seasonally Adjusted]]-B1300)/B1300</f>
        <v/>
      </c>
      <c r="D1301" s="34">
        <f>((1+Table2634[[#This Row],[Weekly change]])^52)-1</f>
        <v/>
      </c>
      <c r="E1301" s="24">
        <f>AVERAGE(B1298:B1301)</f>
        <v/>
      </c>
      <c r="F1301" s="32">
        <f>(Table2634[[#This Row],[4 weeks average]]-B1249)/B1249</f>
        <v/>
      </c>
    </row>
    <row r="1302">
      <c r="A1302" s="22" t="n">
        <v>36472</v>
      </c>
      <c r="B1302" s="24">
        <f>VLOOKUP(Table2634[[#This Row],[Date]],'DB Money Supply'!$A:$D,4)</f>
        <v/>
      </c>
      <c r="C1302" s="30">
        <f>(Table2634[[#This Row],[M1 Money Stock, Billions of Dollars, Weekly, Seasonally Adjusted]]-B1301)/B1301</f>
        <v/>
      </c>
      <c r="D1302" s="34">
        <f>((1+Table2634[[#This Row],[Weekly change]])^52)-1</f>
        <v/>
      </c>
      <c r="E1302" s="24">
        <f>AVERAGE(B1299:B1302)</f>
        <v/>
      </c>
      <c r="F1302" s="32">
        <f>(Table2634[[#This Row],[4 weeks average]]-B1250)/B1250</f>
        <v/>
      </c>
    </row>
    <row r="1303">
      <c r="A1303" s="22" t="n">
        <v>36479</v>
      </c>
      <c r="B1303" s="24">
        <f>VLOOKUP(Table2634[[#This Row],[Date]],'DB Money Supply'!$A:$D,4)</f>
        <v/>
      </c>
      <c r="C1303" s="30">
        <f>(Table2634[[#This Row],[M1 Money Stock, Billions of Dollars, Weekly, Seasonally Adjusted]]-B1302)/B1302</f>
        <v/>
      </c>
      <c r="D1303" s="34">
        <f>((1+Table2634[[#This Row],[Weekly change]])^52)-1</f>
        <v/>
      </c>
      <c r="E1303" s="24">
        <f>AVERAGE(B1300:B1303)</f>
        <v/>
      </c>
      <c r="F1303" s="32">
        <f>(Table2634[[#This Row],[4 weeks average]]-B1251)/B1251</f>
        <v/>
      </c>
    </row>
    <row r="1304">
      <c r="A1304" s="22" t="n">
        <v>36486</v>
      </c>
      <c r="B1304" s="24">
        <f>VLOOKUP(Table2634[[#This Row],[Date]],'DB Money Supply'!$A:$D,4)</f>
        <v/>
      </c>
      <c r="C1304" s="30">
        <f>(Table2634[[#This Row],[M1 Money Stock, Billions of Dollars, Weekly, Seasonally Adjusted]]-B1303)/B1303</f>
        <v/>
      </c>
      <c r="D1304" s="34">
        <f>((1+Table2634[[#This Row],[Weekly change]])^52)-1</f>
        <v/>
      </c>
      <c r="E1304" s="24">
        <f>AVERAGE(B1301:B1304)</f>
        <v/>
      </c>
      <c r="F1304" s="32">
        <f>(Table2634[[#This Row],[4 weeks average]]-B1252)/B1252</f>
        <v/>
      </c>
    </row>
    <row r="1305">
      <c r="A1305" s="22" t="n">
        <v>36493</v>
      </c>
      <c r="B1305" s="24">
        <f>VLOOKUP(Table2634[[#This Row],[Date]],'DB Money Supply'!$A:$D,4)</f>
        <v/>
      </c>
      <c r="C1305" s="30">
        <f>(Table2634[[#This Row],[M1 Money Stock, Billions of Dollars, Weekly, Seasonally Adjusted]]-B1304)/B1304</f>
        <v/>
      </c>
      <c r="D1305" s="34">
        <f>((1+Table2634[[#This Row],[Weekly change]])^52)-1</f>
        <v/>
      </c>
      <c r="E1305" s="24">
        <f>AVERAGE(B1302:B1305)</f>
        <v/>
      </c>
      <c r="F1305" s="32">
        <f>(Table2634[[#This Row],[4 weeks average]]-B1253)/B1253</f>
        <v/>
      </c>
    </row>
    <row r="1306">
      <c r="A1306" s="22" t="n">
        <v>36500</v>
      </c>
      <c r="B1306" s="24">
        <f>VLOOKUP(Table2634[[#This Row],[Date]],'DB Money Supply'!$A:$D,4)</f>
        <v/>
      </c>
      <c r="C1306" s="30">
        <f>(Table2634[[#This Row],[M1 Money Stock, Billions of Dollars, Weekly, Seasonally Adjusted]]-B1305)/B1305</f>
        <v/>
      </c>
      <c r="D1306" s="34">
        <f>((1+Table2634[[#This Row],[Weekly change]])^52)-1</f>
        <v/>
      </c>
      <c r="E1306" s="24">
        <f>AVERAGE(B1303:B1306)</f>
        <v/>
      </c>
      <c r="F1306" s="32">
        <f>(Table2634[[#This Row],[4 weeks average]]-B1254)/B1254</f>
        <v/>
      </c>
    </row>
    <row r="1307">
      <c r="A1307" s="22" t="n">
        <v>36507</v>
      </c>
      <c r="B1307" s="24">
        <f>VLOOKUP(Table2634[[#This Row],[Date]],'DB Money Supply'!$A:$D,4)</f>
        <v/>
      </c>
      <c r="C1307" s="30">
        <f>(Table2634[[#This Row],[M1 Money Stock, Billions of Dollars, Weekly, Seasonally Adjusted]]-B1306)/B1306</f>
        <v/>
      </c>
      <c r="D1307" s="34">
        <f>((1+Table2634[[#This Row],[Weekly change]])^52)-1</f>
        <v/>
      </c>
      <c r="E1307" s="24">
        <f>AVERAGE(B1304:B1307)</f>
        <v/>
      </c>
      <c r="F1307" s="32">
        <f>(Table2634[[#This Row],[4 weeks average]]-B1255)/B1255</f>
        <v/>
      </c>
    </row>
    <row r="1308">
      <c r="A1308" s="22" t="n">
        <v>36514</v>
      </c>
      <c r="B1308" s="24">
        <f>VLOOKUP(Table2634[[#This Row],[Date]],'DB Money Supply'!$A:$D,4)</f>
        <v/>
      </c>
      <c r="C1308" s="30">
        <f>(Table2634[[#This Row],[M1 Money Stock, Billions of Dollars, Weekly, Seasonally Adjusted]]-B1307)/B1307</f>
        <v/>
      </c>
      <c r="D1308" s="34">
        <f>((1+Table2634[[#This Row],[Weekly change]])^52)-1</f>
        <v/>
      </c>
      <c r="E1308" s="24">
        <f>AVERAGE(B1305:B1308)</f>
        <v/>
      </c>
      <c r="F1308" s="32">
        <f>(Table2634[[#This Row],[4 weeks average]]-B1256)/B1256</f>
        <v/>
      </c>
    </row>
    <row r="1309">
      <c r="A1309" s="22" t="n">
        <v>36521</v>
      </c>
      <c r="B1309" s="24">
        <f>VLOOKUP(Table2634[[#This Row],[Date]],'DB Money Supply'!$A:$D,4)</f>
        <v/>
      </c>
      <c r="C1309" s="30">
        <f>(Table2634[[#This Row],[M1 Money Stock, Billions of Dollars, Weekly, Seasonally Adjusted]]-B1308)/B1308</f>
        <v/>
      </c>
      <c r="D1309" s="34">
        <f>((1+Table2634[[#This Row],[Weekly change]])^52)-1</f>
        <v/>
      </c>
      <c r="E1309" s="24">
        <f>AVERAGE(B1306:B1309)</f>
        <v/>
      </c>
      <c r="F1309" s="32">
        <f>(Table2634[[#This Row],[4 weeks average]]-B1257)/B1257</f>
        <v/>
      </c>
    </row>
    <row r="1310">
      <c r="A1310" s="22" t="n">
        <v>36528</v>
      </c>
      <c r="B1310" s="24">
        <f>VLOOKUP(Table2634[[#This Row],[Date]],'DB Money Supply'!$A:$D,4)</f>
        <v/>
      </c>
      <c r="C1310" s="30">
        <f>(Table2634[[#This Row],[M1 Money Stock, Billions of Dollars, Weekly, Seasonally Adjusted]]-B1309)/B1309</f>
        <v/>
      </c>
      <c r="D1310" s="34">
        <f>((1+Table2634[[#This Row],[Weekly change]])^52)-1</f>
        <v/>
      </c>
      <c r="E1310" s="24">
        <f>AVERAGE(B1307:B1310)</f>
        <v/>
      </c>
      <c r="F1310" s="32">
        <f>(Table2634[[#This Row],[4 weeks average]]-B1258)/B1258</f>
        <v/>
      </c>
    </row>
    <row r="1311">
      <c r="A1311" s="22" t="n">
        <v>36535</v>
      </c>
      <c r="B1311" s="24">
        <f>VLOOKUP(Table2634[[#This Row],[Date]],'DB Money Supply'!$A:$D,4)</f>
        <v/>
      </c>
      <c r="C1311" s="30">
        <f>(Table2634[[#This Row],[M1 Money Stock, Billions of Dollars, Weekly, Seasonally Adjusted]]-B1310)/B1310</f>
        <v/>
      </c>
      <c r="D1311" s="34">
        <f>((1+Table2634[[#This Row],[Weekly change]])^52)-1</f>
        <v/>
      </c>
      <c r="E1311" s="24">
        <f>AVERAGE(B1308:B1311)</f>
        <v/>
      </c>
      <c r="F1311" s="32">
        <f>(Table2634[[#This Row],[4 weeks average]]-B1259)/B1259</f>
        <v/>
      </c>
    </row>
    <row r="1312">
      <c r="A1312" s="22" t="n">
        <v>36542</v>
      </c>
      <c r="B1312" s="24">
        <f>VLOOKUP(Table2634[[#This Row],[Date]],'DB Money Supply'!$A:$D,4)</f>
        <v/>
      </c>
      <c r="C1312" s="30">
        <f>(Table2634[[#This Row],[M1 Money Stock, Billions of Dollars, Weekly, Seasonally Adjusted]]-B1311)/B1311</f>
        <v/>
      </c>
      <c r="D1312" s="34">
        <f>((1+Table2634[[#This Row],[Weekly change]])^52)-1</f>
        <v/>
      </c>
      <c r="E1312" s="24">
        <f>AVERAGE(B1309:B1312)</f>
        <v/>
      </c>
      <c r="F1312" s="32">
        <f>(Table2634[[#This Row],[4 weeks average]]-B1260)/B1260</f>
        <v/>
      </c>
    </row>
    <row r="1313">
      <c r="A1313" s="22" t="n">
        <v>36549</v>
      </c>
      <c r="B1313" s="24">
        <f>VLOOKUP(Table2634[[#This Row],[Date]],'DB Money Supply'!$A:$D,4)</f>
        <v/>
      </c>
      <c r="C1313" s="30">
        <f>(Table2634[[#This Row],[M1 Money Stock, Billions of Dollars, Weekly, Seasonally Adjusted]]-B1312)/B1312</f>
        <v/>
      </c>
      <c r="D1313" s="34">
        <f>((1+Table2634[[#This Row],[Weekly change]])^52)-1</f>
        <v/>
      </c>
      <c r="E1313" s="24">
        <f>AVERAGE(B1310:B1313)</f>
        <v/>
      </c>
      <c r="F1313" s="32">
        <f>(Table2634[[#This Row],[4 weeks average]]-B1261)/B1261</f>
        <v/>
      </c>
    </row>
    <row r="1314">
      <c r="A1314" s="22" t="n">
        <v>36556</v>
      </c>
      <c r="B1314" s="24">
        <f>VLOOKUP(Table2634[[#This Row],[Date]],'DB Money Supply'!$A:$D,4)</f>
        <v/>
      </c>
      <c r="C1314" s="30">
        <f>(Table2634[[#This Row],[M1 Money Stock, Billions of Dollars, Weekly, Seasonally Adjusted]]-B1313)/B1313</f>
        <v/>
      </c>
      <c r="D1314" s="34">
        <f>((1+Table2634[[#This Row],[Weekly change]])^52)-1</f>
        <v/>
      </c>
      <c r="E1314" s="24">
        <f>AVERAGE(B1311:B1314)</f>
        <v/>
      </c>
      <c r="F1314" s="32">
        <f>(Table2634[[#This Row],[4 weeks average]]-B1262)/B1262</f>
        <v/>
      </c>
    </row>
    <row r="1315">
      <c r="A1315" s="22" t="n">
        <v>36563</v>
      </c>
      <c r="B1315" s="24">
        <f>VLOOKUP(Table2634[[#This Row],[Date]],'DB Money Supply'!$A:$D,4)</f>
        <v/>
      </c>
      <c r="C1315" s="30">
        <f>(Table2634[[#This Row],[M1 Money Stock, Billions of Dollars, Weekly, Seasonally Adjusted]]-B1314)/B1314</f>
        <v/>
      </c>
      <c r="D1315" s="34">
        <f>((1+Table2634[[#This Row],[Weekly change]])^52)-1</f>
        <v/>
      </c>
      <c r="E1315" s="24">
        <f>AVERAGE(B1312:B1315)</f>
        <v/>
      </c>
      <c r="F1315" s="32">
        <f>(Table2634[[#This Row],[4 weeks average]]-B1263)/B1263</f>
        <v/>
      </c>
    </row>
    <row r="1316">
      <c r="A1316" s="22" t="n">
        <v>36570</v>
      </c>
      <c r="B1316" s="24">
        <f>VLOOKUP(Table2634[[#This Row],[Date]],'DB Money Supply'!$A:$D,4)</f>
        <v/>
      </c>
      <c r="C1316" s="30">
        <f>(Table2634[[#This Row],[M1 Money Stock, Billions of Dollars, Weekly, Seasonally Adjusted]]-B1315)/B1315</f>
        <v/>
      </c>
      <c r="D1316" s="34">
        <f>((1+Table2634[[#This Row],[Weekly change]])^52)-1</f>
        <v/>
      </c>
      <c r="E1316" s="24">
        <f>AVERAGE(B1313:B1316)</f>
        <v/>
      </c>
      <c r="F1316" s="32">
        <f>(Table2634[[#This Row],[4 weeks average]]-B1264)/B1264</f>
        <v/>
      </c>
    </row>
    <row r="1317">
      <c r="A1317" s="22" t="n">
        <v>36577</v>
      </c>
      <c r="B1317" s="24">
        <f>VLOOKUP(Table2634[[#This Row],[Date]],'DB Money Supply'!$A:$D,4)</f>
        <v/>
      </c>
      <c r="C1317" s="30">
        <f>(Table2634[[#This Row],[M1 Money Stock, Billions of Dollars, Weekly, Seasonally Adjusted]]-B1316)/B1316</f>
        <v/>
      </c>
      <c r="D1317" s="34">
        <f>((1+Table2634[[#This Row],[Weekly change]])^52)-1</f>
        <v/>
      </c>
      <c r="E1317" s="24">
        <f>AVERAGE(B1314:B1317)</f>
        <v/>
      </c>
      <c r="F1317" s="32">
        <f>(Table2634[[#This Row],[4 weeks average]]-B1265)/B1265</f>
        <v/>
      </c>
    </row>
    <row r="1318">
      <c r="A1318" s="22" t="n">
        <v>36584</v>
      </c>
      <c r="B1318" s="24">
        <f>VLOOKUP(Table2634[[#This Row],[Date]],'DB Money Supply'!$A:$D,4)</f>
        <v/>
      </c>
      <c r="C1318" s="30">
        <f>(Table2634[[#This Row],[M1 Money Stock, Billions of Dollars, Weekly, Seasonally Adjusted]]-B1317)/B1317</f>
        <v/>
      </c>
      <c r="D1318" s="34">
        <f>((1+Table2634[[#This Row],[Weekly change]])^52)-1</f>
        <v/>
      </c>
      <c r="E1318" s="24">
        <f>AVERAGE(B1315:B1318)</f>
        <v/>
      </c>
      <c r="F1318" s="32">
        <f>(Table2634[[#This Row],[4 weeks average]]-B1266)/B1266</f>
        <v/>
      </c>
    </row>
    <row r="1319">
      <c r="A1319" s="22" t="n">
        <v>36591</v>
      </c>
      <c r="B1319" s="24">
        <f>VLOOKUP(Table2634[[#This Row],[Date]],'DB Money Supply'!$A:$D,4)</f>
        <v/>
      </c>
      <c r="C1319" s="30">
        <f>(Table2634[[#This Row],[M1 Money Stock, Billions of Dollars, Weekly, Seasonally Adjusted]]-B1318)/B1318</f>
        <v/>
      </c>
      <c r="D1319" s="34">
        <f>((1+Table2634[[#This Row],[Weekly change]])^52)-1</f>
        <v/>
      </c>
      <c r="E1319" s="24">
        <f>AVERAGE(B1316:B1319)</f>
        <v/>
      </c>
      <c r="F1319" s="32">
        <f>(Table2634[[#This Row],[4 weeks average]]-B1267)/B1267</f>
        <v/>
      </c>
    </row>
    <row r="1320">
      <c r="A1320" s="22" t="n">
        <v>36598</v>
      </c>
      <c r="B1320" s="24">
        <f>VLOOKUP(Table2634[[#This Row],[Date]],'DB Money Supply'!$A:$D,4)</f>
        <v/>
      </c>
      <c r="C1320" s="30">
        <f>(Table2634[[#This Row],[M1 Money Stock, Billions of Dollars, Weekly, Seasonally Adjusted]]-B1319)/B1319</f>
        <v/>
      </c>
      <c r="D1320" s="34">
        <f>((1+Table2634[[#This Row],[Weekly change]])^52)-1</f>
        <v/>
      </c>
      <c r="E1320" s="24">
        <f>AVERAGE(B1317:B1320)</f>
        <v/>
      </c>
      <c r="F1320" s="32">
        <f>(Table2634[[#This Row],[4 weeks average]]-B1268)/B1268</f>
        <v/>
      </c>
    </row>
    <row r="1321">
      <c r="A1321" s="22" t="n">
        <v>36605</v>
      </c>
      <c r="B1321" s="24">
        <f>VLOOKUP(Table2634[[#This Row],[Date]],'DB Money Supply'!$A:$D,4)</f>
        <v/>
      </c>
      <c r="C1321" s="30">
        <f>(Table2634[[#This Row],[M1 Money Stock, Billions of Dollars, Weekly, Seasonally Adjusted]]-B1320)/B1320</f>
        <v/>
      </c>
      <c r="D1321" s="34">
        <f>((1+Table2634[[#This Row],[Weekly change]])^52)-1</f>
        <v/>
      </c>
      <c r="E1321" s="24">
        <f>AVERAGE(B1318:B1321)</f>
        <v/>
      </c>
      <c r="F1321" s="32">
        <f>(Table2634[[#This Row],[4 weeks average]]-B1269)/B1269</f>
        <v/>
      </c>
    </row>
    <row r="1322">
      <c r="A1322" s="22" t="n">
        <v>36612</v>
      </c>
      <c r="B1322" s="24">
        <f>VLOOKUP(Table2634[[#This Row],[Date]],'DB Money Supply'!$A:$D,4)</f>
        <v/>
      </c>
      <c r="C1322" s="30">
        <f>(Table2634[[#This Row],[M1 Money Stock, Billions of Dollars, Weekly, Seasonally Adjusted]]-B1321)/B1321</f>
        <v/>
      </c>
      <c r="D1322" s="34">
        <f>((1+Table2634[[#This Row],[Weekly change]])^52)-1</f>
        <v/>
      </c>
      <c r="E1322" s="24">
        <f>AVERAGE(B1319:B1322)</f>
        <v/>
      </c>
      <c r="F1322" s="32">
        <f>(Table2634[[#This Row],[4 weeks average]]-B1270)/B1270</f>
        <v/>
      </c>
    </row>
    <row r="1323">
      <c r="A1323" s="22" t="n">
        <v>36619</v>
      </c>
      <c r="B1323" s="24">
        <f>VLOOKUP(Table2634[[#This Row],[Date]],'DB Money Supply'!$A:$D,4)</f>
        <v/>
      </c>
      <c r="C1323" s="30">
        <f>(Table2634[[#This Row],[M1 Money Stock, Billions of Dollars, Weekly, Seasonally Adjusted]]-B1322)/B1322</f>
        <v/>
      </c>
      <c r="D1323" s="34">
        <f>((1+Table2634[[#This Row],[Weekly change]])^52)-1</f>
        <v/>
      </c>
      <c r="E1323" s="24">
        <f>AVERAGE(B1320:B1323)</f>
        <v/>
      </c>
      <c r="F1323" s="32">
        <f>(Table2634[[#This Row],[4 weeks average]]-B1271)/B1271</f>
        <v/>
      </c>
    </row>
    <row r="1324">
      <c r="A1324" s="22" t="n">
        <v>36626</v>
      </c>
      <c r="B1324" s="24">
        <f>VLOOKUP(Table2634[[#This Row],[Date]],'DB Money Supply'!$A:$D,4)</f>
        <v/>
      </c>
      <c r="C1324" s="30">
        <f>(Table2634[[#This Row],[M1 Money Stock, Billions of Dollars, Weekly, Seasonally Adjusted]]-B1323)/B1323</f>
        <v/>
      </c>
      <c r="D1324" s="34">
        <f>((1+Table2634[[#This Row],[Weekly change]])^52)-1</f>
        <v/>
      </c>
      <c r="E1324" s="24">
        <f>AVERAGE(B1321:B1324)</f>
        <v/>
      </c>
      <c r="F1324" s="32">
        <f>(Table2634[[#This Row],[4 weeks average]]-B1272)/B1272</f>
        <v/>
      </c>
    </row>
    <row r="1325">
      <c r="A1325" s="22" t="n">
        <v>36633</v>
      </c>
      <c r="B1325" s="24">
        <f>VLOOKUP(Table2634[[#This Row],[Date]],'DB Money Supply'!$A:$D,4)</f>
        <v/>
      </c>
      <c r="C1325" s="30">
        <f>(Table2634[[#This Row],[M1 Money Stock, Billions of Dollars, Weekly, Seasonally Adjusted]]-B1324)/B1324</f>
        <v/>
      </c>
      <c r="D1325" s="34">
        <f>((1+Table2634[[#This Row],[Weekly change]])^52)-1</f>
        <v/>
      </c>
      <c r="E1325" s="24">
        <f>AVERAGE(B1322:B1325)</f>
        <v/>
      </c>
      <c r="F1325" s="32">
        <f>(Table2634[[#This Row],[4 weeks average]]-B1273)/B1273</f>
        <v/>
      </c>
    </row>
    <row r="1326">
      <c r="A1326" s="22" t="n">
        <v>36640</v>
      </c>
      <c r="B1326" s="24">
        <f>VLOOKUP(Table2634[[#This Row],[Date]],'DB Money Supply'!$A:$D,4)</f>
        <v/>
      </c>
      <c r="C1326" s="30">
        <f>(Table2634[[#This Row],[M1 Money Stock, Billions of Dollars, Weekly, Seasonally Adjusted]]-B1325)/B1325</f>
        <v/>
      </c>
      <c r="D1326" s="34">
        <f>((1+Table2634[[#This Row],[Weekly change]])^52)-1</f>
        <v/>
      </c>
      <c r="E1326" s="24">
        <f>AVERAGE(B1323:B1326)</f>
        <v/>
      </c>
      <c r="F1326" s="32">
        <f>(Table2634[[#This Row],[4 weeks average]]-B1274)/B1274</f>
        <v/>
      </c>
    </row>
    <row r="1327">
      <c r="A1327" s="22" t="n">
        <v>36647</v>
      </c>
      <c r="B1327" s="24">
        <f>VLOOKUP(Table2634[[#This Row],[Date]],'DB Money Supply'!$A:$D,4)</f>
        <v/>
      </c>
      <c r="C1327" s="30">
        <f>(Table2634[[#This Row],[M1 Money Stock, Billions of Dollars, Weekly, Seasonally Adjusted]]-B1326)/B1326</f>
        <v/>
      </c>
      <c r="D1327" s="34">
        <f>((1+Table2634[[#This Row],[Weekly change]])^52)-1</f>
        <v/>
      </c>
      <c r="E1327" s="24">
        <f>AVERAGE(B1324:B1327)</f>
        <v/>
      </c>
      <c r="F1327" s="32">
        <f>(Table2634[[#This Row],[4 weeks average]]-B1275)/B1275</f>
        <v/>
      </c>
    </row>
    <row r="1328">
      <c r="A1328" s="22" t="n">
        <v>36654</v>
      </c>
      <c r="B1328" s="24">
        <f>VLOOKUP(Table2634[[#This Row],[Date]],'DB Money Supply'!$A:$D,4)</f>
        <v/>
      </c>
      <c r="C1328" s="30">
        <f>(Table2634[[#This Row],[M1 Money Stock, Billions of Dollars, Weekly, Seasonally Adjusted]]-B1327)/B1327</f>
        <v/>
      </c>
      <c r="D1328" s="34">
        <f>((1+Table2634[[#This Row],[Weekly change]])^52)-1</f>
        <v/>
      </c>
      <c r="E1328" s="24">
        <f>AVERAGE(B1325:B1328)</f>
        <v/>
      </c>
      <c r="F1328" s="32">
        <f>(Table2634[[#This Row],[4 weeks average]]-B1276)/B1276</f>
        <v/>
      </c>
    </row>
    <row r="1329">
      <c r="A1329" s="22" t="n">
        <v>36661</v>
      </c>
      <c r="B1329" s="24">
        <f>VLOOKUP(Table2634[[#This Row],[Date]],'DB Money Supply'!$A:$D,4)</f>
        <v/>
      </c>
      <c r="C1329" s="30">
        <f>(Table2634[[#This Row],[M1 Money Stock, Billions of Dollars, Weekly, Seasonally Adjusted]]-B1328)/B1328</f>
        <v/>
      </c>
      <c r="D1329" s="34">
        <f>((1+Table2634[[#This Row],[Weekly change]])^52)-1</f>
        <v/>
      </c>
      <c r="E1329" s="24">
        <f>AVERAGE(B1326:B1329)</f>
        <v/>
      </c>
      <c r="F1329" s="32">
        <f>(Table2634[[#This Row],[4 weeks average]]-B1277)/B1277</f>
        <v/>
      </c>
    </row>
    <row r="1330">
      <c r="A1330" s="22" t="n">
        <v>36668</v>
      </c>
      <c r="B1330" s="24">
        <f>VLOOKUP(Table2634[[#This Row],[Date]],'DB Money Supply'!$A:$D,4)</f>
        <v/>
      </c>
      <c r="C1330" s="30">
        <f>(Table2634[[#This Row],[M1 Money Stock, Billions of Dollars, Weekly, Seasonally Adjusted]]-B1329)/B1329</f>
        <v/>
      </c>
      <c r="D1330" s="34">
        <f>((1+Table2634[[#This Row],[Weekly change]])^52)-1</f>
        <v/>
      </c>
      <c r="E1330" s="24">
        <f>AVERAGE(B1327:B1330)</f>
        <v/>
      </c>
      <c r="F1330" s="32">
        <f>(Table2634[[#This Row],[4 weeks average]]-B1278)/B1278</f>
        <v/>
      </c>
    </row>
    <row r="1331">
      <c r="A1331" s="22" t="n">
        <v>36675</v>
      </c>
      <c r="B1331" s="24">
        <f>VLOOKUP(Table2634[[#This Row],[Date]],'DB Money Supply'!$A:$D,4)</f>
        <v/>
      </c>
      <c r="C1331" s="30">
        <f>(Table2634[[#This Row],[M1 Money Stock, Billions of Dollars, Weekly, Seasonally Adjusted]]-B1330)/B1330</f>
        <v/>
      </c>
      <c r="D1331" s="34">
        <f>((1+Table2634[[#This Row],[Weekly change]])^52)-1</f>
        <v/>
      </c>
      <c r="E1331" s="24">
        <f>AVERAGE(B1328:B1331)</f>
        <v/>
      </c>
      <c r="F1331" s="32">
        <f>(Table2634[[#This Row],[4 weeks average]]-B1279)/B1279</f>
        <v/>
      </c>
    </row>
    <row r="1332">
      <c r="A1332" s="22" t="n">
        <v>36682</v>
      </c>
      <c r="B1332" s="24">
        <f>VLOOKUP(Table2634[[#This Row],[Date]],'DB Money Supply'!$A:$D,4)</f>
        <v/>
      </c>
      <c r="C1332" s="30">
        <f>(Table2634[[#This Row],[M1 Money Stock, Billions of Dollars, Weekly, Seasonally Adjusted]]-B1331)/B1331</f>
        <v/>
      </c>
      <c r="D1332" s="34">
        <f>((1+Table2634[[#This Row],[Weekly change]])^52)-1</f>
        <v/>
      </c>
      <c r="E1332" s="24">
        <f>AVERAGE(B1329:B1332)</f>
        <v/>
      </c>
      <c r="F1332" s="32">
        <f>(Table2634[[#This Row],[4 weeks average]]-B1280)/B1280</f>
        <v/>
      </c>
    </row>
    <row r="1333">
      <c r="A1333" s="22" t="n">
        <v>36689</v>
      </c>
      <c r="B1333" s="24">
        <f>VLOOKUP(Table2634[[#This Row],[Date]],'DB Money Supply'!$A:$D,4)</f>
        <v/>
      </c>
      <c r="C1333" s="30">
        <f>(Table2634[[#This Row],[M1 Money Stock, Billions of Dollars, Weekly, Seasonally Adjusted]]-B1332)/B1332</f>
        <v/>
      </c>
      <c r="D1333" s="34">
        <f>((1+Table2634[[#This Row],[Weekly change]])^52)-1</f>
        <v/>
      </c>
      <c r="E1333" s="24">
        <f>AVERAGE(B1330:B1333)</f>
        <v/>
      </c>
      <c r="F1333" s="32">
        <f>(Table2634[[#This Row],[4 weeks average]]-B1281)/B1281</f>
        <v/>
      </c>
    </row>
    <row r="1334">
      <c r="A1334" s="22" t="n">
        <v>36696</v>
      </c>
      <c r="B1334" s="24">
        <f>VLOOKUP(Table2634[[#This Row],[Date]],'DB Money Supply'!$A:$D,4)</f>
        <v/>
      </c>
      <c r="C1334" s="30">
        <f>(Table2634[[#This Row],[M1 Money Stock, Billions of Dollars, Weekly, Seasonally Adjusted]]-B1333)/B1333</f>
        <v/>
      </c>
      <c r="D1334" s="34">
        <f>((1+Table2634[[#This Row],[Weekly change]])^52)-1</f>
        <v/>
      </c>
      <c r="E1334" s="24">
        <f>AVERAGE(B1331:B1334)</f>
        <v/>
      </c>
      <c r="F1334" s="32">
        <f>(Table2634[[#This Row],[4 weeks average]]-B1282)/B1282</f>
        <v/>
      </c>
    </row>
    <row r="1335">
      <c r="A1335" s="22" t="n">
        <v>36703</v>
      </c>
      <c r="B1335" s="24">
        <f>VLOOKUP(Table2634[[#This Row],[Date]],'DB Money Supply'!$A:$D,4)</f>
        <v/>
      </c>
      <c r="C1335" s="30">
        <f>(Table2634[[#This Row],[M1 Money Stock, Billions of Dollars, Weekly, Seasonally Adjusted]]-B1334)/B1334</f>
        <v/>
      </c>
      <c r="D1335" s="34">
        <f>((1+Table2634[[#This Row],[Weekly change]])^52)-1</f>
        <v/>
      </c>
      <c r="E1335" s="24">
        <f>AVERAGE(B1332:B1335)</f>
        <v/>
      </c>
      <c r="F1335" s="32">
        <f>(Table2634[[#This Row],[4 weeks average]]-B1283)/B1283</f>
        <v/>
      </c>
    </row>
    <row r="1336">
      <c r="A1336" s="22" t="n">
        <v>36710</v>
      </c>
      <c r="B1336" s="24">
        <f>VLOOKUP(Table2634[[#This Row],[Date]],'DB Money Supply'!$A:$D,4)</f>
        <v/>
      </c>
      <c r="C1336" s="30">
        <f>(Table2634[[#This Row],[M1 Money Stock, Billions of Dollars, Weekly, Seasonally Adjusted]]-B1335)/B1335</f>
        <v/>
      </c>
      <c r="D1336" s="34">
        <f>((1+Table2634[[#This Row],[Weekly change]])^52)-1</f>
        <v/>
      </c>
      <c r="E1336" s="24">
        <f>AVERAGE(B1333:B1336)</f>
        <v/>
      </c>
      <c r="F1336" s="32">
        <f>(Table2634[[#This Row],[4 weeks average]]-B1284)/B1284</f>
        <v/>
      </c>
    </row>
    <row r="1337">
      <c r="A1337" s="22" t="n">
        <v>36717</v>
      </c>
      <c r="B1337" s="24">
        <f>VLOOKUP(Table2634[[#This Row],[Date]],'DB Money Supply'!$A:$D,4)</f>
        <v/>
      </c>
      <c r="C1337" s="30">
        <f>(Table2634[[#This Row],[M1 Money Stock, Billions of Dollars, Weekly, Seasonally Adjusted]]-B1336)/B1336</f>
        <v/>
      </c>
      <c r="D1337" s="34">
        <f>((1+Table2634[[#This Row],[Weekly change]])^52)-1</f>
        <v/>
      </c>
      <c r="E1337" s="24">
        <f>AVERAGE(B1334:B1337)</f>
        <v/>
      </c>
      <c r="F1337" s="32">
        <f>(Table2634[[#This Row],[4 weeks average]]-B1285)/B1285</f>
        <v/>
      </c>
    </row>
    <row r="1338">
      <c r="A1338" s="22" t="n">
        <v>36724</v>
      </c>
      <c r="B1338" s="24">
        <f>VLOOKUP(Table2634[[#This Row],[Date]],'DB Money Supply'!$A:$D,4)</f>
        <v/>
      </c>
      <c r="C1338" s="30">
        <f>(Table2634[[#This Row],[M1 Money Stock, Billions of Dollars, Weekly, Seasonally Adjusted]]-B1337)/B1337</f>
        <v/>
      </c>
      <c r="D1338" s="34">
        <f>((1+Table2634[[#This Row],[Weekly change]])^52)-1</f>
        <v/>
      </c>
      <c r="E1338" s="24">
        <f>AVERAGE(B1335:B1338)</f>
        <v/>
      </c>
      <c r="F1338" s="32">
        <f>(Table2634[[#This Row],[4 weeks average]]-B1286)/B1286</f>
        <v/>
      </c>
    </row>
    <row r="1339">
      <c r="A1339" s="22" t="n">
        <v>36731</v>
      </c>
      <c r="B1339" s="24">
        <f>VLOOKUP(Table2634[[#This Row],[Date]],'DB Money Supply'!$A:$D,4)</f>
        <v/>
      </c>
      <c r="C1339" s="30">
        <f>(Table2634[[#This Row],[M1 Money Stock, Billions of Dollars, Weekly, Seasonally Adjusted]]-B1338)/B1338</f>
        <v/>
      </c>
      <c r="D1339" s="34">
        <f>((1+Table2634[[#This Row],[Weekly change]])^52)-1</f>
        <v/>
      </c>
      <c r="E1339" s="24">
        <f>AVERAGE(B1336:B1339)</f>
        <v/>
      </c>
      <c r="F1339" s="32">
        <f>(Table2634[[#This Row],[4 weeks average]]-B1287)/B1287</f>
        <v/>
      </c>
    </row>
    <row r="1340">
      <c r="A1340" s="22" t="n">
        <v>36738</v>
      </c>
      <c r="B1340" s="24">
        <f>VLOOKUP(Table2634[[#This Row],[Date]],'DB Money Supply'!$A:$D,4)</f>
        <v/>
      </c>
      <c r="C1340" s="30">
        <f>(Table2634[[#This Row],[M1 Money Stock, Billions of Dollars, Weekly, Seasonally Adjusted]]-B1339)/B1339</f>
        <v/>
      </c>
      <c r="D1340" s="34">
        <f>((1+Table2634[[#This Row],[Weekly change]])^52)-1</f>
        <v/>
      </c>
      <c r="E1340" s="24">
        <f>AVERAGE(B1337:B1340)</f>
        <v/>
      </c>
      <c r="F1340" s="32">
        <f>(Table2634[[#This Row],[4 weeks average]]-B1288)/B1288</f>
        <v/>
      </c>
    </row>
    <row r="1341">
      <c r="A1341" s="22" t="n">
        <v>36745</v>
      </c>
      <c r="B1341" s="24">
        <f>VLOOKUP(Table2634[[#This Row],[Date]],'DB Money Supply'!$A:$D,4)</f>
        <v/>
      </c>
      <c r="C1341" s="30">
        <f>(Table2634[[#This Row],[M1 Money Stock, Billions of Dollars, Weekly, Seasonally Adjusted]]-B1340)/B1340</f>
        <v/>
      </c>
      <c r="D1341" s="34">
        <f>((1+Table2634[[#This Row],[Weekly change]])^52)-1</f>
        <v/>
      </c>
      <c r="E1341" s="24">
        <f>AVERAGE(B1338:B1341)</f>
        <v/>
      </c>
      <c r="F1341" s="32">
        <f>(Table2634[[#This Row],[4 weeks average]]-B1289)/B1289</f>
        <v/>
      </c>
    </row>
    <row r="1342">
      <c r="A1342" s="22" t="n">
        <v>36752</v>
      </c>
      <c r="B1342" s="24">
        <f>VLOOKUP(Table2634[[#This Row],[Date]],'DB Money Supply'!$A:$D,4)</f>
        <v/>
      </c>
      <c r="C1342" s="30">
        <f>(Table2634[[#This Row],[M1 Money Stock, Billions of Dollars, Weekly, Seasonally Adjusted]]-B1341)/B1341</f>
        <v/>
      </c>
      <c r="D1342" s="34">
        <f>((1+Table2634[[#This Row],[Weekly change]])^52)-1</f>
        <v/>
      </c>
      <c r="E1342" s="24">
        <f>AVERAGE(B1339:B1342)</f>
        <v/>
      </c>
      <c r="F1342" s="32">
        <f>(Table2634[[#This Row],[4 weeks average]]-B1290)/B1290</f>
        <v/>
      </c>
    </row>
    <row r="1343">
      <c r="A1343" s="22" t="n">
        <v>36759</v>
      </c>
      <c r="B1343" s="24">
        <f>VLOOKUP(Table2634[[#This Row],[Date]],'DB Money Supply'!$A:$D,4)</f>
        <v/>
      </c>
      <c r="C1343" s="30">
        <f>(Table2634[[#This Row],[M1 Money Stock, Billions of Dollars, Weekly, Seasonally Adjusted]]-B1342)/B1342</f>
        <v/>
      </c>
      <c r="D1343" s="34">
        <f>((1+Table2634[[#This Row],[Weekly change]])^52)-1</f>
        <v/>
      </c>
      <c r="E1343" s="24">
        <f>AVERAGE(B1340:B1343)</f>
        <v/>
      </c>
      <c r="F1343" s="32">
        <f>(Table2634[[#This Row],[4 weeks average]]-B1291)/B1291</f>
        <v/>
      </c>
    </row>
    <row r="1344">
      <c r="A1344" s="22" t="n">
        <v>36766</v>
      </c>
      <c r="B1344" s="24">
        <f>VLOOKUP(Table2634[[#This Row],[Date]],'DB Money Supply'!$A:$D,4)</f>
        <v/>
      </c>
      <c r="C1344" s="30">
        <f>(Table2634[[#This Row],[M1 Money Stock, Billions of Dollars, Weekly, Seasonally Adjusted]]-B1343)/B1343</f>
        <v/>
      </c>
      <c r="D1344" s="34">
        <f>((1+Table2634[[#This Row],[Weekly change]])^52)-1</f>
        <v/>
      </c>
      <c r="E1344" s="24">
        <f>AVERAGE(B1341:B1344)</f>
        <v/>
      </c>
      <c r="F1344" s="32">
        <f>(Table2634[[#This Row],[4 weeks average]]-B1292)/B1292</f>
        <v/>
      </c>
    </row>
    <row r="1345">
      <c r="A1345" s="22" t="n">
        <v>36773</v>
      </c>
      <c r="B1345" s="24">
        <f>VLOOKUP(Table2634[[#This Row],[Date]],'DB Money Supply'!$A:$D,4)</f>
        <v/>
      </c>
      <c r="C1345" s="30">
        <f>(Table2634[[#This Row],[M1 Money Stock, Billions of Dollars, Weekly, Seasonally Adjusted]]-B1344)/B1344</f>
        <v/>
      </c>
      <c r="D1345" s="34">
        <f>((1+Table2634[[#This Row],[Weekly change]])^52)-1</f>
        <v/>
      </c>
      <c r="E1345" s="24">
        <f>AVERAGE(B1342:B1345)</f>
        <v/>
      </c>
      <c r="F1345" s="32">
        <f>(Table2634[[#This Row],[4 weeks average]]-B1293)/B1293</f>
        <v/>
      </c>
    </row>
    <row r="1346">
      <c r="A1346" s="22" t="n">
        <v>36780</v>
      </c>
      <c r="B1346" s="24">
        <f>VLOOKUP(Table2634[[#This Row],[Date]],'DB Money Supply'!$A:$D,4)</f>
        <v/>
      </c>
      <c r="C1346" s="30">
        <f>(Table2634[[#This Row],[M1 Money Stock, Billions of Dollars, Weekly, Seasonally Adjusted]]-B1345)/B1345</f>
        <v/>
      </c>
      <c r="D1346" s="34">
        <f>((1+Table2634[[#This Row],[Weekly change]])^52)-1</f>
        <v/>
      </c>
      <c r="E1346" s="24">
        <f>AVERAGE(B1343:B1346)</f>
        <v/>
      </c>
      <c r="F1346" s="32">
        <f>(Table2634[[#This Row],[4 weeks average]]-B1294)/B1294</f>
        <v/>
      </c>
    </row>
    <row r="1347">
      <c r="A1347" s="22" t="n">
        <v>36787</v>
      </c>
      <c r="B1347" s="24">
        <f>VLOOKUP(Table2634[[#This Row],[Date]],'DB Money Supply'!$A:$D,4)</f>
        <v/>
      </c>
      <c r="C1347" s="30">
        <f>(Table2634[[#This Row],[M1 Money Stock, Billions of Dollars, Weekly, Seasonally Adjusted]]-B1346)/B1346</f>
        <v/>
      </c>
      <c r="D1347" s="34">
        <f>((1+Table2634[[#This Row],[Weekly change]])^52)-1</f>
        <v/>
      </c>
      <c r="E1347" s="24">
        <f>AVERAGE(B1344:B1347)</f>
        <v/>
      </c>
      <c r="F1347" s="32">
        <f>(Table2634[[#This Row],[4 weeks average]]-B1295)/B1295</f>
        <v/>
      </c>
    </row>
    <row r="1348">
      <c r="A1348" s="22" t="n">
        <v>36794</v>
      </c>
      <c r="B1348" s="24">
        <f>VLOOKUP(Table2634[[#This Row],[Date]],'DB Money Supply'!$A:$D,4)</f>
        <v/>
      </c>
      <c r="C1348" s="30">
        <f>(Table2634[[#This Row],[M1 Money Stock, Billions of Dollars, Weekly, Seasonally Adjusted]]-B1347)/B1347</f>
        <v/>
      </c>
      <c r="D1348" s="34">
        <f>((1+Table2634[[#This Row],[Weekly change]])^52)-1</f>
        <v/>
      </c>
      <c r="E1348" s="24">
        <f>AVERAGE(B1345:B1348)</f>
        <v/>
      </c>
      <c r="F1348" s="32">
        <f>(Table2634[[#This Row],[4 weeks average]]-B1296)/B1296</f>
        <v/>
      </c>
    </row>
    <row r="1349">
      <c r="A1349" s="22" t="n">
        <v>36801</v>
      </c>
      <c r="B1349" s="24">
        <f>VLOOKUP(Table2634[[#This Row],[Date]],'DB Money Supply'!$A:$D,4)</f>
        <v/>
      </c>
      <c r="C1349" s="30">
        <f>(Table2634[[#This Row],[M1 Money Stock, Billions of Dollars, Weekly, Seasonally Adjusted]]-B1348)/B1348</f>
        <v/>
      </c>
      <c r="D1349" s="34">
        <f>((1+Table2634[[#This Row],[Weekly change]])^52)-1</f>
        <v/>
      </c>
      <c r="E1349" s="24">
        <f>AVERAGE(B1346:B1349)</f>
        <v/>
      </c>
      <c r="F1349" s="32">
        <f>(Table2634[[#This Row],[4 weeks average]]-B1297)/B1297</f>
        <v/>
      </c>
    </row>
    <row r="1350">
      <c r="A1350" s="22" t="n">
        <v>36808</v>
      </c>
      <c r="B1350" s="24">
        <f>VLOOKUP(Table2634[[#This Row],[Date]],'DB Money Supply'!$A:$D,4)</f>
        <v/>
      </c>
      <c r="C1350" s="30">
        <f>(Table2634[[#This Row],[M1 Money Stock, Billions of Dollars, Weekly, Seasonally Adjusted]]-B1349)/B1349</f>
        <v/>
      </c>
      <c r="D1350" s="34">
        <f>((1+Table2634[[#This Row],[Weekly change]])^52)-1</f>
        <v/>
      </c>
      <c r="E1350" s="24">
        <f>AVERAGE(B1347:B1350)</f>
        <v/>
      </c>
      <c r="F1350" s="32">
        <f>(Table2634[[#This Row],[4 weeks average]]-B1298)/B1298</f>
        <v/>
      </c>
    </row>
    <row r="1351">
      <c r="A1351" s="22" t="n">
        <v>36815</v>
      </c>
      <c r="B1351" s="24">
        <f>VLOOKUP(Table2634[[#This Row],[Date]],'DB Money Supply'!$A:$D,4)</f>
        <v/>
      </c>
      <c r="C1351" s="30">
        <f>(Table2634[[#This Row],[M1 Money Stock, Billions of Dollars, Weekly, Seasonally Adjusted]]-B1350)/B1350</f>
        <v/>
      </c>
      <c r="D1351" s="34">
        <f>((1+Table2634[[#This Row],[Weekly change]])^52)-1</f>
        <v/>
      </c>
      <c r="E1351" s="24">
        <f>AVERAGE(B1348:B1351)</f>
        <v/>
      </c>
      <c r="F1351" s="32">
        <f>(Table2634[[#This Row],[4 weeks average]]-B1299)/B1299</f>
        <v/>
      </c>
    </row>
    <row r="1352">
      <c r="A1352" s="22" t="n">
        <v>36822</v>
      </c>
      <c r="B1352" s="24">
        <f>VLOOKUP(Table2634[[#This Row],[Date]],'DB Money Supply'!$A:$D,4)</f>
        <v/>
      </c>
      <c r="C1352" s="30">
        <f>(Table2634[[#This Row],[M1 Money Stock, Billions of Dollars, Weekly, Seasonally Adjusted]]-B1351)/B1351</f>
        <v/>
      </c>
      <c r="D1352" s="34">
        <f>((1+Table2634[[#This Row],[Weekly change]])^52)-1</f>
        <v/>
      </c>
      <c r="E1352" s="24">
        <f>AVERAGE(B1349:B1352)</f>
        <v/>
      </c>
      <c r="F1352" s="32">
        <f>(Table2634[[#This Row],[4 weeks average]]-B1300)/B1300</f>
        <v/>
      </c>
    </row>
    <row r="1353">
      <c r="A1353" s="22" t="n">
        <v>36829</v>
      </c>
      <c r="B1353" s="24">
        <f>VLOOKUP(Table2634[[#This Row],[Date]],'DB Money Supply'!$A:$D,4)</f>
        <v/>
      </c>
      <c r="C1353" s="30">
        <f>(Table2634[[#This Row],[M1 Money Stock, Billions of Dollars, Weekly, Seasonally Adjusted]]-B1352)/B1352</f>
        <v/>
      </c>
      <c r="D1353" s="34">
        <f>((1+Table2634[[#This Row],[Weekly change]])^52)-1</f>
        <v/>
      </c>
      <c r="E1353" s="24">
        <f>AVERAGE(B1350:B1353)</f>
        <v/>
      </c>
      <c r="F1353" s="32">
        <f>(Table2634[[#This Row],[4 weeks average]]-B1301)/B1301</f>
        <v/>
      </c>
    </row>
    <row r="1354">
      <c r="A1354" s="22" t="n">
        <v>36836</v>
      </c>
      <c r="B1354" s="24">
        <f>VLOOKUP(Table2634[[#This Row],[Date]],'DB Money Supply'!$A:$D,4)</f>
        <v/>
      </c>
      <c r="C1354" s="30">
        <f>(Table2634[[#This Row],[M1 Money Stock, Billions of Dollars, Weekly, Seasonally Adjusted]]-B1353)/B1353</f>
        <v/>
      </c>
      <c r="D1354" s="34">
        <f>((1+Table2634[[#This Row],[Weekly change]])^52)-1</f>
        <v/>
      </c>
      <c r="E1354" s="24">
        <f>AVERAGE(B1351:B1354)</f>
        <v/>
      </c>
      <c r="F1354" s="32">
        <f>(Table2634[[#This Row],[4 weeks average]]-B1302)/B1302</f>
        <v/>
      </c>
    </row>
    <row r="1355">
      <c r="A1355" s="22" t="n">
        <v>36843</v>
      </c>
      <c r="B1355" s="24">
        <f>VLOOKUP(Table2634[[#This Row],[Date]],'DB Money Supply'!$A:$D,4)</f>
        <v/>
      </c>
      <c r="C1355" s="30">
        <f>(Table2634[[#This Row],[M1 Money Stock, Billions of Dollars, Weekly, Seasonally Adjusted]]-B1354)/B1354</f>
        <v/>
      </c>
      <c r="D1355" s="34">
        <f>((1+Table2634[[#This Row],[Weekly change]])^52)-1</f>
        <v/>
      </c>
      <c r="E1355" s="24">
        <f>AVERAGE(B1352:B1355)</f>
        <v/>
      </c>
      <c r="F1355" s="32">
        <f>(Table2634[[#This Row],[4 weeks average]]-B1303)/B1303</f>
        <v/>
      </c>
    </row>
    <row r="1356">
      <c r="A1356" s="22" t="n">
        <v>36850</v>
      </c>
      <c r="B1356" s="24">
        <f>VLOOKUP(Table2634[[#This Row],[Date]],'DB Money Supply'!$A:$D,4)</f>
        <v/>
      </c>
      <c r="C1356" s="30">
        <f>(Table2634[[#This Row],[M1 Money Stock, Billions of Dollars, Weekly, Seasonally Adjusted]]-B1355)/B1355</f>
        <v/>
      </c>
      <c r="D1356" s="34">
        <f>((1+Table2634[[#This Row],[Weekly change]])^52)-1</f>
        <v/>
      </c>
      <c r="E1356" s="24">
        <f>AVERAGE(B1353:B1356)</f>
        <v/>
      </c>
      <c r="F1356" s="32">
        <f>(Table2634[[#This Row],[4 weeks average]]-B1304)/B1304</f>
        <v/>
      </c>
    </row>
    <row r="1357">
      <c r="A1357" s="22" t="n">
        <v>36857</v>
      </c>
      <c r="B1357" s="24">
        <f>VLOOKUP(Table2634[[#This Row],[Date]],'DB Money Supply'!$A:$D,4)</f>
        <v/>
      </c>
      <c r="C1357" s="30">
        <f>(Table2634[[#This Row],[M1 Money Stock, Billions of Dollars, Weekly, Seasonally Adjusted]]-B1356)/B1356</f>
        <v/>
      </c>
      <c r="D1357" s="34">
        <f>((1+Table2634[[#This Row],[Weekly change]])^52)-1</f>
        <v/>
      </c>
      <c r="E1357" s="24">
        <f>AVERAGE(B1354:B1357)</f>
        <v/>
      </c>
      <c r="F1357" s="32">
        <f>(Table2634[[#This Row],[4 weeks average]]-B1305)/B1305</f>
        <v/>
      </c>
    </row>
    <row r="1358">
      <c r="A1358" s="22" t="n">
        <v>36864</v>
      </c>
      <c r="B1358" s="24">
        <f>VLOOKUP(Table2634[[#This Row],[Date]],'DB Money Supply'!$A:$D,4)</f>
        <v/>
      </c>
      <c r="C1358" s="30">
        <f>(Table2634[[#This Row],[M1 Money Stock, Billions of Dollars, Weekly, Seasonally Adjusted]]-B1357)/B1357</f>
        <v/>
      </c>
      <c r="D1358" s="34">
        <f>((1+Table2634[[#This Row],[Weekly change]])^52)-1</f>
        <v/>
      </c>
      <c r="E1358" s="24">
        <f>AVERAGE(B1355:B1358)</f>
        <v/>
      </c>
      <c r="F1358" s="32">
        <f>(Table2634[[#This Row],[4 weeks average]]-B1306)/B1306</f>
        <v/>
      </c>
    </row>
    <row r="1359">
      <c r="A1359" s="22" t="n">
        <v>36871</v>
      </c>
      <c r="B1359" s="24">
        <f>VLOOKUP(Table2634[[#This Row],[Date]],'DB Money Supply'!$A:$D,4)</f>
        <v/>
      </c>
      <c r="C1359" s="30">
        <f>(Table2634[[#This Row],[M1 Money Stock, Billions of Dollars, Weekly, Seasonally Adjusted]]-B1358)/B1358</f>
        <v/>
      </c>
      <c r="D1359" s="34">
        <f>((1+Table2634[[#This Row],[Weekly change]])^52)-1</f>
        <v/>
      </c>
      <c r="E1359" s="24">
        <f>AVERAGE(B1356:B1359)</f>
        <v/>
      </c>
      <c r="F1359" s="32">
        <f>(Table2634[[#This Row],[4 weeks average]]-B1307)/B1307</f>
        <v/>
      </c>
    </row>
    <row r="1360">
      <c r="A1360" s="22" t="n">
        <v>36878</v>
      </c>
      <c r="B1360" s="24">
        <f>VLOOKUP(Table2634[[#This Row],[Date]],'DB Money Supply'!$A:$D,4)</f>
        <v/>
      </c>
      <c r="C1360" s="30">
        <f>(Table2634[[#This Row],[M1 Money Stock, Billions of Dollars, Weekly, Seasonally Adjusted]]-B1359)/B1359</f>
        <v/>
      </c>
      <c r="D1360" s="34">
        <f>((1+Table2634[[#This Row],[Weekly change]])^52)-1</f>
        <v/>
      </c>
      <c r="E1360" s="24">
        <f>AVERAGE(B1357:B1360)</f>
        <v/>
      </c>
      <c r="F1360" s="32">
        <f>(Table2634[[#This Row],[4 weeks average]]-B1308)/B1308</f>
        <v/>
      </c>
    </row>
    <row r="1361">
      <c r="A1361" s="22" t="n">
        <v>36885</v>
      </c>
      <c r="B1361" s="24">
        <f>VLOOKUP(Table2634[[#This Row],[Date]],'DB Money Supply'!$A:$D,4)</f>
        <v/>
      </c>
      <c r="C1361" s="30">
        <f>(Table2634[[#This Row],[M1 Money Stock, Billions of Dollars, Weekly, Seasonally Adjusted]]-B1360)/B1360</f>
        <v/>
      </c>
      <c r="D1361" s="34">
        <f>((1+Table2634[[#This Row],[Weekly change]])^52)-1</f>
        <v/>
      </c>
      <c r="E1361" s="24">
        <f>AVERAGE(B1358:B1361)</f>
        <v/>
      </c>
      <c r="F1361" s="32">
        <f>(Table2634[[#This Row],[4 weeks average]]-B1309)/B1309</f>
        <v/>
      </c>
    </row>
    <row r="1362">
      <c r="A1362" s="22" t="n">
        <v>36892</v>
      </c>
      <c r="B1362" s="24">
        <f>VLOOKUP(Table2634[[#This Row],[Date]],'DB Money Supply'!$A:$D,4)</f>
        <v/>
      </c>
      <c r="C1362" s="30">
        <f>(Table2634[[#This Row],[M1 Money Stock, Billions of Dollars, Weekly, Seasonally Adjusted]]-B1361)/B1361</f>
        <v/>
      </c>
      <c r="D1362" s="34">
        <f>((1+Table2634[[#This Row],[Weekly change]])^52)-1</f>
        <v/>
      </c>
      <c r="E1362" s="24">
        <f>AVERAGE(B1359:B1362)</f>
        <v/>
      </c>
      <c r="F1362" s="32">
        <f>(Table2634[[#This Row],[4 weeks average]]-B1310)/B1310</f>
        <v/>
      </c>
    </row>
    <row r="1363">
      <c r="A1363" s="22" t="n">
        <v>36899</v>
      </c>
      <c r="B1363" s="24">
        <f>VLOOKUP(Table2634[[#This Row],[Date]],'DB Money Supply'!$A:$D,4)</f>
        <v/>
      </c>
      <c r="C1363" s="30">
        <f>(Table2634[[#This Row],[M1 Money Stock, Billions of Dollars, Weekly, Seasonally Adjusted]]-B1362)/B1362</f>
        <v/>
      </c>
      <c r="D1363" s="34">
        <f>((1+Table2634[[#This Row],[Weekly change]])^52)-1</f>
        <v/>
      </c>
      <c r="E1363" s="24">
        <f>AVERAGE(B1360:B1363)</f>
        <v/>
      </c>
      <c r="F1363" s="32">
        <f>(Table2634[[#This Row],[4 weeks average]]-B1311)/B1311</f>
        <v/>
      </c>
    </row>
    <row r="1364">
      <c r="A1364" s="22" t="n">
        <v>36906</v>
      </c>
      <c r="B1364" s="24">
        <f>VLOOKUP(Table2634[[#This Row],[Date]],'DB Money Supply'!$A:$D,4)</f>
        <v/>
      </c>
      <c r="C1364" s="30">
        <f>(Table2634[[#This Row],[M1 Money Stock, Billions of Dollars, Weekly, Seasonally Adjusted]]-B1363)/B1363</f>
        <v/>
      </c>
      <c r="D1364" s="34">
        <f>((1+Table2634[[#This Row],[Weekly change]])^52)-1</f>
        <v/>
      </c>
      <c r="E1364" s="24">
        <f>AVERAGE(B1361:B1364)</f>
        <v/>
      </c>
      <c r="F1364" s="32">
        <f>(Table2634[[#This Row],[4 weeks average]]-B1312)/B1312</f>
        <v/>
      </c>
    </row>
    <row r="1365">
      <c r="A1365" s="22" t="n">
        <v>36913</v>
      </c>
      <c r="B1365" s="24">
        <f>VLOOKUP(Table2634[[#This Row],[Date]],'DB Money Supply'!$A:$D,4)</f>
        <v/>
      </c>
      <c r="C1365" s="30">
        <f>(Table2634[[#This Row],[M1 Money Stock, Billions of Dollars, Weekly, Seasonally Adjusted]]-B1364)/B1364</f>
        <v/>
      </c>
      <c r="D1365" s="34">
        <f>((1+Table2634[[#This Row],[Weekly change]])^52)-1</f>
        <v/>
      </c>
      <c r="E1365" s="24">
        <f>AVERAGE(B1362:B1365)</f>
        <v/>
      </c>
      <c r="F1365" s="32">
        <f>(Table2634[[#This Row],[4 weeks average]]-B1313)/B1313</f>
        <v/>
      </c>
    </row>
    <row r="1366">
      <c r="A1366" s="22" t="n">
        <v>36920</v>
      </c>
      <c r="B1366" s="24">
        <f>VLOOKUP(Table2634[[#This Row],[Date]],'DB Money Supply'!$A:$D,4)</f>
        <v/>
      </c>
      <c r="C1366" s="30">
        <f>(Table2634[[#This Row],[M1 Money Stock, Billions of Dollars, Weekly, Seasonally Adjusted]]-B1365)/B1365</f>
        <v/>
      </c>
      <c r="D1366" s="34">
        <f>((1+Table2634[[#This Row],[Weekly change]])^52)-1</f>
        <v/>
      </c>
      <c r="E1366" s="24">
        <f>AVERAGE(B1363:B1366)</f>
        <v/>
      </c>
      <c r="F1366" s="32">
        <f>(Table2634[[#This Row],[4 weeks average]]-B1314)/B1314</f>
        <v/>
      </c>
    </row>
    <row r="1367">
      <c r="A1367" s="22" t="n">
        <v>36927</v>
      </c>
      <c r="B1367" s="24">
        <f>VLOOKUP(Table2634[[#This Row],[Date]],'DB Money Supply'!$A:$D,4)</f>
        <v/>
      </c>
      <c r="C1367" s="30">
        <f>(Table2634[[#This Row],[M1 Money Stock, Billions of Dollars, Weekly, Seasonally Adjusted]]-B1366)/B1366</f>
        <v/>
      </c>
      <c r="D1367" s="34">
        <f>((1+Table2634[[#This Row],[Weekly change]])^52)-1</f>
        <v/>
      </c>
      <c r="E1367" s="24">
        <f>AVERAGE(B1364:B1367)</f>
        <v/>
      </c>
      <c r="F1367" s="32">
        <f>(Table2634[[#This Row],[4 weeks average]]-B1315)/B1315</f>
        <v/>
      </c>
    </row>
    <row r="1368">
      <c r="A1368" s="22" t="n">
        <v>36934</v>
      </c>
      <c r="B1368" s="24">
        <f>VLOOKUP(Table2634[[#This Row],[Date]],'DB Money Supply'!$A:$D,4)</f>
        <v/>
      </c>
      <c r="C1368" s="30">
        <f>(Table2634[[#This Row],[M1 Money Stock, Billions of Dollars, Weekly, Seasonally Adjusted]]-B1367)/B1367</f>
        <v/>
      </c>
      <c r="D1368" s="34">
        <f>((1+Table2634[[#This Row],[Weekly change]])^52)-1</f>
        <v/>
      </c>
      <c r="E1368" s="24">
        <f>AVERAGE(B1365:B1368)</f>
        <v/>
      </c>
      <c r="F1368" s="32">
        <f>(Table2634[[#This Row],[4 weeks average]]-B1316)/B1316</f>
        <v/>
      </c>
    </row>
    <row r="1369">
      <c r="A1369" s="22" t="n">
        <v>36941</v>
      </c>
      <c r="B1369" s="24">
        <f>VLOOKUP(Table2634[[#This Row],[Date]],'DB Money Supply'!$A:$D,4)</f>
        <v/>
      </c>
      <c r="C1369" s="30">
        <f>(Table2634[[#This Row],[M1 Money Stock, Billions of Dollars, Weekly, Seasonally Adjusted]]-B1368)/B1368</f>
        <v/>
      </c>
      <c r="D1369" s="34">
        <f>((1+Table2634[[#This Row],[Weekly change]])^52)-1</f>
        <v/>
      </c>
      <c r="E1369" s="24">
        <f>AVERAGE(B1366:B1369)</f>
        <v/>
      </c>
      <c r="F1369" s="32">
        <f>(Table2634[[#This Row],[4 weeks average]]-B1317)/B1317</f>
        <v/>
      </c>
    </row>
    <row r="1370">
      <c r="A1370" s="22" t="n">
        <v>36948</v>
      </c>
      <c r="B1370" s="24">
        <f>VLOOKUP(Table2634[[#This Row],[Date]],'DB Money Supply'!$A:$D,4)</f>
        <v/>
      </c>
      <c r="C1370" s="30">
        <f>(Table2634[[#This Row],[M1 Money Stock, Billions of Dollars, Weekly, Seasonally Adjusted]]-B1369)/B1369</f>
        <v/>
      </c>
      <c r="D1370" s="34">
        <f>((1+Table2634[[#This Row],[Weekly change]])^52)-1</f>
        <v/>
      </c>
      <c r="E1370" s="24">
        <f>AVERAGE(B1367:B1370)</f>
        <v/>
      </c>
      <c r="F1370" s="32">
        <f>(Table2634[[#This Row],[4 weeks average]]-B1318)/B1318</f>
        <v/>
      </c>
    </row>
    <row r="1371">
      <c r="A1371" s="22" t="n">
        <v>36955</v>
      </c>
      <c r="B1371" s="24">
        <f>VLOOKUP(Table2634[[#This Row],[Date]],'DB Money Supply'!$A:$D,4)</f>
        <v/>
      </c>
      <c r="C1371" s="30">
        <f>(Table2634[[#This Row],[M1 Money Stock, Billions of Dollars, Weekly, Seasonally Adjusted]]-B1370)/B1370</f>
        <v/>
      </c>
      <c r="D1371" s="34">
        <f>((1+Table2634[[#This Row],[Weekly change]])^52)-1</f>
        <v/>
      </c>
      <c r="E1371" s="24">
        <f>AVERAGE(B1368:B1371)</f>
        <v/>
      </c>
      <c r="F1371" s="32">
        <f>(Table2634[[#This Row],[4 weeks average]]-B1319)/B1319</f>
        <v/>
      </c>
    </row>
    <row r="1372">
      <c r="A1372" s="22" t="n">
        <v>36962</v>
      </c>
      <c r="B1372" s="24">
        <f>VLOOKUP(Table2634[[#This Row],[Date]],'DB Money Supply'!$A:$D,4)</f>
        <v/>
      </c>
      <c r="C1372" s="30">
        <f>(Table2634[[#This Row],[M1 Money Stock, Billions of Dollars, Weekly, Seasonally Adjusted]]-B1371)/B1371</f>
        <v/>
      </c>
      <c r="D1372" s="34">
        <f>((1+Table2634[[#This Row],[Weekly change]])^52)-1</f>
        <v/>
      </c>
      <c r="E1372" s="24">
        <f>AVERAGE(B1369:B1372)</f>
        <v/>
      </c>
      <c r="F1372" s="32">
        <f>(Table2634[[#This Row],[4 weeks average]]-B1320)/B1320</f>
        <v/>
      </c>
    </row>
    <row r="1373">
      <c r="A1373" s="22" t="n">
        <v>36969</v>
      </c>
      <c r="B1373" s="24">
        <f>VLOOKUP(Table2634[[#This Row],[Date]],'DB Money Supply'!$A:$D,4)</f>
        <v/>
      </c>
      <c r="C1373" s="30">
        <f>(Table2634[[#This Row],[M1 Money Stock, Billions of Dollars, Weekly, Seasonally Adjusted]]-B1372)/B1372</f>
        <v/>
      </c>
      <c r="D1373" s="34">
        <f>((1+Table2634[[#This Row],[Weekly change]])^52)-1</f>
        <v/>
      </c>
      <c r="E1373" s="24">
        <f>AVERAGE(B1370:B1373)</f>
        <v/>
      </c>
      <c r="F1373" s="32">
        <f>(Table2634[[#This Row],[4 weeks average]]-B1321)/B1321</f>
        <v/>
      </c>
    </row>
    <row r="1374">
      <c r="A1374" s="22" t="n">
        <v>36976</v>
      </c>
      <c r="B1374" s="24">
        <f>VLOOKUP(Table2634[[#This Row],[Date]],'DB Money Supply'!$A:$D,4)</f>
        <v/>
      </c>
      <c r="C1374" s="30">
        <f>(Table2634[[#This Row],[M1 Money Stock, Billions of Dollars, Weekly, Seasonally Adjusted]]-B1373)/B1373</f>
        <v/>
      </c>
      <c r="D1374" s="34">
        <f>((1+Table2634[[#This Row],[Weekly change]])^52)-1</f>
        <v/>
      </c>
      <c r="E1374" s="24">
        <f>AVERAGE(B1371:B1374)</f>
        <v/>
      </c>
      <c r="F1374" s="32">
        <f>(Table2634[[#This Row],[4 weeks average]]-B1322)/B1322</f>
        <v/>
      </c>
    </row>
    <row r="1375">
      <c r="A1375" s="22" t="n">
        <v>36983</v>
      </c>
      <c r="B1375" s="24">
        <f>VLOOKUP(Table2634[[#This Row],[Date]],'DB Money Supply'!$A:$D,4)</f>
        <v/>
      </c>
      <c r="C1375" s="30">
        <f>(Table2634[[#This Row],[M1 Money Stock, Billions of Dollars, Weekly, Seasonally Adjusted]]-B1374)/B1374</f>
        <v/>
      </c>
      <c r="D1375" s="34">
        <f>((1+Table2634[[#This Row],[Weekly change]])^52)-1</f>
        <v/>
      </c>
      <c r="E1375" s="24">
        <f>AVERAGE(B1372:B1375)</f>
        <v/>
      </c>
      <c r="F1375" s="32">
        <f>(Table2634[[#This Row],[4 weeks average]]-B1323)/B1323</f>
        <v/>
      </c>
    </row>
    <row r="1376">
      <c r="A1376" s="22" t="n">
        <v>36990</v>
      </c>
      <c r="B1376" s="24">
        <f>VLOOKUP(Table2634[[#This Row],[Date]],'DB Money Supply'!$A:$D,4)</f>
        <v/>
      </c>
      <c r="C1376" s="30">
        <f>(Table2634[[#This Row],[M1 Money Stock, Billions of Dollars, Weekly, Seasonally Adjusted]]-B1375)/B1375</f>
        <v/>
      </c>
      <c r="D1376" s="34">
        <f>((1+Table2634[[#This Row],[Weekly change]])^52)-1</f>
        <v/>
      </c>
      <c r="E1376" s="24">
        <f>AVERAGE(B1373:B1376)</f>
        <v/>
      </c>
      <c r="F1376" s="32">
        <f>(Table2634[[#This Row],[4 weeks average]]-B1324)/B1324</f>
        <v/>
      </c>
    </row>
    <row r="1377">
      <c r="A1377" s="22" t="n">
        <v>36997</v>
      </c>
      <c r="B1377" s="24">
        <f>VLOOKUP(Table2634[[#This Row],[Date]],'DB Money Supply'!$A:$D,4)</f>
        <v/>
      </c>
      <c r="C1377" s="30">
        <f>(Table2634[[#This Row],[M1 Money Stock, Billions of Dollars, Weekly, Seasonally Adjusted]]-B1376)/B1376</f>
        <v/>
      </c>
      <c r="D1377" s="34">
        <f>((1+Table2634[[#This Row],[Weekly change]])^52)-1</f>
        <v/>
      </c>
      <c r="E1377" s="24">
        <f>AVERAGE(B1374:B1377)</f>
        <v/>
      </c>
      <c r="F1377" s="32">
        <f>(Table2634[[#This Row],[4 weeks average]]-B1325)/B1325</f>
        <v/>
      </c>
    </row>
    <row r="1378">
      <c r="A1378" s="22" t="n">
        <v>37004</v>
      </c>
      <c r="B1378" s="24">
        <f>VLOOKUP(Table2634[[#This Row],[Date]],'DB Money Supply'!$A:$D,4)</f>
        <v/>
      </c>
      <c r="C1378" s="30">
        <f>(Table2634[[#This Row],[M1 Money Stock, Billions of Dollars, Weekly, Seasonally Adjusted]]-B1377)/B1377</f>
        <v/>
      </c>
      <c r="D1378" s="34">
        <f>((1+Table2634[[#This Row],[Weekly change]])^52)-1</f>
        <v/>
      </c>
      <c r="E1378" s="24">
        <f>AVERAGE(B1375:B1378)</f>
        <v/>
      </c>
      <c r="F1378" s="32">
        <f>(Table2634[[#This Row],[4 weeks average]]-B1326)/B1326</f>
        <v/>
      </c>
    </row>
    <row r="1379">
      <c r="A1379" s="22" t="n">
        <v>37011</v>
      </c>
      <c r="B1379" s="24">
        <f>VLOOKUP(Table2634[[#This Row],[Date]],'DB Money Supply'!$A:$D,4)</f>
        <v/>
      </c>
      <c r="C1379" s="30">
        <f>(Table2634[[#This Row],[M1 Money Stock, Billions of Dollars, Weekly, Seasonally Adjusted]]-B1378)/B1378</f>
        <v/>
      </c>
      <c r="D1379" s="34">
        <f>((1+Table2634[[#This Row],[Weekly change]])^52)-1</f>
        <v/>
      </c>
      <c r="E1379" s="24">
        <f>AVERAGE(B1376:B1379)</f>
        <v/>
      </c>
      <c r="F1379" s="32">
        <f>(Table2634[[#This Row],[4 weeks average]]-B1327)/B1327</f>
        <v/>
      </c>
    </row>
    <row r="1380">
      <c r="A1380" s="22" t="n">
        <v>37018</v>
      </c>
      <c r="B1380" s="24">
        <f>VLOOKUP(Table2634[[#This Row],[Date]],'DB Money Supply'!$A:$D,4)</f>
        <v/>
      </c>
      <c r="C1380" s="30">
        <f>(Table2634[[#This Row],[M1 Money Stock, Billions of Dollars, Weekly, Seasonally Adjusted]]-B1379)/B1379</f>
        <v/>
      </c>
      <c r="D1380" s="34">
        <f>((1+Table2634[[#This Row],[Weekly change]])^52)-1</f>
        <v/>
      </c>
      <c r="E1380" s="24">
        <f>AVERAGE(B1377:B1380)</f>
        <v/>
      </c>
      <c r="F1380" s="32">
        <f>(Table2634[[#This Row],[4 weeks average]]-B1328)/B1328</f>
        <v/>
      </c>
    </row>
    <row r="1381">
      <c r="A1381" s="22" t="n">
        <v>37025</v>
      </c>
      <c r="B1381" s="24">
        <f>VLOOKUP(Table2634[[#This Row],[Date]],'DB Money Supply'!$A:$D,4)</f>
        <v/>
      </c>
      <c r="C1381" s="30">
        <f>(Table2634[[#This Row],[M1 Money Stock, Billions of Dollars, Weekly, Seasonally Adjusted]]-B1380)/B1380</f>
        <v/>
      </c>
      <c r="D1381" s="34">
        <f>((1+Table2634[[#This Row],[Weekly change]])^52)-1</f>
        <v/>
      </c>
      <c r="E1381" s="24">
        <f>AVERAGE(B1378:B1381)</f>
        <v/>
      </c>
      <c r="F1381" s="32">
        <f>(Table2634[[#This Row],[4 weeks average]]-B1329)/B1329</f>
        <v/>
      </c>
    </row>
    <row r="1382">
      <c r="A1382" s="22" t="n">
        <v>37032</v>
      </c>
      <c r="B1382" s="24">
        <f>VLOOKUP(Table2634[[#This Row],[Date]],'DB Money Supply'!$A:$D,4)</f>
        <v/>
      </c>
      <c r="C1382" s="30">
        <f>(Table2634[[#This Row],[M1 Money Stock, Billions of Dollars, Weekly, Seasonally Adjusted]]-B1381)/B1381</f>
        <v/>
      </c>
      <c r="D1382" s="34">
        <f>((1+Table2634[[#This Row],[Weekly change]])^52)-1</f>
        <v/>
      </c>
      <c r="E1382" s="24">
        <f>AVERAGE(B1379:B1382)</f>
        <v/>
      </c>
      <c r="F1382" s="32">
        <f>(Table2634[[#This Row],[4 weeks average]]-B1330)/B1330</f>
        <v/>
      </c>
    </row>
    <row r="1383">
      <c r="A1383" s="22" t="n">
        <v>37039</v>
      </c>
      <c r="B1383" s="24">
        <f>VLOOKUP(Table2634[[#This Row],[Date]],'DB Money Supply'!$A:$D,4)</f>
        <v/>
      </c>
      <c r="C1383" s="30">
        <f>(Table2634[[#This Row],[M1 Money Stock, Billions of Dollars, Weekly, Seasonally Adjusted]]-B1382)/B1382</f>
        <v/>
      </c>
      <c r="D1383" s="34">
        <f>((1+Table2634[[#This Row],[Weekly change]])^52)-1</f>
        <v/>
      </c>
      <c r="E1383" s="24">
        <f>AVERAGE(B1380:B1383)</f>
        <v/>
      </c>
      <c r="F1383" s="32">
        <f>(Table2634[[#This Row],[4 weeks average]]-B1331)/B1331</f>
        <v/>
      </c>
    </row>
    <row r="1384">
      <c r="A1384" s="22" t="n">
        <v>37046</v>
      </c>
      <c r="B1384" s="24">
        <f>VLOOKUP(Table2634[[#This Row],[Date]],'DB Money Supply'!$A:$D,4)</f>
        <v/>
      </c>
      <c r="C1384" s="30">
        <f>(Table2634[[#This Row],[M1 Money Stock, Billions of Dollars, Weekly, Seasonally Adjusted]]-B1383)/B1383</f>
        <v/>
      </c>
      <c r="D1384" s="34">
        <f>((1+Table2634[[#This Row],[Weekly change]])^52)-1</f>
        <v/>
      </c>
      <c r="E1384" s="24">
        <f>AVERAGE(B1381:B1384)</f>
        <v/>
      </c>
      <c r="F1384" s="32">
        <f>(Table2634[[#This Row],[4 weeks average]]-B1332)/B1332</f>
        <v/>
      </c>
    </row>
    <row r="1385">
      <c r="A1385" s="22" t="n">
        <v>37053</v>
      </c>
      <c r="B1385" s="24">
        <f>VLOOKUP(Table2634[[#This Row],[Date]],'DB Money Supply'!$A:$D,4)</f>
        <v/>
      </c>
      <c r="C1385" s="30">
        <f>(Table2634[[#This Row],[M1 Money Stock, Billions of Dollars, Weekly, Seasonally Adjusted]]-B1384)/B1384</f>
        <v/>
      </c>
      <c r="D1385" s="34">
        <f>((1+Table2634[[#This Row],[Weekly change]])^52)-1</f>
        <v/>
      </c>
      <c r="E1385" s="24">
        <f>AVERAGE(B1382:B1385)</f>
        <v/>
      </c>
      <c r="F1385" s="32">
        <f>(Table2634[[#This Row],[4 weeks average]]-B1333)/B1333</f>
        <v/>
      </c>
    </row>
    <row r="1386">
      <c r="A1386" s="22" t="n">
        <v>37060</v>
      </c>
      <c r="B1386" s="24">
        <f>VLOOKUP(Table2634[[#This Row],[Date]],'DB Money Supply'!$A:$D,4)</f>
        <v/>
      </c>
      <c r="C1386" s="30">
        <f>(Table2634[[#This Row],[M1 Money Stock, Billions of Dollars, Weekly, Seasonally Adjusted]]-B1385)/B1385</f>
        <v/>
      </c>
      <c r="D1386" s="34">
        <f>((1+Table2634[[#This Row],[Weekly change]])^52)-1</f>
        <v/>
      </c>
      <c r="E1386" s="24">
        <f>AVERAGE(B1383:B1386)</f>
        <v/>
      </c>
      <c r="F1386" s="32">
        <f>(Table2634[[#This Row],[4 weeks average]]-B1334)/B1334</f>
        <v/>
      </c>
    </row>
    <row r="1387">
      <c r="A1387" s="22" t="n">
        <v>37067</v>
      </c>
      <c r="B1387" s="24">
        <f>VLOOKUP(Table2634[[#This Row],[Date]],'DB Money Supply'!$A:$D,4)</f>
        <v/>
      </c>
      <c r="C1387" s="30">
        <f>(Table2634[[#This Row],[M1 Money Stock, Billions of Dollars, Weekly, Seasonally Adjusted]]-B1386)/B1386</f>
        <v/>
      </c>
      <c r="D1387" s="34">
        <f>((1+Table2634[[#This Row],[Weekly change]])^52)-1</f>
        <v/>
      </c>
      <c r="E1387" s="24">
        <f>AVERAGE(B1384:B1387)</f>
        <v/>
      </c>
      <c r="F1387" s="32">
        <f>(Table2634[[#This Row],[4 weeks average]]-B1335)/B1335</f>
        <v/>
      </c>
    </row>
    <row r="1388">
      <c r="A1388" s="22" t="n">
        <v>37074</v>
      </c>
      <c r="B1388" s="24">
        <f>VLOOKUP(Table2634[[#This Row],[Date]],'DB Money Supply'!$A:$D,4)</f>
        <v/>
      </c>
      <c r="C1388" s="30">
        <f>(Table2634[[#This Row],[M1 Money Stock, Billions of Dollars, Weekly, Seasonally Adjusted]]-B1387)/B1387</f>
        <v/>
      </c>
      <c r="D1388" s="34">
        <f>((1+Table2634[[#This Row],[Weekly change]])^52)-1</f>
        <v/>
      </c>
      <c r="E1388" s="24">
        <f>AVERAGE(B1385:B1388)</f>
        <v/>
      </c>
      <c r="F1388" s="32">
        <f>(Table2634[[#This Row],[4 weeks average]]-B1336)/B1336</f>
        <v/>
      </c>
    </row>
    <row r="1389">
      <c r="A1389" s="22" t="n">
        <v>37081</v>
      </c>
      <c r="B1389" s="24">
        <f>VLOOKUP(Table2634[[#This Row],[Date]],'DB Money Supply'!$A:$D,4)</f>
        <v/>
      </c>
      <c r="C1389" s="30">
        <f>(Table2634[[#This Row],[M1 Money Stock, Billions of Dollars, Weekly, Seasonally Adjusted]]-B1388)/B1388</f>
        <v/>
      </c>
      <c r="D1389" s="34">
        <f>((1+Table2634[[#This Row],[Weekly change]])^52)-1</f>
        <v/>
      </c>
      <c r="E1389" s="24">
        <f>AVERAGE(B1386:B1389)</f>
        <v/>
      </c>
      <c r="F1389" s="32">
        <f>(Table2634[[#This Row],[4 weeks average]]-B1337)/B1337</f>
        <v/>
      </c>
    </row>
    <row r="1390">
      <c r="A1390" s="22" t="n">
        <v>37088</v>
      </c>
      <c r="B1390" s="24">
        <f>VLOOKUP(Table2634[[#This Row],[Date]],'DB Money Supply'!$A:$D,4)</f>
        <v/>
      </c>
      <c r="C1390" s="30">
        <f>(Table2634[[#This Row],[M1 Money Stock, Billions of Dollars, Weekly, Seasonally Adjusted]]-B1389)/B1389</f>
        <v/>
      </c>
      <c r="D1390" s="34">
        <f>((1+Table2634[[#This Row],[Weekly change]])^52)-1</f>
        <v/>
      </c>
      <c r="E1390" s="24">
        <f>AVERAGE(B1387:B1390)</f>
        <v/>
      </c>
      <c r="F1390" s="32">
        <f>(Table2634[[#This Row],[4 weeks average]]-B1338)/B1338</f>
        <v/>
      </c>
    </row>
    <row r="1391">
      <c r="A1391" s="22" t="n">
        <v>37095</v>
      </c>
      <c r="B1391" s="24">
        <f>VLOOKUP(Table2634[[#This Row],[Date]],'DB Money Supply'!$A:$D,4)</f>
        <v/>
      </c>
      <c r="C1391" s="30">
        <f>(Table2634[[#This Row],[M1 Money Stock, Billions of Dollars, Weekly, Seasonally Adjusted]]-B1390)/B1390</f>
        <v/>
      </c>
      <c r="D1391" s="34">
        <f>((1+Table2634[[#This Row],[Weekly change]])^52)-1</f>
        <v/>
      </c>
      <c r="E1391" s="24">
        <f>AVERAGE(B1388:B1391)</f>
        <v/>
      </c>
      <c r="F1391" s="32">
        <f>(Table2634[[#This Row],[4 weeks average]]-B1339)/B1339</f>
        <v/>
      </c>
    </row>
    <row r="1392">
      <c r="A1392" s="22" t="n">
        <v>37102</v>
      </c>
      <c r="B1392" s="24">
        <f>VLOOKUP(Table2634[[#This Row],[Date]],'DB Money Supply'!$A:$D,4)</f>
        <v/>
      </c>
      <c r="C1392" s="30">
        <f>(Table2634[[#This Row],[M1 Money Stock, Billions of Dollars, Weekly, Seasonally Adjusted]]-B1391)/B1391</f>
        <v/>
      </c>
      <c r="D1392" s="34">
        <f>((1+Table2634[[#This Row],[Weekly change]])^52)-1</f>
        <v/>
      </c>
      <c r="E1392" s="24">
        <f>AVERAGE(B1389:B1392)</f>
        <v/>
      </c>
      <c r="F1392" s="32">
        <f>(Table2634[[#This Row],[4 weeks average]]-B1340)/B1340</f>
        <v/>
      </c>
    </row>
    <row r="1393">
      <c r="A1393" s="22" t="n">
        <v>37109</v>
      </c>
      <c r="B1393" s="24">
        <f>VLOOKUP(Table2634[[#This Row],[Date]],'DB Money Supply'!$A:$D,4)</f>
        <v/>
      </c>
      <c r="C1393" s="30">
        <f>(Table2634[[#This Row],[M1 Money Stock, Billions of Dollars, Weekly, Seasonally Adjusted]]-B1392)/B1392</f>
        <v/>
      </c>
      <c r="D1393" s="34">
        <f>((1+Table2634[[#This Row],[Weekly change]])^52)-1</f>
        <v/>
      </c>
      <c r="E1393" s="24">
        <f>AVERAGE(B1390:B1393)</f>
        <v/>
      </c>
      <c r="F1393" s="32">
        <f>(Table2634[[#This Row],[4 weeks average]]-B1341)/B1341</f>
        <v/>
      </c>
    </row>
    <row r="1394">
      <c r="A1394" s="22" t="n">
        <v>37116</v>
      </c>
      <c r="B1394" s="24">
        <f>VLOOKUP(Table2634[[#This Row],[Date]],'DB Money Supply'!$A:$D,4)</f>
        <v/>
      </c>
      <c r="C1394" s="30">
        <f>(Table2634[[#This Row],[M1 Money Stock, Billions of Dollars, Weekly, Seasonally Adjusted]]-B1393)/B1393</f>
        <v/>
      </c>
      <c r="D1394" s="34">
        <f>((1+Table2634[[#This Row],[Weekly change]])^52)-1</f>
        <v/>
      </c>
      <c r="E1394" s="24">
        <f>AVERAGE(B1391:B1394)</f>
        <v/>
      </c>
      <c r="F1394" s="32">
        <f>(Table2634[[#This Row],[4 weeks average]]-B1342)/B1342</f>
        <v/>
      </c>
    </row>
    <row r="1395">
      <c r="A1395" s="22" t="n">
        <v>37123</v>
      </c>
      <c r="B1395" s="24">
        <f>VLOOKUP(Table2634[[#This Row],[Date]],'DB Money Supply'!$A:$D,4)</f>
        <v/>
      </c>
      <c r="C1395" s="30">
        <f>(Table2634[[#This Row],[M1 Money Stock, Billions of Dollars, Weekly, Seasonally Adjusted]]-B1394)/B1394</f>
        <v/>
      </c>
      <c r="D1395" s="34">
        <f>((1+Table2634[[#This Row],[Weekly change]])^52)-1</f>
        <v/>
      </c>
      <c r="E1395" s="24">
        <f>AVERAGE(B1392:B1395)</f>
        <v/>
      </c>
      <c r="F1395" s="32">
        <f>(Table2634[[#This Row],[4 weeks average]]-B1343)/B1343</f>
        <v/>
      </c>
    </row>
    <row r="1396">
      <c r="A1396" s="22" t="n">
        <v>37130</v>
      </c>
      <c r="B1396" s="24">
        <f>VLOOKUP(Table2634[[#This Row],[Date]],'DB Money Supply'!$A:$D,4)</f>
        <v/>
      </c>
      <c r="C1396" s="30">
        <f>(Table2634[[#This Row],[M1 Money Stock, Billions of Dollars, Weekly, Seasonally Adjusted]]-B1395)/B1395</f>
        <v/>
      </c>
      <c r="D1396" s="34">
        <f>((1+Table2634[[#This Row],[Weekly change]])^52)-1</f>
        <v/>
      </c>
      <c r="E1396" s="24">
        <f>AVERAGE(B1393:B1396)</f>
        <v/>
      </c>
      <c r="F1396" s="32">
        <f>(Table2634[[#This Row],[4 weeks average]]-B1344)/B1344</f>
        <v/>
      </c>
    </row>
    <row r="1397">
      <c r="A1397" s="22" t="n">
        <v>37137</v>
      </c>
      <c r="B1397" s="24">
        <f>VLOOKUP(Table2634[[#This Row],[Date]],'DB Money Supply'!$A:$D,4)</f>
        <v/>
      </c>
      <c r="C1397" s="30">
        <f>(Table2634[[#This Row],[M1 Money Stock, Billions of Dollars, Weekly, Seasonally Adjusted]]-B1396)/B1396</f>
        <v/>
      </c>
      <c r="D1397" s="34">
        <f>((1+Table2634[[#This Row],[Weekly change]])^52)-1</f>
        <v/>
      </c>
      <c r="E1397" s="24">
        <f>AVERAGE(B1394:B1397)</f>
        <v/>
      </c>
      <c r="F1397" s="32">
        <f>(Table2634[[#This Row],[4 weeks average]]-B1345)/B1345</f>
        <v/>
      </c>
    </row>
    <row r="1398">
      <c r="A1398" s="22" t="n">
        <v>37144</v>
      </c>
      <c r="B1398" s="24">
        <f>VLOOKUP(Table2634[[#This Row],[Date]],'DB Money Supply'!$A:$D,4)</f>
        <v/>
      </c>
      <c r="C1398" s="30">
        <f>(Table2634[[#This Row],[M1 Money Stock, Billions of Dollars, Weekly, Seasonally Adjusted]]-B1397)/B1397</f>
        <v/>
      </c>
      <c r="D1398" s="34">
        <f>((1+Table2634[[#This Row],[Weekly change]])^52)-1</f>
        <v/>
      </c>
      <c r="E1398" s="24">
        <f>AVERAGE(B1395:B1398)</f>
        <v/>
      </c>
      <c r="F1398" s="32">
        <f>(Table2634[[#This Row],[4 weeks average]]-B1346)/B1346</f>
        <v/>
      </c>
    </row>
    <row r="1399">
      <c r="A1399" s="22" t="n">
        <v>37151</v>
      </c>
      <c r="B1399" s="24">
        <f>VLOOKUP(Table2634[[#This Row],[Date]],'DB Money Supply'!$A:$D,4)</f>
        <v/>
      </c>
      <c r="C1399" s="30">
        <f>(Table2634[[#This Row],[M1 Money Stock, Billions of Dollars, Weekly, Seasonally Adjusted]]-B1398)/B1398</f>
        <v/>
      </c>
      <c r="D1399" s="34">
        <f>((1+Table2634[[#This Row],[Weekly change]])^52)-1</f>
        <v/>
      </c>
      <c r="E1399" s="24">
        <f>AVERAGE(B1396:B1399)</f>
        <v/>
      </c>
      <c r="F1399" s="32">
        <f>(Table2634[[#This Row],[4 weeks average]]-B1347)/B1347</f>
        <v/>
      </c>
    </row>
    <row r="1400">
      <c r="A1400" s="22" t="n">
        <v>37158</v>
      </c>
      <c r="B1400" s="24">
        <f>VLOOKUP(Table2634[[#This Row],[Date]],'DB Money Supply'!$A:$D,4)</f>
        <v/>
      </c>
      <c r="C1400" s="30">
        <f>(Table2634[[#This Row],[M1 Money Stock, Billions of Dollars, Weekly, Seasonally Adjusted]]-B1399)/B1399</f>
        <v/>
      </c>
      <c r="D1400" s="34">
        <f>((1+Table2634[[#This Row],[Weekly change]])^52)-1</f>
        <v/>
      </c>
      <c r="E1400" s="24">
        <f>AVERAGE(B1397:B1400)</f>
        <v/>
      </c>
      <c r="F1400" s="32">
        <f>(Table2634[[#This Row],[4 weeks average]]-B1348)/B1348</f>
        <v/>
      </c>
    </row>
    <row r="1401">
      <c r="A1401" s="22" t="n">
        <v>37165</v>
      </c>
      <c r="B1401" s="24">
        <f>VLOOKUP(Table2634[[#This Row],[Date]],'DB Money Supply'!$A:$D,4)</f>
        <v/>
      </c>
      <c r="C1401" s="30">
        <f>(Table2634[[#This Row],[M1 Money Stock, Billions of Dollars, Weekly, Seasonally Adjusted]]-B1400)/B1400</f>
        <v/>
      </c>
      <c r="D1401" s="34">
        <f>((1+Table2634[[#This Row],[Weekly change]])^52)-1</f>
        <v/>
      </c>
      <c r="E1401" s="24">
        <f>AVERAGE(B1398:B1401)</f>
        <v/>
      </c>
      <c r="F1401" s="32">
        <f>(Table2634[[#This Row],[4 weeks average]]-B1349)/B1349</f>
        <v/>
      </c>
    </row>
    <row r="1402">
      <c r="A1402" s="22" t="n">
        <v>37172</v>
      </c>
      <c r="B1402" s="24">
        <f>VLOOKUP(Table2634[[#This Row],[Date]],'DB Money Supply'!$A:$D,4)</f>
        <v/>
      </c>
      <c r="C1402" s="30">
        <f>(Table2634[[#This Row],[M1 Money Stock, Billions of Dollars, Weekly, Seasonally Adjusted]]-B1401)/B1401</f>
        <v/>
      </c>
      <c r="D1402" s="34">
        <f>((1+Table2634[[#This Row],[Weekly change]])^52)-1</f>
        <v/>
      </c>
      <c r="E1402" s="24">
        <f>AVERAGE(B1399:B1402)</f>
        <v/>
      </c>
      <c r="F1402" s="32">
        <f>(Table2634[[#This Row],[4 weeks average]]-B1350)/B1350</f>
        <v/>
      </c>
    </row>
    <row r="1403">
      <c r="A1403" s="22" t="n">
        <v>37179</v>
      </c>
      <c r="B1403" s="24">
        <f>VLOOKUP(Table2634[[#This Row],[Date]],'DB Money Supply'!$A:$D,4)</f>
        <v/>
      </c>
      <c r="C1403" s="30">
        <f>(Table2634[[#This Row],[M1 Money Stock, Billions of Dollars, Weekly, Seasonally Adjusted]]-B1402)/B1402</f>
        <v/>
      </c>
      <c r="D1403" s="34">
        <f>((1+Table2634[[#This Row],[Weekly change]])^52)-1</f>
        <v/>
      </c>
      <c r="E1403" s="24">
        <f>AVERAGE(B1400:B1403)</f>
        <v/>
      </c>
      <c r="F1403" s="32">
        <f>(Table2634[[#This Row],[4 weeks average]]-B1351)/B1351</f>
        <v/>
      </c>
    </row>
    <row r="1404">
      <c r="A1404" s="22" t="n">
        <v>37186</v>
      </c>
      <c r="B1404" s="24">
        <f>VLOOKUP(Table2634[[#This Row],[Date]],'DB Money Supply'!$A:$D,4)</f>
        <v/>
      </c>
      <c r="C1404" s="30">
        <f>(Table2634[[#This Row],[M1 Money Stock, Billions of Dollars, Weekly, Seasonally Adjusted]]-B1403)/B1403</f>
        <v/>
      </c>
      <c r="D1404" s="34">
        <f>((1+Table2634[[#This Row],[Weekly change]])^52)-1</f>
        <v/>
      </c>
      <c r="E1404" s="24">
        <f>AVERAGE(B1401:B1404)</f>
        <v/>
      </c>
      <c r="F1404" s="32">
        <f>(Table2634[[#This Row],[4 weeks average]]-B1352)/B1352</f>
        <v/>
      </c>
    </row>
    <row r="1405">
      <c r="A1405" s="22" t="n">
        <v>37193</v>
      </c>
      <c r="B1405" s="24">
        <f>VLOOKUP(Table2634[[#This Row],[Date]],'DB Money Supply'!$A:$D,4)</f>
        <v/>
      </c>
      <c r="C1405" s="30">
        <f>(Table2634[[#This Row],[M1 Money Stock, Billions of Dollars, Weekly, Seasonally Adjusted]]-B1404)/B1404</f>
        <v/>
      </c>
      <c r="D1405" s="34">
        <f>((1+Table2634[[#This Row],[Weekly change]])^52)-1</f>
        <v/>
      </c>
      <c r="E1405" s="24">
        <f>AVERAGE(B1402:B1405)</f>
        <v/>
      </c>
      <c r="F1405" s="32">
        <f>(Table2634[[#This Row],[4 weeks average]]-B1353)/B1353</f>
        <v/>
      </c>
    </row>
    <row r="1406">
      <c r="A1406" s="22" t="n">
        <v>37200</v>
      </c>
      <c r="B1406" s="24">
        <f>VLOOKUP(Table2634[[#This Row],[Date]],'DB Money Supply'!$A:$D,4)</f>
        <v/>
      </c>
      <c r="C1406" s="30">
        <f>(Table2634[[#This Row],[M1 Money Stock, Billions of Dollars, Weekly, Seasonally Adjusted]]-B1405)/B1405</f>
        <v/>
      </c>
      <c r="D1406" s="34">
        <f>((1+Table2634[[#This Row],[Weekly change]])^52)-1</f>
        <v/>
      </c>
      <c r="E1406" s="24">
        <f>AVERAGE(B1403:B1406)</f>
        <v/>
      </c>
      <c r="F1406" s="32">
        <f>(Table2634[[#This Row],[4 weeks average]]-B1354)/B1354</f>
        <v/>
      </c>
    </row>
    <row r="1407">
      <c r="A1407" s="22" t="n">
        <v>37207</v>
      </c>
      <c r="B1407" s="24">
        <f>VLOOKUP(Table2634[[#This Row],[Date]],'DB Money Supply'!$A:$D,4)</f>
        <v/>
      </c>
      <c r="C1407" s="30">
        <f>(Table2634[[#This Row],[M1 Money Stock, Billions of Dollars, Weekly, Seasonally Adjusted]]-B1406)/B1406</f>
        <v/>
      </c>
      <c r="D1407" s="34">
        <f>((1+Table2634[[#This Row],[Weekly change]])^52)-1</f>
        <v/>
      </c>
      <c r="E1407" s="24">
        <f>AVERAGE(B1404:B1407)</f>
        <v/>
      </c>
      <c r="F1407" s="32">
        <f>(Table2634[[#This Row],[4 weeks average]]-B1355)/B1355</f>
        <v/>
      </c>
    </row>
    <row r="1408">
      <c r="A1408" s="22" t="n">
        <v>37214</v>
      </c>
      <c r="B1408" s="24">
        <f>VLOOKUP(Table2634[[#This Row],[Date]],'DB Money Supply'!$A:$D,4)</f>
        <v/>
      </c>
      <c r="C1408" s="30">
        <f>(Table2634[[#This Row],[M1 Money Stock, Billions of Dollars, Weekly, Seasonally Adjusted]]-B1407)/B1407</f>
        <v/>
      </c>
      <c r="D1408" s="34">
        <f>((1+Table2634[[#This Row],[Weekly change]])^52)-1</f>
        <v/>
      </c>
      <c r="E1408" s="24">
        <f>AVERAGE(B1405:B1408)</f>
        <v/>
      </c>
      <c r="F1408" s="32">
        <f>(Table2634[[#This Row],[4 weeks average]]-B1356)/B1356</f>
        <v/>
      </c>
    </row>
    <row r="1409">
      <c r="A1409" s="22" t="n">
        <v>37221</v>
      </c>
      <c r="B1409" s="24">
        <f>VLOOKUP(Table2634[[#This Row],[Date]],'DB Money Supply'!$A:$D,4)</f>
        <v/>
      </c>
      <c r="C1409" s="30">
        <f>(Table2634[[#This Row],[M1 Money Stock, Billions of Dollars, Weekly, Seasonally Adjusted]]-B1408)/B1408</f>
        <v/>
      </c>
      <c r="D1409" s="34">
        <f>((1+Table2634[[#This Row],[Weekly change]])^52)-1</f>
        <v/>
      </c>
      <c r="E1409" s="24">
        <f>AVERAGE(B1406:B1409)</f>
        <v/>
      </c>
      <c r="F1409" s="32">
        <f>(Table2634[[#This Row],[4 weeks average]]-B1357)/B1357</f>
        <v/>
      </c>
    </row>
    <row r="1410">
      <c r="A1410" s="22" t="n">
        <v>37228</v>
      </c>
      <c r="B1410" s="24">
        <f>VLOOKUP(Table2634[[#This Row],[Date]],'DB Money Supply'!$A:$D,4)</f>
        <v/>
      </c>
      <c r="C1410" s="30">
        <f>(Table2634[[#This Row],[M1 Money Stock, Billions of Dollars, Weekly, Seasonally Adjusted]]-B1409)/B1409</f>
        <v/>
      </c>
      <c r="D1410" s="34">
        <f>((1+Table2634[[#This Row],[Weekly change]])^52)-1</f>
        <v/>
      </c>
      <c r="E1410" s="24">
        <f>AVERAGE(B1407:B1410)</f>
        <v/>
      </c>
      <c r="F1410" s="32">
        <f>(Table2634[[#This Row],[4 weeks average]]-B1358)/B1358</f>
        <v/>
      </c>
    </row>
    <row r="1411">
      <c r="A1411" s="22" t="n">
        <v>37235</v>
      </c>
      <c r="B1411" s="24">
        <f>VLOOKUP(Table2634[[#This Row],[Date]],'DB Money Supply'!$A:$D,4)</f>
        <v/>
      </c>
      <c r="C1411" s="30">
        <f>(Table2634[[#This Row],[M1 Money Stock, Billions of Dollars, Weekly, Seasonally Adjusted]]-B1410)/B1410</f>
        <v/>
      </c>
      <c r="D1411" s="34">
        <f>((1+Table2634[[#This Row],[Weekly change]])^52)-1</f>
        <v/>
      </c>
      <c r="E1411" s="24">
        <f>AVERAGE(B1408:B1411)</f>
        <v/>
      </c>
      <c r="F1411" s="32">
        <f>(Table2634[[#This Row],[4 weeks average]]-B1359)/B1359</f>
        <v/>
      </c>
    </row>
    <row r="1412">
      <c r="A1412" s="22" t="n">
        <v>37242</v>
      </c>
      <c r="B1412" s="24">
        <f>VLOOKUP(Table2634[[#This Row],[Date]],'DB Money Supply'!$A:$D,4)</f>
        <v/>
      </c>
      <c r="C1412" s="30">
        <f>(Table2634[[#This Row],[M1 Money Stock, Billions of Dollars, Weekly, Seasonally Adjusted]]-B1411)/B1411</f>
        <v/>
      </c>
      <c r="D1412" s="34">
        <f>((1+Table2634[[#This Row],[Weekly change]])^52)-1</f>
        <v/>
      </c>
      <c r="E1412" s="24">
        <f>AVERAGE(B1409:B1412)</f>
        <v/>
      </c>
      <c r="F1412" s="32">
        <f>(Table2634[[#This Row],[4 weeks average]]-B1360)/B1360</f>
        <v/>
      </c>
    </row>
    <row r="1413">
      <c r="A1413" s="22" t="n">
        <v>37249</v>
      </c>
      <c r="B1413" s="24">
        <f>VLOOKUP(Table2634[[#This Row],[Date]],'DB Money Supply'!$A:$D,4)</f>
        <v/>
      </c>
      <c r="C1413" s="30">
        <f>(Table2634[[#This Row],[M1 Money Stock, Billions of Dollars, Weekly, Seasonally Adjusted]]-B1412)/B1412</f>
        <v/>
      </c>
      <c r="D1413" s="34">
        <f>((1+Table2634[[#This Row],[Weekly change]])^52)-1</f>
        <v/>
      </c>
      <c r="E1413" s="24">
        <f>AVERAGE(B1410:B1413)</f>
        <v/>
      </c>
      <c r="F1413" s="32">
        <f>(Table2634[[#This Row],[4 weeks average]]-B1361)/B1361</f>
        <v/>
      </c>
    </row>
    <row r="1414">
      <c r="A1414" s="22" t="n">
        <v>37256</v>
      </c>
      <c r="B1414" s="24">
        <f>VLOOKUP(Table2634[[#This Row],[Date]],'DB Money Supply'!$A:$D,4)</f>
        <v/>
      </c>
      <c r="C1414" s="30">
        <f>(Table2634[[#This Row],[M1 Money Stock, Billions of Dollars, Weekly, Seasonally Adjusted]]-B1413)/B1413</f>
        <v/>
      </c>
      <c r="D1414" s="34">
        <f>((1+Table2634[[#This Row],[Weekly change]])^52)-1</f>
        <v/>
      </c>
      <c r="E1414" s="24">
        <f>AVERAGE(B1411:B1414)</f>
        <v/>
      </c>
      <c r="F1414" s="32">
        <f>(Table2634[[#This Row],[4 weeks average]]-B1362)/B1362</f>
        <v/>
      </c>
    </row>
    <row r="1415">
      <c r="A1415" s="22" t="n">
        <v>37263</v>
      </c>
      <c r="B1415" s="24">
        <f>VLOOKUP(Table2634[[#This Row],[Date]],'DB Money Supply'!$A:$D,4)</f>
        <v/>
      </c>
      <c r="C1415" s="30">
        <f>(Table2634[[#This Row],[M1 Money Stock, Billions of Dollars, Weekly, Seasonally Adjusted]]-B1414)/B1414</f>
        <v/>
      </c>
      <c r="D1415" s="34">
        <f>((1+Table2634[[#This Row],[Weekly change]])^52)-1</f>
        <v/>
      </c>
      <c r="E1415" s="24">
        <f>AVERAGE(B1412:B1415)</f>
        <v/>
      </c>
      <c r="F1415" s="32">
        <f>(Table2634[[#This Row],[4 weeks average]]-B1363)/B1363</f>
        <v/>
      </c>
    </row>
    <row r="1416">
      <c r="A1416" s="22" t="n">
        <v>37270</v>
      </c>
      <c r="B1416" s="24">
        <f>VLOOKUP(Table2634[[#This Row],[Date]],'DB Money Supply'!$A:$D,4)</f>
        <v/>
      </c>
      <c r="C1416" s="30">
        <f>(Table2634[[#This Row],[M1 Money Stock, Billions of Dollars, Weekly, Seasonally Adjusted]]-B1415)/B1415</f>
        <v/>
      </c>
      <c r="D1416" s="34">
        <f>((1+Table2634[[#This Row],[Weekly change]])^52)-1</f>
        <v/>
      </c>
      <c r="E1416" s="24">
        <f>AVERAGE(B1413:B1416)</f>
        <v/>
      </c>
      <c r="F1416" s="32">
        <f>(Table2634[[#This Row],[4 weeks average]]-B1364)/B1364</f>
        <v/>
      </c>
    </row>
    <row r="1417">
      <c r="A1417" s="22" t="n">
        <v>37277</v>
      </c>
      <c r="B1417" s="24">
        <f>VLOOKUP(Table2634[[#This Row],[Date]],'DB Money Supply'!$A:$D,4)</f>
        <v/>
      </c>
      <c r="C1417" s="30">
        <f>(Table2634[[#This Row],[M1 Money Stock, Billions of Dollars, Weekly, Seasonally Adjusted]]-B1416)/B1416</f>
        <v/>
      </c>
      <c r="D1417" s="34">
        <f>((1+Table2634[[#This Row],[Weekly change]])^52)-1</f>
        <v/>
      </c>
      <c r="E1417" s="24">
        <f>AVERAGE(B1414:B1417)</f>
        <v/>
      </c>
      <c r="F1417" s="32">
        <f>(Table2634[[#This Row],[4 weeks average]]-B1365)/B1365</f>
        <v/>
      </c>
    </row>
    <row r="1418">
      <c r="A1418" s="22" t="n">
        <v>37284</v>
      </c>
      <c r="B1418" s="24">
        <f>VLOOKUP(Table2634[[#This Row],[Date]],'DB Money Supply'!$A:$D,4)</f>
        <v/>
      </c>
      <c r="C1418" s="30">
        <f>(Table2634[[#This Row],[M1 Money Stock, Billions of Dollars, Weekly, Seasonally Adjusted]]-B1417)/B1417</f>
        <v/>
      </c>
      <c r="D1418" s="34">
        <f>((1+Table2634[[#This Row],[Weekly change]])^52)-1</f>
        <v/>
      </c>
      <c r="E1418" s="24">
        <f>AVERAGE(B1415:B1418)</f>
        <v/>
      </c>
      <c r="F1418" s="32">
        <f>(Table2634[[#This Row],[4 weeks average]]-B1366)/B1366</f>
        <v/>
      </c>
    </row>
    <row r="1419">
      <c r="A1419" s="22" t="n">
        <v>37291</v>
      </c>
      <c r="B1419" s="24">
        <f>VLOOKUP(Table2634[[#This Row],[Date]],'DB Money Supply'!$A:$D,4)</f>
        <v/>
      </c>
      <c r="C1419" s="30">
        <f>(Table2634[[#This Row],[M1 Money Stock, Billions of Dollars, Weekly, Seasonally Adjusted]]-B1418)/B1418</f>
        <v/>
      </c>
      <c r="D1419" s="34">
        <f>((1+Table2634[[#This Row],[Weekly change]])^52)-1</f>
        <v/>
      </c>
      <c r="E1419" s="24">
        <f>AVERAGE(B1416:B1419)</f>
        <v/>
      </c>
      <c r="F1419" s="32">
        <f>(Table2634[[#This Row],[4 weeks average]]-B1367)/B1367</f>
        <v/>
      </c>
    </row>
    <row r="1420">
      <c r="A1420" s="22" t="n">
        <v>37298</v>
      </c>
      <c r="B1420" s="24">
        <f>VLOOKUP(Table2634[[#This Row],[Date]],'DB Money Supply'!$A:$D,4)</f>
        <v/>
      </c>
      <c r="C1420" s="30">
        <f>(Table2634[[#This Row],[M1 Money Stock, Billions of Dollars, Weekly, Seasonally Adjusted]]-B1419)/B1419</f>
        <v/>
      </c>
      <c r="D1420" s="34">
        <f>((1+Table2634[[#This Row],[Weekly change]])^52)-1</f>
        <v/>
      </c>
      <c r="E1420" s="24">
        <f>AVERAGE(B1417:B1420)</f>
        <v/>
      </c>
      <c r="F1420" s="32">
        <f>(Table2634[[#This Row],[4 weeks average]]-B1368)/B1368</f>
        <v/>
      </c>
    </row>
    <row r="1421">
      <c r="A1421" s="22" t="n">
        <v>37305</v>
      </c>
      <c r="B1421" s="24">
        <f>VLOOKUP(Table2634[[#This Row],[Date]],'DB Money Supply'!$A:$D,4)</f>
        <v/>
      </c>
      <c r="C1421" s="30">
        <f>(Table2634[[#This Row],[M1 Money Stock, Billions of Dollars, Weekly, Seasonally Adjusted]]-B1420)/B1420</f>
        <v/>
      </c>
      <c r="D1421" s="34">
        <f>((1+Table2634[[#This Row],[Weekly change]])^52)-1</f>
        <v/>
      </c>
      <c r="E1421" s="24">
        <f>AVERAGE(B1418:B1421)</f>
        <v/>
      </c>
      <c r="F1421" s="32">
        <f>(Table2634[[#This Row],[4 weeks average]]-B1369)/B1369</f>
        <v/>
      </c>
    </row>
    <row r="1422">
      <c r="A1422" s="22" t="n">
        <v>37312</v>
      </c>
      <c r="B1422" s="24">
        <f>VLOOKUP(Table2634[[#This Row],[Date]],'DB Money Supply'!$A:$D,4)</f>
        <v/>
      </c>
      <c r="C1422" s="30">
        <f>(Table2634[[#This Row],[M1 Money Stock, Billions of Dollars, Weekly, Seasonally Adjusted]]-B1421)/B1421</f>
        <v/>
      </c>
      <c r="D1422" s="34">
        <f>((1+Table2634[[#This Row],[Weekly change]])^52)-1</f>
        <v/>
      </c>
      <c r="E1422" s="24">
        <f>AVERAGE(B1419:B1422)</f>
        <v/>
      </c>
      <c r="F1422" s="32">
        <f>(Table2634[[#This Row],[4 weeks average]]-B1370)/B1370</f>
        <v/>
      </c>
    </row>
    <row r="1423">
      <c r="A1423" s="22" t="n">
        <v>37319</v>
      </c>
      <c r="B1423" s="24">
        <f>VLOOKUP(Table2634[[#This Row],[Date]],'DB Money Supply'!$A:$D,4)</f>
        <v/>
      </c>
      <c r="C1423" s="30">
        <f>(Table2634[[#This Row],[M1 Money Stock, Billions of Dollars, Weekly, Seasonally Adjusted]]-B1422)/B1422</f>
        <v/>
      </c>
      <c r="D1423" s="34">
        <f>((1+Table2634[[#This Row],[Weekly change]])^52)-1</f>
        <v/>
      </c>
      <c r="E1423" s="24">
        <f>AVERAGE(B1420:B1423)</f>
        <v/>
      </c>
      <c r="F1423" s="32">
        <f>(Table2634[[#This Row],[4 weeks average]]-B1371)/B1371</f>
        <v/>
      </c>
    </row>
    <row r="1424">
      <c r="A1424" s="22" t="n">
        <v>37326</v>
      </c>
      <c r="B1424" s="24">
        <f>VLOOKUP(Table2634[[#This Row],[Date]],'DB Money Supply'!$A:$D,4)</f>
        <v/>
      </c>
      <c r="C1424" s="30">
        <f>(Table2634[[#This Row],[M1 Money Stock, Billions of Dollars, Weekly, Seasonally Adjusted]]-B1423)/B1423</f>
        <v/>
      </c>
      <c r="D1424" s="34">
        <f>((1+Table2634[[#This Row],[Weekly change]])^52)-1</f>
        <v/>
      </c>
      <c r="E1424" s="24">
        <f>AVERAGE(B1421:B1424)</f>
        <v/>
      </c>
      <c r="F1424" s="32">
        <f>(Table2634[[#This Row],[4 weeks average]]-B1372)/B1372</f>
        <v/>
      </c>
    </row>
    <row r="1425">
      <c r="A1425" s="22" t="n">
        <v>37333</v>
      </c>
      <c r="B1425" s="24">
        <f>VLOOKUP(Table2634[[#This Row],[Date]],'DB Money Supply'!$A:$D,4)</f>
        <v/>
      </c>
      <c r="C1425" s="30">
        <f>(Table2634[[#This Row],[M1 Money Stock, Billions of Dollars, Weekly, Seasonally Adjusted]]-B1424)/B1424</f>
        <v/>
      </c>
      <c r="D1425" s="34">
        <f>((1+Table2634[[#This Row],[Weekly change]])^52)-1</f>
        <v/>
      </c>
      <c r="E1425" s="24">
        <f>AVERAGE(B1422:B1425)</f>
        <v/>
      </c>
      <c r="F1425" s="32">
        <f>(Table2634[[#This Row],[4 weeks average]]-B1373)/B1373</f>
        <v/>
      </c>
    </row>
    <row r="1426">
      <c r="A1426" s="22" t="n">
        <v>37340</v>
      </c>
      <c r="B1426" s="24">
        <f>VLOOKUP(Table2634[[#This Row],[Date]],'DB Money Supply'!$A:$D,4)</f>
        <v/>
      </c>
      <c r="C1426" s="30">
        <f>(Table2634[[#This Row],[M1 Money Stock, Billions of Dollars, Weekly, Seasonally Adjusted]]-B1425)/B1425</f>
        <v/>
      </c>
      <c r="D1426" s="34">
        <f>((1+Table2634[[#This Row],[Weekly change]])^52)-1</f>
        <v/>
      </c>
      <c r="E1426" s="24">
        <f>AVERAGE(B1423:B1426)</f>
        <v/>
      </c>
      <c r="F1426" s="32">
        <f>(Table2634[[#This Row],[4 weeks average]]-B1374)/B1374</f>
        <v/>
      </c>
    </row>
    <row r="1427">
      <c r="A1427" s="22" t="n">
        <v>37347</v>
      </c>
      <c r="B1427" s="24">
        <f>VLOOKUP(Table2634[[#This Row],[Date]],'DB Money Supply'!$A:$D,4)</f>
        <v/>
      </c>
      <c r="C1427" s="30">
        <f>(Table2634[[#This Row],[M1 Money Stock, Billions of Dollars, Weekly, Seasonally Adjusted]]-B1426)/B1426</f>
        <v/>
      </c>
      <c r="D1427" s="34">
        <f>((1+Table2634[[#This Row],[Weekly change]])^52)-1</f>
        <v/>
      </c>
      <c r="E1427" s="24">
        <f>AVERAGE(B1424:B1427)</f>
        <v/>
      </c>
      <c r="F1427" s="32">
        <f>(Table2634[[#This Row],[4 weeks average]]-B1375)/B1375</f>
        <v/>
      </c>
    </row>
    <row r="1428">
      <c r="A1428" s="22" t="n">
        <v>37354</v>
      </c>
      <c r="B1428" s="24">
        <f>VLOOKUP(Table2634[[#This Row],[Date]],'DB Money Supply'!$A:$D,4)</f>
        <v/>
      </c>
      <c r="C1428" s="30">
        <f>(Table2634[[#This Row],[M1 Money Stock, Billions of Dollars, Weekly, Seasonally Adjusted]]-B1427)/B1427</f>
        <v/>
      </c>
      <c r="D1428" s="34">
        <f>((1+Table2634[[#This Row],[Weekly change]])^52)-1</f>
        <v/>
      </c>
      <c r="E1428" s="24">
        <f>AVERAGE(B1425:B1428)</f>
        <v/>
      </c>
      <c r="F1428" s="32">
        <f>(Table2634[[#This Row],[4 weeks average]]-B1376)/B1376</f>
        <v/>
      </c>
    </row>
    <row r="1429">
      <c r="A1429" s="22" t="n">
        <v>37361</v>
      </c>
      <c r="B1429" s="24">
        <f>VLOOKUP(Table2634[[#This Row],[Date]],'DB Money Supply'!$A:$D,4)</f>
        <v/>
      </c>
      <c r="C1429" s="30">
        <f>(Table2634[[#This Row],[M1 Money Stock, Billions of Dollars, Weekly, Seasonally Adjusted]]-B1428)/B1428</f>
        <v/>
      </c>
      <c r="D1429" s="34">
        <f>((1+Table2634[[#This Row],[Weekly change]])^52)-1</f>
        <v/>
      </c>
      <c r="E1429" s="24">
        <f>AVERAGE(B1426:B1429)</f>
        <v/>
      </c>
      <c r="F1429" s="32">
        <f>(Table2634[[#This Row],[4 weeks average]]-B1377)/B1377</f>
        <v/>
      </c>
    </row>
    <row r="1430">
      <c r="A1430" s="22" t="n">
        <v>37368</v>
      </c>
      <c r="B1430" s="24">
        <f>VLOOKUP(Table2634[[#This Row],[Date]],'DB Money Supply'!$A:$D,4)</f>
        <v/>
      </c>
      <c r="C1430" s="30">
        <f>(Table2634[[#This Row],[M1 Money Stock, Billions of Dollars, Weekly, Seasonally Adjusted]]-B1429)/B1429</f>
        <v/>
      </c>
      <c r="D1430" s="34">
        <f>((1+Table2634[[#This Row],[Weekly change]])^52)-1</f>
        <v/>
      </c>
      <c r="E1430" s="24">
        <f>AVERAGE(B1427:B1430)</f>
        <v/>
      </c>
      <c r="F1430" s="32">
        <f>(Table2634[[#This Row],[4 weeks average]]-B1378)/B1378</f>
        <v/>
      </c>
    </row>
    <row r="1431">
      <c r="A1431" s="22" t="n">
        <v>37375</v>
      </c>
      <c r="B1431" s="24">
        <f>VLOOKUP(Table2634[[#This Row],[Date]],'DB Money Supply'!$A:$D,4)</f>
        <v/>
      </c>
      <c r="C1431" s="30">
        <f>(Table2634[[#This Row],[M1 Money Stock, Billions of Dollars, Weekly, Seasonally Adjusted]]-B1430)/B1430</f>
        <v/>
      </c>
      <c r="D1431" s="34">
        <f>((1+Table2634[[#This Row],[Weekly change]])^52)-1</f>
        <v/>
      </c>
      <c r="E1431" s="24">
        <f>AVERAGE(B1428:B1431)</f>
        <v/>
      </c>
      <c r="F1431" s="32">
        <f>(Table2634[[#This Row],[4 weeks average]]-B1379)/B1379</f>
        <v/>
      </c>
    </row>
    <row r="1432">
      <c r="A1432" s="22" t="n">
        <v>37382</v>
      </c>
      <c r="B1432" s="24">
        <f>VLOOKUP(Table2634[[#This Row],[Date]],'DB Money Supply'!$A:$D,4)</f>
        <v/>
      </c>
      <c r="C1432" s="30">
        <f>(Table2634[[#This Row],[M1 Money Stock, Billions of Dollars, Weekly, Seasonally Adjusted]]-B1431)/B1431</f>
        <v/>
      </c>
      <c r="D1432" s="34">
        <f>((1+Table2634[[#This Row],[Weekly change]])^52)-1</f>
        <v/>
      </c>
      <c r="E1432" s="24">
        <f>AVERAGE(B1429:B1432)</f>
        <v/>
      </c>
      <c r="F1432" s="32">
        <f>(Table2634[[#This Row],[4 weeks average]]-B1380)/B1380</f>
        <v/>
      </c>
    </row>
    <row r="1433">
      <c r="A1433" s="22" t="n">
        <v>37389</v>
      </c>
      <c r="B1433" s="24">
        <f>VLOOKUP(Table2634[[#This Row],[Date]],'DB Money Supply'!$A:$D,4)</f>
        <v/>
      </c>
      <c r="C1433" s="30">
        <f>(Table2634[[#This Row],[M1 Money Stock, Billions of Dollars, Weekly, Seasonally Adjusted]]-B1432)/B1432</f>
        <v/>
      </c>
      <c r="D1433" s="34">
        <f>((1+Table2634[[#This Row],[Weekly change]])^52)-1</f>
        <v/>
      </c>
      <c r="E1433" s="24">
        <f>AVERAGE(B1430:B1433)</f>
        <v/>
      </c>
      <c r="F1433" s="32">
        <f>(Table2634[[#This Row],[4 weeks average]]-B1381)/B1381</f>
        <v/>
      </c>
    </row>
    <row r="1434">
      <c r="A1434" s="22" t="n">
        <v>37396</v>
      </c>
      <c r="B1434" s="24">
        <f>VLOOKUP(Table2634[[#This Row],[Date]],'DB Money Supply'!$A:$D,4)</f>
        <v/>
      </c>
      <c r="C1434" s="30">
        <f>(Table2634[[#This Row],[M1 Money Stock, Billions of Dollars, Weekly, Seasonally Adjusted]]-B1433)/B1433</f>
        <v/>
      </c>
      <c r="D1434" s="34">
        <f>((1+Table2634[[#This Row],[Weekly change]])^52)-1</f>
        <v/>
      </c>
      <c r="E1434" s="24">
        <f>AVERAGE(B1431:B1434)</f>
        <v/>
      </c>
      <c r="F1434" s="32">
        <f>(Table2634[[#This Row],[4 weeks average]]-B1382)/B1382</f>
        <v/>
      </c>
    </row>
    <row r="1435">
      <c r="A1435" s="22" t="n">
        <v>37403</v>
      </c>
      <c r="B1435" s="24">
        <f>VLOOKUP(Table2634[[#This Row],[Date]],'DB Money Supply'!$A:$D,4)</f>
        <v/>
      </c>
      <c r="C1435" s="30">
        <f>(Table2634[[#This Row],[M1 Money Stock, Billions of Dollars, Weekly, Seasonally Adjusted]]-B1434)/B1434</f>
        <v/>
      </c>
      <c r="D1435" s="34">
        <f>((1+Table2634[[#This Row],[Weekly change]])^52)-1</f>
        <v/>
      </c>
      <c r="E1435" s="24">
        <f>AVERAGE(B1432:B1435)</f>
        <v/>
      </c>
      <c r="F1435" s="32">
        <f>(Table2634[[#This Row],[4 weeks average]]-B1383)/B1383</f>
        <v/>
      </c>
    </row>
    <row r="1436">
      <c r="A1436" s="22" t="n">
        <v>37410</v>
      </c>
      <c r="B1436" s="24">
        <f>VLOOKUP(Table2634[[#This Row],[Date]],'DB Money Supply'!$A:$D,4)</f>
        <v/>
      </c>
      <c r="C1436" s="30">
        <f>(Table2634[[#This Row],[M1 Money Stock, Billions of Dollars, Weekly, Seasonally Adjusted]]-B1435)/B1435</f>
        <v/>
      </c>
      <c r="D1436" s="34">
        <f>((1+Table2634[[#This Row],[Weekly change]])^52)-1</f>
        <v/>
      </c>
      <c r="E1436" s="24">
        <f>AVERAGE(B1433:B1436)</f>
        <v/>
      </c>
      <c r="F1436" s="32">
        <f>(Table2634[[#This Row],[4 weeks average]]-B1384)/B1384</f>
        <v/>
      </c>
    </row>
    <row r="1437">
      <c r="A1437" s="22" t="n">
        <v>37417</v>
      </c>
      <c r="B1437" s="24">
        <f>VLOOKUP(Table2634[[#This Row],[Date]],'DB Money Supply'!$A:$D,4)</f>
        <v/>
      </c>
      <c r="C1437" s="30">
        <f>(Table2634[[#This Row],[M1 Money Stock, Billions of Dollars, Weekly, Seasonally Adjusted]]-B1436)/B1436</f>
        <v/>
      </c>
      <c r="D1437" s="34">
        <f>((1+Table2634[[#This Row],[Weekly change]])^52)-1</f>
        <v/>
      </c>
      <c r="E1437" s="24">
        <f>AVERAGE(B1434:B1437)</f>
        <v/>
      </c>
      <c r="F1437" s="32">
        <f>(Table2634[[#This Row],[4 weeks average]]-B1385)/B1385</f>
        <v/>
      </c>
    </row>
    <row r="1438">
      <c r="A1438" s="22" t="n">
        <v>37424</v>
      </c>
      <c r="B1438" s="24">
        <f>VLOOKUP(Table2634[[#This Row],[Date]],'DB Money Supply'!$A:$D,4)</f>
        <v/>
      </c>
      <c r="C1438" s="30">
        <f>(Table2634[[#This Row],[M1 Money Stock, Billions of Dollars, Weekly, Seasonally Adjusted]]-B1437)/B1437</f>
        <v/>
      </c>
      <c r="D1438" s="34">
        <f>((1+Table2634[[#This Row],[Weekly change]])^52)-1</f>
        <v/>
      </c>
      <c r="E1438" s="24">
        <f>AVERAGE(B1435:B1438)</f>
        <v/>
      </c>
      <c r="F1438" s="32">
        <f>(Table2634[[#This Row],[4 weeks average]]-B1386)/B1386</f>
        <v/>
      </c>
    </row>
    <row r="1439">
      <c r="A1439" s="22" t="n">
        <v>37431</v>
      </c>
      <c r="B1439" s="24">
        <f>VLOOKUP(Table2634[[#This Row],[Date]],'DB Money Supply'!$A:$D,4)</f>
        <v/>
      </c>
      <c r="C1439" s="30">
        <f>(Table2634[[#This Row],[M1 Money Stock, Billions of Dollars, Weekly, Seasonally Adjusted]]-B1438)/B1438</f>
        <v/>
      </c>
      <c r="D1439" s="34">
        <f>((1+Table2634[[#This Row],[Weekly change]])^52)-1</f>
        <v/>
      </c>
      <c r="E1439" s="24">
        <f>AVERAGE(B1436:B1439)</f>
        <v/>
      </c>
      <c r="F1439" s="32">
        <f>(Table2634[[#This Row],[4 weeks average]]-B1387)/B1387</f>
        <v/>
      </c>
    </row>
    <row r="1440">
      <c r="A1440" s="22" t="n">
        <v>37438</v>
      </c>
      <c r="B1440" s="24">
        <f>VLOOKUP(Table2634[[#This Row],[Date]],'DB Money Supply'!$A:$D,4)</f>
        <v/>
      </c>
      <c r="C1440" s="30">
        <f>(Table2634[[#This Row],[M1 Money Stock, Billions of Dollars, Weekly, Seasonally Adjusted]]-B1439)/B1439</f>
        <v/>
      </c>
      <c r="D1440" s="34">
        <f>((1+Table2634[[#This Row],[Weekly change]])^52)-1</f>
        <v/>
      </c>
      <c r="E1440" s="24">
        <f>AVERAGE(B1437:B1440)</f>
        <v/>
      </c>
      <c r="F1440" s="32">
        <f>(Table2634[[#This Row],[4 weeks average]]-B1388)/B1388</f>
        <v/>
      </c>
    </row>
    <row r="1441">
      <c r="A1441" s="22" t="n">
        <v>37445</v>
      </c>
      <c r="B1441" s="24">
        <f>VLOOKUP(Table2634[[#This Row],[Date]],'DB Money Supply'!$A:$D,4)</f>
        <v/>
      </c>
      <c r="C1441" s="30">
        <f>(Table2634[[#This Row],[M1 Money Stock, Billions of Dollars, Weekly, Seasonally Adjusted]]-B1440)/B1440</f>
        <v/>
      </c>
      <c r="D1441" s="34">
        <f>((1+Table2634[[#This Row],[Weekly change]])^52)-1</f>
        <v/>
      </c>
      <c r="E1441" s="24">
        <f>AVERAGE(B1438:B1441)</f>
        <v/>
      </c>
      <c r="F1441" s="32">
        <f>(Table2634[[#This Row],[4 weeks average]]-B1389)/B1389</f>
        <v/>
      </c>
    </row>
    <row r="1442">
      <c r="A1442" s="22" t="n">
        <v>37452</v>
      </c>
      <c r="B1442" s="24">
        <f>VLOOKUP(Table2634[[#This Row],[Date]],'DB Money Supply'!$A:$D,4)</f>
        <v/>
      </c>
      <c r="C1442" s="30">
        <f>(Table2634[[#This Row],[M1 Money Stock, Billions of Dollars, Weekly, Seasonally Adjusted]]-B1441)/B1441</f>
        <v/>
      </c>
      <c r="D1442" s="34">
        <f>((1+Table2634[[#This Row],[Weekly change]])^52)-1</f>
        <v/>
      </c>
      <c r="E1442" s="24">
        <f>AVERAGE(B1439:B1442)</f>
        <v/>
      </c>
      <c r="F1442" s="32">
        <f>(Table2634[[#This Row],[4 weeks average]]-B1390)/B1390</f>
        <v/>
      </c>
    </row>
    <row r="1443">
      <c r="A1443" s="22" t="n">
        <v>37459</v>
      </c>
      <c r="B1443" s="24">
        <f>VLOOKUP(Table2634[[#This Row],[Date]],'DB Money Supply'!$A:$D,4)</f>
        <v/>
      </c>
      <c r="C1443" s="30">
        <f>(Table2634[[#This Row],[M1 Money Stock, Billions of Dollars, Weekly, Seasonally Adjusted]]-B1442)/B1442</f>
        <v/>
      </c>
      <c r="D1443" s="34">
        <f>((1+Table2634[[#This Row],[Weekly change]])^52)-1</f>
        <v/>
      </c>
      <c r="E1443" s="24">
        <f>AVERAGE(B1440:B1443)</f>
        <v/>
      </c>
      <c r="F1443" s="32">
        <f>(Table2634[[#This Row],[4 weeks average]]-B1391)/B1391</f>
        <v/>
      </c>
    </row>
    <row r="1444">
      <c r="A1444" s="22" t="n">
        <v>37466</v>
      </c>
      <c r="B1444" s="24">
        <f>VLOOKUP(Table2634[[#This Row],[Date]],'DB Money Supply'!$A:$D,4)</f>
        <v/>
      </c>
      <c r="C1444" s="30">
        <f>(Table2634[[#This Row],[M1 Money Stock, Billions of Dollars, Weekly, Seasonally Adjusted]]-B1443)/B1443</f>
        <v/>
      </c>
      <c r="D1444" s="34">
        <f>((1+Table2634[[#This Row],[Weekly change]])^52)-1</f>
        <v/>
      </c>
      <c r="E1444" s="24">
        <f>AVERAGE(B1441:B1444)</f>
        <v/>
      </c>
      <c r="F1444" s="32">
        <f>(Table2634[[#This Row],[4 weeks average]]-B1392)/B1392</f>
        <v/>
      </c>
    </row>
    <row r="1445">
      <c r="A1445" s="22" t="n">
        <v>37473</v>
      </c>
      <c r="B1445" s="24">
        <f>VLOOKUP(Table2634[[#This Row],[Date]],'DB Money Supply'!$A:$D,4)</f>
        <v/>
      </c>
      <c r="C1445" s="30">
        <f>(Table2634[[#This Row],[M1 Money Stock, Billions of Dollars, Weekly, Seasonally Adjusted]]-B1444)/B1444</f>
        <v/>
      </c>
      <c r="D1445" s="34">
        <f>((1+Table2634[[#This Row],[Weekly change]])^52)-1</f>
        <v/>
      </c>
      <c r="E1445" s="24">
        <f>AVERAGE(B1442:B1445)</f>
        <v/>
      </c>
      <c r="F1445" s="32">
        <f>(Table2634[[#This Row],[4 weeks average]]-B1393)/B1393</f>
        <v/>
      </c>
    </row>
    <row r="1446">
      <c r="A1446" s="22" t="n">
        <v>37480</v>
      </c>
      <c r="B1446" s="24">
        <f>VLOOKUP(Table2634[[#This Row],[Date]],'DB Money Supply'!$A:$D,4)</f>
        <v/>
      </c>
      <c r="C1446" s="30">
        <f>(Table2634[[#This Row],[M1 Money Stock, Billions of Dollars, Weekly, Seasonally Adjusted]]-B1445)/B1445</f>
        <v/>
      </c>
      <c r="D1446" s="34">
        <f>((1+Table2634[[#This Row],[Weekly change]])^52)-1</f>
        <v/>
      </c>
      <c r="E1446" s="24">
        <f>AVERAGE(B1443:B1446)</f>
        <v/>
      </c>
      <c r="F1446" s="32">
        <f>(Table2634[[#This Row],[4 weeks average]]-B1394)/B1394</f>
        <v/>
      </c>
    </row>
    <row r="1447">
      <c r="A1447" s="22" t="n">
        <v>37487</v>
      </c>
      <c r="B1447" s="24">
        <f>VLOOKUP(Table2634[[#This Row],[Date]],'DB Money Supply'!$A:$D,4)</f>
        <v/>
      </c>
      <c r="C1447" s="30">
        <f>(Table2634[[#This Row],[M1 Money Stock, Billions of Dollars, Weekly, Seasonally Adjusted]]-B1446)/B1446</f>
        <v/>
      </c>
      <c r="D1447" s="34">
        <f>((1+Table2634[[#This Row],[Weekly change]])^52)-1</f>
        <v/>
      </c>
      <c r="E1447" s="24">
        <f>AVERAGE(B1444:B1447)</f>
        <v/>
      </c>
      <c r="F1447" s="32">
        <f>(Table2634[[#This Row],[4 weeks average]]-B1395)/B1395</f>
        <v/>
      </c>
    </row>
    <row r="1448">
      <c r="A1448" s="22" t="n">
        <v>37494</v>
      </c>
      <c r="B1448" s="24">
        <f>VLOOKUP(Table2634[[#This Row],[Date]],'DB Money Supply'!$A:$D,4)</f>
        <v/>
      </c>
      <c r="C1448" s="30">
        <f>(Table2634[[#This Row],[M1 Money Stock, Billions of Dollars, Weekly, Seasonally Adjusted]]-B1447)/B1447</f>
        <v/>
      </c>
      <c r="D1448" s="34">
        <f>((1+Table2634[[#This Row],[Weekly change]])^52)-1</f>
        <v/>
      </c>
      <c r="E1448" s="24">
        <f>AVERAGE(B1445:B1448)</f>
        <v/>
      </c>
      <c r="F1448" s="32">
        <f>(Table2634[[#This Row],[4 weeks average]]-B1396)/B1396</f>
        <v/>
      </c>
    </row>
    <row r="1449">
      <c r="A1449" s="22" t="n">
        <v>37501</v>
      </c>
      <c r="B1449" s="24">
        <f>VLOOKUP(Table2634[[#This Row],[Date]],'DB Money Supply'!$A:$D,4)</f>
        <v/>
      </c>
      <c r="C1449" s="30">
        <f>(Table2634[[#This Row],[M1 Money Stock, Billions of Dollars, Weekly, Seasonally Adjusted]]-B1448)/B1448</f>
        <v/>
      </c>
      <c r="D1449" s="34">
        <f>((1+Table2634[[#This Row],[Weekly change]])^52)-1</f>
        <v/>
      </c>
      <c r="E1449" s="24">
        <f>AVERAGE(B1446:B1449)</f>
        <v/>
      </c>
      <c r="F1449" s="32">
        <f>(Table2634[[#This Row],[4 weeks average]]-B1397)/B1397</f>
        <v/>
      </c>
    </row>
    <row r="1450">
      <c r="A1450" s="22" t="n">
        <v>37508</v>
      </c>
      <c r="B1450" s="24">
        <f>VLOOKUP(Table2634[[#This Row],[Date]],'DB Money Supply'!$A:$D,4)</f>
        <v/>
      </c>
      <c r="C1450" s="30">
        <f>(Table2634[[#This Row],[M1 Money Stock, Billions of Dollars, Weekly, Seasonally Adjusted]]-B1449)/B1449</f>
        <v/>
      </c>
      <c r="D1450" s="34">
        <f>((1+Table2634[[#This Row],[Weekly change]])^52)-1</f>
        <v/>
      </c>
      <c r="E1450" s="24">
        <f>AVERAGE(B1447:B1450)</f>
        <v/>
      </c>
      <c r="F1450" s="32">
        <f>(Table2634[[#This Row],[4 weeks average]]-B1398)/B1398</f>
        <v/>
      </c>
    </row>
    <row r="1451">
      <c r="A1451" s="22" t="n">
        <v>37515</v>
      </c>
      <c r="B1451" s="24">
        <f>VLOOKUP(Table2634[[#This Row],[Date]],'DB Money Supply'!$A:$D,4)</f>
        <v/>
      </c>
      <c r="C1451" s="30">
        <f>(Table2634[[#This Row],[M1 Money Stock, Billions of Dollars, Weekly, Seasonally Adjusted]]-B1450)/B1450</f>
        <v/>
      </c>
      <c r="D1451" s="34">
        <f>((1+Table2634[[#This Row],[Weekly change]])^52)-1</f>
        <v/>
      </c>
      <c r="E1451" s="24">
        <f>AVERAGE(B1448:B1451)</f>
        <v/>
      </c>
      <c r="F1451" s="32">
        <f>(Table2634[[#This Row],[4 weeks average]]-B1399)/B1399</f>
        <v/>
      </c>
    </row>
    <row r="1452">
      <c r="A1452" s="22" t="n">
        <v>37522</v>
      </c>
      <c r="B1452" s="24">
        <f>VLOOKUP(Table2634[[#This Row],[Date]],'DB Money Supply'!$A:$D,4)</f>
        <v/>
      </c>
      <c r="C1452" s="30">
        <f>(Table2634[[#This Row],[M1 Money Stock, Billions of Dollars, Weekly, Seasonally Adjusted]]-B1451)/B1451</f>
        <v/>
      </c>
      <c r="D1452" s="34">
        <f>((1+Table2634[[#This Row],[Weekly change]])^52)-1</f>
        <v/>
      </c>
      <c r="E1452" s="24">
        <f>AVERAGE(B1449:B1452)</f>
        <v/>
      </c>
      <c r="F1452" s="32">
        <f>(Table2634[[#This Row],[4 weeks average]]-B1400)/B1400</f>
        <v/>
      </c>
    </row>
    <row r="1453">
      <c r="A1453" s="22" t="n">
        <v>37529</v>
      </c>
      <c r="B1453" s="24">
        <f>VLOOKUP(Table2634[[#This Row],[Date]],'DB Money Supply'!$A:$D,4)</f>
        <v/>
      </c>
      <c r="C1453" s="30">
        <f>(Table2634[[#This Row],[M1 Money Stock, Billions of Dollars, Weekly, Seasonally Adjusted]]-B1452)/B1452</f>
        <v/>
      </c>
      <c r="D1453" s="34">
        <f>((1+Table2634[[#This Row],[Weekly change]])^52)-1</f>
        <v/>
      </c>
      <c r="E1453" s="24">
        <f>AVERAGE(B1450:B1453)</f>
        <v/>
      </c>
      <c r="F1453" s="32">
        <f>(Table2634[[#This Row],[4 weeks average]]-B1401)/B1401</f>
        <v/>
      </c>
    </row>
    <row r="1454">
      <c r="A1454" s="22" t="n">
        <v>37536</v>
      </c>
      <c r="B1454" s="24">
        <f>VLOOKUP(Table2634[[#This Row],[Date]],'DB Money Supply'!$A:$D,4)</f>
        <v/>
      </c>
      <c r="C1454" s="30">
        <f>(Table2634[[#This Row],[M1 Money Stock, Billions of Dollars, Weekly, Seasonally Adjusted]]-B1453)/B1453</f>
        <v/>
      </c>
      <c r="D1454" s="34">
        <f>((1+Table2634[[#This Row],[Weekly change]])^52)-1</f>
        <v/>
      </c>
      <c r="E1454" s="24">
        <f>AVERAGE(B1451:B1454)</f>
        <v/>
      </c>
      <c r="F1454" s="32">
        <f>(Table2634[[#This Row],[4 weeks average]]-B1402)/B1402</f>
        <v/>
      </c>
    </row>
    <row r="1455">
      <c r="A1455" s="22" t="n">
        <v>37543</v>
      </c>
      <c r="B1455" s="24">
        <f>VLOOKUP(Table2634[[#This Row],[Date]],'DB Money Supply'!$A:$D,4)</f>
        <v/>
      </c>
      <c r="C1455" s="30">
        <f>(Table2634[[#This Row],[M1 Money Stock, Billions of Dollars, Weekly, Seasonally Adjusted]]-B1454)/B1454</f>
        <v/>
      </c>
      <c r="D1455" s="34">
        <f>((1+Table2634[[#This Row],[Weekly change]])^52)-1</f>
        <v/>
      </c>
      <c r="E1455" s="24">
        <f>AVERAGE(B1452:B1455)</f>
        <v/>
      </c>
      <c r="F1455" s="32">
        <f>(Table2634[[#This Row],[4 weeks average]]-B1403)/B1403</f>
        <v/>
      </c>
    </row>
    <row r="1456">
      <c r="A1456" s="22" t="n">
        <v>37550</v>
      </c>
      <c r="B1456" s="24">
        <f>VLOOKUP(Table2634[[#This Row],[Date]],'DB Money Supply'!$A:$D,4)</f>
        <v/>
      </c>
      <c r="C1456" s="30">
        <f>(Table2634[[#This Row],[M1 Money Stock, Billions of Dollars, Weekly, Seasonally Adjusted]]-B1455)/B1455</f>
        <v/>
      </c>
      <c r="D1456" s="34">
        <f>((1+Table2634[[#This Row],[Weekly change]])^52)-1</f>
        <v/>
      </c>
      <c r="E1456" s="24">
        <f>AVERAGE(B1453:B1456)</f>
        <v/>
      </c>
      <c r="F1456" s="32">
        <f>(Table2634[[#This Row],[4 weeks average]]-B1404)/B1404</f>
        <v/>
      </c>
    </row>
    <row r="1457">
      <c r="A1457" s="22" t="n">
        <v>37557</v>
      </c>
      <c r="B1457" s="24">
        <f>VLOOKUP(Table2634[[#This Row],[Date]],'DB Money Supply'!$A:$D,4)</f>
        <v/>
      </c>
      <c r="C1457" s="30">
        <f>(Table2634[[#This Row],[M1 Money Stock, Billions of Dollars, Weekly, Seasonally Adjusted]]-B1456)/B1456</f>
        <v/>
      </c>
      <c r="D1457" s="34">
        <f>((1+Table2634[[#This Row],[Weekly change]])^52)-1</f>
        <v/>
      </c>
      <c r="E1457" s="24">
        <f>AVERAGE(B1454:B1457)</f>
        <v/>
      </c>
      <c r="F1457" s="32">
        <f>(Table2634[[#This Row],[4 weeks average]]-B1405)/B1405</f>
        <v/>
      </c>
    </row>
    <row r="1458">
      <c r="A1458" s="22" t="n">
        <v>37564</v>
      </c>
      <c r="B1458" s="24">
        <f>VLOOKUP(Table2634[[#This Row],[Date]],'DB Money Supply'!$A:$D,4)</f>
        <v/>
      </c>
      <c r="C1458" s="30">
        <f>(Table2634[[#This Row],[M1 Money Stock, Billions of Dollars, Weekly, Seasonally Adjusted]]-B1457)/B1457</f>
        <v/>
      </c>
      <c r="D1458" s="34">
        <f>((1+Table2634[[#This Row],[Weekly change]])^52)-1</f>
        <v/>
      </c>
      <c r="E1458" s="24">
        <f>AVERAGE(B1455:B1458)</f>
        <v/>
      </c>
      <c r="F1458" s="32">
        <f>(Table2634[[#This Row],[4 weeks average]]-B1406)/B1406</f>
        <v/>
      </c>
    </row>
    <row r="1459">
      <c r="A1459" s="22" t="n">
        <v>37571</v>
      </c>
      <c r="B1459" s="24">
        <f>VLOOKUP(Table2634[[#This Row],[Date]],'DB Money Supply'!$A:$D,4)</f>
        <v/>
      </c>
      <c r="C1459" s="30">
        <f>(Table2634[[#This Row],[M1 Money Stock, Billions of Dollars, Weekly, Seasonally Adjusted]]-B1458)/B1458</f>
        <v/>
      </c>
      <c r="D1459" s="34">
        <f>((1+Table2634[[#This Row],[Weekly change]])^52)-1</f>
        <v/>
      </c>
      <c r="E1459" s="24">
        <f>AVERAGE(B1456:B1459)</f>
        <v/>
      </c>
      <c r="F1459" s="32">
        <f>(Table2634[[#This Row],[4 weeks average]]-B1407)/B1407</f>
        <v/>
      </c>
    </row>
    <row r="1460">
      <c r="A1460" s="22" t="n">
        <v>37578</v>
      </c>
      <c r="B1460" s="24">
        <f>VLOOKUP(Table2634[[#This Row],[Date]],'DB Money Supply'!$A:$D,4)</f>
        <v/>
      </c>
      <c r="C1460" s="30">
        <f>(Table2634[[#This Row],[M1 Money Stock, Billions of Dollars, Weekly, Seasonally Adjusted]]-B1459)/B1459</f>
        <v/>
      </c>
      <c r="D1460" s="34">
        <f>((1+Table2634[[#This Row],[Weekly change]])^52)-1</f>
        <v/>
      </c>
      <c r="E1460" s="24">
        <f>AVERAGE(B1457:B1460)</f>
        <v/>
      </c>
      <c r="F1460" s="32">
        <f>(Table2634[[#This Row],[4 weeks average]]-B1408)/B1408</f>
        <v/>
      </c>
    </row>
    <row r="1461">
      <c r="A1461" s="22" t="n">
        <v>37585</v>
      </c>
      <c r="B1461" s="24">
        <f>VLOOKUP(Table2634[[#This Row],[Date]],'DB Money Supply'!$A:$D,4)</f>
        <v/>
      </c>
      <c r="C1461" s="30">
        <f>(Table2634[[#This Row],[M1 Money Stock, Billions of Dollars, Weekly, Seasonally Adjusted]]-B1460)/B1460</f>
        <v/>
      </c>
      <c r="D1461" s="34">
        <f>((1+Table2634[[#This Row],[Weekly change]])^52)-1</f>
        <v/>
      </c>
      <c r="E1461" s="24">
        <f>AVERAGE(B1458:B1461)</f>
        <v/>
      </c>
      <c r="F1461" s="32">
        <f>(Table2634[[#This Row],[4 weeks average]]-B1409)/B1409</f>
        <v/>
      </c>
    </row>
    <row r="1462">
      <c r="A1462" s="22" t="n">
        <v>37592</v>
      </c>
      <c r="B1462" s="24">
        <f>VLOOKUP(Table2634[[#This Row],[Date]],'DB Money Supply'!$A:$D,4)</f>
        <v/>
      </c>
      <c r="C1462" s="30">
        <f>(Table2634[[#This Row],[M1 Money Stock, Billions of Dollars, Weekly, Seasonally Adjusted]]-B1461)/B1461</f>
        <v/>
      </c>
      <c r="D1462" s="34">
        <f>((1+Table2634[[#This Row],[Weekly change]])^52)-1</f>
        <v/>
      </c>
      <c r="E1462" s="24">
        <f>AVERAGE(B1459:B1462)</f>
        <v/>
      </c>
      <c r="F1462" s="32">
        <f>(Table2634[[#This Row],[4 weeks average]]-B1410)/B1410</f>
        <v/>
      </c>
    </row>
    <row r="1463">
      <c r="A1463" s="22" t="n">
        <v>37599</v>
      </c>
      <c r="B1463" s="24">
        <f>VLOOKUP(Table2634[[#This Row],[Date]],'DB Money Supply'!$A:$D,4)</f>
        <v/>
      </c>
      <c r="C1463" s="30">
        <f>(Table2634[[#This Row],[M1 Money Stock, Billions of Dollars, Weekly, Seasonally Adjusted]]-B1462)/B1462</f>
        <v/>
      </c>
      <c r="D1463" s="34">
        <f>((1+Table2634[[#This Row],[Weekly change]])^52)-1</f>
        <v/>
      </c>
      <c r="E1463" s="24">
        <f>AVERAGE(B1460:B1463)</f>
        <v/>
      </c>
      <c r="F1463" s="32">
        <f>(Table2634[[#This Row],[4 weeks average]]-B1411)/B1411</f>
        <v/>
      </c>
    </row>
    <row r="1464">
      <c r="A1464" s="22" t="n">
        <v>37606</v>
      </c>
      <c r="B1464" s="24">
        <f>VLOOKUP(Table2634[[#This Row],[Date]],'DB Money Supply'!$A:$D,4)</f>
        <v/>
      </c>
      <c r="C1464" s="30">
        <f>(Table2634[[#This Row],[M1 Money Stock, Billions of Dollars, Weekly, Seasonally Adjusted]]-B1463)/B1463</f>
        <v/>
      </c>
      <c r="D1464" s="34">
        <f>((1+Table2634[[#This Row],[Weekly change]])^52)-1</f>
        <v/>
      </c>
      <c r="E1464" s="24">
        <f>AVERAGE(B1461:B1464)</f>
        <v/>
      </c>
      <c r="F1464" s="32">
        <f>(Table2634[[#This Row],[4 weeks average]]-B1412)/B1412</f>
        <v/>
      </c>
    </row>
    <row r="1465">
      <c r="A1465" s="22" t="n">
        <v>37613</v>
      </c>
      <c r="B1465" s="24">
        <f>VLOOKUP(Table2634[[#This Row],[Date]],'DB Money Supply'!$A:$D,4)</f>
        <v/>
      </c>
      <c r="C1465" s="30">
        <f>(Table2634[[#This Row],[M1 Money Stock, Billions of Dollars, Weekly, Seasonally Adjusted]]-B1464)/B1464</f>
        <v/>
      </c>
      <c r="D1465" s="34">
        <f>((1+Table2634[[#This Row],[Weekly change]])^52)-1</f>
        <v/>
      </c>
      <c r="E1465" s="24">
        <f>AVERAGE(B1462:B1465)</f>
        <v/>
      </c>
      <c r="F1465" s="32">
        <f>(Table2634[[#This Row],[4 weeks average]]-B1413)/B1413</f>
        <v/>
      </c>
    </row>
    <row r="1466">
      <c r="A1466" s="22" t="n">
        <v>37620</v>
      </c>
      <c r="B1466" s="24">
        <f>VLOOKUP(Table2634[[#This Row],[Date]],'DB Money Supply'!$A:$D,4)</f>
        <v/>
      </c>
      <c r="C1466" s="30">
        <f>(Table2634[[#This Row],[M1 Money Stock, Billions of Dollars, Weekly, Seasonally Adjusted]]-B1465)/B1465</f>
        <v/>
      </c>
      <c r="D1466" s="34">
        <f>((1+Table2634[[#This Row],[Weekly change]])^52)-1</f>
        <v/>
      </c>
      <c r="E1466" s="24">
        <f>AVERAGE(B1463:B1466)</f>
        <v/>
      </c>
      <c r="F1466" s="32">
        <f>(Table2634[[#This Row],[4 weeks average]]-B1414)/B1414</f>
        <v/>
      </c>
    </row>
    <row r="1467">
      <c r="A1467" s="22" t="n">
        <v>37627</v>
      </c>
      <c r="B1467" s="24">
        <f>VLOOKUP(Table2634[[#This Row],[Date]],'DB Money Supply'!$A:$D,4)</f>
        <v/>
      </c>
      <c r="C1467" s="30">
        <f>(Table2634[[#This Row],[M1 Money Stock, Billions of Dollars, Weekly, Seasonally Adjusted]]-B1466)/B1466</f>
        <v/>
      </c>
      <c r="D1467" s="34">
        <f>((1+Table2634[[#This Row],[Weekly change]])^52)-1</f>
        <v/>
      </c>
      <c r="E1467" s="24">
        <f>AVERAGE(B1464:B1467)</f>
        <v/>
      </c>
      <c r="F1467" s="32">
        <f>(Table2634[[#This Row],[4 weeks average]]-B1415)/B1415</f>
        <v/>
      </c>
    </row>
    <row r="1468">
      <c r="A1468" s="22" t="n">
        <v>37634</v>
      </c>
      <c r="B1468" s="24">
        <f>VLOOKUP(Table2634[[#This Row],[Date]],'DB Money Supply'!$A:$D,4)</f>
        <v/>
      </c>
      <c r="C1468" s="30">
        <f>(Table2634[[#This Row],[M1 Money Stock, Billions of Dollars, Weekly, Seasonally Adjusted]]-B1467)/B1467</f>
        <v/>
      </c>
      <c r="D1468" s="34">
        <f>((1+Table2634[[#This Row],[Weekly change]])^52)-1</f>
        <v/>
      </c>
      <c r="E1468" s="24">
        <f>AVERAGE(B1465:B1468)</f>
        <v/>
      </c>
      <c r="F1468" s="32">
        <f>(Table2634[[#This Row],[4 weeks average]]-B1416)/B1416</f>
        <v/>
      </c>
    </row>
    <row r="1469">
      <c r="A1469" s="22" t="n">
        <v>37641</v>
      </c>
      <c r="B1469" s="24">
        <f>VLOOKUP(Table2634[[#This Row],[Date]],'DB Money Supply'!$A:$D,4)</f>
        <v/>
      </c>
      <c r="C1469" s="30">
        <f>(Table2634[[#This Row],[M1 Money Stock, Billions of Dollars, Weekly, Seasonally Adjusted]]-B1468)/B1468</f>
        <v/>
      </c>
      <c r="D1469" s="34">
        <f>((1+Table2634[[#This Row],[Weekly change]])^52)-1</f>
        <v/>
      </c>
      <c r="E1469" s="24">
        <f>AVERAGE(B1466:B1469)</f>
        <v/>
      </c>
      <c r="F1469" s="32">
        <f>(Table2634[[#This Row],[4 weeks average]]-B1417)/B1417</f>
        <v/>
      </c>
    </row>
    <row r="1470">
      <c r="A1470" s="22" t="n">
        <v>37648</v>
      </c>
      <c r="B1470" s="24">
        <f>VLOOKUP(Table2634[[#This Row],[Date]],'DB Money Supply'!$A:$D,4)</f>
        <v/>
      </c>
      <c r="C1470" s="30">
        <f>(Table2634[[#This Row],[M1 Money Stock, Billions of Dollars, Weekly, Seasonally Adjusted]]-B1469)/B1469</f>
        <v/>
      </c>
      <c r="D1470" s="34">
        <f>((1+Table2634[[#This Row],[Weekly change]])^52)-1</f>
        <v/>
      </c>
      <c r="E1470" s="24">
        <f>AVERAGE(B1467:B1470)</f>
        <v/>
      </c>
      <c r="F1470" s="32">
        <f>(Table2634[[#This Row],[4 weeks average]]-B1418)/B1418</f>
        <v/>
      </c>
    </row>
    <row r="1471">
      <c r="A1471" s="22" t="n">
        <v>37655</v>
      </c>
      <c r="B1471" s="24">
        <f>VLOOKUP(Table2634[[#This Row],[Date]],'DB Money Supply'!$A:$D,4)</f>
        <v/>
      </c>
      <c r="C1471" s="30">
        <f>(Table2634[[#This Row],[M1 Money Stock, Billions of Dollars, Weekly, Seasonally Adjusted]]-B1470)/B1470</f>
        <v/>
      </c>
      <c r="D1471" s="34">
        <f>((1+Table2634[[#This Row],[Weekly change]])^52)-1</f>
        <v/>
      </c>
      <c r="E1471" s="24">
        <f>AVERAGE(B1468:B1471)</f>
        <v/>
      </c>
      <c r="F1471" s="32">
        <f>(Table2634[[#This Row],[4 weeks average]]-B1419)/B1419</f>
        <v/>
      </c>
    </row>
    <row r="1472">
      <c r="A1472" s="22" t="n">
        <v>37662</v>
      </c>
      <c r="B1472" s="24">
        <f>VLOOKUP(Table2634[[#This Row],[Date]],'DB Money Supply'!$A:$D,4)</f>
        <v/>
      </c>
      <c r="C1472" s="30">
        <f>(Table2634[[#This Row],[M1 Money Stock, Billions of Dollars, Weekly, Seasonally Adjusted]]-B1471)/B1471</f>
        <v/>
      </c>
      <c r="D1472" s="34">
        <f>((1+Table2634[[#This Row],[Weekly change]])^52)-1</f>
        <v/>
      </c>
      <c r="E1472" s="24">
        <f>AVERAGE(B1469:B1472)</f>
        <v/>
      </c>
      <c r="F1472" s="32">
        <f>(Table2634[[#This Row],[4 weeks average]]-B1420)/B1420</f>
        <v/>
      </c>
    </row>
    <row r="1473">
      <c r="A1473" s="22" t="n">
        <v>37669</v>
      </c>
      <c r="B1473" s="24">
        <f>VLOOKUP(Table2634[[#This Row],[Date]],'DB Money Supply'!$A:$D,4)</f>
        <v/>
      </c>
      <c r="C1473" s="30">
        <f>(Table2634[[#This Row],[M1 Money Stock, Billions of Dollars, Weekly, Seasonally Adjusted]]-B1472)/B1472</f>
        <v/>
      </c>
      <c r="D1473" s="34">
        <f>((1+Table2634[[#This Row],[Weekly change]])^52)-1</f>
        <v/>
      </c>
      <c r="E1473" s="24">
        <f>AVERAGE(B1470:B1473)</f>
        <v/>
      </c>
      <c r="F1473" s="32">
        <f>(Table2634[[#This Row],[4 weeks average]]-B1421)/B1421</f>
        <v/>
      </c>
    </row>
    <row r="1474">
      <c r="A1474" s="22" t="n">
        <v>37676</v>
      </c>
      <c r="B1474" s="24">
        <f>VLOOKUP(Table2634[[#This Row],[Date]],'DB Money Supply'!$A:$D,4)</f>
        <v/>
      </c>
      <c r="C1474" s="30">
        <f>(Table2634[[#This Row],[M1 Money Stock, Billions of Dollars, Weekly, Seasonally Adjusted]]-B1473)/B1473</f>
        <v/>
      </c>
      <c r="D1474" s="34">
        <f>((1+Table2634[[#This Row],[Weekly change]])^52)-1</f>
        <v/>
      </c>
      <c r="E1474" s="24">
        <f>AVERAGE(B1471:B1474)</f>
        <v/>
      </c>
      <c r="F1474" s="32">
        <f>(Table2634[[#This Row],[4 weeks average]]-B1422)/B1422</f>
        <v/>
      </c>
    </row>
    <row r="1475">
      <c r="A1475" s="22" t="n">
        <v>37683</v>
      </c>
      <c r="B1475" s="24">
        <f>VLOOKUP(Table2634[[#This Row],[Date]],'DB Money Supply'!$A:$D,4)</f>
        <v/>
      </c>
      <c r="C1475" s="30">
        <f>(Table2634[[#This Row],[M1 Money Stock, Billions of Dollars, Weekly, Seasonally Adjusted]]-B1474)/B1474</f>
        <v/>
      </c>
      <c r="D1475" s="34">
        <f>((1+Table2634[[#This Row],[Weekly change]])^52)-1</f>
        <v/>
      </c>
      <c r="E1475" s="24">
        <f>AVERAGE(B1472:B1475)</f>
        <v/>
      </c>
      <c r="F1475" s="32">
        <f>(Table2634[[#This Row],[4 weeks average]]-B1423)/B1423</f>
        <v/>
      </c>
    </row>
    <row r="1476">
      <c r="A1476" s="22" t="n">
        <v>37690</v>
      </c>
      <c r="B1476" s="24">
        <f>VLOOKUP(Table2634[[#This Row],[Date]],'DB Money Supply'!$A:$D,4)</f>
        <v/>
      </c>
      <c r="C1476" s="30">
        <f>(Table2634[[#This Row],[M1 Money Stock, Billions of Dollars, Weekly, Seasonally Adjusted]]-B1475)/B1475</f>
        <v/>
      </c>
      <c r="D1476" s="34">
        <f>((1+Table2634[[#This Row],[Weekly change]])^52)-1</f>
        <v/>
      </c>
      <c r="E1476" s="24">
        <f>AVERAGE(B1473:B1476)</f>
        <v/>
      </c>
      <c r="F1476" s="32">
        <f>(Table2634[[#This Row],[4 weeks average]]-B1424)/B1424</f>
        <v/>
      </c>
    </row>
    <row r="1477">
      <c r="A1477" s="22" t="n">
        <v>37697</v>
      </c>
      <c r="B1477" s="24">
        <f>VLOOKUP(Table2634[[#This Row],[Date]],'DB Money Supply'!$A:$D,4)</f>
        <v/>
      </c>
      <c r="C1477" s="30">
        <f>(Table2634[[#This Row],[M1 Money Stock, Billions of Dollars, Weekly, Seasonally Adjusted]]-B1476)/B1476</f>
        <v/>
      </c>
      <c r="D1477" s="34">
        <f>((1+Table2634[[#This Row],[Weekly change]])^52)-1</f>
        <v/>
      </c>
      <c r="E1477" s="24">
        <f>AVERAGE(B1474:B1477)</f>
        <v/>
      </c>
      <c r="F1477" s="32">
        <f>(Table2634[[#This Row],[4 weeks average]]-B1425)/B1425</f>
        <v/>
      </c>
    </row>
    <row r="1478">
      <c r="A1478" s="22" t="n">
        <v>37704</v>
      </c>
      <c r="B1478" s="24">
        <f>VLOOKUP(Table2634[[#This Row],[Date]],'DB Money Supply'!$A:$D,4)</f>
        <v/>
      </c>
      <c r="C1478" s="30">
        <f>(Table2634[[#This Row],[M1 Money Stock, Billions of Dollars, Weekly, Seasonally Adjusted]]-B1477)/B1477</f>
        <v/>
      </c>
      <c r="D1478" s="34">
        <f>((1+Table2634[[#This Row],[Weekly change]])^52)-1</f>
        <v/>
      </c>
      <c r="E1478" s="24">
        <f>AVERAGE(B1475:B1478)</f>
        <v/>
      </c>
      <c r="F1478" s="32">
        <f>(Table2634[[#This Row],[4 weeks average]]-B1426)/B1426</f>
        <v/>
      </c>
    </row>
    <row r="1479">
      <c r="A1479" s="22" t="n">
        <v>37711</v>
      </c>
      <c r="B1479" s="24">
        <f>VLOOKUP(Table2634[[#This Row],[Date]],'DB Money Supply'!$A:$D,4)</f>
        <v/>
      </c>
      <c r="C1479" s="30">
        <f>(Table2634[[#This Row],[M1 Money Stock, Billions of Dollars, Weekly, Seasonally Adjusted]]-B1478)/B1478</f>
        <v/>
      </c>
      <c r="D1479" s="34">
        <f>((1+Table2634[[#This Row],[Weekly change]])^52)-1</f>
        <v/>
      </c>
      <c r="E1479" s="24">
        <f>AVERAGE(B1476:B1479)</f>
        <v/>
      </c>
      <c r="F1479" s="32">
        <f>(Table2634[[#This Row],[4 weeks average]]-B1427)/B1427</f>
        <v/>
      </c>
    </row>
    <row r="1480">
      <c r="A1480" s="22" t="n">
        <v>37718</v>
      </c>
      <c r="B1480" s="24">
        <f>VLOOKUP(Table2634[[#This Row],[Date]],'DB Money Supply'!$A:$D,4)</f>
        <v/>
      </c>
      <c r="C1480" s="30">
        <f>(Table2634[[#This Row],[M1 Money Stock, Billions of Dollars, Weekly, Seasonally Adjusted]]-B1479)/B1479</f>
        <v/>
      </c>
      <c r="D1480" s="34">
        <f>((1+Table2634[[#This Row],[Weekly change]])^52)-1</f>
        <v/>
      </c>
      <c r="E1480" s="24">
        <f>AVERAGE(B1477:B1480)</f>
        <v/>
      </c>
      <c r="F1480" s="32">
        <f>(Table2634[[#This Row],[4 weeks average]]-B1428)/B1428</f>
        <v/>
      </c>
    </row>
    <row r="1481">
      <c r="A1481" s="22" t="n">
        <v>37725</v>
      </c>
      <c r="B1481" s="24">
        <f>VLOOKUP(Table2634[[#This Row],[Date]],'DB Money Supply'!$A:$D,4)</f>
        <v/>
      </c>
      <c r="C1481" s="30">
        <f>(Table2634[[#This Row],[M1 Money Stock, Billions of Dollars, Weekly, Seasonally Adjusted]]-B1480)/B1480</f>
        <v/>
      </c>
      <c r="D1481" s="34">
        <f>((1+Table2634[[#This Row],[Weekly change]])^52)-1</f>
        <v/>
      </c>
      <c r="E1481" s="24">
        <f>AVERAGE(B1478:B1481)</f>
        <v/>
      </c>
      <c r="F1481" s="32">
        <f>(Table2634[[#This Row],[4 weeks average]]-B1429)/B1429</f>
        <v/>
      </c>
    </row>
    <row r="1482">
      <c r="A1482" s="22" t="n">
        <v>37732</v>
      </c>
      <c r="B1482" s="24">
        <f>VLOOKUP(Table2634[[#This Row],[Date]],'DB Money Supply'!$A:$D,4)</f>
        <v/>
      </c>
      <c r="C1482" s="30">
        <f>(Table2634[[#This Row],[M1 Money Stock, Billions of Dollars, Weekly, Seasonally Adjusted]]-B1481)/B1481</f>
        <v/>
      </c>
      <c r="D1482" s="34">
        <f>((1+Table2634[[#This Row],[Weekly change]])^52)-1</f>
        <v/>
      </c>
      <c r="E1482" s="24">
        <f>AVERAGE(B1479:B1482)</f>
        <v/>
      </c>
      <c r="F1482" s="32">
        <f>(Table2634[[#This Row],[4 weeks average]]-B1430)/B1430</f>
        <v/>
      </c>
    </row>
    <row r="1483">
      <c r="A1483" s="22" t="n">
        <v>37739</v>
      </c>
      <c r="B1483" s="24">
        <f>VLOOKUP(Table2634[[#This Row],[Date]],'DB Money Supply'!$A:$D,4)</f>
        <v/>
      </c>
      <c r="C1483" s="30">
        <f>(Table2634[[#This Row],[M1 Money Stock, Billions of Dollars, Weekly, Seasonally Adjusted]]-B1482)/B1482</f>
        <v/>
      </c>
      <c r="D1483" s="34">
        <f>((1+Table2634[[#This Row],[Weekly change]])^52)-1</f>
        <v/>
      </c>
      <c r="E1483" s="24">
        <f>AVERAGE(B1480:B1483)</f>
        <v/>
      </c>
      <c r="F1483" s="32">
        <f>(Table2634[[#This Row],[4 weeks average]]-B1431)/B1431</f>
        <v/>
      </c>
    </row>
    <row r="1484">
      <c r="A1484" s="22" t="n">
        <v>37746</v>
      </c>
      <c r="B1484" s="24">
        <f>VLOOKUP(Table2634[[#This Row],[Date]],'DB Money Supply'!$A:$D,4)</f>
        <v/>
      </c>
      <c r="C1484" s="30">
        <f>(Table2634[[#This Row],[M1 Money Stock, Billions of Dollars, Weekly, Seasonally Adjusted]]-B1483)/B1483</f>
        <v/>
      </c>
      <c r="D1484" s="34">
        <f>((1+Table2634[[#This Row],[Weekly change]])^52)-1</f>
        <v/>
      </c>
      <c r="E1484" s="24">
        <f>AVERAGE(B1481:B1484)</f>
        <v/>
      </c>
      <c r="F1484" s="32">
        <f>(Table2634[[#This Row],[4 weeks average]]-B1432)/B1432</f>
        <v/>
      </c>
    </row>
    <row r="1485">
      <c r="A1485" s="22" t="n">
        <v>37753</v>
      </c>
      <c r="B1485" s="24">
        <f>VLOOKUP(Table2634[[#This Row],[Date]],'DB Money Supply'!$A:$D,4)</f>
        <v/>
      </c>
      <c r="C1485" s="30">
        <f>(Table2634[[#This Row],[M1 Money Stock, Billions of Dollars, Weekly, Seasonally Adjusted]]-B1484)/B1484</f>
        <v/>
      </c>
      <c r="D1485" s="34">
        <f>((1+Table2634[[#This Row],[Weekly change]])^52)-1</f>
        <v/>
      </c>
      <c r="E1485" s="24">
        <f>AVERAGE(B1482:B1485)</f>
        <v/>
      </c>
      <c r="F1485" s="32">
        <f>(Table2634[[#This Row],[4 weeks average]]-B1433)/B1433</f>
        <v/>
      </c>
    </row>
    <row r="1486">
      <c r="A1486" s="22" t="n">
        <v>37760</v>
      </c>
      <c r="B1486" s="24">
        <f>VLOOKUP(Table2634[[#This Row],[Date]],'DB Money Supply'!$A:$D,4)</f>
        <v/>
      </c>
      <c r="C1486" s="30">
        <f>(Table2634[[#This Row],[M1 Money Stock, Billions of Dollars, Weekly, Seasonally Adjusted]]-B1485)/B1485</f>
        <v/>
      </c>
      <c r="D1486" s="34">
        <f>((1+Table2634[[#This Row],[Weekly change]])^52)-1</f>
        <v/>
      </c>
      <c r="E1486" s="24">
        <f>AVERAGE(B1483:B1486)</f>
        <v/>
      </c>
      <c r="F1486" s="32">
        <f>(Table2634[[#This Row],[4 weeks average]]-B1434)/B1434</f>
        <v/>
      </c>
    </row>
    <row r="1487">
      <c r="A1487" s="22" t="n">
        <v>37767</v>
      </c>
      <c r="B1487" s="24">
        <f>VLOOKUP(Table2634[[#This Row],[Date]],'DB Money Supply'!$A:$D,4)</f>
        <v/>
      </c>
      <c r="C1487" s="30">
        <f>(Table2634[[#This Row],[M1 Money Stock, Billions of Dollars, Weekly, Seasonally Adjusted]]-B1486)/B1486</f>
        <v/>
      </c>
      <c r="D1487" s="34">
        <f>((1+Table2634[[#This Row],[Weekly change]])^52)-1</f>
        <v/>
      </c>
      <c r="E1487" s="24">
        <f>AVERAGE(B1484:B1487)</f>
        <v/>
      </c>
      <c r="F1487" s="32">
        <f>(Table2634[[#This Row],[4 weeks average]]-B1435)/B1435</f>
        <v/>
      </c>
    </row>
    <row r="1488">
      <c r="A1488" s="22" t="n">
        <v>37774</v>
      </c>
      <c r="B1488" s="24">
        <f>VLOOKUP(Table2634[[#This Row],[Date]],'DB Money Supply'!$A:$D,4)</f>
        <v/>
      </c>
      <c r="C1488" s="30">
        <f>(Table2634[[#This Row],[M1 Money Stock, Billions of Dollars, Weekly, Seasonally Adjusted]]-B1487)/B1487</f>
        <v/>
      </c>
      <c r="D1488" s="34">
        <f>((1+Table2634[[#This Row],[Weekly change]])^52)-1</f>
        <v/>
      </c>
      <c r="E1488" s="24">
        <f>AVERAGE(B1485:B1488)</f>
        <v/>
      </c>
      <c r="F1488" s="32">
        <f>(Table2634[[#This Row],[4 weeks average]]-B1436)/B1436</f>
        <v/>
      </c>
    </row>
    <row r="1489">
      <c r="A1489" s="22" t="n">
        <v>37781</v>
      </c>
      <c r="B1489" s="24">
        <f>VLOOKUP(Table2634[[#This Row],[Date]],'DB Money Supply'!$A:$D,4)</f>
        <v/>
      </c>
      <c r="C1489" s="30">
        <f>(Table2634[[#This Row],[M1 Money Stock, Billions of Dollars, Weekly, Seasonally Adjusted]]-B1488)/B1488</f>
        <v/>
      </c>
      <c r="D1489" s="34">
        <f>((1+Table2634[[#This Row],[Weekly change]])^52)-1</f>
        <v/>
      </c>
      <c r="E1489" s="24">
        <f>AVERAGE(B1486:B1489)</f>
        <v/>
      </c>
      <c r="F1489" s="32">
        <f>(Table2634[[#This Row],[4 weeks average]]-B1437)/B1437</f>
        <v/>
      </c>
    </row>
    <row r="1490">
      <c r="A1490" s="22" t="n">
        <v>37788</v>
      </c>
      <c r="B1490" s="24">
        <f>VLOOKUP(Table2634[[#This Row],[Date]],'DB Money Supply'!$A:$D,4)</f>
        <v/>
      </c>
      <c r="C1490" s="30">
        <f>(Table2634[[#This Row],[M1 Money Stock, Billions of Dollars, Weekly, Seasonally Adjusted]]-B1489)/B1489</f>
        <v/>
      </c>
      <c r="D1490" s="34">
        <f>((1+Table2634[[#This Row],[Weekly change]])^52)-1</f>
        <v/>
      </c>
      <c r="E1490" s="24">
        <f>AVERAGE(B1487:B1490)</f>
        <v/>
      </c>
      <c r="F1490" s="32">
        <f>(Table2634[[#This Row],[4 weeks average]]-B1438)/B1438</f>
        <v/>
      </c>
    </row>
    <row r="1491">
      <c r="A1491" s="22" t="n">
        <v>37795</v>
      </c>
      <c r="B1491" s="24">
        <f>VLOOKUP(Table2634[[#This Row],[Date]],'DB Money Supply'!$A:$D,4)</f>
        <v/>
      </c>
      <c r="C1491" s="30">
        <f>(Table2634[[#This Row],[M1 Money Stock, Billions of Dollars, Weekly, Seasonally Adjusted]]-B1490)/B1490</f>
        <v/>
      </c>
      <c r="D1491" s="34">
        <f>((1+Table2634[[#This Row],[Weekly change]])^52)-1</f>
        <v/>
      </c>
      <c r="E1491" s="24">
        <f>AVERAGE(B1488:B1491)</f>
        <v/>
      </c>
      <c r="F1491" s="32">
        <f>(Table2634[[#This Row],[4 weeks average]]-B1439)/B1439</f>
        <v/>
      </c>
    </row>
    <row r="1492">
      <c r="A1492" s="22" t="n">
        <v>37802</v>
      </c>
      <c r="B1492" s="24">
        <f>VLOOKUP(Table2634[[#This Row],[Date]],'DB Money Supply'!$A:$D,4)</f>
        <v/>
      </c>
      <c r="C1492" s="30">
        <f>(Table2634[[#This Row],[M1 Money Stock, Billions of Dollars, Weekly, Seasonally Adjusted]]-B1491)/B1491</f>
        <v/>
      </c>
      <c r="D1492" s="34">
        <f>((1+Table2634[[#This Row],[Weekly change]])^52)-1</f>
        <v/>
      </c>
      <c r="E1492" s="24">
        <f>AVERAGE(B1489:B1492)</f>
        <v/>
      </c>
      <c r="F1492" s="32">
        <f>(Table2634[[#This Row],[4 weeks average]]-B1440)/B1440</f>
        <v/>
      </c>
    </row>
    <row r="1493">
      <c r="A1493" s="22" t="n">
        <v>37809</v>
      </c>
      <c r="B1493" s="24">
        <f>VLOOKUP(Table2634[[#This Row],[Date]],'DB Money Supply'!$A:$D,4)</f>
        <v/>
      </c>
      <c r="C1493" s="30">
        <f>(Table2634[[#This Row],[M1 Money Stock, Billions of Dollars, Weekly, Seasonally Adjusted]]-B1492)/B1492</f>
        <v/>
      </c>
      <c r="D1493" s="34">
        <f>((1+Table2634[[#This Row],[Weekly change]])^52)-1</f>
        <v/>
      </c>
      <c r="E1493" s="24">
        <f>AVERAGE(B1490:B1493)</f>
        <v/>
      </c>
      <c r="F1493" s="32">
        <f>(Table2634[[#This Row],[4 weeks average]]-B1441)/B1441</f>
        <v/>
      </c>
    </row>
    <row r="1494">
      <c r="A1494" s="22" t="n">
        <v>37816</v>
      </c>
      <c r="B1494" s="24">
        <f>VLOOKUP(Table2634[[#This Row],[Date]],'DB Money Supply'!$A:$D,4)</f>
        <v/>
      </c>
      <c r="C1494" s="30">
        <f>(Table2634[[#This Row],[M1 Money Stock, Billions of Dollars, Weekly, Seasonally Adjusted]]-B1493)/B1493</f>
        <v/>
      </c>
      <c r="D1494" s="34">
        <f>((1+Table2634[[#This Row],[Weekly change]])^52)-1</f>
        <v/>
      </c>
      <c r="E1494" s="24">
        <f>AVERAGE(B1491:B1494)</f>
        <v/>
      </c>
      <c r="F1494" s="32">
        <f>(Table2634[[#This Row],[4 weeks average]]-B1442)/B1442</f>
        <v/>
      </c>
    </row>
    <row r="1495">
      <c r="A1495" s="22" t="n">
        <v>37823</v>
      </c>
      <c r="B1495" s="24">
        <f>VLOOKUP(Table2634[[#This Row],[Date]],'DB Money Supply'!$A:$D,4)</f>
        <v/>
      </c>
      <c r="C1495" s="30">
        <f>(Table2634[[#This Row],[M1 Money Stock, Billions of Dollars, Weekly, Seasonally Adjusted]]-B1494)/B1494</f>
        <v/>
      </c>
      <c r="D1495" s="34">
        <f>((1+Table2634[[#This Row],[Weekly change]])^52)-1</f>
        <v/>
      </c>
      <c r="E1495" s="24">
        <f>AVERAGE(B1492:B1495)</f>
        <v/>
      </c>
      <c r="F1495" s="32">
        <f>(Table2634[[#This Row],[4 weeks average]]-B1443)/B1443</f>
        <v/>
      </c>
    </row>
    <row r="1496">
      <c r="A1496" s="22" t="n">
        <v>37830</v>
      </c>
      <c r="B1496" s="24">
        <f>VLOOKUP(Table2634[[#This Row],[Date]],'DB Money Supply'!$A:$D,4)</f>
        <v/>
      </c>
      <c r="C1496" s="30">
        <f>(Table2634[[#This Row],[M1 Money Stock, Billions of Dollars, Weekly, Seasonally Adjusted]]-B1495)/B1495</f>
        <v/>
      </c>
      <c r="D1496" s="34">
        <f>((1+Table2634[[#This Row],[Weekly change]])^52)-1</f>
        <v/>
      </c>
      <c r="E1496" s="24">
        <f>AVERAGE(B1493:B1496)</f>
        <v/>
      </c>
      <c r="F1496" s="32">
        <f>(Table2634[[#This Row],[4 weeks average]]-B1444)/B1444</f>
        <v/>
      </c>
    </row>
    <row r="1497">
      <c r="A1497" s="22" t="n">
        <v>37837</v>
      </c>
      <c r="B1497" s="24">
        <f>VLOOKUP(Table2634[[#This Row],[Date]],'DB Money Supply'!$A:$D,4)</f>
        <v/>
      </c>
      <c r="C1497" s="30">
        <f>(Table2634[[#This Row],[M1 Money Stock, Billions of Dollars, Weekly, Seasonally Adjusted]]-B1496)/B1496</f>
        <v/>
      </c>
      <c r="D1497" s="34">
        <f>((1+Table2634[[#This Row],[Weekly change]])^52)-1</f>
        <v/>
      </c>
      <c r="E1497" s="24">
        <f>AVERAGE(B1494:B1497)</f>
        <v/>
      </c>
      <c r="F1497" s="32">
        <f>(Table2634[[#This Row],[4 weeks average]]-B1445)/B1445</f>
        <v/>
      </c>
    </row>
    <row r="1498">
      <c r="A1498" s="22" t="n">
        <v>37844</v>
      </c>
      <c r="B1498" s="24">
        <f>VLOOKUP(Table2634[[#This Row],[Date]],'DB Money Supply'!$A:$D,4)</f>
        <v/>
      </c>
      <c r="C1498" s="30">
        <f>(Table2634[[#This Row],[M1 Money Stock, Billions of Dollars, Weekly, Seasonally Adjusted]]-B1497)/B1497</f>
        <v/>
      </c>
      <c r="D1498" s="34">
        <f>((1+Table2634[[#This Row],[Weekly change]])^52)-1</f>
        <v/>
      </c>
      <c r="E1498" s="24">
        <f>AVERAGE(B1495:B1498)</f>
        <v/>
      </c>
      <c r="F1498" s="32">
        <f>(Table2634[[#This Row],[4 weeks average]]-B1446)/B1446</f>
        <v/>
      </c>
    </row>
    <row r="1499">
      <c r="A1499" s="22" t="n">
        <v>37851</v>
      </c>
      <c r="B1499" s="24">
        <f>VLOOKUP(Table2634[[#This Row],[Date]],'DB Money Supply'!$A:$D,4)</f>
        <v/>
      </c>
      <c r="C1499" s="30">
        <f>(Table2634[[#This Row],[M1 Money Stock, Billions of Dollars, Weekly, Seasonally Adjusted]]-B1498)/B1498</f>
        <v/>
      </c>
      <c r="D1499" s="34">
        <f>((1+Table2634[[#This Row],[Weekly change]])^52)-1</f>
        <v/>
      </c>
      <c r="E1499" s="24">
        <f>AVERAGE(B1496:B1499)</f>
        <v/>
      </c>
      <c r="F1499" s="32">
        <f>(Table2634[[#This Row],[4 weeks average]]-B1447)/B1447</f>
        <v/>
      </c>
    </row>
    <row r="1500">
      <c r="A1500" s="22" t="n">
        <v>37858</v>
      </c>
      <c r="B1500" s="24">
        <f>VLOOKUP(Table2634[[#This Row],[Date]],'DB Money Supply'!$A:$D,4)</f>
        <v/>
      </c>
      <c r="C1500" s="30">
        <f>(Table2634[[#This Row],[M1 Money Stock, Billions of Dollars, Weekly, Seasonally Adjusted]]-B1499)/B1499</f>
        <v/>
      </c>
      <c r="D1500" s="34">
        <f>((1+Table2634[[#This Row],[Weekly change]])^52)-1</f>
        <v/>
      </c>
      <c r="E1500" s="24">
        <f>AVERAGE(B1497:B1500)</f>
        <v/>
      </c>
      <c r="F1500" s="32">
        <f>(Table2634[[#This Row],[4 weeks average]]-B1448)/B1448</f>
        <v/>
      </c>
    </row>
    <row r="1501">
      <c r="A1501" s="22" t="n">
        <v>37865</v>
      </c>
      <c r="B1501" s="24">
        <f>VLOOKUP(Table2634[[#This Row],[Date]],'DB Money Supply'!$A:$D,4)</f>
        <v/>
      </c>
      <c r="C1501" s="30">
        <f>(Table2634[[#This Row],[M1 Money Stock, Billions of Dollars, Weekly, Seasonally Adjusted]]-B1500)/B1500</f>
        <v/>
      </c>
      <c r="D1501" s="34">
        <f>((1+Table2634[[#This Row],[Weekly change]])^52)-1</f>
        <v/>
      </c>
      <c r="E1501" s="24">
        <f>AVERAGE(B1498:B1501)</f>
        <v/>
      </c>
      <c r="F1501" s="32">
        <f>(Table2634[[#This Row],[4 weeks average]]-B1449)/B1449</f>
        <v/>
      </c>
    </row>
    <row r="1502">
      <c r="A1502" s="22" t="n">
        <v>37872</v>
      </c>
      <c r="B1502" s="24">
        <f>VLOOKUP(Table2634[[#This Row],[Date]],'DB Money Supply'!$A:$D,4)</f>
        <v/>
      </c>
      <c r="C1502" s="30">
        <f>(Table2634[[#This Row],[M1 Money Stock, Billions of Dollars, Weekly, Seasonally Adjusted]]-B1501)/B1501</f>
        <v/>
      </c>
      <c r="D1502" s="34">
        <f>((1+Table2634[[#This Row],[Weekly change]])^52)-1</f>
        <v/>
      </c>
      <c r="E1502" s="24">
        <f>AVERAGE(B1499:B1502)</f>
        <v/>
      </c>
      <c r="F1502" s="32">
        <f>(Table2634[[#This Row],[4 weeks average]]-B1450)/B1450</f>
        <v/>
      </c>
    </row>
    <row r="1503">
      <c r="A1503" s="22" t="n">
        <v>37879</v>
      </c>
      <c r="B1503" s="24">
        <f>VLOOKUP(Table2634[[#This Row],[Date]],'DB Money Supply'!$A:$D,4)</f>
        <v/>
      </c>
      <c r="C1503" s="30">
        <f>(Table2634[[#This Row],[M1 Money Stock, Billions of Dollars, Weekly, Seasonally Adjusted]]-B1502)/B1502</f>
        <v/>
      </c>
      <c r="D1503" s="34">
        <f>((1+Table2634[[#This Row],[Weekly change]])^52)-1</f>
        <v/>
      </c>
      <c r="E1503" s="24">
        <f>AVERAGE(B1500:B1503)</f>
        <v/>
      </c>
      <c r="F1503" s="32">
        <f>(Table2634[[#This Row],[4 weeks average]]-B1451)/B1451</f>
        <v/>
      </c>
    </row>
    <row r="1504">
      <c r="A1504" s="22" t="n">
        <v>37886</v>
      </c>
      <c r="B1504" s="24">
        <f>VLOOKUP(Table2634[[#This Row],[Date]],'DB Money Supply'!$A:$D,4)</f>
        <v/>
      </c>
      <c r="C1504" s="30">
        <f>(Table2634[[#This Row],[M1 Money Stock, Billions of Dollars, Weekly, Seasonally Adjusted]]-B1503)/B1503</f>
        <v/>
      </c>
      <c r="D1504" s="34">
        <f>((1+Table2634[[#This Row],[Weekly change]])^52)-1</f>
        <v/>
      </c>
      <c r="E1504" s="24">
        <f>AVERAGE(B1501:B1504)</f>
        <v/>
      </c>
      <c r="F1504" s="32">
        <f>(Table2634[[#This Row],[4 weeks average]]-B1452)/B1452</f>
        <v/>
      </c>
    </row>
    <row r="1505">
      <c r="A1505" s="22" t="n">
        <v>37893</v>
      </c>
      <c r="B1505" s="24">
        <f>VLOOKUP(Table2634[[#This Row],[Date]],'DB Money Supply'!$A:$D,4)</f>
        <v/>
      </c>
      <c r="C1505" s="30">
        <f>(Table2634[[#This Row],[M1 Money Stock, Billions of Dollars, Weekly, Seasonally Adjusted]]-B1504)/B1504</f>
        <v/>
      </c>
      <c r="D1505" s="34">
        <f>((1+Table2634[[#This Row],[Weekly change]])^52)-1</f>
        <v/>
      </c>
      <c r="E1505" s="24">
        <f>AVERAGE(B1502:B1505)</f>
        <v/>
      </c>
      <c r="F1505" s="32">
        <f>(Table2634[[#This Row],[4 weeks average]]-B1453)/B1453</f>
        <v/>
      </c>
    </row>
    <row r="1506">
      <c r="A1506" s="22" t="n">
        <v>37900</v>
      </c>
      <c r="B1506" s="24">
        <f>VLOOKUP(Table2634[[#This Row],[Date]],'DB Money Supply'!$A:$D,4)</f>
        <v/>
      </c>
      <c r="C1506" s="30">
        <f>(Table2634[[#This Row],[M1 Money Stock, Billions of Dollars, Weekly, Seasonally Adjusted]]-B1505)/B1505</f>
        <v/>
      </c>
      <c r="D1506" s="34">
        <f>((1+Table2634[[#This Row],[Weekly change]])^52)-1</f>
        <v/>
      </c>
      <c r="E1506" s="24">
        <f>AVERAGE(B1503:B1506)</f>
        <v/>
      </c>
      <c r="F1506" s="32">
        <f>(Table2634[[#This Row],[4 weeks average]]-B1454)/B1454</f>
        <v/>
      </c>
    </row>
    <row r="1507">
      <c r="A1507" s="22" t="n">
        <v>37907</v>
      </c>
      <c r="B1507" s="24">
        <f>VLOOKUP(Table2634[[#This Row],[Date]],'DB Money Supply'!$A:$D,4)</f>
        <v/>
      </c>
      <c r="C1507" s="30">
        <f>(Table2634[[#This Row],[M1 Money Stock, Billions of Dollars, Weekly, Seasonally Adjusted]]-B1506)/B1506</f>
        <v/>
      </c>
      <c r="D1507" s="34">
        <f>((1+Table2634[[#This Row],[Weekly change]])^52)-1</f>
        <v/>
      </c>
      <c r="E1507" s="24">
        <f>AVERAGE(B1504:B1507)</f>
        <v/>
      </c>
      <c r="F1507" s="32">
        <f>(Table2634[[#This Row],[4 weeks average]]-B1455)/B1455</f>
        <v/>
      </c>
    </row>
    <row r="1508">
      <c r="A1508" s="22" t="n">
        <v>37914</v>
      </c>
      <c r="B1508" s="24">
        <f>VLOOKUP(Table2634[[#This Row],[Date]],'DB Money Supply'!$A:$D,4)</f>
        <v/>
      </c>
      <c r="C1508" s="30">
        <f>(Table2634[[#This Row],[M1 Money Stock, Billions of Dollars, Weekly, Seasonally Adjusted]]-B1507)/B1507</f>
        <v/>
      </c>
      <c r="D1508" s="34">
        <f>((1+Table2634[[#This Row],[Weekly change]])^52)-1</f>
        <v/>
      </c>
      <c r="E1508" s="24">
        <f>AVERAGE(B1505:B1508)</f>
        <v/>
      </c>
      <c r="F1508" s="32">
        <f>(Table2634[[#This Row],[4 weeks average]]-B1456)/B1456</f>
        <v/>
      </c>
    </row>
    <row r="1509">
      <c r="A1509" s="22" t="n">
        <v>37921</v>
      </c>
      <c r="B1509" s="24">
        <f>VLOOKUP(Table2634[[#This Row],[Date]],'DB Money Supply'!$A:$D,4)</f>
        <v/>
      </c>
      <c r="C1509" s="30">
        <f>(Table2634[[#This Row],[M1 Money Stock, Billions of Dollars, Weekly, Seasonally Adjusted]]-B1508)/B1508</f>
        <v/>
      </c>
      <c r="D1509" s="34">
        <f>((1+Table2634[[#This Row],[Weekly change]])^52)-1</f>
        <v/>
      </c>
      <c r="E1509" s="24">
        <f>AVERAGE(B1506:B1509)</f>
        <v/>
      </c>
      <c r="F1509" s="32">
        <f>(Table2634[[#This Row],[4 weeks average]]-B1457)/B1457</f>
        <v/>
      </c>
    </row>
    <row r="1510">
      <c r="A1510" s="22" t="n">
        <v>37928</v>
      </c>
      <c r="B1510" s="24">
        <f>VLOOKUP(Table2634[[#This Row],[Date]],'DB Money Supply'!$A:$D,4)</f>
        <v/>
      </c>
      <c r="C1510" s="30">
        <f>(Table2634[[#This Row],[M1 Money Stock, Billions of Dollars, Weekly, Seasonally Adjusted]]-B1509)/B1509</f>
        <v/>
      </c>
      <c r="D1510" s="34">
        <f>((1+Table2634[[#This Row],[Weekly change]])^52)-1</f>
        <v/>
      </c>
      <c r="E1510" s="24">
        <f>AVERAGE(B1507:B1510)</f>
        <v/>
      </c>
      <c r="F1510" s="32">
        <f>(Table2634[[#This Row],[4 weeks average]]-B1458)/B1458</f>
        <v/>
      </c>
    </row>
    <row r="1511">
      <c r="A1511" s="22" t="n">
        <v>37935</v>
      </c>
      <c r="B1511" s="24">
        <f>VLOOKUP(Table2634[[#This Row],[Date]],'DB Money Supply'!$A:$D,4)</f>
        <v/>
      </c>
      <c r="C1511" s="30">
        <f>(Table2634[[#This Row],[M1 Money Stock, Billions of Dollars, Weekly, Seasonally Adjusted]]-B1510)/B1510</f>
        <v/>
      </c>
      <c r="D1511" s="34">
        <f>((1+Table2634[[#This Row],[Weekly change]])^52)-1</f>
        <v/>
      </c>
      <c r="E1511" s="24">
        <f>AVERAGE(B1508:B1511)</f>
        <v/>
      </c>
      <c r="F1511" s="32">
        <f>(Table2634[[#This Row],[4 weeks average]]-B1459)/B1459</f>
        <v/>
      </c>
    </row>
    <row r="1512">
      <c r="A1512" s="22" t="n">
        <v>37942</v>
      </c>
      <c r="B1512" s="24">
        <f>VLOOKUP(Table2634[[#This Row],[Date]],'DB Money Supply'!$A:$D,4)</f>
        <v/>
      </c>
      <c r="C1512" s="30">
        <f>(Table2634[[#This Row],[M1 Money Stock, Billions of Dollars, Weekly, Seasonally Adjusted]]-B1511)/B1511</f>
        <v/>
      </c>
      <c r="D1512" s="34">
        <f>((1+Table2634[[#This Row],[Weekly change]])^52)-1</f>
        <v/>
      </c>
      <c r="E1512" s="24">
        <f>AVERAGE(B1509:B1512)</f>
        <v/>
      </c>
      <c r="F1512" s="32">
        <f>(Table2634[[#This Row],[4 weeks average]]-B1460)/B1460</f>
        <v/>
      </c>
    </row>
    <row r="1513">
      <c r="A1513" s="22" t="n">
        <v>37949</v>
      </c>
      <c r="B1513" s="24">
        <f>VLOOKUP(Table2634[[#This Row],[Date]],'DB Money Supply'!$A:$D,4)</f>
        <v/>
      </c>
      <c r="C1513" s="30">
        <f>(Table2634[[#This Row],[M1 Money Stock, Billions of Dollars, Weekly, Seasonally Adjusted]]-B1512)/B1512</f>
        <v/>
      </c>
      <c r="D1513" s="34">
        <f>((1+Table2634[[#This Row],[Weekly change]])^52)-1</f>
        <v/>
      </c>
      <c r="E1513" s="24">
        <f>AVERAGE(B1510:B1513)</f>
        <v/>
      </c>
      <c r="F1513" s="32">
        <f>(Table2634[[#This Row],[4 weeks average]]-B1461)/B1461</f>
        <v/>
      </c>
    </row>
    <row r="1514">
      <c r="A1514" s="22" t="n">
        <v>37956</v>
      </c>
      <c r="B1514" s="24">
        <f>VLOOKUP(Table2634[[#This Row],[Date]],'DB Money Supply'!$A:$D,4)</f>
        <v/>
      </c>
      <c r="C1514" s="30">
        <f>(Table2634[[#This Row],[M1 Money Stock, Billions of Dollars, Weekly, Seasonally Adjusted]]-B1513)/B1513</f>
        <v/>
      </c>
      <c r="D1514" s="34">
        <f>((1+Table2634[[#This Row],[Weekly change]])^52)-1</f>
        <v/>
      </c>
      <c r="E1514" s="24">
        <f>AVERAGE(B1511:B1514)</f>
        <v/>
      </c>
      <c r="F1514" s="32">
        <f>(Table2634[[#This Row],[4 weeks average]]-B1462)/B1462</f>
        <v/>
      </c>
    </row>
    <row r="1515">
      <c r="A1515" s="22" t="n">
        <v>37963</v>
      </c>
      <c r="B1515" s="24">
        <f>VLOOKUP(Table2634[[#This Row],[Date]],'DB Money Supply'!$A:$D,4)</f>
        <v/>
      </c>
      <c r="C1515" s="30">
        <f>(Table2634[[#This Row],[M1 Money Stock, Billions of Dollars, Weekly, Seasonally Adjusted]]-B1514)/B1514</f>
        <v/>
      </c>
      <c r="D1515" s="34">
        <f>((1+Table2634[[#This Row],[Weekly change]])^52)-1</f>
        <v/>
      </c>
      <c r="E1515" s="24">
        <f>AVERAGE(B1512:B1515)</f>
        <v/>
      </c>
      <c r="F1515" s="32">
        <f>(Table2634[[#This Row],[4 weeks average]]-B1463)/B1463</f>
        <v/>
      </c>
    </row>
    <row r="1516">
      <c r="A1516" s="22" t="n">
        <v>37970</v>
      </c>
      <c r="B1516" s="24">
        <f>VLOOKUP(Table2634[[#This Row],[Date]],'DB Money Supply'!$A:$D,4)</f>
        <v/>
      </c>
      <c r="C1516" s="30">
        <f>(Table2634[[#This Row],[M1 Money Stock, Billions of Dollars, Weekly, Seasonally Adjusted]]-B1515)/B1515</f>
        <v/>
      </c>
      <c r="D1516" s="34">
        <f>((1+Table2634[[#This Row],[Weekly change]])^52)-1</f>
        <v/>
      </c>
      <c r="E1516" s="24">
        <f>AVERAGE(B1513:B1516)</f>
        <v/>
      </c>
      <c r="F1516" s="32">
        <f>(Table2634[[#This Row],[4 weeks average]]-B1464)/B1464</f>
        <v/>
      </c>
    </row>
    <row r="1517">
      <c r="A1517" s="22" t="n">
        <v>37977</v>
      </c>
      <c r="B1517" s="24">
        <f>VLOOKUP(Table2634[[#This Row],[Date]],'DB Money Supply'!$A:$D,4)</f>
        <v/>
      </c>
      <c r="C1517" s="30">
        <f>(Table2634[[#This Row],[M1 Money Stock, Billions of Dollars, Weekly, Seasonally Adjusted]]-B1516)/B1516</f>
        <v/>
      </c>
      <c r="D1517" s="34">
        <f>((1+Table2634[[#This Row],[Weekly change]])^52)-1</f>
        <v/>
      </c>
      <c r="E1517" s="24">
        <f>AVERAGE(B1514:B1517)</f>
        <v/>
      </c>
      <c r="F1517" s="32">
        <f>(Table2634[[#This Row],[4 weeks average]]-B1465)/B1465</f>
        <v/>
      </c>
    </row>
    <row r="1518">
      <c r="A1518" s="22" t="n">
        <v>37984</v>
      </c>
      <c r="B1518" s="24">
        <f>VLOOKUP(Table2634[[#This Row],[Date]],'DB Money Supply'!$A:$D,4)</f>
        <v/>
      </c>
      <c r="C1518" s="30">
        <f>(Table2634[[#This Row],[M1 Money Stock, Billions of Dollars, Weekly, Seasonally Adjusted]]-B1517)/B1517</f>
        <v/>
      </c>
      <c r="D1518" s="34">
        <f>((1+Table2634[[#This Row],[Weekly change]])^52)-1</f>
        <v/>
      </c>
      <c r="E1518" s="24">
        <f>AVERAGE(B1515:B1518)</f>
        <v/>
      </c>
      <c r="F1518" s="32">
        <f>(Table2634[[#This Row],[4 weeks average]]-B1466)/B1466</f>
        <v/>
      </c>
    </row>
    <row r="1519">
      <c r="A1519" s="22" t="n">
        <v>37991</v>
      </c>
      <c r="B1519" s="24">
        <f>VLOOKUP(Table2634[[#This Row],[Date]],'DB Money Supply'!$A:$D,4)</f>
        <v/>
      </c>
      <c r="C1519" s="30">
        <f>(Table2634[[#This Row],[M1 Money Stock, Billions of Dollars, Weekly, Seasonally Adjusted]]-B1518)/B1518</f>
        <v/>
      </c>
      <c r="D1519" s="34">
        <f>((1+Table2634[[#This Row],[Weekly change]])^52)-1</f>
        <v/>
      </c>
      <c r="E1519" s="24">
        <f>AVERAGE(B1516:B1519)</f>
        <v/>
      </c>
      <c r="F1519" s="32">
        <f>(Table2634[[#This Row],[4 weeks average]]-B1467)/B1467</f>
        <v/>
      </c>
    </row>
    <row r="1520">
      <c r="A1520" s="22" t="n">
        <v>37998</v>
      </c>
      <c r="B1520" s="24">
        <f>VLOOKUP(Table2634[[#This Row],[Date]],'DB Money Supply'!$A:$D,4)</f>
        <v/>
      </c>
      <c r="C1520" s="30">
        <f>(Table2634[[#This Row],[M1 Money Stock, Billions of Dollars, Weekly, Seasonally Adjusted]]-B1519)/B1519</f>
        <v/>
      </c>
      <c r="D1520" s="34">
        <f>((1+Table2634[[#This Row],[Weekly change]])^52)-1</f>
        <v/>
      </c>
      <c r="E1520" s="24">
        <f>AVERAGE(B1517:B1520)</f>
        <v/>
      </c>
      <c r="F1520" s="32">
        <f>(Table2634[[#This Row],[4 weeks average]]-B1468)/B1468</f>
        <v/>
      </c>
    </row>
    <row r="1521">
      <c r="A1521" s="22" t="n">
        <v>38005</v>
      </c>
      <c r="B1521" s="24">
        <f>VLOOKUP(Table2634[[#This Row],[Date]],'DB Money Supply'!$A:$D,4)</f>
        <v/>
      </c>
      <c r="C1521" s="30">
        <f>(Table2634[[#This Row],[M1 Money Stock, Billions of Dollars, Weekly, Seasonally Adjusted]]-B1520)/B1520</f>
        <v/>
      </c>
      <c r="D1521" s="34">
        <f>((1+Table2634[[#This Row],[Weekly change]])^52)-1</f>
        <v/>
      </c>
      <c r="E1521" s="24">
        <f>AVERAGE(B1518:B1521)</f>
        <v/>
      </c>
      <c r="F1521" s="32">
        <f>(Table2634[[#This Row],[4 weeks average]]-B1469)/B1469</f>
        <v/>
      </c>
    </row>
    <row r="1522">
      <c r="A1522" s="22" t="n">
        <v>38012</v>
      </c>
      <c r="B1522" s="24">
        <f>VLOOKUP(Table2634[[#This Row],[Date]],'DB Money Supply'!$A:$D,4)</f>
        <v/>
      </c>
      <c r="C1522" s="30">
        <f>(Table2634[[#This Row],[M1 Money Stock, Billions of Dollars, Weekly, Seasonally Adjusted]]-B1521)/B1521</f>
        <v/>
      </c>
      <c r="D1522" s="34">
        <f>((1+Table2634[[#This Row],[Weekly change]])^52)-1</f>
        <v/>
      </c>
      <c r="E1522" s="24">
        <f>AVERAGE(B1519:B1522)</f>
        <v/>
      </c>
      <c r="F1522" s="32">
        <f>(Table2634[[#This Row],[4 weeks average]]-B1470)/B1470</f>
        <v/>
      </c>
    </row>
    <row r="1523">
      <c r="A1523" s="22" t="n">
        <v>38019</v>
      </c>
      <c r="B1523" s="24">
        <f>VLOOKUP(Table2634[[#This Row],[Date]],'DB Money Supply'!$A:$D,4)</f>
        <v/>
      </c>
      <c r="C1523" s="30">
        <f>(Table2634[[#This Row],[M1 Money Stock, Billions of Dollars, Weekly, Seasonally Adjusted]]-B1522)/B1522</f>
        <v/>
      </c>
      <c r="D1523" s="34">
        <f>((1+Table2634[[#This Row],[Weekly change]])^52)-1</f>
        <v/>
      </c>
      <c r="E1523" s="24">
        <f>AVERAGE(B1520:B1523)</f>
        <v/>
      </c>
      <c r="F1523" s="32">
        <f>(Table2634[[#This Row],[4 weeks average]]-B1471)/B1471</f>
        <v/>
      </c>
    </row>
    <row r="1524">
      <c r="A1524" s="22" t="n">
        <v>38026</v>
      </c>
      <c r="B1524" s="24">
        <f>VLOOKUP(Table2634[[#This Row],[Date]],'DB Money Supply'!$A:$D,4)</f>
        <v/>
      </c>
      <c r="C1524" s="30">
        <f>(Table2634[[#This Row],[M1 Money Stock, Billions of Dollars, Weekly, Seasonally Adjusted]]-B1523)/B1523</f>
        <v/>
      </c>
      <c r="D1524" s="34">
        <f>((1+Table2634[[#This Row],[Weekly change]])^52)-1</f>
        <v/>
      </c>
      <c r="E1524" s="24">
        <f>AVERAGE(B1521:B1524)</f>
        <v/>
      </c>
      <c r="F1524" s="32">
        <f>(Table2634[[#This Row],[4 weeks average]]-B1472)/B1472</f>
        <v/>
      </c>
    </row>
    <row r="1525">
      <c r="A1525" s="22" t="n">
        <v>38033</v>
      </c>
      <c r="B1525" s="24">
        <f>VLOOKUP(Table2634[[#This Row],[Date]],'DB Money Supply'!$A:$D,4)</f>
        <v/>
      </c>
      <c r="C1525" s="30">
        <f>(Table2634[[#This Row],[M1 Money Stock, Billions of Dollars, Weekly, Seasonally Adjusted]]-B1524)/B1524</f>
        <v/>
      </c>
      <c r="D1525" s="34">
        <f>((1+Table2634[[#This Row],[Weekly change]])^52)-1</f>
        <v/>
      </c>
      <c r="E1525" s="24">
        <f>AVERAGE(B1522:B1525)</f>
        <v/>
      </c>
      <c r="F1525" s="32">
        <f>(Table2634[[#This Row],[4 weeks average]]-B1473)/B1473</f>
        <v/>
      </c>
    </row>
    <row r="1526">
      <c r="A1526" s="22" t="n">
        <v>38040</v>
      </c>
      <c r="B1526" s="24">
        <f>VLOOKUP(Table2634[[#This Row],[Date]],'DB Money Supply'!$A:$D,4)</f>
        <v/>
      </c>
      <c r="C1526" s="30">
        <f>(Table2634[[#This Row],[M1 Money Stock, Billions of Dollars, Weekly, Seasonally Adjusted]]-B1525)/B1525</f>
        <v/>
      </c>
      <c r="D1526" s="34">
        <f>((1+Table2634[[#This Row],[Weekly change]])^52)-1</f>
        <v/>
      </c>
      <c r="E1526" s="24">
        <f>AVERAGE(B1523:B1526)</f>
        <v/>
      </c>
      <c r="F1526" s="32">
        <f>(Table2634[[#This Row],[4 weeks average]]-B1474)/B1474</f>
        <v/>
      </c>
    </row>
    <row r="1527">
      <c r="A1527" s="22" t="n">
        <v>38047</v>
      </c>
      <c r="B1527" s="24">
        <f>VLOOKUP(Table2634[[#This Row],[Date]],'DB Money Supply'!$A:$D,4)</f>
        <v/>
      </c>
      <c r="C1527" s="30">
        <f>(Table2634[[#This Row],[M1 Money Stock, Billions of Dollars, Weekly, Seasonally Adjusted]]-B1526)/B1526</f>
        <v/>
      </c>
      <c r="D1527" s="34">
        <f>((1+Table2634[[#This Row],[Weekly change]])^52)-1</f>
        <v/>
      </c>
      <c r="E1527" s="24">
        <f>AVERAGE(B1524:B1527)</f>
        <v/>
      </c>
      <c r="F1527" s="32">
        <f>(Table2634[[#This Row],[4 weeks average]]-B1475)/B1475</f>
        <v/>
      </c>
    </row>
    <row r="1528">
      <c r="A1528" s="22" t="n">
        <v>38054</v>
      </c>
      <c r="B1528" s="24">
        <f>VLOOKUP(Table2634[[#This Row],[Date]],'DB Money Supply'!$A:$D,4)</f>
        <v/>
      </c>
      <c r="C1528" s="30">
        <f>(Table2634[[#This Row],[M1 Money Stock, Billions of Dollars, Weekly, Seasonally Adjusted]]-B1527)/B1527</f>
        <v/>
      </c>
      <c r="D1528" s="34">
        <f>((1+Table2634[[#This Row],[Weekly change]])^52)-1</f>
        <v/>
      </c>
      <c r="E1528" s="24">
        <f>AVERAGE(B1525:B1528)</f>
        <v/>
      </c>
      <c r="F1528" s="32">
        <f>(Table2634[[#This Row],[4 weeks average]]-B1476)/B1476</f>
        <v/>
      </c>
    </row>
    <row r="1529">
      <c r="A1529" s="22" t="n">
        <v>38061</v>
      </c>
      <c r="B1529" s="24">
        <f>VLOOKUP(Table2634[[#This Row],[Date]],'DB Money Supply'!$A:$D,4)</f>
        <v/>
      </c>
      <c r="C1529" s="30">
        <f>(Table2634[[#This Row],[M1 Money Stock, Billions of Dollars, Weekly, Seasonally Adjusted]]-B1528)/B1528</f>
        <v/>
      </c>
      <c r="D1529" s="34">
        <f>((1+Table2634[[#This Row],[Weekly change]])^52)-1</f>
        <v/>
      </c>
      <c r="E1529" s="24">
        <f>AVERAGE(B1526:B1529)</f>
        <v/>
      </c>
      <c r="F1529" s="32">
        <f>(Table2634[[#This Row],[4 weeks average]]-B1477)/B1477</f>
        <v/>
      </c>
    </row>
    <row r="1530">
      <c r="A1530" s="22" t="n">
        <v>38068</v>
      </c>
      <c r="B1530" s="24">
        <f>VLOOKUP(Table2634[[#This Row],[Date]],'DB Money Supply'!$A:$D,4)</f>
        <v/>
      </c>
      <c r="C1530" s="30">
        <f>(Table2634[[#This Row],[M1 Money Stock, Billions of Dollars, Weekly, Seasonally Adjusted]]-B1529)/B1529</f>
        <v/>
      </c>
      <c r="D1530" s="34">
        <f>((1+Table2634[[#This Row],[Weekly change]])^52)-1</f>
        <v/>
      </c>
      <c r="E1530" s="24">
        <f>AVERAGE(B1527:B1530)</f>
        <v/>
      </c>
      <c r="F1530" s="32">
        <f>(Table2634[[#This Row],[4 weeks average]]-B1478)/B1478</f>
        <v/>
      </c>
    </row>
    <row r="1531">
      <c r="A1531" s="22" t="n">
        <v>38075</v>
      </c>
      <c r="B1531" s="24">
        <f>VLOOKUP(Table2634[[#This Row],[Date]],'DB Money Supply'!$A:$D,4)</f>
        <v/>
      </c>
      <c r="C1531" s="30">
        <f>(Table2634[[#This Row],[M1 Money Stock, Billions of Dollars, Weekly, Seasonally Adjusted]]-B1530)/B1530</f>
        <v/>
      </c>
      <c r="D1531" s="34">
        <f>((1+Table2634[[#This Row],[Weekly change]])^52)-1</f>
        <v/>
      </c>
      <c r="E1531" s="24">
        <f>AVERAGE(B1528:B1531)</f>
        <v/>
      </c>
      <c r="F1531" s="32">
        <f>(Table2634[[#This Row],[4 weeks average]]-B1479)/B1479</f>
        <v/>
      </c>
    </row>
    <row r="1532">
      <c r="A1532" s="22" t="n">
        <v>38082</v>
      </c>
      <c r="B1532" s="24">
        <f>VLOOKUP(Table2634[[#This Row],[Date]],'DB Money Supply'!$A:$D,4)</f>
        <v/>
      </c>
      <c r="C1532" s="30">
        <f>(Table2634[[#This Row],[M1 Money Stock, Billions of Dollars, Weekly, Seasonally Adjusted]]-B1531)/B1531</f>
        <v/>
      </c>
      <c r="D1532" s="34">
        <f>((1+Table2634[[#This Row],[Weekly change]])^52)-1</f>
        <v/>
      </c>
      <c r="E1532" s="24">
        <f>AVERAGE(B1529:B1532)</f>
        <v/>
      </c>
      <c r="F1532" s="32">
        <f>(Table2634[[#This Row],[4 weeks average]]-B1480)/B1480</f>
        <v/>
      </c>
    </row>
    <row r="1533">
      <c r="A1533" s="22" t="n">
        <v>38089</v>
      </c>
      <c r="B1533" s="24">
        <f>VLOOKUP(Table2634[[#This Row],[Date]],'DB Money Supply'!$A:$D,4)</f>
        <v/>
      </c>
      <c r="C1533" s="30">
        <f>(Table2634[[#This Row],[M1 Money Stock, Billions of Dollars, Weekly, Seasonally Adjusted]]-B1532)/B1532</f>
        <v/>
      </c>
      <c r="D1533" s="34">
        <f>((1+Table2634[[#This Row],[Weekly change]])^52)-1</f>
        <v/>
      </c>
      <c r="E1533" s="24">
        <f>AVERAGE(B1530:B1533)</f>
        <v/>
      </c>
      <c r="F1533" s="32">
        <f>(Table2634[[#This Row],[4 weeks average]]-B1481)/B1481</f>
        <v/>
      </c>
    </row>
    <row r="1534">
      <c r="A1534" s="22" t="n">
        <v>38096</v>
      </c>
      <c r="B1534" s="24">
        <f>VLOOKUP(Table2634[[#This Row],[Date]],'DB Money Supply'!$A:$D,4)</f>
        <v/>
      </c>
      <c r="C1534" s="30">
        <f>(Table2634[[#This Row],[M1 Money Stock, Billions of Dollars, Weekly, Seasonally Adjusted]]-B1533)/B1533</f>
        <v/>
      </c>
      <c r="D1534" s="34">
        <f>((1+Table2634[[#This Row],[Weekly change]])^52)-1</f>
        <v/>
      </c>
      <c r="E1534" s="24">
        <f>AVERAGE(B1531:B1534)</f>
        <v/>
      </c>
      <c r="F1534" s="32">
        <f>(Table2634[[#This Row],[4 weeks average]]-B1482)/B1482</f>
        <v/>
      </c>
    </row>
    <row r="1535">
      <c r="A1535" s="22" t="n">
        <v>38103</v>
      </c>
      <c r="B1535" s="24">
        <f>VLOOKUP(Table2634[[#This Row],[Date]],'DB Money Supply'!$A:$D,4)</f>
        <v/>
      </c>
      <c r="C1535" s="30">
        <f>(Table2634[[#This Row],[M1 Money Stock, Billions of Dollars, Weekly, Seasonally Adjusted]]-B1534)/B1534</f>
        <v/>
      </c>
      <c r="D1535" s="34">
        <f>((1+Table2634[[#This Row],[Weekly change]])^52)-1</f>
        <v/>
      </c>
      <c r="E1535" s="24">
        <f>AVERAGE(B1532:B1535)</f>
        <v/>
      </c>
      <c r="F1535" s="32">
        <f>(Table2634[[#This Row],[4 weeks average]]-B1483)/B1483</f>
        <v/>
      </c>
    </row>
    <row r="1536">
      <c r="A1536" s="22" t="n">
        <v>38110</v>
      </c>
      <c r="B1536" s="24">
        <f>VLOOKUP(Table2634[[#This Row],[Date]],'DB Money Supply'!$A:$D,4)</f>
        <v/>
      </c>
      <c r="C1536" s="30">
        <f>(Table2634[[#This Row],[M1 Money Stock, Billions of Dollars, Weekly, Seasonally Adjusted]]-B1535)/B1535</f>
        <v/>
      </c>
      <c r="D1536" s="34">
        <f>((1+Table2634[[#This Row],[Weekly change]])^52)-1</f>
        <v/>
      </c>
      <c r="E1536" s="24">
        <f>AVERAGE(B1533:B1536)</f>
        <v/>
      </c>
      <c r="F1536" s="32">
        <f>(Table2634[[#This Row],[4 weeks average]]-B1484)/B1484</f>
        <v/>
      </c>
    </row>
    <row r="1537">
      <c r="A1537" s="22" t="n">
        <v>38117</v>
      </c>
      <c r="B1537" s="24">
        <f>VLOOKUP(Table2634[[#This Row],[Date]],'DB Money Supply'!$A:$D,4)</f>
        <v/>
      </c>
      <c r="C1537" s="30">
        <f>(Table2634[[#This Row],[M1 Money Stock, Billions of Dollars, Weekly, Seasonally Adjusted]]-B1536)/B1536</f>
        <v/>
      </c>
      <c r="D1537" s="34">
        <f>((1+Table2634[[#This Row],[Weekly change]])^52)-1</f>
        <v/>
      </c>
      <c r="E1537" s="24">
        <f>AVERAGE(B1534:B1537)</f>
        <v/>
      </c>
      <c r="F1537" s="32">
        <f>(Table2634[[#This Row],[4 weeks average]]-B1485)/B1485</f>
        <v/>
      </c>
    </row>
    <row r="1538">
      <c r="A1538" s="22" t="n">
        <v>38124</v>
      </c>
      <c r="B1538" s="24">
        <f>VLOOKUP(Table2634[[#This Row],[Date]],'DB Money Supply'!$A:$D,4)</f>
        <v/>
      </c>
      <c r="C1538" s="30">
        <f>(Table2634[[#This Row],[M1 Money Stock, Billions of Dollars, Weekly, Seasonally Adjusted]]-B1537)/B1537</f>
        <v/>
      </c>
      <c r="D1538" s="34">
        <f>((1+Table2634[[#This Row],[Weekly change]])^52)-1</f>
        <v/>
      </c>
      <c r="E1538" s="24">
        <f>AVERAGE(B1535:B1538)</f>
        <v/>
      </c>
      <c r="F1538" s="32">
        <f>(Table2634[[#This Row],[4 weeks average]]-B1486)/B1486</f>
        <v/>
      </c>
    </row>
    <row r="1539">
      <c r="A1539" s="22" t="n">
        <v>38131</v>
      </c>
      <c r="B1539" s="24">
        <f>VLOOKUP(Table2634[[#This Row],[Date]],'DB Money Supply'!$A:$D,4)</f>
        <v/>
      </c>
      <c r="C1539" s="30">
        <f>(Table2634[[#This Row],[M1 Money Stock, Billions of Dollars, Weekly, Seasonally Adjusted]]-B1538)/B1538</f>
        <v/>
      </c>
      <c r="D1539" s="34">
        <f>((1+Table2634[[#This Row],[Weekly change]])^52)-1</f>
        <v/>
      </c>
      <c r="E1539" s="24">
        <f>AVERAGE(B1536:B1539)</f>
        <v/>
      </c>
      <c r="F1539" s="32">
        <f>(Table2634[[#This Row],[4 weeks average]]-B1487)/B1487</f>
        <v/>
      </c>
    </row>
    <row r="1540">
      <c r="A1540" s="22" t="n">
        <v>38138</v>
      </c>
      <c r="B1540" s="24">
        <f>VLOOKUP(Table2634[[#This Row],[Date]],'DB Money Supply'!$A:$D,4)</f>
        <v/>
      </c>
      <c r="C1540" s="30">
        <f>(Table2634[[#This Row],[M1 Money Stock, Billions of Dollars, Weekly, Seasonally Adjusted]]-B1539)/B1539</f>
        <v/>
      </c>
      <c r="D1540" s="34">
        <f>((1+Table2634[[#This Row],[Weekly change]])^52)-1</f>
        <v/>
      </c>
      <c r="E1540" s="24">
        <f>AVERAGE(B1537:B1540)</f>
        <v/>
      </c>
      <c r="F1540" s="32">
        <f>(Table2634[[#This Row],[4 weeks average]]-B1488)/B1488</f>
        <v/>
      </c>
    </row>
    <row r="1541">
      <c r="A1541" s="22" t="n">
        <v>38145</v>
      </c>
      <c r="B1541" s="24">
        <f>VLOOKUP(Table2634[[#This Row],[Date]],'DB Money Supply'!$A:$D,4)</f>
        <v/>
      </c>
      <c r="C1541" s="30">
        <f>(Table2634[[#This Row],[M1 Money Stock, Billions of Dollars, Weekly, Seasonally Adjusted]]-B1540)/B1540</f>
        <v/>
      </c>
      <c r="D1541" s="34">
        <f>((1+Table2634[[#This Row],[Weekly change]])^52)-1</f>
        <v/>
      </c>
      <c r="E1541" s="24">
        <f>AVERAGE(B1538:B1541)</f>
        <v/>
      </c>
      <c r="F1541" s="32">
        <f>(Table2634[[#This Row],[4 weeks average]]-B1489)/B1489</f>
        <v/>
      </c>
    </row>
    <row r="1542">
      <c r="A1542" s="22" t="n">
        <v>38152</v>
      </c>
      <c r="B1542" s="24">
        <f>VLOOKUP(Table2634[[#This Row],[Date]],'DB Money Supply'!$A:$D,4)</f>
        <v/>
      </c>
      <c r="C1542" s="30">
        <f>(Table2634[[#This Row],[M1 Money Stock, Billions of Dollars, Weekly, Seasonally Adjusted]]-B1541)/B1541</f>
        <v/>
      </c>
      <c r="D1542" s="34">
        <f>((1+Table2634[[#This Row],[Weekly change]])^52)-1</f>
        <v/>
      </c>
      <c r="E1542" s="24">
        <f>AVERAGE(B1539:B1542)</f>
        <v/>
      </c>
      <c r="F1542" s="32">
        <f>(Table2634[[#This Row],[4 weeks average]]-B1490)/B1490</f>
        <v/>
      </c>
    </row>
    <row r="1543">
      <c r="A1543" s="22" t="n">
        <v>38159</v>
      </c>
      <c r="B1543" s="24">
        <f>VLOOKUP(Table2634[[#This Row],[Date]],'DB Money Supply'!$A:$D,4)</f>
        <v/>
      </c>
      <c r="C1543" s="30">
        <f>(Table2634[[#This Row],[M1 Money Stock, Billions of Dollars, Weekly, Seasonally Adjusted]]-B1542)/B1542</f>
        <v/>
      </c>
      <c r="D1543" s="34">
        <f>((1+Table2634[[#This Row],[Weekly change]])^52)-1</f>
        <v/>
      </c>
      <c r="E1543" s="24">
        <f>AVERAGE(B1540:B1543)</f>
        <v/>
      </c>
      <c r="F1543" s="32">
        <f>(Table2634[[#This Row],[4 weeks average]]-B1491)/B1491</f>
        <v/>
      </c>
    </row>
    <row r="1544">
      <c r="A1544" s="22" t="n">
        <v>38166</v>
      </c>
      <c r="B1544" s="24">
        <f>VLOOKUP(Table2634[[#This Row],[Date]],'DB Money Supply'!$A:$D,4)</f>
        <v/>
      </c>
      <c r="C1544" s="30">
        <f>(Table2634[[#This Row],[M1 Money Stock, Billions of Dollars, Weekly, Seasonally Adjusted]]-B1543)/B1543</f>
        <v/>
      </c>
      <c r="D1544" s="34">
        <f>((1+Table2634[[#This Row],[Weekly change]])^52)-1</f>
        <v/>
      </c>
      <c r="E1544" s="24">
        <f>AVERAGE(B1541:B1544)</f>
        <v/>
      </c>
      <c r="F1544" s="32">
        <f>(Table2634[[#This Row],[4 weeks average]]-B1492)/B1492</f>
        <v/>
      </c>
    </row>
    <row r="1545">
      <c r="A1545" s="22" t="n">
        <v>38173</v>
      </c>
      <c r="B1545" s="24">
        <f>VLOOKUP(Table2634[[#This Row],[Date]],'DB Money Supply'!$A:$D,4)</f>
        <v/>
      </c>
      <c r="C1545" s="30">
        <f>(Table2634[[#This Row],[M1 Money Stock, Billions of Dollars, Weekly, Seasonally Adjusted]]-B1544)/B1544</f>
        <v/>
      </c>
      <c r="D1545" s="34">
        <f>((1+Table2634[[#This Row],[Weekly change]])^52)-1</f>
        <v/>
      </c>
      <c r="E1545" s="24">
        <f>AVERAGE(B1542:B1545)</f>
        <v/>
      </c>
      <c r="F1545" s="32">
        <f>(Table2634[[#This Row],[4 weeks average]]-B1493)/B1493</f>
        <v/>
      </c>
    </row>
    <row r="1546">
      <c r="A1546" s="22" t="n">
        <v>38180</v>
      </c>
      <c r="B1546" s="24">
        <f>VLOOKUP(Table2634[[#This Row],[Date]],'DB Money Supply'!$A:$D,4)</f>
        <v/>
      </c>
      <c r="C1546" s="30">
        <f>(Table2634[[#This Row],[M1 Money Stock, Billions of Dollars, Weekly, Seasonally Adjusted]]-B1545)/B1545</f>
        <v/>
      </c>
      <c r="D1546" s="34">
        <f>((1+Table2634[[#This Row],[Weekly change]])^52)-1</f>
        <v/>
      </c>
      <c r="E1546" s="24">
        <f>AVERAGE(B1543:B1546)</f>
        <v/>
      </c>
      <c r="F1546" s="32">
        <f>(Table2634[[#This Row],[4 weeks average]]-B1494)/B1494</f>
        <v/>
      </c>
    </row>
    <row r="1547">
      <c r="A1547" s="22" t="n">
        <v>38187</v>
      </c>
      <c r="B1547" s="24">
        <f>VLOOKUP(Table2634[[#This Row],[Date]],'DB Money Supply'!$A:$D,4)</f>
        <v/>
      </c>
      <c r="C1547" s="30">
        <f>(Table2634[[#This Row],[M1 Money Stock, Billions of Dollars, Weekly, Seasonally Adjusted]]-B1546)/B1546</f>
        <v/>
      </c>
      <c r="D1547" s="34">
        <f>((1+Table2634[[#This Row],[Weekly change]])^52)-1</f>
        <v/>
      </c>
      <c r="E1547" s="24">
        <f>AVERAGE(B1544:B1547)</f>
        <v/>
      </c>
      <c r="F1547" s="32">
        <f>(Table2634[[#This Row],[4 weeks average]]-B1495)/B1495</f>
        <v/>
      </c>
    </row>
    <row r="1548">
      <c r="A1548" s="22" t="n">
        <v>38194</v>
      </c>
      <c r="B1548" s="24">
        <f>VLOOKUP(Table2634[[#This Row],[Date]],'DB Money Supply'!$A:$D,4)</f>
        <v/>
      </c>
      <c r="C1548" s="30">
        <f>(Table2634[[#This Row],[M1 Money Stock, Billions of Dollars, Weekly, Seasonally Adjusted]]-B1547)/B1547</f>
        <v/>
      </c>
      <c r="D1548" s="34">
        <f>((1+Table2634[[#This Row],[Weekly change]])^52)-1</f>
        <v/>
      </c>
      <c r="E1548" s="24">
        <f>AVERAGE(B1545:B1548)</f>
        <v/>
      </c>
      <c r="F1548" s="32">
        <f>(Table2634[[#This Row],[4 weeks average]]-B1496)/B1496</f>
        <v/>
      </c>
    </row>
    <row r="1549">
      <c r="A1549" s="22" t="n">
        <v>38201</v>
      </c>
      <c r="B1549" s="24">
        <f>VLOOKUP(Table2634[[#This Row],[Date]],'DB Money Supply'!$A:$D,4)</f>
        <v/>
      </c>
      <c r="C1549" s="30">
        <f>(Table2634[[#This Row],[M1 Money Stock, Billions of Dollars, Weekly, Seasonally Adjusted]]-B1548)/B1548</f>
        <v/>
      </c>
      <c r="D1549" s="34">
        <f>((1+Table2634[[#This Row],[Weekly change]])^52)-1</f>
        <v/>
      </c>
      <c r="E1549" s="24">
        <f>AVERAGE(B1546:B1549)</f>
        <v/>
      </c>
      <c r="F1549" s="32">
        <f>(Table2634[[#This Row],[4 weeks average]]-B1497)/B1497</f>
        <v/>
      </c>
    </row>
    <row r="1550">
      <c r="A1550" s="22" t="n">
        <v>38208</v>
      </c>
      <c r="B1550" s="24">
        <f>VLOOKUP(Table2634[[#This Row],[Date]],'DB Money Supply'!$A:$D,4)</f>
        <v/>
      </c>
      <c r="C1550" s="30">
        <f>(Table2634[[#This Row],[M1 Money Stock, Billions of Dollars, Weekly, Seasonally Adjusted]]-B1549)/B1549</f>
        <v/>
      </c>
      <c r="D1550" s="34">
        <f>((1+Table2634[[#This Row],[Weekly change]])^52)-1</f>
        <v/>
      </c>
      <c r="E1550" s="24">
        <f>AVERAGE(B1547:B1550)</f>
        <v/>
      </c>
      <c r="F1550" s="32">
        <f>(Table2634[[#This Row],[4 weeks average]]-B1498)/B1498</f>
        <v/>
      </c>
    </row>
    <row r="1551">
      <c r="A1551" s="22" t="n">
        <v>38215</v>
      </c>
      <c r="B1551" s="24">
        <f>VLOOKUP(Table2634[[#This Row],[Date]],'DB Money Supply'!$A:$D,4)</f>
        <v/>
      </c>
      <c r="C1551" s="30">
        <f>(Table2634[[#This Row],[M1 Money Stock, Billions of Dollars, Weekly, Seasonally Adjusted]]-B1550)/B1550</f>
        <v/>
      </c>
      <c r="D1551" s="34">
        <f>((1+Table2634[[#This Row],[Weekly change]])^52)-1</f>
        <v/>
      </c>
      <c r="E1551" s="24">
        <f>AVERAGE(B1548:B1551)</f>
        <v/>
      </c>
      <c r="F1551" s="32">
        <f>(Table2634[[#This Row],[4 weeks average]]-B1499)/B1499</f>
        <v/>
      </c>
    </row>
    <row r="1552">
      <c r="A1552" s="22" t="n">
        <v>38222</v>
      </c>
      <c r="B1552" s="24">
        <f>VLOOKUP(Table2634[[#This Row],[Date]],'DB Money Supply'!$A:$D,4)</f>
        <v/>
      </c>
      <c r="C1552" s="30">
        <f>(Table2634[[#This Row],[M1 Money Stock, Billions of Dollars, Weekly, Seasonally Adjusted]]-B1551)/B1551</f>
        <v/>
      </c>
      <c r="D1552" s="34">
        <f>((1+Table2634[[#This Row],[Weekly change]])^52)-1</f>
        <v/>
      </c>
      <c r="E1552" s="24">
        <f>AVERAGE(B1549:B1552)</f>
        <v/>
      </c>
      <c r="F1552" s="32">
        <f>(Table2634[[#This Row],[4 weeks average]]-B1500)/B1500</f>
        <v/>
      </c>
    </row>
    <row r="1553">
      <c r="A1553" s="22" t="n">
        <v>38229</v>
      </c>
      <c r="B1553" s="24">
        <f>VLOOKUP(Table2634[[#This Row],[Date]],'DB Money Supply'!$A:$D,4)</f>
        <v/>
      </c>
      <c r="C1553" s="30">
        <f>(Table2634[[#This Row],[M1 Money Stock, Billions of Dollars, Weekly, Seasonally Adjusted]]-B1552)/B1552</f>
        <v/>
      </c>
      <c r="D1553" s="34">
        <f>((1+Table2634[[#This Row],[Weekly change]])^52)-1</f>
        <v/>
      </c>
      <c r="E1553" s="24">
        <f>AVERAGE(B1550:B1553)</f>
        <v/>
      </c>
      <c r="F1553" s="32">
        <f>(Table2634[[#This Row],[4 weeks average]]-B1501)/B1501</f>
        <v/>
      </c>
    </row>
    <row r="1554">
      <c r="A1554" s="22" t="n">
        <v>38236</v>
      </c>
      <c r="B1554" s="24">
        <f>VLOOKUP(Table2634[[#This Row],[Date]],'DB Money Supply'!$A:$D,4)</f>
        <v/>
      </c>
      <c r="C1554" s="30">
        <f>(Table2634[[#This Row],[M1 Money Stock, Billions of Dollars, Weekly, Seasonally Adjusted]]-B1553)/B1553</f>
        <v/>
      </c>
      <c r="D1554" s="34">
        <f>((1+Table2634[[#This Row],[Weekly change]])^52)-1</f>
        <v/>
      </c>
      <c r="E1554" s="24">
        <f>AVERAGE(B1551:B1554)</f>
        <v/>
      </c>
      <c r="F1554" s="32">
        <f>(Table2634[[#This Row],[4 weeks average]]-B1502)/B1502</f>
        <v/>
      </c>
    </row>
    <row r="1555">
      <c r="A1555" s="22" t="n">
        <v>38243</v>
      </c>
      <c r="B1555" s="24">
        <f>VLOOKUP(Table2634[[#This Row],[Date]],'DB Money Supply'!$A:$D,4)</f>
        <v/>
      </c>
      <c r="C1555" s="30">
        <f>(Table2634[[#This Row],[M1 Money Stock, Billions of Dollars, Weekly, Seasonally Adjusted]]-B1554)/B1554</f>
        <v/>
      </c>
      <c r="D1555" s="34">
        <f>((1+Table2634[[#This Row],[Weekly change]])^52)-1</f>
        <v/>
      </c>
      <c r="E1555" s="24">
        <f>AVERAGE(B1552:B1555)</f>
        <v/>
      </c>
      <c r="F1555" s="32">
        <f>(Table2634[[#This Row],[4 weeks average]]-B1503)/B1503</f>
        <v/>
      </c>
    </row>
    <row r="1556">
      <c r="A1556" s="22" t="n">
        <v>38250</v>
      </c>
      <c r="B1556" s="24">
        <f>VLOOKUP(Table2634[[#This Row],[Date]],'DB Money Supply'!$A:$D,4)</f>
        <v/>
      </c>
      <c r="C1556" s="30">
        <f>(Table2634[[#This Row],[M1 Money Stock, Billions of Dollars, Weekly, Seasonally Adjusted]]-B1555)/B1555</f>
        <v/>
      </c>
      <c r="D1556" s="34">
        <f>((1+Table2634[[#This Row],[Weekly change]])^52)-1</f>
        <v/>
      </c>
      <c r="E1556" s="24">
        <f>AVERAGE(B1553:B1556)</f>
        <v/>
      </c>
      <c r="F1556" s="32">
        <f>(Table2634[[#This Row],[4 weeks average]]-B1504)/B1504</f>
        <v/>
      </c>
    </row>
    <row r="1557">
      <c r="A1557" s="22" t="n">
        <v>38257</v>
      </c>
      <c r="B1557" s="24">
        <f>VLOOKUP(Table2634[[#This Row],[Date]],'DB Money Supply'!$A:$D,4)</f>
        <v/>
      </c>
      <c r="C1557" s="30">
        <f>(Table2634[[#This Row],[M1 Money Stock, Billions of Dollars, Weekly, Seasonally Adjusted]]-B1556)/B1556</f>
        <v/>
      </c>
      <c r="D1557" s="34">
        <f>((1+Table2634[[#This Row],[Weekly change]])^52)-1</f>
        <v/>
      </c>
      <c r="E1557" s="24">
        <f>AVERAGE(B1554:B1557)</f>
        <v/>
      </c>
      <c r="F1557" s="32">
        <f>(Table2634[[#This Row],[4 weeks average]]-B1505)/B1505</f>
        <v/>
      </c>
    </row>
    <row r="1558">
      <c r="A1558" s="22" t="n">
        <v>38264</v>
      </c>
      <c r="B1558" s="24">
        <f>VLOOKUP(Table2634[[#This Row],[Date]],'DB Money Supply'!$A:$D,4)</f>
        <v/>
      </c>
      <c r="C1558" s="30">
        <f>(Table2634[[#This Row],[M1 Money Stock, Billions of Dollars, Weekly, Seasonally Adjusted]]-B1557)/B1557</f>
        <v/>
      </c>
      <c r="D1558" s="34">
        <f>((1+Table2634[[#This Row],[Weekly change]])^52)-1</f>
        <v/>
      </c>
      <c r="E1558" s="24">
        <f>AVERAGE(B1555:B1558)</f>
        <v/>
      </c>
      <c r="F1558" s="32">
        <f>(Table2634[[#This Row],[4 weeks average]]-B1506)/B1506</f>
        <v/>
      </c>
    </row>
    <row r="1559">
      <c r="A1559" s="22" t="n">
        <v>38271</v>
      </c>
      <c r="B1559" s="24">
        <f>VLOOKUP(Table2634[[#This Row],[Date]],'DB Money Supply'!$A:$D,4)</f>
        <v/>
      </c>
      <c r="C1559" s="30">
        <f>(Table2634[[#This Row],[M1 Money Stock, Billions of Dollars, Weekly, Seasonally Adjusted]]-B1558)/B1558</f>
        <v/>
      </c>
      <c r="D1559" s="34">
        <f>((1+Table2634[[#This Row],[Weekly change]])^52)-1</f>
        <v/>
      </c>
      <c r="E1559" s="24">
        <f>AVERAGE(B1556:B1559)</f>
        <v/>
      </c>
      <c r="F1559" s="32">
        <f>(Table2634[[#This Row],[4 weeks average]]-B1507)/B1507</f>
        <v/>
      </c>
    </row>
    <row r="1560">
      <c r="A1560" s="22" t="n">
        <v>38278</v>
      </c>
      <c r="B1560" s="24">
        <f>VLOOKUP(Table2634[[#This Row],[Date]],'DB Money Supply'!$A:$D,4)</f>
        <v/>
      </c>
      <c r="C1560" s="30">
        <f>(Table2634[[#This Row],[M1 Money Stock, Billions of Dollars, Weekly, Seasonally Adjusted]]-B1559)/B1559</f>
        <v/>
      </c>
      <c r="D1560" s="34">
        <f>((1+Table2634[[#This Row],[Weekly change]])^52)-1</f>
        <v/>
      </c>
      <c r="E1560" s="24">
        <f>AVERAGE(B1557:B1560)</f>
        <v/>
      </c>
      <c r="F1560" s="32">
        <f>(Table2634[[#This Row],[4 weeks average]]-B1508)/B1508</f>
        <v/>
      </c>
    </row>
    <row r="1561">
      <c r="A1561" s="22" t="n">
        <v>38285</v>
      </c>
      <c r="B1561" s="24">
        <f>VLOOKUP(Table2634[[#This Row],[Date]],'DB Money Supply'!$A:$D,4)</f>
        <v/>
      </c>
      <c r="C1561" s="30">
        <f>(Table2634[[#This Row],[M1 Money Stock, Billions of Dollars, Weekly, Seasonally Adjusted]]-B1560)/B1560</f>
        <v/>
      </c>
      <c r="D1561" s="34">
        <f>((1+Table2634[[#This Row],[Weekly change]])^52)-1</f>
        <v/>
      </c>
      <c r="E1561" s="24">
        <f>AVERAGE(B1558:B1561)</f>
        <v/>
      </c>
      <c r="F1561" s="32">
        <f>(Table2634[[#This Row],[4 weeks average]]-B1509)/B1509</f>
        <v/>
      </c>
    </row>
    <row r="1562">
      <c r="A1562" s="22" t="n">
        <v>38292</v>
      </c>
      <c r="B1562" s="24">
        <f>VLOOKUP(Table2634[[#This Row],[Date]],'DB Money Supply'!$A:$D,4)</f>
        <v/>
      </c>
      <c r="C1562" s="30">
        <f>(Table2634[[#This Row],[M1 Money Stock, Billions of Dollars, Weekly, Seasonally Adjusted]]-B1561)/B1561</f>
        <v/>
      </c>
      <c r="D1562" s="34">
        <f>((1+Table2634[[#This Row],[Weekly change]])^52)-1</f>
        <v/>
      </c>
      <c r="E1562" s="24">
        <f>AVERAGE(B1559:B1562)</f>
        <v/>
      </c>
      <c r="F1562" s="32">
        <f>(Table2634[[#This Row],[4 weeks average]]-B1510)/B1510</f>
        <v/>
      </c>
    </row>
    <row r="1563">
      <c r="A1563" s="22" t="n">
        <v>38299</v>
      </c>
      <c r="B1563" s="24">
        <f>VLOOKUP(Table2634[[#This Row],[Date]],'DB Money Supply'!$A:$D,4)</f>
        <v/>
      </c>
      <c r="C1563" s="30">
        <f>(Table2634[[#This Row],[M1 Money Stock, Billions of Dollars, Weekly, Seasonally Adjusted]]-B1562)/B1562</f>
        <v/>
      </c>
      <c r="D1563" s="34">
        <f>((1+Table2634[[#This Row],[Weekly change]])^52)-1</f>
        <v/>
      </c>
      <c r="E1563" s="24">
        <f>AVERAGE(B1560:B1563)</f>
        <v/>
      </c>
      <c r="F1563" s="32">
        <f>(Table2634[[#This Row],[4 weeks average]]-B1511)/B1511</f>
        <v/>
      </c>
    </row>
    <row r="1564">
      <c r="A1564" s="22" t="n">
        <v>38306</v>
      </c>
      <c r="B1564" s="24">
        <f>VLOOKUP(Table2634[[#This Row],[Date]],'DB Money Supply'!$A:$D,4)</f>
        <v/>
      </c>
      <c r="C1564" s="30">
        <f>(Table2634[[#This Row],[M1 Money Stock, Billions of Dollars, Weekly, Seasonally Adjusted]]-B1563)/B1563</f>
        <v/>
      </c>
      <c r="D1564" s="34">
        <f>((1+Table2634[[#This Row],[Weekly change]])^52)-1</f>
        <v/>
      </c>
      <c r="E1564" s="24">
        <f>AVERAGE(B1561:B1564)</f>
        <v/>
      </c>
      <c r="F1564" s="32">
        <f>(Table2634[[#This Row],[4 weeks average]]-B1512)/B1512</f>
        <v/>
      </c>
    </row>
    <row r="1565">
      <c r="A1565" s="22" t="n">
        <v>38313</v>
      </c>
      <c r="B1565" s="24">
        <f>VLOOKUP(Table2634[[#This Row],[Date]],'DB Money Supply'!$A:$D,4)</f>
        <v/>
      </c>
      <c r="C1565" s="30">
        <f>(Table2634[[#This Row],[M1 Money Stock, Billions of Dollars, Weekly, Seasonally Adjusted]]-B1564)/B1564</f>
        <v/>
      </c>
      <c r="D1565" s="34">
        <f>((1+Table2634[[#This Row],[Weekly change]])^52)-1</f>
        <v/>
      </c>
      <c r="E1565" s="24">
        <f>AVERAGE(B1562:B1565)</f>
        <v/>
      </c>
      <c r="F1565" s="32">
        <f>(Table2634[[#This Row],[4 weeks average]]-B1513)/B1513</f>
        <v/>
      </c>
    </row>
    <row r="1566">
      <c r="A1566" s="22" t="n">
        <v>38320</v>
      </c>
      <c r="B1566" s="24">
        <f>VLOOKUP(Table2634[[#This Row],[Date]],'DB Money Supply'!$A:$D,4)</f>
        <v/>
      </c>
      <c r="C1566" s="30">
        <f>(Table2634[[#This Row],[M1 Money Stock, Billions of Dollars, Weekly, Seasonally Adjusted]]-B1565)/B1565</f>
        <v/>
      </c>
      <c r="D1566" s="34">
        <f>((1+Table2634[[#This Row],[Weekly change]])^52)-1</f>
        <v/>
      </c>
      <c r="E1566" s="24">
        <f>AVERAGE(B1563:B1566)</f>
        <v/>
      </c>
      <c r="F1566" s="32">
        <f>(Table2634[[#This Row],[4 weeks average]]-B1514)/B1514</f>
        <v/>
      </c>
    </row>
    <row r="1567">
      <c r="A1567" s="22" t="n">
        <v>38327</v>
      </c>
      <c r="B1567" s="24">
        <f>VLOOKUP(Table2634[[#This Row],[Date]],'DB Money Supply'!$A:$D,4)</f>
        <v/>
      </c>
      <c r="C1567" s="30">
        <f>(Table2634[[#This Row],[M1 Money Stock, Billions of Dollars, Weekly, Seasonally Adjusted]]-B1566)/B1566</f>
        <v/>
      </c>
      <c r="D1567" s="34">
        <f>((1+Table2634[[#This Row],[Weekly change]])^52)-1</f>
        <v/>
      </c>
      <c r="E1567" s="24">
        <f>AVERAGE(B1564:B1567)</f>
        <v/>
      </c>
      <c r="F1567" s="32">
        <f>(Table2634[[#This Row],[4 weeks average]]-B1515)/B1515</f>
        <v/>
      </c>
    </row>
    <row r="1568">
      <c r="A1568" s="22" t="n">
        <v>38334</v>
      </c>
      <c r="B1568" s="24">
        <f>VLOOKUP(Table2634[[#This Row],[Date]],'DB Money Supply'!$A:$D,4)</f>
        <v/>
      </c>
      <c r="C1568" s="30">
        <f>(Table2634[[#This Row],[M1 Money Stock, Billions of Dollars, Weekly, Seasonally Adjusted]]-B1567)/B1567</f>
        <v/>
      </c>
      <c r="D1568" s="34">
        <f>((1+Table2634[[#This Row],[Weekly change]])^52)-1</f>
        <v/>
      </c>
      <c r="E1568" s="24">
        <f>AVERAGE(B1565:B1568)</f>
        <v/>
      </c>
      <c r="F1568" s="32">
        <f>(Table2634[[#This Row],[4 weeks average]]-B1516)/B1516</f>
        <v/>
      </c>
    </row>
    <row r="1569">
      <c r="A1569" s="22" t="n">
        <v>38341</v>
      </c>
      <c r="B1569" s="24">
        <f>VLOOKUP(Table2634[[#This Row],[Date]],'DB Money Supply'!$A:$D,4)</f>
        <v/>
      </c>
      <c r="C1569" s="30">
        <f>(Table2634[[#This Row],[M1 Money Stock, Billions of Dollars, Weekly, Seasonally Adjusted]]-B1568)/B1568</f>
        <v/>
      </c>
      <c r="D1569" s="34">
        <f>((1+Table2634[[#This Row],[Weekly change]])^52)-1</f>
        <v/>
      </c>
      <c r="E1569" s="24">
        <f>AVERAGE(B1566:B1569)</f>
        <v/>
      </c>
      <c r="F1569" s="32">
        <f>(Table2634[[#This Row],[4 weeks average]]-B1517)/B1517</f>
        <v/>
      </c>
    </row>
    <row r="1570">
      <c r="A1570" s="22" t="n">
        <v>38348</v>
      </c>
      <c r="B1570" s="24">
        <f>VLOOKUP(Table2634[[#This Row],[Date]],'DB Money Supply'!$A:$D,4)</f>
        <v/>
      </c>
      <c r="C1570" s="30">
        <f>(Table2634[[#This Row],[M1 Money Stock, Billions of Dollars, Weekly, Seasonally Adjusted]]-B1569)/B1569</f>
        <v/>
      </c>
      <c r="D1570" s="34">
        <f>((1+Table2634[[#This Row],[Weekly change]])^52)-1</f>
        <v/>
      </c>
      <c r="E1570" s="24">
        <f>AVERAGE(B1567:B1570)</f>
        <v/>
      </c>
      <c r="F1570" s="32">
        <f>(Table2634[[#This Row],[4 weeks average]]-B1518)/B1518</f>
        <v/>
      </c>
    </row>
    <row r="1571">
      <c r="A1571" s="22" t="n">
        <v>38355</v>
      </c>
      <c r="B1571" s="24">
        <f>VLOOKUP(Table2634[[#This Row],[Date]],'DB Money Supply'!$A:$D,4)</f>
        <v/>
      </c>
      <c r="C1571" s="30">
        <f>(Table2634[[#This Row],[M1 Money Stock, Billions of Dollars, Weekly, Seasonally Adjusted]]-B1570)/B1570</f>
        <v/>
      </c>
      <c r="D1571" s="34">
        <f>((1+Table2634[[#This Row],[Weekly change]])^52)-1</f>
        <v/>
      </c>
      <c r="E1571" s="24">
        <f>AVERAGE(B1568:B1571)</f>
        <v/>
      </c>
      <c r="F1571" s="32">
        <f>(Table2634[[#This Row],[4 weeks average]]-B1519)/B1519</f>
        <v/>
      </c>
    </row>
    <row r="1572">
      <c r="A1572" s="22" t="n">
        <v>38362</v>
      </c>
      <c r="B1572" s="24">
        <f>VLOOKUP(Table2634[[#This Row],[Date]],'DB Money Supply'!$A:$D,4)</f>
        <v/>
      </c>
      <c r="C1572" s="30">
        <f>(Table2634[[#This Row],[M1 Money Stock, Billions of Dollars, Weekly, Seasonally Adjusted]]-B1571)/B1571</f>
        <v/>
      </c>
      <c r="D1572" s="34">
        <f>((1+Table2634[[#This Row],[Weekly change]])^52)-1</f>
        <v/>
      </c>
      <c r="E1572" s="24">
        <f>AVERAGE(B1569:B1572)</f>
        <v/>
      </c>
      <c r="F1572" s="32">
        <f>(Table2634[[#This Row],[4 weeks average]]-B1520)/B1520</f>
        <v/>
      </c>
    </row>
    <row r="1573">
      <c r="A1573" s="22" t="n">
        <v>38369</v>
      </c>
      <c r="B1573" s="24">
        <f>VLOOKUP(Table2634[[#This Row],[Date]],'DB Money Supply'!$A:$D,4)</f>
        <v/>
      </c>
      <c r="C1573" s="30">
        <f>(Table2634[[#This Row],[M1 Money Stock, Billions of Dollars, Weekly, Seasonally Adjusted]]-B1572)/B1572</f>
        <v/>
      </c>
      <c r="D1573" s="34">
        <f>((1+Table2634[[#This Row],[Weekly change]])^52)-1</f>
        <v/>
      </c>
      <c r="E1573" s="24">
        <f>AVERAGE(B1570:B1573)</f>
        <v/>
      </c>
      <c r="F1573" s="32">
        <f>(Table2634[[#This Row],[4 weeks average]]-B1521)/B1521</f>
        <v/>
      </c>
    </row>
    <row r="1574">
      <c r="A1574" s="22" t="n">
        <v>38376</v>
      </c>
      <c r="B1574" s="24">
        <f>VLOOKUP(Table2634[[#This Row],[Date]],'DB Money Supply'!$A:$D,4)</f>
        <v/>
      </c>
      <c r="C1574" s="30">
        <f>(Table2634[[#This Row],[M1 Money Stock, Billions of Dollars, Weekly, Seasonally Adjusted]]-B1573)/B1573</f>
        <v/>
      </c>
      <c r="D1574" s="34">
        <f>((1+Table2634[[#This Row],[Weekly change]])^52)-1</f>
        <v/>
      </c>
      <c r="E1574" s="24">
        <f>AVERAGE(B1571:B1574)</f>
        <v/>
      </c>
      <c r="F1574" s="32">
        <f>(Table2634[[#This Row],[4 weeks average]]-B1522)/B1522</f>
        <v/>
      </c>
    </row>
    <row r="1575">
      <c r="A1575" s="22" t="n">
        <v>38383</v>
      </c>
      <c r="B1575" s="24">
        <f>VLOOKUP(Table2634[[#This Row],[Date]],'DB Money Supply'!$A:$D,4)</f>
        <v/>
      </c>
      <c r="C1575" s="30">
        <f>(Table2634[[#This Row],[M1 Money Stock, Billions of Dollars, Weekly, Seasonally Adjusted]]-B1574)/B1574</f>
        <v/>
      </c>
      <c r="D1575" s="34">
        <f>((1+Table2634[[#This Row],[Weekly change]])^52)-1</f>
        <v/>
      </c>
      <c r="E1575" s="24">
        <f>AVERAGE(B1572:B1575)</f>
        <v/>
      </c>
      <c r="F1575" s="32">
        <f>(Table2634[[#This Row],[4 weeks average]]-B1523)/B1523</f>
        <v/>
      </c>
    </row>
    <row r="1576">
      <c r="A1576" s="22" t="n">
        <v>38390</v>
      </c>
      <c r="B1576" s="24">
        <f>VLOOKUP(Table2634[[#This Row],[Date]],'DB Money Supply'!$A:$D,4)</f>
        <v/>
      </c>
      <c r="C1576" s="30">
        <f>(Table2634[[#This Row],[M1 Money Stock, Billions of Dollars, Weekly, Seasonally Adjusted]]-B1575)/B1575</f>
        <v/>
      </c>
      <c r="D1576" s="34">
        <f>((1+Table2634[[#This Row],[Weekly change]])^52)-1</f>
        <v/>
      </c>
      <c r="E1576" s="24">
        <f>AVERAGE(B1573:B1576)</f>
        <v/>
      </c>
      <c r="F1576" s="32">
        <f>(Table2634[[#This Row],[4 weeks average]]-B1524)/B1524</f>
        <v/>
      </c>
    </row>
    <row r="1577">
      <c r="A1577" s="22" t="n">
        <v>38397</v>
      </c>
      <c r="B1577" s="24">
        <f>VLOOKUP(Table2634[[#This Row],[Date]],'DB Money Supply'!$A:$D,4)</f>
        <v/>
      </c>
      <c r="C1577" s="30">
        <f>(Table2634[[#This Row],[M1 Money Stock, Billions of Dollars, Weekly, Seasonally Adjusted]]-B1576)/B1576</f>
        <v/>
      </c>
      <c r="D1577" s="34">
        <f>((1+Table2634[[#This Row],[Weekly change]])^52)-1</f>
        <v/>
      </c>
      <c r="E1577" s="24">
        <f>AVERAGE(B1574:B1577)</f>
        <v/>
      </c>
      <c r="F1577" s="32">
        <f>(Table2634[[#This Row],[4 weeks average]]-B1525)/B1525</f>
        <v/>
      </c>
    </row>
    <row r="1578">
      <c r="A1578" s="22" t="n">
        <v>38404</v>
      </c>
      <c r="B1578" s="24">
        <f>VLOOKUP(Table2634[[#This Row],[Date]],'DB Money Supply'!$A:$D,4)</f>
        <v/>
      </c>
      <c r="C1578" s="30">
        <f>(Table2634[[#This Row],[M1 Money Stock, Billions of Dollars, Weekly, Seasonally Adjusted]]-B1577)/B1577</f>
        <v/>
      </c>
      <c r="D1578" s="34">
        <f>((1+Table2634[[#This Row],[Weekly change]])^52)-1</f>
        <v/>
      </c>
      <c r="E1578" s="24">
        <f>AVERAGE(B1575:B1578)</f>
        <v/>
      </c>
      <c r="F1578" s="32">
        <f>(Table2634[[#This Row],[4 weeks average]]-B1526)/B1526</f>
        <v/>
      </c>
    </row>
    <row r="1579">
      <c r="A1579" s="22" t="n">
        <v>38411</v>
      </c>
      <c r="B1579" s="24">
        <f>VLOOKUP(Table2634[[#This Row],[Date]],'DB Money Supply'!$A:$D,4)</f>
        <v/>
      </c>
      <c r="C1579" s="30">
        <f>(Table2634[[#This Row],[M1 Money Stock, Billions of Dollars, Weekly, Seasonally Adjusted]]-B1578)/B1578</f>
        <v/>
      </c>
      <c r="D1579" s="34">
        <f>((1+Table2634[[#This Row],[Weekly change]])^52)-1</f>
        <v/>
      </c>
      <c r="E1579" s="24">
        <f>AVERAGE(B1576:B1579)</f>
        <v/>
      </c>
      <c r="F1579" s="32">
        <f>(Table2634[[#This Row],[4 weeks average]]-B1527)/B1527</f>
        <v/>
      </c>
    </row>
    <row r="1580">
      <c r="A1580" s="22" t="n">
        <v>38418</v>
      </c>
      <c r="B1580" s="24">
        <f>VLOOKUP(Table2634[[#This Row],[Date]],'DB Money Supply'!$A:$D,4)</f>
        <v/>
      </c>
      <c r="C1580" s="30">
        <f>(Table2634[[#This Row],[M1 Money Stock, Billions of Dollars, Weekly, Seasonally Adjusted]]-B1579)/B1579</f>
        <v/>
      </c>
      <c r="D1580" s="34">
        <f>((1+Table2634[[#This Row],[Weekly change]])^52)-1</f>
        <v/>
      </c>
      <c r="E1580" s="24">
        <f>AVERAGE(B1577:B1580)</f>
        <v/>
      </c>
      <c r="F1580" s="32">
        <f>(Table2634[[#This Row],[4 weeks average]]-B1528)/B1528</f>
        <v/>
      </c>
    </row>
    <row r="1581">
      <c r="A1581" s="22" t="n">
        <v>38425</v>
      </c>
      <c r="B1581" s="24">
        <f>VLOOKUP(Table2634[[#This Row],[Date]],'DB Money Supply'!$A:$D,4)</f>
        <v/>
      </c>
      <c r="C1581" s="30">
        <f>(Table2634[[#This Row],[M1 Money Stock, Billions of Dollars, Weekly, Seasonally Adjusted]]-B1580)/B1580</f>
        <v/>
      </c>
      <c r="D1581" s="34">
        <f>((1+Table2634[[#This Row],[Weekly change]])^52)-1</f>
        <v/>
      </c>
      <c r="E1581" s="24">
        <f>AVERAGE(B1578:B1581)</f>
        <v/>
      </c>
      <c r="F1581" s="32">
        <f>(Table2634[[#This Row],[4 weeks average]]-B1529)/B1529</f>
        <v/>
      </c>
    </row>
    <row r="1582">
      <c r="A1582" s="22" t="n">
        <v>38432</v>
      </c>
      <c r="B1582" s="24">
        <f>VLOOKUP(Table2634[[#This Row],[Date]],'DB Money Supply'!$A:$D,4)</f>
        <v/>
      </c>
      <c r="C1582" s="30">
        <f>(Table2634[[#This Row],[M1 Money Stock, Billions of Dollars, Weekly, Seasonally Adjusted]]-B1581)/B1581</f>
        <v/>
      </c>
      <c r="D1582" s="34">
        <f>((1+Table2634[[#This Row],[Weekly change]])^52)-1</f>
        <v/>
      </c>
      <c r="E1582" s="24">
        <f>AVERAGE(B1579:B1582)</f>
        <v/>
      </c>
      <c r="F1582" s="32">
        <f>(Table2634[[#This Row],[4 weeks average]]-B1530)/B1530</f>
        <v/>
      </c>
    </row>
    <row r="1583">
      <c r="A1583" s="22" t="n">
        <v>38439</v>
      </c>
      <c r="B1583" s="24">
        <f>VLOOKUP(Table2634[[#This Row],[Date]],'DB Money Supply'!$A:$D,4)</f>
        <v/>
      </c>
      <c r="C1583" s="30">
        <f>(Table2634[[#This Row],[M1 Money Stock, Billions of Dollars, Weekly, Seasonally Adjusted]]-B1582)/B1582</f>
        <v/>
      </c>
      <c r="D1583" s="34">
        <f>((1+Table2634[[#This Row],[Weekly change]])^52)-1</f>
        <v/>
      </c>
      <c r="E1583" s="24">
        <f>AVERAGE(B1580:B1583)</f>
        <v/>
      </c>
      <c r="F1583" s="32">
        <f>(Table2634[[#This Row],[4 weeks average]]-B1531)/B1531</f>
        <v/>
      </c>
    </row>
    <row r="1584">
      <c r="A1584" s="22" t="n">
        <v>38446</v>
      </c>
      <c r="B1584" s="24">
        <f>VLOOKUP(Table2634[[#This Row],[Date]],'DB Money Supply'!$A:$D,4)</f>
        <v/>
      </c>
      <c r="C1584" s="30">
        <f>(Table2634[[#This Row],[M1 Money Stock, Billions of Dollars, Weekly, Seasonally Adjusted]]-B1583)/B1583</f>
        <v/>
      </c>
      <c r="D1584" s="34">
        <f>((1+Table2634[[#This Row],[Weekly change]])^52)-1</f>
        <v/>
      </c>
      <c r="E1584" s="24">
        <f>AVERAGE(B1581:B1584)</f>
        <v/>
      </c>
      <c r="F1584" s="32">
        <f>(Table2634[[#This Row],[4 weeks average]]-B1532)/B1532</f>
        <v/>
      </c>
    </row>
    <row r="1585">
      <c r="A1585" s="22" t="n">
        <v>38453</v>
      </c>
      <c r="B1585" s="24">
        <f>VLOOKUP(Table2634[[#This Row],[Date]],'DB Money Supply'!$A:$D,4)</f>
        <v/>
      </c>
      <c r="C1585" s="30">
        <f>(Table2634[[#This Row],[M1 Money Stock, Billions of Dollars, Weekly, Seasonally Adjusted]]-B1584)/B1584</f>
        <v/>
      </c>
      <c r="D1585" s="34">
        <f>((1+Table2634[[#This Row],[Weekly change]])^52)-1</f>
        <v/>
      </c>
      <c r="E1585" s="24">
        <f>AVERAGE(B1582:B1585)</f>
        <v/>
      </c>
      <c r="F1585" s="32">
        <f>(Table2634[[#This Row],[4 weeks average]]-B1533)/B1533</f>
        <v/>
      </c>
    </row>
    <row r="1586">
      <c r="A1586" s="22" t="n">
        <v>38460</v>
      </c>
      <c r="B1586" s="24">
        <f>VLOOKUP(Table2634[[#This Row],[Date]],'DB Money Supply'!$A:$D,4)</f>
        <v/>
      </c>
      <c r="C1586" s="30">
        <f>(Table2634[[#This Row],[M1 Money Stock, Billions of Dollars, Weekly, Seasonally Adjusted]]-B1585)/B1585</f>
        <v/>
      </c>
      <c r="D1586" s="34">
        <f>((1+Table2634[[#This Row],[Weekly change]])^52)-1</f>
        <v/>
      </c>
      <c r="E1586" s="24">
        <f>AVERAGE(B1583:B1586)</f>
        <v/>
      </c>
      <c r="F1586" s="32">
        <f>(Table2634[[#This Row],[4 weeks average]]-B1534)/B1534</f>
        <v/>
      </c>
    </row>
    <row r="1587">
      <c r="A1587" s="22" t="n">
        <v>38467</v>
      </c>
      <c r="B1587" s="24">
        <f>VLOOKUP(Table2634[[#This Row],[Date]],'DB Money Supply'!$A:$D,4)</f>
        <v/>
      </c>
      <c r="C1587" s="30">
        <f>(Table2634[[#This Row],[M1 Money Stock, Billions of Dollars, Weekly, Seasonally Adjusted]]-B1586)/B1586</f>
        <v/>
      </c>
      <c r="D1587" s="34">
        <f>((1+Table2634[[#This Row],[Weekly change]])^52)-1</f>
        <v/>
      </c>
      <c r="E1587" s="24">
        <f>AVERAGE(B1584:B1587)</f>
        <v/>
      </c>
      <c r="F1587" s="32">
        <f>(Table2634[[#This Row],[4 weeks average]]-B1535)/B1535</f>
        <v/>
      </c>
    </row>
    <row r="1588">
      <c r="A1588" s="22" t="n">
        <v>38474</v>
      </c>
      <c r="B1588" s="24">
        <f>VLOOKUP(Table2634[[#This Row],[Date]],'DB Money Supply'!$A:$D,4)</f>
        <v/>
      </c>
      <c r="C1588" s="30">
        <f>(Table2634[[#This Row],[M1 Money Stock, Billions of Dollars, Weekly, Seasonally Adjusted]]-B1587)/B1587</f>
        <v/>
      </c>
      <c r="D1588" s="34">
        <f>((1+Table2634[[#This Row],[Weekly change]])^52)-1</f>
        <v/>
      </c>
      <c r="E1588" s="24">
        <f>AVERAGE(B1585:B1588)</f>
        <v/>
      </c>
      <c r="F1588" s="32">
        <f>(Table2634[[#This Row],[4 weeks average]]-B1536)/B1536</f>
        <v/>
      </c>
    </row>
    <row r="1589">
      <c r="A1589" s="22" t="n">
        <v>38481</v>
      </c>
      <c r="B1589" s="24">
        <f>VLOOKUP(Table2634[[#This Row],[Date]],'DB Money Supply'!$A:$D,4)</f>
        <v/>
      </c>
      <c r="C1589" s="30">
        <f>(Table2634[[#This Row],[M1 Money Stock, Billions of Dollars, Weekly, Seasonally Adjusted]]-B1588)/B1588</f>
        <v/>
      </c>
      <c r="D1589" s="34">
        <f>((1+Table2634[[#This Row],[Weekly change]])^52)-1</f>
        <v/>
      </c>
      <c r="E1589" s="24">
        <f>AVERAGE(B1586:B1589)</f>
        <v/>
      </c>
      <c r="F1589" s="32">
        <f>(Table2634[[#This Row],[4 weeks average]]-B1537)/B1537</f>
        <v/>
      </c>
    </row>
    <row r="1590">
      <c r="A1590" s="22" t="n">
        <v>38488</v>
      </c>
      <c r="B1590" s="24">
        <f>VLOOKUP(Table2634[[#This Row],[Date]],'DB Money Supply'!$A:$D,4)</f>
        <v/>
      </c>
      <c r="C1590" s="30">
        <f>(Table2634[[#This Row],[M1 Money Stock, Billions of Dollars, Weekly, Seasonally Adjusted]]-B1589)/B1589</f>
        <v/>
      </c>
      <c r="D1590" s="34">
        <f>((1+Table2634[[#This Row],[Weekly change]])^52)-1</f>
        <v/>
      </c>
      <c r="E1590" s="24">
        <f>AVERAGE(B1587:B1590)</f>
        <v/>
      </c>
      <c r="F1590" s="32">
        <f>(Table2634[[#This Row],[4 weeks average]]-B1538)/B1538</f>
        <v/>
      </c>
    </row>
    <row r="1591">
      <c r="A1591" s="22" t="n">
        <v>38495</v>
      </c>
      <c r="B1591" s="24">
        <f>VLOOKUP(Table2634[[#This Row],[Date]],'DB Money Supply'!$A:$D,4)</f>
        <v/>
      </c>
      <c r="C1591" s="30">
        <f>(Table2634[[#This Row],[M1 Money Stock, Billions of Dollars, Weekly, Seasonally Adjusted]]-B1590)/B1590</f>
        <v/>
      </c>
      <c r="D1591" s="34">
        <f>((1+Table2634[[#This Row],[Weekly change]])^52)-1</f>
        <v/>
      </c>
      <c r="E1591" s="24">
        <f>AVERAGE(B1588:B1591)</f>
        <v/>
      </c>
      <c r="F1591" s="32">
        <f>(Table2634[[#This Row],[4 weeks average]]-B1539)/B1539</f>
        <v/>
      </c>
    </row>
    <row r="1592">
      <c r="A1592" s="22" t="n">
        <v>38502</v>
      </c>
      <c r="B1592" s="24">
        <f>VLOOKUP(Table2634[[#This Row],[Date]],'DB Money Supply'!$A:$D,4)</f>
        <v/>
      </c>
      <c r="C1592" s="30">
        <f>(Table2634[[#This Row],[M1 Money Stock, Billions of Dollars, Weekly, Seasonally Adjusted]]-B1591)/B1591</f>
        <v/>
      </c>
      <c r="D1592" s="34">
        <f>((1+Table2634[[#This Row],[Weekly change]])^52)-1</f>
        <v/>
      </c>
      <c r="E1592" s="24">
        <f>AVERAGE(B1589:B1592)</f>
        <v/>
      </c>
      <c r="F1592" s="32">
        <f>(Table2634[[#This Row],[4 weeks average]]-B1540)/B1540</f>
        <v/>
      </c>
    </row>
    <row r="1593">
      <c r="A1593" s="22" t="n">
        <v>38509</v>
      </c>
      <c r="B1593" s="24">
        <f>VLOOKUP(Table2634[[#This Row],[Date]],'DB Money Supply'!$A:$D,4)</f>
        <v/>
      </c>
      <c r="C1593" s="30">
        <f>(Table2634[[#This Row],[M1 Money Stock, Billions of Dollars, Weekly, Seasonally Adjusted]]-B1592)/B1592</f>
        <v/>
      </c>
      <c r="D1593" s="34">
        <f>((1+Table2634[[#This Row],[Weekly change]])^52)-1</f>
        <v/>
      </c>
      <c r="E1593" s="24">
        <f>AVERAGE(B1590:B1593)</f>
        <v/>
      </c>
      <c r="F1593" s="32">
        <f>(Table2634[[#This Row],[4 weeks average]]-B1541)/B1541</f>
        <v/>
      </c>
    </row>
    <row r="1594">
      <c r="A1594" s="22" t="n">
        <v>38516</v>
      </c>
      <c r="B1594" s="24">
        <f>VLOOKUP(Table2634[[#This Row],[Date]],'DB Money Supply'!$A:$D,4)</f>
        <v/>
      </c>
      <c r="C1594" s="30">
        <f>(Table2634[[#This Row],[M1 Money Stock, Billions of Dollars, Weekly, Seasonally Adjusted]]-B1593)/B1593</f>
        <v/>
      </c>
      <c r="D1594" s="34">
        <f>((1+Table2634[[#This Row],[Weekly change]])^52)-1</f>
        <v/>
      </c>
      <c r="E1594" s="24">
        <f>AVERAGE(B1591:B1594)</f>
        <v/>
      </c>
      <c r="F1594" s="32">
        <f>(Table2634[[#This Row],[4 weeks average]]-B1542)/B1542</f>
        <v/>
      </c>
    </row>
    <row r="1595">
      <c r="A1595" s="22" t="n">
        <v>38523</v>
      </c>
      <c r="B1595" s="24">
        <f>VLOOKUP(Table2634[[#This Row],[Date]],'DB Money Supply'!$A:$D,4)</f>
        <v/>
      </c>
      <c r="C1595" s="30">
        <f>(Table2634[[#This Row],[M1 Money Stock, Billions of Dollars, Weekly, Seasonally Adjusted]]-B1594)/B1594</f>
        <v/>
      </c>
      <c r="D1595" s="34">
        <f>((1+Table2634[[#This Row],[Weekly change]])^52)-1</f>
        <v/>
      </c>
      <c r="E1595" s="24">
        <f>AVERAGE(B1592:B1595)</f>
        <v/>
      </c>
      <c r="F1595" s="32">
        <f>(Table2634[[#This Row],[4 weeks average]]-B1543)/B1543</f>
        <v/>
      </c>
    </row>
    <row r="1596">
      <c r="A1596" s="22" t="n">
        <v>38530</v>
      </c>
      <c r="B1596" s="24">
        <f>VLOOKUP(Table2634[[#This Row],[Date]],'DB Money Supply'!$A:$D,4)</f>
        <v/>
      </c>
      <c r="C1596" s="30">
        <f>(Table2634[[#This Row],[M1 Money Stock, Billions of Dollars, Weekly, Seasonally Adjusted]]-B1595)/B1595</f>
        <v/>
      </c>
      <c r="D1596" s="34">
        <f>((1+Table2634[[#This Row],[Weekly change]])^52)-1</f>
        <v/>
      </c>
      <c r="E1596" s="24">
        <f>AVERAGE(B1593:B1596)</f>
        <v/>
      </c>
      <c r="F1596" s="32">
        <f>(Table2634[[#This Row],[4 weeks average]]-B1544)/B1544</f>
        <v/>
      </c>
    </row>
    <row r="1597">
      <c r="A1597" s="22" t="n">
        <v>38537</v>
      </c>
      <c r="B1597" s="24">
        <f>VLOOKUP(Table2634[[#This Row],[Date]],'DB Money Supply'!$A:$D,4)</f>
        <v/>
      </c>
      <c r="C1597" s="30">
        <f>(Table2634[[#This Row],[M1 Money Stock, Billions of Dollars, Weekly, Seasonally Adjusted]]-B1596)/B1596</f>
        <v/>
      </c>
      <c r="D1597" s="34">
        <f>((1+Table2634[[#This Row],[Weekly change]])^52)-1</f>
        <v/>
      </c>
      <c r="E1597" s="24">
        <f>AVERAGE(B1594:B1597)</f>
        <v/>
      </c>
      <c r="F1597" s="32">
        <f>(Table2634[[#This Row],[4 weeks average]]-B1545)/B1545</f>
        <v/>
      </c>
    </row>
    <row r="1598">
      <c r="A1598" s="22" t="n">
        <v>38544</v>
      </c>
      <c r="B1598" s="24">
        <f>VLOOKUP(Table2634[[#This Row],[Date]],'DB Money Supply'!$A:$D,4)</f>
        <v/>
      </c>
      <c r="C1598" s="30">
        <f>(Table2634[[#This Row],[M1 Money Stock, Billions of Dollars, Weekly, Seasonally Adjusted]]-B1597)/B1597</f>
        <v/>
      </c>
      <c r="D1598" s="34">
        <f>((1+Table2634[[#This Row],[Weekly change]])^52)-1</f>
        <v/>
      </c>
      <c r="E1598" s="24">
        <f>AVERAGE(B1595:B1598)</f>
        <v/>
      </c>
      <c r="F1598" s="32">
        <f>(Table2634[[#This Row],[4 weeks average]]-B1546)/B1546</f>
        <v/>
      </c>
    </row>
    <row r="1599">
      <c r="A1599" s="22" t="n">
        <v>38551</v>
      </c>
      <c r="B1599" s="24">
        <f>VLOOKUP(Table2634[[#This Row],[Date]],'DB Money Supply'!$A:$D,4)</f>
        <v/>
      </c>
      <c r="C1599" s="30">
        <f>(Table2634[[#This Row],[M1 Money Stock, Billions of Dollars, Weekly, Seasonally Adjusted]]-B1598)/B1598</f>
        <v/>
      </c>
      <c r="D1599" s="34">
        <f>((1+Table2634[[#This Row],[Weekly change]])^52)-1</f>
        <v/>
      </c>
      <c r="E1599" s="24">
        <f>AVERAGE(B1596:B1599)</f>
        <v/>
      </c>
      <c r="F1599" s="32">
        <f>(Table2634[[#This Row],[4 weeks average]]-B1547)/B1547</f>
        <v/>
      </c>
    </row>
    <row r="1600">
      <c r="A1600" s="22" t="n">
        <v>38558</v>
      </c>
      <c r="B1600" s="24">
        <f>VLOOKUP(Table2634[[#This Row],[Date]],'DB Money Supply'!$A:$D,4)</f>
        <v/>
      </c>
      <c r="C1600" s="30">
        <f>(Table2634[[#This Row],[M1 Money Stock, Billions of Dollars, Weekly, Seasonally Adjusted]]-B1599)/B1599</f>
        <v/>
      </c>
      <c r="D1600" s="34">
        <f>((1+Table2634[[#This Row],[Weekly change]])^52)-1</f>
        <v/>
      </c>
      <c r="E1600" s="24">
        <f>AVERAGE(B1597:B1600)</f>
        <v/>
      </c>
      <c r="F1600" s="32">
        <f>(Table2634[[#This Row],[4 weeks average]]-B1548)/B1548</f>
        <v/>
      </c>
    </row>
    <row r="1601">
      <c r="A1601" s="22" t="n">
        <v>38565</v>
      </c>
      <c r="B1601" s="24">
        <f>VLOOKUP(Table2634[[#This Row],[Date]],'DB Money Supply'!$A:$D,4)</f>
        <v/>
      </c>
      <c r="C1601" s="30">
        <f>(Table2634[[#This Row],[M1 Money Stock, Billions of Dollars, Weekly, Seasonally Adjusted]]-B1600)/B1600</f>
        <v/>
      </c>
      <c r="D1601" s="34">
        <f>((1+Table2634[[#This Row],[Weekly change]])^52)-1</f>
        <v/>
      </c>
      <c r="E1601" s="24">
        <f>AVERAGE(B1598:B1601)</f>
        <v/>
      </c>
      <c r="F1601" s="32">
        <f>(Table2634[[#This Row],[4 weeks average]]-B1549)/B1549</f>
        <v/>
      </c>
    </row>
    <row r="1602">
      <c r="A1602" s="22" t="n">
        <v>38572</v>
      </c>
      <c r="B1602" s="24">
        <f>VLOOKUP(Table2634[[#This Row],[Date]],'DB Money Supply'!$A:$D,4)</f>
        <v/>
      </c>
      <c r="C1602" s="30">
        <f>(Table2634[[#This Row],[M1 Money Stock, Billions of Dollars, Weekly, Seasonally Adjusted]]-B1601)/B1601</f>
        <v/>
      </c>
      <c r="D1602" s="34">
        <f>((1+Table2634[[#This Row],[Weekly change]])^52)-1</f>
        <v/>
      </c>
      <c r="E1602" s="24">
        <f>AVERAGE(B1599:B1602)</f>
        <v/>
      </c>
      <c r="F1602" s="32">
        <f>(Table2634[[#This Row],[4 weeks average]]-B1550)/B1550</f>
        <v/>
      </c>
    </row>
    <row r="1603">
      <c r="A1603" s="22" t="n">
        <v>38579</v>
      </c>
      <c r="B1603" s="24">
        <f>VLOOKUP(Table2634[[#This Row],[Date]],'DB Money Supply'!$A:$D,4)</f>
        <v/>
      </c>
      <c r="C1603" s="30">
        <f>(Table2634[[#This Row],[M1 Money Stock, Billions of Dollars, Weekly, Seasonally Adjusted]]-B1602)/B1602</f>
        <v/>
      </c>
      <c r="D1603" s="34">
        <f>((1+Table2634[[#This Row],[Weekly change]])^52)-1</f>
        <v/>
      </c>
      <c r="E1603" s="24">
        <f>AVERAGE(B1600:B1603)</f>
        <v/>
      </c>
      <c r="F1603" s="32">
        <f>(Table2634[[#This Row],[4 weeks average]]-B1551)/B1551</f>
        <v/>
      </c>
    </row>
    <row r="1604">
      <c r="A1604" s="22" t="n">
        <v>38586</v>
      </c>
      <c r="B1604" s="24">
        <f>VLOOKUP(Table2634[[#This Row],[Date]],'DB Money Supply'!$A:$D,4)</f>
        <v/>
      </c>
      <c r="C1604" s="30">
        <f>(Table2634[[#This Row],[M1 Money Stock, Billions of Dollars, Weekly, Seasonally Adjusted]]-B1603)/B1603</f>
        <v/>
      </c>
      <c r="D1604" s="34">
        <f>((1+Table2634[[#This Row],[Weekly change]])^52)-1</f>
        <v/>
      </c>
      <c r="E1604" s="24">
        <f>AVERAGE(B1601:B1604)</f>
        <v/>
      </c>
      <c r="F1604" s="32">
        <f>(Table2634[[#This Row],[4 weeks average]]-B1552)/B1552</f>
        <v/>
      </c>
    </row>
    <row r="1605">
      <c r="A1605" s="22" t="n">
        <v>38593</v>
      </c>
      <c r="B1605" s="24">
        <f>VLOOKUP(Table2634[[#This Row],[Date]],'DB Money Supply'!$A:$D,4)</f>
        <v/>
      </c>
      <c r="C1605" s="30">
        <f>(Table2634[[#This Row],[M1 Money Stock, Billions of Dollars, Weekly, Seasonally Adjusted]]-B1604)/B1604</f>
        <v/>
      </c>
      <c r="D1605" s="34">
        <f>((1+Table2634[[#This Row],[Weekly change]])^52)-1</f>
        <v/>
      </c>
      <c r="E1605" s="24">
        <f>AVERAGE(B1602:B1605)</f>
        <v/>
      </c>
      <c r="F1605" s="32">
        <f>(Table2634[[#This Row],[4 weeks average]]-B1553)/B1553</f>
        <v/>
      </c>
    </row>
    <row r="1606">
      <c r="A1606" s="22" t="n">
        <v>38600</v>
      </c>
      <c r="B1606" s="24">
        <f>VLOOKUP(Table2634[[#This Row],[Date]],'DB Money Supply'!$A:$D,4)</f>
        <v/>
      </c>
      <c r="C1606" s="30">
        <f>(Table2634[[#This Row],[M1 Money Stock, Billions of Dollars, Weekly, Seasonally Adjusted]]-B1605)/B1605</f>
        <v/>
      </c>
      <c r="D1606" s="34">
        <f>((1+Table2634[[#This Row],[Weekly change]])^52)-1</f>
        <v/>
      </c>
      <c r="E1606" s="24">
        <f>AVERAGE(B1603:B1606)</f>
        <v/>
      </c>
      <c r="F1606" s="32">
        <f>(Table2634[[#This Row],[4 weeks average]]-B1554)/B1554</f>
        <v/>
      </c>
    </row>
    <row r="1607">
      <c r="A1607" s="22" t="n">
        <v>38607</v>
      </c>
      <c r="B1607" s="24">
        <f>VLOOKUP(Table2634[[#This Row],[Date]],'DB Money Supply'!$A:$D,4)</f>
        <v/>
      </c>
      <c r="C1607" s="30">
        <f>(Table2634[[#This Row],[M1 Money Stock, Billions of Dollars, Weekly, Seasonally Adjusted]]-B1606)/B1606</f>
        <v/>
      </c>
      <c r="D1607" s="34">
        <f>((1+Table2634[[#This Row],[Weekly change]])^52)-1</f>
        <v/>
      </c>
      <c r="E1607" s="24">
        <f>AVERAGE(B1604:B1607)</f>
        <v/>
      </c>
      <c r="F1607" s="32">
        <f>(Table2634[[#This Row],[4 weeks average]]-B1555)/B1555</f>
        <v/>
      </c>
    </row>
    <row r="1608">
      <c r="A1608" s="22" t="n">
        <v>38614</v>
      </c>
      <c r="B1608" s="24">
        <f>VLOOKUP(Table2634[[#This Row],[Date]],'DB Money Supply'!$A:$D,4)</f>
        <v/>
      </c>
      <c r="C1608" s="30">
        <f>(Table2634[[#This Row],[M1 Money Stock, Billions of Dollars, Weekly, Seasonally Adjusted]]-B1607)/B1607</f>
        <v/>
      </c>
      <c r="D1608" s="34">
        <f>((1+Table2634[[#This Row],[Weekly change]])^52)-1</f>
        <v/>
      </c>
      <c r="E1608" s="24">
        <f>AVERAGE(B1605:B1608)</f>
        <v/>
      </c>
      <c r="F1608" s="32">
        <f>(Table2634[[#This Row],[4 weeks average]]-B1556)/B1556</f>
        <v/>
      </c>
    </row>
    <row r="1609">
      <c r="A1609" s="22" t="n">
        <v>38621</v>
      </c>
      <c r="B1609" s="24">
        <f>VLOOKUP(Table2634[[#This Row],[Date]],'DB Money Supply'!$A:$D,4)</f>
        <v/>
      </c>
      <c r="C1609" s="30">
        <f>(Table2634[[#This Row],[M1 Money Stock, Billions of Dollars, Weekly, Seasonally Adjusted]]-B1608)/B1608</f>
        <v/>
      </c>
      <c r="D1609" s="34">
        <f>((1+Table2634[[#This Row],[Weekly change]])^52)-1</f>
        <v/>
      </c>
      <c r="E1609" s="24">
        <f>AVERAGE(B1606:B1609)</f>
        <v/>
      </c>
      <c r="F1609" s="32">
        <f>(Table2634[[#This Row],[4 weeks average]]-B1557)/B1557</f>
        <v/>
      </c>
    </row>
    <row r="1610">
      <c r="A1610" s="22" t="n">
        <v>38628</v>
      </c>
      <c r="B1610" s="24">
        <f>VLOOKUP(Table2634[[#This Row],[Date]],'DB Money Supply'!$A:$D,4)</f>
        <v/>
      </c>
      <c r="C1610" s="30">
        <f>(Table2634[[#This Row],[M1 Money Stock, Billions of Dollars, Weekly, Seasonally Adjusted]]-B1609)/B1609</f>
        <v/>
      </c>
      <c r="D1610" s="34">
        <f>((1+Table2634[[#This Row],[Weekly change]])^52)-1</f>
        <v/>
      </c>
      <c r="E1610" s="24">
        <f>AVERAGE(B1607:B1610)</f>
        <v/>
      </c>
      <c r="F1610" s="32">
        <f>(Table2634[[#This Row],[4 weeks average]]-B1558)/B1558</f>
        <v/>
      </c>
    </row>
    <row r="1611">
      <c r="A1611" s="22" t="n">
        <v>38635</v>
      </c>
      <c r="B1611" s="24">
        <f>VLOOKUP(Table2634[[#This Row],[Date]],'DB Money Supply'!$A:$D,4)</f>
        <v/>
      </c>
      <c r="C1611" s="30">
        <f>(Table2634[[#This Row],[M1 Money Stock, Billions of Dollars, Weekly, Seasonally Adjusted]]-B1610)/B1610</f>
        <v/>
      </c>
      <c r="D1611" s="34">
        <f>((1+Table2634[[#This Row],[Weekly change]])^52)-1</f>
        <v/>
      </c>
      <c r="E1611" s="24">
        <f>AVERAGE(B1608:B1611)</f>
        <v/>
      </c>
      <c r="F1611" s="32">
        <f>(Table2634[[#This Row],[4 weeks average]]-B1559)/B1559</f>
        <v/>
      </c>
    </row>
    <row r="1612">
      <c r="A1612" s="22" t="n">
        <v>38642</v>
      </c>
      <c r="B1612" s="24">
        <f>VLOOKUP(Table2634[[#This Row],[Date]],'DB Money Supply'!$A:$D,4)</f>
        <v/>
      </c>
      <c r="C1612" s="30">
        <f>(Table2634[[#This Row],[M1 Money Stock, Billions of Dollars, Weekly, Seasonally Adjusted]]-B1611)/B1611</f>
        <v/>
      </c>
      <c r="D1612" s="34">
        <f>((1+Table2634[[#This Row],[Weekly change]])^52)-1</f>
        <v/>
      </c>
      <c r="E1612" s="24">
        <f>AVERAGE(B1609:B1612)</f>
        <v/>
      </c>
      <c r="F1612" s="32">
        <f>(Table2634[[#This Row],[4 weeks average]]-B1560)/B1560</f>
        <v/>
      </c>
    </row>
    <row r="1613">
      <c r="A1613" s="22" t="n">
        <v>38649</v>
      </c>
      <c r="B1613" s="24">
        <f>VLOOKUP(Table2634[[#This Row],[Date]],'DB Money Supply'!$A:$D,4)</f>
        <v/>
      </c>
      <c r="C1613" s="30">
        <f>(Table2634[[#This Row],[M1 Money Stock, Billions of Dollars, Weekly, Seasonally Adjusted]]-B1612)/B1612</f>
        <v/>
      </c>
      <c r="D1613" s="34">
        <f>((1+Table2634[[#This Row],[Weekly change]])^52)-1</f>
        <v/>
      </c>
      <c r="E1613" s="24">
        <f>AVERAGE(B1610:B1613)</f>
        <v/>
      </c>
      <c r="F1613" s="32">
        <f>(Table2634[[#This Row],[4 weeks average]]-B1561)/B1561</f>
        <v/>
      </c>
    </row>
    <row r="1614">
      <c r="A1614" s="22" t="n">
        <v>38656</v>
      </c>
      <c r="B1614" s="24">
        <f>VLOOKUP(Table2634[[#This Row],[Date]],'DB Money Supply'!$A:$D,4)</f>
        <v/>
      </c>
      <c r="C1614" s="30">
        <f>(Table2634[[#This Row],[M1 Money Stock, Billions of Dollars, Weekly, Seasonally Adjusted]]-B1613)/B1613</f>
        <v/>
      </c>
      <c r="D1614" s="34">
        <f>((1+Table2634[[#This Row],[Weekly change]])^52)-1</f>
        <v/>
      </c>
      <c r="E1614" s="24">
        <f>AVERAGE(B1611:B1614)</f>
        <v/>
      </c>
      <c r="F1614" s="32">
        <f>(Table2634[[#This Row],[4 weeks average]]-B1562)/B1562</f>
        <v/>
      </c>
    </row>
    <row r="1615">
      <c r="A1615" s="22" t="n">
        <v>38663</v>
      </c>
      <c r="B1615" s="24">
        <f>VLOOKUP(Table2634[[#This Row],[Date]],'DB Money Supply'!$A:$D,4)</f>
        <v/>
      </c>
      <c r="C1615" s="30">
        <f>(Table2634[[#This Row],[M1 Money Stock, Billions of Dollars, Weekly, Seasonally Adjusted]]-B1614)/B1614</f>
        <v/>
      </c>
      <c r="D1615" s="34">
        <f>((1+Table2634[[#This Row],[Weekly change]])^52)-1</f>
        <v/>
      </c>
      <c r="E1615" s="24">
        <f>AVERAGE(B1612:B1615)</f>
        <v/>
      </c>
      <c r="F1615" s="32">
        <f>(Table2634[[#This Row],[4 weeks average]]-B1563)/B1563</f>
        <v/>
      </c>
    </row>
    <row r="1616">
      <c r="A1616" s="22" t="n">
        <v>38670</v>
      </c>
      <c r="B1616" s="24">
        <f>VLOOKUP(Table2634[[#This Row],[Date]],'DB Money Supply'!$A:$D,4)</f>
        <v/>
      </c>
      <c r="C1616" s="30">
        <f>(Table2634[[#This Row],[M1 Money Stock, Billions of Dollars, Weekly, Seasonally Adjusted]]-B1615)/B1615</f>
        <v/>
      </c>
      <c r="D1616" s="34">
        <f>((1+Table2634[[#This Row],[Weekly change]])^52)-1</f>
        <v/>
      </c>
      <c r="E1616" s="24">
        <f>AVERAGE(B1613:B1616)</f>
        <v/>
      </c>
      <c r="F1616" s="32">
        <f>(Table2634[[#This Row],[4 weeks average]]-B1564)/B1564</f>
        <v/>
      </c>
    </row>
    <row r="1617">
      <c r="A1617" s="22" t="n">
        <v>38677</v>
      </c>
      <c r="B1617" s="24">
        <f>VLOOKUP(Table2634[[#This Row],[Date]],'DB Money Supply'!$A:$D,4)</f>
        <v/>
      </c>
      <c r="C1617" s="30">
        <f>(Table2634[[#This Row],[M1 Money Stock, Billions of Dollars, Weekly, Seasonally Adjusted]]-B1616)/B1616</f>
        <v/>
      </c>
      <c r="D1617" s="34">
        <f>((1+Table2634[[#This Row],[Weekly change]])^52)-1</f>
        <v/>
      </c>
      <c r="E1617" s="24">
        <f>AVERAGE(B1614:B1617)</f>
        <v/>
      </c>
      <c r="F1617" s="32">
        <f>(Table2634[[#This Row],[4 weeks average]]-B1565)/B1565</f>
        <v/>
      </c>
    </row>
    <row r="1618">
      <c r="A1618" s="22" t="n">
        <v>38684</v>
      </c>
      <c r="B1618" s="24">
        <f>VLOOKUP(Table2634[[#This Row],[Date]],'DB Money Supply'!$A:$D,4)</f>
        <v/>
      </c>
      <c r="C1618" s="30">
        <f>(Table2634[[#This Row],[M1 Money Stock, Billions of Dollars, Weekly, Seasonally Adjusted]]-B1617)/B1617</f>
        <v/>
      </c>
      <c r="D1618" s="34">
        <f>((1+Table2634[[#This Row],[Weekly change]])^52)-1</f>
        <v/>
      </c>
      <c r="E1618" s="24">
        <f>AVERAGE(B1615:B1618)</f>
        <v/>
      </c>
      <c r="F1618" s="32">
        <f>(Table2634[[#This Row],[4 weeks average]]-B1566)/B1566</f>
        <v/>
      </c>
    </row>
    <row r="1619">
      <c r="A1619" s="22" t="n">
        <v>38691</v>
      </c>
      <c r="B1619" s="24">
        <f>VLOOKUP(Table2634[[#This Row],[Date]],'DB Money Supply'!$A:$D,4)</f>
        <v/>
      </c>
      <c r="C1619" s="30">
        <f>(Table2634[[#This Row],[M1 Money Stock, Billions of Dollars, Weekly, Seasonally Adjusted]]-B1618)/B1618</f>
        <v/>
      </c>
      <c r="D1619" s="34">
        <f>((1+Table2634[[#This Row],[Weekly change]])^52)-1</f>
        <v/>
      </c>
      <c r="E1619" s="24">
        <f>AVERAGE(B1616:B1619)</f>
        <v/>
      </c>
      <c r="F1619" s="32">
        <f>(Table2634[[#This Row],[4 weeks average]]-B1567)/B1567</f>
        <v/>
      </c>
    </row>
    <row r="1620">
      <c r="A1620" s="22" t="n">
        <v>38698</v>
      </c>
      <c r="B1620" s="24">
        <f>VLOOKUP(Table2634[[#This Row],[Date]],'DB Money Supply'!$A:$D,4)</f>
        <v/>
      </c>
      <c r="C1620" s="30">
        <f>(Table2634[[#This Row],[M1 Money Stock, Billions of Dollars, Weekly, Seasonally Adjusted]]-B1619)/B1619</f>
        <v/>
      </c>
      <c r="D1620" s="34">
        <f>((1+Table2634[[#This Row],[Weekly change]])^52)-1</f>
        <v/>
      </c>
      <c r="E1620" s="24">
        <f>AVERAGE(B1617:B1620)</f>
        <v/>
      </c>
      <c r="F1620" s="32">
        <f>(Table2634[[#This Row],[4 weeks average]]-B1568)/B1568</f>
        <v/>
      </c>
    </row>
    <row r="1621">
      <c r="A1621" s="22" t="n">
        <v>38705</v>
      </c>
      <c r="B1621" s="24">
        <f>VLOOKUP(Table2634[[#This Row],[Date]],'DB Money Supply'!$A:$D,4)</f>
        <v/>
      </c>
      <c r="C1621" s="30">
        <f>(Table2634[[#This Row],[M1 Money Stock, Billions of Dollars, Weekly, Seasonally Adjusted]]-B1620)/B1620</f>
        <v/>
      </c>
      <c r="D1621" s="34">
        <f>((1+Table2634[[#This Row],[Weekly change]])^52)-1</f>
        <v/>
      </c>
      <c r="E1621" s="24">
        <f>AVERAGE(B1618:B1621)</f>
        <v/>
      </c>
      <c r="F1621" s="32">
        <f>(Table2634[[#This Row],[4 weeks average]]-B1569)/B1569</f>
        <v/>
      </c>
    </row>
    <row r="1622">
      <c r="A1622" s="22" t="n">
        <v>38712</v>
      </c>
      <c r="B1622" s="24">
        <f>VLOOKUP(Table2634[[#This Row],[Date]],'DB Money Supply'!$A:$D,4)</f>
        <v/>
      </c>
      <c r="C1622" s="30">
        <f>(Table2634[[#This Row],[M1 Money Stock, Billions of Dollars, Weekly, Seasonally Adjusted]]-B1621)/B1621</f>
        <v/>
      </c>
      <c r="D1622" s="34">
        <f>((1+Table2634[[#This Row],[Weekly change]])^52)-1</f>
        <v/>
      </c>
      <c r="E1622" s="24">
        <f>AVERAGE(B1619:B1622)</f>
        <v/>
      </c>
      <c r="F1622" s="32">
        <f>(Table2634[[#This Row],[4 weeks average]]-B1570)/B1570</f>
        <v/>
      </c>
    </row>
    <row r="1623">
      <c r="A1623" s="22" t="n">
        <v>38719</v>
      </c>
      <c r="B1623" s="24">
        <f>VLOOKUP(Table2634[[#This Row],[Date]],'DB Money Supply'!$A:$D,4)</f>
        <v/>
      </c>
      <c r="C1623" s="30">
        <f>(Table2634[[#This Row],[M1 Money Stock, Billions of Dollars, Weekly, Seasonally Adjusted]]-B1622)/B1622</f>
        <v/>
      </c>
      <c r="D1623" s="34">
        <f>((1+Table2634[[#This Row],[Weekly change]])^52)-1</f>
        <v/>
      </c>
      <c r="E1623" s="24">
        <f>AVERAGE(B1620:B1623)</f>
        <v/>
      </c>
      <c r="F1623" s="32">
        <f>(Table2634[[#This Row],[4 weeks average]]-B1571)/B1571</f>
        <v/>
      </c>
    </row>
    <row r="1624">
      <c r="A1624" s="22" t="n">
        <v>38726</v>
      </c>
      <c r="B1624" s="24">
        <f>VLOOKUP(Table2634[[#This Row],[Date]],'DB Money Supply'!$A:$D,4)</f>
        <v/>
      </c>
      <c r="C1624" s="30">
        <f>(Table2634[[#This Row],[M1 Money Stock, Billions of Dollars, Weekly, Seasonally Adjusted]]-B1623)/B1623</f>
        <v/>
      </c>
      <c r="D1624" s="34">
        <f>((1+Table2634[[#This Row],[Weekly change]])^52)-1</f>
        <v/>
      </c>
      <c r="E1624" s="24">
        <f>AVERAGE(B1621:B1624)</f>
        <v/>
      </c>
      <c r="F1624" s="32">
        <f>(Table2634[[#This Row],[4 weeks average]]-B1572)/B1572</f>
        <v/>
      </c>
    </row>
    <row r="1625">
      <c r="A1625" s="22" t="n">
        <v>38733</v>
      </c>
      <c r="B1625" s="24">
        <f>VLOOKUP(Table2634[[#This Row],[Date]],'DB Money Supply'!$A:$D,4)</f>
        <v/>
      </c>
      <c r="C1625" s="30">
        <f>(Table2634[[#This Row],[M1 Money Stock, Billions of Dollars, Weekly, Seasonally Adjusted]]-B1624)/B1624</f>
        <v/>
      </c>
      <c r="D1625" s="34">
        <f>((1+Table2634[[#This Row],[Weekly change]])^52)-1</f>
        <v/>
      </c>
      <c r="E1625" s="24">
        <f>AVERAGE(B1622:B1625)</f>
        <v/>
      </c>
      <c r="F1625" s="32">
        <f>(Table2634[[#This Row],[4 weeks average]]-B1573)/B1573</f>
        <v/>
      </c>
    </row>
    <row r="1626">
      <c r="A1626" s="22" t="n">
        <v>38740</v>
      </c>
      <c r="B1626" s="24">
        <f>VLOOKUP(Table2634[[#This Row],[Date]],'DB Money Supply'!$A:$D,4)</f>
        <v/>
      </c>
      <c r="C1626" s="30">
        <f>(Table2634[[#This Row],[M1 Money Stock, Billions of Dollars, Weekly, Seasonally Adjusted]]-B1625)/B1625</f>
        <v/>
      </c>
      <c r="D1626" s="34">
        <f>((1+Table2634[[#This Row],[Weekly change]])^52)-1</f>
        <v/>
      </c>
      <c r="E1626" s="24">
        <f>AVERAGE(B1623:B1626)</f>
        <v/>
      </c>
      <c r="F1626" s="32">
        <f>(Table2634[[#This Row],[4 weeks average]]-B1574)/B1574</f>
        <v/>
      </c>
    </row>
    <row r="1627">
      <c r="A1627" s="22" t="n">
        <v>38747</v>
      </c>
      <c r="B1627" s="24">
        <f>VLOOKUP(Table2634[[#This Row],[Date]],'DB Money Supply'!$A:$D,4)</f>
        <v/>
      </c>
      <c r="C1627" s="30">
        <f>(Table2634[[#This Row],[M1 Money Stock, Billions of Dollars, Weekly, Seasonally Adjusted]]-B1626)/B1626</f>
        <v/>
      </c>
      <c r="D1627" s="34">
        <f>((1+Table2634[[#This Row],[Weekly change]])^52)-1</f>
        <v/>
      </c>
      <c r="E1627" s="24">
        <f>AVERAGE(B1624:B1627)</f>
        <v/>
      </c>
      <c r="F1627" s="32">
        <f>(Table2634[[#This Row],[4 weeks average]]-B1575)/B1575</f>
        <v/>
      </c>
    </row>
    <row r="1628">
      <c r="A1628" s="22" t="n">
        <v>38754</v>
      </c>
      <c r="B1628" s="24">
        <f>VLOOKUP(Table2634[[#This Row],[Date]],'DB Money Supply'!$A:$D,4)</f>
        <v/>
      </c>
      <c r="C1628" s="30">
        <f>(Table2634[[#This Row],[M1 Money Stock, Billions of Dollars, Weekly, Seasonally Adjusted]]-B1627)/B1627</f>
        <v/>
      </c>
      <c r="D1628" s="34">
        <f>((1+Table2634[[#This Row],[Weekly change]])^52)-1</f>
        <v/>
      </c>
      <c r="E1628" s="24">
        <f>AVERAGE(B1625:B1628)</f>
        <v/>
      </c>
      <c r="F1628" s="32">
        <f>(Table2634[[#This Row],[4 weeks average]]-B1576)/B1576</f>
        <v/>
      </c>
    </row>
    <row r="1629">
      <c r="A1629" s="22" t="n">
        <v>38761</v>
      </c>
      <c r="B1629" s="24">
        <f>VLOOKUP(Table2634[[#This Row],[Date]],'DB Money Supply'!$A:$D,4)</f>
        <v/>
      </c>
      <c r="C1629" s="30">
        <f>(Table2634[[#This Row],[M1 Money Stock, Billions of Dollars, Weekly, Seasonally Adjusted]]-B1628)/B1628</f>
        <v/>
      </c>
      <c r="D1629" s="34">
        <f>((1+Table2634[[#This Row],[Weekly change]])^52)-1</f>
        <v/>
      </c>
      <c r="E1629" s="24">
        <f>AVERAGE(B1626:B1629)</f>
        <v/>
      </c>
      <c r="F1629" s="32">
        <f>(Table2634[[#This Row],[4 weeks average]]-B1577)/B1577</f>
        <v/>
      </c>
    </row>
    <row r="1630">
      <c r="A1630" s="22" t="n">
        <v>38768</v>
      </c>
      <c r="B1630" s="24">
        <f>VLOOKUP(Table2634[[#This Row],[Date]],'DB Money Supply'!$A:$D,4)</f>
        <v/>
      </c>
      <c r="C1630" s="30">
        <f>(Table2634[[#This Row],[M1 Money Stock, Billions of Dollars, Weekly, Seasonally Adjusted]]-B1629)/B1629</f>
        <v/>
      </c>
      <c r="D1630" s="34">
        <f>((1+Table2634[[#This Row],[Weekly change]])^52)-1</f>
        <v/>
      </c>
      <c r="E1630" s="24">
        <f>AVERAGE(B1627:B1630)</f>
        <v/>
      </c>
      <c r="F1630" s="32">
        <f>(Table2634[[#This Row],[4 weeks average]]-B1578)/B1578</f>
        <v/>
      </c>
    </row>
    <row r="1631">
      <c r="A1631" s="22" t="n">
        <v>38775</v>
      </c>
      <c r="B1631" s="24">
        <f>VLOOKUP(Table2634[[#This Row],[Date]],'DB Money Supply'!$A:$D,4)</f>
        <v/>
      </c>
      <c r="C1631" s="30">
        <f>(Table2634[[#This Row],[M1 Money Stock, Billions of Dollars, Weekly, Seasonally Adjusted]]-B1630)/B1630</f>
        <v/>
      </c>
      <c r="D1631" s="34">
        <f>((1+Table2634[[#This Row],[Weekly change]])^52)-1</f>
        <v/>
      </c>
      <c r="E1631" s="24">
        <f>AVERAGE(B1628:B1631)</f>
        <v/>
      </c>
      <c r="F1631" s="32">
        <f>(Table2634[[#This Row],[4 weeks average]]-B1579)/B1579</f>
        <v/>
      </c>
    </row>
    <row r="1632">
      <c r="A1632" s="22" t="n">
        <v>38782</v>
      </c>
      <c r="B1632" s="24">
        <f>VLOOKUP(Table2634[[#This Row],[Date]],'DB Money Supply'!$A:$D,4)</f>
        <v/>
      </c>
      <c r="C1632" s="30">
        <f>(Table2634[[#This Row],[M1 Money Stock, Billions of Dollars, Weekly, Seasonally Adjusted]]-B1631)/B1631</f>
        <v/>
      </c>
      <c r="D1632" s="34">
        <f>((1+Table2634[[#This Row],[Weekly change]])^52)-1</f>
        <v/>
      </c>
      <c r="E1632" s="24">
        <f>AVERAGE(B1629:B1632)</f>
        <v/>
      </c>
      <c r="F1632" s="32">
        <f>(Table2634[[#This Row],[4 weeks average]]-B1580)/B1580</f>
        <v/>
      </c>
    </row>
    <row r="1633">
      <c r="A1633" s="22" t="n">
        <v>38789</v>
      </c>
      <c r="B1633" s="24">
        <f>VLOOKUP(Table2634[[#This Row],[Date]],'DB Money Supply'!$A:$D,4)</f>
        <v/>
      </c>
      <c r="C1633" s="30">
        <f>(Table2634[[#This Row],[M1 Money Stock, Billions of Dollars, Weekly, Seasonally Adjusted]]-B1632)/B1632</f>
        <v/>
      </c>
      <c r="D1633" s="34">
        <f>((1+Table2634[[#This Row],[Weekly change]])^52)-1</f>
        <v/>
      </c>
      <c r="E1633" s="24">
        <f>AVERAGE(B1630:B1633)</f>
        <v/>
      </c>
      <c r="F1633" s="32">
        <f>(Table2634[[#This Row],[4 weeks average]]-B1581)/B1581</f>
        <v/>
      </c>
    </row>
    <row r="1634">
      <c r="A1634" s="22" t="n">
        <v>38796</v>
      </c>
      <c r="B1634" s="24">
        <f>VLOOKUP(Table2634[[#This Row],[Date]],'DB Money Supply'!$A:$D,4)</f>
        <v/>
      </c>
      <c r="C1634" s="30">
        <f>(Table2634[[#This Row],[M1 Money Stock, Billions of Dollars, Weekly, Seasonally Adjusted]]-B1633)/B1633</f>
        <v/>
      </c>
      <c r="D1634" s="34">
        <f>((1+Table2634[[#This Row],[Weekly change]])^52)-1</f>
        <v/>
      </c>
      <c r="E1634" s="24">
        <f>AVERAGE(B1631:B1634)</f>
        <v/>
      </c>
      <c r="F1634" s="32">
        <f>(Table2634[[#This Row],[4 weeks average]]-B1582)/B1582</f>
        <v/>
      </c>
    </row>
    <row r="1635">
      <c r="A1635" s="22" t="n">
        <v>38803</v>
      </c>
      <c r="B1635" s="24">
        <f>VLOOKUP(Table2634[[#This Row],[Date]],'DB Money Supply'!$A:$D,4)</f>
        <v/>
      </c>
      <c r="C1635" s="30">
        <f>(Table2634[[#This Row],[M1 Money Stock, Billions of Dollars, Weekly, Seasonally Adjusted]]-B1634)/B1634</f>
        <v/>
      </c>
      <c r="D1635" s="34">
        <f>((1+Table2634[[#This Row],[Weekly change]])^52)-1</f>
        <v/>
      </c>
      <c r="E1635" s="24">
        <f>AVERAGE(B1632:B1635)</f>
        <v/>
      </c>
      <c r="F1635" s="32">
        <f>(Table2634[[#This Row],[4 weeks average]]-B1583)/B1583</f>
        <v/>
      </c>
    </row>
    <row r="1636">
      <c r="A1636" s="22" t="n">
        <v>38810</v>
      </c>
      <c r="B1636" s="24">
        <f>VLOOKUP(Table2634[[#This Row],[Date]],'DB Money Supply'!$A:$D,4)</f>
        <v/>
      </c>
      <c r="C1636" s="30">
        <f>(Table2634[[#This Row],[M1 Money Stock, Billions of Dollars, Weekly, Seasonally Adjusted]]-B1635)/B1635</f>
        <v/>
      </c>
      <c r="D1636" s="34">
        <f>((1+Table2634[[#This Row],[Weekly change]])^52)-1</f>
        <v/>
      </c>
      <c r="E1636" s="24">
        <f>AVERAGE(B1633:B1636)</f>
        <v/>
      </c>
      <c r="F1636" s="32">
        <f>(Table2634[[#This Row],[4 weeks average]]-B1584)/B1584</f>
        <v/>
      </c>
    </row>
    <row r="1637">
      <c r="A1637" s="22" t="n">
        <v>38817</v>
      </c>
      <c r="B1637" s="24">
        <f>VLOOKUP(Table2634[[#This Row],[Date]],'DB Money Supply'!$A:$D,4)</f>
        <v/>
      </c>
      <c r="C1637" s="30">
        <f>(Table2634[[#This Row],[M1 Money Stock, Billions of Dollars, Weekly, Seasonally Adjusted]]-B1636)/B1636</f>
        <v/>
      </c>
      <c r="D1637" s="34">
        <f>((1+Table2634[[#This Row],[Weekly change]])^52)-1</f>
        <v/>
      </c>
      <c r="E1637" s="24">
        <f>AVERAGE(B1634:B1637)</f>
        <v/>
      </c>
      <c r="F1637" s="32">
        <f>(Table2634[[#This Row],[4 weeks average]]-B1585)/B1585</f>
        <v/>
      </c>
    </row>
    <row r="1638">
      <c r="A1638" s="22" t="n">
        <v>38824</v>
      </c>
      <c r="B1638" s="24">
        <f>VLOOKUP(Table2634[[#This Row],[Date]],'DB Money Supply'!$A:$D,4)</f>
        <v/>
      </c>
      <c r="C1638" s="30">
        <f>(Table2634[[#This Row],[M1 Money Stock, Billions of Dollars, Weekly, Seasonally Adjusted]]-B1637)/B1637</f>
        <v/>
      </c>
      <c r="D1638" s="34">
        <f>((1+Table2634[[#This Row],[Weekly change]])^52)-1</f>
        <v/>
      </c>
      <c r="E1638" s="24">
        <f>AVERAGE(B1635:B1638)</f>
        <v/>
      </c>
      <c r="F1638" s="32">
        <f>(Table2634[[#This Row],[4 weeks average]]-B1586)/B1586</f>
        <v/>
      </c>
    </row>
    <row r="1639">
      <c r="A1639" s="22" t="n">
        <v>38831</v>
      </c>
      <c r="B1639" s="24">
        <f>VLOOKUP(Table2634[[#This Row],[Date]],'DB Money Supply'!$A:$D,4)</f>
        <v/>
      </c>
      <c r="C1639" s="30">
        <f>(Table2634[[#This Row],[M1 Money Stock, Billions of Dollars, Weekly, Seasonally Adjusted]]-B1638)/B1638</f>
        <v/>
      </c>
      <c r="D1639" s="34">
        <f>((1+Table2634[[#This Row],[Weekly change]])^52)-1</f>
        <v/>
      </c>
      <c r="E1639" s="24">
        <f>AVERAGE(B1636:B1639)</f>
        <v/>
      </c>
      <c r="F1639" s="32">
        <f>(Table2634[[#This Row],[4 weeks average]]-B1587)/B1587</f>
        <v/>
      </c>
    </row>
    <row r="1640">
      <c r="A1640" s="22" t="n">
        <v>38838</v>
      </c>
      <c r="B1640" s="24">
        <f>VLOOKUP(Table2634[[#This Row],[Date]],'DB Money Supply'!$A:$D,4)</f>
        <v/>
      </c>
      <c r="C1640" s="30">
        <f>(Table2634[[#This Row],[M1 Money Stock, Billions of Dollars, Weekly, Seasonally Adjusted]]-B1639)/B1639</f>
        <v/>
      </c>
      <c r="D1640" s="34">
        <f>((1+Table2634[[#This Row],[Weekly change]])^52)-1</f>
        <v/>
      </c>
      <c r="E1640" s="24">
        <f>AVERAGE(B1637:B1640)</f>
        <v/>
      </c>
      <c r="F1640" s="32">
        <f>(Table2634[[#This Row],[4 weeks average]]-B1588)/B1588</f>
        <v/>
      </c>
    </row>
    <row r="1641">
      <c r="A1641" s="22" t="n">
        <v>38845</v>
      </c>
      <c r="B1641" s="24">
        <f>VLOOKUP(Table2634[[#This Row],[Date]],'DB Money Supply'!$A:$D,4)</f>
        <v/>
      </c>
      <c r="C1641" s="30">
        <f>(Table2634[[#This Row],[M1 Money Stock, Billions of Dollars, Weekly, Seasonally Adjusted]]-B1640)/B1640</f>
        <v/>
      </c>
      <c r="D1641" s="34">
        <f>((1+Table2634[[#This Row],[Weekly change]])^52)-1</f>
        <v/>
      </c>
      <c r="E1641" s="24">
        <f>AVERAGE(B1638:B1641)</f>
        <v/>
      </c>
      <c r="F1641" s="32">
        <f>(Table2634[[#This Row],[4 weeks average]]-B1589)/B1589</f>
        <v/>
      </c>
    </row>
    <row r="1642">
      <c r="A1642" s="22" t="n">
        <v>38852</v>
      </c>
      <c r="B1642" s="24">
        <f>VLOOKUP(Table2634[[#This Row],[Date]],'DB Money Supply'!$A:$D,4)</f>
        <v/>
      </c>
      <c r="C1642" s="30">
        <f>(Table2634[[#This Row],[M1 Money Stock, Billions of Dollars, Weekly, Seasonally Adjusted]]-B1641)/B1641</f>
        <v/>
      </c>
      <c r="D1642" s="34">
        <f>((1+Table2634[[#This Row],[Weekly change]])^52)-1</f>
        <v/>
      </c>
      <c r="E1642" s="24">
        <f>AVERAGE(B1639:B1642)</f>
        <v/>
      </c>
      <c r="F1642" s="32">
        <f>(Table2634[[#This Row],[4 weeks average]]-B1590)/B1590</f>
        <v/>
      </c>
    </row>
    <row r="1643">
      <c r="A1643" s="22" t="n">
        <v>38859</v>
      </c>
      <c r="B1643" s="24">
        <f>VLOOKUP(Table2634[[#This Row],[Date]],'DB Money Supply'!$A:$D,4)</f>
        <v/>
      </c>
      <c r="C1643" s="30">
        <f>(Table2634[[#This Row],[M1 Money Stock, Billions of Dollars, Weekly, Seasonally Adjusted]]-B1642)/B1642</f>
        <v/>
      </c>
      <c r="D1643" s="34">
        <f>((1+Table2634[[#This Row],[Weekly change]])^52)-1</f>
        <v/>
      </c>
      <c r="E1643" s="24">
        <f>AVERAGE(B1640:B1643)</f>
        <v/>
      </c>
      <c r="F1643" s="32">
        <f>(Table2634[[#This Row],[4 weeks average]]-B1591)/B1591</f>
        <v/>
      </c>
    </row>
    <row r="1644">
      <c r="A1644" s="22" t="n">
        <v>38866</v>
      </c>
      <c r="B1644" s="24">
        <f>VLOOKUP(Table2634[[#This Row],[Date]],'DB Money Supply'!$A:$D,4)</f>
        <v/>
      </c>
      <c r="C1644" s="30">
        <f>(Table2634[[#This Row],[M1 Money Stock, Billions of Dollars, Weekly, Seasonally Adjusted]]-B1643)/B1643</f>
        <v/>
      </c>
      <c r="D1644" s="34">
        <f>((1+Table2634[[#This Row],[Weekly change]])^52)-1</f>
        <v/>
      </c>
      <c r="E1644" s="24">
        <f>AVERAGE(B1641:B1644)</f>
        <v/>
      </c>
      <c r="F1644" s="32">
        <f>(Table2634[[#This Row],[4 weeks average]]-B1592)/B1592</f>
        <v/>
      </c>
    </row>
    <row r="1645">
      <c r="A1645" s="22" t="n">
        <v>38873</v>
      </c>
      <c r="B1645" s="24">
        <f>VLOOKUP(Table2634[[#This Row],[Date]],'DB Money Supply'!$A:$D,4)</f>
        <v/>
      </c>
      <c r="C1645" s="30">
        <f>(Table2634[[#This Row],[M1 Money Stock, Billions of Dollars, Weekly, Seasonally Adjusted]]-B1644)/B1644</f>
        <v/>
      </c>
      <c r="D1645" s="34">
        <f>((1+Table2634[[#This Row],[Weekly change]])^52)-1</f>
        <v/>
      </c>
      <c r="E1645" s="24">
        <f>AVERAGE(B1642:B1645)</f>
        <v/>
      </c>
      <c r="F1645" s="32">
        <f>(Table2634[[#This Row],[4 weeks average]]-B1593)/B1593</f>
        <v/>
      </c>
    </row>
    <row r="1646">
      <c r="A1646" s="22" t="n">
        <v>38880</v>
      </c>
      <c r="B1646" s="24">
        <f>VLOOKUP(Table2634[[#This Row],[Date]],'DB Money Supply'!$A:$D,4)</f>
        <v/>
      </c>
      <c r="C1646" s="30">
        <f>(Table2634[[#This Row],[M1 Money Stock, Billions of Dollars, Weekly, Seasonally Adjusted]]-B1645)/B1645</f>
        <v/>
      </c>
      <c r="D1646" s="34">
        <f>((1+Table2634[[#This Row],[Weekly change]])^52)-1</f>
        <v/>
      </c>
      <c r="E1646" s="24">
        <f>AVERAGE(B1643:B1646)</f>
        <v/>
      </c>
      <c r="F1646" s="32">
        <f>(Table2634[[#This Row],[4 weeks average]]-B1594)/B1594</f>
        <v/>
      </c>
    </row>
    <row r="1647">
      <c r="A1647" s="22" t="n">
        <v>38887</v>
      </c>
      <c r="B1647" s="24">
        <f>VLOOKUP(Table2634[[#This Row],[Date]],'DB Money Supply'!$A:$D,4)</f>
        <v/>
      </c>
      <c r="C1647" s="30">
        <f>(Table2634[[#This Row],[M1 Money Stock, Billions of Dollars, Weekly, Seasonally Adjusted]]-B1646)/B1646</f>
        <v/>
      </c>
      <c r="D1647" s="34">
        <f>((1+Table2634[[#This Row],[Weekly change]])^52)-1</f>
        <v/>
      </c>
      <c r="E1647" s="24">
        <f>AVERAGE(B1644:B1647)</f>
        <v/>
      </c>
      <c r="F1647" s="32">
        <f>(Table2634[[#This Row],[4 weeks average]]-B1595)/B1595</f>
        <v/>
      </c>
    </row>
    <row r="1648">
      <c r="A1648" s="22" t="n">
        <v>38894</v>
      </c>
      <c r="B1648" s="24">
        <f>VLOOKUP(Table2634[[#This Row],[Date]],'DB Money Supply'!$A:$D,4)</f>
        <v/>
      </c>
      <c r="C1648" s="30">
        <f>(Table2634[[#This Row],[M1 Money Stock, Billions of Dollars, Weekly, Seasonally Adjusted]]-B1647)/B1647</f>
        <v/>
      </c>
      <c r="D1648" s="34">
        <f>((1+Table2634[[#This Row],[Weekly change]])^52)-1</f>
        <v/>
      </c>
      <c r="E1648" s="24">
        <f>AVERAGE(B1645:B1648)</f>
        <v/>
      </c>
      <c r="F1648" s="32">
        <f>(Table2634[[#This Row],[4 weeks average]]-B1596)/B1596</f>
        <v/>
      </c>
    </row>
    <row r="1649">
      <c r="A1649" s="22" t="n">
        <v>38901</v>
      </c>
      <c r="B1649" s="24">
        <f>VLOOKUP(Table2634[[#This Row],[Date]],'DB Money Supply'!$A:$D,4)</f>
        <v/>
      </c>
      <c r="C1649" s="30">
        <f>(Table2634[[#This Row],[M1 Money Stock, Billions of Dollars, Weekly, Seasonally Adjusted]]-B1648)/B1648</f>
        <v/>
      </c>
      <c r="D1649" s="34">
        <f>((1+Table2634[[#This Row],[Weekly change]])^52)-1</f>
        <v/>
      </c>
      <c r="E1649" s="24">
        <f>AVERAGE(B1646:B1649)</f>
        <v/>
      </c>
      <c r="F1649" s="32">
        <f>(Table2634[[#This Row],[4 weeks average]]-B1597)/B1597</f>
        <v/>
      </c>
    </row>
    <row r="1650">
      <c r="A1650" s="22" t="n">
        <v>38908</v>
      </c>
      <c r="B1650" s="24">
        <f>VLOOKUP(Table2634[[#This Row],[Date]],'DB Money Supply'!$A:$D,4)</f>
        <v/>
      </c>
      <c r="C1650" s="30">
        <f>(Table2634[[#This Row],[M1 Money Stock, Billions of Dollars, Weekly, Seasonally Adjusted]]-B1649)/B1649</f>
        <v/>
      </c>
      <c r="D1650" s="34">
        <f>((1+Table2634[[#This Row],[Weekly change]])^52)-1</f>
        <v/>
      </c>
      <c r="E1650" s="24">
        <f>AVERAGE(B1647:B1650)</f>
        <v/>
      </c>
      <c r="F1650" s="32">
        <f>(Table2634[[#This Row],[4 weeks average]]-B1598)/B1598</f>
        <v/>
      </c>
    </row>
    <row r="1651">
      <c r="A1651" s="22" t="n">
        <v>38915</v>
      </c>
      <c r="B1651" s="24">
        <f>VLOOKUP(Table2634[[#This Row],[Date]],'DB Money Supply'!$A:$D,4)</f>
        <v/>
      </c>
      <c r="C1651" s="30">
        <f>(Table2634[[#This Row],[M1 Money Stock, Billions of Dollars, Weekly, Seasonally Adjusted]]-B1650)/B1650</f>
        <v/>
      </c>
      <c r="D1651" s="34">
        <f>((1+Table2634[[#This Row],[Weekly change]])^52)-1</f>
        <v/>
      </c>
      <c r="E1651" s="24">
        <f>AVERAGE(B1648:B1651)</f>
        <v/>
      </c>
      <c r="F1651" s="32">
        <f>(Table2634[[#This Row],[4 weeks average]]-B1599)/B1599</f>
        <v/>
      </c>
    </row>
    <row r="1652">
      <c r="A1652" s="22" t="n">
        <v>38922</v>
      </c>
      <c r="B1652" s="24">
        <f>VLOOKUP(Table2634[[#This Row],[Date]],'DB Money Supply'!$A:$D,4)</f>
        <v/>
      </c>
      <c r="C1652" s="30">
        <f>(Table2634[[#This Row],[M1 Money Stock, Billions of Dollars, Weekly, Seasonally Adjusted]]-B1651)/B1651</f>
        <v/>
      </c>
      <c r="D1652" s="34">
        <f>((1+Table2634[[#This Row],[Weekly change]])^52)-1</f>
        <v/>
      </c>
      <c r="E1652" s="24">
        <f>AVERAGE(B1649:B1652)</f>
        <v/>
      </c>
      <c r="F1652" s="32">
        <f>(Table2634[[#This Row],[4 weeks average]]-B1600)/B1600</f>
        <v/>
      </c>
    </row>
    <row r="1653">
      <c r="A1653" s="22" t="n">
        <v>38929</v>
      </c>
      <c r="B1653" s="24">
        <f>VLOOKUP(Table2634[[#This Row],[Date]],'DB Money Supply'!$A:$D,4)</f>
        <v/>
      </c>
      <c r="C1653" s="30">
        <f>(Table2634[[#This Row],[M1 Money Stock, Billions of Dollars, Weekly, Seasonally Adjusted]]-B1652)/B1652</f>
        <v/>
      </c>
      <c r="D1653" s="34">
        <f>((1+Table2634[[#This Row],[Weekly change]])^52)-1</f>
        <v/>
      </c>
      <c r="E1653" s="24">
        <f>AVERAGE(B1650:B1653)</f>
        <v/>
      </c>
      <c r="F1653" s="32">
        <f>(Table2634[[#This Row],[4 weeks average]]-B1601)/B1601</f>
        <v/>
      </c>
    </row>
    <row r="1654">
      <c r="A1654" s="22" t="n">
        <v>38936</v>
      </c>
      <c r="B1654" s="24">
        <f>VLOOKUP(Table2634[[#This Row],[Date]],'DB Money Supply'!$A:$D,4)</f>
        <v/>
      </c>
      <c r="C1654" s="30">
        <f>(Table2634[[#This Row],[M1 Money Stock, Billions of Dollars, Weekly, Seasonally Adjusted]]-B1653)/B1653</f>
        <v/>
      </c>
      <c r="D1654" s="34">
        <f>((1+Table2634[[#This Row],[Weekly change]])^52)-1</f>
        <v/>
      </c>
      <c r="E1654" s="24">
        <f>AVERAGE(B1651:B1654)</f>
        <v/>
      </c>
      <c r="F1654" s="32">
        <f>(Table2634[[#This Row],[4 weeks average]]-B1602)/B1602</f>
        <v/>
      </c>
    </row>
    <row r="1655">
      <c r="A1655" s="22" t="n">
        <v>38943</v>
      </c>
      <c r="B1655" s="24">
        <f>VLOOKUP(Table2634[[#This Row],[Date]],'DB Money Supply'!$A:$D,4)</f>
        <v/>
      </c>
      <c r="C1655" s="30">
        <f>(Table2634[[#This Row],[M1 Money Stock, Billions of Dollars, Weekly, Seasonally Adjusted]]-B1654)/B1654</f>
        <v/>
      </c>
      <c r="D1655" s="34">
        <f>((1+Table2634[[#This Row],[Weekly change]])^52)-1</f>
        <v/>
      </c>
      <c r="E1655" s="24">
        <f>AVERAGE(B1652:B1655)</f>
        <v/>
      </c>
      <c r="F1655" s="32">
        <f>(Table2634[[#This Row],[4 weeks average]]-B1603)/B1603</f>
        <v/>
      </c>
    </row>
    <row r="1656">
      <c r="A1656" s="22" t="n">
        <v>38950</v>
      </c>
      <c r="B1656" s="24">
        <f>VLOOKUP(Table2634[[#This Row],[Date]],'DB Money Supply'!$A:$D,4)</f>
        <v/>
      </c>
      <c r="C1656" s="30">
        <f>(Table2634[[#This Row],[M1 Money Stock, Billions of Dollars, Weekly, Seasonally Adjusted]]-B1655)/B1655</f>
        <v/>
      </c>
      <c r="D1656" s="34">
        <f>((1+Table2634[[#This Row],[Weekly change]])^52)-1</f>
        <v/>
      </c>
      <c r="E1656" s="24">
        <f>AVERAGE(B1653:B1656)</f>
        <v/>
      </c>
      <c r="F1656" s="32">
        <f>(Table2634[[#This Row],[4 weeks average]]-B1604)/B1604</f>
        <v/>
      </c>
    </row>
    <row r="1657">
      <c r="A1657" s="22" t="n">
        <v>38957</v>
      </c>
      <c r="B1657" s="24">
        <f>VLOOKUP(Table2634[[#This Row],[Date]],'DB Money Supply'!$A:$D,4)</f>
        <v/>
      </c>
      <c r="C1657" s="30">
        <f>(Table2634[[#This Row],[M1 Money Stock, Billions of Dollars, Weekly, Seasonally Adjusted]]-B1656)/B1656</f>
        <v/>
      </c>
      <c r="D1657" s="34">
        <f>((1+Table2634[[#This Row],[Weekly change]])^52)-1</f>
        <v/>
      </c>
      <c r="E1657" s="24">
        <f>AVERAGE(B1654:B1657)</f>
        <v/>
      </c>
      <c r="F1657" s="32">
        <f>(Table2634[[#This Row],[4 weeks average]]-B1605)/B1605</f>
        <v/>
      </c>
    </row>
    <row r="1658">
      <c r="A1658" s="22" t="n">
        <v>38964</v>
      </c>
      <c r="B1658" s="24">
        <f>VLOOKUP(Table2634[[#This Row],[Date]],'DB Money Supply'!$A:$D,4)</f>
        <v/>
      </c>
      <c r="C1658" s="30">
        <f>(Table2634[[#This Row],[M1 Money Stock, Billions of Dollars, Weekly, Seasonally Adjusted]]-B1657)/B1657</f>
        <v/>
      </c>
      <c r="D1658" s="34">
        <f>((1+Table2634[[#This Row],[Weekly change]])^52)-1</f>
        <v/>
      </c>
      <c r="E1658" s="24">
        <f>AVERAGE(B1655:B1658)</f>
        <v/>
      </c>
      <c r="F1658" s="32">
        <f>(Table2634[[#This Row],[4 weeks average]]-B1606)/B1606</f>
        <v/>
      </c>
    </row>
    <row r="1659">
      <c r="A1659" s="22" t="n">
        <v>38971</v>
      </c>
      <c r="B1659" s="24">
        <f>VLOOKUP(Table2634[[#This Row],[Date]],'DB Money Supply'!$A:$D,4)</f>
        <v/>
      </c>
      <c r="C1659" s="30">
        <f>(Table2634[[#This Row],[M1 Money Stock, Billions of Dollars, Weekly, Seasonally Adjusted]]-B1658)/B1658</f>
        <v/>
      </c>
      <c r="D1659" s="34">
        <f>((1+Table2634[[#This Row],[Weekly change]])^52)-1</f>
        <v/>
      </c>
      <c r="E1659" s="24">
        <f>AVERAGE(B1656:B1659)</f>
        <v/>
      </c>
      <c r="F1659" s="32">
        <f>(Table2634[[#This Row],[4 weeks average]]-B1607)/B1607</f>
        <v/>
      </c>
    </row>
    <row r="1660">
      <c r="A1660" s="22" t="n">
        <v>38978</v>
      </c>
      <c r="B1660" s="24">
        <f>VLOOKUP(Table2634[[#This Row],[Date]],'DB Money Supply'!$A:$D,4)</f>
        <v/>
      </c>
      <c r="C1660" s="30">
        <f>(Table2634[[#This Row],[M1 Money Stock, Billions of Dollars, Weekly, Seasonally Adjusted]]-B1659)/B1659</f>
        <v/>
      </c>
      <c r="D1660" s="34">
        <f>((1+Table2634[[#This Row],[Weekly change]])^52)-1</f>
        <v/>
      </c>
      <c r="E1660" s="24">
        <f>AVERAGE(B1657:B1660)</f>
        <v/>
      </c>
      <c r="F1660" s="32">
        <f>(Table2634[[#This Row],[4 weeks average]]-B1608)/B1608</f>
        <v/>
      </c>
    </row>
    <row r="1661">
      <c r="A1661" s="22" t="n">
        <v>38985</v>
      </c>
      <c r="B1661" s="24">
        <f>VLOOKUP(Table2634[[#This Row],[Date]],'DB Money Supply'!$A:$D,4)</f>
        <v/>
      </c>
      <c r="C1661" s="30">
        <f>(Table2634[[#This Row],[M1 Money Stock, Billions of Dollars, Weekly, Seasonally Adjusted]]-B1660)/B1660</f>
        <v/>
      </c>
      <c r="D1661" s="34">
        <f>((1+Table2634[[#This Row],[Weekly change]])^52)-1</f>
        <v/>
      </c>
      <c r="E1661" s="24">
        <f>AVERAGE(B1658:B1661)</f>
        <v/>
      </c>
      <c r="F1661" s="32">
        <f>(Table2634[[#This Row],[4 weeks average]]-B1609)/B1609</f>
        <v/>
      </c>
    </row>
    <row r="1662">
      <c r="A1662" s="22" t="n">
        <v>38992</v>
      </c>
      <c r="B1662" s="24">
        <f>VLOOKUP(Table2634[[#This Row],[Date]],'DB Money Supply'!$A:$D,4)</f>
        <v/>
      </c>
      <c r="C1662" s="30">
        <f>(Table2634[[#This Row],[M1 Money Stock, Billions of Dollars, Weekly, Seasonally Adjusted]]-B1661)/B1661</f>
        <v/>
      </c>
      <c r="D1662" s="34">
        <f>((1+Table2634[[#This Row],[Weekly change]])^52)-1</f>
        <v/>
      </c>
      <c r="E1662" s="24">
        <f>AVERAGE(B1659:B1662)</f>
        <v/>
      </c>
      <c r="F1662" s="32">
        <f>(Table2634[[#This Row],[4 weeks average]]-B1610)/B1610</f>
        <v/>
      </c>
    </row>
    <row r="1663">
      <c r="A1663" s="22" t="n">
        <v>38999</v>
      </c>
      <c r="B1663" s="24">
        <f>VLOOKUP(Table2634[[#This Row],[Date]],'DB Money Supply'!$A:$D,4)</f>
        <v/>
      </c>
      <c r="C1663" s="30">
        <f>(Table2634[[#This Row],[M1 Money Stock, Billions of Dollars, Weekly, Seasonally Adjusted]]-B1662)/B1662</f>
        <v/>
      </c>
      <c r="D1663" s="34">
        <f>((1+Table2634[[#This Row],[Weekly change]])^52)-1</f>
        <v/>
      </c>
      <c r="E1663" s="24">
        <f>AVERAGE(B1660:B1663)</f>
        <v/>
      </c>
      <c r="F1663" s="32">
        <f>(Table2634[[#This Row],[4 weeks average]]-B1611)/B1611</f>
        <v/>
      </c>
    </row>
    <row r="1664">
      <c r="A1664" s="22" t="n">
        <v>39006</v>
      </c>
      <c r="B1664" s="24">
        <f>VLOOKUP(Table2634[[#This Row],[Date]],'DB Money Supply'!$A:$D,4)</f>
        <v/>
      </c>
      <c r="C1664" s="30">
        <f>(Table2634[[#This Row],[M1 Money Stock, Billions of Dollars, Weekly, Seasonally Adjusted]]-B1663)/B1663</f>
        <v/>
      </c>
      <c r="D1664" s="34">
        <f>((1+Table2634[[#This Row],[Weekly change]])^52)-1</f>
        <v/>
      </c>
      <c r="E1664" s="24">
        <f>AVERAGE(B1661:B1664)</f>
        <v/>
      </c>
      <c r="F1664" s="32">
        <f>(Table2634[[#This Row],[4 weeks average]]-B1612)/B1612</f>
        <v/>
      </c>
    </row>
    <row r="1665">
      <c r="A1665" s="22" t="n">
        <v>39013</v>
      </c>
      <c r="B1665" s="24">
        <f>VLOOKUP(Table2634[[#This Row],[Date]],'DB Money Supply'!$A:$D,4)</f>
        <v/>
      </c>
      <c r="C1665" s="30">
        <f>(Table2634[[#This Row],[M1 Money Stock, Billions of Dollars, Weekly, Seasonally Adjusted]]-B1664)/B1664</f>
        <v/>
      </c>
      <c r="D1665" s="34">
        <f>((1+Table2634[[#This Row],[Weekly change]])^52)-1</f>
        <v/>
      </c>
      <c r="E1665" s="24">
        <f>AVERAGE(B1662:B1665)</f>
        <v/>
      </c>
      <c r="F1665" s="32">
        <f>(Table2634[[#This Row],[4 weeks average]]-B1613)/B1613</f>
        <v/>
      </c>
    </row>
    <row r="1666">
      <c r="A1666" s="22" t="n">
        <v>39020</v>
      </c>
      <c r="B1666" s="24">
        <f>VLOOKUP(Table2634[[#This Row],[Date]],'DB Money Supply'!$A:$D,4)</f>
        <v/>
      </c>
      <c r="C1666" s="30">
        <f>(Table2634[[#This Row],[M1 Money Stock, Billions of Dollars, Weekly, Seasonally Adjusted]]-B1665)/B1665</f>
        <v/>
      </c>
      <c r="D1666" s="34">
        <f>((1+Table2634[[#This Row],[Weekly change]])^52)-1</f>
        <v/>
      </c>
      <c r="E1666" s="24">
        <f>AVERAGE(B1663:B1666)</f>
        <v/>
      </c>
      <c r="F1666" s="32">
        <f>(Table2634[[#This Row],[4 weeks average]]-B1614)/B1614</f>
        <v/>
      </c>
    </row>
    <row r="1667">
      <c r="A1667" s="22" t="n">
        <v>39027</v>
      </c>
      <c r="B1667" s="24">
        <f>VLOOKUP(Table2634[[#This Row],[Date]],'DB Money Supply'!$A:$D,4)</f>
        <v/>
      </c>
      <c r="C1667" s="30">
        <f>(Table2634[[#This Row],[M1 Money Stock, Billions of Dollars, Weekly, Seasonally Adjusted]]-B1666)/B1666</f>
        <v/>
      </c>
      <c r="D1667" s="34">
        <f>((1+Table2634[[#This Row],[Weekly change]])^52)-1</f>
        <v/>
      </c>
      <c r="E1667" s="24">
        <f>AVERAGE(B1664:B1667)</f>
        <v/>
      </c>
      <c r="F1667" s="32">
        <f>(Table2634[[#This Row],[4 weeks average]]-B1615)/B1615</f>
        <v/>
      </c>
    </row>
    <row r="1668">
      <c r="A1668" s="22" t="n">
        <v>39034</v>
      </c>
      <c r="B1668" s="24">
        <f>VLOOKUP(Table2634[[#This Row],[Date]],'DB Money Supply'!$A:$D,4)</f>
        <v/>
      </c>
      <c r="C1668" s="30">
        <f>(Table2634[[#This Row],[M1 Money Stock, Billions of Dollars, Weekly, Seasonally Adjusted]]-B1667)/B1667</f>
        <v/>
      </c>
      <c r="D1668" s="34">
        <f>((1+Table2634[[#This Row],[Weekly change]])^52)-1</f>
        <v/>
      </c>
      <c r="E1668" s="24">
        <f>AVERAGE(B1665:B1668)</f>
        <v/>
      </c>
      <c r="F1668" s="32">
        <f>(Table2634[[#This Row],[4 weeks average]]-B1616)/B1616</f>
        <v/>
      </c>
    </row>
    <row r="1669">
      <c r="A1669" s="22" t="n">
        <v>39041</v>
      </c>
      <c r="B1669" s="24">
        <f>VLOOKUP(Table2634[[#This Row],[Date]],'DB Money Supply'!$A:$D,4)</f>
        <v/>
      </c>
      <c r="C1669" s="30">
        <f>(Table2634[[#This Row],[M1 Money Stock, Billions of Dollars, Weekly, Seasonally Adjusted]]-B1668)/B1668</f>
        <v/>
      </c>
      <c r="D1669" s="34">
        <f>((1+Table2634[[#This Row],[Weekly change]])^52)-1</f>
        <v/>
      </c>
      <c r="E1669" s="24">
        <f>AVERAGE(B1666:B1669)</f>
        <v/>
      </c>
      <c r="F1669" s="32">
        <f>(Table2634[[#This Row],[4 weeks average]]-B1617)/B1617</f>
        <v/>
      </c>
    </row>
    <row r="1670">
      <c r="A1670" s="22" t="n">
        <v>39048</v>
      </c>
      <c r="B1670" s="24">
        <f>VLOOKUP(Table2634[[#This Row],[Date]],'DB Money Supply'!$A:$D,4)</f>
        <v/>
      </c>
      <c r="C1670" s="30">
        <f>(Table2634[[#This Row],[M1 Money Stock, Billions of Dollars, Weekly, Seasonally Adjusted]]-B1669)/B1669</f>
        <v/>
      </c>
      <c r="D1670" s="34">
        <f>((1+Table2634[[#This Row],[Weekly change]])^52)-1</f>
        <v/>
      </c>
      <c r="E1670" s="24">
        <f>AVERAGE(B1667:B1670)</f>
        <v/>
      </c>
      <c r="F1670" s="32">
        <f>(Table2634[[#This Row],[4 weeks average]]-B1618)/B1618</f>
        <v/>
      </c>
    </row>
    <row r="1671">
      <c r="A1671" s="22" t="n">
        <v>39055</v>
      </c>
      <c r="B1671" s="24">
        <f>VLOOKUP(Table2634[[#This Row],[Date]],'DB Money Supply'!$A:$D,4)</f>
        <v/>
      </c>
      <c r="C1671" s="30">
        <f>(Table2634[[#This Row],[M1 Money Stock, Billions of Dollars, Weekly, Seasonally Adjusted]]-B1670)/B1670</f>
        <v/>
      </c>
      <c r="D1671" s="34">
        <f>((1+Table2634[[#This Row],[Weekly change]])^52)-1</f>
        <v/>
      </c>
      <c r="E1671" s="24">
        <f>AVERAGE(B1668:B1671)</f>
        <v/>
      </c>
      <c r="F1671" s="32">
        <f>(Table2634[[#This Row],[4 weeks average]]-B1619)/B1619</f>
        <v/>
      </c>
    </row>
    <row r="1672">
      <c r="A1672" s="22" t="n">
        <v>39062</v>
      </c>
      <c r="B1672" s="24">
        <f>VLOOKUP(Table2634[[#This Row],[Date]],'DB Money Supply'!$A:$D,4)</f>
        <v/>
      </c>
      <c r="C1672" s="30">
        <f>(Table2634[[#This Row],[M1 Money Stock, Billions of Dollars, Weekly, Seasonally Adjusted]]-B1671)/B1671</f>
        <v/>
      </c>
      <c r="D1672" s="34">
        <f>((1+Table2634[[#This Row],[Weekly change]])^52)-1</f>
        <v/>
      </c>
      <c r="E1672" s="24">
        <f>AVERAGE(B1669:B1672)</f>
        <v/>
      </c>
      <c r="F1672" s="32">
        <f>(Table2634[[#This Row],[4 weeks average]]-B1620)/B1620</f>
        <v/>
      </c>
    </row>
    <row r="1673">
      <c r="A1673" s="22" t="n">
        <v>39069</v>
      </c>
      <c r="B1673" s="24">
        <f>VLOOKUP(Table2634[[#This Row],[Date]],'DB Money Supply'!$A:$D,4)</f>
        <v/>
      </c>
      <c r="C1673" s="30">
        <f>(Table2634[[#This Row],[M1 Money Stock, Billions of Dollars, Weekly, Seasonally Adjusted]]-B1672)/B1672</f>
        <v/>
      </c>
      <c r="D1673" s="34">
        <f>((1+Table2634[[#This Row],[Weekly change]])^52)-1</f>
        <v/>
      </c>
      <c r="E1673" s="24">
        <f>AVERAGE(B1670:B1673)</f>
        <v/>
      </c>
      <c r="F1673" s="32">
        <f>(Table2634[[#This Row],[4 weeks average]]-B1621)/B1621</f>
        <v/>
      </c>
    </row>
    <row r="1674">
      <c r="A1674" s="22" t="n">
        <v>39076</v>
      </c>
      <c r="B1674" s="24">
        <f>VLOOKUP(Table2634[[#This Row],[Date]],'DB Money Supply'!$A:$D,4)</f>
        <v/>
      </c>
      <c r="C1674" s="30">
        <f>(Table2634[[#This Row],[M1 Money Stock, Billions of Dollars, Weekly, Seasonally Adjusted]]-B1673)/B1673</f>
        <v/>
      </c>
      <c r="D1674" s="34">
        <f>((1+Table2634[[#This Row],[Weekly change]])^52)-1</f>
        <v/>
      </c>
      <c r="E1674" s="24">
        <f>AVERAGE(B1671:B1674)</f>
        <v/>
      </c>
      <c r="F1674" s="32">
        <f>(Table2634[[#This Row],[4 weeks average]]-B1622)/B1622</f>
        <v/>
      </c>
    </row>
    <row r="1675">
      <c r="A1675" s="22" t="n">
        <v>39083</v>
      </c>
      <c r="B1675" s="24">
        <f>VLOOKUP(Table2634[[#This Row],[Date]],'DB Money Supply'!$A:$D,4)</f>
        <v/>
      </c>
      <c r="C1675" s="30">
        <f>(Table2634[[#This Row],[M1 Money Stock, Billions of Dollars, Weekly, Seasonally Adjusted]]-B1674)/B1674</f>
        <v/>
      </c>
      <c r="D1675" s="34">
        <f>((1+Table2634[[#This Row],[Weekly change]])^52)-1</f>
        <v/>
      </c>
      <c r="E1675" s="24">
        <f>AVERAGE(B1672:B1675)</f>
        <v/>
      </c>
      <c r="F1675" s="32">
        <f>(Table2634[[#This Row],[4 weeks average]]-B1623)/B1623</f>
        <v/>
      </c>
    </row>
    <row r="1676">
      <c r="A1676" s="22" t="n">
        <v>39090</v>
      </c>
      <c r="B1676" s="24">
        <f>VLOOKUP(Table2634[[#This Row],[Date]],'DB Money Supply'!$A:$D,4)</f>
        <v/>
      </c>
      <c r="C1676" s="30">
        <f>(Table2634[[#This Row],[M1 Money Stock, Billions of Dollars, Weekly, Seasonally Adjusted]]-B1675)/B1675</f>
        <v/>
      </c>
      <c r="D1676" s="34">
        <f>((1+Table2634[[#This Row],[Weekly change]])^52)-1</f>
        <v/>
      </c>
      <c r="E1676" s="24">
        <f>AVERAGE(B1673:B1676)</f>
        <v/>
      </c>
      <c r="F1676" s="32">
        <f>(Table2634[[#This Row],[4 weeks average]]-B1624)/B1624</f>
        <v/>
      </c>
    </row>
    <row r="1677">
      <c r="A1677" s="22" t="n">
        <v>39097</v>
      </c>
      <c r="B1677" s="24">
        <f>VLOOKUP(Table2634[[#This Row],[Date]],'DB Money Supply'!$A:$D,4)</f>
        <v/>
      </c>
      <c r="C1677" s="30">
        <f>(Table2634[[#This Row],[M1 Money Stock, Billions of Dollars, Weekly, Seasonally Adjusted]]-B1676)/B1676</f>
        <v/>
      </c>
      <c r="D1677" s="34">
        <f>((1+Table2634[[#This Row],[Weekly change]])^52)-1</f>
        <v/>
      </c>
      <c r="E1677" s="24">
        <f>AVERAGE(B1674:B1677)</f>
        <v/>
      </c>
      <c r="F1677" s="32">
        <f>(Table2634[[#This Row],[4 weeks average]]-B1625)/B1625</f>
        <v/>
      </c>
    </row>
    <row r="1678">
      <c r="A1678" s="22" t="n">
        <v>39104</v>
      </c>
      <c r="B1678" s="24">
        <f>VLOOKUP(Table2634[[#This Row],[Date]],'DB Money Supply'!$A:$D,4)</f>
        <v/>
      </c>
      <c r="C1678" s="30">
        <f>(Table2634[[#This Row],[M1 Money Stock, Billions of Dollars, Weekly, Seasonally Adjusted]]-B1677)/B1677</f>
        <v/>
      </c>
      <c r="D1678" s="34">
        <f>((1+Table2634[[#This Row],[Weekly change]])^52)-1</f>
        <v/>
      </c>
      <c r="E1678" s="24">
        <f>AVERAGE(B1675:B1678)</f>
        <v/>
      </c>
      <c r="F1678" s="32">
        <f>(Table2634[[#This Row],[4 weeks average]]-B1626)/B1626</f>
        <v/>
      </c>
    </row>
    <row r="1679">
      <c r="A1679" s="22" t="n">
        <v>39111</v>
      </c>
      <c r="B1679" s="24">
        <f>VLOOKUP(Table2634[[#This Row],[Date]],'DB Money Supply'!$A:$D,4)</f>
        <v/>
      </c>
      <c r="C1679" s="30">
        <f>(Table2634[[#This Row],[M1 Money Stock, Billions of Dollars, Weekly, Seasonally Adjusted]]-B1678)/B1678</f>
        <v/>
      </c>
      <c r="D1679" s="34">
        <f>((1+Table2634[[#This Row],[Weekly change]])^52)-1</f>
        <v/>
      </c>
      <c r="E1679" s="24">
        <f>AVERAGE(B1676:B1679)</f>
        <v/>
      </c>
      <c r="F1679" s="32">
        <f>(Table2634[[#This Row],[4 weeks average]]-B1627)/B1627</f>
        <v/>
      </c>
    </row>
    <row r="1680">
      <c r="A1680" s="22" t="n">
        <v>39118</v>
      </c>
      <c r="B1680" s="24">
        <f>VLOOKUP(Table2634[[#This Row],[Date]],'DB Money Supply'!$A:$D,4)</f>
        <v/>
      </c>
      <c r="C1680" s="30">
        <f>(Table2634[[#This Row],[M1 Money Stock, Billions of Dollars, Weekly, Seasonally Adjusted]]-B1679)/B1679</f>
        <v/>
      </c>
      <c r="D1680" s="34">
        <f>((1+Table2634[[#This Row],[Weekly change]])^52)-1</f>
        <v/>
      </c>
      <c r="E1680" s="24">
        <f>AVERAGE(B1677:B1680)</f>
        <v/>
      </c>
      <c r="F1680" s="32">
        <f>(Table2634[[#This Row],[4 weeks average]]-B1628)/B1628</f>
        <v/>
      </c>
    </row>
    <row r="1681">
      <c r="A1681" s="22" t="n">
        <v>39125</v>
      </c>
      <c r="B1681" s="24">
        <f>VLOOKUP(Table2634[[#This Row],[Date]],'DB Money Supply'!$A:$D,4)</f>
        <v/>
      </c>
      <c r="C1681" s="30">
        <f>(Table2634[[#This Row],[M1 Money Stock, Billions of Dollars, Weekly, Seasonally Adjusted]]-B1680)/B1680</f>
        <v/>
      </c>
      <c r="D1681" s="34">
        <f>((1+Table2634[[#This Row],[Weekly change]])^52)-1</f>
        <v/>
      </c>
      <c r="E1681" s="24">
        <f>AVERAGE(B1678:B1681)</f>
        <v/>
      </c>
      <c r="F1681" s="32">
        <f>(Table2634[[#This Row],[4 weeks average]]-B1629)/B1629</f>
        <v/>
      </c>
    </row>
    <row r="1682">
      <c r="A1682" s="22" t="n">
        <v>39132</v>
      </c>
      <c r="B1682" s="24">
        <f>VLOOKUP(Table2634[[#This Row],[Date]],'DB Money Supply'!$A:$D,4)</f>
        <v/>
      </c>
      <c r="C1682" s="30">
        <f>(Table2634[[#This Row],[M1 Money Stock, Billions of Dollars, Weekly, Seasonally Adjusted]]-B1681)/B1681</f>
        <v/>
      </c>
      <c r="D1682" s="34">
        <f>((1+Table2634[[#This Row],[Weekly change]])^52)-1</f>
        <v/>
      </c>
      <c r="E1682" s="24">
        <f>AVERAGE(B1679:B1682)</f>
        <v/>
      </c>
      <c r="F1682" s="32">
        <f>(Table2634[[#This Row],[4 weeks average]]-B1630)/B1630</f>
        <v/>
      </c>
    </row>
    <row r="1683">
      <c r="A1683" s="22" t="n">
        <v>39139</v>
      </c>
      <c r="B1683" s="24">
        <f>VLOOKUP(Table2634[[#This Row],[Date]],'DB Money Supply'!$A:$D,4)</f>
        <v/>
      </c>
      <c r="C1683" s="30">
        <f>(Table2634[[#This Row],[M1 Money Stock, Billions of Dollars, Weekly, Seasonally Adjusted]]-B1682)/B1682</f>
        <v/>
      </c>
      <c r="D1683" s="34">
        <f>((1+Table2634[[#This Row],[Weekly change]])^52)-1</f>
        <v/>
      </c>
      <c r="E1683" s="24">
        <f>AVERAGE(B1680:B1683)</f>
        <v/>
      </c>
      <c r="F1683" s="32">
        <f>(Table2634[[#This Row],[4 weeks average]]-B1631)/B1631</f>
        <v/>
      </c>
    </row>
    <row r="1684">
      <c r="A1684" s="22" t="n">
        <v>39146</v>
      </c>
      <c r="B1684" s="24">
        <f>VLOOKUP(Table2634[[#This Row],[Date]],'DB Money Supply'!$A:$D,4)</f>
        <v/>
      </c>
      <c r="C1684" s="30">
        <f>(Table2634[[#This Row],[M1 Money Stock, Billions of Dollars, Weekly, Seasonally Adjusted]]-B1683)/B1683</f>
        <v/>
      </c>
      <c r="D1684" s="34">
        <f>((1+Table2634[[#This Row],[Weekly change]])^52)-1</f>
        <v/>
      </c>
      <c r="E1684" s="24">
        <f>AVERAGE(B1681:B1684)</f>
        <v/>
      </c>
      <c r="F1684" s="32">
        <f>(Table2634[[#This Row],[4 weeks average]]-B1632)/B1632</f>
        <v/>
      </c>
    </row>
    <row r="1685">
      <c r="A1685" s="22" t="n">
        <v>39153</v>
      </c>
      <c r="B1685" s="24">
        <f>VLOOKUP(Table2634[[#This Row],[Date]],'DB Money Supply'!$A:$D,4)</f>
        <v/>
      </c>
      <c r="C1685" s="30">
        <f>(Table2634[[#This Row],[M1 Money Stock, Billions of Dollars, Weekly, Seasonally Adjusted]]-B1684)/B1684</f>
        <v/>
      </c>
      <c r="D1685" s="34">
        <f>((1+Table2634[[#This Row],[Weekly change]])^52)-1</f>
        <v/>
      </c>
      <c r="E1685" s="24">
        <f>AVERAGE(B1682:B1685)</f>
        <v/>
      </c>
      <c r="F1685" s="32">
        <f>(Table2634[[#This Row],[4 weeks average]]-B1633)/B1633</f>
        <v/>
      </c>
    </row>
    <row r="1686">
      <c r="A1686" s="22" t="n">
        <v>39160</v>
      </c>
      <c r="B1686" s="24">
        <f>VLOOKUP(Table2634[[#This Row],[Date]],'DB Money Supply'!$A:$D,4)</f>
        <v/>
      </c>
      <c r="C1686" s="30">
        <f>(Table2634[[#This Row],[M1 Money Stock, Billions of Dollars, Weekly, Seasonally Adjusted]]-B1685)/B1685</f>
        <v/>
      </c>
      <c r="D1686" s="34">
        <f>((1+Table2634[[#This Row],[Weekly change]])^52)-1</f>
        <v/>
      </c>
      <c r="E1686" s="24">
        <f>AVERAGE(B1683:B1686)</f>
        <v/>
      </c>
      <c r="F1686" s="32">
        <f>(Table2634[[#This Row],[4 weeks average]]-B1634)/B1634</f>
        <v/>
      </c>
    </row>
    <row r="1687">
      <c r="A1687" s="22" t="n">
        <v>39167</v>
      </c>
      <c r="B1687" s="24">
        <f>VLOOKUP(Table2634[[#This Row],[Date]],'DB Money Supply'!$A:$D,4)</f>
        <v/>
      </c>
      <c r="C1687" s="30">
        <f>(Table2634[[#This Row],[M1 Money Stock, Billions of Dollars, Weekly, Seasonally Adjusted]]-B1686)/B1686</f>
        <v/>
      </c>
      <c r="D1687" s="34">
        <f>((1+Table2634[[#This Row],[Weekly change]])^52)-1</f>
        <v/>
      </c>
      <c r="E1687" s="24">
        <f>AVERAGE(B1684:B1687)</f>
        <v/>
      </c>
      <c r="F1687" s="32">
        <f>(Table2634[[#This Row],[4 weeks average]]-B1635)/B1635</f>
        <v/>
      </c>
    </row>
    <row r="1688">
      <c r="A1688" s="22" t="n">
        <v>39174</v>
      </c>
      <c r="B1688" s="24">
        <f>VLOOKUP(Table2634[[#This Row],[Date]],'DB Money Supply'!$A:$D,4)</f>
        <v/>
      </c>
      <c r="C1688" s="30">
        <f>(Table2634[[#This Row],[M1 Money Stock, Billions of Dollars, Weekly, Seasonally Adjusted]]-B1687)/B1687</f>
        <v/>
      </c>
      <c r="D1688" s="34">
        <f>((1+Table2634[[#This Row],[Weekly change]])^52)-1</f>
        <v/>
      </c>
      <c r="E1688" s="24">
        <f>AVERAGE(B1685:B1688)</f>
        <v/>
      </c>
      <c r="F1688" s="32">
        <f>(Table2634[[#This Row],[4 weeks average]]-B1636)/B1636</f>
        <v/>
      </c>
    </row>
    <row r="1689">
      <c r="A1689" s="22" t="n">
        <v>39181</v>
      </c>
      <c r="B1689" s="24">
        <f>VLOOKUP(Table2634[[#This Row],[Date]],'DB Money Supply'!$A:$D,4)</f>
        <v/>
      </c>
      <c r="C1689" s="30">
        <f>(Table2634[[#This Row],[M1 Money Stock, Billions of Dollars, Weekly, Seasonally Adjusted]]-B1688)/B1688</f>
        <v/>
      </c>
      <c r="D1689" s="34">
        <f>((1+Table2634[[#This Row],[Weekly change]])^52)-1</f>
        <v/>
      </c>
      <c r="E1689" s="24">
        <f>AVERAGE(B1686:B1689)</f>
        <v/>
      </c>
      <c r="F1689" s="32">
        <f>(Table2634[[#This Row],[4 weeks average]]-B1637)/B1637</f>
        <v/>
      </c>
    </row>
    <row r="1690">
      <c r="A1690" s="22" t="n">
        <v>39188</v>
      </c>
      <c r="B1690" s="24">
        <f>VLOOKUP(Table2634[[#This Row],[Date]],'DB Money Supply'!$A:$D,4)</f>
        <v/>
      </c>
      <c r="C1690" s="30">
        <f>(Table2634[[#This Row],[M1 Money Stock, Billions of Dollars, Weekly, Seasonally Adjusted]]-B1689)/B1689</f>
        <v/>
      </c>
      <c r="D1690" s="34">
        <f>((1+Table2634[[#This Row],[Weekly change]])^52)-1</f>
        <v/>
      </c>
      <c r="E1690" s="24">
        <f>AVERAGE(B1687:B1690)</f>
        <v/>
      </c>
      <c r="F1690" s="32">
        <f>(Table2634[[#This Row],[4 weeks average]]-B1638)/B1638</f>
        <v/>
      </c>
    </row>
    <row r="1691">
      <c r="A1691" s="22" t="n">
        <v>39195</v>
      </c>
      <c r="B1691" s="24">
        <f>VLOOKUP(Table2634[[#This Row],[Date]],'DB Money Supply'!$A:$D,4)</f>
        <v/>
      </c>
      <c r="C1691" s="30">
        <f>(Table2634[[#This Row],[M1 Money Stock, Billions of Dollars, Weekly, Seasonally Adjusted]]-B1690)/B1690</f>
        <v/>
      </c>
      <c r="D1691" s="34">
        <f>((1+Table2634[[#This Row],[Weekly change]])^52)-1</f>
        <v/>
      </c>
      <c r="E1691" s="24">
        <f>AVERAGE(B1688:B1691)</f>
        <v/>
      </c>
      <c r="F1691" s="32">
        <f>(Table2634[[#This Row],[4 weeks average]]-B1639)/B1639</f>
        <v/>
      </c>
    </row>
    <row r="1692">
      <c r="A1692" s="22" t="n">
        <v>39202</v>
      </c>
      <c r="B1692" s="24">
        <f>VLOOKUP(Table2634[[#This Row],[Date]],'DB Money Supply'!$A:$D,4)</f>
        <v/>
      </c>
      <c r="C1692" s="30">
        <f>(Table2634[[#This Row],[M1 Money Stock, Billions of Dollars, Weekly, Seasonally Adjusted]]-B1691)/B1691</f>
        <v/>
      </c>
      <c r="D1692" s="34">
        <f>((1+Table2634[[#This Row],[Weekly change]])^52)-1</f>
        <v/>
      </c>
      <c r="E1692" s="24">
        <f>AVERAGE(B1689:B1692)</f>
        <v/>
      </c>
      <c r="F1692" s="32">
        <f>(Table2634[[#This Row],[4 weeks average]]-B1640)/B1640</f>
        <v/>
      </c>
    </row>
    <row r="1693">
      <c r="A1693" s="22" t="n">
        <v>39209</v>
      </c>
      <c r="B1693" s="24">
        <f>VLOOKUP(Table2634[[#This Row],[Date]],'DB Money Supply'!$A:$D,4)</f>
        <v/>
      </c>
      <c r="C1693" s="30">
        <f>(Table2634[[#This Row],[M1 Money Stock, Billions of Dollars, Weekly, Seasonally Adjusted]]-B1692)/B1692</f>
        <v/>
      </c>
      <c r="D1693" s="34">
        <f>((1+Table2634[[#This Row],[Weekly change]])^52)-1</f>
        <v/>
      </c>
      <c r="E1693" s="24">
        <f>AVERAGE(B1690:B1693)</f>
        <v/>
      </c>
      <c r="F1693" s="32">
        <f>(Table2634[[#This Row],[4 weeks average]]-B1641)/B1641</f>
        <v/>
      </c>
    </row>
    <row r="1694">
      <c r="A1694" s="22" t="n">
        <v>39216</v>
      </c>
      <c r="B1694" s="24">
        <f>VLOOKUP(Table2634[[#This Row],[Date]],'DB Money Supply'!$A:$D,4)</f>
        <v/>
      </c>
      <c r="C1694" s="30">
        <f>(Table2634[[#This Row],[M1 Money Stock, Billions of Dollars, Weekly, Seasonally Adjusted]]-B1693)/B1693</f>
        <v/>
      </c>
      <c r="D1694" s="34">
        <f>((1+Table2634[[#This Row],[Weekly change]])^52)-1</f>
        <v/>
      </c>
      <c r="E1694" s="24">
        <f>AVERAGE(B1691:B1694)</f>
        <v/>
      </c>
      <c r="F1694" s="32">
        <f>(Table2634[[#This Row],[4 weeks average]]-B1642)/B1642</f>
        <v/>
      </c>
    </row>
    <row r="1695">
      <c r="A1695" s="22" t="n">
        <v>39223</v>
      </c>
      <c r="B1695" s="24">
        <f>VLOOKUP(Table2634[[#This Row],[Date]],'DB Money Supply'!$A:$D,4)</f>
        <v/>
      </c>
      <c r="C1695" s="30">
        <f>(Table2634[[#This Row],[M1 Money Stock, Billions of Dollars, Weekly, Seasonally Adjusted]]-B1694)/B1694</f>
        <v/>
      </c>
      <c r="D1695" s="34">
        <f>((1+Table2634[[#This Row],[Weekly change]])^52)-1</f>
        <v/>
      </c>
      <c r="E1695" s="24">
        <f>AVERAGE(B1692:B1695)</f>
        <v/>
      </c>
      <c r="F1695" s="32">
        <f>(Table2634[[#This Row],[4 weeks average]]-B1643)/B1643</f>
        <v/>
      </c>
    </row>
    <row r="1696">
      <c r="A1696" s="22" t="n">
        <v>39230</v>
      </c>
      <c r="B1696" s="24">
        <f>VLOOKUP(Table2634[[#This Row],[Date]],'DB Money Supply'!$A:$D,4)</f>
        <v/>
      </c>
      <c r="C1696" s="30">
        <f>(Table2634[[#This Row],[M1 Money Stock, Billions of Dollars, Weekly, Seasonally Adjusted]]-B1695)/B1695</f>
        <v/>
      </c>
      <c r="D1696" s="34">
        <f>((1+Table2634[[#This Row],[Weekly change]])^52)-1</f>
        <v/>
      </c>
      <c r="E1696" s="24">
        <f>AVERAGE(B1693:B1696)</f>
        <v/>
      </c>
      <c r="F1696" s="32">
        <f>(Table2634[[#This Row],[4 weeks average]]-B1644)/B1644</f>
        <v/>
      </c>
    </row>
    <row r="1697">
      <c r="A1697" s="22" t="n">
        <v>39237</v>
      </c>
      <c r="B1697" s="24">
        <f>VLOOKUP(Table2634[[#This Row],[Date]],'DB Money Supply'!$A:$D,4)</f>
        <v/>
      </c>
      <c r="C1697" s="30">
        <f>(Table2634[[#This Row],[M1 Money Stock, Billions of Dollars, Weekly, Seasonally Adjusted]]-B1696)/B1696</f>
        <v/>
      </c>
      <c r="D1697" s="34">
        <f>((1+Table2634[[#This Row],[Weekly change]])^52)-1</f>
        <v/>
      </c>
      <c r="E1697" s="24">
        <f>AVERAGE(B1694:B1697)</f>
        <v/>
      </c>
      <c r="F1697" s="32">
        <f>(Table2634[[#This Row],[4 weeks average]]-B1645)/B1645</f>
        <v/>
      </c>
    </row>
    <row r="1698">
      <c r="A1698" s="22" t="n">
        <v>39244</v>
      </c>
      <c r="B1698" s="24">
        <f>VLOOKUP(Table2634[[#This Row],[Date]],'DB Money Supply'!$A:$D,4)</f>
        <v/>
      </c>
      <c r="C1698" s="30">
        <f>(Table2634[[#This Row],[M1 Money Stock, Billions of Dollars, Weekly, Seasonally Adjusted]]-B1697)/B1697</f>
        <v/>
      </c>
      <c r="D1698" s="34">
        <f>((1+Table2634[[#This Row],[Weekly change]])^52)-1</f>
        <v/>
      </c>
      <c r="E1698" s="24">
        <f>AVERAGE(B1695:B1698)</f>
        <v/>
      </c>
      <c r="F1698" s="32">
        <f>(Table2634[[#This Row],[4 weeks average]]-B1646)/B1646</f>
        <v/>
      </c>
    </row>
    <row r="1699">
      <c r="A1699" s="22" t="n">
        <v>39251</v>
      </c>
      <c r="B1699" s="24">
        <f>VLOOKUP(Table2634[[#This Row],[Date]],'DB Money Supply'!$A:$D,4)</f>
        <v/>
      </c>
      <c r="C1699" s="30">
        <f>(Table2634[[#This Row],[M1 Money Stock, Billions of Dollars, Weekly, Seasonally Adjusted]]-B1698)/B1698</f>
        <v/>
      </c>
      <c r="D1699" s="34">
        <f>((1+Table2634[[#This Row],[Weekly change]])^52)-1</f>
        <v/>
      </c>
      <c r="E1699" s="24">
        <f>AVERAGE(B1696:B1699)</f>
        <v/>
      </c>
      <c r="F1699" s="32">
        <f>(Table2634[[#This Row],[4 weeks average]]-B1647)/B1647</f>
        <v/>
      </c>
    </row>
    <row r="1700">
      <c r="A1700" s="22" t="n">
        <v>39258</v>
      </c>
      <c r="B1700" s="24">
        <f>VLOOKUP(Table2634[[#This Row],[Date]],'DB Money Supply'!$A:$D,4)</f>
        <v/>
      </c>
      <c r="C1700" s="30">
        <f>(Table2634[[#This Row],[M1 Money Stock, Billions of Dollars, Weekly, Seasonally Adjusted]]-B1699)/B1699</f>
        <v/>
      </c>
      <c r="D1700" s="34">
        <f>((1+Table2634[[#This Row],[Weekly change]])^52)-1</f>
        <v/>
      </c>
      <c r="E1700" s="24">
        <f>AVERAGE(B1697:B1700)</f>
        <v/>
      </c>
      <c r="F1700" s="32">
        <f>(Table2634[[#This Row],[4 weeks average]]-B1648)/B1648</f>
        <v/>
      </c>
    </row>
    <row r="1701">
      <c r="A1701" s="22" t="n">
        <v>39265</v>
      </c>
      <c r="B1701" s="24">
        <f>VLOOKUP(Table2634[[#This Row],[Date]],'DB Money Supply'!$A:$D,4)</f>
        <v/>
      </c>
      <c r="C1701" s="30">
        <f>(Table2634[[#This Row],[M1 Money Stock, Billions of Dollars, Weekly, Seasonally Adjusted]]-B1700)/B1700</f>
        <v/>
      </c>
      <c r="D1701" s="34">
        <f>((1+Table2634[[#This Row],[Weekly change]])^52)-1</f>
        <v/>
      </c>
      <c r="E1701" s="24">
        <f>AVERAGE(B1698:B1701)</f>
        <v/>
      </c>
      <c r="F1701" s="32">
        <f>(Table2634[[#This Row],[4 weeks average]]-B1649)/B1649</f>
        <v/>
      </c>
    </row>
    <row r="1702">
      <c r="A1702" s="22" t="n">
        <v>39272</v>
      </c>
      <c r="B1702" s="24">
        <f>VLOOKUP(Table2634[[#This Row],[Date]],'DB Money Supply'!$A:$D,4)</f>
        <v/>
      </c>
      <c r="C1702" s="30">
        <f>(Table2634[[#This Row],[M1 Money Stock, Billions of Dollars, Weekly, Seasonally Adjusted]]-B1701)/B1701</f>
        <v/>
      </c>
      <c r="D1702" s="34">
        <f>((1+Table2634[[#This Row],[Weekly change]])^52)-1</f>
        <v/>
      </c>
      <c r="E1702" s="24">
        <f>AVERAGE(B1699:B1702)</f>
        <v/>
      </c>
      <c r="F1702" s="32">
        <f>(Table2634[[#This Row],[4 weeks average]]-B1650)/B1650</f>
        <v/>
      </c>
    </row>
    <row r="1703">
      <c r="A1703" s="22" t="n">
        <v>39279</v>
      </c>
      <c r="B1703" s="24">
        <f>VLOOKUP(Table2634[[#This Row],[Date]],'DB Money Supply'!$A:$D,4)</f>
        <v/>
      </c>
      <c r="C1703" s="30">
        <f>(Table2634[[#This Row],[M1 Money Stock, Billions of Dollars, Weekly, Seasonally Adjusted]]-B1702)/B1702</f>
        <v/>
      </c>
      <c r="D1703" s="34">
        <f>((1+Table2634[[#This Row],[Weekly change]])^52)-1</f>
        <v/>
      </c>
      <c r="E1703" s="24">
        <f>AVERAGE(B1700:B1703)</f>
        <v/>
      </c>
      <c r="F1703" s="32">
        <f>(Table2634[[#This Row],[4 weeks average]]-B1651)/B1651</f>
        <v/>
      </c>
    </row>
    <row r="1704">
      <c r="A1704" s="22" t="n">
        <v>39286</v>
      </c>
      <c r="B1704" s="24">
        <f>VLOOKUP(Table2634[[#This Row],[Date]],'DB Money Supply'!$A:$D,4)</f>
        <v/>
      </c>
      <c r="C1704" s="30">
        <f>(Table2634[[#This Row],[M1 Money Stock, Billions of Dollars, Weekly, Seasonally Adjusted]]-B1703)/B1703</f>
        <v/>
      </c>
      <c r="D1704" s="34">
        <f>((1+Table2634[[#This Row],[Weekly change]])^52)-1</f>
        <v/>
      </c>
      <c r="E1704" s="24">
        <f>AVERAGE(B1701:B1704)</f>
        <v/>
      </c>
      <c r="F1704" s="32">
        <f>(Table2634[[#This Row],[4 weeks average]]-B1652)/B1652</f>
        <v/>
      </c>
    </row>
    <row r="1705">
      <c r="A1705" s="22" t="n">
        <v>39293</v>
      </c>
      <c r="B1705" s="24">
        <f>VLOOKUP(Table2634[[#This Row],[Date]],'DB Money Supply'!$A:$D,4)</f>
        <v/>
      </c>
      <c r="C1705" s="30">
        <f>(Table2634[[#This Row],[M1 Money Stock, Billions of Dollars, Weekly, Seasonally Adjusted]]-B1704)/B1704</f>
        <v/>
      </c>
      <c r="D1705" s="34">
        <f>((1+Table2634[[#This Row],[Weekly change]])^52)-1</f>
        <v/>
      </c>
      <c r="E1705" s="24">
        <f>AVERAGE(B1702:B1705)</f>
        <v/>
      </c>
      <c r="F1705" s="32">
        <f>(Table2634[[#This Row],[4 weeks average]]-B1653)/B1653</f>
        <v/>
      </c>
    </row>
    <row r="1706">
      <c r="A1706" s="22" t="n">
        <v>39300</v>
      </c>
      <c r="B1706" s="24">
        <f>VLOOKUP(Table2634[[#This Row],[Date]],'DB Money Supply'!$A:$D,4)</f>
        <v/>
      </c>
      <c r="C1706" s="30">
        <f>(Table2634[[#This Row],[M1 Money Stock, Billions of Dollars, Weekly, Seasonally Adjusted]]-B1705)/B1705</f>
        <v/>
      </c>
      <c r="D1706" s="34">
        <f>((1+Table2634[[#This Row],[Weekly change]])^52)-1</f>
        <v/>
      </c>
      <c r="E1706" s="24">
        <f>AVERAGE(B1703:B1706)</f>
        <v/>
      </c>
      <c r="F1706" s="32">
        <f>(Table2634[[#This Row],[4 weeks average]]-B1654)/B1654</f>
        <v/>
      </c>
    </row>
    <row r="1707">
      <c r="A1707" s="22" t="n">
        <v>39307</v>
      </c>
      <c r="B1707" s="24">
        <f>VLOOKUP(Table2634[[#This Row],[Date]],'DB Money Supply'!$A:$D,4)</f>
        <v/>
      </c>
      <c r="C1707" s="30">
        <f>(Table2634[[#This Row],[M1 Money Stock, Billions of Dollars, Weekly, Seasonally Adjusted]]-B1706)/B1706</f>
        <v/>
      </c>
      <c r="D1707" s="34">
        <f>((1+Table2634[[#This Row],[Weekly change]])^52)-1</f>
        <v/>
      </c>
      <c r="E1707" s="24">
        <f>AVERAGE(B1704:B1707)</f>
        <v/>
      </c>
      <c r="F1707" s="32">
        <f>(Table2634[[#This Row],[4 weeks average]]-B1655)/B1655</f>
        <v/>
      </c>
    </row>
    <row r="1708">
      <c r="A1708" s="22" t="n">
        <v>39314</v>
      </c>
      <c r="B1708" s="24">
        <f>VLOOKUP(Table2634[[#This Row],[Date]],'DB Money Supply'!$A:$D,4)</f>
        <v/>
      </c>
      <c r="C1708" s="30">
        <f>(Table2634[[#This Row],[M1 Money Stock, Billions of Dollars, Weekly, Seasonally Adjusted]]-B1707)/B1707</f>
        <v/>
      </c>
      <c r="D1708" s="34">
        <f>((1+Table2634[[#This Row],[Weekly change]])^52)-1</f>
        <v/>
      </c>
      <c r="E1708" s="24">
        <f>AVERAGE(B1705:B1708)</f>
        <v/>
      </c>
      <c r="F1708" s="32">
        <f>(Table2634[[#This Row],[4 weeks average]]-B1656)/B1656</f>
        <v/>
      </c>
    </row>
    <row r="1709">
      <c r="A1709" s="22" t="n">
        <v>39321</v>
      </c>
      <c r="B1709" s="24">
        <f>VLOOKUP(Table2634[[#This Row],[Date]],'DB Money Supply'!$A:$D,4)</f>
        <v/>
      </c>
      <c r="C1709" s="30">
        <f>(Table2634[[#This Row],[M1 Money Stock, Billions of Dollars, Weekly, Seasonally Adjusted]]-B1708)/B1708</f>
        <v/>
      </c>
      <c r="D1709" s="34">
        <f>((1+Table2634[[#This Row],[Weekly change]])^52)-1</f>
        <v/>
      </c>
      <c r="E1709" s="24">
        <f>AVERAGE(B1706:B1709)</f>
        <v/>
      </c>
      <c r="F1709" s="32">
        <f>(Table2634[[#This Row],[4 weeks average]]-B1657)/B1657</f>
        <v/>
      </c>
    </row>
    <row r="1710">
      <c r="A1710" s="22" t="n">
        <v>39328</v>
      </c>
      <c r="B1710" s="24">
        <f>VLOOKUP(Table2634[[#This Row],[Date]],'DB Money Supply'!$A:$D,4)</f>
        <v/>
      </c>
      <c r="C1710" s="30">
        <f>(Table2634[[#This Row],[M1 Money Stock, Billions of Dollars, Weekly, Seasonally Adjusted]]-B1709)/B1709</f>
        <v/>
      </c>
      <c r="D1710" s="34">
        <f>((1+Table2634[[#This Row],[Weekly change]])^52)-1</f>
        <v/>
      </c>
      <c r="E1710" s="24">
        <f>AVERAGE(B1707:B1710)</f>
        <v/>
      </c>
      <c r="F1710" s="32">
        <f>(Table2634[[#This Row],[4 weeks average]]-B1658)/B1658</f>
        <v/>
      </c>
    </row>
    <row r="1711">
      <c r="A1711" s="22" t="n">
        <v>39335</v>
      </c>
      <c r="B1711" s="24">
        <f>VLOOKUP(Table2634[[#This Row],[Date]],'DB Money Supply'!$A:$D,4)</f>
        <v/>
      </c>
      <c r="C1711" s="30">
        <f>(Table2634[[#This Row],[M1 Money Stock, Billions of Dollars, Weekly, Seasonally Adjusted]]-B1710)/B1710</f>
        <v/>
      </c>
      <c r="D1711" s="34">
        <f>((1+Table2634[[#This Row],[Weekly change]])^52)-1</f>
        <v/>
      </c>
      <c r="E1711" s="24">
        <f>AVERAGE(B1708:B1711)</f>
        <v/>
      </c>
      <c r="F1711" s="32">
        <f>(Table2634[[#This Row],[4 weeks average]]-B1659)/B1659</f>
        <v/>
      </c>
    </row>
    <row r="1712">
      <c r="A1712" s="22" t="n">
        <v>39342</v>
      </c>
      <c r="B1712" s="24">
        <f>VLOOKUP(Table2634[[#This Row],[Date]],'DB Money Supply'!$A:$D,4)</f>
        <v/>
      </c>
      <c r="C1712" s="30">
        <f>(Table2634[[#This Row],[M1 Money Stock, Billions of Dollars, Weekly, Seasonally Adjusted]]-B1711)/B1711</f>
        <v/>
      </c>
      <c r="D1712" s="34">
        <f>((1+Table2634[[#This Row],[Weekly change]])^52)-1</f>
        <v/>
      </c>
      <c r="E1712" s="24">
        <f>AVERAGE(B1709:B1712)</f>
        <v/>
      </c>
      <c r="F1712" s="32">
        <f>(Table2634[[#This Row],[4 weeks average]]-B1660)/B1660</f>
        <v/>
      </c>
    </row>
    <row r="1713">
      <c r="A1713" s="22" t="n">
        <v>39349</v>
      </c>
      <c r="B1713" s="24">
        <f>VLOOKUP(Table2634[[#This Row],[Date]],'DB Money Supply'!$A:$D,4)</f>
        <v/>
      </c>
      <c r="C1713" s="30">
        <f>(Table2634[[#This Row],[M1 Money Stock, Billions of Dollars, Weekly, Seasonally Adjusted]]-B1712)/B1712</f>
        <v/>
      </c>
      <c r="D1713" s="34">
        <f>((1+Table2634[[#This Row],[Weekly change]])^52)-1</f>
        <v/>
      </c>
      <c r="E1713" s="24">
        <f>AVERAGE(B1710:B1713)</f>
        <v/>
      </c>
      <c r="F1713" s="32">
        <f>(Table2634[[#This Row],[4 weeks average]]-B1661)/B1661</f>
        <v/>
      </c>
    </row>
    <row r="1714">
      <c r="A1714" s="22" t="n">
        <v>39356</v>
      </c>
      <c r="B1714" s="24">
        <f>VLOOKUP(Table2634[[#This Row],[Date]],'DB Money Supply'!$A:$D,4)</f>
        <v/>
      </c>
      <c r="C1714" s="30">
        <f>(Table2634[[#This Row],[M1 Money Stock, Billions of Dollars, Weekly, Seasonally Adjusted]]-B1713)/B1713</f>
        <v/>
      </c>
      <c r="D1714" s="34">
        <f>((1+Table2634[[#This Row],[Weekly change]])^52)-1</f>
        <v/>
      </c>
      <c r="E1714" s="24">
        <f>AVERAGE(B1711:B1714)</f>
        <v/>
      </c>
      <c r="F1714" s="32">
        <f>(Table2634[[#This Row],[4 weeks average]]-B1662)/B1662</f>
        <v/>
      </c>
    </row>
    <row r="1715">
      <c r="A1715" s="22" t="n">
        <v>39363</v>
      </c>
      <c r="B1715" s="24">
        <f>VLOOKUP(Table2634[[#This Row],[Date]],'DB Money Supply'!$A:$D,4)</f>
        <v/>
      </c>
      <c r="C1715" s="30">
        <f>(Table2634[[#This Row],[M1 Money Stock, Billions of Dollars, Weekly, Seasonally Adjusted]]-B1714)/B1714</f>
        <v/>
      </c>
      <c r="D1715" s="34">
        <f>((1+Table2634[[#This Row],[Weekly change]])^52)-1</f>
        <v/>
      </c>
      <c r="E1715" s="24">
        <f>AVERAGE(B1712:B1715)</f>
        <v/>
      </c>
      <c r="F1715" s="32">
        <f>(Table2634[[#This Row],[4 weeks average]]-B1663)/B1663</f>
        <v/>
      </c>
    </row>
    <row r="1716">
      <c r="A1716" s="22" t="n">
        <v>39370</v>
      </c>
      <c r="B1716" s="24">
        <f>VLOOKUP(Table2634[[#This Row],[Date]],'DB Money Supply'!$A:$D,4)</f>
        <v/>
      </c>
      <c r="C1716" s="30">
        <f>(Table2634[[#This Row],[M1 Money Stock, Billions of Dollars, Weekly, Seasonally Adjusted]]-B1715)/B1715</f>
        <v/>
      </c>
      <c r="D1716" s="34">
        <f>((1+Table2634[[#This Row],[Weekly change]])^52)-1</f>
        <v/>
      </c>
      <c r="E1716" s="24">
        <f>AVERAGE(B1713:B1716)</f>
        <v/>
      </c>
      <c r="F1716" s="32">
        <f>(Table2634[[#This Row],[4 weeks average]]-B1664)/B1664</f>
        <v/>
      </c>
    </row>
    <row r="1717">
      <c r="A1717" s="22" t="n">
        <v>39377</v>
      </c>
      <c r="B1717" s="24">
        <f>VLOOKUP(Table2634[[#This Row],[Date]],'DB Money Supply'!$A:$D,4)</f>
        <v/>
      </c>
      <c r="C1717" s="30">
        <f>(Table2634[[#This Row],[M1 Money Stock, Billions of Dollars, Weekly, Seasonally Adjusted]]-B1716)/B1716</f>
        <v/>
      </c>
      <c r="D1717" s="34">
        <f>((1+Table2634[[#This Row],[Weekly change]])^52)-1</f>
        <v/>
      </c>
      <c r="E1717" s="24">
        <f>AVERAGE(B1714:B1717)</f>
        <v/>
      </c>
      <c r="F1717" s="32">
        <f>(Table2634[[#This Row],[4 weeks average]]-B1665)/B1665</f>
        <v/>
      </c>
    </row>
    <row r="1718">
      <c r="A1718" s="22" t="n">
        <v>39384</v>
      </c>
      <c r="B1718" s="24">
        <f>VLOOKUP(Table2634[[#This Row],[Date]],'DB Money Supply'!$A:$D,4)</f>
        <v/>
      </c>
      <c r="C1718" s="30">
        <f>(Table2634[[#This Row],[M1 Money Stock, Billions of Dollars, Weekly, Seasonally Adjusted]]-B1717)/B1717</f>
        <v/>
      </c>
      <c r="D1718" s="34">
        <f>((1+Table2634[[#This Row],[Weekly change]])^52)-1</f>
        <v/>
      </c>
      <c r="E1718" s="24">
        <f>AVERAGE(B1715:B1718)</f>
        <v/>
      </c>
      <c r="F1718" s="32">
        <f>(Table2634[[#This Row],[4 weeks average]]-B1666)/B1666</f>
        <v/>
      </c>
    </row>
    <row r="1719">
      <c r="A1719" s="22" t="n">
        <v>39391</v>
      </c>
      <c r="B1719" s="24">
        <f>VLOOKUP(Table2634[[#This Row],[Date]],'DB Money Supply'!$A:$D,4)</f>
        <v/>
      </c>
      <c r="C1719" s="30">
        <f>(Table2634[[#This Row],[M1 Money Stock, Billions of Dollars, Weekly, Seasonally Adjusted]]-B1718)/B1718</f>
        <v/>
      </c>
      <c r="D1719" s="34">
        <f>((1+Table2634[[#This Row],[Weekly change]])^52)-1</f>
        <v/>
      </c>
      <c r="E1719" s="24">
        <f>AVERAGE(B1716:B1719)</f>
        <v/>
      </c>
      <c r="F1719" s="32">
        <f>(Table2634[[#This Row],[4 weeks average]]-B1667)/B1667</f>
        <v/>
      </c>
    </row>
    <row r="1720">
      <c r="A1720" s="22" t="n">
        <v>39398</v>
      </c>
      <c r="B1720" s="24">
        <f>VLOOKUP(Table2634[[#This Row],[Date]],'DB Money Supply'!$A:$D,4)</f>
        <v/>
      </c>
      <c r="C1720" s="30">
        <f>(Table2634[[#This Row],[M1 Money Stock, Billions of Dollars, Weekly, Seasonally Adjusted]]-B1719)/B1719</f>
        <v/>
      </c>
      <c r="D1720" s="34">
        <f>((1+Table2634[[#This Row],[Weekly change]])^52)-1</f>
        <v/>
      </c>
      <c r="E1720" s="24">
        <f>AVERAGE(B1717:B1720)</f>
        <v/>
      </c>
      <c r="F1720" s="32">
        <f>(Table2634[[#This Row],[4 weeks average]]-B1668)/B1668</f>
        <v/>
      </c>
    </row>
    <row r="1721">
      <c r="A1721" s="22" t="n">
        <v>39405</v>
      </c>
      <c r="B1721" s="24">
        <f>VLOOKUP(Table2634[[#This Row],[Date]],'DB Money Supply'!$A:$D,4)</f>
        <v/>
      </c>
      <c r="C1721" s="30">
        <f>(Table2634[[#This Row],[M1 Money Stock, Billions of Dollars, Weekly, Seasonally Adjusted]]-B1720)/B1720</f>
        <v/>
      </c>
      <c r="D1721" s="34">
        <f>((1+Table2634[[#This Row],[Weekly change]])^52)-1</f>
        <v/>
      </c>
      <c r="E1721" s="24">
        <f>AVERAGE(B1718:B1721)</f>
        <v/>
      </c>
      <c r="F1721" s="32">
        <f>(Table2634[[#This Row],[4 weeks average]]-B1669)/B1669</f>
        <v/>
      </c>
    </row>
    <row r="1722">
      <c r="A1722" s="22" t="n">
        <v>39412</v>
      </c>
      <c r="B1722" s="24">
        <f>VLOOKUP(Table2634[[#This Row],[Date]],'DB Money Supply'!$A:$D,4)</f>
        <v/>
      </c>
      <c r="C1722" s="30">
        <f>(Table2634[[#This Row],[M1 Money Stock, Billions of Dollars, Weekly, Seasonally Adjusted]]-B1721)/B1721</f>
        <v/>
      </c>
      <c r="D1722" s="34">
        <f>((1+Table2634[[#This Row],[Weekly change]])^52)-1</f>
        <v/>
      </c>
      <c r="E1722" s="24">
        <f>AVERAGE(B1719:B1722)</f>
        <v/>
      </c>
      <c r="F1722" s="32">
        <f>(Table2634[[#This Row],[4 weeks average]]-B1670)/B1670</f>
        <v/>
      </c>
    </row>
    <row r="1723">
      <c r="A1723" s="22" t="n">
        <v>39419</v>
      </c>
      <c r="B1723" s="24">
        <f>VLOOKUP(Table2634[[#This Row],[Date]],'DB Money Supply'!$A:$D,4)</f>
        <v/>
      </c>
      <c r="C1723" s="30">
        <f>(Table2634[[#This Row],[M1 Money Stock, Billions of Dollars, Weekly, Seasonally Adjusted]]-B1722)/B1722</f>
        <v/>
      </c>
      <c r="D1723" s="34">
        <f>((1+Table2634[[#This Row],[Weekly change]])^52)-1</f>
        <v/>
      </c>
      <c r="E1723" s="24">
        <f>AVERAGE(B1720:B1723)</f>
        <v/>
      </c>
      <c r="F1723" s="32">
        <f>(Table2634[[#This Row],[4 weeks average]]-B1671)/B1671</f>
        <v/>
      </c>
    </row>
    <row r="1724">
      <c r="A1724" s="22" t="n">
        <v>39426</v>
      </c>
      <c r="B1724" s="24">
        <f>VLOOKUP(Table2634[[#This Row],[Date]],'DB Money Supply'!$A:$D,4)</f>
        <v/>
      </c>
      <c r="C1724" s="30">
        <f>(Table2634[[#This Row],[M1 Money Stock, Billions of Dollars, Weekly, Seasonally Adjusted]]-B1723)/B1723</f>
        <v/>
      </c>
      <c r="D1724" s="34">
        <f>((1+Table2634[[#This Row],[Weekly change]])^52)-1</f>
        <v/>
      </c>
      <c r="E1724" s="24">
        <f>AVERAGE(B1721:B1724)</f>
        <v/>
      </c>
      <c r="F1724" s="32">
        <f>(Table2634[[#This Row],[4 weeks average]]-B1672)/B1672</f>
        <v/>
      </c>
    </row>
    <row r="1725">
      <c r="A1725" s="22" t="n">
        <v>39433</v>
      </c>
      <c r="B1725" s="24">
        <f>VLOOKUP(Table2634[[#This Row],[Date]],'DB Money Supply'!$A:$D,4)</f>
        <v/>
      </c>
      <c r="C1725" s="30">
        <f>(Table2634[[#This Row],[M1 Money Stock, Billions of Dollars, Weekly, Seasonally Adjusted]]-B1724)/B1724</f>
        <v/>
      </c>
      <c r="D1725" s="34">
        <f>((1+Table2634[[#This Row],[Weekly change]])^52)-1</f>
        <v/>
      </c>
      <c r="E1725" s="24">
        <f>AVERAGE(B1722:B1725)</f>
        <v/>
      </c>
      <c r="F1725" s="32">
        <f>(Table2634[[#This Row],[4 weeks average]]-B1673)/B1673</f>
        <v/>
      </c>
    </row>
    <row r="1726">
      <c r="A1726" s="22" t="n">
        <v>39440</v>
      </c>
      <c r="B1726" s="24">
        <f>VLOOKUP(Table2634[[#This Row],[Date]],'DB Money Supply'!$A:$D,4)</f>
        <v/>
      </c>
      <c r="C1726" s="30">
        <f>(Table2634[[#This Row],[M1 Money Stock, Billions of Dollars, Weekly, Seasonally Adjusted]]-B1725)/B1725</f>
        <v/>
      </c>
      <c r="D1726" s="34">
        <f>((1+Table2634[[#This Row],[Weekly change]])^52)-1</f>
        <v/>
      </c>
      <c r="E1726" s="24">
        <f>AVERAGE(B1723:B1726)</f>
        <v/>
      </c>
      <c r="F1726" s="32">
        <f>(Table2634[[#This Row],[4 weeks average]]-B1674)/B1674</f>
        <v/>
      </c>
    </row>
    <row r="1727">
      <c r="A1727" s="22" t="n">
        <v>39447</v>
      </c>
      <c r="B1727" s="24">
        <f>VLOOKUP(Table2634[[#This Row],[Date]],'DB Money Supply'!$A:$D,4)</f>
        <v/>
      </c>
      <c r="C1727" s="30">
        <f>(Table2634[[#This Row],[M1 Money Stock, Billions of Dollars, Weekly, Seasonally Adjusted]]-B1726)/B1726</f>
        <v/>
      </c>
      <c r="D1727" s="34">
        <f>((1+Table2634[[#This Row],[Weekly change]])^52)-1</f>
        <v/>
      </c>
      <c r="E1727" s="24">
        <f>AVERAGE(B1724:B1727)</f>
        <v/>
      </c>
      <c r="F1727" s="32">
        <f>(Table2634[[#This Row],[4 weeks average]]-B1675)/B1675</f>
        <v/>
      </c>
    </row>
    <row r="1728">
      <c r="A1728" s="22" t="n">
        <v>39454</v>
      </c>
      <c r="B1728" s="24">
        <f>VLOOKUP(Table2634[[#This Row],[Date]],'DB Money Supply'!$A:$D,4)</f>
        <v/>
      </c>
      <c r="C1728" s="30">
        <f>(Table2634[[#This Row],[M1 Money Stock, Billions of Dollars, Weekly, Seasonally Adjusted]]-B1727)/B1727</f>
        <v/>
      </c>
      <c r="D1728" s="34">
        <f>((1+Table2634[[#This Row],[Weekly change]])^52)-1</f>
        <v/>
      </c>
      <c r="E1728" s="24">
        <f>AVERAGE(B1725:B1728)</f>
        <v/>
      </c>
      <c r="F1728" s="32">
        <f>(Table2634[[#This Row],[4 weeks average]]-B1676)/B1676</f>
        <v/>
      </c>
    </row>
    <row r="1729">
      <c r="A1729" s="22" t="n">
        <v>39461</v>
      </c>
      <c r="B1729" s="24">
        <f>VLOOKUP(Table2634[[#This Row],[Date]],'DB Money Supply'!$A:$D,4)</f>
        <v/>
      </c>
      <c r="C1729" s="30">
        <f>(Table2634[[#This Row],[M1 Money Stock, Billions of Dollars, Weekly, Seasonally Adjusted]]-B1728)/B1728</f>
        <v/>
      </c>
      <c r="D1729" s="34">
        <f>((1+Table2634[[#This Row],[Weekly change]])^52)-1</f>
        <v/>
      </c>
      <c r="E1729" s="24">
        <f>AVERAGE(B1726:B1729)</f>
        <v/>
      </c>
      <c r="F1729" s="32">
        <f>(Table2634[[#This Row],[4 weeks average]]-B1677)/B1677</f>
        <v/>
      </c>
    </row>
    <row r="1730">
      <c r="A1730" s="22" t="n">
        <v>39468</v>
      </c>
      <c r="B1730" s="24">
        <f>VLOOKUP(Table2634[[#This Row],[Date]],'DB Money Supply'!$A:$D,4)</f>
        <v/>
      </c>
      <c r="C1730" s="30">
        <f>(Table2634[[#This Row],[M1 Money Stock, Billions of Dollars, Weekly, Seasonally Adjusted]]-B1729)/B1729</f>
        <v/>
      </c>
      <c r="D1730" s="34">
        <f>((1+Table2634[[#This Row],[Weekly change]])^52)-1</f>
        <v/>
      </c>
      <c r="E1730" s="24">
        <f>AVERAGE(B1727:B1730)</f>
        <v/>
      </c>
      <c r="F1730" s="32">
        <f>(Table2634[[#This Row],[4 weeks average]]-B1678)/B1678</f>
        <v/>
      </c>
    </row>
    <row r="1731">
      <c r="A1731" s="22" t="n">
        <v>39475</v>
      </c>
      <c r="B1731" s="24">
        <f>VLOOKUP(Table2634[[#This Row],[Date]],'DB Money Supply'!$A:$D,4)</f>
        <v/>
      </c>
      <c r="C1731" s="30">
        <f>(Table2634[[#This Row],[M1 Money Stock, Billions of Dollars, Weekly, Seasonally Adjusted]]-B1730)/B1730</f>
        <v/>
      </c>
      <c r="D1731" s="34">
        <f>((1+Table2634[[#This Row],[Weekly change]])^52)-1</f>
        <v/>
      </c>
      <c r="E1731" s="24">
        <f>AVERAGE(B1728:B1731)</f>
        <v/>
      </c>
      <c r="F1731" s="32">
        <f>(Table2634[[#This Row],[4 weeks average]]-B1679)/B1679</f>
        <v/>
      </c>
    </row>
    <row r="1732">
      <c r="A1732" s="22" t="n">
        <v>39482</v>
      </c>
      <c r="B1732" s="24">
        <f>VLOOKUP(Table2634[[#This Row],[Date]],'DB Money Supply'!$A:$D,4)</f>
        <v/>
      </c>
      <c r="C1732" s="30">
        <f>(Table2634[[#This Row],[M1 Money Stock, Billions of Dollars, Weekly, Seasonally Adjusted]]-B1731)/B1731</f>
        <v/>
      </c>
      <c r="D1732" s="34">
        <f>((1+Table2634[[#This Row],[Weekly change]])^52)-1</f>
        <v/>
      </c>
      <c r="E1732" s="24">
        <f>AVERAGE(B1729:B1732)</f>
        <v/>
      </c>
      <c r="F1732" s="32">
        <f>(Table2634[[#This Row],[4 weeks average]]-B1680)/B1680</f>
        <v/>
      </c>
    </row>
    <row r="1733">
      <c r="A1733" s="22" t="n">
        <v>39489</v>
      </c>
      <c r="B1733" s="24">
        <f>VLOOKUP(Table2634[[#This Row],[Date]],'DB Money Supply'!$A:$D,4)</f>
        <v/>
      </c>
      <c r="C1733" s="30">
        <f>(Table2634[[#This Row],[M1 Money Stock, Billions of Dollars, Weekly, Seasonally Adjusted]]-B1732)/B1732</f>
        <v/>
      </c>
      <c r="D1733" s="34">
        <f>((1+Table2634[[#This Row],[Weekly change]])^52)-1</f>
        <v/>
      </c>
      <c r="E1733" s="24">
        <f>AVERAGE(B1730:B1733)</f>
        <v/>
      </c>
      <c r="F1733" s="32">
        <f>(Table2634[[#This Row],[4 weeks average]]-B1681)/B1681</f>
        <v/>
      </c>
    </row>
    <row r="1734">
      <c r="A1734" s="22" t="n">
        <v>39496</v>
      </c>
      <c r="B1734" s="24">
        <f>VLOOKUP(Table2634[[#This Row],[Date]],'DB Money Supply'!$A:$D,4)</f>
        <v/>
      </c>
      <c r="C1734" s="30">
        <f>(Table2634[[#This Row],[M1 Money Stock, Billions of Dollars, Weekly, Seasonally Adjusted]]-B1733)/B1733</f>
        <v/>
      </c>
      <c r="D1734" s="34">
        <f>((1+Table2634[[#This Row],[Weekly change]])^52)-1</f>
        <v/>
      </c>
      <c r="E1734" s="24">
        <f>AVERAGE(B1731:B1734)</f>
        <v/>
      </c>
      <c r="F1734" s="32">
        <f>(Table2634[[#This Row],[4 weeks average]]-B1682)/B1682</f>
        <v/>
      </c>
    </row>
    <row r="1735">
      <c r="A1735" s="22" t="n">
        <v>39503</v>
      </c>
      <c r="B1735" s="24">
        <f>VLOOKUP(Table2634[[#This Row],[Date]],'DB Money Supply'!$A:$D,4)</f>
        <v/>
      </c>
      <c r="C1735" s="30">
        <f>(Table2634[[#This Row],[M1 Money Stock, Billions of Dollars, Weekly, Seasonally Adjusted]]-B1734)/B1734</f>
        <v/>
      </c>
      <c r="D1735" s="34">
        <f>((1+Table2634[[#This Row],[Weekly change]])^52)-1</f>
        <v/>
      </c>
      <c r="E1735" s="24">
        <f>AVERAGE(B1732:B1735)</f>
        <v/>
      </c>
      <c r="F1735" s="32">
        <f>(Table2634[[#This Row],[4 weeks average]]-B1683)/B1683</f>
        <v/>
      </c>
    </row>
    <row r="1736">
      <c r="A1736" s="22" t="n">
        <v>39510</v>
      </c>
      <c r="B1736" s="24">
        <f>VLOOKUP(Table2634[[#This Row],[Date]],'DB Money Supply'!$A:$D,4)</f>
        <v/>
      </c>
      <c r="C1736" s="30">
        <f>(Table2634[[#This Row],[M1 Money Stock, Billions of Dollars, Weekly, Seasonally Adjusted]]-B1735)/B1735</f>
        <v/>
      </c>
      <c r="D1736" s="34">
        <f>((1+Table2634[[#This Row],[Weekly change]])^52)-1</f>
        <v/>
      </c>
      <c r="E1736" s="24">
        <f>AVERAGE(B1733:B1736)</f>
        <v/>
      </c>
      <c r="F1736" s="32">
        <f>(Table2634[[#This Row],[4 weeks average]]-B1684)/B1684</f>
        <v/>
      </c>
    </row>
    <row r="1737">
      <c r="A1737" s="22" t="n">
        <v>39517</v>
      </c>
      <c r="B1737" s="24">
        <f>VLOOKUP(Table2634[[#This Row],[Date]],'DB Money Supply'!$A:$D,4)</f>
        <v/>
      </c>
      <c r="C1737" s="30">
        <f>(Table2634[[#This Row],[M1 Money Stock, Billions of Dollars, Weekly, Seasonally Adjusted]]-B1736)/B1736</f>
        <v/>
      </c>
      <c r="D1737" s="34">
        <f>((1+Table2634[[#This Row],[Weekly change]])^52)-1</f>
        <v/>
      </c>
      <c r="E1737" s="24">
        <f>AVERAGE(B1734:B1737)</f>
        <v/>
      </c>
      <c r="F1737" s="32">
        <f>(Table2634[[#This Row],[4 weeks average]]-B1685)/B1685</f>
        <v/>
      </c>
    </row>
    <row r="1738">
      <c r="A1738" s="22" t="n">
        <v>39524</v>
      </c>
      <c r="B1738" s="24">
        <f>VLOOKUP(Table2634[[#This Row],[Date]],'DB Money Supply'!$A:$D,4)</f>
        <v/>
      </c>
      <c r="C1738" s="30">
        <f>(Table2634[[#This Row],[M1 Money Stock, Billions of Dollars, Weekly, Seasonally Adjusted]]-B1737)/B1737</f>
        <v/>
      </c>
      <c r="D1738" s="34">
        <f>((1+Table2634[[#This Row],[Weekly change]])^52)-1</f>
        <v/>
      </c>
      <c r="E1738" s="24">
        <f>AVERAGE(B1735:B1738)</f>
        <v/>
      </c>
      <c r="F1738" s="32">
        <f>(Table2634[[#This Row],[4 weeks average]]-B1686)/B1686</f>
        <v/>
      </c>
    </row>
    <row r="1739">
      <c r="A1739" s="22" t="n">
        <v>39531</v>
      </c>
      <c r="B1739" s="24">
        <f>VLOOKUP(Table2634[[#This Row],[Date]],'DB Money Supply'!$A:$D,4)</f>
        <v/>
      </c>
      <c r="C1739" s="30">
        <f>(Table2634[[#This Row],[M1 Money Stock, Billions of Dollars, Weekly, Seasonally Adjusted]]-B1738)/B1738</f>
        <v/>
      </c>
      <c r="D1739" s="34">
        <f>((1+Table2634[[#This Row],[Weekly change]])^52)-1</f>
        <v/>
      </c>
      <c r="E1739" s="24">
        <f>AVERAGE(B1736:B1739)</f>
        <v/>
      </c>
      <c r="F1739" s="32">
        <f>(Table2634[[#This Row],[4 weeks average]]-B1687)/B1687</f>
        <v/>
      </c>
    </row>
    <row r="1740">
      <c r="A1740" s="22" t="n">
        <v>39538</v>
      </c>
      <c r="B1740" s="24">
        <f>VLOOKUP(Table2634[[#This Row],[Date]],'DB Money Supply'!$A:$D,4)</f>
        <v/>
      </c>
      <c r="C1740" s="30">
        <f>(Table2634[[#This Row],[M1 Money Stock, Billions of Dollars, Weekly, Seasonally Adjusted]]-B1739)/B1739</f>
        <v/>
      </c>
      <c r="D1740" s="34">
        <f>((1+Table2634[[#This Row],[Weekly change]])^52)-1</f>
        <v/>
      </c>
      <c r="E1740" s="24">
        <f>AVERAGE(B1737:B1740)</f>
        <v/>
      </c>
      <c r="F1740" s="32">
        <f>(Table2634[[#This Row],[4 weeks average]]-B1688)/B1688</f>
        <v/>
      </c>
    </row>
    <row r="1741">
      <c r="A1741" s="22" t="n">
        <v>39545</v>
      </c>
      <c r="B1741" s="24">
        <f>VLOOKUP(Table2634[[#This Row],[Date]],'DB Money Supply'!$A:$D,4)</f>
        <v/>
      </c>
      <c r="C1741" s="30">
        <f>(Table2634[[#This Row],[M1 Money Stock, Billions of Dollars, Weekly, Seasonally Adjusted]]-B1740)/B1740</f>
        <v/>
      </c>
      <c r="D1741" s="34">
        <f>((1+Table2634[[#This Row],[Weekly change]])^52)-1</f>
        <v/>
      </c>
      <c r="E1741" s="24">
        <f>AVERAGE(B1738:B1741)</f>
        <v/>
      </c>
      <c r="F1741" s="32">
        <f>(Table2634[[#This Row],[4 weeks average]]-B1689)/B1689</f>
        <v/>
      </c>
    </row>
    <row r="1742">
      <c r="A1742" s="22" t="n">
        <v>39552</v>
      </c>
      <c r="B1742" s="24">
        <f>VLOOKUP(Table2634[[#This Row],[Date]],'DB Money Supply'!$A:$D,4)</f>
        <v/>
      </c>
      <c r="C1742" s="30">
        <f>(Table2634[[#This Row],[M1 Money Stock, Billions of Dollars, Weekly, Seasonally Adjusted]]-B1741)/B1741</f>
        <v/>
      </c>
      <c r="D1742" s="34">
        <f>((1+Table2634[[#This Row],[Weekly change]])^52)-1</f>
        <v/>
      </c>
      <c r="E1742" s="24">
        <f>AVERAGE(B1739:B1742)</f>
        <v/>
      </c>
      <c r="F1742" s="32">
        <f>(Table2634[[#This Row],[4 weeks average]]-B1690)/B1690</f>
        <v/>
      </c>
    </row>
    <row r="1743">
      <c r="A1743" s="22" t="n">
        <v>39559</v>
      </c>
      <c r="B1743" s="24">
        <f>VLOOKUP(Table2634[[#This Row],[Date]],'DB Money Supply'!$A:$D,4)</f>
        <v/>
      </c>
      <c r="C1743" s="30">
        <f>(Table2634[[#This Row],[M1 Money Stock, Billions of Dollars, Weekly, Seasonally Adjusted]]-B1742)/B1742</f>
        <v/>
      </c>
      <c r="D1743" s="34">
        <f>((1+Table2634[[#This Row],[Weekly change]])^52)-1</f>
        <v/>
      </c>
      <c r="E1743" s="24">
        <f>AVERAGE(B1740:B1743)</f>
        <v/>
      </c>
      <c r="F1743" s="32">
        <f>(Table2634[[#This Row],[4 weeks average]]-B1691)/B1691</f>
        <v/>
      </c>
    </row>
    <row r="1744">
      <c r="A1744" s="22" t="n">
        <v>39566</v>
      </c>
      <c r="B1744" s="24">
        <f>VLOOKUP(Table2634[[#This Row],[Date]],'DB Money Supply'!$A:$D,4)</f>
        <v/>
      </c>
      <c r="C1744" s="30">
        <f>(Table2634[[#This Row],[M1 Money Stock, Billions of Dollars, Weekly, Seasonally Adjusted]]-B1743)/B1743</f>
        <v/>
      </c>
      <c r="D1744" s="34">
        <f>((1+Table2634[[#This Row],[Weekly change]])^52)-1</f>
        <v/>
      </c>
      <c r="E1744" s="24">
        <f>AVERAGE(B1741:B1744)</f>
        <v/>
      </c>
      <c r="F1744" s="32">
        <f>(Table2634[[#This Row],[4 weeks average]]-B1692)/B1692</f>
        <v/>
      </c>
    </row>
    <row r="1745">
      <c r="A1745" s="22" t="n">
        <v>39573</v>
      </c>
      <c r="B1745" s="24">
        <f>VLOOKUP(Table2634[[#This Row],[Date]],'DB Money Supply'!$A:$D,4)</f>
        <v/>
      </c>
      <c r="C1745" s="30">
        <f>(Table2634[[#This Row],[M1 Money Stock, Billions of Dollars, Weekly, Seasonally Adjusted]]-B1744)/B1744</f>
        <v/>
      </c>
      <c r="D1745" s="34">
        <f>((1+Table2634[[#This Row],[Weekly change]])^52)-1</f>
        <v/>
      </c>
      <c r="E1745" s="24">
        <f>AVERAGE(B1742:B1745)</f>
        <v/>
      </c>
      <c r="F1745" s="32">
        <f>(Table2634[[#This Row],[4 weeks average]]-B1693)/B1693</f>
        <v/>
      </c>
    </row>
    <row r="1746">
      <c r="A1746" s="22" t="n">
        <v>39580</v>
      </c>
      <c r="B1746" s="24">
        <f>VLOOKUP(Table2634[[#This Row],[Date]],'DB Money Supply'!$A:$D,4)</f>
        <v/>
      </c>
      <c r="C1746" s="30">
        <f>(Table2634[[#This Row],[M1 Money Stock, Billions of Dollars, Weekly, Seasonally Adjusted]]-B1745)/B1745</f>
        <v/>
      </c>
      <c r="D1746" s="34">
        <f>((1+Table2634[[#This Row],[Weekly change]])^52)-1</f>
        <v/>
      </c>
      <c r="E1746" s="24">
        <f>AVERAGE(B1743:B1746)</f>
        <v/>
      </c>
      <c r="F1746" s="32">
        <f>(Table2634[[#This Row],[4 weeks average]]-B1694)/B1694</f>
        <v/>
      </c>
    </row>
    <row r="1747">
      <c r="A1747" s="22" t="n">
        <v>39587</v>
      </c>
      <c r="B1747" s="24">
        <f>VLOOKUP(Table2634[[#This Row],[Date]],'DB Money Supply'!$A:$D,4)</f>
        <v/>
      </c>
      <c r="C1747" s="30">
        <f>(Table2634[[#This Row],[M1 Money Stock, Billions of Dollars, Weekly, Seasonally Adjusted]]-B1746)/B1746</f>
        <v/>
      </c>
      <c r="D1747" s="34">
        <f>((1+Table2634[[#This Row],[Weekly change]])^52)-1</f>
        <v/>
      </c>
      <c r="E1747" s="24">
        <f>AVERAGE(B1744:B1747)</f>
        <v/>
      </c>
      <c r="F1747" s="32">
        <f>(Table2634[[#This Row],[4 weeks average]]-B1695)/B1695</f>
        <v/>
      </c>
    </row>
    <row r="1748">
      <c r="A1748" s="22" t="n">
        <v>39594</v>
      </c>
      <c r="B1748" s="24">
        <f>VLOOKUP(Table2634[[#This Row],[Date]],'DB Money Supply'!$A:$D,4)</f>
        <v/>
      </c>
      <c r="C1748" s="30">
        <f>(Table2634[[#This Row],[M1 Money Stock, Billions of Dollars, Weekly, Seasonally Adjusted]]-B1747)/B1747</f>
        <v/>
      </c>
      <c r="D1748" s="34">
        <f>((1+Table2634[[#This Row],[Weekly change]])^52)-1</f>
        <v/>
      </c>
      <c r="E1748" s="24">
        <f>AVERAGE(B1745:B1748)</f>
        <v/>
      </c>
      <c r="F1748" s="32">
        <f>(Table2634[[#This Row],[4 weeks average]]-B1696)/B1696</f>
        <v/>
      </c>
    </row>
    <row r="1749">
      <c r="A1749" s="22" t="n">
        <v>39601</v>
      </c>
      <c r="B1749" s="24">
        <f>VLOOKUP(Table2634[[#This Row],[Date]],'DB Money Supply'!$A:$D,4)</f>
        <v/>
      </c>
      <c r="C1749" s="30">
        <f>(Table2634[[#This Row],[M1 Money Stock, Billions of Dollars, Weekly, Seasonally Adjusted]]-B1748)/B1748</f>
        <v/>
      </c>
      <c r="D1749" s="34">
        <f>((1+Table2634[[#This Row],[Weekly change]])^52)-1</f>
        <v/>
      </c>
      <c r="E1749" s="24">
        <f>AVERAGE(B1746:B1749)</f>
        <v/>
      </c>
      <c r="F1749" s="32">
        <f>(Table2634[[#This Row],[4 weeks average]]-B1697)/B1697</f>
        <v/>
      </c>
    </row>
    <row r="1750">
      <c r="A1750" s="22" t="n">
        <v>39608</v>
      </c>
      <c r="B1750" s="24">
        <f>VLOOKUP(Table2634[[#This Row],[Date]],'DB Money Supply'!$A:$D,4)</f>
        <v/>
      </c>
      <c r="C1750" s="30">
        <f>(Table2634[[#This Row],[M1 Money Stock, Billions of Dollars, Weekly, Seasonally Adjusted]]-B1749)/B1749</f>
        <v/>
      </c>
      <c r="D1750" s="34">
        <f>((1+Table2634[[#This Row],[Weekly change]])^52)-1</f>
        <v/>
      </c>
      <c r="E1750" s="24">
        <f>AVERAGE(B1747:B1750)</f>
        <v/>
      </c>
      <c r="F1750" s="32">
        <f>(Table2634[[#This Row],[4 weeks average]]-B1698)/B1698</f>
        <v/>
      </c>
    </row>
    <row r="1751">
      <c r="A1751" s="22" t="n">
        <v>39615</v>
      </c>
      <c r="B1751" s="24">
        <f>VLOOKUP(Table2634[[#This Row],[Date]],'DB Money Supply'!$A:$D,4)</f>
        <v/>
      </c>
      <c r="C1751" s="30">
        <f>(Table2634[[#This Row],[M1 Money Stock, Billions of Dollars, Weekly, Seasonally Adjusted]]-B1750)/B1750</f>
        <v/>
      </c>
      <c r="D1751" s="34">
        <f>((1+Table2634[[#This Row],[Weekly change]])^52)-1</f>
        <v/>
      </c>
      <c r="E1751" s="24">
        <f>AVERAGE(B1748:B1751)</f>
        <v/>
      </c>
      <c r="F1751" s="32">
        <f>(Table2634[[#This Row],[4 weeks average]]-B1699)/B1699</f>
        <v/>
      </c>
    </row>
    <row r="1752">
      <c r="A1752" s="22" t="n">
        <v>39622</v>
      </c>
      <c r="B1752" s="24">
        <f>VLOOKUP(Table2634[[#This Row],[Date]],'DB Money Supply'!$A:$D,4)</f>
        <v/>
      </c>
      <c r="C1752" s="30">
        <f>(Table2634[[#This Row],[M1 Money Stock, Billions of Dollars, Weekly, Seasonally Adjusted]]-B1751)/B1751</f>
        <v/>
      </c>
      <c r="D1752" s="34">
        <f>((1+Table2634[[#This Row],[Weekly change]])^52)-1</f>
        <v/>
      </c>
      <c r="E1752" s="24">
        <f>AVERAGE(B1749:B1752)</f>
        <v/>
      </c>
      <c r="F1752" s="32">
        <f>(Table2634[[#This Row],[4 weeks average]]-B1700)/B1700</f>
        <v/>
      </c>
    </row>
    <row r="1753">
      <c r="A1753" s="22" t="n">
        <v>39629</v>
      </c>
      <c r="B1753" s="24">
        <f>VLOOKUP(Table2634[[#This Row],[Date]],'DB Money Supply'!$A:$D,4)</f>
        <v/>
      </c>
      <c r="C1753" s="30">
        <f>(Table2634[[#This Row],[M1 Money Stock, Billions of Dollars, Weekly, Seasonally Adjusted]]-B1752)/B1752</f>
        <v/>
      </c>
      <c r="D1753" s="34">
        <f>((1+Table2634[[#This Row],[Weekly change]])^52)-1</f>
        <v/>
      </c>
      <c r="E1753" s="24">
        <f>AVERAGE(B1750:B1753)</f>
        <v/>
      </c>
      <c r="F1753" s="32">
        <f>(Table2634[[#This Row],[4 weeks average]]-B1701)/B1701</f>
        <v/>
      </c>
    </row>
    <row r="1754">
      <c r="A1754" s="22" t="n">
        <v>39636</v>
      </c>
      <c r="B1754" s="24">
        <f>VLOOKUP(Table2634[[#This Row],[Date]],'DB Money Supply'!$A:$D,4)</f>
        <v/>
      </c>
      <c r="C1754" s="30">
        <f>(Table2634[[#This Row],[M1 Money Stock, Billions of Dollars, Weekly, Seasonally Adjusted]]-B1753)/B1753</f>
        <v/>
      </c>
      <c r="D1754" s="34">
        <f>((1+Table2634[[#This Row],[Weekly change]])^52)-1</f>
        <v/>
      </c>
      <c r="E1754" s="24">
        <f>AVERAGE(B1751:B1754)</f>
        <v/>
      </c>
      <c r="F1754" s="32">
        <f>(Table2634[[#This Row],[4 weeks average]]-B1702)/B1702</f>
        <v/>
      </c>
    </row>
    <row r="1755">
      <c r="A1755" s="22" t="n">
        <v>39643</v>
      </c>
      <c r="B1755" s="24">
        <f>VLOOKUP(Table2634[[#This Row],[Date]],'DB Money Supply'!$A:$D,4)</f>
        <v/>
      </c>
      <c r="C1755" s="30">
        <f>(Table2634[[#This Row],[M1 Money Stock, Billions of Dollars, Weekly, Seasonally Adjusted]]-B1754)/B1754</f>
        <v/>
      </c>
      <c r="D1755" s="34">
        <f>((1+Table2634[[#This Row],[Weekly change]])^52)-1</f>
        <v/>
      </c>
      <c r="E1755" s="24">
        <f>AVERAGE(B1752:B1755)</f>
        <v/>
      </c>
      <c r="F1755" s="32">
        <f>(Table2634[[#This Row],[4 weeks average]]-B1703)/B1703</f>
        <v/>
      </c>
    </row>
    <row r="1756">
      <c r="A1756" s="22" t="n">
        <v>39650</v>
      </c>
      <c r="B1756" s="24">
        <f>VLOOKUP(Table2634[[#This Row],[Date]],'DB Money Supply'!$A:$D,4)</f>
        <v/>
      </c>
      <c r="C1756" s="30">
        <f>(Table2634[[#This Row],[M1 Money Stock, Billions of Dollars, Weekly, Seasonally Adjusted]]-B1755)/B1755</f>
        <v/>
      </c>
      <c r="D1756" s="34">
        <f>((1+Table2634[[#This Row],[Weekly change]])^52)-1</f>
        <v/>
      </c>
      <c r="E1756" s="24">
        <f>AVERAGE(B1753:B1756)</f>
        <v/>
      </c>
      <c r="F1756" s="32">
        <f>(Table2634[[#This Row],[4 weeks average]]-B1704)/B1704</f>
        <v/>
      </c>
    </row>
    <row r="1757">
      <c r="A1757" s="22" t="n">
        <v>39657</v>
      </c>
      <c r="B1757" s="24">
        <f>VLOOKUP(Table2634[[#This Row],[Date]],'DB Money Supply'!$A:$D,4)</f>
        <v/>
      </c>
      <c r="C1757" s="30">
        <f>(Table2634[[#This Row],[M1 Money Stock, Billions of Dollars, Weekly, Seasonally Adjusted]]-B1756)/B1756</f>
        <v/>
      </c>
      <c r="D1757" s="34">
        <f>((1+Table2634[[#This Row],[Weekly change]])^52)-1</f>
        <v/>
      </c>
      <c r="E1757" s="24">
        <f>AVERAGE(B1754:B1757)</f>
        <v/>
      </c>
      <c r="F1757" s="32">
        <f>(Table2634[[#This Row],[4 weeks average]]-B1705)/B1705</f>
        <v/>
      </c>
    </row>
    <row r="1758">
      <c r="A1758" s="22" t="n">
        <v>39664</v>
      </c>
      <c r="B1758" s="24">
        <f>VLOOKUP(Table2634[[#This Row],[Date]],'DB Money Supply'!$A:$D,4)</f>
        <v/>
      </c>
      <c r="C1758" s="30">
        <f>(Table2634[[#This Row],[M1 Money Stock, Billions of Dollars, Weekly, Seasonally Adjusted]]-B1757)/B1757</f>
        <v/>
      </c>
      <c r="D1758" s="34">
        <f>((1+Table2634[[#This Row],[Weekly change]])^52)-1</f>
        <v/>
      </c>
      <c r="E1758" s="24">
        <f>AVERAGE(B1755:B1758)</f>
        <v/>
      </c>
      <c r="F1758" s="32">
        <f>(Table2634[[#This Row],[4 weeks average]]-B1706)/B1706</f>
        <v/>
      </c>
    </row>
    <row r="1759">
      <c r="A1759" s="22" t="n">
        <v>39671</v>
      </c>
      <c r="B1759" s="24">
        <f>VLOOKUP(Table2634[[#This Row],[Date]],'DB Money Supply'!$A:$D,4)</f>
        <v/>
      </c>
      <c r="C1759" s="30">
        <f>(Table2634[[#This Row],[M1 Money Stock, Billions of Dollars, Weekly, Seasonally Adjusted]]-B1758)/B1758</f>
        <v/>
      </c>
      <c r="D1759" s="34">
        <f>((1+Table2634[[#This Row],[Weekly change]])^52)-1</f>
        <v/>
      </c>
      <c r="E1759" s="24">
        <f>AVERAGE(B1756:B1759)</f>
        <v/>
      </c>
      <c r="F1759" s="32">
        <f>(Table2634[[#This Row],[4 weeks average]]-B1707)/B1707</f>
        <v/>
      </c>
    </row>
    <row r="1760">
      <c r="A1760" s="22" t="n">
        <v>39678</v>
      </c>
      <c r="B1760" s="24">
        <f>VLOOKUP(Table2634[[#This Row],[Date]],'DB Money Supply'!$A:$D,4)</f>
        <v/>
      </c>
      <c r="C1760" s="30">
        <f>(Table2634[[#This Row],[M1 Money Stock, Billions of Dollars, Weekly, Seasonally Adjusted]]-B1759)/B1759</f>
        <v/>
      </c>
      <c r="D1760" s="34">
        <f>((1+Table2634[[#This Row],[Weekly change]])^52)-1</f>
        <v/>
      </c>
      <c r="E1760" s="24">
        <f>AVERAGE(B1757:B1760)</f>
        <v/>
      </c>
      <c r="F1760" s="32">
        <f>(Table2634[[#This Row],[4 weeks average]]-B1708)/B1708</f>
        <v/>
      </c>
    </row>
    <row r="1761">
      <c r="A1761" s="22" t="n">
        <v>39685</v>
      </c>
      <c r="B1761" s="24">
        <f>VLOOKUP(Table2634[[#This Row],[Date]],'DB Money Supply'!$A:$D,4)</f>
        <v/>
      </c>
      <c r="C1761" s="30">
        <f>(Table2634[[#This Row],[M1 Money Stock, Billions of Dollars, Weekly, Seasonally Adjusted]]-B1760)/B1760</f>
        <v/>
      </c>
      <c r="D1761" s="34">
        <f>((1+Table2634[[#This Row],[Weekly change]])^52)-1</f>
        <v/>
      </c>
      <c r="E1761" s="24">
        <f>AVERAGE(B1758:B1761)</f>
        <v/>
      </c>
      <c r="F1761" s="32">
        <f>(Table2634[[#This Row],[4 weeks average]]-B1709)/B1709</f>
        <v/>
      </c>
    </row>
    <row r="1762">
      <c r="A1762" s="22" t="n">
        <v>39692</v>
      </c>
      <c r="B1762" s="24">
        <f>VLOOKUP(Table2634[[#This Row],[Date]],'DB Money Supply'!$A:$D,4)</f>
        <v/>
      </c>
      <c r="C1762" s="30">
        <f>(Table2634[[#This Row],[M1 Money Stock, Billions of Dollars, Weekly, Seasonally Adjusted]]-B1761)/B1761</f>
        <v/>
      </c>
      <c r="D1762" s="34">
        <f>((1+Table2634[[#This Row],[Weekly change]])^52)-1</f>
        <v/>
      </c>
      <c r="E1762" s="24">
        <f>AVERAGE(B1759:B1762)</f>
        <v/>
      </c>
      <c r="F1762" s="32">
        <f>(Table2634[[#This Row],[4 weeks average]]-B1710)/B1710</f>
        <v/>
      </c>
    </row>
    <row r="1763">
      <c r="A1763" s="22" t="n">
        <v>39699</v>
      </c>
      <c r="B1763" s="24">
        <f>VLOOKUP(Table2634[[#This Row],[Date]],'DB Money Supply'!$A:$D,4)</f>
        <v/>
      </c>
      <c r="C1763" s="30">
        <f>(Table2634[[#This Row],[M1 Money Stock, Billions of Dollars, Weekly, Seasonally Adjusted]]-B1762)/B1762</f>
        <v/>
      </c>
      <c r="D1763" s="34">
        <f>((1+Table2634[[#This Row],[Weekly change]])^52)-1</f>
        <v/>
      </c>
      <c r="E1763" s="24">
        <f>AVERAGE(B1760:B1763)</f>
        <v/>
      </c>
      <c r="F1763" s="32">
        <f>(Table2634[[#This Row],[4 weeks average]]-B1711)/B1711</f>
        <v/>
      </c>
    </row>
    <row r="1764">
      <c r="A1764" s="22" t="n">
        <v>39706</v>
      </c>
      <c r="B1764" s="24">
        <f>VLOOKUP(Table2634[[#This Row],[Date]],'DB Money Supply'!$A:$D,4)</f>
        <v/>
      </c>
      <c r="C1764" s="30">
        <f>(Table2634[[#This Row],[M1 Money Stock, Billions of Dollars, Weekly, Seasonally Adjusted]]-B1763)/B1763</f>
        <v/>
      </c>
      <c r="D1764" s="34">
        <f>((1+Table2634[[#This Row],[Weekly change]])^52)-1</f>
        <v/>
      </c>
      <c r="E1764" s="24">
        <f>AVERAGE(B1761:B1764)</f>
        <v/>
      </c>
      <c r="F1764" s="32">
        <f>(Table2634[[#This Row],[4 weeks average]]-B1712)/B1712</f>
        <v/>
      </c>
    </row>
    <row r="1765">
      <c r="A1765" s="22" t="n">
        <v>39713</v>
      </c>
      <c r="B1765" s="24">
        <f>VLOOKUP(Table2634[[#This Row],[Date]],'DB Money Supply'!$A:$D,4)</f>
        <v/>
      </c>
      <c r="C1765" s="30">
        <f>(Table2634[[#This Row],[M1 Money Stock, Billions of Dollars, Weekly, Seasonally Adjusted]]-B1764)/B1764</f>
        <v/>
      </c>
      <c r="D1765" s="34">
        <f>((1+Table2634[[#This Row],[Weekly change]])^52)-1</f>
        <v/>
      </c>
      <c r="E1765" s="24">
        <f>AVERAGE(B1762:B1765)</f>
        <v/>
      </c>
      <c r="F1765" s="32">
        <f>(Table2634[[#This Row],[4 weeks average]]-B1713)/B1713</f>
        <v/>
      </c>
    </row>
    <row r="1766">
      <c r="A1766" s="22" t="n">
        <v>39720</v>
      </c>
      <c r="B1766" s="24">
        <f>VLOOKUP(Table2634[[#This Row],[Date]],'DB Money Supply'!$A:$D,4)</f>
        <v/>
      </c>
      <c r="C1766" s="30">
        <f>(Table2634[[#This Row],[M1 Money Stock, Billions of Dollars, Weekly, Seasonally Adjusted]]-B1765)/B1765</f>
        <v/>
      </c>
      <c r="D1766" s="34">
        <f>((1+Table2634[[#This Row],[Weekly change]])^52)-1</f>
        <v/>
      </c>
      <c r="E1766" s="24">
        <f>AVERAGE(B1763:B1766)</f>
        <v/>
      </c>
      <c r="F1766" s="32">
        <f>(Table2634[[#This Row],[4 weeks average]]-B1714)/B1714</f>
        <v/>
      </c>
    </row>
    <row r="1767">
      <c r="A1767" s="22" t="n">
        <v>39727</v>
      </c>
      <c r="B1767" s="24">
        <f>VLOOKUP(Table2634[[#This Row],[Date]],'DB Money Supply'!$A:$D,4)</f>
        <v/>
      </c>
      <c r="C1767" s="30">
        <f>(Table2634[[#This Row],[M1 Money Stock, Billions of Dollars, Weekly, Seasonally Adjusted]]-B1766)/B1766</f>
        <v/>
      </c>
      <c r="D1767" s="34">
        <f>((1+Table2634[[#This Row],[Weekly change]])^52)-1</f>
        <v/>
      </c>
      <c r="E1767" s="24">
        <f>AVERAGE(B1764:B1767)</f>
        <v/>
      </c>
      <c r="F1767" s="32">
        <f>(Table2634[[#This Row],[4 weeks average]]-B1715)/B1715</f>
        <v/>
      </c>
    </row>
    <row r="1768">
      <c r="A1768" s="22" t="n">
        <v>39734</v>
      </c>
      <c r="B1768" s="24">
        <f>VLOOKUP(Table2634[[#This Row],[Date]],'DB Money Supply'!$A:$D,4)</f>
        <v/>
      </c>
      <c r="C1768" s="30">
        <f>(Table2634[[#This Row],[M1 Money Stock, Billions of Dollars, Weekly, Seasonally Adjusted]]-B1767)/B1767</f>
        <v/>
      </c>
      <c r="D1768" s="34">
        <f>((1+Table2634[[#This Row],[Weekly change]])^52)-1</f>
        <v/>
      </c>
      <c r="E1768" s="24">
        <f>AVERAGE(B1765:B1768)</f>
        <v/>
      </c>
      <c r="F1768" s="32">
        <f>(Table2634[[#This Row],[4 weeks average]]-B1716)/B1716</f>
        <v/>
      </c>
    </row>
    <row r="1769">
      <c r="A1769" s="22" t="n">
        <v>39741</v>
      </c>
      <c r="B1769" s="24">
        <f>VLOOKUP(Table2634[[#This Row],[Date]],'DB Money Supply'!$A:$D,4)</f>
        <v/>
      </c>
      <c r="C1769" s="30">
        <f>(Table2634[[#This Row],[M1 Money Stock, Billions of Dollars, Weekly, Seasonally Adjusted]]-B1768)/B1768</f>
        <v/>
      </c>
      <c r="D1769" s="34">
        <f>((1+Table2634[[#This Row],[Weekly change]])^52)-1</f>
        <v/>
      </c>
      <c r="E1769" s="24">
        <f>AVERAGE(B1766:B1769)</f>
        <v/>
      </c>
      <c r="F1769" s="32">
        <f>(Table2634[[#This Row],[4 weeks average]]-B1717)/B1717</f>
        <v/>
      </c>
    </row>
    <row r="1770">
      <c r="A1770" s="22" t="n">
        <v>39748</v>
      </c>
      <c r="B1770" s="24">
        <f>VLOOKUP(Table2634[[#This Row],[Date]],'DB Money Supply'!$A:$D,4)</f>
        <v/>
      </c>
      <c r="C1770" s="30">
        <f>(Table2634[[#This Row],[M1 Money Stock, Billions of Dollars, Weekly, Seasonally Adjusted]]-B1769)/B1769</f>
        <v/>
      </c>
      <c r="D1770" s="34">
        <f>((1+Table2634[[#This Row],[Weekly change]])^52)-1</f>
        <v/>
      </c>
      <c r="E1770" s="24">
        <f>AVERAGE(B1767:B1770)</f>
        <v/>
      </c>
      <c r="F1770" s="32">
        <f>(Table2634[[#This Row],[4 weeks average]]-B1718)/B1718</f>
        <v/>
      </c>
    </row>
    <row r="1771">
      <c r="A1771" s="22" t="n">
        <v>39755</v>
      </c>
      <c r="B1771" s="24">
        <f>VLOOKUP(Table2634[[#This Row],[Date]],'DB Money Supply'!$A:$D,4)</f>
        <v/>
      </c>
      <c r="C1771" s="30">
        <f>(Table2634[[#This Row],[M1 Money Stock, Billions of Dollars, Weekly, Seasonally Adjusted]]-B1770)/B1770</f>
        <v/>
      </c>
      <c r="D1771" s="34">
        <f>((1+Table2634[[#This Row],[Weekly change]])^52)-1</f>
        <v/>
      </c>
      <c r="E1771" s="24">
        <f>AVERAGE(B1768:B1771)</f>
        <v/>
      </c>
      <c r="F1771" s="32">
        <f>(Table2634[[#This Row],[4 weeks average]]-B1719)/B1719</f>
        <v/>
      </c>
    </row>
    <row r="1772">
      <c r="A1772" s="22" t="n">
        <v>39762</v>
      </c>
      <c r="B1772" s="24">
        <f>VLOOKUP(Table2634[[#This Row],[Date]],'DB Money Supply'!$A:$D,4)</f>
        <v/>
      </c>
      <c r="C1772" s="30">
        <f>(Table2634[[#This Row],[M1 Money Stock, Billions of Dollars, Weekly, Seasonally Adjusted]]-B1771)/B1771</f>
        <v/>
      </c>
      <c r="D1772" s="34">
        <f>((1+Table2634[[#This Row],[Weekly change]])^52)-1</f>
        <v/>
      </c>
      <c r="E1772" s="24">
        <f>AVERAGE(B1769:B1772)</f>
        <v/>
      </c>
      <c r="F1772" s="32">
        <f>(Table2634[[#This Row],[4 weeks average]]-B1720)/B1720</f>
        <v/>
      </c>
    </row>
    <row r="1773">
      <c r="A1773" s="22" t="n">
        <v>39769</v>
      </c>
      <c r="B1773" s="24">
        <f>VLOOKUP(Table2634[[#This Row],[Date]],'DB Money Supply'!$A:$D,4)</f>
        <v/>
      </c>
      <c r="C1773" s="30">
        <f>(Table2634[[#This Row],[M1 Money Stock, Billions of Dollars, Weekly, Seasonally Adjusted]]-B1772)/B1772</f>
        <v/>
      </c>
      <c r="D1773" s="34">
        <f>((1+Table2634[[#This Row],[Weekly change]])^52)-1</f>
        <v/>
      </c>
      <c r="E1773" s="24">
        <f>AVERAGE(B1770:B1773)</f>
        <v/>
      </c>
      <c r="F1773" s="32">
        <f>(Table2634[[#This Row],[4 weeks average]]-B1721)/B1721</f>
        <v/>
      </c>
    </row>
    <row r="1774">
      <c r="A1774" s="22" t="n">
        <v>39776</v>
      </c>
      <c r="B1774" s="24">
        <f>VLOOKUP(Table2634[[#This Row],[Date]],'DB Money Supply'!$A:$D,4)</f>
        <v/>
      </c>
      <c r="C1774" s="30">
        <f>(Table2634[[#This Row],[M1 Money Stock, Billions of Dollars, Weekly, Seasonally Adjusted]]-B1773)/B1773</f>
        <v/>
      </c>
      <c r="D1774" s="34">
        <f>((1+Table2634[[#This Row],[Weekly change]])^52)-1</f>
        <v/>
      </c>
      <c r="E1774" s="24">
        <f>AVERAGE(B1771:B1774)</f>
        <v/>
      </c>
      <c r="F1774" s="32">
        <f>(Table2634[[#This Row],[4 weeks average]]-B1722)/B1722</f>
        <v/>
      </c>
    </row>
    <row r="1775">
      <c r="A1775" s="22" t="n">
        <v>39783</v>
      </c>
      <c r="B1775" s="24">
        <f>VLOOKUP(Table2634[[#This Row],[Date]],'DB Money Supply'!$A:$D,4)</f>
        <v/>
      </c>
      <c r="C1775" s="30">
        <f>(Table2634[[#This Row],[M1 Money Stock, Billions of Dollars, Weekly, Seasonally Adjusted]]-B1774)/B1774</f>
        <v/>
      </c>
      <c r="D1775" s="34">
        <f>((1+Table2634[[#This Row],[Weekly change]])^52)-1</f>
        <v/>
      </c>
      <c r="E1775" s="24">
        <f>AVERAGE(B1772:B1775)</f>
        <v/>
      </c>
      <c r="F1775" s="32">
        <f>(Table2634[[#This Row],[4 weeks average]]-B1723)/B1723</f>
        <v/>
      </c>
    </row>
    <row r="1776">
      <c r="A1776" s="22" t="n">
        <v>39790</v>
      </c>
      <c r="B1776" s="24">
        <f>VLOOKUP(Table2634[[#This Row],[Date]],'DB Money Supply'!$A:$D,4)</f>
        <v/>
      </c>
      <c r="C1776" s="30">
        <f>(Table2634[[#This Row],[M1 Money Stock, Billions of Dollars, Weekly, Seasonally Adjusted]]-B1775)/B1775</f>
        <v/>
      </c>
      <c r="D1776" s="34">
        <f>((1+Table2634[[#This Row],[Weekly change]])^52)-1</f>
        <v/>
      </c>
      <c r="E1776" s="24">
        <f>AVERAGE(B1773:B1776)</f>
        <v/>
      </c>
      <c r="F1776" s="32">
        <f>(Table2634[[#This Row],[4 weeks average]]-B1724)/B1724</f>
        <v/>
      </c>
    </row>
    <row r="1777">
      <c r="A1777" s="22" t="n">
        <v>39797</v>
      </c>
      <c r="B1777" s="24">
        <f>VLOOKUP(Table2634[[#This Row],[Date]],'DB Money Supply'!$A:$D,4)</f>
        <v/>
      </c>
      <c r="C1777" s="30">
        <f>(Table2634[[#This Row],[M1 Money Stock, Billions of Dollars, Weekly, Seasonally Adjusted]]-B1776)/B1776</f>
        <v/>
      </c>
      <c r="D1777" s="34">
        <f>((1+Table2634[[#This Row],[Weekly change]])^52)-1</f>
        <v/>
      </c>
      <c r="E1777" s="24">
        <f>AVERAGE(B1774:B1777)</f>
        <v/>
      </c>
      <c r="F1777" s="32">
        <f>(Table2634[[#This Row],[4 weeks average]]-B1725)/B1725</f>
        <v/>
      </c>
    </row>
    <row r="1778">
      <c r="A1778" s="22" t="n">
        <v>39804</v>
      </c>
      <c r="B1778" s="24">
        <f>VLOOKUP(Table2634[[#This Row],[Date]],'DB Money Supply'!$A:$D,4)</f>
        <v/>
      </c>
      <c r="C1778" s="30">
        <f>(Table2634[[#This Row],[M1 Money Stock, Billions of Dollars, Weekly, Seasonally Adjusted]]-B1777)/B1777</f>
        <v/>
      </c>
      <c r="D1778" s="34">
        <f>((1+Table2634[[#This Row],[Weekly change]])^52)-1</f>
        <v/>
      </c>
      <c r="E1778" s="24">
        <f>AVERAGE(B1775:B1778)</f>
        <v/>
      </c>
      <c r="F1778" s="32">
        <f>(Table2634[[#This Row],[4 weeks average]]-B1726)/B1726</f>
        <v/>
      </c>
    </row>
    <row r="1779">
      <c r="A1779" s="22" t="n">
        <v>39811</v>
      </c>
      <c r="B1779" s="24">
        <f>VLOOKUP(Table2634[[#This Row],[Date]],'DB Money Supply'!$A:$D,4)</f>
        <v/>
      </c>
      <c r="C1779" s="30">
        <f>(Table2634[[#This Row],[M1 Money Stock, Billions of Dollars, Weekly, Seasonally Adjusted]]-B1778)/B1778</f>
        <v/>
      </c>
      <c r="D1779" s="34">
        <f>((1+Table2634[[#This Row],[Weekly change]])^52)-1</f>
        <v/>
      </c>
      <c r="E1779" s="24">
        <f>AVERAGE(B1776:B1779)</f>
        <v/>
      </c>
      <c r="F1779" s="32">
        <f>(Table2634[[#This Row],[4 weeks average]]-B1727)/B1727</f>
        <v/>
      </c>
    </row>
    <row r="1780">
      <c r="A1780" s="22" t="n">
        <v>39818</v>
      </c>
      <c r="B1780" s="24">
        <f>VLOOKUP(Table2634[[#This Row],[Date]],'DB Money Supply'!$A:$D,4)</f>
        <v/>
      </c>
      <c r="C1780" s="30">
        <f>(Table2634[[#This Row],[M1 Money Stock, Billions of Dollars, Weekly, Seasonally Adjusted]]-B1779)/B1779</f>
        <v/>
      </c>
      <c r="D1780" s="34">
        <f>((1+Table2634[[#This Row],[Weekly change]])^52)-1</f>
        <v/>
      </c>
      <c r="E1780" s="24">
        <f>AVERAGE(B1777:B1780)</f>
        <v/>
      </c>
      <c r="F1780" s="32">
        <f>(Table2634[[#This Row],[4 weeks average]]-B1728)/B1728</f>
        <v/>
      </c>
    </row>
    <row r="1781">
      <c r="A1781" s="22" t="n">
        <v>39825</v>
      </c>
      <c r="B1781" s="24">
        <f>VLOOKUP(Table2634[[#This Row],[Date]],'DB Money Supply'!$A:$D,4)</f>
        <v/>
      </c>
      <c r="C1781" s="30">
        <f>(Table2634[[#This Row],[M1 Money Stock, Billions of Dollars, Weekly, Seasonally Adjusted]]-B1780)/B1780</f>
        <v/>
      </c>
      <c r="D1781" s="34">
        <f>((1+Table2634[[#This Row],[Weekly change]])^52)-1</f>
        <v/>
      </c>
      <c r="E1781" s="24">
        <f>AVERAGE(B1778:B1781)</f>
        <v/>
      </c>
      <c r="F1781" s="32">
        <f>(Table2634[[#This Row],[4 weeks average]]-B1729)/B1729</f>
        <v/>
      </c>
    </row>
    <row r="1782">
      <c r="A1782" s="22" t="n">
        <v>39832</v>
      </c>
      <c r="B1782" s="24">
        <f>VLOOKUP(Table2634[[#This Row],[Date]],'DB Money Supply'!$A:$D,4)</f>
        <v/>
      </c>
      <c r="C1782" s="30">
        <f>(Table2634[[#This Row],[M1 Money Stock, Billions of Dollars, Weekly, Seasonally Adjusted]]-B1781)/B1781</f>
        <v/>
      </c>
      <c r="D1782" s="34">
        <f>((1+Table2634[[#This Row],[Weekly change]])^52)-1</f>
        <v/>
      </c>
      <c r="E1782" s="24">
        <f>AVERAGE(B1779:B1782)</f>
        <v/>
      </c>
      <c r="F1782" s="32">
        <f>(Table2634[[#This Row],[4 weeks average]]-B1730)/B1730</f>
        <v/>
      </c>
    </row>
    <row r="1783">
      <c r="A1783" s="22" t="n">
        <v>39839</v>
      </c>
      <c r="B1783" s="24">
        <f>VLOOKUP(Table2634[[#This Row],[Date]],'DB Money Supply'!$A:$D,4)</f>
        <v/>
      </c>
      <c r="C1783" s="30">
        <f>(Table2634[[#This Row],[M1 Money Stock, Billions of Dollars, Weekly, Seasonally Adjusted]]-B1782)/B1782</f>
        <v/>
      </c>
      <c r="D1783" s="34">
        <f>((1+Table2634[[#This Row],[Weekly change]])^52)-1</f>
        <v/>
      </c>
      <c r="E1783" s="24">
        <f>AVERAGE(B1780:B1783)</f>
        <v/>
      </c>
      <c r="F1783" s="32">
        <f>(Table2634[[#This Row],[4 weeks average]]-B1731)/B1731</f>
        <v/>
      </c>
    </row>
    <row r="1784">
      <c r="A1784" s="22" t="n">
        <v>39846</v>
      </c>
      <c r="B1784" s="24">
        <f>VLOOKUP(Table2634[[#This Row],[Date]],'DB Money Supply'!$A:$D,4)</f>
        <v/>
      </c>
      <c r="C1784" s="30">
        <f>(Table2634[[#This Row],[M1 Money Stock, Billions of Dollars, Weekly, Seasonally Adjusted]]-B1783)/B1783</f>
        <v/>
      </c>
      <c r="D1784" s="34">
        <f>((1+Table2634[[#This Row],[Weekly change]])^52)-1</f>
        <v/>
      </c>
      <c r="E1784" s="24">
        <f>AVERAGE(B1781:B1784)</f>
        <v/>
      </c>
      <c r="F1784" s="32">
        <f>(Table2634[[#This Row],[4 weeks average]]-B1732)/B1732</f>
        <v/>
      </c>
    </row>
    <row r="1785">
      <c r="A1785" s="22" t="n">
        <v>39853</v>
      </c>
      <c r="B1785" s="24">
        <f>VLOOKUP(Table2634[[#This Row],[Date]],'DB Money Supply'!$A:$D,4)</f>
        <v/>
      </c>
      <c r="C1785" s="30">
        <f>(Table2634[[#This Row],[M1 Money Stock, Billions of Dollars, Weekly, Seasonally Adjusted]]-B1784)/B1784</f>
        <v/>
      </c>
      <c r="D1785" s="34">
        <f>((1+Table2634[[#This Row],[Weekly change]])^52)-1</f>
        <v/>
      </c>
      <c r="E1785" s="24">
        <f>AVERAGE(B1782:B1785)</f>
        <v/>
      </c>
      <c r="F1785" s="32">
        <f>(Table2634[[#This Row],[4 weeks average]]-B1733)/B1733</f>
        <v/>
      </c>
    </row>
    <row r="1786">
      <c r="A1786" s="22" t="n">
        <v>39860</v>
      </c>
      <c r="B1786" s="24">
        <f>VLOOKUP(Table2634[[#This Row],[Date]],'DB Money Supply'!$A:$D,4)</f>
        <v/>
      </c>
      <c r="C1786" s="30">
        <f>(Table2634[[#This Row],[M1 Money Stock, Billions of Dollars, Weekly, Seasonally Adjusted]]-B1785)/B1785</f>
        <v/>
      </c>
      <c r="D1786" s="34">
        <f>((1+Table2634[[#This Row],[Weekly change]])^52)-1</f>
        <v/>
      </c>
      <c r="E1786" s="24">
        <f>AVERAGE(B1783:B1786)</f>
        <v/>
      </c>
      <c r="F1786" s="32">
        <f>(Table2634[[#This Row],[4 weeks average]]-B1734)/B1734</f>
        <v/>
      </c>
    </row>
    <row r="1787">
      <c r="A1787" s="22" t="n">
        <v>39867</v>
      </c>
      <c r="B1787" s="24">
        <f>VLOOKUP(Table2634[[#This Row],[Date]],'DB Money Supply'!$A:$D,4)</f>
        <v/>
      </c>
      <c r="C1787" s="30">
        <f>(Table2634[[#This Row],[M1 Money Stock, Billions of Dollars, Weekly, Seasonally Adjusted]]-B1786)/B1786</f>
        <v/>
      </c>
      <c r="D1787" s="34">
        <f>((1+Table2634[[#This Row],[Weekly change]])^52)-1</f>
        <v/>
      </c>
      <c r="E1787" s="24">
        <f>AVERAGE(B1784:B1787)</f>
        <v/>
      </c>
      <c r="F1787" s="32">
        <f>(Table2634[[#This Row],[4 weeks average]]-B1735)/B1735</f>
        <v/>
      </c>
    </row>
    <row r="1788">
      <c r="A1788" s="22" t="n">
        <v>39874</v>
      </c>
      <c r="B1788" s="24">
        <f>VLOOKUP(Table2634[[#This Row],[Date]],'DB Money Supply'!$A:$D,4)</f>
        <v/>
      </c>
      <c r="C1788" s="30">
        <f>(Table2634[[#This Row],[M1 Money Stock, Billions of Dollars, Weekly, Seasonally Adjusted]]-B1787)/B1787</f>
        <v/>
      </c>
      <c r="D1788" s="34">
        <f>((1+Table2634[[#This Row],[Weekly change]])^52)-1</f>
        <v/>
      </c>
      <c r="E1788" s="24">
        <f>AVERAGE(B1785:B1788)</f>
        <v/>
      </c>
      <c r="F1788" s="32">
        <f>(Table2634[[#This Row],[4 weeks average]]-B1736)/B1736</f>
        <v/>
      </c>
    </row>
    <row r="1789">
      <c r="A1789" s="22" t="n">
        <v>39881</v>
      </c>
      <c r="B1789" s="24">
        <f>VLOOKUP(Table2634[[#This Row],[Date]],'DB Money Supply'!$A:$D,4)</f>
        <v/>
      </c>
      <c r="C1789" s="30">
        <f>(Table2634[[#This Row],[M1 Money Stock, Billions of Dollars, Weekly, Seasonally Adjusted]]-B1788)/B1788</f>
        <v/>
      </c>
      <c r="D1789" s="34">
        <f>((1+Table2634[[#This Row],[Weekly change]])^52)-1</f>
        <v/>
      </c>
      <c r="E1789" s="24">
        <f>AVERAGE(B1786:B1789)</f>
        <v/>
      </c>
      <c r="F1789" s="32">
        <f>(Table2634[[#This Row],[4 weeks average]]-B1737)/B1737</f>
        <v/>
      </c>
    </row>
    <row r="1790">
      <c r="A1790" s="22" t="n">
        <v>39888</v>
      </c>
      <c r="B1790" s="24">
        <f>VLOOKUP(Table2634[[#This Row],[Date]],'DB Money Supply'!$A:$D,4)</f>
        <v/>
      </c>
      <c r="C1790" s="30">
        <f>(Table2634[[#This Row],[M1 Money Stock, Billions of Dollars, Weekly, Seasonally Adjusted]]-B1789)/B1789</f>
        <v/>
      </c>
      <c r="D1790" s="34">
        <f>((1+Table2634[[#This Row],[Weekly change]])^52)-1</f>
        <v/>
      </c>
      <c r="E1790" s="24">
        <f>AVERAGE(B1787:B1790)</f>
        <v/>
      </c>
      <c r="F1790" s="32">
        <f>(Table2634[[#This Row],[4 weeks average]]-B1738)/B1738</f>
        <v/>
      </c>
    </row>
    <row r="1791">
      <c r="A1791" s="22" t="n">
        <v>39895</v>
      </c>
      <c r="B1791" s="24">
        <f>VLOOKUP(Table2634[[#This Row],[Date]],'DB Money Supply'!$A:$D,4)</f>
        <v/>
      </c>
      <c r="C1791" s="30">
        <f>(Table2634[[#This Row],[M1 Money Stock, Billions of Dollars, Weekly, Seasonally Adjusted]]-B1790)/B1790</f>
        <v/>
      </c>
      <c r="D1791" s="34">
        <f>((1+Table2634[[#This Row],[Weekly change]])^52)-1</f>
        <v/>
      </c>
      <c r="E1791" s="24">
        <f>AVERAGE(B1788:B1791)</f>
        <v/>
      </c>
      <c r="F1791" s="32">
        <f>(Table2634[[#This Row],[4 weeks average]]-B1739)/B1739</f>
        <v/>
      </c>
    </row>
    <row r="1792">
      <c r="A1792" s="22" t="n">
        <v>39902</v>
      </c>
      <c r="B1792" s="24">
        <f>VLOOKUP(Table2634[[#This Row],[Date]],'DB Money Supply'!$A:$D,4)</f>
        <v/>
      </c>
      <c r="C1792" s="30">
        <f>(Table2634[[#This Row],[M1 Money Stock, Billions of Dollars, Weekly, Seasonally Adjusted]]-B1791)/B1791</f>
        <v/>
      </c>
      <c r="D1792" s="34">
        <f>((1+Table2634[[#This Row],[Weekly change]])^52)-1</f>
        <v/>
      </c>
      <c r="E1792" s="24">
        <f>AVERAGE(B1789:B1792)</f>
        <v/>
      </c>
      <c r="F1792" s="32">
        <f>(Table2634[[#This Row],[4 weeks average]]-B1740)/B1740</f>
        <v/>
      </c>
    </row>
    <row r="1793">
      <c r="A1793" s="22" t="n">
        <v>39909</v>
      </c>
      <c r="B1793" s="24">
        <f>VLOOKUP(Table2634[[#This Row],[Date]],'DB Money Supply'!$A:$D,4)</f>
        <v/>
      </c>
      <c r="C1793" s="30">
        <f>(Table2634[[#This Row],[M1 Money Stock, Billions of Dollars, Weekly, Seasonally Adjusted]]-B1792)/B1792</f>
        <v/>
      </c>
      <c r="D1793" s="34">
        <f>((1+Table2634[[#This Row],[Weekly change]])^52)-1</f>
        <v/>
      </c>
      <c r="E1793" s="24">
        <f>AVERAGE(B1790:B1793)</f>
        <v/>
      </c>
      <c r="F1793" s="32">
        <f>(Table2634[[#This Row],[4 weeks average]]-B1741)/B1741</f>
        <v/>
      </c>
    </row>
    <row r="1794">
      <c r="A1794" s="22" t="n">
        <v>39916</v>
      </c>
      <c r="B1794" s="24">
        <f>VLOOKUP(Table2634[[#This Row],[Date]],'DB Money Supply'!$A:$D,4)</f>
        <v/>
      </c>
      <c r="C1794" s="30">
        <f>(Table2634[[#This Row],[M1 Money Stock, Billions of Dollars, Weekly, Seasonally Adjusted]]-B1793)/B1793</f>
        <v/>
      </c>
      <c r="D1794" s="34">
        <f>((1+Table2634[[#This Row],[Weekly change]])^52)-1</f>
        <v/>
      </c>
      <c r="E1794" s="24">
        <f>AVERAGE(B1791:B1794)</f>
        <v/>
      </c>
      <c r="F1794" s="32">
        <f>(Table2634[[#This Row],[4 weeks average]]-B1742)/B1742</f>
        <v/>
      </c>
    </row>
    <row r="1795">
      <c r="A1795" s="22" t="n">
        <v>39923</v>
      </c>
      <c r="B1795" s="24">
        <f>VLOOKUP(Table2634[[#This Row],[Date]],'DB Money Supply'!$A:$D,4)</f>
        <v/>
      </c>
      <c r="C1795" s="30">
        <f>(Table2634[[#This Row],[M1 Money Stock, Billions of Dollars, Weekly, Seasonally Adjusted]]-B1794)/B1794</f>
        <v/>
      </c>
      <c r="D1795" s="34">
        <f>((1+Table2634[[#This Row],[Weekly change]])^52)-1</f>
        <v/>
      </c>
      <c r="E1795" s="24">
        <f>AVERAGE(B1792:B1795)</f>
        <v/>
      </c>
      <c r="F1795" s="32">
        <f>(Table2634[[#This Row],[4 weeks average]]-B1743)/B1743</f>
        <v/>
      </c>
    </row>
    <row r="1796">
      <c r="A1796" s="22" t="n">
        <v>39930</v>
      </c>
      <c r="B1796" s="24">
        <f>VLOOKUP(Table2634[[#This Row],[Date]],'DB Money Supply'!$A:$D,4)</f>
        <v/>
      </c>
      <c r="C1796" s="30">
        <f>(Table2634[[#This Row],[M1 Money Stock, Billions of Dollars, Weekly, Seasonally Adjusted]]-B1795)/B1795</f>
        <v/>
      </c>
      <c r="D1796" s="34">
        <f>((1+Table2634[[#This Row],[Weekly change]])^52)-1</f>
        <v/>
      </c>
      <c r="E1796" s="24">
        <f>AVERAGE(B1793:B1796)</f>
        <v/>
      </c>
      <c r="F1796" s="32">
        <f>(Table2634[[#This Row],[4 weeks average]]-B1744)/B1744</f>
        <v/>
      </c>
    </row>
    <row r="1797">
      <c r="A1797" s="22" t="n">
        <v>39937</v>
      </c>
      <c r="B1797" s="24">
        <f>VLOOKUP(Table2634[[#This Row],[Date]],'DB Money Supply'!$A:$D,4)</f>
        <v/>
      </c>
      <c r="C1797" s="30">
        <f>(Table2634[[#This Row],[M1 Money Stock, Billions of Dollars, Weekly, Seasonally Adjusted]]-B1796)/B1796</f>
        <v/>
      </c>
      <c r="D1797" s="34">
        <f>((1+Table2634[[#This Row],[Weekly change]])^52)-1</f>
        <v/>
      </c>
      <c r="E1797" s="24">
        <f>AVERAGE(B1794:B1797)</f>
        <v/>
      </c>
      <c r="F1797" s="32">
        <f>(Table2634[[#This Row],[4 weeks average]]-B1745)/B1745</f>
        <v/>
      </c>
    </row>
    <row r="1798">
      <c r="A1798" s="22" t="n">
        <v>39944</v>
      </c>
      <c r="B1798" s="24">
        <f>VLOOKUP(Table2634[[#This Row],[Date]],'DB Money Supply'!$A:$D,4)</f>
        <v/>
      </c>
      <c r="C1798" s="30">
        <f>(Table2634[[#This Row],[M1 Money Stock, Billions of Dollars, Weekly, Seasonally Adjusted]]-B1797)/B1797</f>
        <v/>
      </c>
      <c r="D1798" s="34">
        <f>((1+Table2634[[#This Row],[Weekly change]])^52)-1</f>
        <v/>
      </c>
      <c r="E1798" s="24">
        <f>AVERAGE(B1795:B1798)</f>
        <v/>
      </c>
      <c r="F1798" s="32">
        <f>(Table2634[[#This Row],[4 weeks average]]-B1746)/B1746</f>
        <v/>
      </c>
    </row>
    <row r="1799">
      <c r="A1799" s="22" t="n">
        <v>39951</v>
      </c>
      <c r="B1799" s="24">
        <f>VLOOKUP(Table2634[[#This Row],[Date]],'DB Money Supply'!$A:$D,4)</f>
        <v/>
      </c>
      <c r="C1799" s="30">
        <f>(Table2634[[#This Row],[M1 Money Stock, Billions of Dollars, Weekly, Seasonally Adjusted]]-B1798)/B1798</f>
        <v/>
      </c>
      <c r="D1799" s="34">
        <f>((1+Table2634[[#This Row],[Weekly change]])^52)-1</f>
        <v/>
      </c>
      <c r="E1799" s="24">
        <f>AVERAGE(B1796:B1799)</f>
        <v/>
      </c>
      <c r="F1799" s="32">
        <f>(Table2634[[#This Row],[4 weeks average]]-B1747)/B1747</f>
        <v/>
      </c>
    </row>
    <row r="1800">
      <c r="A1800" s="22" t="n">
        <v>39958</v>
      </c>
      <c r="B1800" s="24">
        <f>VLOOKUP(Table2634[[#This Row],[Date]],'DB Money Supply'!$A:$D,4)</f>
        <v/>
      </c>
      <c r="C1800" s="30">
        <f>(Table2634[[#This Row],[M1 Money Stock, Billions of Dollars, Weekly, Seasonally Adjusted]]-B1799)/B1799</f>
        <v/>
      </c>
      <c r="D1800" s="34">
        <f>((1+Table2634[[#This Row],[Weekly change]])^52)-1</f>
        <v/>
      </c>
      <c r="E1800" s="24">
        <f>AVERAGE(B1797:B1800)</f>
        <v/>
      </c>
      <c r="F1800" s="32">
        <f>(Table2634[[#This Row],[4 weeks average]]-B1748)/B1748</f>
        <v/>
      </c>
    </row>
    <row r="1801">
      <c r="A1801" s="22" t="n">
        <v>39965</v>
      </c>
      <c r="B1801" s="24">
        <f>VLOOKUP(Table2634[[#This Row],[Date]],'DB Money Supply'!$A:$D,4)</f>
        <v/>
      </c>
      <c r="C1801" s="30">
        <f>(Table2634[[#This Row],[M1 Money Stock, Billions of Dollars, Weekly, Seasonally Adjusted]]-B1800)/B1800</f>
        <v/>
      </c>
      <c r="D1801" s="34">
        <f>((1+Table2634[[#This Row],[Weekly change]])^52)-1</f>
        <v/>
      </c>
      <c r="E1801" s="24">
        <f>AVERAGE(B1798:B1801)</f>
        <v/>
      </c>
      <c r="F1801" s="32">
        <f>(Table2634[[#This Row],[4 weeks average]]-B1749)/B1749</f>
        <v/>
      </c>
    </row>
    <row r="1802">
      <c r="A1802" s="22" t="n">
        <v>39972</v>
      </c>
      <c r="B1802" s="24">
        <f>VLOOKUP(Table2634[[#This Row],[Date]],'DB Money Supply'!$A:$D,4)</f>
        <v/>
      </c>
      <c r="C1802" s="30">
        <f>(Table2634[[#This Row],[M1 Money Stock, Billions of Dollars, Weekly, Seasonally Adjusted]]-B1801)/B1801</f>
        <v/>
      </c>
      <c r="D1802" s="34">
        <f>((1+Table2634[[#This Row],[Weekly change]])^52)-1</f>
        <v/>
      </c>
      <c r="E1802" s="24">
        <f>AVERAGE(B1799:B1802)</f>
        <v/>
      </c>
      <c r="F1802" s="32">
        <f>(Table2634[[#This Row],[4 weeks average]]-B1750)/B1750</f>
        <v/>
      </c>
    </row>
    <row r="1803">
      <c r="A1803" s="22" t="n">
        <v>39979</v>
      </c>
      <c r="B1803" s="24">
        <f>VLOOKUP(Table2634[[#This Row],[Date]],'DB Money Supply'!$A:$D,4)</f>
        <v/>
      </c>
      <c r="C1803" s="30">
        <f>(Table2634[[#This Row],[M1 Money Stock, Billions of Dollars, Weekly, Seasonally Adjusted]]-B1802)/B1802</f>
        <v/>
      </c>
      <c r="D1803" s="34">
        <f>((1+Table2634[[#This Row],[Weekly change]])^52)-1</f>
        <v/>
      </c>
      <c r="E1803" s="24">
        <f>AVERAGE(B1800:B1803)</f>
        <v/>
      </c>
      <c r="F1803" s="32">
        <f>(Table2634[[#This Row],[4 weeks average]]-B1751)/B1751</f>
        <v/>
      </c>
    </row>
    <row r="1804">
      <c r="A1804" s="22" t="n">
        <v>39986</v>
      </c>
      <c r="B1804" s="24">
        <f>VLOOKUP(Table2634[[#This Row],[Date]],'DB Money Supply'!$A:$D,4)</f>
        <v/>
      </c>
      <c r="C1804" s="30">
        <f>(Table2634[[#This Row],[M1 Money Stock, Billions of Dollars, Weekly, Seasonally Adjusted]]-B1803)/B1803</f>
        <v/>
      </c>
      <c r="D1804" s="34">
        <f>((1+Table2634[[#This Row],[Weekly change]])^52)-1</f>
        <v/>
      </c>
      <c r="E1804" s="24">
        <f>AVERAGE(B1801:B1804)</f>
        <v/>
      </c>
      <c r="F1804" s="32">
        <f>(Table2634[[#This Row],[4 weeks average]]-B1752)/B1752</f>
        <v/>
      </c>
    </row>
    <row r="1805">
      <c r="A1805" s="22" t="n">
        <v>39993</v>
      </c>
      <c r="B1805" s="24">
        <f>VLOOKUP(Table2634[[#This Row],[Date]],'DB Money Supply'!$A:$D,4)</f>
        <v/>
      </c>
      <c r="C1805" s="30">
        <f>(Table2634[[#This Row],[M1 Money Stock, Billions of Dollars, Weekly, Seasonally Adjusted]]-B1804)/B1804</f>
        <v/>
      </c>
      <c r="D1805" s="34">
        <f>((1+Table2634[[#This Row],[Weekly change]])^52)-1</f>
        <v/>
      </c>
      <c r="E1805" s="24">
        <f>AVERAGE(B1802:B1805)</f>
        <v/>
      </c>
      <c r="F1805" s="32">
        <f>(Table2634[[#This Row],[4 weeks average]]-B1753)/B1753</f>
        <v/>
      </c>
    </row>
    <row r="1806">
      <c r="A1806" s="22" t="n">
        <v>40000</v>
      </c>
      <c r="B1806" s="24">
        <f>VLOOKUP(Table2634[[#This Row],[Date]],'DB Money Supply'!$A:$D,4)</f>
        <v/>
      </c>
      <c r="C1806" s="30">
        <f>(Table2634[[#This Row],[M1 Money Stock, Billions of Dollars, Weekly, Seasonally Adjusted]]-B1805)/B1805</f>
        <v/>
      </c>
      <c r="D1806" s="34">
        <f>((1+Table2634[[#This Row],[Weekly change]])^52)-1</f>
        <v/>
      </c>
      <c r="E1806" s="24">
        <f>AVERAGE(B1803:B1806)</f>
        <v/>
      </c>
      <c r="F1806" s="32">
        <f>(Table2634[[#This Row],[4 weeks average]]-B1754)/B1754</f>
        <v/>
      </c>
    </row>
    <row r="1807">
      <c r="A1807" s="22" t="n">
        <v>40007</v>
      </c>
      <c r="B1807" s="24">
        <f>VLOOKUP(Table2634[[#This Row],[Date]],'DB Money Supply'!$A:$D,4)</f>
        <v/>
      </c>
      <c r="C1807" s="30">
        <f>(Table2634[[#This Row],[M1 Money Stock, Billions of Dollars, Weekly, Seasonally Adjusted]]-B1806)/B1806</f>
        <v/>
      </c>
      <c r="D1807" s="34">
        <f>((1+Table2634[[#This Row],[Weekly change]])^52)-1</f>
        <v/>
      </c>
      <c r="E1807" s="24">
        <f>AVERAGE(B1804:B1807)</f>
        <v/>
      </c>
      <c r="F1807" s="32">
        <f>(Table2634[[#This Row],[4 weeks average]]-B1755)/B1755</f>
        <v/>
      </c>
    </row>
    <row r="1808">
      <c r="A1808" s="22" t="n">
        <v>40014</v>
      </c>
      <c r="B1808" s="24">
        <f>VLOOKUP(Table2634[[#This Row],[Date]],'DB Money Supply'!$A:$D,4)</f>
        <v/>
      </c>
      <c r="C1808" s="30">
        <f>(Table2634[[#This Row],[M1 Money Stock, Billions of Dollars, Weekly, Seasonally Adjusted]]-B1807)/B1807</f>
        <v/>
      </c>
      <c r="D1808" s="34">
        <f>((1+Table2634[[#This Row],[Weekly change]])^52)-1</f>
        <v/>
      </c>
      <c r="E1808" s="24">
        <f>AVERAGE(B1805:B1808)</f>
        <v/>
      </c>
      <c r="F1808" s="32">
        <f>(Table2634[[#This Row],[4 weeks average]]-B1756)/B1756</f>
        <v/>
      </c>
    </row>
    <row r="1809">
      <c r="A1809" s="22" t="n">
        <v>40021</v>
      </c>
      <c r="B1809" s="24">
        <f>VLOOKUP(Table2634[[#This Row],[Date]],'DB Money Supply'!$A:$D,4)</f>
        <v/>
      </c>
      <c r="C1809" s="30">
        <f>(Table2634[[#This Row],[M1 Money Stock, Billions of Dollars, Weekly, Seasonally Adjusted]]-B1808)/B1808</f>
        <v/>
      </c>
      <c r="D1809" s="34">
        <f>((1+Table2634[[#This Row],[Weekly change]])^52)-1</f>
        <v/>
      </c>
      <c r="E1809" s="24">
        <f>AVERAGE(B1806:B1809)</f>
        <v/>
      </c>
      <c r="F1809" s="32">
        <f>(Table2634[[#This Row],[4 weeks average]]-B1757)/B1757</f>
        <v/>
      </c>
    </row>
    <row r="1810">
      <c r="A1810" s="22" t="n">
        <v>40028</v>
      </c>
      <c r="B1810" s="24">
        <f>VLOOKUP(Table2634[[#This Row],[Date]],'DB Money Supply'!$A:$D,4)</f>
        <v/>
      </c>
      <c r="C1810" s="30">
        <f>(Table2634[[#This Row],[M1 Money Stock, Billions of Dollars, Weekly, Seasonally Adjusted]]-B1809)/B1809</f>
        <v/>
      </c>
      <c r="D1810" s="34">
        <f>((1+Table2634[[#This Row],[Weekly change]])^52)-1</f>
        <v/>
      </c>
      <c r="E1810" s="24">
        <f>AVERAGE(B1807:B1810)</f>
        <v/>
      </c>
      <c r="F1810" s="32">
        <f>(Table2634[[#This Row],[4 weeks average]]-B1758)/B1758</f>
        <v/>
      </c>
    </row>
    <row r="1811">
      <c r="A1811" s="22" t="n">
        <v>40035</v>
      </c>
      <c r="B1811" s="24">
        <f>VLOOKUP(Table2634[[#This Row],[Date]],'DB Money Supply'!$A:$D,4)</f>
        <v/>
      </c>
      <c r="C1811" s="30">
        <f>(Table2634[[#This Row],[M1 Money Stock, Billions of Dollars, Weekly, Seasonally Adjusted]]-B1810)/B1810</f>
        <v/>
      </c>
      <c r="D1811" s="34">
        <f>((1+Table2634[[#This Row],[Weekly change]])^52)-1</f>
        <v/>
      </c>
      <c r="E1811" s="24">
        <f>AVERAGE(B1808:B1811)</f>
        <v/>
      </c>
      <c r="F1811" s="32">
        <f>(Table2634[[#This Row],[4 weeks average]]-B1759)/B1759</f>
        <v/>
      </c>
    </row>
    <row r="1812">
      <c r="A1812" s="22" t="n">
        <v>40042</v>
      </c>
      <c r="B1812" s="24">
        <f>VLOOKUP(Table2634[[#This Row],[Date]],'DB Money Supply'!$A:$D,4)</f>
        <v/>
      </c>
      <c r="C1812" s="30">
        <f>(Table2634[[#This Row],[M1 Money Stock, Billions of Dollars, Weekly, Seasonally Adjusted]]-B1811)/B1811</f>
        <v/>
      </c>
      <c r="D1812" s="34">
        <f>((1+Table2634[[#This Row],[Weekly change]])^52)-1</f>
        <v/>
      </c>
      <c r="E1812" s="24">
        <f>AVERAGE(B1809:B1812)</f>
        <v/>
      </c>
      <c r="F1812" s="32">
        <f>(Table2634[[#This Row],[4 weeks average]]-B1760)/B1760</f>
        <v/>
      </c>
    </row>
    <row r="1813">
      <c r="A1813" s="22" t="n">
        <v>40049</v>
      </c>
      <c r="B1813" s="24">
        <f>VLOOKUP(Table2634[[#This Row],[Date]],'DB Money Supply'!$A:$D,4)</f>
        <v/>
      </c>
      <c r="C1813" s="30">
        <f>(Table2634[[#This Row],[M1 Money Stock, Billions of Dollars, Weekly, Seasonally Adjusted]]-B1812)/B1812</f>
        <v/>
      </c>
      <c r="D1813" s="34">
        <f>((1+Table2634[[#This Row],[Weekly change]])^52)-1</f>
        <v/>
      </c>
      <c r="E1813" s="24">
        <f>AVERAGE(B1810:B1813)</f>
        <v/>
      </c>
      <c r="F1813" s="32">
        <f>(Table2634[[#This Row],[4 weeks average]]-B1761)/B1761</f>
        <v/>
      </c>
    </row>
    <row r="1814">
      <c r="A1814" s="22" t="n">
        <v>40056</v>
      </c>
      <c r="B1814" s="24">
        <f>VLOOKUP(Table2634[[#This Row],[Date]],'DB Money Supply'!$A:$D,4)</f>
        <v/>
      </c>
      <c r="C1814" s="30">
        <f>(Table2634[[#This Row],[M1 Money Stock, Billions of Dollars, Weekly, Seasonally Adjusted]]-B1813)/B1813</f>
        <v/>
      </c>
      <c r="D1814" s="34">
        <f>((1+Table2634[[#This Row],[Weekly change]])^52)-1</f>
        <v/>
      </c>
      <c r="E1814" s="24">
        <f>AVERAGE(B1811:B1814)</f>
        <v/>
      </c>
      <c r="F1814" s="32">
        <f>(Table2634[[#This Row],[4 weeks average]]-B1762)/B1762</f>
        <v/>
      </c>
    </row>
    <row r="1815">
      <c r="A1815" s="22" t="n">
        <v>40063</v>
      </c>
      <c r="B1815" s="24">
        <f>VLOOKUP(Table2634[[#This Row],[Date]],'DB Money Supply'!$A:$D,4)</f>
        <v/>
      </c>
      <c r="C1815" s="30">
        <f>(Table2634[[#This Row],[M1 Money Stock, Billions of Dollars, Weekly, Seasonally Adjusted]]-B1814)/B1814</f>
        <v/>
      </c>
      <c r="D1815" s="34">
        <f>((1+Table2634[[#This Row],[Weekly change]])^52)-1</f>
        <v/>
      </c>
      <c r="E1815" s="24">
        <f>AVERAGE(B1812:B1815)</f>
        <v/>
      </c>
      <c r="F1815" s="32">
        <f>(Table2634[[#This Row],[4 weeks average]]-B1763)/B1763</f>
        <v/>
      </c>
    </row>
    <row r="1816">
      <c r="A1816" s="22" t="n">
        <v>40070</v>
      </c>
      <c r="B1816" s="24">
        <f>VLOOKUP(Table2634[[#This Row],[Date]],'DB Money Supply'!$A:$D,4)</f>
        <v/>
      </c>
      <c r="C1816" s="30">
        <f>(Table2634[[#This Row],[M1 Money Stock, Billions of Dollars, Weekly, Seasonally Adjusted]]-B1815)/B1815</f>
        <v/>
      </c>
      <c r="D1816" s="34">
        <f>((1+Table2634[[#This Row],[Weekly change]])^52)-1</f>
        <v/>
      </c>
      <c r="E1816" s="24">
        <f>AVERAGE(B1813:B1816)</f>
        <v/>
      </c>
      <c r="F1816" s="32">
        <f>(Table2634[[#This Row],[4 weeks average]]-B1764)/B1764</f>
        <v/>
      </c>
    </row>
    <row r="1817">
      <c r="A1817" s="22" t="n">
        <v>40077</v>
      </c>
      <c r="B1817" s="24">
        <f>VLOOKUP(Table2634[[#This Row],[Date]],'DB Money Supply'!$A:$D,4)</f>
        <v/>
      </c>
      <c r="C1817" s="30">
        <f>(Table2634[[#This Row],[M1 Money Stock, Billions of Dollars, Weekly, Seasonally Adjusted]]-B1816)/B1816</f>
        <v/>
      </c>
      <c r="D1817" s="34">
        <f>((1+Table2634[[#This Row],[Weekly change]])^52)-1</f>
        <v/>
      </c>
      <c r="E1817" s="24">
        <f>AVERAGE(B1814:B1817)</f>
        <v/>
      </c>
      <c r="F1817" s="32">
        <f>(Table2634[[#This Row],[4 weeks average]]-B1765)/B1765</f>
        <v/>
      </c>
    </row>
    <row r="1818">
      <c r="A1818" s="22" t="n">
        <v>40084</v>
      </c>
      <c r="B1818" s="24">
        <f>VLOOKUP(Table2634[[#This Row],[Date]],'DB Money Supply'!$A:$D,4)</f>
        <v/>
      </c>
      <c r="C1818" s="30">
        <f>(Table2634[[#This Row],[M1 Money Stock, Billions of Dollars, Weekly, Seasonally Adjusted]]-B1817)/B1817</f>
        <v/>
      </c>
      <c r="D1818" s="34">
        <f>((1+Table2634[[#This Row],[Weekly change]])^52)-1</f>
        <v/>
      </c>
      <c r="E1818" s="24">
        <f>AVERAGE(B1815:B1818)</f>
        <v/>
      </c>
      <c r="F1818" s="32">
        <f>(Table2634[[#This Row],[4 weeks average]]-B1766)/B1766</f>
        <v/>
      </c>
    </row>
    <row r="1819">
      <c r="A1819" s="22" t="n">
        <v>40091</v>
      </c>
      <c r="B1819" s="24">
        <f>VLOOKUP(Table2634[[#This Row],[Date]],'DB Money Supply'!$A:$D,4)</f>
        <v/>
      </c>
      <c r="C1819" s="30">
        <f>(Table2634[[#This Row],[M1 Money Stock, Billions of Dollars, Weekly, Seasonally Adjusted]]-B1818)/B1818</f>
        <v/>
      </c>
      <c r="D1819" s="34">
        <f>((1+Table2634[[#This Row],[Weekly change]])^52)-1</f>
        <v/>
      </c>
      <c r="E1819" s="24">
        <f>AVERAGE(B1816:B1819)</f>
        <v/>
      </c>
      <c r="F1819" s="32">
        <f>(Table2634[[#This Row],[4 weeks average]]-B1767)/B1767</f>
        <v/>
      </c>
    </row>
    <row r="1820">
      <c r="A1820" s="22" t="n">
        <v>40098</v>
      </c>
      <c r="B1820" s="24">
        <f>VLOOKUP(Table2634[[#This Row],[Date]],'DB Money Supply'!$A:$D,4)</f>
        <v/>
      </c>
      <c r="C1820" s="30">
        <f>(Table2634[[#This Row],[M1 Money Stock, Billions of Dollars, Weekly, Seasonally Adjusted]]-B1819)/B1819</f>
        <v/>
      </c>
      <c r="D1820" s="34">
        <f>((1+Table2634[[#This Row],[Weekly change]])^52)-1</f>
        <v/>
      </c>
      <c r="E1820" s="24">
        <f>AVERAGE(B1817:B1820)</f>
        <v/>
      </c>
      <c r="F1820" s="32">
        <f>(Table2634[[#This Row],[4 weeks average]]-B1768)/B1768</f>
        <v/>
      </c>
    </row>
    <row r="1821">
      <c r="A1821" s="22" t="n">
        <v>40105</v>
      </c>
      <c r="B1821" s="24">
        <f>VLOOKUP(Table2634[[#This Row],[Date]],'DB Money Supply'!$A:$D,4)</f>
        <v/>
      </c>
      <c r="C1821" s="30">
        <f>(Table2634[[#This Row],[M1 Money Stock, Billions of Dollars, Weekly, Seasonally Adjusted]]-B1820)/B1820</f>
        <v/>
      </c>
      <c r="D1821" s="34">
        <f>((1+Table2634[[#This Row],[Weekly change]])^52)-1</f>
        <v/>
      </c>
      <c r="E1821" s="24">
        <f>AVERAGE(B1818:B1821)</f>
        <v/>
      </c>
      <c r="F1821" s="32">
        <f>(Table2634[[#This Row],[4 weeks average]]-B1769)/B1769</f>
        <v/>
      </c>
    </row>
    <row r="1822">
      <c r="A1822" s="22" t="n">
        <v>40112</v>
      </c>
      <c r="B1822" s="24">
        <f>VLOOKUP(Table2634[[#This Row],[Date]],'DB Money Supply'!$A:$D,4)</f>
        <v/>
      </c>
      <c r="C1822" s="30">
        <f>(Table2634[[#This Row],[M1 Money Stock, Billions of Dollars, Weekly, Seasonally Adjusted]]-B1821)/B1821</f>
        <v/>
      </c>
      <c r="D1822" s="34">
        <f>((1+Table2634[[#This Row],[Weekly change]])^52)-1</f>
        <v/>
      </c>
      <c r="E1822" s="24">
        <f>AVERAGE(B1819:B1822)</f>
        <v/>
      </c>
      <c r="F1822" s="32">
        <f>(Table2634[[#This Row],[4 weeks average]]-B1770)/B1770</f>
        <v/>
      </c>
    </row>
    <row r="1823">
      <c r="A1823" s="22" t="n">
        <v>40119</v>
      </c>
      <c r="B1823" s="24">
        <f>VLOOKUP(Table2634[[#This Row],[Date]],'DB Money Supply'!$A:$D,4)</f>
        <v/>
      </c>
      <c r="C1823" s="30">
        <f>(Table2634[[#This Row],[M1 Money Stock, Billions of Dollars, Weekly, Seasonally Adjusted]]-B1822)/B1822</f>
        <v/>
      </c>
      <c r="D1823" s="34">
        <f>((1+Table2634[[#This Row],[Weekly change]])^52)-1</f>
        <v/>
      </c>
      <c r="E1823" s="24">
        <f>AVERAGE(B1820:B1823)</f>
        <v/>
      </c>
      <c r="F1823" s="32">
        <f>(Table2634[[#This Row],[4 weeks average]]-B1771)/B1771</f>
        <v/>
      </c>
    </row>
    <row r="1824">
      <c r="A1824" s="22" t="n">
        <v>40126</v>
      </c>
      <c r="B1824" s="24">
        <f>VLOOKUP(Table2634[[#This Row],[Date]],'DB Money Supply'!$A:$D,4)</f>
        <v/>
      </c>
      <c r="C1824" s="30">
        <f>(Table2634[[#This Row],[M1 Money Stock, Billions of Dollars, Weekly, Seasonally Adjusted]]-B1823)/B1823</f>
        <v/>
      </c>
      <c r="D1824" s="34">
        <f>((1+Table2634[[#This Row],[Weekly change]])^52)-1</f>
        <v/>
      </c>
      <c r="E1824" s="24">
        <f>AVERAGE(B1821:B1824)</f>
        <v/>
      </c>
      <c r="F1824" s="32">
        <f>(Table2634[[#This Row],[4 weeks average]]-B1772)/B1772</f>
        <v/>
      </c>
    </row>
    <row r="1825">
      <c r="A1825" s="22" t="n">
        <v>40133</v>
      </c>
      <c r="B1825" s="24">
        <f>VLOOKUP(Table2634[[#This Row],[Date]],'DB Money Supply'!$A:$D,4)</f>
        <v/>
      </c>
      <c r="C1825" s="30">
        <f>(Table2634[[#This Row],[M1 Money Stock, Billions of Dollars, Weekly, Seasonally Adjusted]]-B1824)/B1824</f>
        <v/>
      </c>
      <c r="D1825" s="34">
        <f>((1+Table2634[[#This Row],[Weekly change]])^52)-1</f>
        <v/>
      </c>
      <c r="E1825" s="24">
        <f>AVERAGE(B1822:B1825)</f>
        <v/>
      </c>
      <c r="F1825" s="32">
        <f>(Table2634[[#This Row],[4 weeks average]]-B1773)/B1773</f>
        <v/>
      </c>
    </row>
    <row r="1826">
      <c r="A1826" s="22" t="n">
        <v>40140</v>
      </c>
      <c r="B1826" s="24">
        <f>VLOOKUP(Table2634[[#This Row],[Date]],'DB Money Supply'!$A:$D,4)</f>
        <v/>
      </c>
      <c r="C1826" s="30">
        <f>(Table2634[[#This Row],[M1 Money Stock, Billions of Dollars, Weekly, Seasonally Adjusted]]-B1825)/B1825</f>
        <v/>
      </c>
      <c r="D1826" s="34">
        <f>((1+Table2634[[#This Row],[Weekly change]])^52)-1</f>
        <v/>
      </c>
      <c r="E1826" s="24">
        <f>AVERAGE(B1823:B1826)</f>
        <v/>
      </c>
      <c r="F1826" s="32">
        <f>(Table2634[[#This Row],[4 weeks average]]-B1774)/B1774</f>
        <v/>
      </c>
    </row>
    <row r="1827">
      <c r="A1827" s="22" t="n">
        <v>40147</v>
      </c>
      <c r="B1827" s="24">
        <f>VLOOKUP(Table2634[[#This Row],[Date]],'DB Money Supply'!$A:$D,4)</f>
        <v/>
      </c>
      <c r="C1827" s="30">
        <f>(Table2634[[#This Row],[M1 Money Stock, Billions of Dollars, Weekly, Seasonally Adjusted]]-B1826)/B1826</f>
        <v/>
      </c>
      <c r="D1827" s="34">
        <f>((1+Table2634[[#This Row],[Weekly change]])^52)-1</f>
        <v/>
      </c>
      <c r="E1827" s="24">
        <f>AVERAGE(B1824:B1827)</f>
        <v/>
      </c>
      <c r="F1827" s="32">
        <f>(Table2634[[#This Row],[4 weeks average]]-B1775)/B1775</f>
        <v/>
      </c>
    </row>
    <row r="1828">
      <c r="A1828" s="22" t="n">
        <v>40154</v>
      </c>
      <c r="B1828" s="24">
        <f>VLOOKUP(Table2634[[#This Row],[Date]],'DB Money Supply'!$A:$D,4)</f>
        <v/>
      </c>
      <c r="C1828" s="30">
        <f>(Table2634[[#This Row],[M1 Money Stock, Billions of Dollars, Weekly, Seasonally Adjusted]]-B1827)/B1827</f>
        <v/>
      </c>
      <c r="D1828" s="34">
        <f>((1+Table2634[[#This Row],[Weekly change]])^52)-1</f>
        <v/>
      </c>
      <c r="E1828" s="24">
        <f>AVERAGE(B1825:B1828)</f>
        <v/>
      </c>
      <c r="F1828" s="32">
        <f>(Table2634[[#This Row],[4 weeks average]]-B1776)/B1776</f>
        <v/>
      </c>
    </row>
    <row r="1829">
      <c r="A1829" s="22" t="n">
        <v>40161</v>
      </c>
      <c r="B1829" s="24">
        <f>VLOOKUP(Table2634[[#This Row],[Date]],'DB Money Supply'!$A:$D,4)</f>
        <v/>
      </c>
      <c r="C1829" s="30">
        <f>(Table2634[[#This Row],[M1 Money Stock, Billions of Dollars, Weekly, Seasonally Adjusted]]-B1828)/B1828</f>
        <v/>
      </c>
      <c r="D1829" s="34">
        <f>((1+Table2634[[#This Row],[Weekly change]])^52)-1</f>
        <v/>
      </c>
      <c r="E1829" s="24">
        <f>AVERAGE(B1826:B1829)</f>
        <v/>
      </c>
      <c r="F1829" s="32">
        <f>(Table2634[[#This Row],[4 weeks average]]-B1777)/B1777</f>
        <v/>
      </c>
    </row>
    <row r="1830">
      <c r="A1830" s="22" t="n">
        <v>40168</v>
      </c>
      <c r="B1830" s="24">
        <f>VLOOKUP(Table2634[[#This Row],[Date]],'DB Money Supply'!$A:$D,4)</f>
        <v/>
      </c>
      <c r="C1830" s="30">
        <f>(Table2634[[#This Row],[M1 Money Stock, Billions of Dollars, Weekly, Seasonally Adjusted]]-B1829)/B1829</f>
        <v/>
      </c>
      <c r="D1830" s="34">
        <f>((1+Table2634[[#This Row],[Weekly change]])^52)-1</f>
        <v/>
      </c>
      <c r="E1830" s="24">
        <f>AVERAGE(B1827:B1830)</f>
        <v/>
      </c>
      <c r="F1830" s="32">
        <f>(Table2634[[#This Row],[4 weeks average]]-B1778)/B1778</f>
        <v/>
      </c>
    </row>
    <row r="1831">
      <c r="A1831" s="22" t="n">
        <v>40175</v>
      </c>
      <c r="B1831" s="24">
        <f>VLOOKUP(Table2634[[#This Row],[Date]],'DB Money Supply'!$A:$D,4)</f>
        <v/>
      </c>
      <c r="C1831" s="30">
        <f>(Table2634[[#This Row],[M1 Money Stock, Billions of Dollars, Weekly, Seasonally Adjusted]]-B1830)/B1830</f>
        <v/>
      </c>
      <c r="D1831" s="34">
        <f>((1+Table2634[[#This Row],[Weekly change]])^52)-1</f>
        <v/>
      </c>
      <c r="E1831" s="24">
        <f>AVERAGE(B1828:B1831)</f>
        <v/>
      </c>
      <c r="F1831" s="32">
        <f>(Table2634[[#This Row],[4 weeks average]]-B1779)/B1779</f>
        <v/>
      </c>
    </row>
    <row r="1832">
      <c r="A1832" s="22" t="n">
        <v>40182</v>
      </c>
      <c r="B1832" s="24">
        <f>VLOOKUP(Table2634[[#This Row],[Date]],'DB Money Supply'!$A:$D,4)</f>
        <v/>
      </c>
      <c r="C1832" s="30">
        <f>(Table2634[[#This Row],[M1 Money Stock, Billions of Dollars, Weekly, Seasonally Adjusted]]-B1831)/B1831</f>
        <v/>
      </c>
      <c r="D1832" s="34">
        <f>((1+Table2634[[#This Row],[Weekly change]])^52)-1</f>
        <v/>
      </c>
      <c r="E1832" s="24">
        <f>AVERAGE(B1829:B1832)</f>
        <v/>
      </c>
      <c r="F1832" s="32">
        <f>(Table2634[[#This Row],[4 weeks average]]-B1780)/B1780</f>
        <v/>
      </c>
    </row>
    <row r="1833">
      <c r="A1833" s="22" t="n">
        <v>40189</v>
      </c>
      <c r="B1833" s="24">
        <f>VLOOKUP(Table2634[[#This Row],[Date]],'DB Money Supply'!$A:$D,4)</f>
        <v/>
      </c>
      <c r="C1833" s="30">
        <f>(Table2634[[#This Row],[M1 Money Stock, Billions of Dollars, Weekly, Seasonally Adjusted]]-B1832)/B1832</f>
        <v/>
      </c>
      <c r="D1833" s="34">
        <f>((1+Table2634[[#This Row],[Weekly change]])^52)-1</f>
        <v/>
      </c>
      <c r="E1833" s="24">
        <f>AVERAGE(B1830:B1833)</f>
        <v/>
      </c>
      <c r="F1833" s="32">
        <f>(Table2634[[#This Row],[4 weeks average]]-B1781)/B1781</f>
        <v/>
      </c>
    </row>
    <row r="1834">
      <c r="A1834" s="22" t="n">
        <v>40196</v>
      </c>
      <c r="B1834" s="24">
        <f>VLOOKUP(Table2634[[#This Row],[Date]],'DB Money Supply'!$A:$D,4)</f>
        <v/>
      </c>
      <c r="C1834" s="30">
        <f>(Table2634[[#This Row],[M1 Money Stock, Billions of Dollars, Weekly, Seasonally Adjusted]]-B1833)/B1833</f>
        <v/>
      </c>
      <c r="D1834" s="34">
        <f>((1+Table2634[[#This Row],[Weekly change]])^52)-1</f>
        <v/>
      </c>
      <c r="E1834" s="24">
        <f>AVERAGE(B1831:B1834)</f>
        <v/>
      </c>
      <c r="F1834" s="32">
        <f>(Table2634[[#This Row],[4 weeks average]]-B1782)/B1782</f>
        <v/>
      </c>
    </row>
    <row r="1835">
      <c r="A1835" s="22" t="n">
        <v>40203</v>
      </c>
      <c r="B1835" s="24">
        <f>VLOOKUP(Table2634[[#This Row],[Date]],'DB Money Supply'!$A:$D,4)</f>
        <v/>
      </c>
      <c r="C1835" s="30">
        <f>(Table2634[[#This Row],[M1 Money Stock, Billions of Dollars, Weekly, Seasonally Adjusted]]-B1834)/B1834</f>
        <v/>
      </c>
      <c r="D1835" s="34">
        <f>((1+Table2634[[#This Row],[Weekly change]])^52)-1</f>
        <v/>
      </c>
      <c r="E1835" s="24">
        <f>AVERAGE(B1832:B1835)</f>
        <v/>
      </c>
      <c r="F1835" s="32">
        <f>(Table2634[[#This Row],[4 weeks average]]-B1783)/B1783</f>
        <v/>
      </c>
    </row>
    <row r="1836">
      <c r="A1836" s="22" t="n">
        <v>40210</v>
      </c>
      <c r="B1836" s="24">
        <f>VLOOKUP(Table2634[[#This Row],[Date]],'DB Money Supply'!$A:$D,4)</f>
        <v/>
      </c>
      <c r="C1836" s="30">
        <f>(Table2634[[#This Row],[M1 Money Stock, Billions of Dollars, Weekly, Seasonally Adjusted]]-B1835)/B1835</f>
        <v/>
      </c>
      <c r="D1836" s="34">
        <f>((1+Table2634[[#This Row],[Weekly change]])^52)-1</f>
        <v/>
      </c>
      <c r="E1836" s="24">
        <f>AVERAGE(B1833:B1836)</f>
        <v/>
      </c>
      <c r="F1836" s="32">
        <f>(Table2634[[#This Row],[4 weeks average]]-B1784)/B1784</f>
        <v/>
      </c>
    </row>
    <row r="1837">
      <c r="A1837" s="22" t="n">
        <v>40217</v>
      </c>
      <c r="B1837" s="24">
        <f>VLOOKUP(Table2634[[#This Row],[Date]],'DB Money Supply'!$A:$D,4)</f>
        <v/>
      </c>
      <c r="C1837" s="30">
        <f>(Table2634[[#This Row],[M1 Money Stock, Billions of Dollars, Weekly, Seasonally Adjusted]]-B1836)/B1836</f>
        <v/>
      </c>
      <c r="D1837" s="34">
        <f>((1+Table2634[[#This Row],[Weekly change]])^52)-1</f>
        <v/>
      </c>
      <c r="E1837" s="24">
        <f>AVERAGE(B1834:B1837)</f>
        <v/>
      </c>
      <c r="F1837" s="32">
        <f>(Table2634[[#This Row],[4 weeks average]]-B1785)/B1785</f>
        <v/>
      </c>
    </row>
    <row r="1838">
      <c r="A1838" s="22" t="n">
        <v>40224</v>
      </c>
      <c r="B1838" s="24">
        <f>VLOOKUP(Table2634[[#This Row],[Date]],'DB Money Supply'!$A:$D,4)</f>
        <v/>
      </c>
      <c r="C1838" s="30">
        <f>(Table2634[[#This Row],[M1 Money Stock, Billions of Dollars, Weekly, Seasonally Adjusted]]-B1837)/B1837</f>
        <v/>
      </c>
      <c r="D1838" s="34">
        <f>((1+Table2634[[#This Row],[Weekly change]])^52)-1</f>
        <v/>
      </c>
      <c r="E1838" s="24">
        <f>AVERAGE(B1835:B1838)</f>
        <v/>
      </c>
      <c r="F1838" s="32">
        <f>(Table2634[[#This Row],[4 weeks average]]-B1786)/B1786</f>
        <v/>
      </c>
    </row>
    <row r="1839">
      <c r="A1839" s="22" t="n">
        <v>40231</v>
      </c>
      <c r="B1839" s="24">
        <f>VLOOKUP(Table2634[[#This Row],[Date]],'DB Money Supply'!$A:$D,4)</f>
        <v/>
      </c>
      <c r="C1839" s="30">
        <f>(Table2634[[#This Row],[M1 Money Stock, Billions of Dollars, Weekly, Seasonally Adjusted]]-B1838)/B1838</f>
        <v/>
      </c>
      <c r="D1839" s="34">
        <f>((1+Table2634[[#This Row],[Weekly change]])^52)-1</f>
        <v/>
      </c>
      <c r="E1839" s="24">
        <f>AVERAGE(B1836:B1839)</f>
        <v/>
      </c>
      <c r="F1839" s="32">
        <f>(Table2634[[#This Row],[4 weeks average]]-B1787)/B1787</f>
        <v/>
      </c>
    </row>
    <row r="1840">
      <c r="A1840" s="22" t="n">
        <v>40238</v>
      </c>
      <c r="B1840" s="24">
        <f>VLOOKUP(Table2634[[#This Row],[Date]],'DB Money Supply'!$A:$D,4)</f>
        <v/>
      </c>
      <c r="C1840" s="30">
        <f>(Table2634[[#This Row],[M1 Money Stock, Billions of Dollars, Weekly, Seasonally Adjusted]]-B1839)/B1839</f>
        <v/>
      </c>
      <c r="D1840" s="34">
        <f>((1+Table2634[[#This Row],[Weekly change]])^52)-1</f>
        <v/>
      </c>
      <c r="E1840" s="24">
        <f>AVERAGE(B1837:B1840)</f>
        <v/>
      </c>
      <c r="F1840" s="32">
        <f>(Table2634[[#This Row],[4 weeks average]]-B1788)/B1788</f>
        <v/>
      </c>
    </row>
    <row r="1841">
      <c r="A1841" s="22" t="n">
        <v>40245</v>
      </c>
      <c r="B1841" s="24">
        <f>VLOOKUP(Table2634[[#This Row],[Date]],'DB Money Supply'!$A:$D,4)</f>
        <v/>
      </c>
      <c r="C1841" s="30">
        <f>(Table2634[[#This Row],[M1 Money Stock, Billions of Dollars, Weekly, Seasonally Adjusted]]-B1840)/B1840</f>
        <v/>
      </c>
      <c r="D1841" s="34">
        <f>((1+Table2634[[#This Row],[Weekly change]])^52)-1</f>
        <v/>
      </c>
      <c r="E1841" s="24">
        <f>AVERAGE(B1838:B1841)</f>
        <v/>
      </c>
      <c r="F1841" s="32">
        <f>(Table2634[[#This Row],[4 weeks average]]-B1789)/B1789</f>
        <v/>
      </c>
    </row>
    <row r="1842">
      <c r="A1842" s="22" t="n">
        <v>40252</v>
      </c>
      <c r="B1842" s="24">
        <f>VLOOKUP(Table2634[[#This Row],[Date]],'DB Money Supply'!$A:$D,4)</f>
        <v/>
      </c>
      <c r="C1842" s="30">
        <f>(Table2634[[#This Row],[M1 Money Stock, Billions of Dollars, Weekly, Seasonally Adjusted]]-B1841)/B1841</f>
        <v/>
      </c>
      <c r="D1842" s="34">
        <f>((1+Table2634[[#This Row],[Weekly change]])^52)-1</f>
        <v/>
      </c>
      <c r="E1842" s="24">
        <f>AVERAGE(B1839:B1842)</f>
        <v/>
      </c>
      <c r="F1842" s="32">
        <f>(Table2634[[#This Row],[4 weeks average]]-B1790)/B1790</f>
        <v/>
      </c>
    </row>
    <row r="1843">
      <c r="A1843" s="22" t="n">
        <v>40259</v>
      </c>
      <c r="B1843" s="24">
        <f>VLOOKUP(Table2634[[#This Row],[Date]],'DB Money Supply'!$A:$D,4)</f>
        <v/>
      </c>
      <c r="C1843" s="30">
        <f>(Table2634[[#This Row],[M1 Money Stock, Billions of Dollars, Weekly, Seasonally Adjusted]]-B1842)/B1842</f>
        <v/>
      </c>
      <c r="D1843" s="34">
        <f>((1+Table2634[[#This Row],[Weekly change]])^52)-1</f>
        <v/>
      </c>
      <c r="E1843" s="24">
        <f>AVERAGE(B1840:B1843)</f>
        <v/>
      </c>
      <c r="F1843" s="32">
        <f>(Table2634[[#This Row],[4 weeks average]]-B1791)/B1791</f>
        <v/>
      </c>
    </row>
    <row r="1844">
      <c r="A1844" s="22" t="n">
        <v>40266</v>
      </c>
      <c r="B1844" s="24">
        <f>VLOOKUP(Table2634[[#This Row],[Date]],'DB Money Supply'!$A:$D,4)</f>
        <v/>
      </c>
      <c r="C1844" s="30">
        <f>(Table2634[[#This Row],[M1 Money Stock, Billions of Dollars, Weekly, Seasonally Adjusted]]-B1843)/B1843</f>
        <v/>
      </c>
      <c r="D1844" s="34">
        <f>((1+Table2634[[#This Row],[Weekly change]])^52)-1</f>
        <v/>
      </c>
      <c r="E1844" s="24">
        <f>AVERAGE(B1841:B1844)</f>
        <v/>
      </c>
      <c r="F1844" s="32">
        <f>(Table2634[[#This Row],[4 weeks average]]-B1792)/B1792</f>
        <v/>
      </c>
    </row>
    <row r="1845">
      <c r="A1845" s="22" t="n">
        <v>40273</v>
      </c>
      <c r="B1845" s="24">
        <f>VLOOKUP(Table2634[[#This Row],[Date]],'DB Money Supply'!$A:$D,4)</f>
        <v/>
      </c>
      <c r="C1845" s="30">
        <f>(Table2634[[#This Row],[M1 Money Stock, Billions of Dollars, Weekly, Seasonally Adjusted]]-B1844)/B1844</f>
        <v/>
      </c>
      <c r="D1845" s="34">
        <f>((1+Table2634[[#This Row],[Weekly change]])^52)-1</f>
        <v/>
      </c>
      <c r="E1845" s="24">
        <f>AVERAGE(B1842:B1845)</f>
        <v/>
      </c>
      <c r="F1845" s="32">
        <f>(Table2634[[#This Row],[4 weeks average]]-B1793)/B1793</f>
        <v/>
      </c>
    </row>
    <row r="1846">
      <c r="A1846" s="22" t="n">
        <v>40280</v>
      </c>
      <c r="B1846" s="24">
        <f>VLOOKUP(Table2634[[#This Row],[Date]],'DB Money Supply'!$A:$D,4)</f>
        <v/>
      </c>
      <c r="C1846" s="30">
        <f>(Table2634[[#This Row],[M1 Money Stock, Billions of Dollars, Weekly, Seasonally Adjusted]]-B1845)/B1845</f>
        <v/>
      </c>
      <c r="D1846" s="34">
        <f>((1+Table2634[[#This Row],[Weekly change]])^52)-1</f>
        <v/>
      </c>
      <c r="E1846" s="24">
        <f>AVERAGE(B1843:B1846)</f>
        <v/>
      </c>
      <c r="F1846" s="32">
        <f>(Table2634[[#This Row],[4 weeks average]]-B1794)/B1794</f>
        <v/>
      </c>
    </row>
    <row r="1847">
      <c r="A1847" s="22" t="n">
        <v>40287</v>
      </c>
      <c r="B1847" s="24">
        <f>VLOOKUP(Table2634[[#This Row],[Date]],'DB Money Supply'!$A:$D,4)</f>
        <v/>
      </c>
      <c r="C1847" s="30">
        <f>(Table2634[[#This Row],[M1 Money Stock, Billions of Dollars, Weekly, Seasonally Adjusted]]-B1846)/B1846</f>
        <v/>
      </c>
      <c r="D1847" s="34">
        <f>((1+Table2634[[#This Row],[Weekly change]])^52)-1</f>
        <v/>
      </c>
      <c r="E1847" s="24">
        <f>AVERAGE(B1844:B1847)</f>
        <v/>
      </c>
      <c r="F1847" s="32">
        <f>(Table2634[[#This Row],[4 weeks average]]-B1795)/B1795</f>
        <v/>
      </c>
    </row>
    <row r="1848">
      <c r="A1848" s="22" t="n">
        <v>40294</v>
      </c>
      <c r="B1848" s="24">
        <f>VLOOKUP(Table2634[[#This Row],[Date]],'DB Money Supply'!$A:$D,4)</f>
        <v/>
      </c>
      <c r="C1848" s="30">
        <f>(Table2634[[#This Row],[M1 Money Stock, Billions of Dollars, Weekly, Seasonally Adjusted]]-B1847)/B1847</f>
        <v/>
      </c>
      <c r="D1848" s="34">
        <f>((1+Table2634[[#This Row],[Weekly change]])^52)-1</f>
        <v/>
      </c>
      <c r="E1848" s="24">
        <f>AVERAGE(B1845:B1848)</f>
        <v/>
      </c>
      <c r="F1848" s="32">
        <f>(Table2634[[#This Row],[4 weeks average]]-B1796)/B1796</f>
        <v/>
      </c>
    </row>
    <row r="1849">
      <c r="A1849" s="22" t="n">
        <v>40301</v>
      </c>
      <c r="B1849" s="24">
        <f>VLOOKUP(Table2634[[#This Row],[Date]],'DB Money Supply'!$A:$D,4)</f>
        <v/>
      </c>
      <c r="C1849" s="30">
        <f>(Table2634[[#This Row],[M1 Money Stock, Billions of Dollars, Weekly, Seasonally Adjusted]]-B1848)/B1848</f>
        <v/>
      </c>
      <c r="D1849" s="34">
        <f>((1+Table2634[[#This Row],[Weekly change]])^52)-1</f>
        <v/>
      </c>
      <c r="E1849" s="24">
        <f>AVERAGE(B1846:B1849)</f>
        <v/>
      </c>
      <c r="F1849" s="32">
        <f>(Table2634[[#This Row],[4 weeks average]]-B1797)/B1797</f>
        <v/>
      </c>
    </row>
    <row r="1850">
      <c r="A1850" s="22" t="n">
        <v>40308</v>
      </c>
      <c r="B1850" s="24">
        <f>VLOOKUP(Table2634[[#This Row],[Date]],'DB Money Supply'!$A:$D,4)</f>
        <v/>
      </c>
      <c r="C1850" s="30">
        <f>(Table2634[[#This Row],[M1 Money Stock, Billions of Dollars, Weekly, Seasonally Adjusted]]-B1849)/B1849</f>
        <v/>
      </c>
      <c r="D1850" s="34">
        <f>((1+Table2634[[#This Row],[Weekly change]])^52)-1</f>
        <v/>
      </c>
      <c r="E1850" s="24">
        <f>AVERAGE(B1847:B1850)</f>
        <v/>
      </c>
      <c r="F1850" s="32">
        <f>(Table2634[[#This Row],[4 weeks average]]-B1798)/B1798</f>
        <v/>
      </c>
    </row>
    <row r="1851">
      <c r="A1851" s="22" t="n">
        <v>40315</v>
      </c>
      <c r="B1851" s="24">
        <f>VLOOKUP(Table2634[[#This Row],[Date]],'DB Money Supply'!$A:$D,4)</f>
        <v/>
      </c>
      <c r="C1851" s="30">
        <f>(Table2634[[#This Row],[M1 Money Stock, Billions of Dollars, Weekly, Seasonally Adjusted]]-B1850)/B1850</f>
        <v/>
      </c>
      <c r="D1851" s="34">
        <f>((1+Table2634[[#This Row],[Weekly change]])^52)-1</f>
        <v/>
      </c>
      <c r="E1851" s="24">
        <f>AVERAGE(B1848:B1851)</f>
        <v/>
      </c>
      <c r="F1851" s="32">
        <f>(Table2634[[#This Row],[4 weeks average]]-B1799)/B1799</f>
        <v/>
      </c>
    </row>
    <row r="1852">
      <c r="A1852" s="22" t="n">
        <v>40322</v>
      </c>
      <c r="B1852" s="24">
        <f>VLOOKUP(Table2634[[#This Row],[Date]],'DB Money Supply'!$A:$D,4)</f>
        <v/>
      </c>
      <c r="C1852" s="30">
        <f>(Table2634[[#This Row],[M1 Money Stock, Billions of Dollars, Weekly, Seasonally Adjusted]]-B1851)/B1851</f>
        <v/>
      </c>
      <c r="D1852" s="34">
        <f>((1+Table2634[[#This Row],[Weekly change]])^52)-1</f>
        <v/>
      </c>
      <c r="E1852" s="24">
        <f>AVERAGE(B1849:B1852)</f>
        <v/>
      </c>
      <c r="F1852" s="32">
        <f>(Table2634[[#This Row],[4 weeks average]]-B1800)/B1800</f>
        <v/>
      </c>
    </row>
    <row r="1853">
      <c r="A1853" s="22" t="n">
        <v>40329</v>
      </c>
      <c r="B1853" s="24">
        <f>VLOOKUP(Table2634[[#This Row],[Date]],'DB Money Supply'!$A:$D,4)</f>
        <v/>
      </c>
      <c r="C1853" s="30">
        <f>(Table2634[[#This Row],[M1 Money Stock, Billions of Dollars, Weekly, Seasonally Adjusted]]-B1852)/B1852</f>
        <v/>
      </c>
      <c r="D1853" s="34">
        <f>((1+Table2634[[#This Row],[Weekly change]])^52)-1</f>
        <v/>
      </c>
      <c r="E1853" s="24">
        <f>AVERAGE(B1850:B1853)</f>
        <v/>
      </c>
      <c r="F1853" s="32">
        <f>(Table2634[[#This Row],[4 weeks average]]-B1801)/B1801</f>
        <v/>
      </c>
    </row>
    <row r="1854">
      <c r="A1854" s="22" t="n">
        <v>40336</v>
      </c>
      <c r="B1854" s="24">
        <f>VLOOKUP(Table2634[[#This Row],[Date]],'DB Money Supply'!$A:$D,4)</f>
        <v/>
      </c>
      <c r="C1854" s="30">
        <f>(Table2634[[#This Row],[M1 Money Stock, Billions of Dollars, Weekly, Seasonally Adjusted]]-B1853)/B1853</f>
        <v/>
      </c>
      <c r="D1854" s="34">
        <f>((1+Table2634[[#This Row],[Weekly change]])^52)-1</f>
        <v/>
      </c>
      <c r="E1854" s="24">
        <f>AVERAGE(B1851:B1854)</f>
        <v/>
      </c>
      <c r="F1854" s="32">
        <f>(Table2634[[#This Row],[4 weeks average]]-B1802)/B1802</f>
        <v/>
      </c>
    </row>
    <row r="1855">
      <c r="A1855" s="22" t="n">
        <v>40343</v>
      </c>
      <c r="B1855" s="24">
        <f>VLOOKUP(Table2634[[#This Row],[Date]],'DB Money Supply'!$A:$D,4)</f>
        <v/>
      </c>
      <c r="C1855" s="30">
        <f>(Table2634[[#This Row],[M1 Money Stock, Billions of Dollars, Weekly, Seasonally Adjusted]]-B1854)/B1854</f>
        <v/>
      </c>
      <c r="D1855" s="34">
        <f>((1+Table2634[[#This Row],[Weekly change]])^52)-1</f>
        <v/>
      </c>
      <c r="E1855" s="24">
        <f>AVERAGE(B1852:B1855)</f>
        <v/>
      </c>
      <c r="F1855" s="32">
        <f>(Table2634[[#This Row],[4 weeks average]]-B1803)/B1803</f>
        <v/>
      </c>
    </row>
    <row r="1856">
      <c r="A1856" s="22" t="n">
        <v>40350</v>
      </c>
      <c r="B1856" s="24">
        <f>VLOOKUP(Table2634[[#This Row],[Date]],'DB Money Supply'!$A:$D,4)</f>
        <v/>
      </c>
      <c r="C1856" s="30">
        <f>(Table2634[[#This Row],[M1 Money Stock, Billions of Dollars, Weekly, Seasonally Adjusted]]-B1855)/B1855</f>
        <v/>
      </c>
      <c r="D1856" s="34">
        <f>((1+Table2634[[#This Row],[Weekly change]])^52)-1</f>
        <v/>
      </c>
      <c r="E1856" s="24">
        <f>AVERAGE(B1853:B1856)</f>
        <v/>
      </c>
      <c r="F1856" s="32">
        <f>(Table2634[[#This Row],[4 weeks average]]-B1804)/B1804</f>
        <v/>
      </c>
    </row>
    <row r="1857">
      <c r="A1857" s="22" t="n">
        <v>40357</v>
      </c>
      <c r="B1857" s="24">
        <f>VLOOKUP(Table2634[[#This Row],[Date]],'DB Money Supply'!$A:$D,4)</f>
        <v/>
      </c>
      <c r="C1857" s="30">
        <f>(Table2634[[#This Row],[M1 Money Stock, Billions of Dollars, Weekly, Seasonally Adjusted]]-B1856)/B1856</f>
        <v/>
      </c>
      <c r="D1857" s="34">
        <f>((1+Table2634[[#This Row],[Weekly change]])^52)-1</f>
        <v/>
      </c>
      <c r="E1857" s="24">
        <f>AVERAGE(B1854:B1857)</f>
        <v/>
      </c>
      <c r="F1857" s="32">
        <f>(Table2634[[#This Row],[4 weeks average]]-B1805)/B1805</f>
        <v/>
      </c>
    </row>
    <row r="1858">
      <c r="A1858" s="22" t="n">
        <v>40364</v>
      </c>
      <c r="B1858" s="24">
        <f>VLOOKUP(Table2634[[#This Row],[Date]],'DB Money Supply'!$A:$D,4)</f>
        <v/>
      </c>
      <c r="C1858" s="30">
        <f>(Table2634[[#This Row],[M1 Money Stock, Billions of Dollars, Weekly, Seasonally Adjusted]]-B1857)/B1857</f>
        <v/>
      </c>
      <c r="D1858" s="34">
        <f>((1+Table2634[[#This Row],[Weekly change]])^52)-1</f>
        <v/>
      </c>
      <c r="E1858" s="24">
        <f>AVERAGE(B1855:B1858)</f>
        <v/>
      </c>
      <c r="F1858" s="32">
        <f>(Table2634[[#This Row],[4 weeks average]]-B1806)/B1806</f>
        <v/>
      </c>
    </row>
    <row r="1859">
      <c r="A1859" s="22" t="n">
        <v>40371</v>
      </c>
      <c r="B1859" s="24">
        <f>VLOOKUP(Table2634[[#This Row],[Date]],'DB Money Supply'!$A:$D,4)</f>
        <v/>
      </c>
      <c r="C1859" s="30">
        <f>(Table2634[[#This Row],[M1 Money Stock, Billions of Dollars, Weekly, Seasonally Adjusted]]-B1858)/B1858</f>
        <v/>
      </c>
      <c r="D1859" s="34">
        <f>((1+Table2634[[#This Row],[Weekly change]])^52)-1</f>
        <v/>
      </c>
      <c r="E1859" s="24">
        <f>AVERAGE(B1856:B1859)</f>
        <v/>
      </c>
      <c r="F1859" s="32">
        <f>(Table2634[[#This Row],[4 weeks average]]-B1807)/B1807</f>
        <v/>
      </c>
    </row>
    <row r="1860">
      <c r="A1860" s="22" t="n">
        <v>40378</v>
      </c>
      <c r="B1860" s="24">
        <f>VLOOKUP(Table2634[[#This Row],[Date]],'DB Money Supply'!$A:$D,4)</f>
        <v/>
      </c>
      <c r="C1860" s="30">
        <f>(Table2634[[#This Row],[M1 Money Stock, Billions of Dollars, Weekly, Seasonally Adjusted]]-B1859)/B1859</f>
        <v/>
      </c>
      <c r="D1860" s="34">
        <f>((1+Table2634[[#This Row],[Weekly change]])^52)-1</f>
        <v/>
      </c>
      <c r="E1860" s="24">
        <f>AVERAGE(B1857:B1860)</f>
        <v/>
      </c>
      <c r="F1860" s="32">
        <f>(Table2634[[#This Row],[4 weeks average]]-B1808)/B1808</f>
        <v/>
      </c>
    </row>
    <row r="1861">
      <c r="A1861" s="22" t="n">
        <v>40385</v>
      </c>
      <c r="B1861" s="24">
        <f>VLOOKUP(Table2634[[#This Row],[Date]],'DB Money Supply'!$A:$D,4)</f>
        <v/>
      </c>
      <c r="C1861" s="30">
        <f>(Table2634[[#This Row],[M1 Money Stock, Billions of Dollars, Weekly, Seasonally Adjusted]]-B1860)/B1860</f>
        <v/>
      </c>
      <c r="D1861" s="34">
        <f>((1+Table2634[[#This Row],[Weekly change]])^52)-1</f>
        <v/>
      </c>
      <c r="E1861" s="24">
        <f>AVERAGE(B1858:B1861)</f>
        <v/>
      </c>
      <c r="F1861" s="32">
        <f>(Table2634[[#This Row],[4 weeks average]]-B1809)/B1809</f>
        <v/>
      </c>
    </row>
    <row r="1862">
      <c r="A1862" s="22" t="n">
        <v>40392</v>
      </c>
      <c r="B1862" s="24">
        <f>VLOOKUP(Table2634[[#This Row],[Date]],'DB Money Supply'!$A:$D,4)</f>
        <v/>
      </c>
      <c r="C1862" s="30">
        <f>(Table2634[[#This Row],[M1 Money Stock, Billions of Dollars, Weekly, Seasonally Adjusted]]-B1861)/B1861</f>
        <v/>
      </c>
      <c r="D1862" s="34">
        <f>((1+Table2634[[#This Row],[Weekly change]])^52)-1</f>
        <v/>
      </c>
      <c r="E1862" s="24">
        <f>AVERAGE(B1859:B1862)</f>
        <v/>
      </c>
      <c r="F1862" s="32">
        <f>(Table2634[[#This Row],[4 weeks average]]-B1810)/B1810</f>
        <v/>
      </c>
    </row>
    <row r="1863">
      <c r="A1863" s="22" t="n">
        <v>40399</v>
      </c>
      <c r="B1863" s="24">
        <f>VLOOKUP(Table2634[[#This Row],[Date]],'DB Money Supply'!$A:$D,4)</f>
        <v/>
      </c>
      <c r="C1863" s="30">
        <f>(Table2634[[#This Row],[M1 Money Stock, Billions of Dollars, Weekly, Seasonally Adjusted]]-B1862)/B1862</f>
        <v/>
      </c>
      <c r="D1863" s="34">
        <f>((1+Table2634[[#This Row],[Weekly change]])^52)-1</f>
        <v/>
      </c>
      <c r="E1863" s="24">
        <f>AVERAGE(B1860:B1863)</f>
        <v/>
      </c>
      <c r="F1863" s="32">
        <f>(Table2634[[#This Row],[4 weeks average]]-B1811)/B1811</f>
        <v/>
      </c>
    </row>
    <row r="1864">
      <c r="A1864" s="22" t="n">
        <v>40406</v>
      </c>
      <c r="B1864" s="24">
        <f>VLOOKUP(Table2634[[#This Row],[Date]],'DB Money Supply'!$A:$D,4)</f>
        <v/>
      </c>
      <c r="C1864" s="30">
        <f>(Table2634[[#This Row],[M1 Money Stock, Billions of Dollars, Weekly, Seasonally Adjusted]]-B1863)/B1863</f>
        <v/>
      </c>
      <c r="D1864" s="34">
        <f>((1+Table2634[[#This Row],[Weekly change]])^52)-1</f>
        <v/>
      </c>
      <c r="E1864" s="24">
        <f>AVERAGE(B1861:B1864)</f>
        <v/>
      </c>
      <c r="F1864" s="32">
        <f>(Table2634[[#This Row],[4 weeks average]]-B1812)/B1812</f>
        <v/>
      </c>
    </row>
    <row r="1865">
      <c r="A1865" s="22" t="n">
        <v>40413</v>
      </c>
      <c r="B1865" s="24">
        <f>VLOOKUP(Table2634[[#This Row],[Date]],'DB Money Supply'!$A:$D,4)</f>
        <v/>
      </c>
      <c r="C1865" s="30">
        <f>(Table2634[[#This Row],[M1 Money Stock, Billions of Dollars, Weekly, Seasonally Adjusted]]-B1864)/B1864</f>
        <v/>
      </c>
      <c r="D1865" s="34">
        <f>((1+Table2634[[#This Row],[Weekly change]])^52)-1</f>
        <v/>
      </c>
      <c r="E1865" s="24">
        <f>AVERAGE(B1862:B1865)</f>
        <v/>
      </c>
      <c r="F1865" s="32">
        <f>(Table2634[[#This Row],[4 weeks average]]-B1813)/B1813</f>
        <v/>
      </c>
    </row>
    <row r="1866">
      <c r="A1866" s="22" t="n">
        <v>40420</v>
      </c>
      <c r="B1866" s="24">
        <f>VLOOKUP(Table2634[[#This Row],[Date]],'DB Money Supply'!$A:$D,4)</f>
        <v/>
      </c>
      <c r="C1866" s="30">
        <f>(Table2634[[#This Row],[M1 Money Stock, Billions of Dollars, Weekly, Seasonally Adjusted]]-B1865)/B1865</f>
        <v/>
      </c>
      <c r="D1866" s="34">
        <f>((1+Table2634[[#This Row],[Weekly change]])^52)-1</f>
        <v/>
      </c>
      <c r="E1866" s="24">
        <f>AVERAGE(B1863:B1866)</f>
        <v/>
      </c>
      <c r="F1866" s="32">
        <f>(Table2634[[#This Row],[4 weeks average]]-B1814)/B1814</f>
        <v/>
      </c>
    </row>
    <row r="1867">
      <c r="A1867" s="22" t="n">
        <v>40427</v>
      </c>
      <c r="B1867" s="24">
        <f>VLOOKUP(Table2634[[#This Row],[Date]],'DB Money Supply'!$A:$D,4)</f>
        <v/>
      </c>
      <c r="C1867" s="30">
        <f>(Table2634[[#This Row],[M1 Money Stock, Billions of Dollars, Weekly, Seasonally Adjusted]]-B1866)/B1866</f>
        <v/>
      </c>
      <c r="D1867" s="34">
        <f>((1+Table2634[[#This Row],[Weekly change]])^52)-1</f>
        <v/>
      </c>
      <c r="E1867" s="24">
        <f>AVERAGE(B1864:B1867)</f>
        <v/>
      </c>
      <c r="F1867" s="32">
        <f>(Table2634[[#This Row],[4 weeks average]]-B1815)/B1815</f>
        <v/>
      </c>
    </row>
    <row r="1868">
      <c r="A1868" s="22" t="n">
        <v>40434</v>
      </c>
      <c r="B1868" s="24">
        <f>VLOOKUP(Table2634[[#This Row],[Date]],'DB Money Supply'!$A:$D,4)</f>
        <v/>
      </c>
      <c r="C1868" s="30">
        <f>(Table2634[[#This Row],[M1 Money Stock, Billions of Dollars, Weekly, Seasonally Adjusted]]-B1867)/B1867</f>
        <v/>
      </c>
      <c r="D1868" s="34">
        <f>((1+Table2634[[#This Row],[Weekly change]])^52)-1</f>
        <v/>
      </c>
      <c r="E1868" s="24">
        <f>AVERAGE(B1865:B1868)</f>
        <v/>
      </c>
      <c r="F1868" s="32">
        <f>(Table2634[[#This Row],[4 weeks average]]-B1816)/B1816</f>
        <v/>
      </c>
    </row>
    <row r="1869">
      <c r="A1869" s="22" t="n">
        <v>40441</v>
      </c>
      <c r="B1869" s="24">
        <f>VLOOKUP(Table2634[[#This Row],[Date]],'DB Money Supply'!$A:$D,4)</f>
        <v/>
      </c>
      <c r="C1869" s="30">
        <f>(Table2634[[#This Row],[M1 Money Stock, Billions of Dollars, Weekly, Seasonally Adjusted]]-B1868)/B1868</f>
        <v/>
      </c>
      <c r="D1869" s="34">
        <f>((1+Table2634[[#This Row],[Weekly change]])^52)-1</f>
        <v/>
      </c>
      <c r="E1869" s="24">
        <f>AVERAGE(B1866:B1869)</f>
        <v/>
      </c>
      <c r="F1869" s="32">
        <f>(Table2634[[#This Row],[4 weeks average]]-B1817)/B1817</f>
        <v/>
      </c>
    </row>
    <row r="1870">
      <c r="A1870" s="22" t="n">
        <v>40448</v>
      </c>
      <c r="B1870" s="24">
        <f>VLOOKUP(Table2634[[#This Row],[Date]],'DB Money Supply'!$A:$D,4)</f>
        <v/>
      </c>
      <c r="C1870" s="30">
        <f>(Table2634[[#This Row],[M1 Money Stock, Billions of Dollars, Weekly, Seasonally Adjusted]]-B1869)/B1869</f>
        <v/>
      </c>
      <c r="D1870" s="34">
        <f>((1+Table2634[[#This Row],[Weekly change]])^52)-1</f>
        <v/>
      </c>
      <c r="E1870" s="24">
        <f>AVERAGE(B1867:B1870)</f>
        <v/>
      </c>
      <c r="F1870" s="32">
        <f>(Table2634[[#This Row],[4 weeks average]]-B1818)/B1818</f>
        <v/>
      </c>
    </row>
    <row r="1871">
      <c r="A1871" s="22" t="n">
        <v>40455</v>
      </c>
      <c r="B1871" s="24">
        <f>VLOOKUP(Table2634[[#This Row],[Date]],'DB Money Supply'!$A:$D,4)</f>
        <v/>
      </c>
      <c r="C1871" s="30">
        <f>(Table2634[[#This Row],[M1 Money Stock, Billions of Dollars, Weekly, Seasonally Adjusted]]-B1870)/B1870</f>
        <v/>
      </c>
      <c r="D1871" s="34">
        <f>((1+Table2634[[#This Row],[Weekly change]])^52)-1</f>
        <v/>
      </c>
      <c r="E1871" s="24">
        <f>AVERAGE(B1868:B1871)</f>
        <v/>
      </c>
      <c r="F1871" s="32">
        <f>(Table2634[[#This Row],[4 weeks average]]-B1819)/B1819</f>
        <v/>
      </c>
    </row>
    <row r="1872">
      <c r="A1872" s="22" t="n">
        <v>40462</v>
      </c>
      <c r="B1872" s="24">
        <f>VLOOKUP(Table2634[[#This Row],[Date]],'DB Money Supply'!$A:$D,4)</f>
        <v/>
      </c>
      <c r="C1872" s="30">
        <f>(Table2634[[#This Row],[M1 Money Stock, Billions of Dollars, Weekly, Seasonally Adjusted]]-B1871)/B1871</f>
        <v/>
      </c>
      <c r="D1872" s="34">
        <f>((1+Table2634[[#This Row],[Weekly change]])^52)-1</f>
        <v/>
      </c>
      <c r="E1872" s="24">
        <f>AVERAGE(B1869:B1872)</f>
        <v/>
      </c>
      <c r="F1872" s="32">
        <f>(Table2634[[#This Row],[4 weeks average]]-B1820)/B1820</f>
        <v/>
      </c>
    </row>
    <row r="1873">
      <c r="A1873" s="22" t="n">
        <v>40469</v>
      </c>
      <c r="B1873" s="24">
        <f>VLOOKUP(Table2634[[#This Row],[Date]],'DB Money Supply'!$A:$D,4)</f>
        <v/>
      </c>
      <c r="C1873" s="30">
        <f>(Table2634[[#This Row],[M1 Money Stock, Billions of Dollars, Weekly, Seasonally Adjusted]]-B1872)/B1872</f>
        <v/>
      </c>
      <c r="D1873" s="34">
        <f>((1+Table2634[[#This Row],[Weekly change]])^52)-1</f>
        <v/>
      </c>
      <c r="E1873" s="24">
        <f>AVERAGE(B1870:B1873)</f>
        <v/>
      </c>
      <c r="F1873" s="32">
        <f>(Table2634[[#This Row],[4 weeks average]]-B1821)/B1821</f>
        <v/>
      </c>
    </row>
    <row r="1874">
      <c r="A1874" s="22" t="n">
        <v>40476</v>
      </c>
      <c r="B1874" s="24">
        <f>VLOOKUP(Table2634[[#This Row],[Date]],'DB Money Supply'!$A:$D,4)</f>
        <v/>
      </c>
      <c r="C1874" s="30">
        <f>(Table2634[[#This Row],[M1 Money Stock, Billions of Dollars, Weekly, Seasonally Adjusted]]-B1873)/B1873</f>
        <v/>
      </c>
      <c r="D1874" s="34">
        <f>((1+Table2634[[#This Row],[Weekly change]])^52)-1</f>
        <v/>
      </c>
      <c r="E1874" s="24">
        <f>AVERAGE(B1871:B1874)</f>
        <v/>
      </c>
      <c r="F1874" s="32">
        <f>(Table2634[[#This Row],[4 weeks average]]-B1822)/B1822</f>
        <v/>
      </c>
    </row>
    <row r="1875">
      <c r="A1875" s="22" t="n">
        <v>40483</v>
      </c>
      <c r="B1875" s="24">
        <f>VLOOKUP(Table2634[[#This Row],[Date]],'DB Money Supply'!$A:$D,4)</f>
        <v/>
      </c>
      <c r="C1875" s="30">
        <f>(Table2634[[#This Row],[M1 Money Stock, Billions of Dollars, Weekly, Seasonally Adjusted]]-B1874)/B1874</f>
        <v/>
      </c>
      <c r="D1875" s="34">
        <f>((1+Table2634[[#This Row],[Weekly change]])^52)-1</f>
        <v/>
      </c>
      <c r="E1875" s="24">
        <f>AVERAGE(B1872:B1875)</f>
        <v/>
      </c>
      <c r="F1875" s="32">
        <f>(Table2634[[#This Row],[4 weeks average]]-B1823)/B1823</f>
        <v/>
      </c>
    </row>
    <row r="1876">
      <c r="A1876" s="22" t="n">
        <v>40490</v>
      </c>
      <c r="B1876" s="24">
        <f>VLOOKUP(Table2634[[#This Row],[Date]],'DB Money Supply'!$A:$D,4)</f>
        <v/>
      </c>
      <c r="C1876" s="30">
        <f>(Table2634[[#This Row],[M1 Money Stock, Billions of Dollars, Weekly, Seasonally Adjusted]]-B1875)/B1875</f>
        <v/>
      </c>
      <c r="D1876" s="34">
        <f>((1+Table2634[[#This Row],[Weekly change]])^52)-1</f>
        <v/>
      </c>
      <c r="E1876" s="24">
        <f>AVERAGE(B1873:B1876)</f>
        <v/>
      </c>
      <c r="F1876" s="32">
        <f>(Table2634[[#This Row],[4 weeks average]]-B1824)/B1824</f>
        <v/>
      </c>
    </row>
    <row r="1877">
      <c r="A1877" s="22" t="n">
        <v>40497</v>
      </c>
      <c r="B1877" s="24">
        <f>VLOOKUP(Table2634[[#This Row],[Date]],'DB Money Supply'!$A:$D,4)</f>
        <v/>
      </c>
      <c r="C1877" s="30">
        <f>(Table2634[[#This Row],[M1 Money Stock, Billions of Dollars, Weekly, Seasonally Adjusted]]-B1876)/B1876</f>
        <v/>
      </c>
      <c r="D1877" s="34">
        <f>((1+Table2634[[#This Row],[Weekly change]])^52)-1</f>
        <v/>
      </c>
      <c r="E1877" s="24">
        <f>AVERAGE(B1874:B1877)</f>
        <v/>
      </c>
      <c r="F1877" s="32">
        <f>(Table2634[[#This Row],[4 weeks average]]-B1825)/B1825</f>
        <v/>
      </c>
    </row>
    <row r="1878">
      <c r="A1878" s="22" t="n">
        <v>40504</v>
      </c>
      <c r="B1878" s="24">
        <f>VLOOKUP(Table2634[[#This Row],[Date]],'DB Money Supply'!$A:$D,4)</f>
        <v/>
      </c>
      <c r="C1878" s="30">
        <f>(Table2634[[#This Row],[M1 Money Stock, Billions of Dollars, Weekly, Seasonally Adjusted]]-B1877)/B1877</f>
        <v/>
      </c>
      <c r="D1878" s="34">
        <f>((1+Table2634[[#This Row],[Weekly change]])^52)-1</f>
        <v/>
      </c>
      <c r="E1878" s="24">
        <f>AVERAGE(B1875:B1878)</f>
        <v/>
      </c>
      <c r="F1878" s="32">
        <f>(Table2634[[#This Row],[4 weeks average]]-B1826)/B1826</f>
        <v/>
      </c>
    </row>
    <row r="1879">
      <c r="A1879" s="22" t="n">
        <v>40511</v>
      </c>
      <c r="B1879" s="24">
        <f>VLOOKUP(Table2634[[#This Row],[Date]],'DB Money Supply'!$A:$D,4)</f>
        <v/>
      </c>
      <c r="C1879" s="30">
        <f>(Table2634[[#This Row],[M1 Money Stock, Billions of Dollars, Weekly, Seasonally Adjusted]]-B1878)/B1878</f>
        <v/>
      </c>
      <c r="D1879" s="34">
        <f>((1+Table2634[[#This Row],[Weekly change]])^52)-1</f>
        <v/>
      </c>
      <c r="E1879" s="24">
        <f>AVERAGE(B1876:B1879)</f>
        <v/>
      </c>
      <c r="F1879" s="32">
        <f>(Table2634[[#This Row],[4 weeks average]]-B1827)/B1827</f>
        <v/>
      </c>
    </row>
    <row r="1880">
      <c r="A1880" s="22" t="n">
        <v>40518</v>
      </c>
      <c r="B1880" s="24">
        <f>VLOOKUP(Table2634[[#This Row],[Date]],'DB Money Supply'!$A:$D,4)</f>
        <v/>
      </c>
      <c r="C1880" s="30">
        <f>(Table2634[[#This Row],[M1 Money Stock, Billions of Dollars, Weekly, Seasonally Adjusted]]-B1879)/B1879</f>
        <v/>
      </c>
      <c r="D1880" s="34">
        <f>((1+Table2634[[#This Row],[Weekly change]])^52)-1</f>
        <v/>
      </c>
      <c r="E1880" s="24">
        <f>AVERAGE(B1877:B1880)</f>
        <v/>
      </c>
      <c r="F1880" s="32">
        <f>(Table2634[[#This Row],[4 weeks average]]-B1828)/B1828</f>
        <v/>
      </c>
    </row>
    <row r="1881">
      <c r="A1881" s="22" t="n">
        <v>40525</v>
      </c>
      <c r="B1881" s="24">
        <f>VLOOKUP(Table2634[[#This Row],[Date]],'DB Money Supply'!$A:$D,4)</f>
        <v/>
      </c>
      <c r="C1881" s="30">
        <f>(Table2634[[#This Row],[M1 Money Stock, Billions of Dollars, Weekly, Seasonally Adjusted]]-B1880)/B1880</f>
        <v/>
      </c>
      <c r="D1881" s="34">
        <f>((1+Table2634[[#This Row],[Weekly change]])^52)-1</f>
        <v/>
      </c>
      <c r="E1881" s="24">
        <f>AVERAGE(B1878:B1881)</f>
        <v/>
      </c>
      <c r="F1881" s="32">
        <f>(Table2634[[#This Row],[4 weeks average]]-B1829)/B1829</f>
        <v/>
      </c>
    </row>
    <row r="1882">
      <c r="A1882" s="22" t="n">
        <v>40532</v>
      </c>
      <c r="B1882" s="24">
        <f>VLOOKUP(Table2634[[#This Row],[Date]],'DB Money Supply'!$A:$D,4)</f>
        <v/>
      </c>
      <c r="C1882" s="30">
        <f>(Table2634[[#This Row],[M1 Money Stock, Billions of Dollars, Weekly, Seasonally Adjusted]]-B1881)/B1881</f>
        <v/>
      </c>
      <c r="D1882" s="34">
        <f>((1+Table2634[[#This Row],[Weekly change]])^52)-1</f>
        <v/>
      </c>
      <c r="E1882" s="24">
        <f>AVERAGE(B1879:B1882)</f>
        <v/>
      </c>
      <c r="F1882" s="32">
        <f>(Table2634[[#This Row],[4 weeks average]]-B1830)/B1830</f>
        <v/>
      </c>
    </row>
    <row r="1883">
      <c r="A1883" s="22" t="n">
        <v>40539</v>
      </c>
      <c r="B1883" s="24">
        <f>VLOOKUP(Table2634[[#This Row],[Date]],'DB Money Supply'!$A:$D,4)</f>
        <v/>
      </c>
      <c r="C1883" s="30">
        <f>(Table2634[[#This Row],[M1 Money Stock, Billions of Dollars, Weekly, Seasonally Adjusted]]-B1882)/B1882</f>
        <v/>
      </c>
      <c r="D1883" s="34">
        <f>((1+Table2634[[#This Row],[Weekly change]])^52)-1</f>
        <v/>
      </c>
      <c r="E1883" s="24">
        <f>AVERAGE(B1880:B1883)</f>
        <v/>
      </c>
      <c r="F1883" s="32">
        <f>(Table2634[[#This Row],[4 weeks average]]-B1831)/B1831</f>
        <v/>
      </c>
    </row>
    <row r="1884">
      <c r="A1884" s="22" t="n">
        <v>40546</v>
      </c>
      <c r="B1884" s="24">
        <f>VLOOKUP(Table2634[[#This Row],[Date]],'DB Money Supply'!$A:$D,4)</f>
        <v/>
      </c>
      <c r="C1884" s="30">
        <f>(Table2634[[#This Row],[M1 Money Stock, Billions of Dollars, Weekly, Seasonally Adjusted]]-B1883)/B1883</f>
        <v/>
      </c>
      <c r="D1884" s="34">
        <f>((1+Table2634[[#This Row],[Weekly change]])^52)-1</f>
        <v/>
      </c>
      <c r="E1884" s="24">
        <f>AVERAGE(B1881:B1884)</f>
        <v/>
      </c>
      <c r="F1884" s="32">
        <f>(Table2634[[#This Row],[4 weeks average]]-B1832)/B1832</f>
        <v/>
      </c>
    </row>
    <row r="1885">
      <c r="A1885" s="22" t="n">
        <v>40553</v>
      </c>
      <c r="B1885" s="24">
        <f>VLOOKUP(Table2634[[#This Row],[Date]],'DB Money Supply'!$A:$D,4)</f>
        <v/>
      </c>
      <c r="C1885" s="30">
        <f>(Table2634[[#This Row],[M1 Money Stock, Billions of Dollars, Weekly, Seasonally Adjusted]]-B1884)/B1884</f>
        <v/>
      </c>
      <c r="D1885" s="34">
        <f>((1+Table2634[[#This Row],[Weekly change]])^52)-1</f>
        <v/>
      </c>
      <c r="E1885" s="24">
        <f>AVERAGE(B1882:B1885)</f>
        <v/>
      </c>
      <c r="F1885" s="32">
        <f>(Table2634[[#This Row],[4 weeks average]]-B1833)/B1833</f>
        <v/>
      </c>
    </row>
    <row r="1886">
      <c r="A1886" s="22" t="n">
        <v>40560</v>
      </c>
      <c r="B1886" s="24">
        <f>VLOOKUP(Table2634[[#This Row],[Date]],'DB Money Supply'!$A:$D,4)</f>
        <v/>
      </c>
      <c r="C1886" s="30">
        <f>(Table2634[[#This Row],[M1 Money Stock, Billions of Dollars, Weekly, Seasonally Adjusted]]-B1885)/B1885</f>
        <v/>
      </c>
      <c r="D1886" s="34">
        <f>((1+Table2634[[#This Row],[Weekly change]])^52)-1</f>
        <v/>
      </c>
      <c r="E1886" s="24">
        <f>AVERAGE(B1883:B1886)</f>
        <v/>
      </c>
      <c r="F1886" s="32">
        <f>(Table2634[[#This Row],[4 weeks average]]-B1834)/B1834</f>
        <v/>
      </c>
    </row>
    <row r="1887">
      <c r="A1887" s="22" t="n">
        <v>40567</v>
      </c>
      <c r="B1887" s="24">
        <f>VLOOKUP(Table2634[[#This Row],[Date]],'DB Money Supply'!$A:$D,4)</f>
        <v/>
      </c>
      <c r="C1887" s="30">
        <f>(Table2634[[#This Row],[M1 Money Stock, Billions of Dollars, Weekly, Seasonally Adjusted]]-B1886)/B1886</f>
        <v/>
      </c>
      <c r="D1887" s="34">
        <f>((1+Table2634[[#This Row],[Weekly change]])^52)-1</f>
        <v/>
      </c>
      <c r="E1887" s="24">
        <f>AVERAGE(B1884:B1887)</f>
        <v/>
      </c>
      <c r="F1887" s="32">
        <f>(Table2634[[#This Row],[4 weeks average]]-B1835)/B1835</f>
        <v/>
      </c>
    </row>
    <row r="1888">
      <c r="A1888" s="22" t="n">
        <v>40574</v>
      </c>
      <c r="B1888" s="24">
        <f>VLOOKUP(Table2634[[#This Row],[Date]],'DB Money Supply'!$A:$D,4)</f>
        <v/>
      </c>
      <c r="C1888" s="30">
        <f>(Table2634[[#This Row],[M1 Money Stock, Billions of Dollars, Weekly, Seasonally Adjusted]]-B1887)/B1887</f>
        <v/>
      </c>
      <c r="D1888" s="34">
        <f>((1+Table2634[[#This Row],[Weekly change]])^52)-1</f>
        <v/>
      </c>
      <c r="E1888" s="24">
        <f>AVERAGE(B1885:B1888)</f>
        <v/>
      </c>
      <c r="F1888" s="32">
        <f>(Table2634[[#This Row],[4 weeks average]]-B1836)/B1836</f>
        <v/>
      </c>
    </row>
    <row r="1889">
      <c r="A1889" s="22" t="n">
        <v>40581</v>
      </c>
      <c r="B1889" s="24">
        <f>VLOOKUP(Table2634[[#This Row],[Date]],'DB Money Supply'!$A:$D,4)</f>
        <v/>
      </c>
      <c r="C1889" s="30">
        <f>(Table2634[[#This Row],[M1 Money Stock, Billions of Dollars, Weekly, Seasonally Adjusted]]-B1888)/B1888</f>
        <v/>
      </c>
      <c r="D1889" s="34">
        <f>((1+Table2634[[#This Row],[Weekly change]])^52)-1</f>
        <v/>
      </c>
      <c r="E1889" s="24">
        <f>AVERAGE(B1886:B1889)</f>
        <v/>
      </c>
      <c r="F1889" s="32">
        <f>(Table2634[[#This Row],[4 weeks average]]-B1837)/B1837</f>
        <v/>
      </c>
    </row>
    <row r="1890">
      <c r="A1890" s="22" t="n">
        <v>40588</v>
      </c>
      <c r="B1890" s="24">
        <f>VLOOKUP(Table2634[[#This Row],[Date]],'DB Money Supply'!$A:$D,4)</f>
        <v/>
      </c>
      <c r="C1890" s="30">
        <f>(Table2634[[#This Row],[M1 Money Stock, Billions of Dollars, Weekly, Seasonally Adjusted]]-B1889)/B1889</f>
        <v/>
      </c>
      <c r="D1890" s="34">
        <f>((1+Table2634[[#This Row],[Weekly change]])^52)-1</f>
        <v/>
      </c>
      <c r="E1890" s="24">
        <f>AVERAGE(B1887:B1890)</f>
        <v/>
      </c>
      <c r="F1890" s="32">
        <f>(Table2634[[#This Row],[4 weeks average]]-B1838)/B1838</f>
        <v/>
      </c>
    </row>
    <row r="1891">
      <c r="A1891" s="22" t="n">
        <v>40595</v>
      </c>
      <c r="B1891" s="24">
        <f>VLOOKUP(Table2634[[#This Row],[Date]],'DB Money Supply'!$A:$D,4)</f>
        <v/>
      </c>
      <c r="C1891" s="30">
        <f>(Table2634[[#This Row],[M1 Money Stock, Billions of Dollars, Weekly, Seasonally Adjusted]]-B1890)/B1890</f>
        <v/>
      </c>
      <c r="D1891" s="34">
        <f>((1+Table2634[[#This Row],[Weekly change]])^52)-1</f>
        <v/>
      </c>
      <c r="E1891" s="24">
        <f>AVERAGE(B1888:B1891)</f>
        <v/>
      </c>
      <c r="F1891" s="32">
        <f>(Table2634[[#This Row],[4 weeks average]]-B1839)/B1839</f>
        <v/>
      </c>
    </row>
    <row r="1892">
      <c r="A1892" s="22" t="n">
        <v>40602</v>
      </c>
      <c r="B1892" s="24">
        <f>VLOOKUP(Table2634[[#This Row],[Date]],'DB Money Supply'!$A:$D,4)</f>
        <v/>
      </c>
      <c r="C1892" s="30">
        <f>(Table2634[[#This Row],[M1 Money Stock, Billions of Dollars, Weekly, Seasonally Adjusted]]-B1891)/B1891</f>
        <v/>
      </c>
      <c r="D1892" s="34">
        <f>((1+Table2634[[#This Row],[Weekly change]])^52)-1</f>
        <v/>
      </c>
      <c r="E1892" s="24">
        <f>AVERAGE(B1889:B1892)</f>
        <v/>
      </c>
      <c r="F1892" s="32">
        <f>(Table2634[[#This Row],[4 weeks average]]-B1840)/B1840</f>
        <v/>
      </c>
    </row>
    <row r="1893">
      <c r="A1893" s="22" t="n">
        <v>40609</v>
      </c>
      <c r="B1893" s="24">
        <f>VLOOKUP(Table2634[[#This Row],[Date]],'DB Money Supply'!$A:$D,4)</f>
        <v/>
      </c>
      <c r="C1893" s="30">
        <f>(Table2634[[#This Row],[M1 Money Stock, Billions of Dollars, Weekly, Seasonally Adjusted]]-B1892)/B1892</f>
        <v/>
      </c>
      <c r="D1893" s="34">
        <f>((1+Table2634[[#This Row],[Weekly change]])^52)-1</f>
        <v/>
      </c>
      <c r="E1893" s="24">
        <f>AVERAGE(B1890:B1893)</f>
        <v/>
      </c>
      <c r="F1893" s="32">
        <f>(Table2634[[#This Row],[4 weeks average]]-B1841)/B1841</f>
        <v/>
      </c>
    </row>
    <row r="1894">
      <c r="A1894" s="22" t="n">
        <v>40616</v>
      </c>
      <c r="B1894" s="24">
        <f>VLOOKUP(Table2634[[#This Row],[Date]],'DB Money Supply'!$A:$D,4)</f>
        <v/>
      </c>
      <c r="C1894" s="30">
        <f>(Table2634[[#This Row],[M1 Money Stock, Billions of Dollars, Weekly, Seasonally Adjusted]]-B1893)/B1893</f>
        <v/>
      </c>
      <c r="D1894" s="34">
        <f>((1+Table2634[[#This Row],[Weekly change]])^52)-1</f>
        <v/>
      </c>
      <c r="E1894" s="24">
        <f>AVERAGE(B1891:B1894)</f>
        <v/>
      </c>
      <c r="F1894" s="32">
        <f>(Table2634[[#This Row],[4 weeks average]]-B1842)/B1842</f>
        <v/>
      </c>
    </row>
    <row r="1895">
      <c r="A1895" s="22" t="n">
        <v>40623</v>
      </c>
      <c r="B1895" s="24">
        <f>VLOOKUP(Table2634[[#This Row],[Date]],'DB Money Supply'!$A:$D,4)</f>
        <v/>
      </c>
      <c r="C1895" s="30">
        <f>(Table2634[[#This Row],[M1 Money Stock, Billions of Dollars, Weekly, Seasonally Adjusted]]-B1894)/B1894</f>
        <v/>
      </c>
      <c r="D1895" s="34">
        <f>((1+Table2634[[#This Row],[Weekly change]])^52)-1</f>
        <v/>
      </c>
      <c r="E1895" s="24">
        <f>AVERAGE(B1892:B1895)</f>
        <v/>
      </c>
      <c r="F1895" s="32">
        <f>(Table2634[[#This Row],[4 weeks average]]-B1843)/B1843</f>
        <v/>
      </c>
    </row>
    <row r="1896">
      <c r="A1896" s="22" t="n">
        <v>40630</v>
      </c>
      <c r="B1896" s="24">
        <f>VLOOKUP(Table2634[[#This Row],[Date]],'DB Money Supply'!$A:$D,4)</f>
        <v/>
      </c>
      <c r="C1896" s="30">
        <f>(Table2634[[#This Row],[M1 Money Stock, Billions of Dollars, Weekly, Seasonally Adjusted]]-B1895)/B1895</f>
        <v/>
      </c>
      <c r="D1896" s="34">
        <f>((1+Table2634[[#This Row],[Weekly change]])^52)-1</f>
        <v/>
      </c>
      <c r="E1896" s="24">
        <f>AVERAGE(B1893:B1896)</f>
        <v/>
      </c>
      <c r="F1896" s="32">
        <f>(Table2634[[#This Row],[4 weeks average]]-B1844)/B1844</f>
        <v/>
      </c>
    </row>
    <row r="1897">
      <c r="A1897" s="22" t="n">
        <v>40637</v>
      </c>
      <c r="B1897" s="24">
        <f>VLOOKUP(Table2634[[#This Row],[Date]],'DB Money Supply'!$A:$D,4)</f>
        <v/>
      </c>
      <c r="C1897" s="30">
        <f>(Table2634[[#This Row],[M1 Money Stock, Billions of Dollars, Weekly, Seasonally Adjusted]]-B1896)/B1896</f>
        <v/>
      </c>
      <c r="D1897" s="34">
        <f>((1+Table2634[[#This Row],[Weekly change]])^52)-1</f>
        <v/>
      </c>
      <c r="E1897" s="24">
        <f>AVERAGE(B1894:B1897)</f>
        <v/>
      </c>
      <c r="F1897" s="32">
        <f>(Table2634[[#This Row],[4 weeks average]]-B1845)/B1845</f>
        <v/>
      </c>
    </row>
    <row r="1898">
      <c r="A1898" s="22" t="n">
        <v>40644</v>
      </c>
      <c r="B1898" s="24">
        <f>VLOOKUP(Table2634[[#This Row],[Date]],'DB Money Supply'!$A:$D,4)</f>
        <v/>
      </c>
      <c r="C1898" s="30">
        <f>(Table2634[[#This Row],[M1 Money Stock, Billions of Dollars, Weekly, Seasonally Adjusted]]-B1897)/B1897</f>
        <v/>
      </c>
      <c r="D1898" s="34">
        <f>((1+Table2634[[#This Row],[Weekly change]])^52)-1</f>
        <v/>
      </c>
      <c r="E1898" s="24">
        <f>AVERAGE(B1895:B1898)</f>
        <v/>
      </c>
      <c r="F1898" s="32">
        <f>(Table2634[[#This Row],[4 weeks average]]-B1846)/B1846</f>
        <v/>
      </c>
    </row>
    <row r="1899">
      <c r="A1899" s="22" t="n">
        <v>40651</v>
      </c>
      <c r="B1899" s="24">
        <f>VLOOKUP(Table2634[[#This Row],[Date]],'DB Money Supply'!$A:$D,4)</f>
        <v/>
      </c>
      <c r="C1899" s="30">
        <f>(Table2634[[#This Row],[M1 Money Stock, Billions of Dollars, Weekly, Seasonally Adjusted]]-B1898)/B1898</f>
        <v/>
      </c>
      <c r="D1899" s="34">
        <f>((1+Table2634[[#This Row],[Weekly change]])^52)-1</f>
        <v/>
      </c>
      <c r="E1899" s="24">
        <f>AVERAGE(B1896:B1899)</f>
        <v/>
      </c>
      <c r="F1899" s="32">
        <f>(Table2634[[#This Row],[4 weeks average]]-B1847)/B1847</f>
        <v/>
      </c>
    </row>
    <row r="1900">
      <c r="A1900" s="22" t="n">
        <v>40658</v>
      </c>
      <c r="B1900" s="24">
        <f>VLOOKUP(Table2634[[#This Row],[Date]],'DB Money Supply'!$A:$D,4)</f>
        <v/>
      </c>
      <c r="C1900" s="30">
        <f>(Table2634[[#This Row],[M1 Money Stock, Billions of Dollars, Weekly, Seasonally Adjusted]]-B1899)/B1899</f>
        <v/>
      </c>
      <c r="D1900" s="34">
        <f>((1+Table2634[[#This Row],[Weekly change]])^52)-1</f>
        <v/>
      </c>
      <c r="E1900" s="24">
        <f>AVERAGE(B1897:B1900)</f>
        <v/>
      </c>
      <c r="F1900" s="32">
        <f>(Table2634[[#This Row],[4 weeks average]]-B1848)/B1848</f>
        <v/>
      </c>
    </row>
    <row r="1901">
      <c r="A1901" s="22" t="n">
        <v>40665</v>
      </c>
      <c r="B1901" s="24">
        <f>VLOOKUP(Table2634[[#This Row],[Date]],'DB Money Supply'!$A:$D,4)</f>
        <v/>
      </c>
      <c r="C1901" s="30">
        <f>(Table2634[[#This Row],[M1 Money Stock, Billions of Dollars, Weekly, Seasonally Adjusted]]-B1900)/B1900</f>
        <v/>
      </c>
      <c r="D1901" s="34">
        <f>((1+Table2634[[#This Row],[Weekly change]])^52)-1</f>
        <v/>
      </c>
      <c r="E1901" s="24">
        <f>AVERAGE(B1898:B1901)</f>
        <v/>
      </c>
      <c r="F1901" s="32">
        <f>(Table2634[[#This Row],[4 weeks average]]-B1849)/B1849</f>
        <v/>
      </c>
    </row>
    <row r="1902">
      <c r="A1902" s="22" t="n">
        <v>40672</v>
      </c>
      <c r="B1902" s="24">
        <f>VLOOKUP(Table2634[[#This Row],[Date]],'DB Money Supply'!$A:$D,4)</f>
        <v/>
      </c>
      <c r="C1902" s="30">
        <f>(Table2634[[#This Row],[M1 Money Stock, Billions of Dollars, Weekly, Seasonally Adjusted]]-B1901)/B1901</f>
        <v/>
      </c>
      <c r="D1902" s="34">
        <f>((1+Table2634[[#This Row],[Weekly change]])^52)-1</f>
        <v/>
      </c>
      <c r="E1902" s="24">
        <f>AVERAGE(B1899:B1902)</f>
        <v/>
      </c>
      <c r="F1902" s="32">
        <f>(Table2634[[#This Row],[4 weeks average]]-B1850)/B1850</f>
        <v/>
      </c>
    </row>
    <row r="1903">
      <c r="A1903" s="22" t="n">
        <v>40679</v>
      </c>
      <c r="B1903" s="24">
        <f>VLOOKUP(Table2634[[#This Row],[Date]],'DB Money Supply'!$A:$D,4)</f>
        <v/>
      </c>
      <c r="C1903" s="30">
        <f>(Table2634[[#This Row],[M1 Money Stock, Billions of Dollars, Weekly, Seasonally Adjusted]]-B1902)/B1902</f>
        <v/>
      </c>
      <c r="D1903" s="34">
        <f>((1+Table2634[[#This Row],[Weekly change]])^52)-1</f>
        <v/>
      </c>
      <c r="E1903" s="24">
        <f>AVERAGE(B1900:B1903)</f>
        <v/>
      </c>
      <c r="F1903" s="32">
        <f>(Table2634[[#This Row],[4 weeks average]]-B1851)/B1851</f>
        <v/>
      </c>
    </row>
    <row r="1904">
      <c r="A1904" s="22" t="n">
        <v>40686</v>
      </c>
      <c r="B1904" s="24">
        <f>VLOOKUP(Table2634[[#This Row],[Date]],'DB Money Supply'!$A:$D,4)</f>
        <v/>
      </c>
      <c r="C1904" s="30">
        <f>(Table2634[[#This Row],[M1 Money Stock, Billions of Dollars, Weekly, Seasonally Adjusted]]-B1903)/B1903</f>
        <v/>
      </c>
      <c r="D1904" s="34">
        <f>((1+Table2634[[#This Row],[Weekly change]])^52)-1</f>
        <v/>
      </c>
      <c r="E1904" s="24">
        <f>AVERAGE(B1901:B1904)</f>
        <v/>
      </c>
      <c r="F1904" s="32">
        <f>(Table2634[[#This Row],[4 weeks average]]-B1852)/B1852</f>
        <v/>
      </c>
    </row>
    <row r="1905">
      <c r="A1905" s="22" t="n">
        <v>40693</v>
      </c>
      <c r="B1905" s="24">
        <f>VLOOKUP(Table2634[[#This Row],[Date]],'DB Money Supply'!$A:$D,4)</f>
        <v/>
      </c>
      <c r="C1905" s="30">
        <f>(Table2634[[#This Row],[M1 Money Stock, Billions of Dollars, Weekly, Seasonally Adjusted]]-B1904)/B1904</f>
        <v/>
      </c>
      <c r="D1905" s="34">
        <f>((1+Table2634[[#This Row],[Weekly change]])^52)-1</f>
        <v/>
      </c>
      <c r="E1905" s="24">
        <f>AVERAGE(B1902:B1905)</f>
        <v/>
      </c>
      <c r="F1905" s="32">
        <f>(Table2634[[#This Row],[4 weeks average]]-B1853)/B1853</f>
        <v/>
      </c>
    </row>
    <row r="1906">
      <c r="A1906" s="22" t="n">
        <v>40700</v>
      </c>
      <c r="B1906" s="24">
        <f>VLOOKUP(Table2634[[#This Row],[Date]],'DB Money Supply'!$A:$D,4)</f>
        <v/>
      </c>
      <c r="C1906" s="30">
        <f>(Table2634[[#This Row],[M1 Money Stock, Billions of Dollars, Weekly, Seasonally Adjusted]]-B1905)/B1905</f>
        <v/>
      </c>
      <c r="D1906" s="34">
        <f>((1+Table2634[[#This Row],[Weekly change]])^52)-1</f>
        <v/>
      </c>
      <c r="E1906" s="24">
        <f>AVERAGE(B1903:B1906)</f>
        <v/>
      </c>
      <c r="F1906" s="32">
        <f>(Table2634[[#This Row],[4 weeks average]]-B1854)/B1854</f>
        <v/>
      </c>
    </row>
    <row r="1907">
      <c r="A1907" s="22" t="n">
        <v>40707</v>
      </c>
      <c r="B1907" s="24">
        <f>VLOOKUP(Table2634[[#This Row],[Date]],'DB Money Supply'!$A:$D,4)</f>
        <v/>
      </c>
      <c r="C1907" s="30">
        <f>(Table2634[[#This Row],[M1 Money Stock, Billions of Dollars, Weekly, Seasonally Adjusted]]-B1906)/B1906</f>
        <v/>
      </c>
      <c r="D1907" s="34">
        <f>((1+Table2634[[#This Row],[Weekly change]])^52)-1</f>
        <v/>
      </c>
      <c r="E1907" s="24">
        <f>AVERAGE(B1904:B1907)</f>
        <v/>
      </c>
      <c r="F1907" s="32">
        <f>(Table2634[[#This Row],[4 weeks average]]-B1855)/B1855</f>
        <v/>
      </c>
    </row>
    <row r="1908">
      <c r="A1908" s="22" t="n">
        <v>40714</v>
      </c>
      <c r="B1908" s="24">
        <f>VLOOKUP(Table2634[[#This Row],[Date]],'DB Money Supply'!$A:$D,4)</f>
        <v/>
      </c>
      <c r="C1908" s="30">
        <f>(Table2634[[#This Row],[M1 Money Stock, Billions of Dollars, Weekly, Seasonally Adjusted]]-B1907)/B1907</f>
        <v/>
      </c>
      <c r="D1908" s="34">
        <f>((1+Table2634[[#This Row],[Weekly change]])^52)-1</f>
        <v/>
      </c>
      <c r="E1908" s="24">
        <f>AVERAGE(B1905:B1908)</f>
        <v/>
      </c>
      <c r="F1908" s="32">
        <f>(Table2634[[#This Row],[4 weeks average]]-B1856)/B1856</f>
        <v/>
      </c>
    </row>
    <row r="1909">
      <c r="A1909" s="22" t="n">
        <v>40721</v>
      </c>
      <c r="B1909" s="24">
        <f>VLOOKUP(Table2634[[#This Row],[Date]],'DB Money Supply'!$A:$D,4)</f>
        <v/>
      </c>
      <c r="C1909" s="30">
        <f>(Table2634[[#This Row],[M1 Money Stock, Billions of Dollars, Weekly, Seasonally Adjusted]]-B1908)/B1908</f>
        <v/>
      </c>
      <c r="D1909" s="34">
        <f>((1+Table2634[[#This Row],[Weekly change]])^52)-1</f>
        <v/>
      </c>
      <c r="E1909" s="24">
        <f>AVERAGE(B1906:B1909)</f>
        <v/>
      </c>
      <c r="F1909" s="32">
        <f>(Table2634[[#This Row],[4 weeks average]]-B1857)/B1857</f>
        <v/>
      </c>
    </row>
    <row r="1910">
      <c r="A1910" s="22" t="n">
        <v>40728</v>
      </c>
      <c r="B1910" s="24">
        <f>VLOOKUP(Table2634[[#This Row],[Date]],'DB Money Supply'!$A:$D,4)</f>
        <v/>
      </c>
      <c r="C1910" s="30">
        <f>(Table2634[[#This Row],[M1 Money Stock, Billions of Dollars, Weekly, Seasonally Adjusted]]-B1909)/B1909</f>
        <v/>
      </c>
      <c r="D1910" s="34">
        <f>((1+Table2634[[#This Row],[Weekly change]])^52)-1</f>
        <v/>
      </c>
      <c r="E1910" s="24">
        <f>AVERAGE(B1907:B1910)</f>
        <v/>
      </c>
      <c r="F1910" s="32">
        <f>(Table2634[[#This Row],[4 weeks average]]-B1858)/B1858</f>
        <v/>
      </c>
    </row>
    <row r="1911">
      <c r="A1911" s="22" t="n">
        <v>40735</v>
      </c>
      <c r="B1911" s="24">
        <f>VLOOKUP(Table2634[[#This Row],[Date]],'DB Money Supply'!$A:$D,4)</f>
        <v/>
      </c>
      <c r="C1911" s="30">
        <f>(Table2634[[#This Row],[M1 Money Stock, Billions of Dollars, Weekly, Seasonally Adjusted]]-B1910)/B1910</f>
        <v/>
      </c>
      <c r="D1911" s="34">
        <f>((1+Table2634[[#This Row],[Weekly change]])^52)-1</f>
        <v/>
      </c>
      <c r="E1911" s="24">
        <f>AVERAGE(B1908:B1911)</f>
        <v/>
      </c>
      <c r="F1911" s="32">
        <f>(Table2634[[#This Row],[4 weeks average]]-B1859)/B1859</f>
        <v/>
      </c>
    </row>
    <row r="1912">
      <c r="A1912" s="22" t="n">
        <v>40742</v>
      </c>
      <c r="B1912" s="24">
        <f>VLOOKUP(Table2634[[#This Row],[Date]],'DB Money Supply'!$A:$D,4)</f>
        <v/>
      </c>
      <c r="C1912" s="30">
        <f>(Table2634[[#This Row],[M1 Money Stock, Billions of Dollars, Weekly, Seasonally Adjusted]]-B1911)/B1911</f>
        <v/>
      </c>
      <c r="D1912" s="34">
        <f>((1+Table2634[[#This Row],[Weekly change]])^52)-1</f>
        <v/>
      </c>
      <c r="E1912" s="24">
        <f>AVERAGE(B1909:B1912)</f>
        <v/>
      </c>
      <c r="F1912" s="32">
        <f>(Table2634[[#This Row],[4 weeks average]]-B1860)/B1860</f>
        <v/>
      </c>
    </row>
    <row r="1913">
      <c r="A1913" s="22" t="n">
        <v>40749</v>
      </c>
      <c r="B1913" s="24">
        <f>VLOOKUP(Table2634[[#This Row],[Date]],'DB Money Supply'!$A:$D,4)</f>
        <v/>
      </c>
      <c r="C1913" s="30">
        <f>(Table2634[[#This Row],[M1 Money Stock, Billions of Dollars, Weekly, Seasonally Adjusted]]-B1912)/B1912</f>
        <v/>
      </c>
      <c r="D1913" s="34">
        <f>((1+Table2634[[#This Row],[Weekly change]])^52)-1</f>
        <v/>
      </c>
      <c r="E1913" s="24">
        <f>AVERAGE(B1910:B1913)</f>
        <v/>
      </c>
      <c r="F1913" s="32">
        <f>(Table2634[[#This Row],[4 weeks average]]-B1861)/B1861</f>
        <v/>
      </c>
    </row>
    <row r="1914">
      <c r="A1914" s="22" t="n">
        <v>40756</v>
      </c>
      <c r="B1914" s="24">
        <f>VLOOKUP(Table2634[[#This Row],[Date]],'DB Money Supply'!$A:$D,4)</f>
        <v/>
      </c>
      <c r="C1914" s="30">
        <f>(Table2634[[#This Row],[M1 Money Stock, Billions of Dollars, Weekly, Seasonally Adjusted]]-B1913)/B1913</f>
        <v/>
      </c>
      <c r="D1914" s="34">
        <f>((1+Table2634[[#This Row],[Weekly change]])^52)-1</f>
        <v/>
      </c>
      <c r="E1914" s="24">
        <f>AVERAGE(B1911:B1914)</f>
        <v/>
      </c>
      <c r="F1914" s="32">
        <f>(Table2634[[#This Row],[4 weeks average]]-B1862)/B1862</f>
        <v/>
      </c>
    </row>
    <row r="1915">
      <c r="A1915" s="22" t="n">
        <v>40763</v>
      </c>
      <c r="B1915" s="24">
        <f>VLOOKUP(Table2634[[#This Row],[Date]],'DB Money Supply'!$A:$D,4)</f>
        <v/>
      </c>
      <c r="C1915" s="30">
        <f>(Table2634[[#This Row],[M1 Money Stock, Billions of Dollars, Weekly, Seasonally Adjusted]]-B1914)/B1914</f>
        <v/>
      </c>
      <c r="D1915" s="34">
        <f>((1+Table2634[[#This Row],[Weekly change]])^52)-1</f>
        <v/>
      </c>
      <c r="E1915" s="24">
        <f>AVERAGE(B1912:B1915)</f>
        <v/>
      </c>
      <c r="F1915" s="32">
        <f>(Table2634[[#This Row],[4 weeks average]]-B1863)/B1863</f>
        <v/>
      </c>
    </row>
    <row r="1916">
      <c r="A1916" s="22" t="n">
        <v>40770</v>
      </c>
      <c r="B1916" s="24">
        <f>VLOOKUP(Table2634[[#This Row],[Date]],'DB Money Supply'!$A:$D,4)</f>
        <v/>
      </c>
      <c r="C1916" s="30">
        <f>(Table2634[[#This Row],[M1 Money Stock, Billions of Dollars, Weekly, Seasonally Adjusted]]-B1915)/B1915</f>
        <v/>
      </c>
      <c r="D1916" s="34">
        <f>((1+Table2634[[#This Row],[Weekly change]])^52)-1</f>
        <v/>
      </c>
      <c r="E1916" s="24">
        <f>AVERAGE(B1913:B1916)</f>
        <v/>
      </c>
      <c r="F1916" s="32">
        <f>(Table2634[[#This Row],[4 weeks average]]-B1864)/B1864</f>
        <v/>
      </c>
    </row>
    <row r="1917">
      <c r="A1917" s="22" t="n">
        <v>40777</v>
      </c>
      <c r="B1917" s="24">
        <f>VLOOKUP(Table2634[[#This Row],[Date]],'DB Money Supply'!$A:$D,4)</f>
        <v/>
      </c>
      <c r="C1917" s="30">
        <f>(Table2634[[#This Row],[M1 Money Stock, Billions of Dollars, Weekly, Seasonally Adjusted]]-B1916)/B1916</f>
        <v/>
      </c>
      <c r="D1917" s="34">
        <f>((1+Table2634[[#This Row],[Weekly change]])^52)-1</f>
        <v/>
      </c>
      <c r="E1917" s="24">
        <f>AVERAGE(B1914:B1917)</f>
        <v/>
      </c>
      <c r="F1917" s="32">
        <f>(Table2634[[#This Row],[4 weeks average]]-B1865)/B1865</f>
        <v/>
      </c>
    </row>
    <row r="1918">
      <c r="A1918" s="22" t="n">
        <v>40784</v>
      </c>
      <c r="B1918" s="24">
        <f>VLOOKUP(Table2634[[#This Row],[Date]],'DB Money Supply'!$A:$D,4)</f>
        <v/>
      </c>
      <c r="C1918" s="30">
        <f>(Table2634[[#This Row],[M1 Money Stock, Billions of Dollars, Weekly, Seasonally Adjusted]]-B1917)/B1917</f>
        <v/>
      </c>
      <c r="D1918" s="34">
        <f>((1+Table2634[[#This Row],[Weekly change]])^52)-1</f>
        <v/>
      </c>
      <c r="E1918" s="24">
        <f>AVERAGE(B1915:B1918)</f>
        <v/>
      </c>
      <c r="F1918" s="32">
        <f>(Table2634[[#This Row],[4 weeks average]]-B1866)/B1866</f>
        <v/>
      </c>
    </row>
    <row r="1919">
      <c r="A1919" s="22" t="n">
        <v>40791</v>
      </c>
      <c r="B1919" s="24">
        <f>VLOOKUP(Table2634[[#This Row],[Date]],'DB Money Supply'!$A:$D,4)</f>
        <v/>
      </c>
      <c r="C1919" s="30">
        <f>(Table2634[[#This Row],[M1 Money Stock, Billions of Dollars, Weekly, Seasonally Adjusted]]-B1918)/B1918</f>
        <v/>
      </c>
      <c r="D1919" s="34">
        <f>((1+Table2634[[#This Row],[Weekly change]])^52)-1</f>
        <v/>
      </c>
      <c r="E1919" s="24">
        <f>AVERAGE(B1916:B1919)</f>
        <v/>
      </c>
      <c r="F1919" s="32">
        <f>(Table2634[[#This Row],[4 weeks average]]-B1867)/B1867</f>
        <v/>
      </c>
    </row>
    <row r="1920">
      <c r="A1920" s="22" t="n">
        <v>40798</v>
      </c>
      <c r="B1920" s="24">
        <f>VLOOKUP(Table2634[[#This Row],[Date]],'DB Money Supply'!$A:$D,4)</f>
        <v/>
      </c>
      <c r="C1920" s="30">
        <f>(Table2634[[#This Row],[M1 Money Stock, Billions of Dollars, Weekly, Seasonally Adjusted]]-B1919)/B1919</f>
        <v/>
      </c>
      <c r="D1920" s="34">
        <f>((1+Table2634[[#This Row],[Weekly change]])^52)-1</f>
        <v/>
      </c>
      <c r="E1920" s="24">
        <f>AVERAGE(B1917:B1920)</f>
        <v/>
      </c>
      <c r="F1920" s="32">
        <f>(Table2634[[#This Row],[4 weeks average]]-B1868)/B1868</f>
        <v/>
      </c>
    </row>
    <row r="1921">
      <c r="A1921" s="22" t="n">
        <v>40805</v>
      </c>
      <c r="B1921" s="24">
        <f>VLOOKUP(Table2634[[#This Row],[Date]],'DB Money Supply'!$A:$D,4)</f>
        <v/>
      </c>
      <c r="C1921" s="30">
        <f>(Table2634[[#This Row],[M1 Money Stock, Billions of Dollars, Weekly, Seasonally Adjusted]]-B1920)/B1920</f>
        <v/>
      </c>
      <c r="D1921" s="34">
        <f>((1+Table2634[[#This Row],[Weekly change]])^52)-1</f>
        <v/>
      </c>
      <c r="E1921" s="24">
        <f>AVERAGE(B1918:B1921)</f>
        <v/>
      </c>
      <c r="F1921" s="32">
        <f>(Table2634[[#This Row],[4 weeks average]]-B1869)/B1869</f>
        <v/>
      </c>
    </row>
    <row r="1922">
      <c r="A1922" s="22" t="n">
        <v>40812</v>
      </c>
      <c r="B1922" s="24">
        <f>VLOOKUP(Table2634[[#This Row],[Date]],'DB Money Supply'!$A:$D,4)</f>
        <v/>
      </c>
      <c r="C1922" s="30">
        <f>(Table2634[[#This Row],[M1 Money Stock, Billions of Dollars, Weekly, Seasonally Adjusted]]-B1921)/B1921</f>
        <v/>
      </c>
      <c r="D1922" s="34">
        <f>((1+Table2634[[#This Row],[Weekly change]])^52)-1</f>
        <v/>
      </c>
      <c r="E1922" s="24">
        <f>AVERAGE(B1919:B1922)</f>
        <v/>
      </c>
      <c r="F1922" s="32">
        <f>(Table2634[[#This Row],[4 weeks average]]-B1870)/B1870</f>
        <v/>
      </c>
    </row>
    <row r="1923">
      <c r="A1923" s="22" t="n">
        <v>40819</v>
      </c>
      <c r="B1923" s="24">
        <f>VLOOKUP(Table2634[[#This Row],[Date]],'DB Money Supply'!$A:$D,4)</f>
        <v/>
      </c>
      <c r="C1923" s="30">
        <f>(Table2634[[#This Row],[M1 Money Stock, Billions of Dollars, Weekly, Seasonally Adjusted]]-B1922)/B1922</f>
        <v/>
      </c>
      <c r="D1923" s="34">
        <f>((1+Table2634[[#This Row],[Weekly change]])^52)-1</f>
        <v/>
      </c>
      <c r="E1923" s="24">
        <f>AVERAGE(B1920:B1923)</f>
        <v/>
      </c>
      <c r="F1923" s="32">
        <f>(Table2634[[#This Row],[4 weeks average]]-B1871)/B1871</f>
        <v/>
      </c>
    </row>
    <row r="1924">
      <c r="A1924" s="22" t="n">
        <v>40826</v>
      </c>
      <c r="B1924" s="24">
        <f>VLOOKUP(Table2634[[#This Row],[Date]],'DB Money Supply'!$A:$D,4)</f>
        <v/>
      </c>
      <c r="C1924" s="30">
        <f>(Table2634[[#This Row],[M1 Money Stock, Billions of Dollars, Weekly, Seasonally Adjusted]]-B1923)/B1923</f>
        <v/>
      </c>
      <c r="D1924" s="34">
        <f>((1+Table2634[[#This Row],[Weekly change]])^52)-1</f>
        <v/>
      </c>
      <c r="E1924" s="24">
        <f>AVERAGE(B1921:B1924)</f>
        <v/>
      </c>
      <c r="F1924" s="32">
        <f>(Table2634[[#This Row],[4 weeks average]]-B1872)/B1872</f>
        <v/>
      </c>
    </row>
    <row r="1925">
      <c r="A1925" s="22" t="n">
        <v>40833</v>
      </c>
      <c r="B1925" s="24">
        <f>VLOOKUP(Table2634[[#This Row],[Date]],'DB Money Supply'!$A:$D,4)</f>
        <v/>
      </c>
      <c r="C1925" s="30">
        <f>(Table2634[[#This Row],[M1 Money Stock, Billions of Dollars, Weekly, Seasonally Adjusted]]-B1924)/B1924</f>
        <v/>
      </c>
      <c r="D1925" s="34">
        <f>((1+Table2634[[#This Row],[Weekly change]])^52)-1</f>
        <v/>
      </c>
      <c r="E1925" s="24">
        <f>AVERAGE(B1922:B1925)</f>
        <v/>
      </c>
      <c r="F1925" s="32">
        <f>(Table2634[[#This Row],[4 weeks average]]-B1873)/B1873</f>
        <v/>
      </c>
    </row>
    <row r="1926">
      <c r="A1926" s="22" t="n">
        <v>40840</v>
      </c>
      <c r="B1926" s="24">
        <f>VLOOKUP(Table2634[[#This Row],[Date]],'DB Money Supply'!$A:$D,4)</f>
        <v/>
      </c>
      <c r="C1926" s="30">
        <f>(Table2634[[#This Row],[M1 Money Stock, Billions of Dollars, Weekly, Seasonally Adjusted]]-B1925)/B1925</f>
        <v/>
      </c>
      <c r="D1926" s="34">
        <f>((1+Table2634[[#This Row],[Weekly change]])^52)-1</f>
        <v/>
      </c>
      <c r="E1926" s="24">
        <f>AVERAGE(B1923:B1926)</f>
        <v/>
      </c>
      <c r="F1926" s="32">
        <f>(Table2634[[#This Row],[4 weeks average]]-B1874)/B1874</f>
        <v/>
      </c>
    </row>
    <row r="1927">
      <c r="A1927" s="22" t="n">
        <v>40847</v>
      </c>
      <c r="B1927" s="24">
        <f>VLOOKUP(Table2634[[#This Row],[Date]],'DB Money Supply'!$A:$D,4)</f>
        <v/>
      </c>
      <c r="C1927" s="30">
        <f>(Table2634[[#This Row],[M1 Money Stock, Billions of Dollars, Weekly, Seasonally Adjusted]]-B1926)/B1926</f>
        <v/>
      </c>
      <c r="D1927" s="34">
        <f>((1+Table2634[[#This Row],[Weekly change]])^52)-1</f>
        <v/>
      </c>
      <c r="E1927" s="24">
        <f>AVERAGE(B1924:B1927)</f>
        <v/>
      </c>
      <c r="F1927" s="32">
        <f>(Table2634[[#This Row],[4 weeks average]]-B1875)/B1875</f>
        <v/>
      </c>
    </row>
    <row r="1928">
      <c r="A1928" s="22" t="n">
        <v>40854</v>
      </c>
      <c r="B1928" s="24">
        <f>VLOOKUP(Table2634[[#This Row],[Date]],'DB Money Supply'!$A:$D,4)</f>
        <v/>
      </c>
      <c r="C1928" s="30">
        <f>(Table2634[[#This Row],[M1 Money Stock, Billions of Dollars, Weekly, Seasonally Adjusted]]-B1927)/B1927</f>
        <v/>
      </c>
      <c r="D1928" s="34">
        <f>((1+Table2634[[#This Row],[Weekly change]])^52)-1</f>
        <v/>
      </c>
      <c r="E1928" s="24">
        <f>AVERAGE(B1925:B1928)</f>
        <v/>
      </c>
      <c r="F1928" s="32">
        <f>(Table2634[[#This Row],[4 weeks average]]-B1876)/B1876</f>
        <v/>
      </c>
    </row>
    <row r="1929">
      <c r="A1929" s="22" t="n">
        <v>40861</v>
      </c>
      <c r="B1929" s="24">
        <f>VLOOKUP(Table2634[[#This Row],[Date]],'DB Money Supply'!$A:$D,4)</f>
        <v/>
      </c>
      <c r="C1929" s="30">
        <f>(Table2634[[#This Row],[M1 Money Stock, Billions of Dollars, Weekly, Seasonally Adjusted]]-B1928)/B1928</f>
        <v/>
      </c>
      <c r="D1929" s="34">
        <f>((1+Table2634[[#This Row],[Weekly change]])^52)-1</f>
        <v/>
      </c>
      <c r="E1929" s="24">
        <f>AVERAGE(B1926:B1929)</f>
        <v/>
      </c>
      <c r="F1929" s="32">
        <f>(Table2634[[#This Row],[4 weeks average]]-B1877)/B1877</f>
        <v/>
      </c>
    </row>
    <row r="1930">
      <c r="A1930" s="22" t="n">
        <v>40868</v>
      </c>
      <c r="B1930" s="24">
        <f>VLOOKUP(Table2634[[#This Row],[Date]],'DB Money Supply'!$A:$D,4)</f>
        <v/>
      </c>
      <c r="C1930" s="30">
        <f>(Table2634[[#This Row],[M1 Money Stock, Billions of Dollars, Weekly, Seasonally Adjusted]]-B1929)/B1929</f>
        <v/>
      </c>
      <c r="D1930" s="34">
        <f>((1+Table2634[[#This Row],[Weekly change]])^52)-1</f>
        <v/>
      </c>
      <c r="E1930" s="24">
        <f>AVERAGE(B1927:B1930)</f>
        <v/>
      </c>
      <c r="F1930" s="32">
        <f>(Table2634[[#This Row],[4 weeks average]]-B1878)/B1878</f>
        <v/>
      </c>
    </row>
    <row r="1931">
      <c r="A1931" s="22" t="n">
        <v>40875</v>
      </c>
      <c r="B1931" s="24">
        <f>VLOOKUP(Table2634[[#This Row],[Date]],'DB Money Supply'!$A:$D,4)</f>
        <v/>
      </c>
      <c r="C1931" s="30">
        <f>(Table2634[[#This Row],[M1 Money Stock, Billions of Dollars, Weekly, Seasonally Adjusted]]-B1930)/B1930</f>
        <v/>
      </c>
      <c r="D1931" s="34">
        <f>((1+Table2634[[#This Row],[Weekly change]])^52)-1</f>
        <v/>
      </c>
      <c r="E1931" s="24">
        <f>AVERAGE(B1928:B1931)</f>
        <v/>
      </c>
      <c r="F1931" s="32">
        <f>(Table2634[[#This Row],[4 weeks average]]-B1879)/B1879</f>
        <v/>
      </c>
    </row>
    <row r="1932">
      <c r="A1932" s="22" t="n">
        <v>40882</v>
      </c>
      <c r="B1932" s="24">
        <f>VLOOKUP(Table2634[[#This Row],[Date]],'DB Money Supply'!$A:$D,4)</f>
        <v/>
      </c>
      <c r="C1932" s="30">
        <f>(Table2634[[#This Row],[M1 Money Stock, Billions of Dollars, Weekly, Seasonally Adjusted]]-B1931)/B1931</f>
        <v/>
      </c>
      <c r="D1932" s="34">
        <f>((1+Table2634[[#This Row],[Weekly change]])^52)-1</f>
        <v/>
      </c>
      <c r="E1932" s="24">
        <f>AVERAGE(B1929:B1932)</f>
        <v/>
      </c>
      <c r="F1932" s="32">
        <f>(Table2634[[#This Row],[4 weeks average]]-B1880)/B1880</f>
        <v/>
      </c>
    </row>
    <row r="1933">
      <c r="A1933" s="22" t="n">
        <v>40889</v>
      </c>
      <c r="B1933" s="24">
        <f>VLOOKUP(Table2634[[#This Row],[Date]],'DB Money Supply'!$A:$D,4)</f>
        <v/>
      </c>
      <c r="C1933" s="30">
        <f>(Table2634[[#This Row],[M1 Money Stock, Billions of Dollars, Weekly, Seasonally Adjusted]]-B1932)/B1932</f>
        <v/>
      </c>
      <c r="D1933" s="34">
        <f>((1+Table2634[[#This Row],[Weekly change]])^52)-1</f>
        <v/>
      </c>
      <c r="E1933" s="24">
        <f>AVERAGE(B1930:B1933)</f>
        <v/>
      </c>
      <c r="F1933" s="32">
        <f>(Table2634[[#This Row],[4 weeks average]]-B1881)/B1881</f>
        <v/>
      </c>
    </row>
    <row r="1934">
      <c r="A1934" s="22" t="n">
        <v>40896</v>
      </c>
      <c r="B1934" s="24">
        <f>VLOOKUP(Table2634[[#This Row],[Date]],'DB Money Supply'!$A:$D,4)</f>
        <v/>
      </c>
      <c r="C1934" s="30">
        <f>(Table2634[[#This Row],[M1 Money Stock, Billions of Dollars, Weekly, Seasonally Adjusted]]-B1933)/B1933</f>
        <v/>
      </c>
      <c r="D1934" s="34">
        <f>((1+Table2634[[#This Row],[Weekly change]])^52)-1</f>
        <v/>
      </c>
      <c r="E1934" s="24">
        <f>AVERAGE(B1931:B1934)</f>
        <v/>
      </c>
      <c r="F1934" s="32">
        <f>(Table2634[[#This Row],[4 weeks average]]-B1882)/B1882</f>
        <v/>
      </c>
    </row>
    <row r="1935">
      <c r="A1935" s="22" t="n">
        <v>40903</v>
      </c>
      <c r="B1935" s="24">
        <f>VLOOKUP(Table2634[[#This Row],[Date]],'DB Money Supply'!$A:$D,4)</f>
        <v/>
      </c>
      <c r="C1935" s="30">
        <f>(Table2634[[#This Row],[M1 Money Stock, Billions of Dollars, Weekly, Seasonally Adjusted]]-B1934)/B1934</f>
        <v/>
      </c>
      <c r="D1935" s="34">
        <f>((1+Table2634[[#This Row],[Weekly change]])^52)-1</f>
        <v/>
      </c>
      <c r="E1935" s="24">
        <f>AVERAGE(B1932:B1935)</f>
        <v/>
      </c>
      <c r="F1935" s="32">
        <f>(Table2634[[#This Row],[4 weeks average]]-B1883)/B1883</f>
        <v/>
      </c>
    </row>
    <row r="1936">
      <c r="A1936" s="22" t="n">
        <v>40910</v>
      </c>
      <c r="B1936" s="24">
        <f>VLOOKUP(Table2634[[#This Row],[Date]],'DB Money Supply'!$A:$D,4)</f>
        <v/>
      </c>
      <c r="C1936" s="30">
        <f>(Table2634[[#This Row],[M1 Money Stock, Billions of Dollars, Weekly, Seasonally Adjusted]]-B1935)/B1935</f>
        <v/>
      </c>
      <c r="D1936" s="34">
        <f>((1+Table2634[[#This Row],[Weekly change]])^52)-1</f>
        <v/>
      </c>
      <c r="E1936" s="24">
        <f>AVERAGE(B1933:B1936)</f>
        <v/>
      </c>
      <c r="F1936" s="32">
        <f>(Table2634[[#This Row],[4 weeks average]]-B1884)/B1884</f>
        <v/>
      </c>
    </row>
    <row r="1937">
      <c r="A1937" s="22" t="n">
        <v>40917</v>
      </c>
      <c r="B1937" s="24">
        <f>VLOOKUP(Table2634[[#This Row],[Date]],'DB Money Supply'!$A:$D,4)</f>
        <v/>
      </c>
      <c r="C1937" s="30">
        <f>(Table2634[[#This Row],[M1 Money Stock, Billions of Dollars, Weekly, Seasonally Adjusted]]-B1936)/B1936</f>
        <v/>
      </c>
      <c r="D1937" s="34">
        <f>((1+Table2634[[#This Row],[Weekly change]])^52)-1</f>
        <v/>
      </c>
      <c r="E1937" s="24">
        <f>AVERAGE(B1934:B1937)</f>
        <v/>
      </c>
      <c r="F1937" s="32">
        <f>(Table2634[[#This Row],[4 weeks average]]-B1885)/B1885</f>
        <v/>
      </c>
    </row>
    <row r="1938">
      <c r="A1938" s="22" t="n">
        <v>40924</v>
      </c>
      <c r="B1938" s="24">
        <f>VLOOKUP(Table2634[[#This Row],[Date]],'DB Money Supply'!$A:$D,4)</f>
        <v/>
      </c>
      <c r="C1938" s="30">
        <f>(Table2634[[#This Row],[M1 Money Stock, Billions of Dollars, Weekly, Seasonally Adjusted]]-B1937)/B1937</f>
        <v/>
      </c>
      <c r="D1938" s="34">
        <f>((1+Table2634[[#This Row],[Weekly change]])^52)-1</f>
        <v/>
      </c>
      <c r="E1938" s="24">
        <f>AVERAGE(B1935:B1938)</f>
        <v/>
      </c>
      <c r="F1938" s="32">
        <f>(Table2634[[#This Row],[4 weeks average]]-B1886)/B1886</f>
        <v/>
      </c>
    </row>
    <row r="1939">
      <c r="A1939" s="22" t="n">
        <v>40931</v>
      </c>
      <c r="B1939" s="24">
        <f>VLOOKUP(Table2634[[#This Row],[Date]],'DB Money Supply'!$A:$D,4)</f>
        <v/>
      </c>
      <c r="C1939" s="30">
        <f>(Table2634[[#This Row],[M1 Money Stock, Billions of Dollars, Weekly, Seasonally Adjusted]]-B1938)/B1938</f>
        <v/>
      </c>
      <c r="D1939" s="34">
        <f>((1+Table2634[[#This Row],[Weekly change]])^52)-1</f>
        <v/>
      </c>
      <c r="E1939" s="24">
        <f>AVERAGE(B1936:B1939)</f>
        <v/>
      </c>
      <c r="F1939" s="32">
        <f>(Table2634[[#This Row],[4 weeks average]]-B1887)/B1887</f>
        <v/>
      </c>
    </row>
    <row r="1940">
      <c r="A1940" s="22" t="n">
        <v>40938</v>
      </c>
      <c r="B1940" s="24">
        <f>VLOOKUP(Table2634[[#This Row],[Date]],'DB Money Supply'!$A:$D,4)</f>
        <v/>
      </c>
      <c r="C1940" s="30">
        <f>(Table2634[[#This Row],[M1 Money Stock, Billions of Dollars, Weekly, Seasonally Adjusted]]-B1939)/B1939</f>
        <v/>
      </c>
      <c r="D1940" s="34">
        <f>((1+Table2634[[#This Row],[Weekly change]])^52)-1</f>
        <v/>
      </c>
      <c r="E1940" s="24">
        <f>AVERAGE(B1937:B1940)</f>
        <v/>
      </c>
      <c r="F1940" s="32">
        <f>(Table2634[[#This Row],[4 weeks average]]-B1888)/B1888</f>
        <v/>
      </c>
    </row>
    <row r="1941">
      <c r="A1941" s="22" t="n">
        <v>40945</v>
      </c>
      <c r="B1941" s="24">
        <f>VLOOKUP(Table2634[[#This Row],[Date]],'DB Money Supply'!$A:$D,4)</f>
        <v/>
      </c>
      <c r="C1941" s="30">
        <f>(Table2634[[#This Row],[M1 Money Stock, Billions of Dollars, Weekly, Seasonally Adjusted]]-B1940)/B1940</f>
        <v/>
      </c>
      <c r="D1941" s="34">
        <f>((1+Table2634[[#This Row],[Weekly change]])^52)-1</f>
        <v/>
      </c>
      <c r="E1941" s="24">
        <f>AVERAGE(B1938:B1941)</f>
        <v/>
      </c>
      <c r="F1941" s="32">
        <f>(Table2634[[#This Row],[4 weeks average]]-B1889)/B1889</f>
        <v/>
      </c>
    </row>
    <row r="1942">
      <c r="A1942" s="22" t="n">
        <v>40952</v>
      </c>
      <c r="B1942" s="24">
        <f>VLOOKUP(Table2634[[#This Row],[Date]],'DB Money Supply'!$A:$D,4)</f>
        <v/>
      </c>
      <c r="C1942" s="30">
        <f>(Table2634[[#This Row],[M1 Money Stock, Billions of Dollars, Weekly, Seasonally Adjusted]]-B1941)/B1941</f>
        <v/>
      </c>
      <c r="D1942" s="34">
        <f>((1+Table2634[[#This Row],[Weekly change]])^52)-1</f>
        <v/>
      </c>
      <c r="E1942" s="24">
        <f>AVERAGE(B1939:B1942)</f>
        <v/>
      </c>
      <c r="F1942" s="32">
        <f>(Table2634[[#This Row],[4 weeks average]]-B1890)/B1890</f>
        <v/>
      </c>
    </row>
    <row r="1943">
      <c r="A1943" s="22" t="n">
        <v>40959</v>
      </c>
      <c r="B1943" s="24">
        <f>VLOOKUP(Table2634[[#This Row],[Date]],'DB Money Supply'!$A:$D,4)</f>
        <v/>
      </c>
      <c r="C1943" s="30">
        <f>(Table2634[[#This Row],[M1 Money Stock, Billions of Dollars, Weekly, Seasonally Adjusted]]-B1942)/B1942</f>
        <v/>
      </c>
      <c r="D1943" s="34">
        <f>((1+Table2634[[#This Row],[Weekly change]])^52)-1</f>
        <v/>
      </c>
      <c r="E1943" s="24">
        <f>AVERAGE(B1940:B1943)</f>
        <v/>
      </c>
      <c r="F1943" s="32">
        <f>(Table2634[[#This Row],[4 weeks average]]-B1891)/B1891</f>
        <v/>
      </c>
    </row>
    <row r="1944">
      <c r="A1944" s="22" t="n">
        <v>40966</v>
      </c>
      <c r="B1944" s="24">
        <f>VLOOKUP(Table2634[[#This Row],[Date]],'DB Money Supply'!$A:$D,4)</f>
        <v/>
      </c>
      <c r="C1944" s="30">
        <f>(Table2634[[#This Row],[M1 Money Stock, Billions of Dollars, Weekly, Seasonally Adjusted]]-B1943)/B1943</f>
        <v/>
      </c>
      <c r="D1944" s="34">
        <f>((1+Table2634[[#This Row],[Weekly change]])^52)-1</f>
        <v/>
      </c>
      <c r="E1944" s="24">
        <f>AVERAGE(B1941:B1944)</f>
        <v/>
      </c>
      <c r="F1944" s="32">
        <f>(Table2634[[#This Row],[4 weeks average]]-B1892)/B1892</f>
        <v/>
      </c>
    </row>
    <row r="1945">
      <c r="A1945" s="22" t="n">
        <v>40973</v>
      </c>
      <c r="B1945" s="24">
        <f>VLOOKUP(Table2634[[#This Row],[Date]],'DB Money Supply'!$A:$D,4)</f>
        <v/>
      </c>
      <c r="C1945" s="30">
        <f>(Table2634[[#This Row],[M1 Money Stock, Billions of Dollars, Weekly, Seasonally Adjusted]]-B1944)/B1944</f>
        <v/>
      </c>
      <c r="D1945" s="34">
        <f>((1+Table2634[[#This Row],[Weekly change]])^52)-1</f>
        <v/>
      </c>
      <c r="E1945" s="24">
        <f>AVERAGE(B1942:B1945)</f>
        <v/>
      </c>
      <c r="F1945" s="32">
        <f>(Table2634[[#This Row],[4 weeks average]]-B1893)/B1893</f>
        <v/>
      </c>
    </row>
    <row r="1946">
      <c r="A1946" s="22" t="n">
        <v>40980</v>
      </c>
      <c r="B1946" s="24">
        <f>VLOOKUP(Table2634[[#This Row],[Date]],'DB Money Supply'!$A:$D,4)</f>
        <v/>
      </c>
      <c r="C1946" s="30">
        <f>(Table2634[[#This Row],[M1 Money Stock, Billions of Dollars, Weekly, Seasonally Adjusted]]-B1945)/B1945</f>
        <v/>
      </c>
      <c r="D1946" s="34">
        <f>((1+Table2634[[#This Row],[Weekly change]])^52)-1</f>
        <v/>
      </c>
      <c r="E1946" s="24">
        <f>AVERAGE(B1943:B1946)</f>
        <v/>
      </c>
      <c r="F1946" s="32">
        <f>(Table2634[[#This Row],[4 weeks average]]-B1894)/B1894</f>
        <v/>
      </c>
    </row>
    <row r="1947">
      <c r="A1947" s="22" t="n">
        <v>40987</v>
      </c>
      <c r="B1947" s="24">
        <f>VLOOKUP(Table2634[[#This Row],[Date]],'DB Money Supply'!$A:$D,4)</f>
        <v/>
      </c>
      <c r="C1947" s="30">
        <f>(Table2634[[#This Row],[M1 Money Stock, Billions of Dollars, Weekly, Seasonally Adjusted]]-B1946)/B1946</f>
        <v/>
      </c>
      <c r="D1947" s="34">
        <f>((1+Table2634[[#This Row],[Weekly change]])^52)-1</f>
        <v/>
      </c>
      <c r="E1947" s="24">
        <f>AVERAGE(B1944:B1947)</f>
        <v/>
      </c>
      <c r="F1947" s="32">
        <f>(Table2634[[#This Row],[4 weeks average]]-B1895)/B1895</f>
        <v/>
      </c>
    </row>
    <row r="1948">
      <c r="A1948" s="22" t="n">
        <v>40994</v>
      </c>
      <c r="B1948" s="24">
        <f>VLOOKUP(Table2634[[#This Row],[Date]],'DB Money Supply'!$A:$D,4)</f>
        <v/>
      </c>
      <c r="C1948" s="30">
        <f>(Table2634[[#This Row],[M1 Money Stock, Billions of Dollars, Weekly, Seasonally Adjusted]]-B1947)/B1947</f>
        <v/>
      </c>
      <c r="D1948" s="34">
        <f>((1+Table2634[[#This Row],[Weekly change]])^52)-1</f>
        <v/>
      </c>
      <c r="E1948" s="24">
        <f>AVERAGE(B1945:B1948)</f>
        <v/>
      </c>
      <c r="F1948" s="32">
        <f>(Table2634[[#This Row],[4 weeks average]]-B1896)/B1896</f>
        <v/>
      </c>
    </row>
    <row r="1949">
      <c r="A1949" s="22" t="n">
        <v>41001</v>
      </c>
      <c r="B1949" s="24">
        <f>VLOOKUP(Table2634[[#This Row],[Date]],'DB Money Supply'!$A:$D,4)</f>
        <v/>
      </c>
      <c r="C1949" s="30">
        <f>(Table2634[[#This Row],[M1 Money Stock, Billions of Dollars, Weekly, Seasonally Adjusted]]-B1948)/B1948</f>
        <v/>
      </c>
      <c r="D1949" s="34">
        <f>((1+Table2634[[#This Row],[Weekly change]])^52)-1</f>
        <v/>
      </c>
      <c r="E1949" s="24">
        <f>AVERAGE(B1946:B1949)</f>
        <v/>
      </c>
      <c r="F1949" s="32">
        <f>(Table2634[[#This Row],[4 weeks average]]-B1897)/B1897</f>
        <v/>
      </c>
    </row>
    <row r="1950">
      <c r="A1950" s="22" t="n">
        <v>41008</v>
      </c>
      <c r="B1950" s="24">
        <f>VLOOKUP(Table2634[[#This Row],[Date]],'DB Money Supply'!$A:$D,4)</f>
        <v/>
      </c>
      <c r="C1950" s="30">
        <f>(Table2634[[#This Row],[M1 Money Stock, Billions of Dollars, Weekly, Seasonally Adjusted]]-B1949)/B1949</f>
        <v/>
      </c>
      <c r="D1950" s="34">
        <f>((1+Table2634[[#This Row],[Weekly change]])^52)-1</f>
        <v/>
      </c>
      <c r="E1950" s="24">
        <f>AVERAGE(B1947:B1950)</f>
        <v/>
      </c>
      <c r="F1950" s="32">
        <f>(Table2634[[#This Row],[4 weeks average]]-B1898)/B1898</f>
        <v/>
      </c>
    </row>
    <row r="1951">
      <c r="A1951" s="22" t="n">
        <v>41015</v>
      </c>
      <c r="B1951" s="24">
        <f>VLOOKUP(Table2634[[#This Row],[Date]],'DB Money Supply'!$A:$D,4)</f>
        <v/>
      </c>
      <c r="C1951" s="30">
        <f>(Table2634[[#This Row],[M1 Money Stock, Billions of Dollars, Weekly, Seasonally Adjusted]]-B1950)/B1950</f>
        <v/>
      </c>
      <c r="D1951" s="34">
        <f>((1+Table2634[[#This Row],[Weekly change]])^52)-1</f>
        <v/>
      </c>
      <c r="E1951" s="24">
        <f>AVERAGE(B1948:B1951)</f>
        <v/>
      </c>
      <c r="F1951" s="32">
        <f>(Table2634[[#This Row],[4 weeks average]]-B1899)/B1899</f>
        <v/>
      </c>
    </row>
    <row r="1952">
      <c r="A1952" s="22" t="n">
        <v>41022</v>
      </c>
      <c r="B1952" s="24">
        <f>VLOOKUP(Table2634[[#This Row],[Date]],'DB Money Supply'!$A:$D,4)</f>
        <v/>
      </c>
      <c r="C1952" s="30">
        <f>(Table2634[[#This Row],[M1 Money Stock, Billions of Dollars, Weekly, Seasonally Adjusted]]-B1951)/B1951</f>
        <v/>
      </c>
      <c r="D1952" s="34">
        <f>((1+Table2634[[#This Row],[Weekly change]])^52)-1</f>
        <v/>
      </c>
      <c r="E1952" s="24">
        <f>AVERAGE(B1949:B1952)</f>
        <v/>
      </c>
      <c r="F1952" s="32">
        <f>(Table2634[[#This Row],[4 weeks average]]-B1900)/B1900</f>
        <v/>
      </c>
    </row>
    <row r="1953">
      <c r="A1953" s="22" t="n">
        <v>41029</v>
      </c>
      <c r="B1953" s="24">
        <f>VLOOKUP(Table2634[[#This Row],[Date]],'DB Money Supply'!$A:$D,4)</f>
        <v/>
      </c>
      <c r="C1953" s="30">
        <f>(Table2634[[#This Row],[M1 Money Stock, Billions of Dollars, Weekly, Seasonally Adjusted]]-B1952)/B1952</f>
        <v/>
      </c>
      <c r="D1953" s="34">
        <f>((1+Table2634[[#This Row],[Weekly change]])^52)-1</f>
        <v/>
      </c>
      <c r="E1953" s="24">
        <f>AVERAGE(B1950:B1953)</f>
        <v/>
      </c>
      <c r="F1953" s="32">
        <f>(Table2634[[#This Row],[4 weeks average]]-B1901)/B1901</f>
        <v/>
      </c>
    </row>
    <row r="1954">
      <c r="A1954" s="22" t="n">
        <v>41036</v>
      </c>
      <c r="B1954" s="24">
        <f>VLOOKUP(Table2634[[#This Row],[Date]],'DB Money Supply'!$A:$D,4)</f>
        <v/>
      </c>
      <c r="C1954" s="30">
        <f>(Table2634[[#This Row],[M1 Money Stock, Billions of Dollars, Weekly, Seasonally Adjusted]]-B1953)/B1953</f>
        <v/>
      </c>
      <c r="D1954" s="34">
        <f>((1+Table2634[[#This Row],[Weekly change]])^52)-1</f>
        <v/>
      </c>
      <c r="E1954" s="24">
        <f>AVERAGE(B1951:B1954)</f>
        <v/>
      </c>
      <c r="F1954" s="32">
        <f>(Table2634[[#This Row],[4 weeks average]]-B1902)/B1902</f>
        <v/>
      </c>
    </row>
    <row r="1955">
      <c r="A1955" s="22" t="n">
        <v>41043</v>
      </c>
      <c r="B1955" s="24">
        <f>VLOOKUP(Table2634[[#This Row],[Date]],'DB Money Supply'!$A:$D,4)</f>
        <v/>
      </c>
      <c r="C1955" s="30">
        <f>(Table2634[[#This Row],[M1 Money Stock, Billions of Dollars, Weekly, Seasonally Adjusted]]-B1954)/B1954</f>
        <v/>
      </c>
      <c r="D1955" s="34">
        <f>((1+Table2634[[#This Row],[Weekly change]])^52)-1</f>
        <v/>
      </c>
      <c r="E1955" s="24">
        <f>AVERAGE(B1952:B1955)</f>
        <v/>
      </c>
      <c r="F1955" s="32">
        <f>(Table2634[[#This Row],[4 weeks average]]-B1903)/B1903</f>
        <v/>
      </c>
    </row>
    <row r="1956">
      <c r="A1956" s="22" t="n">
        <v>41050</v>
      </c>
      <c r="B1956" s="24">
        <f>VLOOKUP(Table2634[[#This Row],[Date]],'DB Money Supply'!$A:$D,4)</f>
        <v/>
      </c>
      <c r="C1956" s="30">
        <f>(Table2634[[#This Row],[M1 Money Stock, Billions of Dollars, Weekly, Seasonally Adjusted]]-B1955)/B1955</f>
        <v/>
      </c>
      <c r="D1956" s="34">
        <f>((1+Table2634[[#This Row],[Weekly change]])^52)-1</f>
        <v/>
      </c>
      <c r="E1956" s="24">
        <f>AVERAGE(B1953:B1956)</f>
        <v/>
      </c>
      <c r="F1956" s="32">
        <f>(Table2634[[#This Row],[4 weeks average]]-B1904)/B1904</f>
        <v/>
      </c>
    </row>
    <row r="1957">
      <c r="A1957" s="22" t="n">
        <v>41057</v>
      </c>
      <c r="B1957" s="24">
        <f>VLOOKUP(Table2634[[#This Row],[Date]],'DB Money Supply'!$A:$D,4)</f>
        <v/>
      </c>
      <c r="C1957" s="30">
        <f>(Table2634[[#This Row],[M1 Money Stock, Billions of Dollars, Weekly, Seasonally Adjusted]]-B1956)/B1956</f>
        <v/>
      </c>
      <c r="D1957" s="34">
        <f>((1+Table2634[[#This Row],[Weekly change]])^52)-1</f>
        <v/>
      </c>
      <c r="E1957" s="24">
        <f>AVERAGE(B1954:B1957)</f>
        <v/>
      </c>
      <c r="F1957" s="32">
        <f>(Table2634[[#This Row],[4 weeks average]]-B1905)/B1905</f>
        <v/>
      </c>
    </row>
    <row r="1958">
      <c r="A1958" s="22" t="n">
        <v>41064</v>
      </c>
      <c r="B1958" s="24">
        <f>VLOOKUP(Table2634[[#This Row],[Date]],'DB Money Supply'!$A:$D,4)</f>
        <v/>
      </c>
      <c r="C1958" s="30">
        <f>(Table2634[[#This Row],[M1 Money Stock, Billions of Dollars, Weekly, Seasonally Adjusted]]-B1957)/B1957</f>
        <v/>
      </c>
      <c r="D1958" s="34">
        <f>((1+Table2634[[#This Row],[Weekly change]])^52)-1</f>
        <v/>
      </c>
      <c r="E1958" s="24">
        <f>AVERAGE(B1955:B1958)</f>
        <v/>
      </c>
      <c r="F1958" s="32">
        <f>(Table2634[[#This Row],[4 weeks average]]-B1906)/B1906</f>
        <v/>
      </c>
    </row>
    <row r="1959">
      <c r="A1959" s="22" t="n">
        <v>41071</v>
      </c>
      <c r="B1959" s="24">
        <f>VLOOKUP(Table2634[[#This Row],[Date]],'DB Money Supply'!$A:$D,4)</f>
        <v/>
      </c>
      <c r="C1959" s="30">
        <f>(Table2634[[#This Row],[M1 Money Stock, Billions of Dollars, Weekly, Seasonally Adjusted]]-B1958)/B1958</f>
        <v/>
      </c>
      <c r="D1959" s="34">
        <f>((1+Table2634[[#This Row],[Weekly change]])^52)-1</f>
        <v/>
      </c>
      <c r="E1959" s="24">
        <f>AVERAGE(B1956:B1959)</f>
        <v/>
      </c>
      <c r="F1959" s="32">
        <f>(Table2634[[#This Row],[4 weeks average]]-B1907)/B1907</f>
        <v/>
      </c>
    </row>
    <row r="1960">
      <c r="A1960" s="22" t="n">
        <v>41078</v>
      </c>
      <c r="B1960" s="24">
        <f>VLOOKUP(Table2634[[#This Row],[Date]],'DB Money Supply'!$A:$D,4)</f>
        <v/>
      </c>
      <c r="C1960" s="30">
        <f>(Table2634[[#This Row],[M1 Money Stock, Billions of Dollars, Weekly, Seasonally Adjusted]]-B1959)/B1959</f>
        <v/>
      </c>
      <c r="D1960" s="34">
        <f>((1+Table2634[[#This Row],[Weekly change]])^52)-1</f>
        <v/>
      </c>
      <c r="E1960" s="24">
        <f>AVERAGE(B1957:B1960)</f>
        <v/>
      </c>
      <c r="F1960" s="32">
        <f>(Table2634[[#This Row],[4 weeks average]]-B1908)/B1908</f>
        <v/>
      </c>
    </row>
    <row r="1961">
      <c r="A1961" s="22" t="n">
        <v>41085</v>
      </c>
      <c r="B1961" s="24">
        <f>VLOOKUP(Table2634[[#This Row],[Date]],'DB Money Supply'!$A:$D,4)</f>
        <v/>
      </c>
      <c r="C1961" s="30">
        <f>(Table2634[[#This Row],[M1 Money Stock, Billions of Dollars, Weekly, Seasonally Adjusted]]-B1960)/B1960</f>
        <v/>
      </c>
      <c r="D1961" s="34">
        <f>((1+Table2634[[#This Row],[Weekly change]])^52)-1</f>
        <v/>
      </c>
      <c r="E1961" s="24">
        <f>AVERAGE(B1958:B1961)</f>
        <v/>
      </c>
      <c r="F1961" s="32">
        <f>(Table2634[[#This Row],[4 weeks average]]-B1909)/B1909</f>
        <v/>
      </c>
    </row>
    <row r="1962">
      <c r="A1962" s="22" t="n">
        <v>41092</v>
      </c>
      <c r="B1962" s="24">
        <f>VLOOKUP(Table2634[[#This Row],[Date]],'DB Money Supply'!$A:$D,4)</f>
        <v/>
      </c>
      <c r="C1962" s="30">
        <f>(Table2634[[#This Row],[M1 Money Stock, Billions of Dollars, Weekly, Seasonally Adjusted]]-B1961)/B1961</f>
        <v/>
      </c>
      <c r="D1962" s="34">
        <f>((1+Table2634[[#This Row],[Weekly change]])^52)-1</f>
        <v/>
      </c>
      <c r="E1962" s="24">
        <f>AVERAGE(B1959:B1962)</f>
        <v/>
      </c>
      <c r="F1962" s="32">
        <f>(Table2634[[#This Row],[4 weeks average]]-B1910)/B1910</f>
        <v/>
      </c>
    </row>
    <row r="1963">
      <c r="A1963" s="22" t="n">
        <v>41099</v>
      </c>
      <c r="B1963" s="24">
        <f>VLOOKUP(Table2634[[#This Row],[Date]],'DB Money Supply'!$A:$D,4)</f>
        <v/>
      </c>
      <c r="C1963" s="30">
        <f>(Table2634[[#This Row],[M1 Money Stock, Billions of Dollars, Weekly, Seasonally Adjusted]]-B1962)/B1962</f>
        <v/>
      </c>
      <c r="D1963" s="34">
        <f>((1+Table2634[[#This Row],[Weekly change]])^52)-1</f>
        <v/>
      </c>
      <c r="E1963" s="24">
        <f>AVERAGE(B1960:B1963)</f>
        <v/>
      </c>
      <c r="F1963" s="32">
        <f>(Table2634[[#This Row],[4 weeks average]]-B1911)/B1911</f>
        <v/>
      </c>
    </row>
    <row r="1964">
      <c r="A1964" s="22" t="n">
        <v>41106</v>
      </c>
      <c r="B1964" s="24">
        <f>VLOOKUP(Table2634[[#This Row],[Date]],'DB Money Supply'!$A:$D,4)</f>
        <v/>
      </c>
      <c r="C1964" s="30">
        <f>(Table2634[[#This Row],[M1 Money Stock, Billions of Dollars, Weekly, Seasonally Adjusted]]-B1963)/B1963</f>
        <v/>
      </c>
      <c r="D1964" s="34">
        <f>((1+Table2634[[#This Row],[Weekly change]])^52)-1</f>
        <v/>
      </c>
      <c r="E1964" s="24">
        <f>AVERAGE(B1961:B1964)</f>
        <v/>
      </c>
      <c r="F1964" s="32">
        <f>(Table2634[[#This Row],[4 weeks average]]-B1912)/B1912</f>
        <v/>
      </c>
    </row>
    <row r="1965">
      <c r="A1965" s="22" t="n">
        <v>41113</v>
      </c>
      <c r="B1965" s="24">
        <f>VLOOKUP(Table2634[[#This Row],[Date]],'DB Money Supply'!$A:$D,4)</f>
        <v/>
      </c>
      <c r="C1965" s="30">
        <f>(Table2634[[#This Row],[M1 Money Stock, Billions of Dollars, Weekly, Seasonally Adjusted]]-B1964)/B1964</f>
        <v/>
      </c>
      <c r="D1965" s="34">
        <f>((1+Table2634[[#This Row],[Weekly change]])^52)-1</f>
        <v/>
      </c>
      <c r="E1965" s="24">
        <f>AVERAGE(B1962:B1965)</f>
        <v/>
      </c>
      <c r="F1965" s="32">
        <f>(Table2634[[#This Row],[4 weeks average]]-B1913)/B1913</f>
        <v/>
      </c>
    </row>
    <row r="1966">
      <c r="A1966" s="22" t="n">
        <v>41120</v>
      </c>
      <c r="B1966" s="24">
        <f>VLOOKUP(Table2634[[#This Row],[Date]],'DB Money Supply'!$A:$D,4)</f>
        <v/>
      </c>
      <c r="C1966" s="30">
        <f>(Table2634[[#This Row],[M1 Money Stock, Billions of Dollars, Weekly, Seasonally Adjusted]]-B1965)/B1965</f>
        <v/>
      </c>
      <c r="D1966" s="34">
        <f>((1+Table2634[[#This Row],[Weekly change]])^52)-1</f>
        <v/>
      </c>
      <c r="E1966" s="24">
        <f>AVERAGE(B1963:B1966)</f>
        <v/>
      </c>
      <c r="F1966" s="32">
        <f>(Table2634[[#This Row],[4 weeks average]]-B1914)/B1914</f>
        <v/>
      </c>
    </row>
    <row r="1967">
      <c r="A1967" s="22" t="n">
        <v>41127</v>
      </c>
      <c r="B1967" s="24">
        <f>VLOOKUP(Table2634[[#This Row],[Date]],'DB Money Supply'!$A:$D,4)</f>
        <v/>
      </c>
      <c r="C1967" s="30">
        <f>(Table2634[[#This Row],[M1 Money Stock, Billions of Dollars, Weekly, Seasonally Adjusted]]-B1966)/B1966</f>
        <v/>
      </c>
      <c r="D1967" s="34">
        <f>((1+Table2634[[#This Row],[Weekly change]])^52)-1</f>
        <v/>
      </c>
      <c r="E1967" s="24">
        <f>AVERAGE(B1964:B1967)</f>
        <v/>
      </c>
      <c r="F1967" s="32">
        <f>(Table2634[[#This Row],[4 weeks average]]-B1915)/B1915</f>
        <v/>
      </c>
    </row>
    <row r="1968">
      <c r="A1968" s="22" t="n">
        <v>41134</v>
      </c>
      <c r="B1968" s="24">
        <f>VLOOKUP(Table2634[[#This Row],[Date]],'DB Money Supply'!$A:$D,4)</f>
        <v/>
      </c>
      <c r="C1968" s="30">
        <f>(Table2634[[#This Row],[M1 Money Stock, Billions of Dollars, Weekly, Seasonally Adjusted]]-B1967)/B1967</f>
        <v/>
      </c>
      <c r="D1968" s="34">
        <f>((1+Table2634[[#This Row],[Weekly change]])^52)-1</f>
        <v/>
      </c>
      <c r="E1968" s="24">
        <f>AVERAGE(B1965:B1968)</f>
        <v/>
      </c>
      <c r="F1968" s="32">
        <f>(Table2634[[#This Row],[4 weeks average]]-B1916)/B1916</f>
        <v/>
      </c>
    </row>
    <row r="1969">
      <c r="A1969" s="22" t="n">
        <v>41141</v>
      </c>
      <c r="B1969" s="24">
        <f>VLOOKUP(Table2634[[#This Row],[Date]],'DB Money Supply'!$A:$D,4)</f>
        <v/>
      </c>
      <c r="C1969" s="30">
        <f>(Table2634[[#This Row],[M1 Money Stock, Billions of Dollars, Weekly, Seasonally Adjusted]]-B1968)/B1968</f>
        <v/>
      </c>
      <c r="D1969" s="34">
        <f>((1+Table2634[[#This Row],[Weekly change]])^52)-1</f>
        <v/>
      </c>
      <c r="E1969" s="24">
        <f>AVERAGE(B1966:B1969)</f>
        <v/>
      </c>
      <c r="F1969" s="32">
        <f>(Table2634[[#This Row],[4 weeks average]]-B1917)/B1917</f>
        <v/>
      </c>
    </row>
    <row r="1970">
      <c r="A1970" s="22" t="n">
        <v>41148</v>
      </c>
      <c r="B1970" s="24">
        <f>VLOOKUP(Table2634[[#This Row],[Date]],'DB Money Supply'!$A:$D,4)</f>
        <v/>
      </c>
      <c r="C1970" s="30">
        <f>(Table2634[[#This Row],[M1 Money Stock, Billions of Dollars, Weekly, Seasonally Adjusted]]-B1969)/B1969</f>
        <v/>
      </c>
      <c r="D1970" s="34">
        <f>((1+Table2634[[#This Row],[Weekly change]])^52)-1</f>
        <v/>
      </c>
      <c r="E1970" s="24">
        <f>AVERAGE(B1967:B1970)</f>
        <v/>
      </c>
      <c r="F1970" s="32">
        <f>(Table2634[[#This Row],[4 weeks average]]-B1918)/B1918</f>
        <v/>
      </c>
    </row>
    <row r="1971">
      <c r="A1971" s="22" t="n">
        <v>41155</v>
      </c>
      <c r="B1971" s="24">
        <f>VLOOKUP(Table2634[[#This Row],[Date]],'DB Money Supply'!$A:$D,4)</f>
        <v/>
      </c>
      <c r="C1971" s="30">
        <f>(Table2634[[#This Row],[M1 Money Stock, Billions of Dollars, Weekly, Seasonally Adjusted]]-B1970)/B1970</f>
        <v/>
      </c>
      <c r="D1971" s="34">
        <f>((1+Table2634[[#This Row],[Weekly change]])^52)-1</f>
        <v/>
      </c>
      <c r="E1971" s="24">
        <f>AVERAGE(B1968:B1971)</f>
        <v/>
      </c>
      <c r="F1971" s="32">
        <f>(Table2634[[#This Row],[4 weeks average]]-B1919)/B1919</f>
        <v/>
      </c>
    </row>
    <row r="1972">
      <c r="A1972" s="22" t="n">
        <v>41162</v>
      </c>
      <c r="B1972" s="24">
        <f>VLOOKUP(Table2634[[#This Row],[Date]],'DB Money Supply'!$A:$D,4)</f>
        <v/>
      </c>
      <c r="C1972" s="30">
        <f>(Table2634[[#This Row],[M1 Money Stock, Billions of Dollars, Weekly, Seasonally Adjusted]]-B1971)/B1971</f>
        <v/>
      </c>
      <c r="D1972" s="34">
        <f>((1+Table2634[[#This Row],[Weekly change]])^52)-1</f>
        <v/>
      </c>
      <c r="E1972" s="24">
        <f>AVERAGE(B1969:B1972)</f>
        <v/>
      </c>
      <c r="F1972" s="32">
        <f>(Table2634[[#This Row],[4 weeks average]]-B1920)/B1920</f>
        <v/>
      </c>
    </row>
    <row r="1973">
      <c r="A1973" s="22" t="n">
        <v>41169</v>
      </c>
      <c r="B1973" s="24">
        <f>VLOOKUP(Table2634[[#This Row],[Date]],'DB Money Supply'!$A:$D,4)</f>
        <v/>
      </c>
      <c r="C1973" s="30">
        <f>(Table2634[[#This Row],[M1 Money Stock, Billions of Dollars, Weekly, Seasonally Adjusted]]-B1972)/B1972</f>
        <v/>
      </c>
      <c r="D1973" s="34">
        <f>((1+Table2634[[#This Row],[Weekly change]])^52)-1</f>
        <v/>
      </c>
      <c r="E1973" s="24">
        <f>AVERAGE(B1970:B1973)</f>
        <v/>
      </c>
      <c r="F1973" s="32">
        <f>(Table2634[[#This Row],[4 weeks average]]-B1921)/B1921</f>
        <v/>
      </c>
    </row>
    <row r="1974">
      <c r="A1974" s="22" t="n">
        <v>41176</v>
      </c>
      <c r="B1974" s="24">
        <f>VLOOKUP(Table2634[[#This Row],[Date]],'DB Money Supply'!$A:$D,4)</f>
        <v/>
      </c>
      <c r="C1974" s="30">
        <f>(Table2634[[#This Row],[M1 Money Stock, Billions of Dollars, Weekly, Seasonally Adjusted]]-B1973)/B1973</f>
        <v/>
      </c>
      <c r="D1974" s="34">
        <f>((1+Table2634[[#This Row],[Weekly change]])^52)-1</f>
        <v/>
      </c>
      <c r="E1974" s="24">
        <f>AVERAGE(B1971:B1974)</f>
        <v/>
      </c>
      <c r="F1974" s="32">
        <f>(Table2634[[#This Row],[4 weeks average]]-B1922)/B1922</f>
        <v/>
      </c>
    </row>
    <row r="1975">
      <c r="A1975" s="22" t="n">
        <v>41183</v>
      </c>
      <c r="B1975" s="24">
        <f>VLOOKUP(Table2634[[#This Row],[Date]],'DB Money Supply'!$A:$D,4)</f>
        <v/>
      </c>
      <c r="C1975" s="30">
        <f>(Table2634[[#This Row],[M1 Money Stock, Billions of Dollars, Weekly, Seasonally Adjusted]]-B1974)/B1974</f>
        <v/>
      </c>
      <c r="D1975" s="34">
        <f>((1+Table2634[[#This Row],[Weekly change]])^52)-1</f>
        <v/>
      </c>
      <c r="E1975" s="24">
        <f>AVERAGE(B1972:B1975)</f>
        <v/>
      </c>
      <c r="F1975" s="32">
        <f>(Table2634[[#This Row],[4 weeks average]]-B1923)/B1923</f>
        <v/>
      </c>
    </row>
    <row r="1976">
      <c r="A1976" s="22" t="n">
        <v>41190</v>
      </c>
      <c r="B1976" s="24">
        <f>VLOOKUP(Table2634[[#This Row],[Date]],'DB Money Supply'!$A:$D,4)</f>
        <v/>
      </c>
      <c r="C1976" s="30">
        <f>(Table2634[[#This Row],[M1 Money Stock, Billions of Dollars, Weekly, Seasonally Adjusted]]-B1975)/B1975</f>
        <v/>
      </c>
      <c r="D1976" s="34">
        <f>((1+Table2634[[#This Row],[Weekly change]])^52)-1</f>
        <v/>
      </c>
      <c r="E1976" s="24">
        <f>AVERAGE(B1973:B1976)</f>
        <v/>
      </c>
      <c r="F1976" s="32">
        <f>(Table2634[[#This Row],[4 weeks average]]-B1924)/B1924</f>
        <v/>
      </c>
    </row>
    <row r="1977">
      <c r="A1977" s="22" t="n">
        <v>41197</v>
      </c>
      <c r="B1977" s="24">
        <f>VLOOKUP(Table2634[[#This Row],[Date]],'DB Money Supply'!$A:$D,4)</f>
        <v/>
      </c>
      <c r="C1977" s="30">
        <f>(Table2634[[#This Row],[M1 Money Stock, Billions of Dollars, Weekly, Seasonally Adjusted]]-B1976)/B1976</f>
        <v/>
      </c>
      <c r="D1977" s="34">
        <f>((1+Table2634[[#This Row],[Weekly change]])^52)-1</f>
        <v/>
      </c>
      <c r="E1977" s="24">
        <f>AVERAGE(B1974:B1977)</f>
        <v/>
      </c>
      <c r="F1977" s="32">
        <f>(Table2634[[#This Row],[4 weeks average]]-B1925)/B1925</f>
        <v/>
      </c>
    </row>
    <row r="1978">
      <c r="A1978" s="22" t="n">
        <v>41204</v>
      </c>
      <c r="B1978" s="24">
        <f>VLOOKUP(Table2634[[#This Row],[Date]],'DB Money Supply'!$A:$D,4)</f>
        <v/>
      </c>
      <c r="C1978" s="30">
        <f>(Table2634[[#This Row],[M1 Money Stock, Billions of Dollars, Weekly, Seasonally Adjusted]]-B1977)/B1977</f>
        <v/>
      </c>
      <c r="D1978" s="34">
        <f>((1+Table2634[[#This Row],[Weekly change]])^52)-1</f>
        <v/>
      </c>
      <c r="E1978" s="24">
        <f>AVERAGE(B1975:B1978)</f>
        <v/>
      </c>
      <c r="F1978" s="32">
        <f>(Table2634[[#This Row],[4 weeks average]]-B1926)/B1926</f>
        <v/>
      </c>
    </row>
    <row r="1979">
      <c r="A1979" s="22" t="n">
        <v>41211</v>
      </c>
      <c r="B1979" s="24">
        <f>VLOOKUP(Table2634[[#This Row],[Date]],'DB Money Supply'!$A:$D,4)</f>
        <v/>
      </c>
      <c r="C1979" s="30">
        <f>(Table2634[[#This Row],[M1 Money Stock, Billions of Dollars, Weekly, Seasonally Adjusted]]-B1978)/B1978</f>
        <v/>
      </c>
      <c r="D1979" s="34">
        <f>((1+Table2634[[#This Row],[Weekly change]])^52)-1</f>
        <v/>
      </c>
      <c r="E1979" s="24">
        <f>AVERAGE(B1976:B1979)</f>
        <v/>
      </c>
      <c r="F1979" s="32">
        <f>(Table2634[[#This Row],[4 weeks average]]-B1927)/B1927</f>
        <v/>
      </c>
    </row>
    <row r="1980">
      <c r="A1980" s="22" t="n">
        <v>41218</v>
      </c>
      <c r="B1980" s="24">
        <f>VLOOKUP(Table2634[[#This Row],[Date]],'DB Money Supply'!$A:$D,4)</f>
        <v/>
      </c>
      <c r="C1980" s="30">
        <f>(Table2634[[#This Row],[M1 Money Stock, Billions of Dollars, Weekly, Seasonally Adjusted]]-B1979)/B1979</f>
        <v/>
      </c>
      <c r="D1980" s="34">
        <f>((1+Table2634[[#This Row],[Weekly change]])^52)-1</f>
        <v/>
      </c>
      <c r="E1980" s="24">
        <f>AVERAGE(B1977:B1980)</f>
        <v/>
      </c>
      <c r="F1980" s="32">
        <f>(Table2634[[#This Row],[4 weeks average]]-B1928)/B1928</f>
        <v/>
      </c>
    </row>
    <row r="1981">
      <c r="A1981" s="22" t="n">
        <v>41225</v>
      </c>
      <c r="B1981" s="24">
        <f>VLOOKUP(Table2634[[#This Row],[Date]],'DB Money Supply'!$A:$D,4)</f>
        <v/>
      </c>
      <c r="C1981" s="30">
        <f>(Table2634[[#This Row],[M1 Money Stock, Billions of Dollars, Weekly, Seasonally Adjusted]]-B1980)/B1980</f>
        <v/>
      </c>
      <c r="D1981" s="34">
        <f>((1+Table2634[[#This Row],[Weekly change]])^52)-1</f>
        <v/>
      </c>
      <c r="E1981" s="24">
        <f>AVERAGE(B1978:B1981)</f>
        <v/>
      </c>
      <c r="F1981" s="32">
        <f>(Table2634[[#This Row],[4 weeks average]]-B1929)/B1929</f>
        <v/>
      </c>
    </row>
    <row r="1982">
      <c r="A1982" s="22" t="n">
        <v>41232</v>
      </c>
      <c r="B1982" s="24">
        <f>VLOOKUP(Table2634[[#This Row],[Date]],'DB Money Supply'!$A:$D,4)</f>
        <v/>
      </c>
      <c r="C1982" s="30">
        <f>(Table2634[[#This Row],[M1 Money Stock, Billions of Dollars, Weekly, Seasonally Adjusted]]-B1981)/B1981</f>
        <v/>
      </c>
      <c r="D1982" s="34">
        <f>((1+Table2634[[#This Row],[Weekly change]])^52)-1</f>
        <v/>
      </c>
      <c r="E1982" s="24">
        <f>AVERAGE(B1979:B1982)</f>
        <v/>
      </c>
      <c r="F1982" s="32">
        <f>(Table2634[[#This Row],[4 weeks average]]-B1930)/B1930</f>
        <v/>
      </c>
    </row>
    <row r="1983">
      <c r="A1983" s="22" t="n">
        <v>41239</v>
      </c>
      <c r="B1983" s="24">
        <f>VLOOKUP(Table2634[[#This Row],[Date]],'DB Money Supply'!$A:$D,4)</f>
        <v/>
      </c>
      <c r="C1983" s="30">
        <f>(Table2634[[#This Row],[M1 Money Stock, Billions of Dollars, Weekly, Seasonally Adjusted]]-B1982)/B1982</f>
        <v/>
      </c>
      <c r="D1983" s="34">
        <f>((1+Table2634[[#This Row],[Weekly change]])^52)-1</f>
        <v/>
      </c>
      <c r="E1983" s="24">
        <f>AVERAGE(B1980:B1983)</f>
        <v/>
      </c>
      <c r="F1983" s="32">
        <f>(Table2634[[#This Row],[4 weeks average]]-B1931)/B1931</f>
        <v/>
      </c>
    </row>
    <row r="1984">
      <c r="A1984" s="22" t="n">
        <v>41246</v>
      </c>
      <c r="B1984" s="24">
        <f>VLOOKUP(Table2634[[#This Row],[Date]],'DB Money Supply'!$A:$D,4)</f>
        <v/>
      </c>
      <c r="C1984" s="30">
        <f>(Table2634[[#This Row],[M1 Money Stock, Billions of Dollars, Weekly, Seasonally Adjusted]]-B1983)/B1983</f>
        <v/>
      </c>
      <c r="D1984" s="34">
        <f>((1+Table2634[[#This Row],[Weekly change]])^52)-1</f>
        <v/>
      </c>
      <c r="E1984" s="24">
        <f>AVERAGE(B1981:B1984)</f>
        <v/>
      </c>
      <c r="F1984" s="32">
        <f>(Table2634[[#This Row],[4 weeks average]]-B1932)/B1932</f>
        <v/>
      </c>
    </row>
    <row r="1985">
      <c r="A1985" s="22" t="n">
        <v>41253</v>
      </c>
      <c r="B1985" s="24">
        <f>VLOOKUP(Table2634[[#This Row],[Date]],'DB Money Supply'!$A:$D,4)</f>
        <v/>
      </c>
      <c r="C1985" s="30">
        <f>(Table2634[[#This Row],[M1 Money Stock, Billions of Dollars, Weekly, Seasonally Adjusted]]-B1984)/B1984</f>
        <v/>
      </c>
      <c r="D1985" s="34">
        <f>((1+Table2634[[#This Row],[Weekly change]])^52)-1</f>
        <v/>
      </c>
      <c r="E1985" s="24">
        <f>AVERAGE(B1982:B1985)</f>
        <v/>
      </c>
      <c r="F1985" s="32">
        <f>(Table2634[[#This Row],[4 weeks average]]-B1933)/B1933</f>
        <v/>
      </c>
    </row>
    <row r="1986">
      <c r="A1986" s="22" t="n">
        <v>41260</v>
      </c>
      <c r="B1986" s="24">
        <f>VLOOKUP(Table2634[[#This Row],[Date]],'DB Money Supply'!$A:$D,4)</f>
        <v/>
      </c>
      <c r="C1986" s="30">
        <f>(Table2634[[#This Row],[M1 Money Stock, Billions of Dollars, Weekly, Seasonally Adjusted]]-B1985)/B1985</f>
        <v/>
      </c>
      <c r="D1986" s="34">
        <f>((1+Table2634[[#This Row],[Weekly change]])^52)-1</f>
        <v/>
      </c>
      <c r="E1986" s="24">
        <f>AVERAGE(B1983:B1986)</f>
        <v/>
      </c>
      <c r="F1986" s="32">
        <f>(Table2634[[#This Row],[4 weeks average]]-B1934)/B1934</f>
        <v/>
      </c>
    </row>
    <row r="1987">
      <c r="A1987" s="22" t="n">
        <v>41267</v>
      </c>
      <c r="B1987" s="24">
        <f>VLOOKUP(Table2634[[#This Row],[Date]],'DB Money Supply'!$A:$D,4)</f>
        <v/>
      </c>
      <c r="C1987" s="30">
        <f>(Table2634[[#This Row],[M1 Money Stock, Billions of Dollars, Weekly, Seasonally Adjusted]]-B1986)/B1986</f>
        <v/>
      </c>
      <c r="D1987" s="34">
        <f>((1+Table2634[[#This Row],[Weekly change]])^52)-1</f>
        <v/>
      </c>
      <c r="E1987" s="24">
        <f>AVERAGE(B1984:B1987)</f>
        <v/>
      </c>
      <c r="F1987" s="32">
        <f>(Table2634[[#This Row],[4 weeks average]]-B1935)/B1935</f>
        <v/>
      </c>
    </row>
    <row r="1988">
      <c r="A1988" s="22" t="n">
        <v>41274</v>
      </c>
      <c r="B1988" s="24">
        <f>VLOOKUP(Table2634[[#This Row],[Date]],'DB Money Supply'!$A:$D,4)</f>
        <v/>
      </c>
      <c r="C1988" s="30">
        <f>(Table2634[[#This Row],[M1 Money Stock, Billions of Dollars, Weekly, Seasonally Adjusted]]-B1987)/B1987</f>
        <v/>
      </c>
      <c r="D1988" s="34">
        <f>((1+Table2634[[#This Row],[Weekly change]])^52)-1</f>
        <v/>
      </c>
      <c r="E1988" s="24">
        <f>AVERAGE(B1985:B1988)</f>
        <v/>
      </c>
      <c r="F1988" s="32">
        <f>(Table2634[[#This Row],[4 weeks average]]-B1936)/B1936</f>
        <v/>
      </c>
    </row>
    <row r="1989">
      <c r="A1989" s="22" t="n">
        <v>41281</v>
      </c>
      <c r="B1989" s="24">
        <f>VLOOKUP(Table2634[[#This Row],[Date]],'DB Money Supply'!$A:$D,4)</f>
        <v/>
      </c>
      <c r="C1989" s="30">
        <f>(Table2634[[#This Row],[M1 Money Stock, Billions of Dollars, Weekly, Seasonally Adjusted]]-B1988)/B1988</f>
        <v/>
      </c>
      <c r="D1989" s="34">
        <f>((1+Table2634[[#This Row],[Weekly change]])^52)-1</f>
        <v/>
      </c>
      <c r="E1989" s="24">
        <f>AVERAGE(B1986:B1989)</f>
        <v/>
      </c>
      <c r="F1989" s="32">
        <f>(Table2634[[#This Row],[4 weeks average]]-B1937)/B1937</f>
        <v/>
      </c>
    </row>
    <row r="1990">
      <c r="A1990" s="22" t="n">
        <v>41288</v>
      </c>
      <c r="B1990" s="24">
        <f>VLOOKUP(Table2634[[#This Row],[Date]],'DB Money Supply'!$A:$D,4)</f>
        <v/>
      </c>
      <c r="C1990" s="30">
        <f>(Table2634[[#This Row],[M1 Money Stock, Billions of Dollars, Weekly, Seasonally Adjusted]]-B1989)/B1989</f>
        <v/>
      </c>
      <c r="D1990" s="34">
        <f>((1+Table2634[[#This Row],[Weekly change]])^52)-1</f>
        <v/>
      </c>
      <c r="E1990" s="24">
        <f>AVERAGE(B1987:B1990)</f>
        <v/>
      </c>
      <c r="F1990" s="32">
        <f>(Table2634[[#This Row],[4 weeks average]]-B1938)/B1938</f>
        <v/>
      </c>
    </row>
    <row r="1991">
      <c r="A1991" s="22" t="n">
        <v>41295</v>
      </c>
      <c r="B1991" s="24">
        <f>VLOOKUP(Table2634[[#This Row],[Date]],'DB Money Supply'!$A:$D,4)</f>
        <v/>
      </c>
      <c r="C1991" s="30">
        <f>(Table2634[[#This Row],[M1 Money Stock, Billions of Dollars, Weekly, Seasonally Adjusted]]-B1990)/B1990</f>
        <v/>
      </c>
      <c r="D1991" s="34">
        <f>((1+Table2634[[#This Row],[Weekly change]])^52)-1</f>
        <v/>
      </c>
      <c r="E1991" s="24">
        <f>AVERAGE(B1988:B1991)</f>
        <v/>
      </c>
      <c r="F1991" s="32">
        <f>(Table2634[[#This Row],[4 weeks average]]-B1939)/B1939</f>
        <v/>
      </c>
    </row>
    <row r="1992">
      <c r="A1992" s="22" t="n">
        <v>41302</v>
      </c>
      <c r="B1992" s="24">
        <f>VLOOKUP(Table2634[[#This Row],[Date]],'DB Money Supply'!$A:$D,4)</f>
        <v/>
      </c>
      <c r="C1992" s="30">
        <f>(Table2634[[#This Row],[M1 Money Stock, Billions of Dollars, Weekly, Seasonally Adjusted]]-B1991)/B1991</f>
        <v/>
      </c>
      <c r="D1992" s="34">
        <f>((1+Table2634[[#This Row],[Weekly change]])^52)-1</f>
        <v/>
      </c>
      <c r="E1992" s="24">
        <f>AVERAGE(B1989:B1992)</f>
        <v/>
      </c>
      <c r="F1992" s="32">
        <f>(Table2634[[#This Row],[4 weeks average]]-B1940)/B1940</f>
        <v/>
      </c>
    </row>
    <row r="1993">
      <c r="A1993" s="22" t="n">
        <v>41309</v>
      </c>
      <c r="B1993" s="24">
        <f>VLOOKUP(Table2634[[#This Row],[Date]],'DB Money Supply'!$A:$D,4)</f>
        <v/>
      </c>
      <c r="C1993" s="30">
        <f>(Table2634[[#This Row],[M1 Money Stock, Billions of Dollars, Weekly, Seasonally Adjusted]]-B1992)/B1992</f>
        <v/>
      </c>
      <c r="D1993" s="34">
        <f>((1+Table2634[[#This Row],[Weekly change]])^52)-1</f>
        <v/>
      </c>
      <c r="E1993" s="24">
        <f>AVERAGE(B1990:B1993)</f>
        <v/>
      </c>
      <c r="F1993" s="32">
        <f>(Table2634[[#This Row],[4 weeks average]]-B1941)/B1941</f>
        <v/>
      </c>
    </row>
    <row r="1994">
      <c r="A1994" s="22" t="n">
        <v>41316</v>
      </c>
      <c r="B1994" s="24">
        <f>VLOOKUP(Table2634[[#This Row],[Date]],'DB Money Supply'!$A:$D,4)</f>
        <v/>
      </c>
      <c r="C1994" s="30">
        <f>(Table2634[[#This Row],[M1 Money Stock, Billions of Dollars, Weekly, Seasonally Adjusted]]-B1993)/B1993</f>
        <v/>
      </c>
      <c r="D1994" s="34">
        <f>((1+Table2634[[#This Row],[Weekly change]])^52)-1</f>
        <v/>
      </c>
      <c r="E1994" s="24">
        <f>AVERAGE(B1991:B1994)</f>
        <v/>
      </c>
      <c r="F1994" s="32">
        <f>(Table2634[[#This Row],[4 weeks average]]-B1942)/B1942</f>
        <v/>
      </c>
    </row>
    <row r="1995">
      <c r="A1995" s="22" t="n">
        <v>41323</v>
      </c>
      <c r="B1995" s="24">
        <f>VLOOKUP(Table2634[[#This Row],[Date]],'DB Money Supply'!$A:$D,4)</f>
        <v/>
      </c>
      <c r="C1995" s="30">
        <f>(Table2634[[#This Row],[M1 Money Stock, Billions of Dollars, Weekly, Seasonally Adjusted]]-B1994)/B1994</f>
        <v/>
      </c>
      <c r="D1995" s="34">
        <f>((1+Table2634[[#This Row],[Weekly change]])^52)-1</f>
        <v/>
      </c>
      <c r="E1995" s="24">
        <f>AVERAGE(B1992:B1995)</f>
        <v/>
      </c>
      <c r="F1995" s="32">
        <f>(Table2634[[#This Row],[4 weeks average]]-B1943)/B1943</f>
        <v/>
      </c>
    </row>
    <row r="1996">
      <c r="A1996" s="22" t="n">
        <v>41330</v>
      </c>
      <c r="B1996" s="24">
        <f>VLOOKUP(Table2634[[#This Row],[Date]],'DB Money Supply'!$A:$D,4)</f>
        <v/>
      </c>
      <c r="C1996" s="30">
        <f>(Table2634[[#This Row],[M1 Money Stock, Billions of Dollars, Weekly, Seasonally Adjusted]]-B1995)/B1995</f>
        <v/>
      </c>
      <c r="D1996" s="34">
        <f>((1+Table2634[[#This Row],[Weekly change]])^52)-1</f>
        <v/>
      </c>
      <c r="E1996" s="24">
        <f>AVERAGE(B1993:B1996)</f>
        <v/>
      </c>
      <c r="F1996" s="32">
        <f>(Table2634[[#This Row],[4 weeks average]]-B1944)/B1944</f>
        <v/>
      </c>
    </row>
    <row r="1997">
      <c r="A1997" s="22" t="n">
        <v>41337</v>
      </c>
      <c r="B1997" s="24">
        <f>VLOOKUP(Table2634[[#This Row],[Date]],'DB Money Supply'!$A:$D,4)</f>
        <v/>
      </c>
      <c r="C1997" s="30">
        <f>(Table2634[[#This Row],[M1 Money Stock, Billions of Dollars, Weekly, Seasonally Adjusted]]-B1996)/B1996</f>
        <v/>
      </c>
      <c r="D1997" s="34">
        <f>((1+Table2634[[#This Row],[Weekly change]])^52)-1</f>
        <v/>
      </c>
      <c r="E1997" s="24">
        <f>AVERAGE(B1994:B1997)</f>
        <v/>
      </c>
      <c r="F1997" s="32">
        <f>(Table2634[[#This Row],[4 weeks average]]-B1945)/B1945</f>
        <v/>
      </c>
    </row>
    <row r="1998">
      <c r="A1998" s="22" t="n">
        <v>41344</v>
      </c>
      <c r="B1998" s="24">
        <f>VLOOKUP(Table2634[[#This Row],[Date]],'DB Money Supply'!$A:$D,4)</f>
        <v/>
      </c>
      <c r="C1998" s="30">
        <f>(Table2634[[#This Row],[M1 Money Stock, Billions of Dollars, Weekly, Seasonally Adjusted]]-B1997)/B1997</f>
        <v/>
      </c>
      <c r="D1998" s="34">
        <f>((1+Table2634[[#This Row],[Weekly change]])^52)-1</f>
        <v/>
      </c>
      <c r="E1998" s="24">
        <f>AVERAGE(B1995:B1998)</f>
        <v/>
      </c>
      <c r="F1998" s="32">
        <f>(Table2634[[#This Row],[4 weeks average]]-B1946)/B1946</f>
        <v/>
      </c>
    </row>
    <row r="1999">
      <c r="A1999" s="22" t="n">
        <v>41351</v>
      </c>
      <c r="B1999" s="24">
        <f>VLOOKUP(Table2634[[#This Row],[Date]],'DB Money Supply'!$A:$D,4)</f>
        <v/>
      </c>
      <c r="C1999" s="30">
        <f>(Table2634[[#This Row],[M1 Money Stock, Billions of Dollars, Weekly, Seasonally Adjusted]]-B1998)/B1998</f>
        <v/>
      </c>
      <c r="D1999" s="34">
        <f>((1+Table2634[[#This Row],[Weekly change]])^52)-1</f>
        <v/>
      </c>
      <c r="E1999" s="24">
        <f>AVERAGE(B1996:B1999)</f>
        <v/>
      </c>
      <c r="F1999" s="32">
        <f>(Table2634[[#This Row],[4 weeks average]]-B1947)/B1947</f>
        <v/>
      </c>
    </row>
    <row r="2000">
      <c r="A2000" s="22" t="n">
        <v>41358</v>
      </c>
      <c r="B2000" s="24">
        <f>VLOOKUP(Table2634[[#This Row],[Date]],'DB Money Supply'!$A:$D,4)</f>
        <v/>
      </c>
      <c r="C2000" s="30">
        <f>(Table2634[[#This Row],[M1 Money Stock, Billions of Dollars, Weekly, Seasonally Adjusted]]-B1999)/B1999</f>
        <v/>
      </c>
      <c r="D2000" s="34">
        <f>((1+Table2634[[#This Row],[Weekly change]])^52)-1</f>
        <v/>
      </c>
      <c r="E2000" s="24">
        <f>AVERAGE(B1997:B2000)</f>
        <v/>
      </c>
      <c r="F2000" s="32">
        <f>(Table2634[[#This Row],[4 weeks average]]-B1948)/B1948</f>
        <v/>
      </c>
    </row>
    <row r="2001">
      <c r="A2001" s="22" t="n">
        <v>41365</v>
      </c>
      <c r="B2001" s="24">
        <f>VLOOKUP(Table2634[[#This Row],[Date]],'DB Money Supply'!$A:$D,4)</f>
        <v/>
      </c>
      <c r="C2001" s="30">
        <f>(Table2634[[#This Row],[M1 Money Stock, Billions of Dollars, Weekly, Seasonally Adjusted]]-B2000)/B2000</f>
        <v/>
      </c>
      <c r="D2001" s="34">
        <f>((1+Table2634[[#This Row],[Weekly change]])^52)-1</f>
        <v/>
      </c>
      <c r="E2001" s="24">
        <f>AVERAGE(B1998:B2001)</f>
        <v/>
      </c>
      <c r="F2001" s="32">
        <f>(Table2634[[#This Row],[4 weeks average]]-B1949)/B1949</f>
        <v/>
      </c>
    </row>
    <row r="2002">
      <c r="A2002" s="22" t="n">
        <v>41372</v>
      </c>
      <c r="B2002" s="24">
        <f>VLOOKUP(Table2634[[#This Row],[Date]],'DB Money Supply'!$A:$D,4)</f>
        <v/>
      </c>
      <c r="C2002" s="30">
        <f>(Table2634[[#This Row],[M1 Money Stock, Billions of Dollars, Weekly, Seasonally Adjusted]]-B2001)/B2001</f>
        <v/>
      </c>
      <c r="D2002" s="34">
        <f>((1+Table2634[[#This Row],[Weekly change]])^52)-1</f>
        <v/>
      </c>
      <c r="E2002" s="24">
        <f>AVERAGE(B1999:B2002)</f>
        <v/>
      </c>
      <c r="F2002" s="32">
        <f>(Table2634[[#This Row],[4 weeks average]]-B1950)/B1950</f>
        <v/>
      </c>
    </row>
    <row r="2003">
      <c r="A2003" s="22" t="n">
        <v>41379</v>
      </c>
      <c r="B2003" s="24">
        <f>VLOOKUP(Table2634[[#This Row],[Date]],'DB Money Supply'!$A:$D,4)</f>
        <v/>
      </c>
      <c r="C2003" s="30">
        <f>(Table2634[[#This Row],[M1 Money Stock, Billions of Dollars, Weekly, Seasonally Adjusted]]-B2002)/B2002</f>
        <v/>
      </c>
      <c r="D2003" s="34">
        <f>((1+Table2634[[#This Row],[Weekly change]])^52)-1</f>
        <v/>
      </c>
      <c r="E2003" s="24">
        <f>AVERAGE(B2000:B2003)</f>
        <v/>
      </c>
      <c r="F2003" s="32">
        <f>(Table2634[[#This Row],[4 weeks average]]-B1951)/B1951</f>
        <v/>
      </c>
    </row>
    <row r="2004">
      <c r="A2004" s="22" t="n">
        <v>41386</v>
      </c>
      <c r="B2004" s="24">
        <f>VLOOKUP(Table2634[[#This Row],[Date]],'DB Money Supply'!$A:$D,4)</f>
        <v/>
      </c>
      <c r="C2004" s="30">
        <f>(Table2634[[#This Row],[M1 Money Stock, Billions of Dollars, Weekly, Seasonally Adjusted]]-B2003)/B2003</f>
        <v/>
      </c>
      <c r="D2004" s="34">
        <f>((1+Table2634[[#This Row],[Weekly change]])^52)-1</f>
        <v/>
      </c>
      <c r="E2004" s="24">
        <f>AVERAGE(B2001:B2004)</f>
        <v/>
      </c>
      <c r="F2004" s="32">
        <f>(Table2634[[#This Row],[4 weeks average]]-B1952)/B1952</f>
        <v/>
      </c>
    </row>
    <row r="2005">
      <c r="A2005" s="22" t="n">
        <v>41393</v>
      </c>
      <c r="B2005" s="24">
        <f>VLOOKUP(Table2634[[#This Row],[Date]],'DB Money Supply'!$A:$D,4)</f>
        <v/>
      </c>
      <c r="C2005" s="30">
        <f>(Table2634[[#This Row],[M1 Money Stock, Billions of Dollars, Weekly, Seasonally Adjusted]]-B2004)/B2004</f>
        <v/>
      </c>
      <c r="D2005" s="34">
        <f>((1+Table2634[[#This Row],[Weekly change]])^52)-1</f>
        <v/>
      </c>
      <c r="E2005" s="24">
        <f>AVERAGE(B2002:B2005)</f>
        <v/>
      </c>
      <c r="F2005" s="32">
        <f>(Table2634[[#This Row],[4 weeks average]]-B1953)/B1953</f>
        <v/>
      </c>
    </row>
    <row r="2006">
      <c r="A2006" s="22" t="n">
        <v>41400</v>
      </c>
      <c r="B2006" s="24">
        <f>VLOOKUP(Table2634[[#This Row],[Date]],'DB Money Supply'!$A:$D,4)</f>
        <v/>
      </c>
      <c r="C2006" s="30">
        <f>(Table2634[[#This Row],[M1 Money Stock, Billions of Dollars, Weekly, Seasonally Adjusted]]-B2005)/B2005</f>
        <v/>
      </c>
      <c r="D2006" s="34">
        <f>((1+Table2634[[#This Row],[Weekly change]])^52)-1</f>
        <v/>
      </c>
      <c r="E2006" s="24">
        <f>AVERAGE(B2003:B2006)</f>
        <v/>
      </c>
      <c r="F2006" s="32">
        <f>(Table2634[[#This Row],[4 weeks average]]-B1954)/B1954</f>
        <v/>
      </c>
    </row>
    <row r="2007">
      <c r="A2007" s="22" t="n">
        <v>41407</v>
      </c>
      <c r="B2007" s="24">
        <f>VLOOKUP(Table2634[[#This Row],[Date]],'DB Money Supply'!$A:$D,4)</f>
        <v/>
      </c>
      <c r="C2007" s="30">
        <f>(Table2634[[#This Row],[M1 Money Stock, Billions of Dollars, Weekly, Seasonally Adjusted]]-B2006)/B2006</f>
        <v/>
      </c>
      <c r="D2007" s="34">
        <f>((1+Table2634[[#This Row],[Weekly change]])^52)-1</f>
        <v/>
      </c>
      <c r="E2007" s="24">
        <f>AVERAGE(B2004:B2007)</f>
        <v/>
      </c>
      <c r="F2007" s="32">
        <f>(Table2634[[#This Row],[4 weeks average]]-B1955)/B1955</f>
        <v/>
      </c>
    </row>
    <row r="2008">
      <c r="A2008" s="22" t="n">
        <v>41414</v>
      </c>
      <c r="B2008" s="24">
        <f>VLOOKUP(Table2634[[#This Row],[Date]],'DB Money Supply'!$A:$D,4)</f>
        <v/>
      </c>
      <c r="C2008" s="30">
        <f>(Table2634[[#This Row],[M1 Money Stock, Billions of Dollars, Weekly, Seasonally Adjusted]]-B2007)/B2007</f>
        <v/>
      </c>
      <c r="D2008" s="34">
        <f>((1+Table2634[[#This Row],[Weekly change]])^52)-1</f>
        <v/>
      </c>
      <c r="E2008" s="24">
        <f>AVERAGE(B2005:B2008)</f>
        <v/>
      </c>
      <c r="F2008" s="32">
        <f>(Table2634[[#This Row],[4 weeks average]]-B1956)/B1956</f>
        <v/>
      </c>
    </row>
    <row r="2009">
      <c r="A2009" s="22" t="n">
        <v>41421</v>
      </c>
      <c r="B2009" s="24">
        <f>VLOOKUP(Table2634[[#This Row],[Date]],'DB Money Supply'!$A:$D,4)</f>
        <v/>
      </c>
      <c r="C2009" s="30">
        <f>(Table2634[[#This Row],[M1 Money Stock, Billions of Dollars, Weekly, Seasonally Adjusted]]-B2008)/B2008</f>
        <v/>
      </c>
      <c r="D2009" s="34">
        <f>((1+Table2634[[#This Row],[Weekly change]])^52)-1</f>
        <v/>
      </c>
      <c r="E2009" s="24">
        <f>AVERAGE(B2006:B2009)</f>
        <v/>
      </c>
      <c r="F2009" s="32">
        <f>(Table2634[[#This Row],[4 weeks average]]-B1957)/B1957</f>
        <v/>
      </c>
    </row>
    <row r="2010">
      <c r="A2010" s="22" t="n">
        <v>41428</v>
      </c>
      <c r="B2010" s="24">
        <f>VLOOKUP(Table2634[[#This Row],[Date]],'DB Money Supply'!$A:$D,4)</f>
        <v/>
      </c>
      <c r="C2010" s="30">
        <f>(Table2634[[#This Row],[M1 Money Stock, Billions of Dollars, Weekly, Seasonally Adjusted]]-B2009)/B2009</f>
        <v/>
      </c>
      <c r="D2010" s="34">
        <f>((1+Table2634[[#This Row],[Weekly change]])^52)-1</f>
        <v/>
      </c>
      <c r="E2010" s="24">
        <f>AVERAGE(B2007:B2010)</f>
        <v/>
      </c>
      <c r="F2010" s="32">
        <f>(Table2634[[#This Row],[4 weeks average]]-B1958)/B1958</f>
        <v/>
      </c>
    </row>
    <row r="2011">
      <c r="A2011" s="22" t="n">
        <v>41435</v>
      </c>
      <c r="B2011" s="24">
        <f>VLOOKUP(Table2634[[#This Row],[Date]],'DB Money Supply'!$A:$D,4)</f>
        <v/>
      </c>
      <c r="C2011" s="30">
        <f>(Table2634[[#This Row],[M1 Money Stock, Billions of Dollars, Weekly, Seasonally Adjusted]]-B2010)/B2010</f>
        <v/>
      </c>
      <c r="D2011" s="34">
        <f>((1+Table2634[[#This Row],[Weekly change]])^52)-1</f>
        <v/>
      </c>
      <c r="E2011" s="24">
        <f>AVERAGE(B2008:B2011)</f>
        <v/>
      </c>
      <c r="F2011" s="32">
        <f>(Table2634[[#This Row],[4 weeks average]]-B1959)/B1959</f>
        <v/>
      </c>
    </row>
    <row r="2012">
      <c r="A2012" s="22" t="n">
        <v>41442</v>
      </c>
      <c r="B2012" s="24">
        <f>VLOOKUP(Table2634[[#This Row],[Date]],'DB Money Supply'!$A:$D,4)</f>
        <v/>
      </c>
      <c r="C2012" s="30">
        <f>(Table2634[[#This Row],[M1 Money Stock, Billions of Dollars, Weekly, Seasonally Adjusted]]-B2011)/B2011</f>
        <v/>
      </c>
      <c r="D2012" s="34">
        <f>((1+Table2634[[#This Row],[Weekly change]])^52)-1</f>
        <v/>
      </c>
      <c r="E2012" s="24">
        <f>AVERAGE(B2009:B2012)</f>
        <v/>
      </c>
      <c r="F2012" s="32">
        <f>(Table2634[[#This Row],[4 weeks average]]-B1960)/B1960</f>
        <v/>
      </c>
    </row>
    <row r="2013">
      <c r="A2013" s="22" t="n">
        <v>41449</v>
      </c>
      <c r="B2013" s="24">
        <f>VLOOKUP(Table2634[[#This Row],[Date]],'DB Money Supply'!$A:$D,4)</f>
        <v/>
      </c>
      <c r="C2013" s="30">
        <f>(Table2634[[#This Row],[M1 Money Stock, Billions of Dollars, Weekly, Seasonally Adjusted]]-B2012)/B2012</f>
        <v/>
      </c>
      <c r="D2013" s="34">
        <f>((1+Table2634[[#This Row],[Weekly change]])^52)-1</f>
        <v/>
      </c>
      <c r="E2013" s="24">
        <f>AVERAGE(B2010:B2013)</f>
        <v/>
      </c>
      <c r="F2013" s="32">
        <f>(Table2634[[#This Row],[4 weeks average]]-B1961)/B1961</f>
        <v/>
      </c>
    </row>
    <row r="2014">
      <c r="A2014" s="22" t="n">
        <v>41456</v>
      </c>
      <c r="B2014" s="24">
        <f>VLOOKUP(Table2634[[#This Row],[Date]],'DB Money Supply'!$A:$D,4)</f>
        <v/>
      </c>
      <c r="C2014" s="30">
        <f>(Table2634[[#This Row],[M1 Money Stock, Billions of Dollars, Weekly, Seasonally Adjusted]]-B2013)/B2013</f>
        <v/>
      </c>
      <c r="D2014" s="34">
        <f>((1+Table2634[[#This Row],[Weekly change]])^52)-1</f>
        <v/>
      </c>
      <c r="E2014" s="24">
        <f>AVERAGE(B2011:B2014)</f>
        <v/>
      </c>
      <c r="F2014" s="32">
        <f>(Table2634[[#This Row],[4 weeks average]]-B1962)/B1962</f>
        <v/>
      </c>
    </row>
    <row r="2015">
      <c r="A2015" s="22" t="n">
        <v>41463</v>
      </c>
      <c r="B2015" s="24">
        <f>VLOOKUP(Table2634[[#This Row],[Date]],'DB Money Supply'!$A:$D,4)</f>
        <v/>
      </c>
      <c r="C2015" s="30">
        <f>(Table2634[[#This Row],[M1 Money Stock, Billions of Dollars, Weekly, Seasonally Adjusted]]-B2014)/B2014</f>
        <v/>
      </c>
      <c r="D2015" s="34">
        <f>((1+Table2634[[#This Row],[Weekly change]])^52)-1</f>
        <v/>
      </c>
      <c r="E2015" s="24">
        <f>AVERAGE(B2012:B2015)</f>
        <v/>
      </c>
      <c r="F2015" s="32">
        <f>(Table2634[[#This Row],[4 weeks average]]-B1963)/B1963</f>
        <v/>
      </c>
    </row>
    <row r="2016">
      <c r="A2016" s="22" t="n">
        <v>41470</v>
      </c>
      <c r="B2016" s="24">
        <f>VLOOKUP(Table2634[[#This Row],[Date]],'DB Money Supply'!$A:$D,4)</f>
        <v/>
      </c>
      <c r="C2016" s="30">
        <f>(Table2634[[#This Row],[M1 Money Stock, Billions of Dollars, Weekly, Seasonally Adjusted]]-B2015)/B2015</f>
        <v/>
      </c>
      <c r="D2016" s="34">
        <f>((1+Table2634[[#This Row],[Weekly change]])^52)-1</f>
        <v/>
      </c>
      <c r="E2016" s="24">
        <f>AVERAGE(B2013:B2016)</f>
        <v/>
      </c>
      <c r="F2016" s="32">
        <f>(Table2634[[#This Row],[4 weeks average]]-B1964)/B1964</f>
        <v/>
      </c>
    </row>
    <row r="2017">
      <c r="A2017" s="22" t="n">
        <v>41477</v>
      </c>
      <c r="B2017" s="24">
        <f>VLOOKUP(Table2634[[#This Row],[Date]],'DB Money Supply'!$A:$D,4)</f>
        <v/>
      </c>
      <c r="C2017" s="30">
        <f>(Table2634[[#This Row],[M1 Money Stock, Billions of Dollars, Weekly, Seasonally Adjusted]]-B2016)/B2016</f>
        <v/>
      </c>
      <c r="D2017" s="34">
        <f>((1+Table2634[[#This Row],[Weekly change]])^52)-1</f>
        <v/>
      </c>
      <c r="E2017" s="24">
        <f>AVERAGE(B2014:B2017)</f>
        <v/>
      </c>
      <c r="F2017" s="32">
        <f>(Table2634[[#This Row],[4 weeks average]]-B1965)/B1965</f>
        <v/>
      </c>
    </row>
    <row r="2018">
      <c r="A2018" s="22" t="n">
        <v>41484</v>
      </c>
      <c r="B2018" s="24">
        <f>VLOOKUP(Table2634[[#This Row],[Date]],'DB Money Supply'!$A:$D,4)</f>
        <v/>
      </c>
      <c r="C2018" s="30">
        <f>(Table2634[[#This Row],[M1 Money Stock, Billions of Dollars, Weekly, Seasonally Adjusted]]-B2017)/B2017</f>
        <v/>
      </c>
      <c r="D2018" s="34">
        <f>((1+Table2634[[#This Row],[Weekly change]])^52)-1</f>
        <v/>
      </c>
      <c r="E2018" s="24">
        <f>AVERAGE(B2015:B2018)</f>
        <v/>
      </c>
      <c r="F2018" s="32">
        <f>(Table2634[[#This Row],[4 weeks average]]-B1966)/B1966</f>
        <v/>
      </c>
    </row>
    <row r="2019">
      <c r="A2019" s="22" t="n">
        <v>41491</v>
      </c>
      <c r="B2019" s="24">
        <f>VLOOKUP(Table2634[[#This Row],[Date]],'DB Money Supply'!$A:$D,4)</f>
        <v/>
      </c>
      <c r="C2019" s="30">
        <f>(Table2634[[#This Row],[M1 Money Stock, Billions of Dollars, Weekly, Seasonally Adjusted]]-B2018)/B2018</f>
        <v/>
      </c>
      <c r="D2019" s="34">
        <f>((1+Table2634[[#This Row],[Weekly change]])^52)-1</f>
        <v/>
      </c>
      <c r="E2019" s="24">
        <f>AVERAGE(B2016:B2019)</f>
        <v/>
      </c>
      <c r="F2019" s="32">
        <f>(Table2634[[#This Row],[4 weeks average]]-B1967)/B1967</f>
        <v/>
      </c>
    </row>
    <row r="2020">
      <c r="A2020" s="22" t="n">
        <v>41498</v>
      </c>
      <c r="B2020" s="24">
        <f>VLOOKUP(Table2634[[#This Row],[Date]],'DB Money Supply'!$A:$D,4)</f>
        <v/>
      </c>
      <c r="C2020" s="30">
        <f>(Table2634[[#This Row],[M1 Money Stock, Billions of Dollars, Weekly, Seasonally Adjusted]]-B2019)/B2019</f>
        <v/>
      </c>
      <c r="D2020" s="34">
        <f>((1+Table2634[[#This Row],[Weekly change]])^52)-1</f>
        <v/>
      </c>
      <c r="E2020" s="24">
        <f>AVERAGE(B2017:B2020)</f>
        <v/>
      </c>
      <c r="F2020" s="32">
        <f>(Table2634[[#This Row],[4 weeks average]]-B1968)/B1968</f>
        <v/>
      </c>
    </row>
    <row r="2021">
      <c r="A2021" s="22" t="n">
        <v>41505</v>
      </c>
      <c r="B2021" s="24">
        <f>VLOOKUP(Table2634[[#This Row],[Date]],'DB Money Supply'!$A:$D,4)</f>
        <v/>
      </c>
      <c r="C2021" s="30">
        <f>(Table2634[[#This Row],[M1 Money Stock, Billions of Dollars, Weekly, Seasonally Adjusted]]-B2020)/B2020</f>
        <v/>
      </c>
      <c r="D2021" s="34">
        <f>((1+Table2634[[#This Row],[Weekly change]])^52)-1</f>
        <v/>
      </c>
      <c r="E2021" s="24">
        <f>AVERAGE(B2018:B2021)</f>
        <v/>
      </c>
      <c r="F2021" s="32">
        <f>(Table2634[[#This Row],[4 weeks average]]-B1969)/B1969</f>
        <v/>
      </c>
    </row>
    <row r="2022">
      <c r="A2022" s="22" t="n">
        <v>41512</v>
      </c>
      <c r="B2022" s="24">
        <f>VLOOKUP(Table2634[[#This Row],[Date]],'DB Money Supply'!$A:$D,4)</f>
        <v/>
      </c>
      <c r="C2022" s="30">
        <f>(Table2634[[#This Row],[M1 Money Stock, Billions of Dollars, Weekly, Seasonally Adjusted]]-B2021)/B2021</f>
        <v/>
      </c>
      <c r="D2022" s="34">
        <f>((1+Table2634[[#This Row],[Weekly change]])^52)-1</f>
        <v/>
      </c>
      <c r="E2022" s="24">
        <f>AVERAGE(B2019:B2022)</f>
        <v/>
      </c>
      <c r="F2022" s="32">
        <f>(Table2634[[#This Row],[4 weeks average]]-B1970)/B1970</f>
        <v/>
      </c>
    </row>
    <row r="2023">
      <c r="A2023" s="22" t="n">
        <v>41519</v>
      </c>
      <c r="B2023" s="24">
        <f>VLOOKUP(Table2634[[#This Row],[Date]],'DB Money Supply'!$A:$D,4)</f>
        <v/>
      </c>
      <c r="C2023" s="30">
        <f>(Table2634[[#This Row],[M1 Money Stock, Billions of Dollars, Weekly, Seasonally Adjusted]]-B2022)/B2022</f>
        <v/>
      </c>
      <c r="D2023" s="34">
        <f>((1+Table2634[[#This Row],[Weekly change]])^52)-1</f>
        <v/>
      </c>
      <c r="E2023" s="24">
        <f>AVERAGE(B2020:B2023)</f>
        <v/>
      </c>
      <c r="F2023" s="32">
        <f>(Table2634[[#This Row],[4 weeks average]]-B1971)/B1971</f>
        <v/>
      </c>
    </row>
    <row r="2024">
      <c r="A2024" s="33" t="n">
        <v>41526</v>
      </c>
      <c r="B2024" s="24">
        <f>VLOOKUP(Table2634[[#This Row],[Date]],'DB Money Supply'!$A:$D,4)</f>
        <v/>
      </c>
      <c r="C2024" s="30">
        <f>(Table2634[[#This Row],[M1 Money Stock, Billions of Dollars, Weekly, Seasonally Adjusted]]-B2023)/B2023</f>
        <v/>
      </c>
      <c r="D2024" s="34">
        <f>(Table2634[[#This Row],[M1 Money Stock, Billions of Dollars, Weekly, Seasonally Adjusted]]-B2021)/B2021</f>
        <v/>
      </c>
      <c r="E2024" s="24">
        <f>AVERAGE(B2021:B2024)</f>
        <v/>
      </c>
      <c r="F2024" s="32">
        <f>(Table2634[[#This Row],[4 weeks average]]-B1972)/B1972</f>
        <v/>
      </c>
    </row>
    <row r="2025">
      <c r="A2025" s="33" t="n">
        <v>41533</v>
      </c>
      <c r="B2025" s="24">
        <f>VLOOKUP(Table2634[[#This Row],[Date]],'DB Money Supply'!$A:$D,4)</f>
        <v/>
      </c>
      <c r="C2025" s="30">
        <f>(Table2634[[#This Row],[M1 Money Stock, Billions of Dollars, Weekly, Seasonally Adjusted]]-B2024)/B2024</f>
        <v/>
      </c>
      <c r="D2025" s="34">
        <f>(Table2634[[#This Row],[M1 Money Stock, Billions of Dollars, Weekly, Seasonally Adjusted]]-B2022)/B2022</f>
        <v/>
      </c>
      <c r="E2025" s="24">
        <f>AVERAGE(B2022:B2025)</f>
        <v/>
      </c>
      <c r="F2025" s="32">
        <f>(Table2634[[#This Row],[4 weeks average]]-B1973)/B1973</f>
        <v/>
      </c>
    </row>
    <row r="2026">
      <c r="A2026" s="33" t="n">
        <v>41540</v>
      </c>
      <c r="B2026" s="24">
        <f>VLOOKUP(Table2634[[#This Row],[Date]],'DB Money Supply'!$A:$D,4)</f>
        <v/>
      </c>
      <c r="C2026" s="30">
        <f>(Table2634[[#This Row],[M1 Money Stock, Billions of Dollars, Weekly, Seasonally Adjusted]]-B2025)/B2025</f>
        <v/>
      </c>
      <c r="D2026" s="34">
        <f>(Table2634[[#This Row],[M1 Money Stock, Billions of Dollars, Weekly, Seasonally Adjusted]]-B2023)/B2023</f>
        <v/>
      </c>
      <c r="E2026" s="24">
        <f>AVERAGE(B2023:B2026)</f>
        <v/>
      </c>
      <c r="F2026" s="32">
        <f>(Table2634[[#This Row],[4 weeks average]]-B1974)/B1974</f>
        <v/>
      </c>
    </row>
    <row r="2027">
      <c r="A2027" s="33" t="n">
        <v>41547</v>
      </c>
      <c r="B2027" s="24">
        <f>VLOOKUP(Table2634[[#This Row],[Date]],'DB Money Supply'!$A:$D,4)</f>
        <v/>
      </c>
      <c r="C2027" s="30">
        <f>(Table2634[[#This Row],[M1 Money Stock, Billions of Dollars, Weekly, Seasonally Adjusted]]-B2026)/B2026</f>
        <v/>
      </c>
      <c r="D2027" s="34">
        <f>(Table2634[[#This Row],[M1 Money Stock, Billions of Dollars, Weekly, Seasonally Adjusted]]-B2024)/B2024</f>
        <v/>
      </c>
      <c r="E2027" s="24">
        <f>AVERAGE(B2024:B2027)</f>
        <v/>
      </c>
      <c r="F2027" s="32">
        <f>(Table2634[[#This Row],[4 weeks average]]-B1975)/B1975</f>
        <v/>
      </c>
    </row>
    <row r="2028">
      <c r="A2028" s="33" t="n">
        <v>41554</v>
      </c>
      <c r="B2028" s="24">
        <f>VLOOKUP(Table2634[[#This Row],[Date]],'DB Money Supply'!$A:$D,4)</f>
        <v/>
      </c>
      <c r="C2028" s="30">
        <f>(Table2634[[#This Row],[M1 Money Stock, Billions of Dollars, Weekly, Seasonally Adjusted]]-B2027)/B2027</f>
        <v/>
      </c>
      <c r="D2028" s="34">
        <f>(Table2634[[#This Row],[M1 Money Stock, Billions of Dollars, Weekly, Seasonally Adjusted]]-B2025)/B2025</f>
        <v/>
      </c>
      <c r="E2028" s="24">
        <f>AVERAGE(B2025:B2028)</f>
        <v/>
      </c>
      <c r="F2028" s="32">
        <f>(Table2634[[#This Row],[4 weeks average]]-B1976)/B1976</f>
        <v/>
      </c>
    </row>
    <row r="2029">
      <c r="A2029" s="33" t="n">
        <v>41561</v>
      </c>
      <c r="B2029" s="24">
        <f>VLOOKUP(Table2634[[#This Row],[Date]],'DB Money Supply'!$A:$D,4)</f>
        <v/>
      </c>
      <c r="C2029" s="30">
        <f>(Table2634[[#This Row],[M1 Money Stock, Billions of Dollars, Weekly, Seasonally Adjusted]]-B2028)/B2028</f>
        <v/>
      </c>
      <c r="D2029" s="34">
        <f>(Table2634[[#This Row],[M1 Money Stock, Billions of Dollars, Weekly, Seasonally Adjusted]]-B2026)/B2026</f>
        <v/>
      </c>
      <c r="E2029" s="24">
        <f>AVERAGE(B2026:B2029)</f>
        <v/>
      </c>
      <c r="F2029" s="32">
        <f>(Table2634[[#This Row],[4 weeks average]]-B1977)/B1977</f>
        <v/>
      </c>
    </row>
    <row r="2030">
      <c r="A2030" s="33" t="n">
        <v>41568</v>
      </c>
      <c r="B2030" s="24">
        <f>VLOOKUP(Table2634[[#This Row],[Date]],'DB Money Supply'!$A:$D,4)</f>
        <v/>
      </c>
      <c r="C2030" s="30">
        <f>(Table2634[[#This Row],[M1 Money Stock, Billions of Dollars, Weekly, Seasonally Adjusted]]-B2029)/B2029</f>
        <v/>
      </c>
      <c r="D2030" s="34">
        <f>(Table2634[[#This Row],[M1 Money Stock, Billions of Dollars, Weekly, Seasonally Adjusted]]-B2027)/B2027</f>
        <v/>
      </c>
      <c r="E2030" s="24">
        <f>AVERAGE(B2027:B2030)</f>
        <v/>
      </c>
      <c r="F2030" s="32">
        <f>(Table2634[[#This Row],[4 weeks average]]-B1978)/B1978</f>
        <v/>
      </c>
    </row>
    <row r="2031">
      <c r="A2031" s="33" t="n">
        <v>41575</v>
      </c>
      <c r="B2031" s="24">
        <f>VLOOKUP(Table2634[[#This Row],[Date]],'DB Money Supply'!$A:$D,4)</f>
        <v/>
      </c>
      <c r="C2031" s="30">
        <f>(Table2634[[#This Row],[M1 Money Stock, Billions of Dollars, Weekly, Seasonally Adjusted]]-B2030)/B2030</f>
        <v/>
      </c>
      <c r="D2031" s="34">
        <f>(Table2634[[#This Row],[M1 Money Stock, Billions of Dollars, Weekly, Seasonally Adjusted]]-B2028)/B2028</f>
        <v/>
      </c>
      <c r="E2031" s="24">
        <f>AVERAGE(B2028:B2031)</f>
        <v/>
      </c>
      <c r="F2031" s="32">
        <f>(Table2634[[#This Row],[4 weeks average]]-B1979)/B1979</f>
        <v/>
      </c>
    </row>
    <row r="2032">
      <c r="A2032" s="33" t="n">
        <v>41582</v>
      </c>
      <c r="B2032" s="24">
        <f>VLOOKUP(Table2634[[#This Row],[Date]],'DB Money Supply'!$A:$D,4)</f>
        <v/>
      </c>
      <c r="C2032" s="30">
        <f>(Table2634[[#This Row],[M1 Money Stock, Billions of Dollars, Weekly, Seasonally Adjusted]]-B2031)/B2031</f>
        <v/>
      </c>
      <c r="D2032" s="34">
        <f>(Table2634[[#This Row],[M1 Money Stock, Billions of Dollars, Weekly, Seasonally Adjusted]]-B2029)/B2029</f>
        <v/>
      </c>
      <c r="E2032" s="24">
        <f>AVERAGE(B2029:B2032)</f>
        <v/>
      </c>
      <c r="F2032" s="32">
        <f>(Table2634[[#This Row],[4 weeks average]]-B1980)/B1980</f>
        <v/>
      </c>
    </row>
    <row r="2033">
      <c r="A2033" s="33" t="n">
        <v>41589</v>
      </c>
      <c r="B2033" s="24">
        <f>VLOOKUP(Table2634[[#This Row],[Date]],'DB Money Supply'!$A:$D,4)</f>
        <v/>
      </c>
      <c r="C2033" s="30">
        <f>(Table2634[[#This Row],[M1 Money Stock, Billions of Dollars, Weekly, Seasonally Adjusted]]-B2032)/B2032</f>
        <v/>
      </c>
      <c r="D2033" s="34">
        <f>(Table2634[[#This Row],[M1 Money Stock, Billions of Dollars, Weekly, Seasonally Adjusted]]-B2030)/B2030</f>
        <v/>
      </c>
      <c r="E2033" s="24">
        <f>AVERAGE(B2030:B2033)</f>
        <v/>
      </c>
      <c r="F2033" s="32">
        <f>(Table2634[[#This Row],[4 weeks average]]-B1981)/B1981</f>
        <v/>
      </c>
    </row>
    <row r="2034">
      <c r="A2034" s="33" t="n">
        <v>41596</v>
      </c>
      <c r="B2034" s="24">
        <f>VLOOKUP(Table2634[[#This Row],[Date]],'DB Money Supply'!$A:$D,4)</f>
        <v/>
      </c>
      <c r="C2034" s="30">
        <f>(Table2634[[#This Row],[M1 Money Stock, Billions of Dollars, Weekly, Seasonally Adjusted]]-B2033)/B2033</f>
        <v/>
      </c>
      <c r="D2034" s="34">
        <f>(Table2634[[#This Row],[M1 Money Stock, Billions of Dollars, Weekly, Seasonally Adjusted]]-B2031)/B2031</f>
        <v/>
      </c>
      <c r="E2034" s="24">
        <f>AVERAGE(B2031:B2034)</f>
        <v/>
      </c>
      <c r="F2034" s="32">
        <f>(Table2634[[#This Row],[4 weeks average]]-B1982)/B1982</f>
        <v/>
      </c>
    </row>
    <row r="2035">
      <c r="A2035" s="33" t="n">
        <v>41603</v>
      </c>
      <c r="B2035" s="24">
        <f>VLOOKUP(Table2634[[#This Row],[Date]],'DB Money Supply'!$A:$D,4)</f>
        <v/>
      </c>
      <c r="C2035" s="30">
        <f>(Table2634[[#This Row],[M1 Money Stock, Billions of Dollars, Weekly, Seasonally Adjusted]]-B2034)/B2034</f>
        <v/>
      </c>
      <c r="D2035" s="34">
        <f>(Table2634[[#This Row],[M1 Money Stock, Billions of Dollars, Weekly, Seasonally Adjusted]]-B2032)/B2032</f>
        <v/>
      </c>
      <c r="E2035" s="24">
        <f>AVERAGE(B2032:B2035)</f>
        <v/>
      </c>
      <c r="F2035" s="32">
        <f>(Table2634[[#This Row],[4 weeks average]]-B1983)/B1983</f>
        <v/>
      </c>
    </row>
    <row r="2036">
      <c r="A2036" s="33" t="n">
        <v>41610</v>
      </c>
      <c r="B2036" s="24">
        <f>VLOOKUP(Table2634[[#This Row],[Date]],'DB Money Supply'!$A:$D,4)</f>
        <v/>
      </c>
      <c r="C2036" s="30">
        <f>(Table2634[[#This Row],[M1 Money Stock, Billions of Dollars, Weekly, Seasonally Adjusted]]-B2035)/B2035</f>
        <v/>
      </c>
      <c r="D2036" s="34">
        <f>(Table2634[[#This Row],[M1 Money Stock, Billions of Dollars, Weekly, Seasonally Adjusted]]-B2033)/B2033</f>
        <v/>
      </c>
      <c r="E2036" s="24">
        <f>AVERAGE(B2033:B2036)</f>
        <v/>
      </c>
      <c r="F2036" s="32">
        <f>(Table2634[[#This Row],[4 weeks average]]-B1984)/B1984</f>
        <v/>
      </c>
    </row>
    <row r="2037">
      <c r="A2037" s="33" t="n">
        <v>41617</v>
      </c>
      <c r="B2037" s="24">
        <f>VLOOKUP(Table2634[[#This Row],[Date]],'DB Money Supply'!$A:$D,4)</f>
        <v/>
      </c>
      <c r="C2037" s="30">
        <f>(Table2634[[#This Row],[M1 Money Stock, Billions of Dollars, Weekly, Seasonally Adjusted]]-B2036)/B2036</f>
        <v/>
      </c>
      <c r="D2037" s="34">
        <f>(Table2634[[#This Row],[M1 Money Stock, Billions of Dollars, Weekly, Seasonally Adjusted]]-B2034)/B2034</f>
        <v/>
      </c>
      <c r="E2037" s="24">
        <f>AVERAGE(B2034:B2037)</f>
        <v/>
      </c>
      <c r="F2037" s="32">
        <f>(Table2634[[#This Row],[4 weeks average]]-B1985)/B1985</f>
        <v/>
      </c>
    </row>
    <row r="2038">
      <c r="A2038" s="33" t="n">
        <v>41624</v>
      </c>
      <c r="B2038" s="24">
        <f>VLOOKUP(Table2634[[#This Row],[Date]],'DB Money Supply'!$A:$D,4)</f>
        <v/>
      </c>
      <c r="C2038" s="30">
        <f>(Table2634[[#This Row],[M1 Money Stock, Billions of Dollars, Weekly, Seasonally Adjusted]]-B2037)/B2037</f>
        <v/>
      </c>
      <c r="D2038" s="34">
        <f>(Table2634[[#This Row],[M1 Money Stock, Billions of Dollars, Weekly, Seasonally Adjusted]]-B2035)/B2035</f>
        <v/>
      </c>
      <c r="E2038" s="24">
        <f>AVERAGE(B2035:B2038)</f>
        <v/>
      </c>
      <c r="F2038" s="32">
        <f>(Table2634[[#This Row],[4 weeks average]]-B1986)/B1986</f>
        <v/>
      </c>
    </row>
    <row r="2039">
      <c r="A2039" s="33" t="n">
        <v>41631</v>
      </c>
      <c r="B2039" s="24">
        <f>VLOOKUP(Table2634[[#This Row],[Date]],'DB Money Supply'!$A:$D,4)</f>
        <v/>
      </c>
      <c r="C2039" s="30">
        <f>(Table2634[[#This Row],[M1 Money Stock, Billions of Dollars, Weekly, Seasonally Adjusted]]-B2038)/B2038</f>
        <v/>
      </c>
      <c r="D2039" s="34">
        <f>(Table2634[[#This Row],[M1 Money Stock, Billions of Dollars, Weekly, Seasonally Adjusted]]-B2036)/B2036</f>
        <v/>
      </c>
      <c r="E2039" s="24">
        <f>AVERAGE(B2036:B2039)</f>
        <v/>
      </c>
      <c r="F2039" s="32">
        <f>(Table2634[[#This Row],[4 weeks average]]-B1987)/B1987</f>
        <v/>
      </c>
    </row>
    <row r="2040">
      <c r="A2040" s="33" t="n">
        <v>41638</v>
      </c>
      <c r="B2040" s="24">
        <f>VLOOKUP(Table2634[[#This Row],[Date]],'DB Money Supply'!$A:$D,4)</f>
        <v/>
      </c>
      <c r="C2040" s="30">
        <f>(Table2634[[#This Row],[M1 Money Stock, Billions of Dollars, Weekly, Seasonally Adjusted]]-B2039)/B2039</f>
        <v/>
      </c>
      <c r="D2040" s="34">
        <f>(Table2634[[#This Row],[M1 Money Stock, Billions of Dollars, Weekly, Seasonally Adjusted]]-B2037)/B2037</f>
        <v/>
      </c>
      <c r="E2040" s="24">
        <f>AVERAGE(B2037:B2040)</f>
        <v/>
      </c>
      <c r="F2040" s="32">
        <f>(Table2634[[#This Row],[4 weeks average]]-B1988)/B1988</f>
        <v/>
      </c>
    </row>
    <row r="2041">
      <c r="A2041" s="33" t="n">
        <v>41645</v>
      </c>
      <c r="B2041" s="24">
        <f>VLOOKUP(Table2634[[#This Row],[Date]],'DB Money Supply'!$A:$D,4)</f>
        <v/>
      </c>
      <c r="C2041" s="30">
        <f>(Table2634[[#This Row],[M1 Money Stock, Billions of Dollars, Weekly, Seasonally Adjusted]]-B2040)/B2040</f>
        <v/>
      </c>
      <c r="D2041" s="34">
        <f>(Table2634[[#This Row],[M1 Money Stock, Billions of Dollars, Weekly, Seasonally Adjusted]]-B2038)/B2038</f>
        <v/>
      </c>
      <c r="E2041" s="24">
        <f>AVERAGE(B2038:B2041)</f>
        <v/>
      </c>
      <c r="F2041" s="32">
        <f>(Table2634[[#This Row],[4 weeks average]]-B1989)/B1989</f>
        <v/>
      </c>
    </row>
    <row r="2042">
      <c r="A2042" s="33" t="n">
        <v>41652</v>
      </c>
      <c r="B2042" s="24">
        <f>VLOOKUP(Table2634[[#This Row],[Date]],'DB Money Supply'!$A:$D,4)</f>
        <v/>
      </c>
      <c r="C2042" s="30">
        <f>(Table2634[[#This Row],[M1 Money Stock, Billions of Dollars, Weekly, Seasonally Adjusted]]-B2041)/B2041</f>
        <v/>
      </c>
      <c r="D2042" s="34">
        <f>(Table2634[[#This Row],[M1 Money Stock, Billions of Dollars, Weekly, Seasonally Adjusted]]-B2039)/B2039</f>
        <v/>
      </c>
      <c r="E2042" s="24">
        <f>AVERAGE(B2039:B2042)</f>
        <v/>
      </c>
      <c r="F2042" s="32">
        <f>(Table2634[[#This Row],[4 weeks average]]-B1990)/B1990</f>
        <v/>
      </c>
    </row>
    <row r="2043">
      <c r="A2043" s="33" t="n">
        <v>41659</v>
      </c>
      <c r="B2043" s="24">
        <f>VLOOKUP(Table2634[[#This Row],[Date]],'DB Money Supply'!$A:$D,4)</f>
        <v/>
      </c>
      <c r="C2043" s="30">
        <f>(Table2634[[#This Row],[M1 Money Stock, Billions of Dollars, Weekly, Seasonally Adjusted]]-B2042)/B2042</f>
        <v/>
      </c>
      <c r="D2043" s="34">
        <f>(Table2634[[#This Row],[M1 Money Stock, Billions of Dollars, Weekly, Seasonally Adjusted]]-B2040)/B2040</f>
        <v/>
      </c>
      <c r="E2043" s="24">
        <f>AVERAGE(B2040:B2043)</f>
        <v/>
      </c>
      <c r="F2043" s="32">
        <f>(Table2634[[#This Row],[4 weeks average]]-B1991)/B1991</f>
        <v/>
      </c>
    </row>
    <row r="2044">
      <c r="A2044" s="33" t="n">
        <v>41666</v>
      </c>
      <c r="B2044" s="24">
        <f>VLOOKUP(Table2634[[#This Row],[Date]],'DB Money Supply'!$A:$D,4)</f>
        <v/>
      </c>
      <c r="C2044" s="30">
        <f>(Table2634[[#This Row],[M1 Money Stock, Billions of Dollars, Weekly, Seasonally Adjusted]]-B2043)/B2043</f>
        <v/>
      </c>
      <c r="D2044" s="34">
        <f>(Table2634[[#This Row],[M1 Money Stock, Billions of Dollars, Weekly, Seasonally Adjusted]]-B2041)/B2041</f>
        <v/>
      </c>
      <c r="E2044" s="24">
        <f>AVERAGE(B2041:B2044)</f>
        <v/>
      </c>
      <c r="F2044" s="32">
        <f>(Table2634[[#This Row],[4 weeks average]]-B1992)/B1992</f>
        <v/>
      </c>
    </row>
    <row r="2045">
      <c r="A2045" s="33" t="n">
        <v>41673</v>
      </c>
      <c r="B2045" s="24">
        <f>VLOOKUP(Table2634[[#This Row],[Date]],'DB Money Supply'!$A:$D,4)</f>
        <v/>
      </c>
      <c r="C2045" s="30">
        <f>(Table2634[[#This Row],[M1 Money Stock, Billions of Dollars, Weekly, Seasonally Adjusted]]-B2044)/B2044</f>
        <v/>
      </c>
      <c r="D2045" s="34">
        <f>(Table2634[[#This Row],[M1 Money Stock, Billions of Dollars, Weekly, Seasonally Adjusted]]-B2042)/B2042</f>
        <v/>
      </c>
      <c r="E2045" s="24">
        <f>AVERAGE(B2042:B2045)</f>
        <v/>
      </c>
      <c r="F2045" s="32">
        <f>(Table2634[[#This Row],[4 weeks average]]-B1993)/B1993</f>
        <v/>
      </c>
    </row>
    <row r="2046">
      <c r="A2046" s="33" t="n">
        <v>41680</v>
      </c>
      <c r="B2046" s="24">
        <f>VLOOKUP(Table2634[[#This Row],[Date]],'DB Money Supply'!$A:$D,4)</f>
        <v/>
      </c>
      <c r="C2046" s="30">
        <f>(Table2634[[#This Row],[M1 Money Stock, Billions of Dollars, Weekly, Seasonally Adjusted]]-B2045)/B2045</f>
        <v/>
      </c>
      <c r="D2046" s="34">
        <f>(Table2634[[#This Row],[M1 Money Stock, Billions of Dollars, Weekly, Seasonally Adjusted]]-B2043)/B2043</f>
        <v/>
      </c>
      <c r="E2046" s="24">
        <f>AVERAGE(B2043:B2046)</f>
        <v/>
      </c>
      <c r="F2046" s="32">
        <f>(Table2634[[#This Row],[4 weeks average]]-B1994)/B1994</f>
        <v/>
      </c>
    </row>
    <row r="2047">
      <c r="A2047" s="33" t="n">
        <v>41687</v>
      </c>
      <c r="B2047" s="24">
        <f>VLOOKUP(Table2634[[#This Row],[Date]],'DB Money Supply'!$A:$D,4)</f>
        <v/>
      </c>
      <c r="C2047" s="30">
        <f>(Table2634[[#This Row],[M1 Money Stock, Billions of Dollars, Weekly, Seasonally Adjusted]]-B2046)/B2046</f>
        <v/>
      </c>
      <c r="D2047" s="34">
        <f>(Table2634[[#This Row],[M1 Money Stock, Billions of Dollars, Weekly, Seasonally Adjusted]]-B2044)/B2044</f>
        <v/>
      </c>
      <c r="E2047" s="24">
        <f>AVERAGE(B2044:B2047)</f>
        <v/>
      </c>
      <c r="F2047" s="32">
        <f>(Table2634[[#This Row],[4 weeks average]]-B1995)/B1995</f>
        <v/>
      </c>
    </row>
    <row r="2048">
      <c r="A2048" s="33" t="n">
        <v>41694</v>
      </c>
      <c r="B2048" s="24">
        <f>VLOOKUP(Table2634[[#This Row],[Date]],'DB Money Supply'!$A:$D,4)</f>
        <v/>
      </c>
      <c r="C2048" s="30">
        <f>(Table2634[[#This Row],[M1 Money Stock, Billions of Dollars, Weekly, Seasonally Adjusted]]-B2047)/B2047</f>
        <v/>
      </c>
      <c r="D2048" s="34">
        <f>(Table2634[[#This Row],[M1 Money Stock, Billions of Dollars, Weekly, Seasonally Adjusted]]-B2045)/B2045</f>
        <v/>
      </c>
      <c r="E2048" s="24">
        <f>AVERAGE(B2045:B2048)</f>
        <v/>
      </c>
      <c r="F2048" s="32">
        <f>(Table2634[[#This Row],[4 weeks average]]-B1996)/B1996</f>
        <v/>
      </c>
    </row>
    <row r="2049">
      <c r="A2049" s="33" t="n">
        <v>41701</v>
      </c>
      <c r="B2049" s="24">
        <f>VLOOKUP(Table2634[[#This Row],[Date]],'DB Money Supply'!$A:$D,4)</f>
        <v/>
      </c>
      <c r="C2049" s="30">
        <f>(Table2634[[#This Row],[M1 Money Stock, Billions of Dollars, Weekly, Seasonally Adjusted]]-B2048)/B2048</f>
        <v/>
      </c>
      <c r="D2049" s="34">
        <f>(Table2634[[#This Row],[M1 Money Stock, Billions of Dollars, Weekly, Seasonally Adjusted]]-B2046)/B2046</f>
        <v/>
      </c>
      <c r="E2049" s="24">
        <f>AVERAGE(B2046:B2049)</f>
        <v/>
      </c>
      <c r="F2049" s="32">
        <f>(Table2634[[#This Row],[4 weeks average]]-B1997)/B1997</f>
        <v/>
      </c>
    </row>
    <row r="2050">
      <c r="A2050" s="33" t="n">
        <v>41708</v>
      </c>
      <c r="B2050" s="24">
        <f>VLOOKUP(Table2634[[#This Row],[Date]],'DB Money Supply'!$A:$D,4)</f>
        <v/>
      </c>
      <c r="C2050" s="30">
        <f>(Table2634[[#This Row],[M1 Money Stock, Billions of Dollars, Weekly, Seasonally Adjusted]]-B2049)/B2049</f>
        <v/>
      </c>
      <c r="D2050" s="34">
        <f>(Table2634[[#This Row],[M1 Money Stock, Billions of Dollars, Weekly, Seasonally Adjusted]]-B2047)/B2047</f>
        <v/>
      </c>
      <c r="E2050" s="24">
        <f>AVERAGE(B2047:B2050)</f>
        <v/>
      </c>
      <c r="F2050" s="32">
        <f>(Table2634[[#This Row],[4 weeks average]]-B1998)/B1998</f>
        <v/>
      </c>
    </row>
    <row r="2051">
      <c r="A2051" s="33" t="n">
        <v>41715</v>
      </c>
      <c r="B2051" s="24">
        <f>VLOOKUP(Table2634[[#This Row],[Date]],'DB Money Supply'!$A:$D,4)</f>
        <v/>
      </c>
      <c r="C2051" s="30">
        <f>(Table2634[[#This Row],[M1 Money Stock, Billions of Dollars, Weekly, Seasonally Adjusted]]-B2050)/B2050</f>
        <v/>
      </c>
      <c r="D2051" s="34">
        <f>(Table2634[[#This Row],[M1 Money Stock, Billions of Dollars, Weekly, Seasonally Adjusted]]-B2048)/B2048</f>
        <v/>
      </c>
      <c r="E2051" s="24">
        <f>AVERAGE(B2048:B2051)</f>
        <v/>
      </c>
      <c r="F2051" s="32">
        <f>(Table2634[[#This Row],[4 weeks average]]-B1999)/B1999</f>
        <v/>
      </c>
    </row>
    <row r="2052">
      <c r="A2052" s="33" t="n">
        <v>41722</v>
      </c>
      <c r="B2052" s="24">
        <f>VLOOKUP(Table2634[[#This Row],[Date]],'DB Money Supply'!$A:$D,4)</f>
        <v/>
      </c>
      <c r="C2052" s="30">
        <f>(Table2634[[#This Row],[M1 Money Stock, Billions of Dollars, Weekly, Seasonally Adjusted]]-B2051)/B2051</f>
        <v/>
      </c>
      <c r="D2052" s="34">
        <f>(Table2634[[#This Row],[M1 Money Stock, Billions of Dollars, Weekly, Seasonally Adjusted]]-B2049)/B2049</f>
        <v/>
      </c>
      <c r="E2052" s="24">
        <f>AVERAGE(B2049:B2052)</f>
        <v/>
      </c>
      <c r="F2052" s="32">
        <f>(Table2634[[#This Row],[4 weeks average]]-B2000)/B2000</f>
        <v/>
      </c>
    </row>
    <row r="2053">
      <c r="A2053" s="33" t="n">
        <v>41729</v>
      </c>
      <c r="B2053" s="24">
        <f>VLOOKUP(Table2634[[#This Row],[Date]],'DB Money Supply'!$A:$D,4)</f>
        <v/>
      </c>
      <c r="C2053" s="30">
        <f>(Table2634[[#This Row],[M1 Money Stock, Billions of Dollars, Weekly, Seasonally Adjusted]]-B2052)/B2052</f>
        <v/>
      </c>
      <c r="D2053" s="34">
        <f>(Table2634[[#This Row],[M1 Money Stock, Billions of Dollars, Weekly, Seasonally Adjusted]]-B2050)/B2050</f>
        <v/>
      </c>
      <c r="E2053" s="24">
        <f>AVERAGE(B2050:B2053)</f>
        <v/>
      </c>
      <c r="F2053" s="32">
        <f>(Table2634[[#This Row],[4 weeks average]]-B2001)/B2001</f>
        <v/>
      </c>
    </row>
    <row r="2054">
      <c r="A2054" s="33" t="n">
        <v>41736</v>
      </c>
      <c r="B2054" s="24">
        <f>VLOOKUP(Table2634[[#This Row],[Date]],'DB Money Supply'!$A:$D,4)</f>
        <v/>
      </c>
      <c r="C2054" s="30">
        <f>(Table2634[[#This Row],[M1 Money Stock, Billions of Dollars, Weekly, Seasonally Adjusted]]-B2053)/B2053</f>
        <v/>
      </c>
      <c r="D2054" s="34">
        <f>(Table2634[[#This Row],[M1 Money Stock, Billions of Dollars, Weekly, Seasonally Adjusted]]-B2051)/B2051</f>
        <v/>
      </c>
      <c r="E2054" s="24">
        <f>AVERAGE(B2051:B2054)</f>
        <v/>
      </c>
      <c r="F2054" s="32">
        <f>(Table2634[[#This Row],[4 weeks average]]-B2002)/B2002</f>
        <v/>
      </c>
    </row>
    <row r="2055">
      <c r="A2055" s="33" t="n">
        <v>41743</v>
      </c>
      <c r="B2055" s="24">
        <f>VLOOKUP(Table2634[[#This Row],[Date]],'DB Money Supply'!$A:$D,4)</f>
        <v/>
      </c>
      <c r="C2055" s="30">
        <f>(Table2634[[#This Row],[M1 Money Stock, Billions of Dollars, Weekly, Seasonally Adjusted]]-B2054)/B2054</f>
        <v/>
      </c>
      <c r="D2055" s="34">
        <f>(Table2634[[#This Row],[M1 Money Stock, Billions of Dollars, Weekly, Seasonally Adjusted]]-B2052)/B2052</f>
        <v/>
      </c>
      <c r="E2055" s="24">
        <f>AVERAGE(B2052:B2055)</f>
        <v/>
      </c>
      <c r="F2055" s="32">
        <f>(Table2634[[#This Row],[4 weeks average]]-B2003)/B2003</f>
        <v/>
      </c>
    </row>
    <row r="2056">
      <c r="A2056" s="33" t="n">
        <v>41750</v>
      </c>
      <c r="B2056" s="24">
        <f>VLOOKUP(Table2634[[#This Row],[Date]],'DB Money Supply'!$A:$D,4)</f>
        <v/>
      </c>
      <c r="C2056" s="30">
        <f>(Table2634[[#This Row],[M1 Money Stock, Billions of Dollars, Weekly, Seasonally Adjusted]]-B2055)/B2055</f>
        <v/>
      </c>
      <c r="D2056" s="34">
        <f>(Table2634[[#This Row],[M1 Money Stock, Billions of Dollars, Weekly, Seasonally Adjusted]]-B2053)/B2053</f>
        <v/>
      </c>
      <c r="E2056" s="24">
        <f>AVERAGE(B2053:B2056)</f>
        <v/>
      </c>
      <c r="F2056" s="32">
        <f>(Table2634[[#This Row],[4 weeks average]]-B2004)/B2004</f>
        <v/>
      </c>
    </row>
    <row r="2057">
      <c r="A2057" s="33" t="n">
        <v>41757</v>
      </c>
      <c r="B2057" s="24">
        <f>VLOOKUP(Table2634[[#This Row],[Date]],'DB Money Supply'!$A:$D,4)</f>
        <v/>
      </c>
      <c r="C2057" s="30">
        <f>(Table2634[[#This Row],[M1 Money Stock, Billions of Dollars, Weekly, Seasonally Adjusted]]-B2056)/B2056</f>
        <v/>
      </c>
      <c r="D2057" s="34">
        <f>(Table2634[[#This Row],[M1 Money Stock, Billions of Dollars, Weekly, Seasonally Adjusted]]-B2054)/B2054</f>
        <v/>
      </c>
      <c r="E2057" s="24">
        <f>AVERAGE(B2054:B2057)</f>
        <v/>
      </c>
      <c r="F2057" s="32">
        <f>(Table2634[[#This Row],[4 weeks average]]-B2005)/B2005</f>
        <v/>
      </c>
    </row>
    <row r="2058">
      <c r="A2058" s="33" t="n">
        <v>41764</v>
      </c>
      <c r="B2058" s="24">
        <f>VLOOKUP(Table2634[[#This Row],[Date]],'DB Money Supply'!$A:$D,4)</f>
        <v/>
      </c>
      <c r="C2058" s="30">
        <f>(Table2634[[#This Row],[M1 Money Stock, Billions of Dollars, Weekly, Seasonally Adjusted]]-B2057)/B2057</f>
        <v/>
      </c>
      <c r="D2058" s="34">
        <f>(Table2634[[#This Row],[M1 Money Stock, Billions of Dollars, Weekly, Seasonally Adjusted]]-B2055)/B2055</f>
        <v/>
      </c>
      <c r="E2058" s="24">
        <f>AVERAGE(B2055:B2058)</f>
        <v/>
      </c>
      <c r="F2058" s="32">
        <f>(Table2634[[#This Row],[4 weeks average]]-B2006)/B2006</f>
        <v/>
      </c>
    </row>
    <row r="2059">
      <c r="A2059" s="33" t="n">
        <v>41771</v>
      </c>
      <c r="B2059" s="24">
        <f>VLOOKUP(Table2634[[#This Row],[Date]],'DB Money Supply'!$A:$D,4)</f>
        <v/>
      </c>
      <c r="C2059" s="30">
        <f>(Table2634[[#This Row],[M1 Money Stock, Billions of Dollars, Weekly, Seasonally Adjusted]]-B2058)/B2058</f>
        <v/>
      </c>
      <c r="D2059" s="34">
        <f>(Table2634[[#This Row],[M1 Money Stock, Billions of Dollars, Weekly, Seasonally Adjusted]]-B2056)/B2056</f>
        <v/>
      </c>
      <c r="E2059" s="24">
        <f>AVERAGE(B2056:B2059)</f>
        <v/>
      </c>
      <c r="F2059" s="32">
        <f>(Table2634[[#This Row],[4 weeks average]]-B2007)/B2007</f>
        <v/>
      </c>
    </row>
    <row r="2060">
      <c r="A2060" s="33" t="n">
        <v>41778</v>
      </c>
      <c r="B2060" s="24">
        <f>VLOOKUP(Table2634[[#This Row],[Date]],'DB Money Supply'!$A:$D,4)</f>
        <v/>
      </c>
      <c r="C2060" s="30">
        <f>(Table2634[[#This Row],[M1 Money Stock, Billions of Dollars, Weekly, Seasonally Adjusted]]-B2059)/B2059</f>
        <v/>
      </c>
      <c r="D2060" s="34">
        <f>(Table2634[[#This Row],[M1 Money Stock, Billions of Dollars, Weekly, Seasonally Adjusted]]-B2057)/B2057</f>
        <v/>
      </c>
      <c r="E2060" s="24">
        <f>AVERAGE(B2057:B2060)</f>
        <v/>
      </c>
      <c r="F2060" s="32">
        <f>(Table2634[[#This Row],[4 weeks average]]-B2008)/B2008</f>
        <v/>
      </c>
    </row>
    <row r="2061">
      <c r="A2061" s="33" t="n">
        <v>41785</v>
      </c>
      <c r="B2061" s="24">
        <f>VLOOKUP(Table2634[[#This Row],[Date]],'DB Money Supply'!$A:$D,4)</f>
        <v/>
      </c>
      <c r="C2061" s="30">
        <f>(Table2634[[#This Row],[M1 Money Stock, Billions of Dollars, Weekly, Seasonally Adjusted]]-B2060)/B2060</f>
        <v/>
      </c>
      <c r="D2061" s="34">
        <f>(Table2634[[#This Row],[M1 Money Stock, Billions of Dollars, Weekly, Seasonally Adjusted]]-B2058)/B2058</f>
        <v/>
      </c>
      <c r="E2061" s="24">
        <f>AVERAGE(B2058:B2061)</f>
        <v/>
      </c>
      <c r="F2061" s="32">
        <f>(Table2634[[#This Row],[4 weeks average]]-B2009)/B2009</f>
        <v/>
      </c>
    </row>
    <row r="2062">
      <c r="A2062" s="33" t="n">
        <v>41792</v>
      </c>
      <c r="B2062" s="24">
        <f>VLOOKUP(Table2634[[#This Row],[Date]],'DB Money Supply'!$A:$D,4)</f>
        <v/>
      </c>
      <c r="C2062" s="30">
        <f>(Table2634[[#This Row],[M1 Money Stock, Billions of Dollars, Weekly, Seasonally Adjusted]]-B2061)/B2061</f>
        <v/>
      </c>
      <c r="D2062" s="34">
        <f>(Table2634[[#This Row],[M1 Money Stock, Billions of Dollars, Weekly, Seasonally Adjusted]]-B2059)/B2059</f>
        <v/>
      </c>
      <c r="E2062" s="24">
        <f>AVERAGE(B2059:B2062)</f>
        <v/>
      </c>
      <c r="F2062" s="32">
        <f>(Table2634[[#This Row],[4 weeks average]]-B2010)/B2010</f>
        <v/>
      </c>
    </row>
    <row r="2063">
      <c r="A2063" s="33" t="n">
        <v>41799</v>
      </c>
      <c r="B2063" s="24">
        <f>VLOOKUP(Table2634[[#This Row],[Date]],'DB Money Supply'!$A:$D,4)</f>
        <v/>
      </c>
      <c r="C2063" s="30">
        <f>(Table2634[[#This Row],[M1 Money Stock, Billions of Dollars, Weekly, Seasonally Adjusted]]-B2062)/B2062</f>
        <v/>
      </c>
      <c r="D2063" s="34">
        <f>(Table2634[[#This Row],[M1 Money Stock, Billions of Dollars, Weekly, Seasonally Adjusted]]-B2060)/B2060</f>
        <v/>
      </c>
      <c r="E2063" s="24">
        <f>AVERAGE(B2060:B2063)</f>
        <v/>
      </c>
      <c r="F2063" s="32">
        <f>(Table2634[[#This Row],[4 weeks average]]-B2011)/B2011</f>
        <v/>
      </c>
    </row>
    <row r="2064">
      <c r="A2064" s="33" t="n">
        <v>41806</v>
      </c>
      <c r="B2064" s="24">
        <f>VLOOKUP(Table2634[[#This Row],[Date]],'DB Money Supply'!$A:$D,4)</f>
        <v/>
      </c>
      <c r="C2064" s="30">
        <f>(Table2634[[#This Row],[M1 Money Stock, Billions of Dollars, Weekly, Seasonally Adjusted]]-B2063)/B2063</f>
        <v/>
      </c>
      <c r="D2064" s="34">
        <f>(Table2634[[#This Row],[M1 Money Stock, Billions of Dollars, Weekly, Seasonally Adjusted]]-B2061)/B2061</f>
        <v/>
      </c>
      <c r="E2064" s="24">
        <f>AVERAGE(B2061:B2064)</f>
        <v/>
      </c>
      <c r="F2064" s="32">
        <f>(Table2634[[#This Row],[4 weeks average]]-B2012)/B2012</f>
        <v/>
      </c>
    </row>
    <row r="2065">
      <c r="A2065" s="33" t="n">
        <v>41813</v>
      </c>
      <c r="B2065" s="24">
        <f>VLOOKUP(Table2634[[#This Row],[Date]],'DB Money Supply'!$A:$D,4)</f>
        <v/>
      </c>
      <c r="C2065" s="30">
        <f>(Table2634[[#This Row],[M1 Money Stock, Billions of Dollars, Weekly, Seasonally Adjusted]]-B2064)/B2064</f>
        <v/>
      </c>
      <c r="D2065" s="34">
        <f>(Table2634[[#This Row],[M1 Money Stock, Billions of Dollars, Weekly, Seasonally Adjusted]]-B2062)/B2062</f>
        <v/>
      </c>
      <c r="E2065" s="24">
        <f>AVERAGE(B2062:B2065)</f>
        <v/>
      </c>
      <c r="F2065" s="32">
        <f>(Table2634[[#This Row],[4 weeks average]]-B2013)/B2013</f>
        <v/>
      </c>
    </row>
    <row r="2066">
      <c r="A2066" s="33" t="n">
        <v>41820</v>
      </c>
      <c r="B2066" s="24">
        <f>VLOOKUP(Table2634[[#This Row],[Date]],'DB Money Supply'!$A:$D,4)</f>
        <v/>
      </c>
      <c r="C2066" s="30">
        <f>(Table2634[[#This Row],[M1 Money Stock, Billions of Dollars, Weekly, Seasonally Adjusted]]-B2065)/B2065</f>
        <v/>
      </c>
      <c r="D2066" s="34">
        <f>(Table2634[[#This Row],[M1 Money Stock, Billions of Dollars, Weekly, Seasonally Adjusted]]-B2063)/B2063</f>
        <v/>
      </c>
      <c r="E2066" s="24">
        <f>AVERAGE(B2063:B2066)</f>
        <v/>
      </c>
      <c r="F2066" s="32">
        <f>(Table2634[[#This Row],[4 weeks average]]-B2014)/B2014</f>
        <v/>
      </c>
    </row>
    <row r="2067">
      <c r="A2067" s="33" t="n">
        <v>41827</v>
      </c>
      <c r="B2067" s="24">
        <f>VLOOKUP(Table2634[[#This Row],[Date]],'DB Money Supply'!$A:$D,4)</f>
        <v/>
      </c>
      <c r="C2067" s="30">
        <f>(Table2634[[#This Row],[M1 Money Stock, Billions of Dollars, Weekly, Seasonally Adjusted]]-B2066)/B2066</f>
        <v/>
      </c>
      <c r="D2067" s="34">
        <f>(Table2634[[#This Row],[M1 Money Stock, Billions of Dollars, Weekly, Seasonally Adjusted]]-B2064)/B2064</f>
        <v/>
      </c>
      <c r="E2067" s="24">
        <f>AVERAGE(B2064:B2067)</f>
        <v/>
      </c>
      <c r="F2067" s="32">
        <f>(Table2634[[#This Row],[4 weeks average]]-B2015)/B2015</f>
        <v/>
      </c>
    </row>
    <row r="2068">
      <c r="A2068" s="33" t="n">
        <v>41834</v>
      </c>
      <c r="B2068" s="24">
        <f>VLOOKUP(Table2634[[#This Row],[Date]],'DB Money Supply'!$A:$D,4)</f>
        <v/>
      </c>
      <c r="C2068" s="30">
        <f>(Table2634[[#This Row],[M1 Money Stock, Billions of Dollars, Weekly, Seasonally Adjusted]]-B2067)/B2067</f>
        <v/>
      </c>
      <c r="D2068" s="34">
        <f>(Table2634[[#This Row],[M1 Money Stock, Billions of Dollars, Weekly, Seasonally Adjusted]]-B2065)/B2065</f>
        <v/>
      </c>
      <c r="E2068" s="24">
        <f>AVERAGE(B2065:B2068)</f>
        <v/>
      </c>
      <c r="F2068" s="32">
        <f>(Table2634[[#This Row],[4 weeks average]]-B2016)/B2016</f>
        <v/>
      </c>
    </row>
    <row r="2069">
      <c r="A2069" s="33" t="n">
        <v>41841</v>
      </c>
      <c r="B2069" s="24">
        <f>VLOOKUP(Table2634[[#This Row],[Date]],'DB Money Supply'!$A:$D,4)</f>
        <v/>
      </c>
      <c r="C2069" s="30">
        <f>(Table2634[[#This Row],[M1 Money Stock, Billions of Dollars, Weekly, Seasonally Adjusted]]-B2068)/B2068</f>
        <v/>
      </c>
      <c r="D2069" s="34">
        <f>(Table2634[[#This Row],[M1 Money Stock, Billions of Dollars, Weekly, Seasonally Adjusted]]-B2066)/B2066</f>
        <v/>
      </c>
      <c r="E2069" s="24">
        <f>AVERAGE(B2066:B2069)</f>
        <v/>
      </c>
      <c r="F2069" s="32">
        <f>(Table2634[[#This Row],[4 weeks average]]-B2017)/B2017</f>
        <v/>
      </c>
    </row>
    <row r="2070">
      <c r="A2070" s="33" t="n">
        <v>41848</v>
      </c>
      <c r="B2070" s="24">
        <f>VLOOKUP(Table2634[[#This Row],[Date]],'DB Money Supply'!$A:$D,4)</f>
        <v/>
      </c>
      <c r="C2070" s="30">
        <f>(Table2634[[#This Row],[M1 Money Stock, Billions of Dollars, Weekly, Seasonally Adjusted]]-B2069)/B2069</f>
        <v/>
      </c>
      <c r="D2070" s="34">
        <f>(Table2634[[#This Row],[M1 Money Stock, Billions of Dollars, Weekly, Seasonally Adjusted]]-B2067)/B2067</f>
        <v/>
      </c>
      <c r="E2070" s="24">
        <f>AVERAGE(B2067:B2070)</f>
        <v/>
      </c>
      <c r="F2070" s="32">
        <f>(Table2634[[#This Row],[4 weeks average]]-B2018)/B2018</f>
        <v/>
      </c>
    </row>
    <row r="2071">
      <c r="A2071" s="33" t="n">
        <v>41855</v>
      </c>
      <c r="B2071" s="24">
        <f>VLOOKUP(Table2634[[#This Row],[Date]],'DB Money Supply'!$A:$D,4)</f>
        <v/>
      </c>
      <c r="C2071" s="30">
        <f>(Table2634[[#This Row],[M1 Money Stock, Billions of Dollars, Weekly, Seasonally Adjusted]]-B2070)/B2070</f>
        <v/>
      </c>
      <c r="D2071" s="34">
        <f>(Table2634[[#This Row],[M1 Money Stock, Billions of Dollars, Weekly, Seasonally Adjusted]]-B2068)/B2068</f>
        <v/>
      </c>
      <c r="E2071" s="24">
        <f>AVERAGE(B2068:B2071)</f>
        <v/>
      </c>
      <c r="F2071" s="32">
        <f>(Table2634[[#This Row],[4 weeks average]]-B2019)/B2019</f>
        <v/>
      </c>
    </row>
    <row r="2072">
      <c r="A2072" s="33" t="n">
        <v>41862</v>
      </c>
      <c r="B2072" s="24">
        <f>VLOOKUP(Table2634[[#This Row],[Date]],'DB Money Supply'!$A:$D,4)</f>
        <v/>
      </c>
      <c r="C2072" s="30">
        <f>(Table2634[[#This Row],[M1 Money Stock, Billions of Dollars, Weekly, Seasonally Adjusted]]-B2071)/B2071</f>
        <v/>
      </c>
      <c r="D2072" s="34">
        <f>(Table2634[[#This Row],[M1 Money Stock, Billions of Dollars, Weekly, Seasonally Adjusted]]-B2069)/B2069</f>
        <v/>
      </c>
      <c r="E2072" s="24">
        <f>AVERAGE(B2069:B2072)</f>
        <v/>
      </c>
      <c r="F2072" s="32">
        <f>(Table2634[[#This Row],[4 weeks average]]-B2020)/B2020</f>
        <v/>
      </c>
    </row>
    <row r="2073">
      <c r="A2073" s="33" t="n">
        <v>41869</v>
      </c>
      <c r="B2073" s="24">
        <f>VLOOKUP(Table2634[[#This Row],[Date]],'DB Money Supply'!$A:$D,4)</f>
        <v/>
      </c>
      <c r="C2073" s="30">
        <f>(Table2634[[#This Row],[M1 Money Stock, Billions of Dollars, Weekly, Seasonally Adjusted]]-B2072)/B2072</f>
        <v/>
      </c>
      <c r="D2073" s="34">
        <f>(Table2634[[#This Row],[M1 Money Stock, Billions of Dollars, Weekly, Seasonally Adjusted]]-B2070)/B2070</f>
        <v/>
      </c>
      <c r="E2073" s="24">
        <f>AVERAGE(B2070:B2073)</f>
        <v/>
      </c>
      <c r="F2073" s="32">
        <f>(Table2634[[#This Row],[4 weeks average]]-B2021)/B2021</f>
        <v/>
      </c>
    </row>
    <row r="2074">
      <c r="A2074" s="33" t="n">
        <v>41876</v>
      </c>
      <c r="B2074" s="24">
        <f>VLOOKUP(Table2634[[#This Row],[Date]],'DB Money Supply'!$A:$D,4)</f>
        <v/>
      </c>
      <c r="C2074" s="30">
        <f>(Table2634[[#This Row],[M1 Money Stock, Billions of Dollars, Weekly, Seasonally Adjusted]]-B2073)/B2073</f>
        <v/>
      </c>
      <c r="D2074" s="34">
        <f>(Table2634[[#This Row],[M1 Money Stock, Billions of Dollars, Weekly, Seasonally Adjusted]]-B2071)/B2071</f>
        <v/>
      </c>
      <c r="E2074" s="24">
        <f>AVERAGE(B2071:B2074)</f>
        <v/>
      </c>
      <c r="F2074" s="32">
        <f>(Table2634[[#This Row],[4 weeks average]]-B2022)/B2022</f>
        <v/>
      </c>
    </row>
    <row r="2075">
      <c r="A2075" s="33" t="n">
        <v>41883</v>
      </c>
      <c r="B2075" s="24">
        <f>VLOOKUP(Table2634[[#This Row],[Date]],'DB Money Supply'!$A:$D,4)</f>
        <v/>
      </c>
      <c r="C2075" s="30">
        <f>(Table2634[[#This Row],[M1 Money Stock, Billions of Dollars, Weekly, Seasonally Adjusted]]-B2074)/B2074</f>
        <v/>
      </c>
      <c r="D2075" s="34">
        <f>(Table2634[[#This Row],[M1 Money Stock, Billions of Dollars, Weekly, Seasonally Adjusted]]-B2072)/B2072</f>
        <v/>
      </c>
      <c r="E2075" s="24">
        <f>AVERAGE(B2072:B2075)</f>
        <v/>
      </c>
      <c r="F2075" s="32">
        <f>(Table2634[[#This Row],[4 weeks average]]-B2023)/B2023</f>
        <v/>
      </c>
    </row>
    <row r="2076">
      <c r="A2076" s="33" t="n">
        <v>41890</v>
      </c>
      <c r="B2076" s="24">
        <f>VLOOKUP(Table2634[[#This Row],[Date]],'DB Money Supply'!$A:$D,4)</f>
        <v/>
      </c>
      <c r="C2076" s="30">
        <f>(Table2634[[#This Row],[M1 Money Stock, Billions of Dollars, Weekly, Seasonally Adjusted]]-B2075)/B2075</f>
        <v/>
      </c>
      <c r="D2076" s="34">
        <f>(Table2634[[#This Row],[M1 Money Stock, Billions of Dollars, Weekly, Seasonally Adjusted]]-B2073)/B2073</f>
        <v/>
      </c>
      <c r="E2076" s="24">
        <f>AVERAGE(B2073:B2076)</f>
        <v/>
      </c>
      <c r="F2076" s="32">
        <f>(Table2634[[#This Row],[4 weeks average]]-B2024)/B2024</f>
        <v/>
      </c>
    </row>
    <row r="2077">
      <c r="A2077" s="33" t="n">
        <v>41897</v>
      </c>
      <c r="B2077" s="24">
        <f>VLOOKUP(Table2634[[#This Row],[Date]],'DB Money Supply'!$A:$D,4)</f>
        <v/>
      </c>
      <c r="C2077" s="30">
        <f>(Table2634[[#This Row],[M1 Money Stock, Billions of Dollars, Weekly, Seasonally Adjusted]]-B2076)/B2076</f>
        <v/>
      </c>
      <c r="D2077" s="34">
        <f>(Table2634[[#This Row],[M1 Money Stock, Billions of Dollars, Weekly, Seasonally Adjusted]]-B2074)/B2074</f>
        <v/>
      </c>
      <c r="E2077" s="24">
        <f>AVERAGE(B2074:B2077)</f>
        <v/>
      </c>
      <c r="F2077" s="32">
        <f>(Table2634[[#This Row],[4 weeks average]]-B2025)/B2025</f>
        <v/>
      </c>
    </row>
    <row r="2078">
      <c r="A2078" s="33" t="n">
        <v>41904</v>
      </c>
      <c r="B2078" s="24">
        <f>VLOOKUP(Table2634[[#This Row],[Date]],'DB Money Supply'!$A:$D,4)</f>
        <v/>
      </c>
      <c r="C2078" s="30">
        <f>(Table2634[[#This Row],[M1 Money Stock, Billions of Dollars, Weekly, Seasonally Adjusted]]-B2077)/B2077</f>
        <v/>
      </c>
      <c r="D2078" s="34">
        <f>(Table2634[[#This Row],[M1 Money Stock, Billions of Dollars, Weekly, Seasonally Adjusted]]-B2075)/B2075</f>
        <v/>
      </c>
      <c r="E2078" s="24">
        <f>AVERAGE(B2075:B2078)</f>
        <v/>
      </c>
      <c r="F2078" s="32">
        <f>(Table2634[[#This Row],[4 weeks average]]-B2026)/B2026</f>
        <v/>
      </c>
    </row>
    <row r="2079">
      <c r="A2079" s="33" t="n">
        <v>41911</v>
      </c>
      <c r="B2079" s="24">
        <f>VLOOKUP(Table2634[[#This Row],[Date]],'DB Money Supply'!$A:$D,4)</f>
        <v/>
      </c>
      <c r="C2079" s="30">
        <f>(Table2634[[#This Row],[M1 Money Stock, Billions of Dollars, Weekly, Seasonally Adjusted]]-B2078)/B2078</f>
        <v/>
      </c>
      <c r="D2079" s="34">
        <f>(Table2634[[#This Row],[M1 Money Stock, Billions of Dollars, Weekly, Seasonally Adjusted]]-B2076)/B2076</f>
        <v/>
      </c>
      <c r="E2079" s="24">
        <f>AVERAGE(B2076:B2079)</f>
        <v/>
      </c>
      <c r="F2079" s="32">
        <f>(Table2634[[#This Row],[4 weeks average]]-B2027)/B2027</f>
        <v/>
      </c>
    </row>
    <row r="2080">
      <c r="A2080" s="33" t="n">
        <v>41918</v>
      </c>
      <c r="B2080" s="24">
        <f>VLOOKUP(Table2634[[#This Row],[Date]],'DB Money Supply'!$A:$D,4)</f>
        <v/>
      </c>
      <c r="C2080" s="30">
        <f>(Table2634[[#This Row],[M1 Money Stock, Billions of Dollars, Weekly, Seasonally Adjusted]]-B2079)/B2079</f>
        <v/>
      </c>
      <c r="D2080" s="34">
        <f>(Table2634[[#This Row],[M1 Money Stock, Billions of Dollars, Weekly, Seasonally Adjusted]]-B2077)/B2077</f>
        <v/>
      </c>
      <c r="E2080" s="24">
        <f>AVERAGE(B2077:B2080)</f>
        <v/>
      </c>
      <c r="F2080" s="32">
        <f>(Table2634[[#This Row],[4 weeks average]]-B2028)/B2028</f>
        <v/>
      </c>
    </row>
    <row r="2081">
      <c r="A2081" s="33" t="n">
        <v>41925</v>
      </c>
      <c r="B2081" s="24">
        <f>VLOOKUP(Table2634[[#This Row],[Date]],'DB Money Supply'!$A:$D,4)</f>
        <v/>
      </c>
      <c r="C2081" s="30">
        <f>(Table2634[[#This Row],[M1 Money Stock, Billions of Dollars, Weekly, Seasonally Adjusted]]-B2080)/B2080</f>
        <v/>
      </c>
      <c r="D2081" s="34">
        <f>(Table2634[[#This Row],[M1 Money Stock, Billions of Dollars, Weekly, Seasonally Adjusted]]-B2078)/B2078</f>
        <v/>
      </c>
      <c r="E2081" s="24">
        <f>AVERAGE(B2078:B2081)</f>
        <v/>
      </c>
      <c r="F2081" s="32">
        <f>(Table2634[[#This Row],[4 weeks average]]-B2029)/B2029</f>
        <v/>
      </c>
    </row>
    <row r="2082">
      <c r="A2082" s="33" t="n">
        <v>41932</v>
      </c>
      <c r="B2082" s="24">
        <f>VLOOKUP(Table2634[[#This Row],[Date]],'DB Money Supply'!$A:$D,4)</f>
        <v/>
      </c>
      <c r="C2082" s="30">
        <f>(Table2634[[#This Row],[M1 Money Stock, Billions of Dollars, Weekly, Seasonally Adjusted]]-B2081)/B2081</f>
        <v/>
      </c>
      <c r="D2082" s="34">
        <f>(Table2634[[#This Row],[M1 Money Stock, Billions of Dollars, Weekly, Seasonally Adjusted]]-B2079)/B2079</f>
        <v/>
      </c>
      <c r="E2082" s="24">
        <f>AVERAGE(B2079:B2082)</f>
        <v/>
      </c>
      <c r="F2082" s="32">
        <f>(Table2634[[#This Row],[4 weeks average]]-B2030)/B2030</f>
        <v/>
      </c>
    </row>
    <row r="2083">
      <c r="A2083" s="33" t="n">
        <v>41939</v>
      </c>
      <c r="B2083" s="24">
        <f>VLOOKUP(Table2634[[#This Row],[Date]],'DB Money Supply'!$A:$D,4)</f>
        <v/>
      </c>
      <c r="C2083" s="30">
        <f>(Table2634[[#This Row],[M1 Money Stock, Billions of Dollars, Weekly, Seasonally Adjusted]]-B2082)/B2082</f>
        <v/>
      </c>
      <c r="D2083" s="34">
        <f>(Table2634[[#This Row],[M1 Money Stock, Billions of Dollars, Weekly, Seasonally Adjusted]]-B2080)/B2080</f>
        <v/>
      </c>
      <c r="E2083" s="24">
        <f>AVERAGE(B2080:B2083)</f>
        <v/>
      </c>
      <c r="F2083" s="32">
        <f>(Table2634[[#This Row],[4 weeks average]]-B2031)/B2031</f>
        <v/>
      </c>
    </row>
    <row r="2084">
      <c r="A2084" s="33" t="n">
        <v>41946</v>
      </c>
      <c r="B2084" s="24">
        <f>VLOOKUP(Table2634[[#This Row],[Date]],'DB Money Supply'!$A:$D,4)</f>
        <v/>
      </c>
      <c r="C2084" s="30">
        <f>(Table2634[[#This Row],[M1 Money Stock, Billions of Dollars, Weekly, Seasonally Adjusted]]-B2083)/B2083</f>
        <v/>
      </c>
      <c r="D2084" s="34">
        <f>(Table2634[[#This Row],[M1 Money Stock, Billions of Dollars, Weekly, Seasonally Adjusted]]-B2081)/B2081</f>
        <v/>
      </c>
      <c r="E2084" s="24">
        <f>AVERAGE(B2081:B2084)</f>
        <v/>
      </c>
      <c r="F2084" s="32">
        <f>(Table2634[[#This Row],[4 weeks average]]-B2032)/B2032</f>
        <v/>
      </c>
    </row>
    <row r="2085">
      <c r="A2085" s="33" t="n">
        <v>41953</v>
      </c>
      <c r="B2085" s="24">
        <f>VLOOKUP(Table2634[[#This Row],[Date]],'DB Money Supply'!$A:$D,4)</f>
        <v/>
      </c>
      <c r="C2085" s="30">
        <f>(Table2634[[#This Row],[M1 Money Stock, Billions of Dollars, Weekly, Seasonally Adjusted]]-B2084)/B2084</f>
        <v/>
      </c>
      <c r="D2085" s="34">
        <f>(Table2634[[#This Row],[M1 Money Stock, Billions of Dollars, Weekly, Seasonally Adjusted]]-B2082)/B2082</f>
        <v/>
      </c>
      <c r="E2085" s="24">
        <f>AVERAGE(B2082:B2085)</f>
        <v/>
      </c>
      <c r="F2085" s="32">
        <f>(Table2634[[#This Row],[4 weeks average]]-B2033)/B2033</f>
        <v/>
      </c>
    </row>
    <row r="2086">
      <c r="A2086" s="33" t="n">
        <v>41960</v>
      </c>
      <c r="B2086" s="24">
        <f>VLOOKUP(Table2634[[#This Row],[Date]],'DB Money Supply'!$A:$D,4)</f>
        <v/>
      </c>
      <c r="C2086" s="30">
        <f>(Table2634[[#This Row],[M1 Money Stock, Billions of Dollars, Weekly, Seasonally Adjusted]]-B2085)/B2085</f>
        <v/>
      </c>
      <c r="D2086" s="34">
        <f>(Table2634[[#This Row],[M1 Money Stock, Billions of Dollars, Weekly, Seasonally Adjusted]]-B2083)/B2083</f>
        <v/>
      </c>
      <c r="E2086" s="24">
        <f>AVERAGE(B2083:B2086)</f>
        <v/>
      </c>
      <c r="F2086" s="32">
        <f>(Table2634[[#This Row],[4 weeks average]]-B2034)/B2034</f>
        <v/>
      </c>
    </row>
    <row r="2087">
      <c r="A2087" s="33" t="n">
        <v>41967</v>
      </c>
      <c r="B2087" s="24">
        <f>VLOOKUP(Table2634[[#This Row],[Date]],'DB Money Supply'!$A:$D,4)</f>
        <v/>
      </c>
      <c r="C2087" s="30">
        <f>(Table2634[[#This Row],[M1 Money Stock, Billions of Dollars, Weekly, Seasonally Adjusted]]-B2086)/B2086</f>
        <v/>
      </c>
      <c r="D2087" s="34">
        <f>(Table2634[[#This Row],[M1 Money Stock, Billions of Dollars, Weekly, Seasonally Adjusted]]-B2084)/B2084</f>
        <v/>
      </c>
      <c r="E2087" s="24">
        <f>AVERAGE(B2084:B2087)</f>
        <v/>
      </c>
      <c r="F2087" s="32">
        <f>(Table2634[[#This Row],[4 weeks average]]-B2035)/B2035</f>
        <v/>
      </c>
    </row>
    <row r="2088">
      <c r="A2088" s="33" t="n">
        <v>41974</v>
      </c>
      <c r="B2088" s="24">
        <f>VLOOKUP(Table2634[[#This Row],[Date]],'DB Money Supply'!$A:$D,4)</f>
        <v/>
      </c>
      <c r="C2088" s="30">
        <f>(Table2634[[#This Row],[M1 Money Stock, Billions of Dollars, Weekly, Seasonally Adjusted]]-B2087)/B2087</f>
        <v/>
      </c>
      <c r="D2088" s="34">
        <f>(Table2634[[#This Row],[M1 Money Stock, Billions of Dollars, Weekly, Seasonally Adjusted]]-B2085)/B2085</f>
        <v/>
      </c>
      <c r="E2088" s="24">
        <f>AVERAGE(B2085:B2088)</f>
        <v/>
      </c>
      <c r="F2088" s="32">
        <f>(Table2634[[#This Row],[4 weeks average]]-B2036)/B2036</f>
        <v/>
      </c>
    </row>
    <row r="2089">
      <c r="A2089" s="33" t="n">
        <v>41981</v>
      </c>
      <c r="B2089" s="24">
        <f>VLOOKUP(Table2634[[#This Row],[Date]],'DB Money Supply'!$A:$D,4)</f>
        <v/>
      </c>
      <c r="C2089" s="30">
        <f>(Table2634[[#This Row],[M1 Money Stock, Billions of Dollars, Weekly, Seasonally Adjusted]]-B2088)/B2088</f>
        <v/>
      </c>
      <c r="D2089" s="34">
        <f>(Table2634[[#This Row],[M1 Money Stock, Billions of Dollars, Weekly, Seasonally Adjusted]]-B2086)/B2086</f>
        <v/>
      </c>
      <c r="E2089" s="24">
        <f>AVERAGE(B2086:B2089)</f>
        <v/>
      </c>
      <c r="F2089" s="32">
        <f>(Table2634[[#This Row],[4 weeks average]]-B2037)/B2037</f>
        <v/>
      </c>
    </row>
    <row r="2090">
      <c r="A2090" s="33" t="n">
        <v>41988</v>
      </c>
      <c r="B2090" s="24">
        <f>VLOOKUP(Table2634[[#This Row],[Date]],'DB Money Supply'!$A:$D,4)</f>
        <v/>
      </c>
      <c r="C2090" s="30">
        <f>(Table2634[[#This Row],[M1 Money Stock, Billions of Dollars, Weekly, Seasonally Adjusted]]-B2089)/B2089</f>
        <v/>
      </c>
      <c r="D2090" s="34">
        <f>(Table2634[[#This Row],[M1 Money Stock, Billions of Dollars, Weekly, Seasonally Adjusted]]-B2087)/B2087</f>
        <v/>
      </c>
      <c r="E2090" s="24">
        <f>AVERAGE(B2087:B2090)</f>
        <v/>
      </c>
      <c r="F2090" s="32">
        <f>(Table2634[[#This Row],[4 weeks average]]-B2038)/B2038</f>
        <v/>
      </c>
    </row>
    <row r="2091">
      <c r="A2091" s="33" t="n">
        <v>41995</v>
      </c>
      <c r="B2091" s="24">
        <f>VLOOKUP(Table2634[[#This Row],[Date]],'DB Money Supply'!$A:$D,4)</f>
        <v/>
      </c>
      <c r="C2091" s="30">
        <f>(Table2634[[#This Row],[M1 Money Stock, Billions of Dollars, Weekly, Seasonally Adjusted]]-B2090)/B2090</f>
        <v/>
      </c>
      <c r="D2091" s="34">
        <f>(Table2634[[#This Row],[M1 Money Stock, Billions of Dollars, Weekly, Seasonally Adjusted]]-B2088)/B2088</f>
        <v/>
      </c>
      <c r="E2091" s="24">
        <f>AVERAGE(B2088:B2091)</f>
        <v/>
      </c>
      <c r="F2091" s="32">
        <f>(Table2634[[#This Row],[4 weeks average]]-B2039)/B2039</f>
        <v/>
      </c>
    </row>
    <row r="2092">
      <c r="A2092" s="33" t="n">
        <v>42002</v>
      </c>
      <c r="B2092" s="24">
        <f>VLOOKUP(Table2634[[#This Row],[Date]],'DB Money Supply'!$A:$D,4)</f>
        <v/>
      </c>
      <c r="C2092" s="30">
        <f>(Table2634[[#This Row],[M1 Money Stock, Billions of Dollars, Weekly, Seasonally Adjusted]]-B2091)/B2091</f>
        <v/>
      </c>
      <c r="D2092" s="34">
        <f>(Table2634[[#This Row],[M1 Money Stock, Billions of Dollars, Weekly, Seasonally Adjusted]]-B2089)/B2089</f>
        <v/>
      </c>
      <c r="E2092" s="24">
        <f>AVERAGE(B2089:B2092)</f>
        <v/>
      </c>
      <c r="F2092" s="32">
        <f>(Table2634[[#This Row],[4 weeks average]]-B2040)/B2040</f>
        <v/>
      </c>
    </row>
    <row r="2093">
      <c r="A2093" s="33" t="n">
        <v>42009</v>
      </c>
      <c r="B2093" s="24">
        <f>VLOOKUP(Table2634[[#This Row],[Date]],'DB Money Supply'!$A:$D,4)</f>
        <v/>
      </c>
      <c r="C2093" s="30">
        <f>(Table2634[[#This Row],[M1 Money Stock, Billions of Dollars, Weekly, Seasonally Adjusted]]-B2092)/B2092</f>
        <v/>
      </c>
      <c r="D2093" s="34">
        <f>(Table2634[[#This Row],[M1 Money Stock, Billions of Dollars, Weekly, Seasonally Adjusted]]-B2090)/B2090</f>
        <v/>
      </c>
      <c r="E2093" s="24">
        <f>AVERAGE(B2090:B2093)</f>
        <v/>
      </c>
      <c r="F2093" s="32">
        <f>(Table2634[[#This Row],[4 weeks average]]-B2041)/B2041</f>
        <v/>
      </c>
    </row>
    <row r="2094">
      <c r="A2094" s="33" t="n">
        <v>42016</v>
      </c>
      <c r="B2094" s="24">
        <f>VLOOKUP(Table2634[[#This Row],[Date]],'DB Money Supply'!$A:$D,4)</f>
        <v/>
      </c>
      <c r="C2094" s="30">
        <f>(Table2634[[#This Row],[M1 Money Stock, Billions of Dollars, Weekly, Seasonally Adjusted]]-B2093)/B2093</f>
        <v/>
      </c>
      <c r="D2094" s="34">
        <f>(Table2634[[#This Row],[M1 Money Stock, Billions of Dollars, Weekly, Seasonally Adjusted]]-B2091)/B2091</f>
        <v/>
      </c>
      <c r="E2094" s="24">
        <f>AVERAGE(B2091:B2094)</f>
        <v/>
      </c>
      <c r="F2094" s="32">
        <f>(Table2634[[#This Row],[4 weeks average]]-B2042)/B2042</f>
        <v/>
      </c>
    </row>
    <row r="2095">
      <c r="A2095" s="33" t="n">
        <v>42023</v>
      </c>
      <c r="B2095" s="24">
        <f>VLOOKUP(Table2634[[#This Row],[Date]],'DB Money Supply'!$A:$D,4)</f>
        <v/>
      </c>
      <c r="C2095" s="30">
        <f>(Table2634[[#This Row],[M1 Money Stock, Billions of Dollars, Weekly, Seasonally Adjusted]]-B2094)/B2094</f>
        <v/>
      </c>
      <c r="D2095" s="34">
        <f>(Table2634[[#This Row],[M1 Money Stock, Billions of Dollars, Weekly, Seasonally Adjusted]]-B2092)/B2092</f>
        <v/>
      </c>
      <c r="E2095" s="24">
        <f>AVERAGE(B2092:B2095)</f>
        <v/>
      </c>
      <c r="F2095" s="32">
        <f>(Table2634[[#This Row],[4 weeks average]]-B2043)/B2043</f>
        <v/>
      </c>
    </row>
    <row r="2096">
      <c r="A2096" s="33" t="n">
        <v>42030</v>
      </c>
      <c r="B2096" s="24">
        <f>VLOOKUP(Table2634[[#This Row],[Date]],'DB Money Supply'!$A:$D,4)</f>
        <v/>
      </c>
      <c r="C2096" s="30">
        <f>(Table2634[[#This Row],[M1 Money Stock, Billions of Dollars, Weekly, Seasonally Adjusted]]-B2095)/B2095</f>
        <v/>
      </c>
      <c r="D2096" s="34">
        <f>(Table2634[[#This Row],[M1 Money Stock, Billions of Dollars, Weekly, Seasonally Adjusted]]-B2093)/B2093</f>
        <v/>
      </c>
      <c r="E2096" s="24">
        <f>AVERAGE(B2093:B2096)</f>
        <v/>
      </c>
      <c r="F2096" s="32">
        <f>(Table2634[[#This Row],[4 weeks average]]-B2044)/B2044</f>
        <v/>
      </c>
    </row>
    <row r="2097">
      <c r="A2097" s="33" t="n">
        <v>42037</v>
      </c>
      <c r="B2097" s="24">
        <f>VLOOKUP(Table2634[[#This Row],[Date]],'DB Money Supply'!$A:$D,4)</f>
        <v/>
      </c>
      <c r="C2097" s="30">
        <f>(Table2634[[#This Row],[M1 Money Stock, Billions of Dollars, Weekly, Seasonally Adjusted]]-B2096)/B2096</f>
        <v/>
      </c>
      <c r="D2097" s="34">
        <f>(Table2634[[#This Row],[M1 Money Stock, Billions of Dollars, Weekly, Seasonally Adjusted]]-B2094)/B2094</f>
        <v/>
      </c>
      <c r="E2097" s="24">
        <f>AVERAGE(B2094:B2097)</f>
        <v/>
      </c>
      <c r="F2097" s="32">
        <f>(Table2634[[#This Row],[4 weeks average]]-B2045)/B2045</f>
        <v/>
      </c>
    </row>
    <row r="2098">
      <c r="A2098" s="33" t="n">
        <v>42044</v>
      </c>
      <c r="B2098" s="24">
        <f>VLOOKUP(Table2634[[#This Row],[Date]],'DB Money Supply'!$A:$D,4)</f>
        <v/>
      </c>
      <c r="C2098" s="30">
        <f>(Table2634[[#This Row],[M1 Money Stock, Billions of Dollars, Weekly, Seasonally Adjusted]]-B2097)/B2097</f>
        <v/>
      </c>
      <c r="D2098" s="34">
        <f>(Table2634[[#This Row],[M1 Money Stock, Billions of Dollars, Weekly, Seasonally Adjusted]]-B2095)/B2095</f>
        <v/>
      </c>
      <c r="E2098" s="24">
        <f>AVERAGE(B2095:B2098)</f>
        <v/>
      </c>
      <c r="F2098" s="32">
        <f>(Table2634[[#This Row],[4 weeks average]]-B2046)/B2046</f>
        <v/>
      </c>
    </row>
    <row r="2099">
      <c r="A2099" s="33" t="n">
        <v>42051</v>
      </c>
      <c r="B2099" s="24">
        <f>VLOOKUP(Table2634[[#This Row],[Date]],'DB Money Supply'!$A:$D,4)</f>
        <v/>
      </c>
      <c r="C2099" s="30">
        <f>(Table2634[[#This Row],[M1 Money Stock, Billions of Dollars, Weekly, Seasonally Adjusted]]-B2098)/B2098</f>
        <v/>
      </c>
      <c r="D2099" s="34">
        <f>(Table2634[[#This Row],[M1 Money Stock, Billions of Dollars, Weekly, Seasonally Adjusted]]-B2096)/B2096</f>
        <v/>
      </c>
      <c r="E2099" s="24">
        <f>AVERAGE(B2096:B2099)</f>
        <v/>
      </c>
      <c r="F2099" s="32">
        <f>(Table2634[[#This Row],[4 weeks average]]-B2047)/B2047</f>
        <v/>
      </c>
    </row>
    <row r="2100">
      <c r="A2100" s="33" t="n">
        <v>42058</v>
      </c>
      <c r="B2100" s="24">
        <f>VLOOKUP(Table2634[[#This Row],[Date]],'DB Money Supply'!$A:$D,4)</f>
        <v/>
      </c>
      <c r="C2100" s="30">
        <f>(Table2634[[#This Row],[M1 Money Stock, Billions of Dollars, Weekly, Seasonally Adjusted]]-B2099)/B2099</f>
        <v/>
      </c>
      <c r="D2100" s="34">
        <f>(Table2634[[#This Row],[M1 Money Stock, Billions of Dollars, Weekly, Seasonally Adjusted]]-B2097)/B2097</f>
        <v/>
      </c>
      <c r="E2100" s="24">
        <f>AVERAGE(B2097:B2100)</f>
        <v/>
      </c>
      <c r="F2100" s="32">
        <f>(Table2634[[#This Row],[4 weeks average]]-B2048)/B2048</f>
        <v/>
      </c>
    </row>
    <row r="2101">
      <c r="A2101" s="33" t="n">
        <v>42065</v>
      </c>
      <c r="B2101" s="24">
        <f>VLOOKUP(Table2634[[#This Row],[Date]],'DB Money Supply'!$A:$D,4)</f>
        <v/>
      </c>
      <c r="C2101" s="30">
        <f>(Table2634[[#This Row],[M1 Money Stock, Billions of Dollars, Weekly, Seasonally Adjusted]]-B2100)/B2100</f>
        <v/>
      </c>
      <c r="D2101" s="34">
        <f>(Table2634[[#This Row],[M1 Money Stock, Billions of Dollars, Weekly, Seasonally Adjusted]]-B2098)/B2098</f>
        <v/>
      </c>
      <c r="E2101" s="24">
        <f>AVERAGE(B2098:B2101)</f>
        <v/>
      </c>
      <c r="F2101" s="32">
        <f>(Table2634[[#This Row],[4 weeks average]]-B2049)/B2049</f>
        <v/>
      </c>
    </row>
    <row r="2102">
      <c r="A2102" s="33" t="n">
        <v>42072</v>
      </c>
      <c r="B2102" s="24">
        <f>VLOOKUP(Table2634[[#This Row],[Date]],'DB Money Supply'!$A:$D,4)</f>
        <v/>
      </c>
      <c r="C2102" s="30">
        <f>(Table2634[[#This Row],[M1 Money Stock, Billions of Dollars, Weekly, Seasonally Adjusted]]-B2101)/B2101</f>
        <v/>
      </c>
      <c r="D2102" s="34">
        <f>(Table2634[[#This Row],[M1 Money Stock, Billions of Dollars, Weekly, Seasonally Adjusted]]-B2099)/B2099</f>
        <v/>
      </c>
      <c r="E2102" s="24">
        <f>AVERAGE(B2099:B2102)</f>
        <v/>
      </c>
      <c r="F2102" s="32">
        <f>(Table2634[[#This Row],[4 weeks average]]-B2050)/B2050</f>
        <v/>
      </c>
    </row>
    <row r="2103">
      <c r="A2103" s="33" t="n">
        <v>42079</v>
      </c>
      <c r="B2103" s="24">
        <f>VLOOKUP(Table2634[[#This Row],[Date]],'DB Money Supply'!$A:$D,4)</f>
        <v/>
      </c>
      <c r="C2103" s="30">
        <f>(Table2634[[#This Row],[M1 Money Stock, Billions of Dollars, Weekly, Seasonally Adjusted]]-B2102)/B2102</f>
        <v/>
      </c>
      <c r="D2103" s="34">
        <f>(Table2634[[#This Row],[M1 Money Stock, Billions of Dollars, Weekly, Seasonally Adjusted]]-B2100)/B2100</f>
        <v/>
      </c>
      <c r="E2103" s="24">
        <f>AVERAGE(B2100:B2103)</f>
        <v/>
      </c>
      <c r="F2103" s="32">
        <f>(Table2634[[#This Row],[4 weeks average]]-B2051)/B2051</f>
        <v/>
      </c>
    </row>
    <row r="2104">
      <c r="A2104" s="33" t="n">
        <v>42086</v>
      </c>
      <c r="B2104" s="24">
        <f>VLOOKUP(Table2634[[#This Row],[Date]],'DB Money Supply'!$A:$D,4)</f>
        <v/>
      </c>
      <c r="C2104" s="30">
        <f>(Table2634[[#This Row],[M1 Money Stock, Billions of Dollars, Weekly, Seasonally Adjusted]]-B2103)/B2103</f>
        <v/>
      </c>
      <c r="D2104" s="34">
        <f>(Table2634[[#This Row],[M1 Money Stock, Billions of Dollars, Weekly, Seasonally Adjusted]]-B2101)/B2101</f>
        <v/>
      </c>
      <c r="E2104" s="24">
        <f>AVERAGE(B2101:B2104)</f>
        <v/>
      </c>
      <c r="F2104" s="32">
        <f>(Table2634[[#This Row],[4 weeks average]]-B2052)/B2052</f>
        <v/>
      </c>
    </row>
    <row r="2105">
      <c r="A2105" s="33" t="n">
        <v>42093</v>
      </c>
      <c r="B2105" s="24">
        <f>VLOOKUP(Table2634[[#This Row],[Date]],'DB Money Supply'!$A:$D,4)</f>
        <v/>
      </c>
      <c r="C2105" s="30">
        <f>(Table2634[[#This Row],[M1 Money Stock, Billions of Dollars, Weekly, Seasonally Adjusted]]-B2104)/B2104</f>
        <v/>
      </c>
      <c r="D2105" s="34">
        <f>(Table2634[[#This Row],[M1 Money Stock, Billions of Dollars, Weekly, Seasonally Adjusted]]-B2102)/B2102</f>
        <v/>
      </c>
      <c r="E2105" s="24">
        <f>AVERAGE(B2102:B2105)</f>
        <v/>
      </c>
      <c r="F2105" s="32">
        <f>(Table2634[[#This Row],[4 weeks average]]-B2053)/B2053</f>
        <v/>
      </c>
    </row>
    <row r="2106">
      <c r="A2106" s="33" t="n">
        <v>42100</v>
      </c>
      <c r="B2106" s="24">
        <f>VLOOKUP(Table2634[[#This Row],[Date]],'DB Money Supply'!$A:$D,4)</f>
        <v/>
      </c>
      <c r="C2106" s="30">
        <f>(Table2634[[#This Row],[M1 Money Stock, Billions of Dollars, Weekly, Seasonally Adjusted]]-B2105)/B2105</f>
        <v/>
      </c>
      <c r="D2106" s="34">
        <f>(Table2634[[#This Row],[M1 Money Stock, Billions of Dollars, Weekly, Seasonally Adjusted]]-B2103)/B2103</f>
        <v/>
      </c>
      <c r="E2106" s="24">
        <f>AVERAGE(B2103:B2106)</f>
        <v/>
      </c>
      <c r="F2106" s="32">
        <f>(Table2634[[#This Row],[4 weeks average]]-B2054)/B2054</f>
        <v/>
      </c>
    </row>
    <row r="2107">
      <c r="A2107" s="33" t="n">
        <v>42107</v>
      </c>
      <c r="B2107" s="24">
        <f>VLOOKUP(Table2634[[#This Row],[Date]],'DB Money Supply'!$A:$D,4)</f>
        <v/>
      </c>
      <c r="C2107" s="30">
        <f>(Table2634[[#This Row],[M1 Money Stock, Billions of Dollars, Weekly, Seasonally Adjusted]]-B2106)/B2106</f>
        <v/>
      </c>
      <c r="D2107" s="34">
        <f>(Table2634[[#This Row],[M1 Money Stock, Billions of Dollars, Weekly, Seasonally Adjusted]]-B2104)/B2104</f>
        <v/>
      </c>
      <c r="E2107" s="24">
        <f>AVERAGE(B2104:B2107)</f>
        <v/>
      </c>
      <c r="F2107" s="32">
        <f>(Table2634[[#This Row],[4 weeks average]]-B2055)/B2055</f>
        <v/>
      </c>
    </row>
    <row r="2108">
      <c r="A2108" s="33" t="n">
        <v>42114</v>
      </c>
      <c r="B2108" s="24">
        <f>VLOOKUP(Table2634[[#This Row],[Date]],'DB Money Supply'!$A:$D,4)</f>
        <v/>
      </c>
      <c r="C2108" s="30">
        <f>(Table2634[[#This Row],[M1 Money Stock, Billions of Dollars, Weekly, Seasonally Adjusted]]-B2107)/B2107</f>
        <v/>
      </c>
      <c r="D2108" s="34">
        <f>(Table2634[[#This Row],[M1 Money Stock, Billions of Dollars, Weekly, Seasonally Adjusted]]-B2105)/B2105</f>
        <v/>
      </c>
      <c r="E2108" s="24">
        <f>AVERAGE(B2105:B2108)</f>
        <v/>
      </c>
      <c r="F2108" s="32">
        <f>(Table2634[[#This Row],[4 weeks average]]-B2056)/B2056</f>
        <v/>
      </c>
    </row>
    <row r="2109">
      <c r="A2109" s="33" t="n">
        <v>42121</v>
      </c>
      <c r="B2109" s="24">
        <f>VLOOKUP(Table2634[[#This Row],[Date]],'DB Money Supply'!$A:$D,4)</f>
        <v/>
      </c>
      <c r="C2109" s="30">
        <f>(Table2634[[#This Row],[M1 Money Stock, Billions of Dollars, Weekly, Seasonally Adjusted]]-B2108)/B2108</f>
        <v/>
      </c>
      <c r="D2109" s="34">
        <f>(Table2634[[#This Row],[M1 Money Stock, Billions of Dollars, Weekly, Seasonally Adjusted]]-B2106)/B2106</f>
        <v/>
      </c>
      <c r="E2109" s="24">
        <f>AVERAGE(B2106:B2109)</f>
        <v/>
      </c>
      <c r="F2109" s="32">
        <f>(Table2634[[#This Row],[4 weeks average]]-B2057)/B2057</f>
        <v/>
      </c>
    </row>
    <row r="2110">
      <c r="A2110" s="33" t="n">
        <v>42128</v>
      </c>
      <c r="B2110" s="24">
        <f>VLOOKUP(Table2634[[#This Row],[Date]],'DB Money Supply'!$A:$D,4)</f>
        <v/>
      </c>
      <c r="C2110" s="30">
        <f>(Table2634[[#This Row],[M1 Money Stock, Billions of Dollars, Weekly, Seasonally Adjusted]]-B2109)/B2109</f>
        <v/>
      </c>
      <c r="D2110" s="34">
        <f>(Table2634[[#This Row],[M1 Money Stock, Billions of Dollars, Weekly, Seasonally Adjusted]]-B2107)/B2107</f>
        <v/>
      </c>
      <c r="E2110" s="24">
        <f>AVERAGE(B2107:B2110)</f>
        <v/>
      </c>
      <c r="F2110" s="32">
        <f>(Table2634[[#This Row],[4 weeks average]]-B2058)/B2058</f>
        <v/>
      </c>
    </row>
    <row r="2111">
      <c r="A2111" s="33" t="n">
        <v>42135</v>
      </c>
      <c r="B2111" s="24">
        <f>VLOOKUP(Table2634[[#This Row],[Date]],'DB Money Supply'!$A:$D,4)</f>
        <v/>
      </c>
      <c r="C2111" s="30">
        <f>(Table2634[[#This Row],[M1 Money Stock, Billions of Dollars, Weekly, Seasonally Adjusted]]-B2110)/B2110</f>
        <v/>
      </c>
      <c r="D2111" s="34">
        <f>(Table2634[[#This Row],[M1 Money Stock, Billions of Dollars, Weekly, Seasonally Adjusted]]-B2108)/B2108</f>
        <v/>
      </c>
      <c r="E2111" s="24">
        <f>AVERAGE(B2108:B2111)</f>
        <v/>
      </c>
      <c r="F2111" s="32">
        <f>(Table2634[[#This Row],[4 weeks average]]-B2059)/B2059</f>
        <v/>
      </c>
    </row>
    <row r="2112">
      <c r="A2112" s="33" t="n">
        <v>42142</v>
      </c>
      <c r="B2112" s="24">
        <f>VLOOKUP(Table2634[[#This Row],[Date]],'DB Money Supply'!$A:$D,4)</f>
        <v/>
      </c>
      <c r="C2112" s="30">
        <f>(Table2634[[#This Row],[M1 Money Stock, Billions of Dollars, Weekly, Seasonally Adjusted]]-B2111)/B2111</f>
        <v/>
      </c>
      <c r="D2112" s="34">
        <f>(Table2634[[#This Row],[M1 Money Stock, Billions of Dollars, Weekly, Seasonally Adjusted]]-B2109)/B2109</f>
        <v/>
      </c>
      <c r="E2112" s="24">
        <f>AVERAGE(B2109:B2112)</f>
        <v/>
      </c>
      <c r="F2112" s="32">
        <f>(Table2634[[#This Row],[4 weeks average]]-B2060)/B2060</f>
        <v/>
      </c>
    </row>
    <row r="2113">
      <c r="A2113" s="33" t="n">
        <v>42149</v>
      </c>
      <c r="B2113" s="24">
        <f>VLOOKUP(Table2634[[#This Row],[Date]],'DB Money Supply'!$A:$D,4)</f>
        <v/>
      </c>
      <c r="C2113" s="30">
        <f>(Table2634[[#This Row],[M1 Money Stock, Billions of Dollars, Weekly, Seasonally Adjusted]]-B2112)/B2112</f>
        <v/>
      </c>
      <c r="D2113" s="34">
        <f>(Table2634[[#This Row],[M1 Money Stock, Billions of Dollars, Weekly, Seasonally Adjusted]]-B2110)/B2110</f>
        <v/>
      </c>
      <c r="E2113" s="24">
        <f>AVERAGE(B2110:B2113)</f>
        <v/>
      </c>
      <c r="F2113" s="32">
        <f>(Table2634[[#This Row],[4 weeks average]]-B2061)/B2061</f>
        <v/>
      </c>
    </row>
    <row r="2114">
      <c r="A2114" s="33" t="n">
        <v>42156</v>
      </c>
      <c r="B2114" s="24">
        <f>VLOOKUP(Table2634[[#This Row],[Date]],'DB Money Supply'!$A:$D,4)</f>
        <v/>
      </c>
      <c r="C2114" s="30">
        <f>(Table2634[[#This Row],[M1 Money Stock, Billions of Dollars, Weekly, Seasonally Adjusted]]-B2113)/B2113</f>
        <v/>
      </c>
      <c r="D2114" s="34">
        <f>(Table2634[[#This Row],[M1 Money Stock, Billions of Dollars, Weekly, Seasonally Adjusted]]-B2111)/B2111</f>
        <v/>
      </c>
      <c r="E2114" s="24">
        <f>AVERAGE(B2111:B2114)</f>
        <v/>
      </c>
      <c r="F2114" s="32">
        <f>(Table2634[[#This Row],[4 weeks average]]-B2062)/B2062</f>
        <v/>
      </c>
    </row>
    <row r="2115">
      <c r="A2115" s="33" t="n">
        <v>42163</v>
      </c>
      <c r="B2115" s="24">
        <f>VLOOKUP(Table2634[[#This Row],[Date]],'DB Money Supply'!$A:$D,4)</f>
        <v/>
      </c>
      <c r="C2115" s="30">
        <f>(Table2634[[#This Row],[M1 Money Stock, Billions of Dollars, Weekly, Seasonally Adjusted]]-B2114)/B2114</f>
        <v/>
      </c>
      <c r="D2115" s="34">
        <f>(Table2634[[#This Row],[M1 Money Stock, Billions of Dollars, Weekly, Seasonally Adjusted]]-B2112)/B2112</f>
        <v/>
      </c>
      <c r="E2115" s="24">
        <f>AVERAGE(B2112:B2115)</f>
        <v/>
      </c>
      <c r="F2115" s="32">
        <f>(Table2634[[#This Row],[4 weeks average]]-B2063)/B2063</f>
        <v/>
      </c>
    </row>
    <row r="2116">
      <c r="A2116" s="33" t="n">
        <v>42170</v>
      </c>
      <c r="B2116" s="24">
        <f>VLOOKUP(Table2634[[#This Row],[Date]],'DB Money Supply'!$A:$D,4)</f>
        <v/>
      </c>
      <c r="C2116" s="30">
        <f>(Table2634[[#This Row],[M1 Money Stock, Billions of Dollars, Weekly, Seasonally Adjusted]]-B2115)/B2115</f>
        <v/>
      </c>
      <c r="D2116" s="34">
        <f>(Table2634[[#This Row],[M1 Money Stock, Billions of Dollars, Weekly, Seasonally Adjusted]]-B2113)/B2113</f>
        <v/>
      </c>
      <c r="E2116" s="24">
        <f>AVERAGE(B2113:B2116)</f>
        <v/>
      </c>
      <c r="F2116" s="32">
        <f>(Table2634[[#This Row],[4 weeks average]]-B2064)/B2064</f>
        <v/>
      </c>
    </row>
    <row r="2117">
      <c r="A2117" s="33" t="n">
        <v>42177</v>
      </c>
      <c r="B2117" s="24">
        <f>VLOOKUP(Table2634[[#This Row],[Date]],'DB Money Supply'!$A:$D,4)</f>
        <v/>
      </c>
      <c r="C2117" s="30">
        <f>(Table2634[[#This Row],[M1 Money Stock, Billions of Dollars, Weekly, Seasonally Adjusted]]-B2116)/B2116</f>
        <v/>
      </c>
      <c r="D2117" s="34">
        <f>(Table2634[[#This Row],[M1 Money Stock, Billions of Dollars, Weekly, Seasonally Adjusted]]-B2114)/B2114</f>
        <v/>
      </c>
      <c r="E2117" s="24">
        <f>AVERAGE(B2114:B2117)</f>
        <v/>
      </c>
      <c r="F2117" s="32">
        <f>(Table2634[[#This Row],[4 weeks average]]-B2065)/B2065</f>
        <v/>
      </c>
    </row>
    <row r="2118">
      <c r="A2118" s="33" t="n">
        <v>42184</v>
      </c>
      <c r="B2118" s="24">
        <f>VLOOKUP(Table2634[[#This Row],[Date]],'DB Money Supply'!$A:$D,4)</f>
        <v/>
      </c>
      <c r="C2118" s="30">
        <f>(Table2634[[#This Row],[M1 Money Stock, Billions of Dollars, Weekly, Seasonally Adjusted]]-B2117)/B2117</f>
        <v/>
      </c>
      <c r="D2118" s="34">
        <f>(Table2634[[#This Row],[M1 Money Stock, Billions of Dollars, Weekly, Seasonally Adjusted]]-B2115)/B2115</f>
        <v/>
      </c>
      <c r="E2118" s="24">
        <f>AVERAGE(B2115:B2118)</f>
        <v/>
      </c>
      <c r="F2118" s="32">
        <f>(Table2634[[#This Row],[4 weeks average]]-B2066)/B2066</f>
        <v/>
      </c>
    </row>
    <row r="2119">
      <c r="A2119" s="33" t="n">
        <v>42191</v>
      </c>
      <c r="B2119" s="24">
        <f>VLOOKUP(Table2634[[#This Row],[Date]],'DB Money Supply'!$A:$D,4)</f>
        <v/>
      </c>
      <c r="C2119" s="30">
        <f>(Table2634[[#This Row],[M1 Money Stock, Billions of Dollars, Weekly, Seasonally Adjusted]]-B2118)/B2118</f>
        <v/>
      </c>
      <c r="D2119" s="34">
        <f>(Table2634[[#This Row],[M1 Money Stock, Billions of Dollars, Weekly, Seasonally Adjusted]]-B2116)/B2116</f>
        <v/>
      </c>
      <c r="E2119" s="24">
        <f>AVERAGE(B2116:B2119)</f>
        <v/>
      </c>
      <c r="F2119" s="32">
        <f>(Table2634[[#This Row],[4 weeks average]]-B2067)/B2067</f>
        <v/>
      </c>
    </row>
    <row r="2120">
      <c r="A2120" s="33" t="n">
        <v>42198</v>
      </c>
      <c r="B2120" s="24">
        <f>VLOOKUP(Table2634[[#This Row],[Date]],'DB Money Supply'!$A:$D,4)</f>
        <v/>
      </c>
      <c r="C2120" s="30">
        <f>(Table2634[[#This Row],[M1 Money Stock, Billions of Dollars, Weekly, Seasonally Adjusted]]-B2119)/B2119</f>
        <v/>
      </c>
      <c r="D2120" s="34">
        <f>(Table2634[[#This Row],[M1 Money Stock, Billions of Dollars, Weekly, Seasonally Adjusted]]-B2117)/B2117</f>
        <v/>
      </c>
      <c r="E2120" s="24">
        <f>AVERAGE(B2117:B2120)</f>
        <v/>
      </c>
      <c r="F2120" s="32">
        <f>(Table2634[[#This Row],[4 weeks average]]-B2068)/B2068</f>
        <v/>
      </c>
    </row>
    <row r="2121">
      <c r="A2121" s="33" t="n">
        <v>42205</v>
      </c>
      <c r="B2121" s="24">
        <f>VLOOKUP(Table2634[[#This Row],[Date]],'DB Money Supply'!$A:$D,4)</f>
        <v/>
      </c>
      <c r="C2121" s="30">
        <f>(Table2634[[#This Row],[M1 Money Stock, Billions of Dollars, Weekly, Seasonally Adjusted]]-B2120)/B2120</f>
        <v/>
      </c>
      <c r="D2121" s="34">
        <f>(Table2634[[#This Row],[M1 Money Stock, Billions of Dollars, Weekly, Seasonally Adjusted]]-B2118)/B2118</f>
        <v/>
      </c>
      <c r="E2121" s="24">
        <f>AVERAGE(B2118:B2121)</f>
        <v/>
      </c>
      <c r="F2121" s="32">
        <f>(Table2634[[#This Row],[4 weeks average]]-B2069)/B2069</f>
        <v/>
      </c>
    </row>
    <row r="2122">
      <c r="A2122" s="33" t="n">
        <v>42212</v>
      </c>
      <c r="B2122" s="24">
        <f>VLOOKUP(Table2634[[#This Row],[Date]],'DB Money Supply'!$A:$D,4)</f>
        <v/>
      </c>
      <c r="C2122" s="30">
        <f>(Table2634[[#This Row],[M1 Money Stock, Billions of Dollars, Weekly, Seasonally Adjusted]]-B2121)/B2121</f>
        <v/>
      </c>
      <c r="D2122" s="34">
        <f>(Table2634[[#This Row],[M1 Money Stock, Billions of Dollars, Weekly, Seasonally Adjusted]]-B2119)/B2119</f>
        <v/>
      </c>
      <c r="E2122" s="24">
        <f>AVERAGE(B2119:B2122)</f>
        <v/>
      </c>
      <c r="F2122" s="32">
        <f>(Table2634[[#This Row],[4 weeks average]]-B2070)/B2070</f>
        <v/>
      </c>
    </row>
    <row r="2123">
      <c r="A2123" s="33" t="n">
        <v>42219</v>
      </c>
      <c r="B2123" s="24">
        <f>VLOOKUP(Table2634[[#This Row],[Date]],'DB Money Supply'!$A:$D,4)</f>
        <v/>
      </c>
      <c r="C2123" s="30">
        <f>(Table2634[[#This Row],[M1 Money Stock, Billions of Dollars, Weekly, Seasonally Adjusted]]-B2122)/B2122</f>
        <v/>
      </c>
      <c r="D2123" s="34">
        <f>(Table2634[[#This Row],[M1 Money Stock, Billions of Dollars, Weekly, Seasonally Adjusted]]-B2120)/B2120</f>
        <v/>
      </c>
      <c r="E2123" s="24">
        <f>AVERAGE(B2120:B2123)</f>
        <v/>
      </c>
      <c r="F2123" s="32">
        <f>(Table2634[[#This Row],[4 weeks average]]-B2071)/B2071</f>
        <v/>
      </c>
    </row>
    <row r="2124">
      <c r="A2124" s="33" t="n">
        <v>42226</v>
      </c>
      <c r="B2124" s="24">
        <f>VLOOKUP(Table2634[[#This Row],[Date]],'DB Money Supply'!$A:$D,4)</f>
        <v/>
      </c>
      <c r="C2124" s="30">
        <f>(Table2634[[#This Row],[M1 Money Stock, Billions of Dollars, Weekly, Seasonally Adjusted]]-B2123)/B2123</f>
        <v/>
      </c>
      <c r="D2124" s="34">
        <f>(Table2634[[#This Row],[M1 Money Stock, Billions of Dollars, Weekly, Seasonally Adjusted]]-B2121)/B2121</f>
        <v/>
      </c>
      <c r="E2124" s="24">
        <f>AVERAGE(B2121:B2124)</f>
        <v/>
      </c>
      <c r="F2124" s="32">
        <f>(Table2634[[#This Row],[4 weeks average]]-B2072)/B2072</f>
        <v/>
      </c>
    </row>
    <row r="2125">
      <c r="A2125" s="33" t="n">
        <v>42233</v>
      </c>
      <c r="B2125" s="24">
        <f>VLOOKUP(Table2634[[#This Row],[Date]],'DB Money Supply'!$A:$D,4)</f>
        <v/>
      </c>
      <c r="C2125" s="30">
        <f>(Table2634[[#This Row],[M1 Money Stock, Billions of Dollars, Weekly, Seasonally Adjusted]]-B2124)/B2124</f>
        <v/>
      </c>
      <c r="D2125" s="34">
        <f>(Table2634[[#This Row],[M1 Money Stock, Billions of Dollars, Weekly, Seasonally Adjusted]]-B2122)/B2122</f>
        <v/>
      </c>
      <c r="E2125" s="24">
        <f>AVERAGE(B2122:B2125)</f>
        <v/>
      </c>
      <c r="F2125" s="32">
        <f>(Table2634[[#This Row],[4 weeks average]]-B2073)/B2073</f>
        <v/>
      </c>
    </row>
    <row r="2126">
      <c r="A2126" s="33" t="n">
        <v>42240</v>
      </c>
      <c r="B2126" s="24">
        <f>VLOOKUP(Table2634[[#This Row],[Date]],'DB Money Supply'!$A:$D,4)</f>
        <v/>
      </c>
      <c r="C2126" s="30">
        <f>(Table2634[[#This Row],[M1 Money Stock, Billions of Dollars, Weekly, Seasonally Adjusted]]-B2125)/B2125</f>
        <v/>
      </c>
      <c r="D2126" s="34">
        <f>(Table2634[[#This Row],[M1 Money Stock, Billions of Dollars, Weekly, Seasonally Adjusted]]-B2123)/B2123</f>
        <v/>
      </c>
      <c r="E2126" s="24">
        <f>AVERAGE(B2123:B2126)</f>
        <v/>
      </c>
      <c r="F2126" s="32">
        <f>(Table2634[[#This Row],[4 weeks average]]-B2074)/B2074</f>
        <v/>
      </c>
    </row>
    <row r="2127">
      <c r="A2127" s="33" t="n">
        <v>42247</v>
      </c>
      <c r="B2127" s="24">
        <f>VLOOKUP(Table2634[[#This Row],[Date]],'DB Money Supply'!$A:$D,4)</f>
        <v/>
      </c>
      <c r="C2127" s="30">
        <f>(Table2634[[#This Row],[M1 Money Stock, Billions of Dollars, Weekly, Seasonally Adjusted]]-B2126)/B2126</f>
        <v/>
      </c>
      <c r="D2127" s="34">
        <f>(Table2634[[#This Row],[M1 Money Stock, Billions of Dollars, Weekly, Seasonally Adjusted]]-B2124)/B2124</f>
        <v/>
      </c>
      <c r="E2127" s="24">
        <f>AVERAGE(B2124:B2127)</f>
        <v/>
      </c>
      <c r="F2127" s="32">
        <f>(Table2634[[#This Row],[4 weeks average]]-B2075)/B2075</f>
        <v/>
      </c>
    </row>
    <row r="2128">
      <c r="A2128" s="33" t="n">
        <v>42254</v>
      </c>
      <c r="B2128" s="24">
        <f>VLOOKUP(Table2634[[#This Row],[Date]],'DB Money Supply'!$A:$D,4)</f>
        <v/>
      </c>
      <c r="C2128" s="30">
        <f>(Table2634[[#This Row],[M1 Money Stock, Billions of Dollars, Weekly, Seasonally Adjusted]]-B2127)/B2127</f>
        <v/>
      </c>
      <c r="D2128" s="34">
        <f>(Table2634[[#This Row],[M1 Money Stock, Billions of Dollars, Weekly, Seasonally Adjusted]]-B2125)/B2125</f>
        <v/>
      </c>
      <c r="E2128" s="24">
        <f>AVERAGE(B2125:B2128)</f>
        <v/>
      </c>
      <c r="F2128" s="32">
        <f>(Table2634[[#This Row],[4 weeks average]]-B2076)/B2076</f>
        <v/>
      </c>
    </row>
    <row r="2129">
      <c r="A2129" s="33" t="n">
        <v>42261</v>
      </c>
      <c r="B2129" s="24">
        <f>VLOOKUP(Table2634[[#This Row],[Date]],'DB Money Supply'!$A:$D,4)</f>
        <v/>
      </c>
      <c r="C2129" s="30">
        <f>(Table2634[[#This Row],[M1 Money Stock, Billions of Dollars, Weekly, Seasonally Adjusted]]-B2128)/B2128</f>
        <v/>
      </c>
      <c r="D2129" s="34">
        <f>(Table2634[[#This Row],[M1 Money Stock, Billions of Dollars, Weekly, Seasonally Adjusted]]-B2126)/B2126</f>
        <v/>
      </c>
      <c r="E2129" s="24">
        <f>AVERAGE(B2126:B2129)</f>
        <v/>
      </c>
      <c r="F2129" s="32">
        <f>(Table2634[[#This Row],[4 weeks average]]-B2077)/B2077</f>
        <v/>
      </c>
    </row>
    <row r="2130">
      <c r="A2130" s="33" t="n">
        <v>42268</v>
      </c>
      <c r="B2130" s="24">
        <f>VLOOKUP(Table2634[[#This Row],[Date]],'DB Money Supply'!$A:$D,4)</f>
        <v/>
      </c>
      <c r="C2130" s="30">
        <f>(Table2634[[#This Row],[M1 Money Stock, Billions of Dollars, Weekly, Seasonally Adjusted]]-B2129)/B2129</f>
        <v/>
      </c>
      <c r="D2130" s="34">
        <f>(Table2634[[#This Row],[M1 Money Stock, Billions of Dollars, Weekly, Seasonally Adjusted]]-B2127)/B2127</f>
        <v/>
      </c>
      <c r="E2130" s="24">
        <f>AVERAGE(B2127:B2130)</f>
        <v/>
      </c>
      <c r="F2130" s="32">
        <f>(Table2634[[#This Row],[4 weeks average]]-B2078)/B2078</f>
        <v/>
      </c>
    </row>
    <row r="2131">
      <c r="A2131" s="33" t="n">
        <v>42275</v>
      </c>
      <c r="B2131" s="24">
        <f>VLOOKUP(Table2634[[#This Row],[Date]],'DB Money Supply'!$A:$D,4)</f>
        <v/>
      </c>
      <c r="C2131" s="30">
        <f>(Table2634[[#This Row],[M1 Money Stock, Billions of Dollars, Weekly, Seasonally Adjusted]]-B2130)/B2130</f>
        <v/>
      </c>
      <c r="D2131" s="34">
        <f>(Table2634[[#This Row],[M1 Money Stock, Billions of Dollars, Weekly, Seasonally Adjusted]]-B2128)/B2128</f>
        <v/>
      </c>
      <c r="E2131" s="24">
        <f>AVERAGE(B2128:B2131)</f>
        <v/>
      </c>
      <c r="F2131" s="32">
        <f>(Table2634[[#This Row],[4 weeks average]]-B2079)/B2079</f>
        <v/>
      </c>
    </row>
    <row r="2132">
      <c r="A2132" s="33" t="n">
        <v>42282</v>
      </c>
      <c r="B2132" s="24">
        <f>VLOOKUP(Table2634[[#This Row],[Date]],'DB Money Supply'!$A:$D,4)</f>
        <v/>
      </c>
      <c r="C2132" s="30">
        <f>(Table2634[[#This Row],[M1 Money Stock, Billions of Dollars, Weekly, Seasonally Adjusted]]-B2131)/B2131</f>
        <v/>
      </c>
      <c r="D2132" s="34">
        <f>(Table2634[[#This Row],[M1 Money Stock, Billions of Dollars, Weekly, Seasonally Adjusted]]-B2129)/B2129</f>
        <v/>
      </c>
      <c r="E2132" s="24">
        <f>AVERAGE(B2129:B2132)</f>
        <v/>
      </c>
      <c r="F2132" s="32">
        <f>(Table2634[[#This Row],[4 weeks average]]-B2080)/B2080</f>
        <v/>
      </c>
    </row>
    <row r="2133">
      <c r="A2133" s="33" t="n">
        <v>42289</v>
      </c>
      <c r="B2133" s="24">
        <f>VLOOKUP(Table2634[[#This Row],[Date]],'DB Money Supply'!$A:$D,4)</f>
        <v/>
      </c>
      <c r="C2133" s="30">
        <f>(Table2634[[#This Row],[M1 Money Stock, Billions of Dollars, Weekly, Seasonally Adjusted]]-B2132)/B2132</f>
        <v/>
      </c>
      <c r="D2133" s="34">
        <f>(Table2634[[#This Row],[M1 Money Stock, Billions of Dollars, Weekly, Seasonally Adjusted]]-B2130)/B2130</f>
        <v/>
      </c>
      <c r="E2133" s="24">
        <f>AVERAGE(B2130:B2133)</f>
        <v/>
      </c>
      <c r="F2133" s="32">
        <f>(Table2634[[#This Row],[4 weeks average]]-B2081)/B2081</f>
        <v/>
      </c>
    </row>
    <row r="2134">
      <c r="A2134" s="33" t="n">
        <v>42296</v>
      </c>
      <c r="B2134" s="24">
        <f>VLOOKUP(Table2634[[#This Row],[Date]],'DB Money Supply'!$A:$D,4)</f>
        <v/>
      </c>
      <c r="C2134" s="30">
        <f>(Table2634[[#This Row],[M1 Money Stock, Billions of Dollars, Weekly, Seasonally Adjusted]]-B2133)/B2133</f>
        <v/>
      </c>
      <c r="D2134" s="34">
        <f>(Table2634[[#This Row],[M1 Money Stock, Billions of Dollars, Weekly, Seasonally Adjusted]]-B2131)/B2131</f>
        <v/>
      </c>
      <c r="E2134" s="24">
        <f>AVERAGE(B2131:B2134)</f>
        <v/>
      </c>
      <c r="F2134" s="32">
        <f>(Table2634[[#This Row],[4 weeks average]]-B2082)/B2082</f>
        <v/>
      </c>
    </row>
    <row r="2135">
      <c r="A2135" s="33" t="n">
        <v>42303</v>
      </c>
      <c r="B2135" s="24">
        <f>VLOOKUP(Table2634[[#This Row],[Date]],'DB Money Supply'!$A:$D,4)</f>
        <v/>
      </c>
      <c r="C2135" s="30">
        <f>(Table2634[[#This Row],[M1 Money Stock, Billions of Dollars, Weekly, Seasonally Adjusted]]-B2134)/B2134</f>
        <v/>
      </c>
      <c r="D2135" s="34">
        <f>(Table2634[[#This Row],[M1 Money Stock, Billions of Dollars, Weekly, Seasonally Adjusted]]-B2132)/B2132</f>
        <v/>
      </c>
      <c r="E2135" s="24">
        <f>AVERAGE(B2132:B2135)</f>
        <v/>
      </c>
      <c r="F2135" s="32">
        <f>(Table2634[[#This Row],[4 weeks average]]-B2083)/B2083</f>
        <v/>
      </c>
    </row>
    <row r="2136">
      <c r="A2136" s="33" t="n">
        <v>42310</v>
      </c>
      <c r="B2136" s="24">
        <f>VLOOKUP(Table2634[[#This Row],[Date]],'DB Money Supply'!$A:$D,4)</f>
        <v/>
      </c>
      <c r="C2136" s="30">
        <f>(Table2634[[#This Row],[M1 Money Stock, Billions of Dollars, Weekly, Seasonally Adjusted]]-B2135)/B2135</f>
        <v/>
      </c>
      <c r="D2136" s="34">
        <f>(Table2634[[#This Row],[M1 Money Stock, Billions of Dollars, Weekly, Seasonally Adjusted]]-B2133)/B2133</f>
        <v/>
      </c>
      <c r="E2136" s="24">
        <f>AVERAGE(B2133:B2136)</f>
        <v/>
      </c>
      <c r="F2136" s="32">
        <f>(Table2634[[#This Row],[4 weeks average]]-B2084)/B2084</f>
        <v/>
      </c>
    </row>
    <row r="2137">
      <c r="A2137" s="33" t="n">
        <v>42317</v>
      </c>
      <c r="B2137" s="24">
        <f>VLOOKUP(Table2634[[#This Row],[Date]],'DB Money Supply'!$A:$D,4)</f>
        <v/>
      </c>
      <c r="C2137" s="30">
        <f>(Table2634[[#This Row],[M1 Money Stock, Billions of Dollars, Weekly, Seasonally Adjusted]]-B2136)/B2136</f>
        <v/>
      </c>
      <c r="D2137" s="34">
        <f>(Table2634[[#This Row],[M1 Money Stock, Billions of Dollars, Weekly, Seasonally Adjusted]]-B2134)/B2134</f>
        <v/>
      </c>
      <c r="E2137" s="24">
        <f>AVERAGE(B2134:B2137)</f>
        <v/>
      </c>
      <c r="F2137" s="32">
        <f>(Table2634[[#This Row],[4 weeks average]]-B2085)/B2085</f>
        <v/>
      </c>
    </row>
    <row r="2138">
      <c r="A2138" s="33" t="n">
        <v>42324</v>
      </c>
      <c r="B2138" s="24">
        <f>VLOOKUP(Table2634[[#This Row],[Date]],'DB Money Supply'!$A:$D,4)</f>
        <v/>
      </c>
      <c r="C2138" s="30">
        <f>(Table2634[[#This Row],[M1 Money Stock, Billions of Dollars, Weekly, Seasonally Adjusted]]-B2137)/B2137</f>
        <v/>
      </c>
      <c r="D2138" s="34">
        <f>(Table2634[[#This Row],[M1 Money Stock, Billions of Dollars, Weekly, Seasonally Adjusted]]-B2135)/B2135</f>
        <v/>
      </c>
      <c r="E2138" s="24">
        <f>AVERAGE(B2135:B2138)</f>
        <v/>
      </c>
      <c r="F2138" s="32">
        <f>(Table2634[[#This Row],[4 weeks average]]-B2086)/B2086</f>
        <v/>
      </c>
    </row>
    <row r="2139">
      <c r="A2139" s="33" t="n">
        <v>42331</v>
      </c>
      <c r="B2139" s="24">
        <f>VLOOKUP(Table2634[[#This Row],[Date]],'DB Money Supply'!$A:$D,4)</f>
        <v/>
      </c>
      <c r="C2139" s="30">
        <f>(Table2634[[#This Row],[M1 Money Stock, Billions of Dollars, Weekly, Seasonally Adjusted]]-B2138)/B2138</f>
        <v/>
      </c>
      <c r="D2139" s="34">
        <f>(Table2634[[#This Row],[M1 Money Stock, Billions of Dollars, Weekly, Seasonally Adjusted]]-B2136)/B2136</f>
        <v/>
      </c>
      <c r="E2139" s="24">
        <f>AVERAGE(B2136:B2139)</f>
        <v/>
      </c>
      <c r="F2139" s="32">
        <f>(Table2634[[#This Row],[4 weeks average]]-B2087)/B2087</f>
        <v/>
      </c>
    </row>
    <row r="2140">
      <c r="A2140" s="33" t="n">
        <v>42338</v>
      </c>
      <c r="B2140" s="24">
        <f>VLOOKUP(Table2634[[#This Row],[Date]],'DB Money Supply'!$A:$D,4)</f>
        <v/>
      </c>
      <c r="C2140" s="30">
        <f>(Table2634[[#This Row],[M1 Money Stock, Billions of Dollars, Weekly, Seasonally Adjusted]]-B2139)/B2139</f>
        <v/>
      </c>
      <c r="D2140" s="34">
        <f>(Table2634[[#This Row],[M1 Money Stock, Billions of Dollars, Weekly, Seasonally Adjusted]]-B2137)/B2137</f>
        <v/>
      </c>
      <c r="E2140" s="24">
        <f>AVERAGE(B2137:B2140)</f>
        <v/>
      </c>
      <c r="F2140" s="32">
        <f>(Table2634[[#This Row],[4 weeks average]]-B2088)/B2088</f>
        <v/>
      </c>
    </row>
    <row r="2141">
      <c r="A2141" s="33" t="n">
        <v>42345</v>
      </c>
      <c r="B2141" s="24">
        <f>VLOOKUP(Table2634[[#This Row],[Date]],'DB Money Supply'!$A:$D,4)</f>
        <v/>
      </c>
      <c r="C2141" s="30">
        <f>(Table2634[[#This Row],[M1 Money Stock, Billions of Dollars, Weekly, Seasonally Adjusted]]-B2140)/B2140</f>
        <v/>
      </c>
      <c r="D2141" s="34">
        <f>(Table2634[[#This Row],[M1 Money Stock, Billions of Dollars, Weekly, Seasonally Adjusted]]-B2138)/B2138</f>
        <v/>
      </c>
      <c r="E2141" s="24">
        <f>AVERAGE(B2138:B2141)</f>
        <v/>
      </c>
      <c r="F2141" s="32">
        <f>(Table2634[[#This Row],[4 weeks average]]-B2089)/B2089</f>
        <v/>
      </c>
    </row>
    <row r="2142">
      <c r="A2142" s="33" t="n">
        <v>42352</v>
      </c>
      <c r="B2142" s="24">
        <f>VLOOKUP(Table2634[[#This Row],[Date]],'DB Money Supply'!$A:$D,4)</f>
        <v/>
      </c>
      <c r="C2142" s="30">
        <f>(Table2634[[#This Row],[M1 Money Stock, Billions of Dollars, Weekly, Seasonally Adjusted]]-B2141)/B2141</f>
        <v/>
      </c>
      <c r="D2142" s="34">
        <f>(Table2634[[#This Row],[M1 Money Stock, Billions of Dollars, Weekly, Seasonally Adjusted]]-B2139)/B2139</f>
        <v/>
      </c>
      <c r="E2142" s="24">
        <f>AVERAGE(B2139:B2142)</f>
        <v/>
      </c>
      <c r="F2142" s="32">
        <f>(Table2634[[#This Row],[4 weeks average]]-B2090)/B2090</f>
        <v/>
      </c>
    </row>
    <row r="2143">
      <c r="A2143" s="33" t="n">
        <v>42359</v>
      </c>
      <c r="B2143" s="24">
        <f>VLOOKUP(Table2634[[#This Row],[Date]],'DB Money Supply'!$A:$D,4)</f>
        <v/>
      </c>
      <c r="C2143" s="30">
        <f>(Table2634[[#This Row],[M1 Money Stock, Billions of Dollars, Weekly, Seasonally Adjusted]]-B2142)/B2142</f>
        <v/>
      </c>
      <c r="D2143" s="34">
        <f>(Table2634[[#This Row],[M1 Money Stock, Billions of Dollars, Weekly, Seasonally Adjusted]]-B2140)/B2140</f>
        <v/>
      </c>
      <c r="E2143" s="24">
        <f>AVERAGE(B2140:B2143)</f>
        <v/>
      </c>
      <c r="F2143" s="32">
        <f>(Table2634[[#This Row],[4 weeks average]]-B2091)/B2091</f>
        <v/>
      </c>
    </row>
    <row r="2144">
      <c r="A2144" s="33" t="n">
        <v>42366</v>
      </c>
      <c r="B2144" s="24">
        <f>VLOOKUP(Table2634[[#This Row],[Date]],'DB Money Supply'!$A:$D,4)</f>
        <v/>
      </c>
      <c r="C2144" s="30">
        <f>(Table2634[[#This Row],[M1 Money Stock, Billions of Dollars, Weekly, Seasonally Adjusted]]-B2143)/B2143</f>
        <v/>
      </c>
      <c r="D2144" s="34">
        <f>(Table2634[[#This Row],[M1 Money Stock, Billions of Dollars, Weekly, Seasonally Adjusted]]-B2141)/B2141</f>
        <v/>
      </c>
      <c r="E2144" s="24">
        <f>AVERAGE(B2141:B2144)</f>
        <v/>
      </c>
      <c r="F2144" s="32">
        <f>(Table2634[[#This Row],[4 weeks average]]-B2092)/B2092</f>
        <v/>
      </c>
    </row>
    <row r="2145">
      <c r="A2145" s="33" t="n">
        <v>42373</v>
      </c>
      <c r="B2145" s="24">
        <f>VLOOKUP(Table2634[[#This Row],[Date]],'DB Money Supply'!$A:$D,4)</f>
        <v/>
      </c>
      <c r="C2145" s="30">
        <f>(Table2634[[#This Row],[M1 Money Stock, Billions of Dollars, Weekly, Seasonally Adjusted]]-B2144)/B2144</f>
        <v/>
      </c>
      <c r="D2145" s="34">
        <f>(Table2634[[#This Row],[M1 Money Stock, Billions of Dollars, Weekly, Seasonally Adjusted]]-B2142)/B2142</f>
        <v/>
      </c>
      <c r="E2145" s="24">
        <f>AVERAGE(B2142:B2145)</f>
        <v/>
      </c>
      <c r="F2145" s="32">
        <f>(Table2634[[#This Row],[4 weeks average]]-B2093)/B2093</f>
        <v/>
      </c>
    </row>
    <row r="2146">
      <c r="A2146" s="33" t="n">
        <v>42380</v>
      </c>
      <c r="B2146" s="24">
        <f>VLOOKUP(Table2634[[#This Row],[Date]],'DB Money Supply'!$A:$D,4)</f>
        <v/>
      </c>
      <c r="C2146" s="30">
        <f>(Table2634[[#This Row],[M1 Money Stock, Billions of Dollars, Weekly, Seasonally Adjusted]]-B2145)/B2145</f>
        <v/>
      </c>
      <c r="D2146" s="34">
        <f>(Table2634[[#This Row],[M1 Money Stock, Billions of Dollars, Weekly, Seasonally Adjusted]]-B2143)/B2143</f>
        <v/>
      </c>
      <c r="E2146" s="24">
        <f>AVERAGE(B2143:B2146)</f>
        <v/>
      </c>
      <c r="F2146" s="32">
        <f>(Table2634[[#This Row],[4 weeks average]]-B2094)/B2094</f>
        <v/>
      </c>
    </row>
    <row r="2147">
      <c r="A2147" s="33" t="n">
        <v>42387</v>
      </c>
      <c r="B2147" s="24">
        <f>VLOOKUP(Table2634[[#This Row],[Date]],'DB Money Supply'!$A:$D,4)</f>
        <v/>
      </c>
      <c r="C2147" s="30">
        <f>(Table2634[[#This Row],[M1 Money Stock, Billions of Dollars, Weekly, Seasonally Adjusted]]-B2146)/B2146</f>
        <v/>
      </c>
      <c r="D2147" s="34">
        <f>(Table2634[[#This Row],[M1 Money Stock, Billions of Dollars, Weekly, Seasonally Adjusted]]-B2144)/B2144</f>
        <v/>
      </c>
      <c r="E2147" s="24">
        <f>AVERAGE(B2144:B2147)</f>
        <v/>
      </c>
      <c r="F2147" s="32">
        <f>(Table2634[[#This Row],[4 weeks average]]-B2095)/B2095</f>
        <v/>
      </c>
    </row>
    <row r="2148">
      <c r="A2148" s="33" t="n">
        <v>42394</v>
      </c>
      <c r="B2148" s="24">
        <f>VLOOKUP(Table2634[[#This Row],[Date]],'DB Money Supply'!$A:$D,4)</f>
        <v/>
      </c>
      <c r="C2148" s="30">
        <f>(Table2634[[#This Row],[M1 Money Stock, Billions of Dollars, Weekly, Seasonally Adjusted]]-B2147)/B2147</f>
        <v/>
      </c>
      <c r="D2148" s="34">
        <f>(Table2634[[#This Row],[M1 Money Stock, Billions of Dollars, Weekly, Seasonally Adjusted]]-B2145)/B2145</f>
        <v/>
      </c>
      <c r="E2148" s="24">
        <f>AVERAGE(B2145:B2148)</f>
        <v/>
      </c>
      <c r="F2148" s="32">
        <f>(Table2634[[#This Row],[4 weeks average]]-B2096)/B2096</f>
        <v/>
      </c>
    </row>
    <row r="2149">
      <c r="A2149" s="33" t="n">
        <v>42401</v>
      </c>
      <c r="B2149" s="24">
        <f>VLOOKUP(Table2634[[#This Row],[Date]],'DB Money Supply'!$A:$D,4)</f>
        <v/>
      </c>
      <c r="C2149" s="30">
        <f>(Table2634[[#This Row],[M1 Money Stock, Billions of Dollars, Weekly, Seasonally Adjusted]]-B2148)/B2148</f>
        <v/>
      </c>
      <c r="D2149" s="34">
        <f>(Table2634[[#This Row],[M1 Money Stock, Billions of Dollars, Weekly, Seasonally Adjusted]]-B2146)/B2146</f>
        <v/>
      </c>
      <c r="E2149" s="24">
        <f>AVERAGE(B2146:B2149)</f>
        <v/>
      </c>
      <c r="F2149" s="32">
        <f>(Table2634[[#This Row],[4 weeks average]]-B2097)/B2097</f>
        <v/>
      </c>
    </row>
    <row r="2150">
      <c r="A2150" s="33" t="n">
        <v>42408</v>
      </c>
      <c r="B2150" s="24">
        <f>VLOOKUP(Table2634[[#This Row],[Date]],'DB Money Supply'!$A:$D,4)</f>
        <v/>
      </c>
      <c r="C2150" s="30">
        <f>(Table2634[[#This Row],[M1 Money Stock, Billions of Dollars, Weekly, Seasonally Adjusted]]-B2149)/B2149</f>
        <v/>
      </c>
      <c r="D2150" s="34">
        <f>(Table2634[[#This Row],[M1 Money Stock, Billions of Dollars, Weekly, Seasonally Adjusted]]-B2147)/B2147</f>
        <v/>
      </c>
      <c r="E2150" s="24">
        <f>AVERAGE(B2147:B2150)</f>
        <v/>
      </c>
      <c r="F2150" s="32">
        <f>(Table2634[[#This Row],[4 weeks average]]-B2098)/B2098</f>
        <v/>
      </c>
    </row>
    <row r="2151">
      <c r="A2151" s="33" t="n">
        <v>42415</v>
      </c>
      <c r="B2151" s="24">
        <f>VLOOKUP(Table2634[[#This Row],[Date]],'DB Money Supply'!$A:$D,4)</f>
        <v/>
      </c>
      <c r="C2151" s="30">
        <f>(Table2634[[#This Row],[M1 Money Stock, Billions of Dollars, Weekly, Seasonally Adjusted]]-B2150)/B2150</f>
        <v/>
      </c>
      <c r="D2151" s="34">
        <f>(Table2634[[#This Row],[M1 Money Stock, Billions of Dollars, Weekly, Seasonally Adjusted]]-B2148)/B2148</f>
        <v/>
      </c>
      <c r="E2151" s="24">
        <f>AVERAGE(B2148:B2151)</f>
        <v/>
      </c>
      <c r="F2151" s="32">
        <f>(Table2634[[#This Row],[4 weeks average]]-B2099)/B2099</f>
        <v/>
      </c>
    </row>
    <row r="2152">
      <c r="A2152" s="33" t="n">
        <v>42422</v>
      </c>
      <c r="B2152" s="24">
        <f>VLOOKUP(Table2634[[#This Row],[Date]],'DB Money Supply'!$A:$D,4)</f>
        <v/>
      </c>
      <c r="C2152" s="30">
        <f>(Table2634[[#This Row],[M1 Money Stock, Billions of Dollars, Weekly, Seasonally Adjusted]]-B2151)/B2151</f>
        <v/>
      </c>
      <c r="D2152" s="34">
        <f>(Table2634[[#This Row],[M1 Money Stock, Billions of Dollars, Weekly, Seasonally Adjusted]]-B2149)/B2149</f>
        <v/>
      </c>
      <c r="E2152" s="24">
        <f>AVERAGE(B2149:B2152)</f>
        <v/>
      </c>
      <c r="F2152" s="32">
        <f>(Table2634[[#This Row],[4 weeks average]]-B2100)/B2100</f>
        <v/>
      </c>
    </row>
    <row r="2153">
      <c r="A2153" s="33" t="n">
        <v>42429</v>
      </c>
      <c r="B2153" s="24">
        <f>VLOOKUP(Table2634[[#This Row],[Date]],'DB Money Supply'!$A:$D,4)</f>
        <v/>
      </c>
      <c r="C2153" s="30">
        <f>(Table2634[[#This Row],[M1 Money Stock, Billions of Dollars, Weekly, Seasonally Adjusted]]-B2152)/B2152</f>
        <v/>
      </c>
      <c r="D2153" s="34">
        <f>(Table2634[[#This Row],[M1 Money Stock, Billions of Dollars, Weekly, Seasonally Adjusted]]-B2150)/B2150</f>
        <v/>
      </c>
      <c r="E2153" s="24">
        <f>AVERAGE(B2150:B2153)</f>
        <v/>
      </c>
      <c r="F2153" s="32">
        <f>(Table2634[[#This Row],[4 weeks average]]-B2101)/B2101</f>
        <v/>
      </c>
    </row>
    <row r="2154">
      <c r="A2154" s="33" t="n">
        <v>42436</v>
      </c>
      <c r="B2154" s="24">
        <f>VLOOKUP(Table2634[[#This Row],[Date]],'DB Money Supply'!$A:$D,4)</f>
        <v/>
      </c>
      <c r="C2154" s="30">
        <f>(Table2634[[#This Row],[M1 Money Stock, Billions of Dollars, Weekly, Seasonally Adjusted]]-B2153)/B2153</f>
        <v/>
      </c>
      <c r="D2154" s="34">
        <f>(Table2634[[#This Row],[M1 Money Stock, Billions of Dollars, Weekly, Seasonally Adjusted]]-B2151)/B2151</f>
        <v/>
      </c>
      <c r="E2154" s="24">
        <f>AVERAGE(B2151:B2154)</f>
        <v/>
      </c>
      <c r="F2154" s="32">
        <f>(Table2634[[#This Row],[4 weeks average]]-B2102)/B2102</f>
        <v/>
      </c>
    </row>
    <row r="2155">
      <c r="A2155" s="33" t="n">
        <v>42443</v>
      </c>
      <c r="B2155" s="24">
        <f>VLOOKUP(Table2634[[#This Row],[Date]],'DB Money Supply'!$A:$D,4)</f>
        <v/>
      </c>
      <c r="C2155" s="30">
        <f>(Table2634[[#This Row],[M1 Money Stock, Billions of Dollars, Weekly, Seasonally Adjusted]]-B2154)/B2154</f>
        <v/>
      </c>
      <c r="D2155" s="34">
        <f>(Table2634[[#This Row],[M1 Money Stock, Billions of Dollars, Weekly, Seasonally Adjusted]]-B2152)/B2152</f>
        <v/>
      </c>
      <c r="E2155" s="24">
        <f>AVERAGE(B2152:B2155)</f>
        <v/>
      </c>
      <c r="F2155" s="32">
        <f>(Table2634[[#This Row],[4 weeks average]]-B2103)/B2103</f>
        <v/>
      </c>
    </row>
    <row r="2156">
      <c r="A2156" s="33" t="n">
        <v>42450</v>
      </c>
      <c r="B2156" s="24">
        <f>VLOOKUP(Table2634[[#This Row],[Date]],'DB Money Supply'!$A:$D,4)</f>
        <v/>
      </c>
      <c r="C2156" s="30">
        <f>(Table2634[[#This Row],[M1 Money Stock, Billions of Dollars, Weekly, Seasonally Adjusted]]-B2155)/B2155</f>
        <v/>
      </c>
      <c r="D2156" s="34">
        <f>(Table2634[[#This Row],[M1 Money Stock, Billions of Dollars, Weekly, Seasonally Adjusted]]-B2153)/B2153</f>
        <v/>
      </c>
      <c r="E2156" s="24">
        <f>AVERAGE(B2153:B2156)</f>
        <v/>
      </c>
      <c r="F2156" s="32">
        <f>(Table2634[[#This Row],[4 weeks average]]-B2104)/B2104</f>
        <v/>
      </c>
    </row>
    <row r="2157">
      <c r="A2157" s="33" t="n">
        <v>42457</v>
      </c>
      <c r="B2157" s="24">
        <f>VLOOKUP(Table2634[[#This Row],[Date]],'DB Money Supply'!$A:$D,4)</f>
        <v/>
      </c>
      <c r="C2157" s="30">
        <f>(Table2634[[#This Row],[M1 Money Stock, Billions of Dollars, Weekly, Seasonally Adjusted]]-B2156)/B2156</f>
        <v/>
      </c>
      <c r="D2157" s="34">
        <f>(Table2634[[#This Row],[M1 Money Stock, Billions of Dollars, Weekly, Seasonally Adjusted]]-B2154)/B2154</f>
        <v/>
      </c>
      <c r="E2157" s="24">
        <f>AVERAGE(B2154:B2157)</f>
        <v/>
      </c>
      <c r="F2157" s="32">
        <f>(Table2634[[#This Row],[4 weeks average]]-B2105)/B2105</f>
        <v/>
      </c>
    </row>
    <row r="2158">
      <c r="A2158" s="33" t="n">
        <v>42464</v>
      </c>
      <c r="B2158" s="24">
        <f>VLOOKUP(Table2634[[#This Row],[Date]],'DB Money Supply'!$A:$D,4)</f>
        <v/>
      </c>
      <c r="C2158" s="30">
        <f>(Table2634[[#This Row],[M1 Money Stock, Billions of Dollars, Weekly, Seasonally Adjusted]]-B2157)/B2157</f>
        <v/>
      </c>
      <c r="D2158" s="34">
        <f>(Table2634[[#This Row],[M1 Money Stock, Billions of Dollars, Weekly, Seasonally Adjusted]]-B2155)/B2155</f>
        <v/>
      </c>
      <c r="E2158" s="24">
        <f>AVERAGE(B2155:B2158)</f>
        <v/>
      </c>
      <c r="F2158" s="32">
        <f>(Table2634[[#This Row],[4 weeks average]]-B2106)/B2106</f>
        <v/>
      </c>
    </row>
    <row r="2159">
      <c r="A2159" s="33" t="n">
        <v>42471</v>
      </c>
      <c r="B2159" s="24">
        <f>VLOOKUP(Table2634[[#This Row],[Date]],'DB Money Supply'!$A:$D,4)</f>
        <v/>
      </c>
      <c r="C2159" s="30">
        <f>(Table2634[[#This Row],[M1 Money Stock, Billions of Dollars, Weekly, Seasonally Adjusted]]-B2158)/B2158</f>
        <v/>
      </c>
      <c r="D2159" s="34">
        <f>(Table2634[[#This Row],[M1 Money Stock, Billions of Dollars, Weekly, Seasonally Adjusted]]-B2156)/B2156</f>
        <v/>
      </c>
      <c r="E2159" s="24">
        <f>AVERAGE(B2156:B2159)</f>
        <v/>
      </c>
      <c r="F2159" s="32">
        <f>(Table2634[[#This Row],[4 weeks average]]-B2107)/B2107</f>
        <v/>
      </c>
    </row>
    <row r="2160">
      <c r="A2160" s="33" t="n">
        <v>42478</v>
      </c>
      <c r="B2160" s="24">
        <f>VLOOKUP(Table2634[[#This Row],[Date]],'DB Money Supply'!$A:$D,4)</f>
        <v/>
      </c>
      <c r="C2160" s="30">
        <f>(Table2634[[#This Row],[M1 Money Stock, Billions of Dollars, Weekly, Seasonally Adjusted]]-B2159)/B2159</f>
        <v/>
      </c>
      <c r="D2160" s="34">
        <f>(Table2634[[#This Row],[M1 Money Stock, Billions of Dollars, Weekly, Seasonally Adjusted]]-B2157)/B2157</f>
        <v/>
      </c>
      <c r="E2160" s="24">
        <f>AVERAGE(B2157:B2160)</f>
        <v/>
      </c>
      <c r="F2160" s="32">
        <f>(Table2634[[#This Row],[4 weeks average]]-B2108)/B2108</f>
        <v/>
      </c>
    </row>
    <row r="2161">
      <c r="A2161" s="33" t="n">
        <v>42485</v>
      </c>
      <c r="B2161" s="24">
        <f>VLOOKUP(Table2634[[#This Row],[Date]],'DB Money Supply'!$A:$D,4)</f>
        <v/>
      </c>
      <c r="C2161" s="30">
        <f>(Table2634[[#This Row],[M1 Money Stock, Billions of Dollars, Weekly, Seasonally Adjusted]]-B2160)/B2160</f>
        <v/>
      </c>
      <c r="D2161" s="34">
        <f>(Table2634[[#This Row],[M1 Money Stock, Billions of Dollars, Weekly, Seasonally Adjusted]]-B2158)/B2158</f>
        <v/>
      </c>
      <c r="E2161" s="24">
        <f>AVERAGE(B2158:B2161)</f>
        <v/>
      </c>
      <c r="F2161" s="32">
        <f>(Table2634[[#This Row],[4 weeks average]]-B2109)/B2109</f>
        <v/>
      </c>
    </row>
    <row r="2162">
      <c r="A2162" s="33" t="n">
        <v>42492</v>
      </c>
      <c r="B2162" s="24">
        <f>VLOOKUP(Table2634[[#This Row],[Date]],'DB Money Supply'!$A:$D,4)</f>
        <v/>
      </c>
      <c r="C2162" s="30">
        <f>(Table2634[[#This Row],[M1 Money Stock, Billions of Dollars, Weekly, Seasonally Adjusted]]-B2161)/B2161</f>
        <v/>
      </c>
      <c r="D2162" s="34">
        <f>(Table2634[[#This Row],[M1 Money Stock, Billions of Dollars, Weekly, Seasonally Adjusted]]-B2159)/B2159</f>
        <v/>
      </c>
      <c r="E2162" s="24">
        <f>AVERAGE(B2159:B2162)</f>
        <v/>
      </c>
      <c r="F2162" s="32">
        <f>(Table2634[[#This Row],[4 weeks average]]-B2110)/B2110</f>
        <v/>
      </c>
    </row>
    <row r="2163">
      <c r="A2163" s="33" t="n">
        <v>42499</v>
      </c>
      <c r="B2163" s="24">
        <f>VLOOKUP(Table2634[[#This Row],[Date]],'DB Money Supply'!$A:$D,4)</f>
        <v/>
      </c>
      <c r="C2163" s="30">
        <f>(Table2634[[#This Row],[M1 Money Stock, Billions of Dollars, Weekly, Seasonally Adjusted]]-B2162)/B2162</f>
        <v/>
      </c>
      <c r="D2163" s="34">
        <f>(Table2634[[#This Row],[M1 Money Stock, Billions of Dollars, Weekly, Seasonally Adjusted]]-B2160)/B2160</f>
        <v/>
      </c>
      <c r="E2163" s="24">
        <f>AVERAGE(B2160:B2163)</f>
        <v/>
      </c>
      <c r="F2163" s="32">
        <f>(Table2634[[#This Row],[4 weeks average]]-B2111)/B2111</f>
        <v/>
      </c>
    </row>
    <row r="2164">
      <c r="A2164" s="33" t="n">
        <v>42506</v>
      </c>
      <c r="B2164" s="24">
        <f>VLOOKUP(Table2634[[#This Row],[Date]],'DB Money Supply'!$A:$D,4)</f>
        <v/>
      </c>
      <c r="C2164" s="30">
        <f>(Table2634[[#This Row],[M1 Money Stock, Billions of Dollars, Weekly, Seasonally Adjusted]]-B2163)/B2163</f>
        <v/>
      </c>
      <c r="D2164" s="34">
        <f>(Table2634[[#This Row],[M1 Money Stock, Billions of Dollars, Weekly, Seasonally Adjusted]]-B2161)/B2161</f>
        <v/>
      </c>
      <c r="E2164" s="24">
        <f>AVERAGE(B2161:B2164)</f>
        <v/>
      </c>
      <c r="F2164" s="32">
        <f>(Table2634[[#This Row],[4 weeks average]]-B2112)/B2112</f>
        <v/>
      </c>
    </row>
    <row r="2165">
      <c r="A2165" s="33" t="n">
        <v>42513</v>
      </c>
      <c r="B2165" s="24">
        <f>VLOOKUP(Table2634[[#This Row],[Date]],'DB Money Supply'!$A:$D,4)</f>
        <v/>
      </c>
      <c r="C2165" s="30">
        <f>(Table2634[[#This Row],[M1 Money Stock, Billions of Dollars, Weekly, Seasonally Adjusted]]-B2164)/B2164</f>
        <v/>
      </c>
      <c r="D2165" s="34">
        <f>(Table2634[[#This Row],[M1 Money Stock, Billions of Dollars, Weekly, Seasonally Adjusted]]-B2162)/B2162</f>
        <v/>
      </c>
      <c r="E2165" s="24">
        <f>AVERAGE(B2162:B2165)</f>
        <v/>
      </c>
      <c r="F2165" s="32">
        <f>(Table2634[[#This Row],[4 weeks average]]-B2113)/B2113</f>
        <v/>
      </c>
    </row>
    <row r="2166">
      <c r="A2166" s="33" t="n">
        <v>42520</v>
      </c>
      <c r="B2166" s="24">
        <f>VLOOKUP(Table2634[[#This Row],[Date]],'DB Money Supply'!$A:$D,4)</f>
        <v/>
      </c>
      <c r="C2166" s="30">
        <f>(Table2634[[#This Row],[M1 Money Stock, Billions of Dollars, Weekly, Seasonally Adjusted]]-B2165)/B2165</f>
        <v/>
      </c>
      <c r="D2166" s="34">
        <f>(Table2634[[#This Row],[M1 Money Stock, Billions of Dollars, Weekly, Seasonally Adjusted]]-B2163)/B2163</f>
        <v/>
      </c>
      <c r="E2166" s="24">
        <f>AVERAGE(B2163:B2166)</f>
        <v/>
      </c>
      <c r="F2166" s="32">
        <f>(Table2634[[#This Row],[4 weeks average]]-B2114)/B2114</f>
        <v/>
      </c>
    </row>
    <row r="2167">
      <c r="A2167" s="33" t="n">
        <v>42527</v>
      </c>
      <c r="B2167" s="24">
        <f>VLOOKUP(Table2634[[#This Row],[Date]],'DB Money Supply'!$A:$D,4)</f>
        <v/>
      </c>
      <c r="C2167" s="30">
        <f>(Table2634[[#This Row],[M1 Money Stock, Billions of Dollars, Weekly, Seasonally Adjusted]]-B2166)/B2166</f>
        <v/>
      </c>
      <c r="D2167" s="34">
        <f>(Table2634[[#This Row],[M1 Money Stock, Billions of Dollars, Weekly, Seasonally Adjusted]]-B2164)/B2164</f>
        <v/>
      </c>
      <c r="E2167" s="24">
        <f>AVERAGE(B2164:B2167)</f>
        <v/>
      </c>
      <c r="F2167" s="32">
        <f>(Table2634[[#This Row],[4 weeks average]]-B2115)/B2115</f>
        <v/>
      </c>
    </row>
    <row r="2168">
      <c r="A2168" s="33" t="n">
        <v>42534</v>
      </c>
      <c r="B2168" s="24">
        <f>VLOOKUP(Table2634[[#This Row],[Date]],'DB Money Supply'!$A:$D,4)</f>
        <v/>
      </c>
      <c r="C2168" s="30">
        <f>(Table2634[[#This Row],[M1 Money Stock, Billions of Dollars, Weekly, Seasonally Adjusted]]-B2167)/B2167</f>
        <v/>
      </c>
      <c r="D2168" s="34">
        <f>(Table2634[[#This Row],[M1 Money Stock, Billions of Dollars, Weekly, Seasonally Adjusted]]-B2165)/B2165</f>
        <v/>
      </c>
      <c r="E2168" s="24">
        <f>AVERAGE(B2165:B2168)</f>
        <v/>
      </c>
      <c r="F2168" s="32">
        <f>(Table2634[[#This Row],[4 weeks average]]-B2116)/B2116</f>
        <v/>
      </c>
    </row>
    <row r="2169">
      <c r="A2169" s="33" t="n">
        <v>42541</v>
      </c>
      <c r="B2169" s="24">
        <f>VLOOKUP(Table2634[[#This Row],[Date]],'DB Money Supply'!$A:$D,4)</f>
        <v/>
      </c>
      <c r="C2169" s="30">
        <f>(Table2634[[#This Row],[M1 Money Stock, Billions of Dollars, Weekly, Seasonally Adjusted]]-B2168)/B2168</f>
        <v/>
      </c>
      <c r="D2169" s="34">
        <f>(Table2634[[#This Row],[M1 Money Stock, Billions of Dollars, Weekly, Seasonally Adjusted]]-B2166)/B2166</f>
        <v/>
      </c>
      <c r="E2169" s="24">
        <f>AVERAGE(B2166:B2169)</f>
        <v/>
      </c>
      <c r="F2169" s="32">
        <f>(Table2634[[#This Row],[4 weeks average]]-B2117)/B2117</f>
        <v/>
      </c>
    </row>
    <row r="2170">
      <c r="A2170" s="33" t="n">
        <v>42548</v>
      </c>
      <c r="B2170" s="24">
        <f>VLOOKUP(Table2634[[#This Row],[Date]],'DB Money Supply'!$A:$D,4)</f>
        <v/>
      </c>
      <c r="C2170" s="30">
        <f>(Table2634[[#This Row],[M1 Money Stock, Billions of Dollars, Weekly, Seasonally Adjusted]]-B2169)/B2169</f>
        <v/>
      </c>
      <c r="D2170" s="34">
        <f>(Table2634[[#This Row],[M1 Money Stock, Billions of Dollars, Weekly, Seasonally Adjusted]]-B2167)/B2167</f>
        <v/>
      </c>
      <c r="E2170" s="24">
        <f>AVERAGE(B2167:B2170)</f>
        <v/>
      </c>
      <c r="F2170" s="32">
        <f>(Table2634[[#This Row],[4 weeks average]]-B2118)/B2118</f>
        <v/>
      </c>
    </row>
    <row r="2171">
      <c r="A2171" s="33" t="n">
        <v>42555</v>
      </c>
      <c r="B2171" s="24">
        <f>VLOOKUP(Table2634[[#This Row],[Date]],'DB Money Supply'!$A:$D,4)</f>
        <v/>
      </c>
      <c r="C2171" s="30">
        <f>(Table2634[[#This Row],[M1 Money Stock, Billions of Dollars, Weekly, Seasonally Adjusted]]-B2170)/B2170</f>
        <v/>
      </c>
      <c r="D2171" s="34">
        <f>(Table2634[[#This Row],[M1 Money Stock, Billions of Dollars, Weekly, Seasonally Adjusted]]-B2168)/B2168</f>
        <v/>
      </c>
      <c r="E2171" s="24">
        <f>AVERAGE(B2168:B2171)</f>
        <v/>
      </c>
      <c r="F2171" s="32">
        <f>(Table2634[[#This Row],[4 weeks average]]-B2119)/B2119</f>
        <v/>
      </c>
    </row>
    <row r="2172">
      <c r="A2172" s="33" t="n">
        <v>42562</v>
      </c>
      <c r="B2172" s="24">
        <f>VLOOKUP(Table2634[[#This Row],[Date]],'DB Money Supply'!$A:$D,4)</f>
        <v/>
      </c>
      <c r="C2172" s="30">
        <f>(Table2634[[#This Row],[M1 Money Stock, Billions of Dollars, Weekly, Seasonally Adjusted]]-B2171)/B2171</f>
        <v/>
      </c>
      <c r="D2172" s="34">
        <f>(Table2634[[#This Row],[M1 Money Stock, Billions of Dollars, Weekly, Seasonally Adjusted]]-B2169)/B2169</f>
        <v/>
      </c>
      <c r="E2172" s="24">
        <f>AVERAGE(B2169:B2172)</f>
        <v/>
      </c>
      <c r="F2172" s="32">
        <f>(Table2634[[#This Row],[4 weeks average]]-B2120)/B2120</f>
        <v/>
      </c>
    </row>
    <row r="2173">
      <c r="A2173" s="33" t="n">
        <v>42569</v>
      </c>
      <c r="B2173" s="24">
        <f>VLOOKUP(Table2634[[#This Row],[Date]],'DB Money Supply'!$A:$D,4)</f>
        <v/>
      </c>
      <c r="C2173" s="30">
        <f>(Table2634[[#This Row],[M1 Money Stock, Billions of Dollars, Weekly, Seasonally Adjusted]]-B2172)/B2172</f>
        <v/>
      </c>
      <c r="D2173" s="34">
        <f>(Table2634[[#This Row],[M1 Money Stock, Billions of Dollars, Weekly, Seasonally Adjusted]]-B2170)/B2170</f>
        <v/>
      </c>
      <c r="E2173" s="24">
        <f>AVERAGE(B2170:B2173)</f>
        <v/>
      </c>
      <c r="F2173" s="32">
        <f>(Table2634[[#This Row],[4 weeks average]]-B2121)/B2121</f>
        <v/>
      </c>
    </row>
    <row r="2174">
      <c r="A2174" s="33" t="n">
        <v>42576</v>
      </c>
      <c r="B2174" s="24">
        <f>VLOOKUP(Table2634[[#This Row],[Date]],'DB Money Supply'!$A:$D,4)</f>
        <v/>
      </c>
      <c r="C2174" s="30">
        <f>(Table2634[[#This Row],[M1 Money Stock, Billions of Dollars, Weekly, Seasonally Adjusted]]-B2173)/B2173</f>
        <v/>
      </c>
      <c r="D2174" s="34">
        <f>(Table2634[[#This Row],[M1 Money Stock, Billions of Dollars, Weekly, Seasonally Adjusted]]-B2171)/B2171</f>
        <v/>
      </c>
      <c r="E2174" s="24">
        <f>AVERAGE(B2171:B2174)</f>
        <v/>
      </c>
      <c r="F2174" s="32">
        <f>(Table2634[[#This Row],[4 weeks average]]-B2122)/B2122</f>
        <v/>
      </c>
    </row>
    <row r="2175">
      <c r="A2175" s="33" t="n">
        <v>42583</v>
      </c>
      <c r="B2175" s="24">
        <f>VLOOKUP(Table2634[[#This Row],[Date]],'DB Money Supply'!$A:$D,4)</f>
        <v/>
      </c>
      <c r="C2175" s="30">
        <f>(Table2634[[#This Row],[M1 Money Stock, Billions of Dollars, Weekly, Seasonally Adjusted]]-B2174)/B2174</f>
        <v/>
      </c>
      <c r="D2175" s="34">
        <f>(Table2634[[#This Row],[M1 Money Stock, Billions of Dollars, Weekly, Seasonally Adjusted]]-B2172)/B2172</f>
        <v/>
      </c>
      <c r="E2175" s="24">
        <f>AVERAGE(B2172:B2175)</f>
        <v/>
      </c>
      <c r="F2175" s="32">
        <f>(Table2634[[#This Row],[4 weeks average]]-B2123)/B2123</f>
        <v/>
      </c>
    </row>
    <row r="2176">
      <c r="A2176" s="33" t="n">
        <v>42590</v>
      </c>
      <c r="B2176" s="24">
        <f>VLOOKUP(Table2634[[#This Row],[Date]],'DB Money Supply'!$A:$D,4)</f>
        <v/>
      </c>
      <c r="C2176" s="30">
        <f>(Table2634[[#This Row],[M1 Money Stock, Billions of Dollars, Weekly, Seasonally Adjusted]]-B2175)/B2175</f>
        <v/>
      </c>
      <c r="D2176" s="34">
        <f>(Table2634[[#This Row],[M1 Money Stock, Billions of Dollars, Weekly, Seasonally Adjusted]]-B2173)/B2173</f>
        <v/>
      </c>
      <c r="E2176" s="24">
        <f>AVERAGE(B2173:B2176)</f>
        <v/>
      </c>
      <c r="F2176" s="32">
        <f>(Table2634[[#This Row],[4 weeks average]]-B2124)/B2124</f>
        <v/>
      </c>
    </row>
    <row r="2177">
      <c r="A2177" s="33" t="n">
        <v>42597</v>
      </c>
      <c r="B2177" s="24">
        <f>VLOOKUP(Table2634[[#This Row],[Date]],'DB Money Supply'!$A:$D,4)</f>
        <v/>
      </c>
      <c r="C2177" s="30">
        <f>(Table2634[[#This Row],[M1 Money Stock, Billions of Dollars, Weekly, Seasonally Adjusted]]-B2176)/B2176</f>
        <v/>
      </c>
      <c r="D2177" s="34">
        <f>(Table2634[[#This Row],[M1 Money Stock, Billions of Dollars, Weekly, Seasonally Adjusted]]-B2174)/B2174</f>
        <v/>
      </c>
      <c r="E2177" s="24">
        <f>AVERAGE(B2174:B2177)</f>
        <v/>
      </c>
      <c r="F2177" s="32">
        <f>(Table2634[[#This Row],[4 weeks average]]-B2125)/B2125</f>
        <v/>
      </c>
    </row>
    <row r="2178">
      <c r="A2178" s="33" t="n">
        <v>42604</v>
      </c>
      <c r="B2178" s="24">
        <f>VLOOKUP(Table2634[[#This Row],[Date]],'DB Money Supply'!$A:$D,4)</f>
        <v/>
      </c>
      <c r="C2178" s="30">
        <f>(Table2634[[#This Row],[M1 Money Stock, Billions of Dollars, Weekly, Seasonally Adjusted]]-B2177)/B2177</f>
        <v/>
      </c>
      <c r="D2178" s="34">
        <f>(Table2634[[#This Row],[M1 Money Stock, Billions of Dollars, Weekly, Seasonally Adjusted]]-B2175)/B2175</f>
        <v/>
      </c>
      <c r="E2178" s="24">
        <f>AVERAGE(B2175:B2178)</f>
        <v/>
      </c>
      <c r="F2178" s="32">
        <f>(Table2634[[#This Row],[4 weeks average]]-B2126)/B2126</f>
        <v/>
      </c>
    </row>
    <row r="2179">
      <c r="A2179" s="33" t="n">
        <v>42611</v>
      </c>
      <c r="B2179" s="24">
        <f>VLOOKUP(Table2634[[#This Row],[Date]],'DB Money Supply'!$A:$D,4)</f>
        <v/>
      </c>
      <c r="C2179" s="30">
        <f>(Table2634[[#This Row],[M1 Money Stock, Billions of Dollars, Weekly, Seasonally Adjusted]]-B2178)/B2178</f>
        <v/>
      </c>
      <c r="D2179" s="34">
        <f>(Table2634[[#This Row],[M1 Money Stock, Billions of Dollars, Weekly, Seasonally Adjusted]]-B2176)/B2176</f>
        <v/>
      </c>
      <c r="E2179" s="24">
        <f>AVERAGE(B2176:B2179)</f>
        <v/>
      </c>
      <c r="F2179" s="32">
        <f>(Table2634[[#This Row],[4 weeks average]]-B2127)/B2127</f>
        <v/>
      </c>
    </row>
    <row r="2180">
      <c r="A2180" s="33" t="n">
        <v>42618</v>
      </c>
      <c r="B2180" s="24">
        <f>VLOOKUP(Table2634[[#This Row],[Date]],'DB Money Supply'!$A:$D,4)</f>
        <v/>
      </c>
      <c r="C2180" s="30">
        <f>(Table2634[[#This Row],[M1 Money Stock, Billions of Dollars, Weekly, Seasonally Adjusted]]-B2179)/B2179</f>
        <v/>
      </c>
      <c r="D2180" s="34">
        <f>(Table2634[[#This Row],[M1 Money Stock, Billions of Dollars, Weekly, Seasonally Adjusted]]-B2177)/B2177</f>
        <v/>
      </c>
      <c r="E2180" s="24">
        <f>AVERAGE(B2177:B2180)</f>
        <v/>
      </c>
      <c r="F2180" s="32">
        <f>(Table2634[[#This Row],[4 weeks average]]-B2128)/B2128</f>
        <v/>
      </c>
    </row>
    <row r="2181">
      <c r="A2181" s="33" t="n">
        <v>42625</v>
      </c>
      <c r="B2181" s="24">
        <f>VLOOKUP(Table2634[[#This Row],[Date]],'DB Money Supply'!$A:$D,4)</f>
        <v/>
      </c>
      <c r="C2181" s="30">
        <f>(Table2634[[#This Row],[M1 Money Stock, Billions of Dollars, Weekly, Seasonally Adjusted]]-B2180)/B2180</f>
        <v/>
      </c>
      <c r="D2181" s="34">
        <f>(Table2634[[#This Row],[M1 Money Stock, Billions of Dollars, Weekly, Seasonally Adjusted]]-B2178)/B2178</f>
        <v/>
      </c>
      <c r="E2181" s="24">
        <f>AVERAGE(B2178:B2181)</f>
        <v/>
      </c>
      <c r="F2181" s="32">
        <f>(Table2634[[#This Row],[4 weeks average]]-B2129)/B2129</f>
        <v/>
      </c>
    </row>
    <row r="2182">
      <c r="A2182" s="33" t="n">
        <v>42632</v>
      </c>
      <c r="B2182" s="24">
        <f>VLOOKUP(Table2634[[#This Row],[Date]],'DB Money Supply'!$A:$D,4)</f>
        <v/>
      </c>
      <c r="C2182" s="30">
        <f>(Table2634[[#This Row],[M1 Money Stock, Billions of Dollars, Weekly, Seasonally Adjusted]]-B2181)/B2181</f>
        <v/>
      </c>
      <c r="D2182" s="34">
        <f>(Table2634[[#This Row],[M1 Money Stock, Billions of Dollars, Weekly, Seasonally Adjusted]]-B2179)/B2179</f>
        <v/>
      </c>
      <c r="E2182" s="24">
        <f>AVERAGE(B2179:B2182)</f>
        <v/>
      </c>
      <c r="F2182" s="32">
        <f>(Table2634[[#This Row],[4 weeks average]]-B2130)/B2130</f>
        <v/>
      </c>
    </row>
    <row r="2183">
      <c r="A2183" s="33" t="n">
        <v>42639</v>
      </c>
      <c r="B2183" s="24">
        <f>VLOOKUP(Table2634[[#This Row],[Date]],'DB Money Supply'!$A:$D,4)</f>
        <v/>
      </c>
      <c r="C2183" s="30">
        <f>(Table2634[[#This Row],[M1 Money Stock, Billions of Dollars, Weekly, Seasonally Adjusted]]-B2182)/B2182</f>
        <v/>
      </c>
      <c r="D2183" s="34">
        <f>(Table2634[[#This Row],[M1 Money Stock, Billions of Dollars, Weekly, Seasonally Adjusted]]-B2180)/B2180</f>
        <v/>
      </c>
      <c r="E2183" s="24">
        <f>AVERAGE(B2180:B2183)</f>
        <v/>
      </c>
      <c r="F2183" s="32">
        <f>(Table2634[[#This Row],[4 weeks average]]-B2131)/B2131</f>
        <v/>
      </c>
    </row>
    <row r="2184">
      <c r="A2184" s="33" t="n">
        <v>42646</v>
      </c>
      <c r="B2184" s="24">
        <f>VLOOKUP(Table2634[[#This Row],[Date]],'DB Money Supply'!$A:$D,4)</f>
        <v/>
      </c>
      <c r="C2184" s="30">
        <f>(Table2634[[#This Row],[M1 Money Stock, Billions of Dollars, Weekly, Seasonally Adjusted]]-B2183)/B2183</f>
        <v/>
      </c>
      <c r="D2184" s="34">
        <f>(Table2634[[#This Row],[M1 Money Stock, Billions of Dollars, Weekly, Seasonally Adjusted]]-B2181)/B2181</f>
        <v/>
      </c>
      <c r="E2184" s="24">
        <f>AVERAGE(B2181:B2184)</f>
        <v/>
      </c>
      <c r="F2184" s="32">
        <f>(Table2634[[#This Row],[4 weeks average]]-B2132)/B2132</f>
        <v/>
      </c>
    </row>
    <row r="2185">
      <c r="A2185" s="33" t="n">
        <v>42653</v>
      </c>
      <c r="B2185" s="24">
        <f>VLOOKUP(Table2634[[#This Row],[Date]],'DB Money Supply'!$A:$D,4)</f>
        <v/>
      </c>
      <c r="C2185" s="30">
        <f>(Table2634[[#This Row],[M1 Money Stock, Billions of Dollars, Weekly, Seasonally Adjusted]]-B2184)/B2184</f>
        <v/>
      </c>
      <c r="D2185" s="34">
        <f>(Table2634[[#This Row],[M1 Money Stock, Billions of Dollars, Weekly, Seasonally Adjusted]]-B2182)/B2182</f>
        <v/>
      </c>
      <c r="E2185" s="24">
        <f>AVERAGE(B2182:B2185)</f>
        <v/>
      </c>
      <c r="F2185" s="32">
        <f>(Table2634[[#This Row],[4 weeks average]]-B2133)/B2133</f>
        <v/>
      </c>
    </row>
    <row r="2186">
      <c r="A2186" s="33" t="n">
        <v>42660</v>
      </c>
      <c r="B2186" s="24">
        <f>VLOOKUP(Table2634[[#This Row],[Date]],'DB Money Supply'!$A:$D,4)</f>
        <v/>
      </c>
      <c r="C2186" s="30">
        <f>(Table2634[[#This Row],[M1 Money Stock, Billions of Dollars, Weekly, Seasonally Adjusted]]-B2185)/B2185</f>
        <v/>
      </c>
      <c r="D2186" s="34">
        <f>(Table2634[[#This Row],[M1 Money Stock, Billions of Dollars, Weekly, Seasonally Adjusted]]-B2183)/B2183</f>
        <v/>
      </c>
      <c r="E2186" s="24">
        <f>AVERAGE(B2183:B2186)</f>
        <v/>
      </c>
      <c r="F2186" s="32">
        <f>(Table2634[[#This Row],[4 weeks average]]-B2134)/B2134</f>
        <v/>
      </c>
    </row>
    <row r="2187">
      <c r="A2187" s="33" t="n">
        <v>42667</v>
      </c>
      <c r="B2187" s="24">
        <f>VLOOKUP(Table2634[[#This Row],[Date]],'DB Money Supply'!$A:$D,4)</f>
        <v/>
      </c>
      <c r="C2187" s="30">
        <f>(Table2634[[#This Row],[M1 Money Stock, Billions of Dollars, Weekly, Seasonally Adjusted]]-B2186)/B2186</f>
        <v/>
      </c>
      <c r="D2187" s="34">
        <f>(Table2634[[#This Row],[M1 Money Stock, Billions of Dollars, Weekly, Seasonally Adjusted]]-B2184)/B2184</f>
        <v/>
      </c>
      <c r="E2187" s="24">
        <f>AVERAGE(B2184:B2187)</f>
        <v/>
      </c>
      <c r="F2187" s="32">
        <f>(Table2634[[#This Row],[4 weeks average]]-B2135)/B2135</f>
        <v/>
      </c>
    </row>
    <row r="2188">
      <c r="A2188" s="33" t="n">
        <v>42674</v>
      </c>
      <c r="B2188" s="24">
        <f>VLOOKUP(Table2634[[#This Row],[Date]],'DB Money Supply'!$A:$D,4)</f>
        <v/>
      </c>
      <c r="C2188" s="30">
        <f>(Table2634[[#This Row],[M1 Money Stock, Billions of Dollars, Weekly, Seasonally Adjusted]]-B2187)/B2187</f>
        <v/>
      </c>
      <c r="D2188" s="34">
        <f>(Table2634[[#This Row],[M1 Money Stock, Billions of Dollars, Weekly, Seasonally Adjusted]]-B2185)/B2185</f>
        <v/>
      </c>
      <c r="E2188" s="24">
        <f>AVERAGE(B2185:B2188)</f>
        <v/>
      </c>
      <c r="F2188" s="32">
        <f>(Table2634[[#This Row],[4 weeks average]]-B2136)/B2136</f>
        <v/>
      </c>
    </row>
    <row r="2189">
      <c r="A2189" s="33" t="n">
        <v>42681</v>
      </c>
      <c r="B2189" s="24">
        <f>VLOOKUP(Table2634[[#This Row],[Date]],'DB Money Supply'!$A:$D,4)</f>
        <v/>
      </c>
      <c r="C2189" s="30">
        <f>(Table2634[[#This Row],[M1 Money Stock, Billions of Dollars, Weekly, Seasonally Adjusted]]-B2188)/B2188</f>
        <v/>
      </c>
      <c r="D2189" s="34">
        <f>(Table2634[[#This Row],[M1 Money Stock, Billions of Dollars, Weekly, Seasonally Adjusted]]-B2186)/B2186</f>
        <v/>
      </c>
      <c r="E2189" s="24">
        <f>AVERAGE(B2186:B2189)</f>
        <v/>
      </c>
      <c r="F2189" s="32">
        <f>(Table2634[[#This Row],[4 weeks average]]-B2137)/B2137</f>
        <v/>
      </c>
    </row>
    <row r="2190">
      <c r="A2190" s="33" t="n">
        <v>42688</v>
      </c>
      <c r="B2190" s="24">
        <f>VLOOKUP(Table2634[[#This Row],[Date]],'DB Money Supply'!$A:$D,4)</f>
        <v/>
      </c>
      <c r="C2190" s="30">
        <f>(Table2634[[#This Row],[M1 Money Stock, Billions of Dollars, Weekly, Seasonally Adjusted]]-B2189)/B2189</f>
        <v/>
      </c>
      <c r="D2190" s="34">
        <f>(Table2634[[#This Row],[M1 Money Stock, Billions of Dollars, Weekly, Seasonally Adjusted]]-B2187)/B2187</f>
        <v/>
      </c>
      <c r="E2190" s="24">
        <f>AVERAGE(B2187:B2190)</f>
        <v/>
      </c>
      <c r="F2190" s="32">
        <f>(Table2634[[#This Row],[4 weeks average]]-B2138)/B2138</f>
        <v/>
      </c>
    </row>
    <row r="2191">
      <c r="A2191" s="33" t="n">
        <v>42695</v>
      </c>
      <c r="B2191" s="24">
        <f>VLOOKUP(Table2634[[#This Row],[Date]],'DB Money Supply'!$A:$D,4)</f>
        <v/>
      </c>
      <c r="C2191" s="30">
        <f>(Table2634[[#This Row],[M1 Money Stock, Billions of Dollars, Weekly, Seasonally Adjusted]]-B2190)/B2190</f>
        <v/>
      </c>
      <c r="D2191" s="34">
        <f>(Table2634[[#This Row],[M1 Money Stock, Billions of Dollars, Weekly, Seasonally Adjusted]]-B2188)/B2188</f>
        <v/>
      </c>
      <c r="E2191" s="24">
        <f>AVERAGE(B2188:B2191)</f>
        <v/>
      </c>
      <c r="F2191" s="32">
        <f>(Table2634[[#This Row],[4 weeks average]]-B2139)/B2139</f>
        <v/>
      </c>
    </row>
    <row r="2192">
      <c r="A2192" s="33" t="n">
        <v>42702</v>
      </c>
      <c r="B2192" s="24">
        <f>VLOOKUP(Table2634[[#This Row],[Date]],'DB Money Supply'!$A:$D,4)</f>
        <v/>
      </c>
      <c r="C2192" s="30">
        <f>(Table2634[[#This Row],[M1 Money Stock, Billions of Dollars, Weekly, Seasonally Adjusted]]-B2191)/B2191</f>
        <v/>
      </c>
      <c r="D2192" s="34">
        <f>(Table2634[[#This Row],[M1 Money Stock, Billions of Dollars, Weekly, Seasonally Adjusted]]-B2189)/B2189</f>
        <v/>
      </c>
      <c r="E2192" s="24">
        <f>AVERAGE(B2189:B2192)</f>
        <v/>
      </c>
      <c r="F2192" s="32">
        <f>(Table2634[[#This Row],[4 weeks average]]-B2140)/B2140</f>
        <v/>
      </c>
    </row>
    <row r="2193">
      <c r="A2193" s="33" t="n">
        <v>42709</v>
      </c>
      <c r="B2193" s="24">
        <f>VLOOKUP(Table2634[[#This Row],[Date]],'DB Money Supply'!$A:$D,4)</f>
        <v/>
      </c>
      <c r="C2193" s="30">
        <f>(Table2634[[#This Row],[M1 Money Stock, Billions of Dollars, Weekly, Seasonally Adjusted]]-B2192)/B2192</f>
        <v/>
      </c>
      <c r="D2193" s="34">
        <f>(Table2634[[#This Row],[M1 Money Stock, Billions of Dollars, Weekly, Seasonally Adjusted]]-B2190)/B2190</f>
        <v/>
      </c>
      <c r="E2193" s="24">
        <f>AVERAGE(B2190:B2193)</f>
        <v/>
      </c>
      <c r="F2193" s="32">
        <f>(Table2634[[#This Row],[4 weeks average]]-B2141)/B2141</f>
        <v/>
      </c>
    </row>
    <row r="2194">
      <c r="A2194" s="33" t="n">
        <v>42716</v>
      </c>
      <c r="B2194" s="24">
        <f>VLOOKUP(Table2634[[#This Row],[Date]],'DB Money Supply'!$A:$D,4)</f>
        <v/>
      </c>
      <c r="C2194" s="30">
        <f>(Table2634[[#This Row],[M1 Money Stock, Billions of Dollars, Weekly, Seasonally Adjusted]]-B2193)/B2193</f>
        <v/>
      </c>
      <c r="D2194" s="34">
        <f>(Table2634[[#This Row],[M1 Money Stock, Billions of Dollars, Weekly, Seasonally Adjusted]]-B2191)/B2191</f>
        <v/>
      </c>
      <c r="E2194" s="24">
        <f>AVERAGE(B2191:B2194)</f>
        <v/>
      </c>
      <c r="F2194" s="32">
        <f>(Table2634[[#This Row],[4 weeks average]]-B2142)/B2142</f>
        <v/>
      </c>
    </row>
    <row r="2195">
      <c r="A2195" s="33" t="n">
        <v>42723</v>
      </c>
      <c r="B2195" s="24">
        <f>VLOOKUP(Table2634[[#This Row],[Date]],'DB Money Supply'!$A:$D,4)</f>
        <v/>
      </c>
      <c r="C2195" s="30">
        <f>(Table2634[[#This Row],[M1 Money Stock, Billions of Dollars, Weekly, Seasonally Adjusted]]-B2194)/B2194</f>
        <v/>
      </c>
      <c r="D2195" s="34">
        <f>(Table2634[[#This Row],[M1 Money Stock, Billions of Dollars, Weekly, Seasonally Adjusted]]-B2192)/B2192</f>
        <v/>
      </c>
      <c r="E2195" s="24">
        <f>AVERAGE(B2192:B2195)</f>
        <v/>
      </c>
      <c r="F2195" s="32">
        <f>(Table2634[[#This Row],[4 weeks average]]-B2143)/B2143</f>
        <v/>
      </c>
    </row>
    <row r="2196">
      <c r="A2196" s="33" t="n">
        <v>42730</v>
      </c>
      <c r="B2196" s="24">
        <f>VLOOKUP(Table2634[[#This Row],[Date]],'DB Money Supply'!$A:$D,4)</f>
        <v/>
      </c>
      <c r="C2196" s="30">
        <f>(Table2634[[#This Row],[M1 Money Stock, Billions of Dollars, Weekly, Seasonally Adjusted]]-B2195)/B2195</f>
        <v/>
      </c>
      <c r="D2196" s="34">
        <f>(Table2634[[#This Row],[M1 Money Stock, Billions of Dollars, Weekly, Seasonally Adjusted]]-B2193)/B2193</f>
        <v/>
      </c>
      <c r="E2196" s="24">
        <f>AVERAGE(B2193:B2196)</f>
        <v/>
      </c>
      <c r="F2196" s="32">
        <f>(Table2634[[#This Row],[4 weeks average]]-B2144)/B2144</f>
        <v/>
      </c>
    </row>
    <row r="2197">
      <c r="A2197" s="33" t="n">
        <v>42737</v>
      </c>
      <c r="B2197" s="24">
        <f>VLOOKUP(Table2634[[#This Row],[Date]],'DB Money Supply'!$A:$D,4)</f>
        <v/>
      </c>
      <c r="C2197" s="30">
        <f>(Table2634[[#This Row],[M1 Money Stock, Billions of Dollars, Weekly, Seasonally Adjusted]]-B2196)/B2196</f>
        <v/>
      </c>
      <c r="D2197" s="34">
        <f>(Table2634[[#This Row],[M1 Money Stock, Billions of Dollars, Weekly, Seasonally Adjusted]]-B2194)/B2194</f>
        <v/>
      </c>
      <c r="E2197" s="24">
        <f>AVERAGE(B2194:B2197)</f>
        <v/>
      </c>
      <c r="F2197" s="32">
        <f>(Table2634[[#This Row],[4 weeks average]]-B2145)/B2145</f>
        <v/>
      </c>
    </row>
    <row r="2198">
      <c r="A2198" s="33" t="n">
        <v>42744</v>
      </c>
      <c r="B2198" s="24">
        <f>VLOOKUP(Table2634[[#This Row],[Date]],'DB Money Supply'!$A:$D,4)</f>
        <v/>
      </c>
      <c r="C2198" s="30">
        <f>(Table2634[[#This Row],[M1 Money Stock, Billions of Dollars, Weekly, Seasonally Adjusted]]-B2197)/B2197</f>
        <v/>
      </c>
      <c r="D2198" s="34">
        <f>(Table2634[[#This Row],[M1 Money Stock, Billions of Dollars, Weekly, Seasonally Adjusted]]-B2195)/B2195</f>
        <v/>
      </c>
      <c r="E2198" s="24">
        <f>AVERAGE(B2195:B2198)</f>
        <v/>
      </c>
      <c r="F2198" s="32">
        <f>(Table2634[[#This Row],[4 weeks average]]-B2146)/B2146</f>
        <v/>
      </c>
    </row>
    <row r="2199">
      <c r="A2199" s="33" t="n">
        <v>42751</v>
      </c>
      <c r="B2199" s="24">
        <f>VLOOKUP(Table2634[[#This Row],[Date]],'DB Money Supply'!$A:$D,4)</f>
        <v/>
      </c>
      <c r="C2199" s="30">
        <f>(Table2634[[#This Row],[M1 Money Stock, Billions of Dollars, Weekly, Seasonally Adjusted]]-B2198)/B2198</f>
        <v/>
      </c>
      <c r="D2199" s="34">
        <f>(Table2634[[#This Row],[M1 Money Stock, Billions of Dollars, Weekly, Seasonally Adjusted]]-B2196)/B2196</f>
        <v/>
      </c>
      <c r="E2199" s="24">
        <f>AVERAGE(B2196:B2199)</f>
        <v/>
      </c>
      <c r="F2199" s="32">
        <f>(Table2634[[#This Row],[4 weeks average]]-B2147)/B2147</f>
        <v/>
      </c>
    </row>
    <row r="2200">
      <c r="A2200" s="33" t="n">
        <v>42758</v>
      </c>
      <c r="B2200" s="24">
        <f>VLOOKUP(Table2634[[#This Row],[Date]],'DB Money Supply'!$A:$D,4)</f>
        <v/>
      </c>
      <c r="C2200" s="30">
        <f>(Table2634[[#This Row],[M1 Money Stock, Billions of Dollars, Weekly, Seasonally Adjusted]]-B2199)/B2199</f>
        <v/>
      </c>
      <c r="D2200" s="34">
        <f>(Table2634[[#This Row],[M1 Money Stock, Billions of Dollars, Weekly, Seasonally Adjusted]]-B2197)/B2197</f>
        <v/>
      </c>
      <c r="E2200" s="24">
        <f>AVERAGE(B2197:B2200)</f>
        <v/>
      </c>
      <c r="F2200" s="32">
        <f>(Table2634[[#This Row],[4 weeks average]]-B2148)/B2148</f>
        <v/>
      </c>
    </row>
    <row r="2201">
      <c r="A2201" s="33" t="n">
        <v>42765</v>
      </c>
      <c r="B2201" s="24">
        <f>VLOOKUP(Table2634[[#This Row],[Date]],'DB Money Supply'!$A:$D,4)</f>
        <v/>
      </c>
      <c r="C2201" s="30">
        <f>(Table2634[[#This Row],[M1 Money Stock, Billions of Dollars, Weekly, Seasonally Adjusted]]-B2200)/B2200</f>
        <v/>
      </c>
      <c r="D2201" s="34">
        <f>(Table2634[[#This Row],[M1 Money Stock, Billions of Dollars, Weekly, Seasonally Adjusted]]-B2198)/B2198</f>
        <v/>
      </c>
      <c r="E2201" s="24">
        <f>AVERAGE(B2198:B2201)</f>
        <v/>
      </c>
      <c r="F2201" s="32">
        <f>(Table2634[[#This Row],[4 weeks average]]-B2149)/B2149</f>
        <v/>
      </c>
    </row>
    <row r="2202">
      <c r="A2202" s="33" t="n">
        <v>42772</v>
      </c>
      <c r="B2202" s="24">
        <f>VLOOKUP(Table2634[[#This Row],[Date]],'DB Money Supply'!$A:$D,4)</f>
        <v/>
      </c>
      <c r="C2202" s="30">
        <f>(Table2634[[#This Row],[M1 Money Stock, Billions of Dollars, Weekly, Seasonally Adjusted]]-B2201)/B2201</f>
        <v/>
      </c>
      <c r="D2202" s="34">
        <f>(Table2634[[#This Row],[M1 Money Stock, Billions of Dollars, Weekly, Seasonally Adjusted]]-B2199)/B2199</f>
        <v/>
      </c>
      <c r="E2202" s="24">
        <f>AVERAGE(B2199:B2202)</f>
        <v/>
      </c>
      <c r="F2202" s="32">
        <f>(Table2634[[#This Row],[4 weeks average]]-B2150)/B2150</f>
        <v/>
      </c>
    </row>
    <row r="2203">
      <c r="A2203" s="33" t="n">
        <v>42779</v>
      </c>
      <c r="B2203" s="24">
        <f>VLOOKUP(Table2634[[#This Row],[Date]],'DB Money Supply'!$A:$D,4)</f>
        <v/>
      </c>
      <c r="C2203" s="30">
        <f>(Table2634[[#This Row],[M1 Money Stock, Billions of Dollars, Weekly, Seasonally Adjusted]]-B2202)/B2202</f>
        <v/>
      </c>
      <c r="D2203" s="34">
        <f>(Table2634[[#This Row],[M1 Money Stock, Billions of Dollars, Weekly, Seasonally Adjusted]]-B2200)/B2200</f>
        <v/>
      </c>
      <c r="E2203" s="24">
        <f>AVERAGE(B2200:B2203)</f>
        <v/>
      </c>
      <c r="F2203" s="32">
        <f>(Table2634[[#This Row],[4 weeks average]]-B2151)/B2151</f>
        <v/>
      </c>
    </row>
    <row r="2204">
      <c r="A2204" s="33" t="n">
        <v>42786</v>
      </c>
      <c r="B2204" s="24">
        <f>VLOOKUP(Table2634[[#This Row],[Date]],'DB Money Supply'!$A:$D,4)</f>
        <v/>
      </c>
      <c r="C2204" s="30">
        <f>(Table2634[[#This Row],[M1 Money Stock, Billions of Dollars, Weekly, Seasonally Adjusted]]-B2203)/B2203</f>
        <v/>
      </c>
      <c r="D2204" s="34">
        <f>(Table2634[[#This Row],[M1 Money Stock, Billions of Dollars, Weekly, Seasonally Adjusted]]-B2201)/B2201</f>
        <v/>
      </c>
      <c r="E2204" s="24">
        <f>AVERAGE(B2201:B2204)</f>
        <v/>
      </c>
      <c r="F2204" s="32">
        <f>(Table2634[[#This Row],[4 weeks average]]-B2152)/B2152</f>
        <v/>
      </c>
    </row>
    <row r="2205">
      <c r="A2205" s="33" t="n">
        <v>42793</v>
      </c>
      <c r="B2205" s="24">
        <f>VLOOKUP(Table2634[[#This Row],[Date]],'DB Money Supply'!$A:$D,4)</f>
        <v/>
      </c>
      <c r="C2205" s="30">
        <f>(Table2634[[#This Row],[M1 Money Stock, Billions of Dollars, Weekly, Seasonally Adjusted]]-B2204)/B2204</f>
        <v/>
      </c>
      <c r="D2205" s="34">
        <f>(Table2634[[#This Row],[M1 Money Stock, Billions of Dollars, Weekly, Seasonally Adjusted]]-B2202)/B2202</f>
        <v/>
      </c>
      <c r="E2205" s="24">
        <f>AVERAGE(B2202:B2205)</f>
        <v/>
      </c>
      <c r="F2205" s="32">
        <f>(Table2634[[#This Row],[4 weeks average]]-B2153)/B2153</f>
        <v/>
      </c>
    </row>
    <row r="2206">
      <c r="A2206" s="33" t="n">
        <v>42800</v>
      </c>
      <c r="B2206" s="24">
        <f>VLOOKUP(Table2634[[#This Row],[Date]],'DB Money Supply'!$A:$D,4)</f>
        <v/>
      </c>
      <c r="C2206" s="30">
        <f>(Table2634[[#This Row],[M1 Money Stock, Billions of Dollars, Weekly, Seasonally Adjusted]]-B2205)/B2205</f>
        <v/>
      </c>
      <c r="D2206" s="34">
        <f>(Table2634[[#This Row],[M1 Money Stock, Billions of Dollars, Weekly, Seasonally Adjusted]]-B2203)/B2203</f>
        <v/>
      </c>
      <c r="E2206" s="24">
        <f>AVERAGE(B2203:B2206)</f>
        <v/>
      </c>
      <c r="F2206" s="32">
        <f>(Table2634[[#This Row],[4 weeks average]]-B2154)/B2154</f>
        <v/>
      </c>
    </row>
    <row r="2207">
      <c r="A2207" s="33" t="n">
        <v>42807</v>
      </c>
      <c r="B2207" s="24">
        <f>VLOOKUP(Table2634[[#This Row],[Date]],'DB Money Supply'!$A:$D,4)</f>
        <v/>
      </c>
      <c r="C2207" s="30">
        <f>(Table2634[[#This Row],[M1 Money Stock, Billions of Dollars, Weekly, Seasonally Adjusted]]-B2206)/B2206</f>
        <v/>
      </c>
      <c r="D2207" s="34">
        <f>(Table2634[[#This Row],[M1 Money Stock, Billions of Dollars, Weekly, Seasonally Adjusted]]-B2204)/B2204</f>
        <v/>
      </c>
      <c r="E2207" s="24">
        <f>AVERAGE(B2204:B2207)</f>
        <v/>
      </c>
      <c r="F2207" s="32">
        <f>(Table2634[[#This Row],[4 weeks average]]-B2155)/B2155</f>
        <v/>
      </c>
    </row>
    <row r="2208">
      <c r="A2208" s="33" t="n">
        <v>42814</v>
      </c>
      <c r="B2208" s="24">
        <f>VLOOKUP(Table2634[[#This Row],[Date]],'DB Money Supply'!$A:$D,4)</f>
        <v/>
      </c>
      <c r="C2208" s="30">
        <f>(Table2634[[#This Row],[M1 Money Stock, Billions of Dollars, Weekly, Seasonally Adjusted]]-B2207)/B2207</f>
        <v/>
      </c>
      <c r="D2208" s="34">
        <f>(Table2634[[#This Row],[M1 Money Stock, Billions of Dollars, Weekly, Seasonally Adjusted]]-B2205)/B2205</f>
        <v/>
      </c>
      <c r="E2208" s="24">
        <f>AVERAGE(B2205:B2208)</f>
        <v/>
      </c>
      <c r="F2208" s="32">
        <f>(Table2634[[#This Row],[4 weeks average]]-B2156)/B2156</f>
        <v/>
      </c>
    </row>
    <row r="2209">
      <c r="A2209" s="33" t="n">
        <v>42821</v>
      </c>
      <c r="B2209" s="24">
        <f>VLOOKUP(Table2634[[#This Row],[Date]],'DB Money Supply'!$A:$D,4)</f>
        <v/>
      </c>
      <c r="C2209" s="30">
        <f>(Table2634[[#This Row],[M1 Money Stock, Billions of Dollars, Weekly, Seasonally Adjusted]]-B2208)/B2208</f>
        <v/>
      </c>
      <c r="D2209" s="34">
        <f>(Table2634[[#This Row],[M1 Money Stock, Billions of Dollars, Weekly, Seasonally Adjusted]]-B2206)/B2206</f>
        <v/>
      </c>
      <c r="E2209" s="24">
        <f>AVERAGE(B2206:B2209)</f>
        <v/>
      </c>
      <c r="F2209" s="32">
        <f>(Table2634[[#This Row],[4 weeks average]]-B2157)/B2157</f>
        <v/>
      </c>
    </row>
    <row r="2210">
      <c r="A2210" s="33" t="n">
        <v>42828</v>
      </c>
      <c r="B2210" s="24">
        <f>VLOOKUP(Table2634[[#This Row],[Date]],'DB Money Supply'!$A:$D,4)</f>
        <v/>
      </c>
      <c r="C2210" s="30">
        <f>(Table2634[[#This Row],[M1 Money Stock, Billions of Dollars, Weekly, Seasonally Adjusted]]-B2209)/B2209</f>
        <v/>
      </c>
      <c r="D2210" s="34">
        <f>(Table2634[[#This Row],[M1 Money Stock, Billions of Dollars, Weekly, Seasonally Adjusted]]-B2207)/B2207</f>
        <v/>
      </c>
      <c r="E2210" s="24">
        <f>AVERAGE(B2207:B2210)</f>
        <v/>
      </c>
      <c r="F2210" s="32">
        <f>(Table2634[[#This Row],[4 weeks average]]-B2158)/B2158</f>
        <v/>
      </c>
    </row>
    <row r="2211">
      <c r="A2211" s="33" t="n">
        <v>42835</v>
      </c>
      <c r="B2211" s="24">
        <f>VLOOKUP(Table2634[[#This Row],[Date]],'DB Money Supply'!$A:$D,4)</f>
        <v/>
      </c>
      <c r="C2211" s="30">
        <f>(Table2634[[#This Row],[M1 Money Stock, Billions of Dollars, Weekly, Seasonally Adjusted]]-B2210)/B2210</f>
        <v/>
      </c>
      <c r="D2211" s="34">
        <f>(Table2634[[#This Row],[M1 Money Stock, Billions of Dollars, Weekly, Seasonally Adjusted]]-B2208)/B2208</f>
        <v/>
      </c>
      <c r="E2211" s="24">
        <f>AVERAGE(B2208:B2211)</f>
        <v/>
      </c>
      <c r="F2211" s="32">
        <f>(Table2634[[#This Row],[4 weeks average]]-B2159)/B2159</f>
        <v/>
      </c>
    </row>
    <row r="2212">
      <c r="A2212" s="33" t="n">
        <v>42842</v>
      </c>
      <c r="B2212" s="24">
        <f>VLOOKUP(Table2634[[#This Row],[Date]],'DB Money Supply'!$A:$D,4)</f>
        <v/>
      </c>
      <c r="C2212" s="30">
        <f>(Table2634[[#This Row],[M1 Money Stock, Billions of Dollars, Weekly, Seasonally Adjusted]]-B2211)/B2211</f>
        <v/>
      </c>
      <c r="D2212" s="34">
        <f>(Table2634[[#This Row],[M1 Money Stock, Billions of Dollars, Weekly, Seasonally Adjusted]]-B2209)/B2209</f>
        <v/>
      </c>
      <c r="E2212" s="24">
        <f>AVERAGE(B2209:B2212)</f>
        <v/>
      </c>
      <c r="F2212" s="32">
        <f>(Table2634[[#This Row],[4 weeks average]]-B2160)/B2160</f>
        <v/>
      </c>
    </row>
    <row r="2213">
      <c r="A2213" s="33" t="n">
        <v>42849</v>
      </c>
      <c r="B2213" s="24">
        <f>VLOOKUP(Table2634[[#This Row],[Date]],'DB Money Supply'!$A:$D,4)</f>
        <v/>
      </c>
      <c r="C2213" s="30">
        <f>(Table2634[[#This Row],[M1 Money Stock, Billions of Dollars, Weekly, Seasonally Adjusted]]-B2212)/B2212</f>
        <v/>
      </c>
      <c r="D2213" s="34">
        <f>(Table2634[[#This Row],[M1 Money Stock, Billions of Dollars, Weekly, Seasonally Adjusted]]-B2210)/B2210</f>
        <v/>
      </c>
      <c r="E2213" s="24">
        <f>AVERAGE(B2210:B2213)</f>
        <v/>
      </c>
      <c r="F2213" s="32">
        <f>(Table2634[[#This Row],[4 weeks average]]-B2161)/B2161</f>
        <v/>
      </c>
    </row>
    <row r="2214">
      <c r="A2214" s="33" t="n">
        <v>42856</v>
      </c>
      <c r="B2214" s="24">
        <f>VLOOKUP(Table2634[[#This Row],[Date]],'DB Money Supply'!$A:$D,4)</f>
        <v/>
      </c>
      <c r="C2214" s="30">
        <f>(Table2634[[#This Row],[M1 Money Stock, Billions of Dollars, Weekly, Seasonally Adjusted]]-B2213)/B2213</f>
        <v/>
      </c>
      <c r="D2214" s="34">
        <f>(Table2634[[#This Row],[M1 Money Stock, Billions of Dollars, Weekly, Seasonally Adjusted]]-B2211)/B2211</f>
        <v/>
      </c>
      <c r="E2214" s="24">
        <f>AVERAGE(B2211:B2214)</f>
        <v/>
      </c>
      <c r="F2214" s="32">
        <f>(Table2634[[#This Row],[4 weeks average]]-B2162)/B2162</f>
        <v/>
      </c>
    </row>
    <row r="2215">
      <c r="A2215" s="33" t="n">
        <v>42863</v>
      </c>
      <c r="B2215" s="24">
        <f>VLOOKUP(Table2634[[#This Row],[Date]],'DB Money Supply'!$A:$D,4)</f>
        <v/>
      </c>
      <c r="C2215" s="30">
        <f>(Table2634[[#This Row],[M1 Money Stock, Billions of Dollars, Weekly, Seasonally Adjusted]]-B2214)/B2214</f>
        <v/>
      </c>
      <c r="D2215" s="34">
        <f>(Table2634[[#This Row],[M1 Money Stock, Billions of Dollars, Weekly, Seasonally Adjusted]]-B2212)/B2212</f>
        <v/>
      </c>
      <c r="E2215" s="24">
        <f>AVERAGE(B2212:B2215)</f>
        <v/>
      </c>
      <c r="F2215" s="32">
        <f>(Table2634[[#This Row],[4 weeks average]]-B2163)/B2163</f>
        <v/>
      </c>
    </row>
    <row r="2216">
      <c r="A2216" s="33" t="n">
        <v>42870</v>
      </c>
      <c r="B2216" s="24">
        <f>VLOOKUP(Table2634[[#This Row],[Date]],'DB Money Supply'!$A:$D,4)</f>
        <v/>
      </c>
      <c r="C2216" s="30">
        <f>(Table2634[[#This Row],[M1 Money Stock, Billions of Dollars, Weekly, Seasonally Adjusted]]-B2215)/B2215</f>
        <v/>
      </c>
      <c r="D2216" s="34">
        <f>(Table2634[[#This Row],[M1 Money Stock, Billions of Dollars, Weekly, Seasonally Adjusted]]-B2213)/B2213</f>
        <v/>
      </c>
      <c r="E2216" s="24">
        <f>AVERAGE(B2213:B2216)</f>
        <v/>
      </c>
      <c r="F2216" s="32">
        <f>(Table2634[[#This Row],[4 weeks average]]-B2164)/B2164</f>
        <v/>
      </c>
    </row>
    <row r="2217">
      <c r="A2217" s="33" t="n">
        <v>42877</v>
      </c>
      <c r="B2217" s="24">
        <f>VLOOKUP(Table2634[[#This Row],[Date]],'DB Money Supply'!$A:$D,4)</f>
        <v/>
      </c>
      <c r="C2217" s="30">
        <f>(Table2634[[#This Row],[M1 Money Stock, Billions of Dollars, Weekly, Seasonally Adjusted]]-B2216)/B2216</f>
        <v/>
      </c>
      <c r="D2217" s="34">
        <f>(Table2634[[#This Row],[M1 Money Stock, Billions of Dollars, Weekly, Seasonally Adjusted]]-B2214)/B2214</f>
        <v/>
      </c>
      <c r="E2217" s="24">
        <f>AVERAGE(B2214:B2217)</f>
        <v/>
      </c>
      <c r="F2217" s="32">
        <f>(Table2634[[#This Row],[4 weeks average]]-B2165)/B2165</f>
        <v/>
      </c>
    </row>
    <row r="2218">
      <c r="A2218" s="33" t="n">
        <v>42884</v>
      </c>
      <c r="B2218" s="24">
        <f>VLOOKUP(Table2634[[#This Row],[Date]],'DB Money Supply'!$A:$D,4)</f>
        <v/>
      </c>
      <c r="C2218" s="30">
        <f>(Table2634[[#This Row],[M1 Money Stock, Billions of Dollars, Weekly, Seasonally Adjusted]]-B2217)/B2217</f>
        <v/>
      </c>
      <c r="D2218" s="34">
        <f>(Table2634[[#This Row],[M1 Money Stock, Billions of Dollars, Weekly, Seasonally Adjusted]]-B2215)/B2215</f>
        <v/>
      </c>
      <c r="E2218" s="24">
        <f>AVERAGE(B2215:B2218)</f>
        <v/>
      </c>
      <c r="F2218" s="32">
        <f>(Table2634[[#This Row],[4 weeks average]]-B2166)/B2166</f>
        <v/>
      </c>
    </row>
    <row r="2219">
      <c r="A2219" s="33" t="n">
        <v>42891</v>
      </c>
      <c r="B2219" s="24">
        <f>VLOOKUP(Table2634[[#This Row],[Date]],'DB Money Supply'!$A:$D,4)</f>
        <v/>
      </c>
      <c r="C2219" s="30">
        <f>(Table2634[[#This Row],[M1 Money Stock, Billions of Dollars, Weekly, Seasonally Adjusted]]-B2218)/B2218</f>
        <v/>
      </c>
      <c r="D2219" s="34">
        <f>(Table2634[[#This Row],[M1 Money Stock, Billions of Dollars, Weekly, Seasonally Adjusted]]-B2216)/B2216</f>
        <v/>
      </c>
      <c r="E2219" s="24">
        <f>AVERAGE(B2216:B2219)</f>
        <v/>
      </c>
      <c r="F2219" s="32">
        <f>(Table2634[[#This Row],[4 weeks average]]-B2167)/B2167</f>
        <v/>
      </c>
    </row>
    <row r="2220">
      <c r="A2220" s="33" t="n">
        <v>42898</v>
      </c>
      <c r="B2220" s="24">
        <f>VLOOKUP(Table2634[[#This Row],[Date]],'DB Money Supply'!$A:$D,4)</f>
        <v/>
      </c>
      <c r="C2220" s="30">
        <f>(Table2634[[#This Row],[M1 Money Stock, Billions of Dollars, Weekly, Seasonally Adjusted]]-B2219)/B2219</f>
        <v/>
      </c>
      <c r="D2220" s="34">
        <f>(Table2634[[#This Row],[M1 Money Stock, Billions of Dollars, Weekly, Seasonally Adjusted]]-B2217)/B2217</f>
        <v/>
      </c>
      <c r="E2220" s="24">
        <f>AVERAGE(B2217:B2220)</f>
        <v/>
      </c>
      <c r="F2220" s="32">
        <f>(Table2634[[#This Row],[4 weeks average]]-B2168)/B2168</f>
        <v/>
      </c>
    </row>
    <row r="2221">
      <c r="A2221" s="33" t="n">
        <v>42905</v>
      </c>
      <c r="B2221" s="24">
        <f>VLOOKUP(Table2634[[#This Row],[Date]],'DB Money Supply'!$A:$D,4)</f>
        <v/>
      </c>
      <c r="C2221" s="30">
        <f>(Table2634[[#This Row],[M1 Money Stock, Billions of Dollars, Weekly, Seasonally Adjusted]]-B2220)/B2220</f>
        <v/>
      </c>
      <c r="D2221" s="34">
        <f>(Table2634[[#This Row],[M1 Money Stock, Billions of Dollars, Weekly, Seasonally Adjusted]]-B2218)/B2218</f>
        <v/>
      </c>
      <c r="E2221" s="24">
        <f>AVERAGE(B2218:B2221)</f>
        <v/>
      </c>
      <c r="F2221" s="32">
        <f>(Table2634[[#This Row],[4 weeks average]]-B2169)/B2169</f>
        <v/>
      </c>
    </row>
    <row r="2222">
      <c r="A2222" s="33" t="n">
        <v>42912</v>
      </c>
      <c r="B2222" s="24">
        <f>VLOOKUP(Table2634[[#This Row],[Date]],'DB Money Supply'!$A:$D,4)</f>
        <v/>
      </c>
      <c r="C2222" s="30">
        <f>(Table2634[[#This Row],[M1 Money Stock, Billions of Dollars, Weekly, Seasonally Adjusted]]-B2221)/B2221</f>
        <v/>
      </c>
      <c r="D2222" s="34">
        <f>(Table2634[[#This Row],[M1 Money Stock, Billions of Dollars, Weekly, Seasonally Adjusted]]-B2219)/B2219</f>
        <v/>
      </c>
      <c r="E2222" s="24">
        <f>AVERAGE(B2219:B2222)</f>
        <v/>
      </c>
      <c r="F2222" s="32">
        <f>(Table2634[[#This Row],[4 weeks average]]-B2170)/B2170</f>
        <v/>
      </c>
    </row>
    <row r="2223">
      <c r="A2223" s="33" t="n">
        <v>42919</v>
      </c>
      <c r="B2223" s="24">
        <f>VLOOKUP(Table2634[[#This Row],[Date]],'DB Money Supply'!$A:$D,4)</f>
        <v/>
      </c>
      <c r="C2223" s="30">
        <f>(Table2634[[#This Row],[M1 Money Stock, Billions of Dollars, Weekly, Seasonally Adjusted]]-B2222)/B2222</f>
        <v/>
      </c>
      <c r="D2223" s="34">
        <f>(Table2634[[#This Row],[M1 Money Stock, Billions of Dollars, Weekly, Seasonally Adjusted]]-B2220)/B2220</f>
        <v/>
      </c>
      <c r="E2223" s="24">
        <f>AVERAGE(B2220:B2223)</f>
        <v/>
      </c>
      <c r="F2223" s="32">
        <f>(Table2634[[#This Row],[4 weeks average]]-B2171)/B2171</f>
        <v/>
      </c>
    </row>
    <row r="2224">
      <c r="A2224" s="33" t="n">
        <v>42926</v>
      </c>
      <c r="B2224" s="24">
        <f>VLOOKUP(Table2634[[#This Row],[Date]],'DB Money Supply'!$A:$D,4)</f>
        <v/>
      </c>
      <c r="C2224" s="30">
        <f>(Table2634[[#This Row],[M1 Money Stock, Billions of Dollars, Weekly, Seasonally Adjusted]]-B2223)/B2223</f>
        <v/>
      </c>
      <c r="D2224" s="34">
        <f>(Table2634[[#This Row],[M1 Money Stock, Billions of Dollars, Weekly, Seasonally Adjusted]]-B2221)/B2221</f>
        <v/>
      </c>
      <c r="E2224" s="24">
        <f>AVERAGE(B2221:B2224)</f>
        <v/>
      </c>
      <c r="F2224" s="32">
        <f>(Table2634[[#This Row],[4 weeks average]]-B2172)/B2172</f>
        <v/>
      </c>
    </row>
    <row r="2225">
      <c r="A2225" s="33" t="n">
        <v>42933</v>
      </c>
      <c r="B2225" s="24">
        <f>VLOOKUP(Table2634[[#This Row],[Date]],'DB Money Supply'!$A:$D,4)</f>
        <v/>
      </c>
      <c r="C2225" s="30">
        <f>(Table2634[[#This Row],[M1 Money Stock, Billions of Dollars, Weekly, Seasonally Adjusted]]-B2224)/B2224</f>
        <v/>
      </c>
      <c r="D2225" s="34">
        <f>(Table2634[[#This Row],[M1 Money Stock, Billions of Dollars, Weekly, Seasonally Adjusted]]-B2222)/B2222</f>
        <v/>
      </c>
      <c r="E2225" s="24">
        <f>AVERAGE(B2222:B2225)</f>
        <v/>
      </c>
      <c r="F2225" s="32">
        <f>(Table2634[[#This Row],[4 weeks average]]-B2173)/B2173</f>
        <v/>
      </c>
    </row>
    <row r="2226">
      <c r="A2226" s="33" t="n">
        <v>42940</v>
      </c>
      <c r="B2226" s="24">
        <f>VLOOKUP(Table2634[[#This Row],[Date]],'DB Money Supply'!$A:$D,4)</f>
        <v/>
      </c>
      <c r="C2226" s="30">
        <f>(Table2634[[#This Row],[M1 Money Stock, Billions of Dollars, Weekly, Seasonally Adjusted]]-B2225)/B2225</f>
        <v/>
      </c>
      <c r="D2226" s="34">
        <f>(Table2634[[#This Row],[M1 Money Stock, Billions of Dollars, Weekly, Seasonally Adjusted]]-B2223)/B2223</f>
        <v/>
      </c>
      <c r="E2226" s="24">
        <f>AVERAGE(B2223:B2226)</f>
        <v/>
      </c>
      <c r="F2226" s="32">
        <f>(Table2634[[#This Row],[4 weeks average]]-B2174)/B2174</f>
        <v/>
      </c>
    </row>
    <row r="2227">
      <c r="A2227" s="33" t="n">
        <v>42947</v>
      </c>
      <c r="B2227" s="24">
        <f>VLOOKUP(Table2634[[#This Row],[Date]],'DB Money Supply'!$A:$D,4)</f>
        <v/>
      </c>
      <c r="C2227" s="30">
        <f>(Table2634[[#This Row],[M1 Money Stock, Billions of Dollars, Weekly, Seasonally Adjusted]]-B2226)/B2226</f>
        <v/>
      </c>
      <c r="D2227" s="34">
        <f>(Table2634[[#This Row],[M1 Money Stock, Billions of Dollars, Weekly, Seasonally Adjusted]]-B2224)/B2224</f>
        <v/>
      </c>
      <c r="E2227" s="24">
        <f>AVERAGE(B2224:B2227)</f>
        <v/>
      </c>
      <c r="F2227" s="32">
        <f>(Table2634[[#This Row],[4 weeks average]]-B2175)/B2175</f>
        <v/>
      </c>
    </row>
    <row r="2228">
      <c r="A2228" s="33" t="n">
        <v>42954</v>
      </c>
      <c r="B2228" s="24">
        <f>VLOOKUP(Table2634[[#This Row],[Date]],'DB Money Supply'!$A:$D,4)</f>
        <v/>
      </c>
      <c r="C2228" s="30">
        <f>(Table2634[[#This Row],[M1 Money Stock, Billions of Dollars, Weekly, Seasonally Adjusted]]-B2227)/B2227</f>
        <v/>
      </c>
      <c r="D2228" s="34">
        <f>(Table2634[[#This Row],[M1 Money Stock, Billions of Dollars, Weekly, Seasonally Adjusted]]-B2225)/B2225</f>
        <v/>
      </c>
      <c r="E2228" s="24">
        <f>AVERAGE(B2225:B2228)</f>
        <v/>
      </c>
      <c r="F2228" s="32">
        <f>(Table2634[[#This Row],[4 weeks average]]-B2176)/B2176</f>
        <v/>
      </c>
    </row>
    <row r="2229">
      <c r="A2229" s="33" t="n">
        <v>42961</v>
      </c>
      <c r="B2229" s="24">
        <f>VLOOKUP(Table2634[[#This Row],[Date]],'DB Money Supply'!$A:$D,4)</f>
        <v/>
      </c>
      <c r="C2229" s="30">
        <f>(Table2634[[#This Row],[M1 Money Stock, Billions of Dollars, Weekly, Seasonally Adjusted]]-B2228)/B2228</f>
        <v/>
      </c>
      <c r="D2229" s="34">
        <f>(Table2634[[#This Row],[M1 Money Stock, Billions of Dollars, Weekly, Seasonally Adjusted]]-B2226)/B2226</f>
        <v/>
      </c>
      <c r="E2229" s="24">
        <f>AVERAGE(B2226:B2229)</f>
        <v/>
      </c>
      <c r="F2229" s="32">
        <f>(Table2634[[#This Row],[4 weeks average]]-B2177)/B2177</f>
        <v/>
      </c>
    </row>
    <row r="2230">
      <c r="A2230" s="33" t="n">
        <v>42968</v>
      </c>
      <c r="B2230" s="24">
        <f>VLOOKUP(Table2634[[#This Row],[Date]],'DB Money Supply'!$A:$D,4)</f>
        <v/>
      </c>
      <c r="C2230" s="30">
        <f>(Table2634[[#This Row],[M1 Money Stock, Billions of Dollars, Weekly, Seasonally Adjusted]]-B2229)/B2229</f>
        <v/>
      </c>
      <c r="D2230" s="34">
        <f>(Table2634[[#This Row],[M1 Money Stock, Billions of Dollars, Weekly, Seasonally Adjusted]]-B2227)/B2227</f>
        <v/>
      </c>
      <c r="E2230" s="24">
        <f>AVERAGE(B2227:B2230)</f>
        <v/>
      </c>
      <c r="F2230" s="32">
        <f>(Table2634[[#This Row],[4 weeks average]]-B2178)/B2178</f>
        <v/>
      </c>
    </row>
    <row r="2231">
      <c r="A2231" s="33" t="n">
        <v>42975</v>
      </c>
      <c r="B2231" s="24">
        <f>VLOOKUP(Table2634[[#This Row],[Date]],'DB Money Supply'!$A:$D,4)</f>
        <v/>
      </c>
      <c r="C2231" s="30">
        <f>(Table2634[[#This Row],[M1 Money Stock, Billions of Dollars, Weekly, Seasonally Adjusted]]-B2230)/B2230</f>
        <v/>
      </c>
      <c r="D2231" s="34">
        <f>(Table2634[[#This Row],[M1 Money Stock, Billions of Dollars, Weekly, Seasonally Adjusted]]-B2228)/B2228</f>
        <v/>
      </c>
      <c r="E2231" s="24">
        <f>AVERAGE(B2228:B2231)</f>
        <v/>
      </c>
      <c r="F2231" s="32">
        <f>(Table2634[[#This Row],[4 weeks average]]-B2179)/B2179</f>
        <v/>
      </c>
    </row>
    <row r="2232">
      <c r="A2232" s="33" t="n">
        <v>42982</v>
      </c>
      <c r="B2232" s="24">
        <f>VLOOKUP(Table2634[[#This Row],[Date]],'DB Money Supply'!$A:$D,4)</f>
        <v/>
      </c>
      <c r="C2232" s="30">
        <f>(Table2634[[#This Row],[M1 Money Stock, Billions of Dollars, Weekly, Seasonally Adjusted]]-B2231)/B2231</f>
        <v/>
      </c>
      <c r="D2232" s="34">
        <f>(Table2634[[#This Row],[M1 Money Stock, Billions of Dollars, Weekly, Seasonally Adjusted]]-B2229)/B2229</f>
        <v/>
      </c>
      <c r="E2232" s="24">
        <f>AVERAGE(B2229:B2232)</f>
        <v/>
      </c>
      <c r="F2232" s="32">
        <f>(Table2634[[#This Row],[4 weeks average]]-B2180)/B2180</f>
        <v/>
      </c>
    </row>
    <row r="2233">
      <c r="A2233" s="33" t="n">
        <v>42989</v>
      </c>
      <c r="B2233" s="24">
        <f>VLOOKUP(Table2634[[#This Row],[Date]],'DB Money Supply'!$A:$D,4)</f>
        <v/>
      </c>
      <c r="C2233" s="30">
        <f>(Table2634[[#This Row],[M1 Money Stock, Billions of Dollars, Weekly, Seasonally Adjusted]]-B2232)/B2232</f>
        <v/>
      </c>
      <c r="D2233" s="34">
        <f>(Table2634[[#This Row],[M1 Money Stock, Billions of Dollars, Weekly, Seasonally Adjusted]]-B2230)/B2230</f>
        <v/>
      </c>
      <c r="E2233" s="24">
        <f>AVERAGE(B2230:B2233)</f>
        <v/>
      </c>
      <c r="F2233" s="32">
        <f>(Table2634[[#This Row],[4 weeks average]]-B2181)/B2181</f>
        <v/>
      </c>
    </row>
    <row r="2234">
      <c r="A2234" s="33" t="n">
        <v>42996</v>
      </c>
      <c r="B2234" s="24">
        <f>VLOOKUP(Table2634[[#This Row],[Date]],'DB Money Supply'!$A:$D,4)</f>
        <v/>
      </c>
      <c r="C2234" s="30">
        <f>(Table2634[[#This Row],[M1 Money Stock, Billions of Dollars, Weekly, Seasonally Adjusted]]-B2233)/B2233</f>
        <v/>
      </c>
      <c r="D2234" s="34">
        <f>(Table2634[[#This Row],[M1 Money Stock, Billions of Dollars, Weekly, Seasonally Adjusted]]-B2231)/B2231</f>
        <v/>
      </c>
      <c r="E2234" s="24">
        <f>AVERAGE(B2231:B2234)</f>
        <v/>
      </c>
      <c r="F2234" s="32">
        <f>(Table2634[[#This Row],[4 weeks average]]-B2182)/B2182</f>
        <v/>
      </c>
    </row>
    <row r="2235">
      <c r="A2235" s="33" t="n">
        <v>43003</v>
      </c>
      <c r="B2235" s="24">
        <f>VLOOKUP(Table2634[[#This Row],[Date]],'DB Money Supply'!$A:$D,4)</f>
        <v/>
      </c>
      <c r="C2235" s="30">
        <f>(Table2634[[#This Row],[M1 Money Stock, Billions of Dollars, Weekly, Seasonally Adjusted]]-B2234)/B2234</f>
        <v/>
      </c>
      <c r="D2235" s="34">
        <f>(Table2634[[#This Row],[M1 Money Stock, Billions of Dollars, Weekly, Seasonally Adjusted]]-B2232)/B2232</f>
        <v/>
      </c>
      <c r="E2235" s="24">
        <f>AVERAGE(B2232:B2235)</f>
        <v/>
      </c>
      <c r="F2235" s="32">
        <f>(Table2634[[#This Row],[4 weeks average]]-B2183)/B2183</f>
        <v/>
      </c>
    </row>
    <row r="2236">
      <c r="A2236" s="33" t="n">
        <v>43010</v>
      </c>
      <c r="B2236" s="24">
        <f>VLOOKUP(Table2634[[#This Row],[Date]],'DB Money Supply'!$A:$D,4)</f>
        <v/>
      </c>
      <c r="C2236" s="30">
        <f>(Table2634[[#This Row],[M1 Money Stock, Billions of Dollars, Weekly, Seasonally Adjusted]]-B2235)/B2235</f>
        <v/>
      </c>
      <c r="D2236" s="34">
        <f>(Table2634[[#This Row],[M1 Money Stock, Billions of Dollars, Weekly, Seasonally Adjusted]]-B2233)/B2233</f>
        <v/>
      </c>
      <c r="E2236" s="24">
        <f>AVERAGE(B2233:B2236)</f>
        <v/>
      </c>
      <c r="F2236" s="32">
        <f>(Table2634[[#This Row],[4 weeks average]]-B2184)/B2184</f>
        <v/>
      </c>
    </row>
    <row r="2237">
      <c r="A2237" s="33" t="n">
        <v>43017</v>
      </c>
      <c r="B2237" s="24">
        <f>VLOOKUP(Table2634[[#This Row],[Date]],'DB Money Supply'!$A:$D,4)</f>
        <v/>
      </c>
      <c r="C2237" s="30">
        <f>(Table2634[[#This Row],[M1 Money Stock, Billions of Dollars, Weekly, Seasonally Adjusted]]-B2236)/B2236</f>
        <v/>
      </c>
      <c r="D2237" s="34">
        <f>(Table2634[[#This Row],[M1 Money Stock, Billions of Dollars, Weekly, Seasonally Adjusted]]-B2234)/B2234</f>
        <v/>
      </c>
      <c r="E2237" s="24">
        <f>AVERAGE(B2234:B2237)</f>
        <v/>
      </c>
      <c r="F2237" s="32">
        <f>(Table2634[[#This Row],[4 weeks average]]-B2185)/B2185</f>
        <v/>
      </c>
    </row>
    <row r="2238">
      <c r="A2238" s="33" t="n">
        <v>43024</v>
      </c>
      <c r="B2238" s="24">
        <f>VLOOKUP(Table2634[[#This Row],[Date]],'DB Money Supply'!$A:$D,4)</f>
        <v/>
      </c>
      <c r="C2238" s="30">
        <f>(Table2634[[#This Row],[M1 Money Stock, Billions of Dollars, Weekly, Seasonally Adjusted]]-B2237)/B2237</f>
        <v/>
      </c>
      <c r="D2238" s="34">
        <f>(Table2634[[#This Row],[M1 Money Stock, Billions of Dollars, Weekly, Seasonally Adjusted]]-B2235)/B2235</f>
        <v/>
      </c>
      <c r="E2238" s="24">
        <f>AVERAGE(B2235:B2238)</f>
        <v/>
      </c>
      <c r="F2238" s="32">
        <f>(Table2634[[#This Row],[4 weeks average]]-B2186)/B2186</f>
        <v/>
      </c>
    </row>
    <row r="2239">
      <c r="A2239" s="33" t="n">
        <v>43031</v>
      </c>
      <c r="B2239" s="24">
        <f>VLOOKUP(Table2634[[#This Row],[Date]],'DB Money Supply'!$A:$D,4)</f>
        <v/>
      </c>
      <c r="C2239" s="30">
        <f>(Table2634[[#This Row],[M1 Money Stock, Billions of Dollars, Weekly, Seasonally Adjusted]]-B2238)/B2238</f>
        <v/>
      </c>
      <c r="D2239" s="34">
        <f>(Table2634[[#This Row],[M1 Money Stock, Billions of Dollars, Weekly, Seasonally Adjusted]]-B2236)/B2236</f>
        <v/>
      </c>
      <c r="E2239" s="24">
        <f>AVERAGE(B2236:B2239)</f>
        <v/>
      </c>
      <c r="F2239" s="32">
        <f>(Table2634[[#This Row],[4 weeks average]]-B2187)/B2187</f>
        <v/>
      </c>
    </row>
    <row r="2240">
      <c r="A2240" s="33" t="n">
        <v>43038</v>
      </c>
      <c r="B2240" s="24">
        <f>VLOOKUP(Table2634[[#This Row],[Date]],'DB Money Supply'!$A:$D,4)</f>
        <v/>
      </c>
      <c r="C2240" s="30">
        <f>(Table2634[[#This Row],[M1 Money Stock, Billions of Dollars, Weekly, Seasonally Adjusted]]-B2239)/B2239</f>
        <v/>
      </c>
      <c r="D2240" s="34">
        <f>(Table2634[[#This Row],[M1 Money Stock, Billions of Dollars, Weekly, Seasonally Adjusted]]-B2237)/B2237</f>
        <v/>
      </c>
      <c r="E2240" s="24">
        <f>AVERAGE(B2237:B2240)</f>
        <v/>
      </c>
      <c r="F2240" s="32">
        <f>(Table2634[[#This Row],[4 weeks average]]-B2188)/B2188</f>
        <v/>
      </c>
    </row>
    <row r="2241">
      <c r="A2241" s="33" t="n">
        <v>43045</v>
      </c>
      <c r="B2241" s="24">
        <f>VLOOKUP(Table2634[[#This Row],[Date]],'DB Money Supply'!$A:$D,4)</f>
        <v/>
      </c>
      <c r="C2241" s="30">
        <f>(Table2634[[#This Row],[M1 Money Stock, Billions of Dollars, Weekly, Seasonally Adjusted]]-B2240)/B2240</f>
        <v/>
      </c>
      <c r="D2241" s="34">
        <f>(Table2634[[#This Row],[M1 Money Stock, Billions of Dollars, Weekly, Seasonally Adjusted]]-B2238)/B2238</f>
        <v/>
      </c>
      <c r="E2241" s="24">
        <f>AVERAGE(B2238:B2241)</f>
        <v/>
      </c>
      <c r="F2241" s="32">
        <f>(Table2634[[#This Row],[4 weeks average]]-B2189)/B2189</f>
        <v/>
      </c>
    </row>
    <row r="2242">
      <c r="A2242" s="33" t="n">
        <v>43052</v>
      </c>
      <c r="B2242" s="24">
        <f>VLOOKUP(Table2634[[#This Row],[Date]],'DB Money Supply'!$A:$D,4)</f>
        <v/>
      </c>
      <c r="C2242" s="30">
        <f>(Table2634[[#This Row],[M1 Money Stock, Billions of Dollars, Weekly, Seasonally Adjusted]]-B2241)/B2241</f>
        <v/>
      </c>
      <c r="D2242" s="34">
        <f>(Table2634[[#This Row],[M1 Money Stock, Billions of Dollars, Weekly, Seasonally Adjusted]]-B2239)/B2239</f>
        <v/>
      </c>
      <c r="E2242" s="24">
        <f>AVERAGE(B2239:B2242)</f>
        <v/>
      </c>
      <c r="F2242" s="32">
        <f>(Table2634[[#This Row],[4 weeks average]]-B2190)/B2190</f>
        <v/>
      </c>
    </row>
    <row r="2243">
      <c r="A2243" s="33" t="n">
        <v>43059</v>
      </c>
      <c r="B2243" s="24">
        <f>VLOOKUP(Table2634[[#This Row],[Date]],'DB Money Supply'!$A:$D,4)</f>
        <v/>
      </c>
      <c r="C2243" s="30">
        <f>(Table2634[[#This Row],[M1 Money Stock, Billions of Dollars, Weekly, Seasonally Adjusted]]-B2242)/B2242</f>
        <v/>
      </c>
      <c r="D2243" s="34">
        <f>(Table2634[[#This Row],[M1 Money Stock, Billions of Dollars, Weekly, Seasonally Adjusted]]-B2240)/B2240</f>
        <v/>
      </c>
      <c r="E2243" s="24">
        <f>AVERAGE(B2240:B2243)</f>
        <v/>
      </c>
      <c r="F2243" s="32">
        <f>(Table2634[[#This Row],[4 weeks average]]-B2191)/B2191</f>
        <v/>
      </c>
    </row>
    <row r="2244">
      <c r="A2244" s="33" t="n">
        <v>43066</v>
      </c>
      <c r="B2244" s="24">
        <f>VLOOKUP(Table2634[[#This Row],[Date]],'DB Money Supply'!$A:$D,4)</f>
        <v/>
      </c>
      <c r="C2244" s="30">
        <f>(Table2634[[#This Row],[M1 Money Stock, Billions of Dollars, Weekly, Seasonally Adjusted]]-B2243)/B2243</f>
        <v/>
      </c>
      <c r="D2244" s="34">
        <f>(Table2634[[#This Row],[M1 Money Stock, Billions of Dollars, Weekly, Seasonally Adjusted]]-B2241)/B2241</f>
        <v/>
      </c>
      <c r="E2244" s="24">
        <f>AVERAGE(B2241:B2244)</f>
        <v/>
      </c>
      <c r="F2244" s="32">
        <f>(Table2634[[#This Row],[4 weeks average]]-B2192)/B2192</f>
        <v/>
      </c>
    </row>
    <row r="2245">
      <c r="A2245" s="33" t="n">
        <v>43073</v>
      </c>
      <c r="B2245" s="24">
        <f>VLOOKUP(Table2634[[#This Row],[Date]],'DB Money Supply'!$A:$D,4)</f>
        <v/>
      </c>
      <c r="C2245" s="30">
        <f>(Table2634[[#This Row],[M1 Money Stock, Billions of Dollars, Weekly, Seasonally Adjusted]]-B2244)/B2244</f>
        <v/>
      </c>
      <c r="D2245" s="34">
        <f>(Table2634[[#This Row],[M1 Money Stock, Billions of Dollars, Weekly, Seasonally Adjusted]]-B2242)/B2242</f>
        <v/>
      </c>
      <c r="E2245" s="24">
        <f>AVERAGE(B2242:B2245)</f>
        <v/>
      </c>
      <c r="F2245" s="32">
        <f>(Table2634[[#This Row],[4 weeks average]]-B2193)/B2193</f>
        <v/>
      </c>
    </row>
    <row r="2246">
      <c r="A2246" s="33" t="n">
        <v>43080</v>
      </c>
      <c r="B2246" s="24">
        <f>VLOOKUP(Table2634[[#This Row],[Date]],'DB Money Supply'!$A:$D,4)</f>
        <v/>
      </c>
      <c r="C2246" s="30">
        <f>(Table2634[[#This Row],[M1 Money Stock, Billions of Dollars, Weekly, Seasonally Adjusted]]-B2245)/B2245</f>
        <v/>
      </c>
      <c r="D2246" s="34">
        <f>(Table2634[[#This Row],[M1 Money Stock, Billions of Dollars, Weekly, Seasonally Adjusted]]-B2243)/B2243</f>
        <v/>
      </c>
      <c r="E2246" s="24">
        <f>AVERAGE(B2243:B2246)</f>
        <v/>
      </c>
      <c r="F2246" s="32">
        <f>(Table2634[[#This Row],[4 weeks average]]-B2194)/B2194</f>
        <v/>
      </c>
    </row>
    <row r="2247">
      <c r="A2247" s="33" t="n">
        <v>43087</v>
      </c>
      <c r="B2247" s="24">
        <f>VLOOKUP(Table2634[[#This Row],[Date]],'DB Money Supply'!$A:$D,4)</f>
        <v/>
      </c>
      <c r="C2247" s="30">
        <f>(Table2634[[#This Row],[M1 Money Stock, Billions of Dollars, Weekly, Seasonally Adjusted]]-B2246)/B2246</f>
        <v/>
      </c>
      <c r="D2247" s="34">
        <f>(Table2634[[#This Row],[M1 Money Stock, Billions of Dollars, Weekly, Seasonally Adjusted]]-B2244)/B2244</f>
        <v/>
      </c>
      <c r="E2247" s="24">
        <f>AVERAGE(B2244:B2247)</f>
        <v/>
      </c>
      <c r="F2247" s="32">
        <f>(Table2634[[#This Row],[4 weeks average]]-B2195)/B2195</f>
        <v/>
      </c>
    </row>
    <row r="2248">
      <c r="A2248" s="33" t="n">
        <v>43094</v>
      </c>
      <c r="B2248" s="24">
        <f>VLOOKUP(Table2634[[#This Row],[Date]],'DB Money Supply'!$A:$D,4)</f>
        <v/>
      </c>
      <c r="C2248" s="30">
        <f>(Table2634[[#This Row],[M1 Money Stock, Billions of Dollars, Weekly, Seasonally Adjusted]]-B2247)/B2247</f>
        <v/>
      </c>
      <c r="D2248" s="34">
        <f>(Table2634[[#This Row],[M1 Money Stock, Billions of Dollars, Weekly, Seasonally Adjusted]]-B2245)/B2245</f>
        <v/>
      </c>
      <c r="E2248" s="24">
        <f>AVERAGE(B2245:B2248)</f>
        <v/>
      </c>
      <c r="F2248" s="32">
        <f>(Table2634[[#This Row],[4 weeks average]]-B2196)/B2196</f>
        <v/>
      </c>
    </row>
    <row r="2249">
      <c r="A2249" s="33" t="n">
        <v>43101</v>
      </c>
      <c r="B2249" s="24">
        <f>VLOOKUP(Table2634[[#This Row],[Date]],'DB Money Supply'!$A:$D,4)</f>
        <v/>
      </c>
      <c r="C2249" s="30">
        <f>(Table2634[[#This Row],[M1 Money Stock, Billions of Dollars, Weekly, Seasonally Adjusted]]-B2248)/B2248</f>
        <v/>
      </c>
      <c r="D2249" s="34">
        <f>(Table2634[[#This Row],[M1 Money Stock, Billions of Dollars, Weekly, Seasonally Adjusted]]-B2246)/B2246</f>
        <v/>
      </c>
      <c r="E2249" s="24">
        <f>AVERAGE(B2246:B2249)</f>
        <v/>
      </c>
      <c r="F2249" s="32">
        <f>(Table2634[[#This Row],[4 weeks average]]-B2197)/B2197</f>
        <v/>
      </c>
    </row>
    <row r="2250">
      <c r="A2250" s="33" t="n">
        <v>43108</v>
      </c>
      <c r="B2250" s="24">
        <f>VLOOKUP(Table2634[[#This Row],[Date]],'DB Money Supply'!$A:$D,4)</f>
        <v/>
      </c>
      <c r="C2250" s="30">
        <f>(Table2634[[#This Row],[M1 Money Stock, Billions of Dollars, Weekly, Seasonally Adjusted]]-B2249)/B2249</f>
        <v/>
      </c>
      <c r="D2250" s="34">
        <f>(Table2634[[#This Row],[M1 Money Stock, Billions of Dollars, Weekly, Seasonally Adjusted]]-B2247)/B2247</f>
        <v/>
      </c>
      <c r="E2250" s="24">
        <f>AVERAGE(B2247:B2250)</f>
        <v/>
      </c>
      <c r="F2250" s="32">
        <f>(Table2634[[#This Row],[4 weeks average]]-B2198)/B2198</f>
        <v/>
      </c>
    </row>
    <row r="2251">
      <c r="A2251" s="33" t="n">
        <v>43115</v>
      </c>
      <c r="B2251" s="24">
        <f>VLOOKUP(Table2634[[#This Row],[Date]],'DB Money Supply'!$A:$D,4)</f>
        <v/>
      </c>
      <c r="C2251" s="30">
        <f>(Table2634[[#This Row],[M1 Money Stock, Billions of Dollars, Weekly, Seasonally Adjusted]]-B2250)/B2250</f>
        <v/>
      </c>
      <c r="D2251" s="34">
        <f>(Table2634[[#This Row],[M1 Money Stock, Billions of Dollars, Weekly, Seasonally Adjusted]]-B2248)/B2248</f>
        <v/>
      </c>
      <c r="E2251" s="24">
        <f>AVERAGE(B2248:B2251)</f>
        <v/>
      </c>
      <c r="F2251" s="32">
        <f>(Table2634[[#This Row],[4 weeks average]]-B2199)/B2199</f>
        <v/>
      </c>
    </row>
    <row r="2252">
      <c r="A2252" s="33" t="n">
        <v>43122</v>
      </c>
      <c r="B2252" s="24">
        <f>VLOOKUP(Table2634[[#This Row],[Date]],'DB Money Supply'!$A:$D,4)</f>
        <v/>
      </c>
      <c r="C2252" s="30">
        <f>(Table2634[[#This Row],[M1 Money Stock, Billions of Dollars, Weekly, Seasonally Adjusted]]-B2251)/B2251</f>
        <v/>
      </c>
      <c r="D2252" s="34">
        <f>(Table2634[[#This Row],[M1 Money Stock, Billions of Dollars, Weekly, Seasonally Adjusted]]-B2249)/B2249</f>
        <v/>
      </c>
      <c r="E2252" s="24">
        <f>AVERAGE(B2249:B2252)</f>
        <v/>
      </c>
      <c r="F2252" s="32">
        <f>(Table2634[[#This Row],[4 weeks average]]-B2200)/B2200</f>
        <v/>
      </c>
    </row>
    <row r="2253">
      <c r="A2253" s="33" t="n">
        <v>43129</v>
      </c>
      <c r="B2253" s="24">
        <f>VLOOKUP(Table2634[[#This Row],[Date]],'DB Money Supply'!$A:$D,4)</f>
        <v/>
      </c>
      <c r="C2253" s="30">
        <f>(Table2634[[#This Row],[M1 Money Stock, Billions of Dollars, Weekly, Seasonally Adjusted]]-B2252)/B2252</f>
        <v/>
      </c>
      <c r="D2253" s="34">
        <f>(Table2634[[#This Row],[M1 Money Stock, Billions of Dollars, Weekly, Seasonally Adjusted]]-B2250)/B2250</f>
        <v/>
      </c>
      <c r="E2253" s="24">
        <f>AVERAGE(B2250:B2253)</f>
        <v/>
      </c>
      <c r="F2253" s="32">
        <f>(Table2634[[#This Row],[4 weeks average]]-B2201)/B2201</f>
        <v/>
      </c>
    </row>
    <row r="2254">
      <c r="A2254" s="33" t="n">
        <v>43136</v>
      </c>
      <c r="B2254" s="24">
        <f>VLOOKUP(Table2634[[#This Row],[Date]],'DB Money Supply'!$A:$D,4)</f>
        <v/>
      </c>
      <c r="C2254" s="30">
        <f>(Table2634[[#This Row],[M1 Money Stock, Billions of Dollars, Weekly, Seasonally Adjusted]]-B2253)/B2253</f>
        <v/>
      </c>
      <c r="D2254" s="34">
        <f>(Table2634[[#This Row],[M1 Money Stock, Billions of Dollars, Weekly, Seasonally Adjusted]]-B2251)/B2251</f>
        <v/>
      </c>
      <c r="E2254" s="24">
        <f>AVERAGE(B2251:B2254)</f>
        <v/>
      </c>
      <c r="F2254" s="32">
        <f>(Table2634[[#This Row],[4 weeks average]]-B2202)/B2202</f>
        <v/>
      </c>
    </row>
    <row r="2255">
      <c r="A2255" s="33" t="n">
        <v>43143</v>
      </c>
      <c r="B2255" s="24">
        <f>VLOOKUP(Table2634[[#This Row],[Date]],'DB Money Supply'!$A:$D,4)</f>
        <v/>
      </c>
      <c r="C2255" s="30">
        <f>(Table2634[[#This Row],[M1 Money Stock, Billions of Dollars, Weekly, Seasonally Adjusted]]-B2254)/B2254</f>
        <v/>
      </c>
      <c r="D2255" s="34">
        <f>(Table2634[[#This Row],[M1 Money Stock, Billions of Dollars, Weekly, Seasonally Adjusted]]-B2252)/B2252</f>
        <v/>
      </c>
      <c r="E2255" s="24">
        <f>AVERAGE(B2252:B2255)</f>
        <v/>
      </c>
      <c r="F2255" s="32">
        <f>(Table2634[[#This Row],[4 weeks average]]-B2203)/B2203</f>
        <v/>
      </c>
    </row>
    <row r="2256">
      <c r="A2256" s="33" t="n">
        <v>43150</v>
      </c>
      <c r="B2256" s="24">
        <f>VLOOKUP(Table2634[[#This Row],[Date]],'DB Money Supply'!$A:$D,4)</f>
        <v/>
      </c>
      <c r="C2256" s="30">
        <f>(Table2634[[#This Row],[M1 Money Stock, Billions of Dollars, Weekly, Seasonally Adjusted]]-B2255)/B2255</f>
        <v/>
      </c>
      <c r="D2256" s="34">
        <f>(Table2634[[#This Row],[M1 Money Stock, Billions of Dollars, Weekly, Seasonally Adjusted]]-B2253)/B2253</f>
        <v/>
      </c>
      <c r="E2256" s="24">
        <f>AVERAGE(B2253:B2256)</f>
        <v/>
      </c>
      <c r="F2256" s="32">
        <f>(Table2634[[#This Row],[4 weeks average]]-B2204)/B2204</f>
        <v/>
      </c>
    </row>
    <row r="2257">
      <c r="A2257" s="33" t="n">
        <v>43157</v>
      </c>
      <c r="B2257" s="24">
        <f>VLOOKUP(Table2634[[#This Row],[Date]],'DB Money Supply'!$A:$D,4)</f>
        <v/>
      </c>
      <c r="C2257" s="30">
        <f>(Table2634[[#This Row],[M1 Money Stock, Billions of Dollars, Weekly, Seasonally Adjusted]]-B2256)/B2256</f>
        <v/>
      </c>
      <c r="D2257" s="34">
        <f>(Table2634[[#This Row],[M1 Money Stock, Billions of Dollars, Weekly, Seasonally Adjusted]]-B2254)/B2254</f>
        <v/>
      </c>
      <c r="E2257" s="24">
        <f>AVERAGE(B2254:B2257)</f>
        <v/>
      </c>
      <c r="F2257" s="32">
        <f>(Table2634[[#This Row],[4 weeks average]]-B2205)/B2205</f>
        <v/>
      </c>
    </row>
    <row r="2258">
      <c r="A2258" s="33" t="n">
        <v>43164</v>
      </c>
      <c r="B2258" s="24">
        <f>VLOOKUP(Table2634[[#This Row],[Date]],'DB Money Supply'!$A:$D,4)</f>
        <v/>
      </c>
      <c r="C2258" s="30">
        <f>(Table2634[[#This Row],[M1 Money Stock, Billions of Dollars, Weekly, Seasonally Adjusted]]-B2257)/B2257</f>
        <v/>
      </c>
      <c r="D2258" s="34">
        <f>(Table2634[[#This Row],[M1 Money Stock, Billions of Dollars, Weekly, Seasonally Adjusted]]-B2255)/B2255</f>
        <v/>
      </c>
      <c r="E2258" s="24">
        <f>AVERAGE(B2255:B2258)</f>
        <v/>
      </c>
      <c r="F2258" s="32">
        <f>(Table2634[[#This Row],[4 weeks average]]-B2206)/B2206</f>
        <v/>
      </c>
    </row>
    <row r="2259">
      <c r="A2259" s="33" t="n">
        <v>43171</v>
      </c>
      <c r="B2259" s="24">
        <f>VLOOKUP(Table2634[[#This Row],[Date]],'DB Money Supply'!$A:$D,4)</f>
        <v/>
      </c>
      <c r="C2259" s="30">
        <f>(Table2634[[#This Row],[M1 Money Stock, Billions of Dollars, Weekly, Seasonally Adjusted]]-B2258)/B2258</f>
        <v/>
      </c>
      <c r="D2259" s="34">
        <f>(Table2634[[#This Row],[M1 Money Stock, Billions of Dollars, Weekly, Seasonally Adjusted]]-B2256)/B2256</f>
        <v/>
      </c>
      <c r="E2259" s="24">
        <f>AVERAGE(B2256:B2259)</f>
        <v/>
      </c>
      <c r="F2259" s="32">
        <f>(Table2634[[#This Row],[4 weeks average]]-B2207)/B2207</f>
        <v/>
      </c>
    </row>
    <row r="2260">
      <c r="A2260" s="33" t="n">
        <v>43178</v>
      </c>
      <c r="B2260" s="24">
        <f>VLOOKUP(Table2634[[#This Row],[Date]],'DB Money Supply'!$A:$D,4)</f>
        <v/>
      </c>
      <c r="C2260" s="30">
        <f>(Table2634[[#This Row],[M1 Money Stock, Billions of Dollars, Weekly, Seasonally Adjusted]]-B2259)/B2259</f>
        <v/>
      </c>
      <c r="D2260" s="34">
        <f>(Table2634[[#This Row],[M1 Money Stock, Billions of Dollars, Weekly, Seasonally Adjusted]]-B2257)/B2257</f>
        <v/>
      </c>
      <c r="E2260" s="24">
        <f>AVERAGE(B2257:B2260)</f>
        <v/>
      </c>
      <c r="F2260" s="32">
        <f>(Table2634[[#This Row],[4 weeks average]]-B2208)/B2208</f>
        <v/>
      </c>
    </row>
    <row r="2261">
      <c r="A2261" s="33" t="n">
        <v>43185</v>
      </c>
      <c r="B2261" s="24">
        <f>VLOOKUP(Table2634[[#This Row],[Date]],'DB Money Supply'!$A:$D,4)</f>
        <v/>
      </c>
      <c r="C2261" s="30">
        <f>(Table2634[[#This Row],[M1 Money Stock, Billions of Dollars, Weekly, Seasonally Adjusted]]-B2260)/B2260</f>
        <v/>
      </c>
      <c r="D2261" s="34">
        <f>(Table2634[[#This Row],[M1 Money Stock, Billions of Dollars, Weekly, Seasonally Adjusted]]-B2258)/B2258</f>
        <v/>
      </c>
      <c r="E2261" s="24">
        <f>AVERAGE(B2258:B2261)</f>
        <v/>
      </c>
      <c r="F2261" s="32">
        <f>(Table2634[[#This Row],[4 weeks average]]-B2209)/B2209</f>
        <v/>
      </c>
    </row>
    <row r="2262">
      <c r="A2262" s="33" t="n">
        <v>43192</v>
      </c>
      <c r="B2262" s="24">
        <f>VLOOKUP(Table2634[[#This Row],[Date]],'DB Money Supply'!$A:$D,4)</f>
        <v/>
      </c>
      <c r="C2262" s="30">
        <f>(Table2634[[#This Row],[M1 Money Stock, Billions of Dollars, Weekly, Seasonally Adjusted]]-B2261)/B2261</f>
        <v/>
      </c>
      <c r="D2262" s="34">
        <f>(Table2634[[#This Row],[M1 Money Stock, Billions of Dollars, Weekly, Seasonally Adjusted]]-B2259)/B2259</f>
        <v/>
      </c>
      <c r="E2262" s="24">
        <f>AVERAGE(B2259:B2262)</f>
        <v/>
      </c>
      <c r="F2262" s="32">
        <f>(Table2634[[#This Row],[4 weeks average]]-B2210)/B2210</f>
        <v/>
      </c>
    </row>
    <row r="2263">
      <c r="A2263" s="33" t="n">
        <v>43199</v>
      </c>
      <c r="B2263" s="24">
        <f>VLOOKUP(Table2634[[#This Row],[Date]],'DB Money Supply'!$A:$D,4)</f>
        <v/>
      </c>
      <c r="C2263" s="30">
        <f>(Table2634[[#This Row],[M1 Money Stock, Billions of Dollars, Weekly, Seasonally Adjusted]]-B2262)/B2262</f>
        <v/>
      </c>
      <c r="D2263" s="34">
        <f>(Table2634[[#This Row],[M1 Money Stock, Billions of Dollars, Weekly, Seasonally Adjusted]]-B2260)/B2260</f>
        <v/>
      </c>
      <c r="E2263" s="24">
        <f>AVERAGE(B2260:B2263)</f>
        <v/>
      </c>
      <c r="F2263" s="32">
        <f>(Table2634[[#This Row],[4 weeks average]]-B2211)/B2211</f>
        <v/>
      </c>
    </row>
    <row r="2264">
      <c r="A2264" s="33" t="n">
        <v>43206</v>
      </c>
      <c r="B2264" s="24">
        <f>VLOOKUP(Table2634[[#This Row],[Date]],'DB Money Supply'!$A:$D,4)</f>
        <v/>
      </c>
      <c r="C2264" s="30">
        <f>(Table2634[[#This Row],[M1 Money Stock, Billions of Dollars, Weekly, Seasonally Adjusted]]-B2263)/B2263</f>
        <v/>
      </c>
      <c r="D2264" s="34">
        <f>(Table2634[[#This Row],[M1 Money Stock, Billions of Dollars, Weekly, Seasonally Adjusted]]-B2261)/B2261</f>
        <v/>
      </c>
      <c r="E2264" s="24">
        <f>AVERAGE(B2261:B2264)</f>
        <v/>
      </c>
      <c r="F2264" s="32">
        <f>(Table2634[[#This Row],[4 weeks average]]-B2212)/B2212</f>
        <v/>
      </c>
    </row>
    <row r="2265">
      <c r="A2265" s="33" t="n">
        <v>43213</v>
      </c>
      <c r="B2265" s="24">
        <f>VLOOKUP(Table2634[[#This Row],[Date]],'DB Money Supply'!$A:$D,4)</f>
        <v/>
      </c>
      <c r="C2265" s="30">
        <f>(Table2634[[#This Row],[M1 Money Stock, Billions of Dollars, Weekly, Seasonally Adjusted]]-B2264)/B2264</f>
        <v/>
      </c>
      <c r="D2265" s="34">
        <f>(Table2634[[#This Row],[M1 Money Stock, Billions of Dollars, Weekly, Seasonally Adjusted]]-B2262)/B2262</f>
        <v/>
      </c>
      <c r="E2265" s="24">
        <f>AVERAGE(B2262:B2265)</f>
        <v/>
      </c>
      <c r="F2265" s="32">
        <f>(Table2634[[#This Row],[4 weeks average]]-B2213)/B2213</f>
        <v/>
      </c>
    </row>
    <row r="2266">
      <c r="A2266" s="33" t="n">
        <v>43220</v>
      </c>
      <c r="B2266" s="24">
        <f>VLOOKUP(Table2634[[#This Row],[Date]],'DB Money Supply'!$A:$D,4)</f>
        <v/>
      </c>
      <c r="C2266" s="30">
        <f>(Table2634[[#This Row],[M1 Money Stock, Billions of Dollars, Weekly, Seasonally Adjusted]]-B2265)/B2265</f>
        <v/>
      </c>
      <c r="D2266" s="34">
        <f>(Table2634[[#This Row],[M1 Money Stock, Billions of Dollars, Weekly, Seasonally Adjusted]]-B2263)/B2263</f>
        <v/>
      </c>
      <c r="E2266" s="24">
        <f>AVERAGE(B2263:B2266)</f>
        <v/>
      </c>
      <c r="F2266" s="32">
        <f>(Table2634[[#This Row],[4 weeks average]]-B2214)/B2214</f>
        <v/>
      </c>
    </row>
    <row r="2267">
      <c r="A2267" s="33" t="n">
        <v>43227</v>
      </c>
      <c r="B2267" s="24">
        <f>VLOOKUP(Table2634[[#This Row],[Date]],'DB Money Supply'!$A:$D,4)</f>
        <v/>
      </c>
      <c r="C2267" s="30">
        <f>(Table2634[[#This Row],[M1 Money Stock, Billions of Dollars, Weekly, Seasonally Adjusted]]-B2266)/B2266</f>
        <v/>
      </c>
      <c r="D2267" s="34">
        <f>(Table2634[[#This Row],[M1 Money Stock, Billions of Dollars, Weekly, Seasonally Adjusted]]-B2264)/B2264</f>
        <v/>
      </c>
      <c r="E2267" s="24">
        <f>AVERAGE(B2264:B2267)</f>
        <v/>
      </c>
      <c r="F2267" s="32">
        <f>(Table2634[[#This Row],[4 weeks average]]-B2215)/B2215</f>
        <v/>
      </c>
    </row>
    <row r="2268">
      <c r="A2268" s="33" t="n">
        <v>43234</v>
      </c>
      <c r="B2268" s="24">
        <f>VLOOKUP(Table2634[[#This Row],[Date]],'DB Money Supply'!$A:$D,4)</f>
        <v/>
      </c>
      <c r="C2268" s="30">
        <f>(Table2634[[#This Row],[M1 Money Stock, Billions of Dollars, Weekly, Seasonally Adjusted]]-B2267)/B2267</f>
        <v/>
      </c>
      <c r="D2268" s="34">
        <f>(Table2634[[#This Row],[M1 Money Stock, Billions of Dollars, Weekly, Seasonally Adjusted]]-B2265)/B2265</f>
        <v/>
      </c>
      <c r="E2268" s="24">
        <f>AVERAGE(B2265:B2268)</f>
        <v/>
      </c>
      <c r="F2268" s="32">
        <f>(Table2634[[#This Row],[4 weeks average]]-B2216)/B2216</f>
        <v/>
      </c>
    </row>
    <row r="2269">
      <c r="A2269" s="33" t="n">
        <v>43241</v>
      </c>
      <c r="B2269" s="24">
        <f>VLOOKUP(Table2634[[#This Row],[Date]],'DB Money Supply'!$A:$D,4)</f>
        <v/>
      </c>
      <c r="C2269" s="30">
        <f>(Table2634[[#This Row],[M1 Money Stock, Billions of Dollars, Weekly, Seasonally Adjusted]]-B2268)/B2268</f>
        <v/>
      </c>
      <c r="D2269" s="34">
        <f>(Table2634[[#This Row],[M1 Money Stock, Billions of Dollars, Weekly, Seasonally Adjusted]]-B2266)/B2266</f>
        <v/>
      </c>
      <c r="E2269" s="24">
        <f>AVERAGE(B2266:B2269)</f>
        <v/>
      </c>
      <c r="F2269" s="32">
        <f>(Table2634[[#This Row],[4 weeks average]]-B2217)/B2217</f>
        <v/>
      </c>
    </row>
    <row r="2270">
      <c r="A2270" s="33" t="n">
        <v>43248</v>
      </c>
      <c r="B2270" s="24">
        <f>VLOOKUP(Table2634[[#This Row],[Date]],'DB Money Supply'!$A:$D,4)</f>
        <v/>
      </c>
      <c r="C2270" s="30">
        <f>(Table2634[[#This Row],[M1 Money Stock, Billions of Dollars, Weekly, Seasonally Adjusted]]-B2269)/B2269</f>
        <v/>
      </c>
      <c r="D2270" s="34">
        <f>(Table2634[[#This Row],[M1 Money Stock, Billions of Dollars, Weekly, Seasonally Adjusted]]-B2267)/B2267</f>
        <v/>
      </c>
      <c r="E2270" s="24">
        <f>AVERAGE(B2267:B2270)</f>
        <v/>
      </c>
      <c r="F2270" s="32">
        <f>(Table2634[[#This Row],[4 weeks average]]-B2218)/B2218</f>
        <v/>
      </c>
    </row>
    <row r="2271">
      <c r="A2271" s="33" t="n">
        <v>43255</v>
      </c>
      <c r="B2271" s="24">
        <f>VLOOKUP(Table2634[[#This Row],[Date]],'DB Money Supply'!$A:$D,4)</f>
        <v/>
      </c>
      <c r="C2271" s="30">
        <f>(Table2634[[#This Row],[M1 Money Stock, Billions of Dollars, Weekly, Seasonally Adjusted]]-B2270)/B2270</f>
        <v/>
      </c>
      <c r="D2271" s="34">
        <f>(Table2634[[#This Row],[M1 Money Stock, Billions of Dollars, Weekly, Seasonally Adjusted]]-B2268)/B2268</f>
        <v/>
      </c>
      <c r="E2271" s="24">
        <f>AVERAGE(B2268:B2271)</f>
        <v/>
      </c>
      <c r="F2271" s="32">
        <f>(Table2634[[#This Row],[4 weeks average]]-B2219)/B2219</f>
        <v/>
      </c>
    </row>
    <row r="2272">
      <c r="A2272" s="33" t="n">
        <v>43262</v>
      </c>
      <c r="B2272" s="24">
        <f>VLOOKUP(Table2634[[#This Row],[Date]],'DB Money Supply'!$A:$D,4)</f>
        <v/>
      </c>
      <c r="C2272" s="30">
        <f>(Table2634[[#This Row],[M1 Money Stock, Billions of Dollars, Weekly, Seasonally Adjusted]]-B2271)/B2271</f>
        <v/>
      </c>
      <c r="D2272" s="34">
        <f>(Table2634[[#This Row],[M1 Money Stock, Billions of Dollars, Weekly, Seasonally Adjusted]]-B2269)/B2269</f>
        <v/>
      </c>
      <c r="E2272" s="24">
        <f>AVERAGE(B2269:B2272)</f>
        <v/>
      </c>
      <c r="F2272" s="32">
        <f>(Table2634[[#This Row],[4 weeks average]]-B2220)/B2220</f>
        <v/>
      </c>
    </row>
    <row r="2273">
      <c r="A2273" s="33" t="n">
        <v>43269</v>
      </c>
      <c r="B2273" s="24">
        <f>VLOOKUP(Table2634[[#This Row],[Date]],'DB Money Supply'!$A:$D,4)</f>
        <v/>
      </c>
      <c r="C2273" s="30">
        <f>(Table2634[[#This Row],[M1 Money Stock, Billions of Dollars, Weekly, Seasonally Adjusted]]-B2272)/B2272</f>
        <v/>
      </c>
      <c r="D2273" s="34">
        <f>(Table2634[[#This Row],[M1 Money Stock, Billions of Dollars, Weekly, Seasonally Adjusted]]-B2270)/B2270</f>
        <v/>
      </c>
      <c r="E2273" s="24">
        <f>AVERAGE(B2270:B2273)</f>
        <v/>
      </c>
      <c r="F2273" s="32">
        <f>(Table2634[[#This Row],[4 weeks average]]-B2221)/B2221</f>
        <v/>
      </c>
    </row>
    <row r="2274">
      <c r="A2274" s="33" t="n">
        <v>43276</v>
      </c>
      <c r="B2274" s="24">
        <f>VLOOKUP(Table2634[[#This Row],[Date]],'DB Money Supply'!$A:$D,4)</f>
        <v/>
      </c>
      <c r="C2274" s="30">
        <f>(Table2634[[#This Row],[M1 Money Stock, Billions of Dollars, Weekly, Seasonally Adjusted]]-B2273)/B2273</f>
        <v/>
      </c>
      <c r="D2274" s="34">
        <f>(Table2634[[#This Row],[M1 Money Stock, Billions of Dollars, Weekly, Seasonally Adjusted]]-B2271)/B2271</f>
        <v/>
      </c>
      <c r="E2274" s="24">
        <f>AVERAGE(B2271:B2274)</f>
        <v/>
      </c>
      <c r="F2274" s="32">
        <f>(Table2634[[#This Row],[4 weeks average]]-B2222)/B2222</f>
        <v/>
      </c>
    </row>
    <row r="2275">
      <c r="A2275" s="33" t="n">
        <v>43283</v>
      </c>
      <c r="B2275" s="24">
        <f>VLOOKUP(Table2634[[#This Row],[Date]],'DB Money Supply'!$A:$D,4)</f>
        <v/>
      </c>
      <c r="C2275" s="30">
        <f>(Table2634[[#This Row],[M1 Money Stock, Billions of Dollars, Weekly, Seasonally Adjusted]]-B2274)/B2274</f>
        <v/>
      </c>
      <c r="D2275" s="34">
        <f>(Table2634[[#This Row],[M1 Money Stock, Billions of Dollars, Weekly, Seasonally Adjusted]]-B2272)/B2272</f>
        <v/>
      </c>
      <c r="E2275" s="24">
        <f>AVERAGE(B2272:B2275)</f>
        <v/>
      </c>
      <c r="F2275" s="32">
        <f>(Table2634[[#This Row],[4 weeks average]]-B2223)/B2223</f>
        <v/>
      </c>
    </row>
    <row r="2276">
      <c r="A2276" s="33" t="n">
        <v>43290</v>
      </c>
      <c r="B2276" s="24">
        <f>VLOOKUP(Table2634[[#This Row],[Date]],'DB Money Supply'!$A:$D,4)</f>
        <v/>
      </c>
      <c r="C2276" s="30">
        <f>(Table2634[[#This Row],[M1 Money Stock, Billions of Dollars, Weekly, Seasonally Adjusted]]-B2275)/B2275</f>
        <v/>
      </c>
      <c r="D2276" s="34">
        <f>(Table2634[[#This Row],[M1 Money Stock, Billions of Dollars, Weekly, Seasonally Adjusted]]-B2273)/B2273</f>
        <v/>
      </c>
      <c r="E2276" s="24">
        <f>AVERAGE(B2273:B2276)</f>
        <v/>
      </c>
      <c r="F2276" s="32">
        <f>(Table2634[[#This Row],[4 weeks average]]-B2224)/B2224</f>
        <v/>
      </c>
    </row>
    <row r="2277">
      <c r="A2277" s="33" t="n">
        <v>43297</v>
      </c>
      <c r="B2277" s="24">
        <f>VLOOKUP(Table2634[[#This Row],[Date]],'DB Money Supply'!$A:$D,4)</f>
        <v/>
      </c>
      <c r="C2277" s="30">
        <f>(Table2634[[#This Row],[M1 Money Stock, Billions of Dollars, Weekly, Seasonally Adjusted]]-B2276)/B2276</f>
        <v/>
      </c>
      <c r="D2277" s="34">
        <f>(Table2634[[#This Row],[M1 Money Stock, Billions of Dollars, Weekly, Seasonally Adjusted]]-B2274)/B2274</f>
        <v/>
      </c>
      <c r="E2277" s="24">
        <f>AVERAGE(B2274:B2277)</f>
        <v/>
      </c>
      <c r="F2277" s="32">
        <f>(Table2634[[#This Row],[4 weeks average]]-B2225)/B2225</f>
        <v/>
      </c>
    </row>
    <row r="2278">
      <c r="A2278" s="33" t="n">
        <v>43304</v>
      </c>
      <c r="B2278" s="24">
        <f>VLOOKUP(Table2634[[#This Row],[Date]],'DB Money Supply'!$A:$D,4)</f>
        <v/>
      </c>
      <c r="C2278" s="30">
        <f>(Table2634[[#This Row],[M1 Money Stock, Billions of Dollars, Weekly, Seasonally Adjusted]]-B2277)/B2277</f>
        <v/>
      </c>
      <c r="D2278" s="34">
        <f>(Table2634[[#This Row],[M1 Money Stock, Billions of Dollars, Weekly, Seasonally Adjusted]]-B2275)/B2275</f>
        <v/>
      </c>
      <c r="E2278" s="24">
        <f>AVERAGE(B2275:B2278)</f>
        <v/>
      </c>
      <c r="F2278" s="32">
        <f>(Table2634[[#This Row],[4 weeks average]]-B2226)/B2226</f>
        <v/>
      </c>
    </row>
    <row r="2279">
      <c r="A2279" s="33" t="n">
        <v>43311</v>
      </c>
      <c r="B2279" s="24">
        <f>VLOOKUP(Table2634[[#This Row],[Date]],'DB Money Supply'!$A:$D,4)</f>
        <v/>
      </c>
      <c r="C2279" s="30">
        <f>(Table2634[[#This Row],[M1 Money Stock, Billions of Dollars, Weekly, Seasonally Adjusted]]-B2278)/B2278</f>
        <v/>
      </c>
      <c r="D2279" s="34">
        <f>(Table2634[[#This Row],[M1 Money Stock, Billions of Dollars, Weekly, Seasonally Adjusted]]-B2276)/B2276</f>
        <v/>
      </c>
      <c r="E2279" s="24">
        <f>AVERAGE(B2276:B2279)</f>
        <v/>
      </c>
      <c r="F2279" s="32">
        <f>(Table2634[[#This Row],[4 weeks average]]-B2227)/B2227</f>
        <v/>
      </c>
    </row>
    <row r="2280">
      <c r="A2280" s="33" t="n">
        <v>43318</v>
      </c>
      <c r="B2280" s="24">
        <f>VLOOKUP(Table2634[[#This Row],[Date]],'DB Money Supply'!$A:$D,4)</f>
        <v/>
      </c>
      <c r="C2280" s="30">
        <f>(Table2634[[#This Row],[M1 Money Stock, Billions of Dollars, Weekly, Seasonally Adjusted]]-B2279)/B2279</f>
        <v/>
      </c>
      <c r="D2280" s="34">
        <f>(Table2634[[#This Row],[M1 Money Stock, Billions of Dollars, Weekly, Seasonally Adjusted]]-B2277)/B2277</f>
        <v/>
      </c>
      <c r="E2280" s="24">
        <f>AVERAGE(B2277:B2280)</f>
        <v/>
      </c>
      <c r="F2280" s="32">
        <f>(Table2634[[#This Row],[4 weeks average]]-B2228)/B2228</f>
        <v/>
      </c>
    </row>
    <row r="2281">
      <c r="A2281" s="33" t="n">
        <v>43325</v>
      </c>
      <c r="B2281" s="24">
        <f>VLOOKUP(Table2634[[#This Row],[Date]],'DB Money Supply'!$A:$D,4)</f>
        <v/>
      </c>
      <c r="C2281" s="30">
        <f>(Table2634[[#This Row],[M1 Money Stock, Billions of Dollars, Weekly, Seasonally Adjusted]]-B2280)/B2280</f>
        <v/>
      </c>
      <c r="D2281" s="34">
        <f>(Table2634[[#This Row],[M1 Money Stock, Billions of Dollars, Weekly, Seasonally Adjusted]]-B2278)/B2278</f>
        <v/>
      </c>
      <c r="E2281" s="24">
        <f>AVERAGE(B2278:B2281)</f>
        <v/>
      </c>
      <c r="F2281" s="32">
        <f>(Table2634[[#This Row],[4 weeks average]]-B2229)/B2229</f>
        <v/>
      </c>
    </row>
    <row r="2282">
      <c r="A2282" s="33" t="n">
        <v>43332</v>
      </c>
      <c r="B2282" s="24">
        <f>VLOOKUP(Table2634[[#This Row],[Date]],'DB Money Supply'!$A:$D,4)</f>
        <v/>
      </c>
      <c r="C2282" s="30">
        <f>(Table2634[[#This Row],[M1 Money Stock, Billions of Dollars, Weekly, Seasonally Adjusted]]-B2281)/B2281</f>
        <v/>
      </c>
      <c r="D2282" s="34">
        <f>(Table2634[[#This Row],[M1 Money Stock, Billions of Dollars, Weekly, Seasonally Adjusted]]-B2279)/B2279</f>
        <v/>
      </c>
      <c r="E2282" s="24">
        <f>AVERAGE(B2279:B2282)</f>
        <v/>
      </c>
      <c r="F2282" s="32">
        <f>(Table2634[[#This Row],[4 weeks average]]-B2230)/B2230</f>
        <v/>
      </c>
    </row>
    <row r="2283">
      <c r="A2283" s="33" t="n">
        <v>43339</v>
      </c>
      <c r="B2283" s="24">
        <f>VLOOKUP(Table2634[[#This Row],[Date]],'DB Money Supply'!$A:$D,4)</f>
        <v/>
      </c>
      <c r="C2283" s="30">
        <f>(Table2634[[#This Row],[M1 Money Stock, Billions of Dollars, Weekly, Seasonally Adjusted]]-B2282)/B2282</f>
        <v/>
      </c>
      <c r="D2283" s="34">
        <f>(Table2634[[#This Row],[M1 Money Stock, Billions of Dollars, Weekly, Seasonally Adjusted]]-B2280)/B2280</f>
        <v/>
      </c>
      <c r="E2283" s="24">
        <f>AVERAGE(B2280:B2283)</f>
        <v/>
      </c>
      <c r="F2283" s="32">
        <f>(Table2634[[#This Row],[4 weeks average]]-B2231)/B2231</f>
        <v/>
      </c>
    </row>
    <row r="2284">
      <c r="A2284" s="33" t="n">
        <v>43346</v>
      </c>
      <c r="B2284" s="24">
        <f>VLOOKUP(Table2634[[#This Row],[Date]],'DB Money Supply'!$A:$D,4)</f>
        <v/>
      </c>
      <c r="C2284" s="30">
        <f>(Table2634[[#This Row],[M1 Money Stock, Billions of Dollars, Weekly, Seasonally Adjusted]]-B2283)/B2283</f>
        <v/>
      </c>
      <c r="D2284" s="34">
        <f>(Table2634[[#This Row],[M1 Money Stock, Billions of Dollars, Weekly, Seasonally Adjusted]]-B2281)/B2281</f>
        <v/>
      </c>
      <c r="E2284" s="24">
        <f>AVERAGE(B2281:B2284)</f>
        <v/>
      </c>
      <c r="F2284" s="32">
        <f>(Table2634[[#This Row],[4 weeks average]]-B2232)/B2232</f>
        <v/>
      </c>
    </row>
    <row r="2285">
      <c r="A2285" s="33" t="n">
        <v>43353</v>
      </c>
      <c r="B2285" s="24">
        <f>VLOOKUP(Table2634[[#This Row],[Date]],'DB Money Supply'!$A:$D,4)</f>
        <v/>
      </c>
      <c r="C2285" s="30">
        <f>(Table2634[[#This Row],[M1 Money Stock, Billions of Dollars, Weekly, Seasonally Adjusted]]-B2284)/B2284</f>
        <v/>
      </c>
      <c r="D2285" s="34">
        <f>(Table2634[[#This Row],[M1 Money Stock, Billions of Dollars, Weekly, Seasonally Adjusted]]-B2282)/B2282</f>
        <v/>
      </c>
      <c r="E2285" s="24">
        <f>AVERAGE(B2282:B2285)</f>
        <v/>
      </c>
      <c r="F2285" s="32">
        <f>(Table2634[[#This Row],[4 weeks average]]-B2233)/B2233</f>
        <v/>
      </c>
    </row>
    <row r="2286">
      <c r="A2286" s="33" t="n">
        <v>43360</v>
      </c>
      <c r="B2286" s="24">
        <f>VLOOKUP(Table2634[[#This Row],[Date]],'DB Money Supply'!$A:$D,4)</f>
        <v/>
      </c>
      <c r="C2286" s="30">
        <f>(Table2634[[#This Row],[M1 Money Stock, Billions of Dollars, Weekly, Seasonally Adjusted]]-B2285)/B2285</f>
        <v/>
      </c>
      <c r="D2286" s="34">
        <f>(Table2634[[#This Row],[M1 Money Stock, Billions of Dollars, Weekly, Seasonally Adjusted]]-B2283)/B2283</f>
        <v/>
      </c>
      <c r="E2286" s="24">
        <f>AVERAGE(B2283:B2286)</f>
        <v/>
      </c>
      <c r="F2286" s="32">
        <f>(Table2634[[#This Row],[4 weeks average]]-B2234)/B2234</f>
        <v/>
      </c>
    </row>
    <row r="2287">
      <c r="A2287" s="33" t="n">
        <v>43367</v>
      </c>
      <c r="B2287" s="24">
        <f>VLOOKUP(Table2634[[#This Row],[Date]],'DB Money Supply'!$A:$D,4)</f>
        <v/>
      </c>
      <c r="C2287" s="30">
        <f>(Table2634[[#This Row],[M1 Money Stock, Billions of Dollars, Weekly, Seasonally Adjusted]]-B2286)/B2286</f>
        <v/>
      </c>
      <c r="D2287" s="34">
        <f>(Table2634[[#This Row],[M1 Money Stock, Billions of Dollars, Weekly, Seasonally Adjusted]]-B2284)/B2284</f>
        <v/>
      </c>
      <c r="E2287" s="24">
        <f>AVERAGE(B2284:B2287)</f>
        <v/>
      </c>
      <c r="F2287" s="32">
        <f>(Table2634[[#This Row],[4 weeks average]]-B2235)/B2235</f>
        <v/>
      </c>
    </row>
    <row r="2288">
      <c r="A2288" s="33" t="n">
        <v>43374</v>
      </c>
      <c r="B2288" s="24">
        <f>VLOOKUP(Table2634[[#This Row],[Date]],'DB Money Supply'!$A:$D,4)</f>
        <v/>
      </c>
      <c r="C2288" s="30">
        <f>(Table2634[[#This Row],[M1 Money Stock, Billions of Dollars, Weekly, Seasonally Adjusted]]-B2287)/B2287</f>
        <v/>
      </c>
      <c r="D2288" s="34">
        <f>(Table2634[[#This Row],[M1 Money Stock, Billions of Dollars, Weekly, Seasonally Adjusted]]-B2285)/B2285</f>
        <v/>
      </c>
      <c r="E2288" s="24">
        <f>AVERAGE(B2285:B2288)</f>
        <v/>
      </c>
      <c r="F2288" s="32">
        <f>(Table2634[[#This Row],[4 weeks average]]-B2236)/B2236</f>
        <v/>
      </c>
    </row>
    <row r="2289">
      <c r="A2289" s="33" t="n">
        <v>43381</v>
      </c>
      <c r="B2289" s="24">
        <f>VLOOKUP(Table2634[[#This Row],[Date]],'DB Money Supply'!$A:$D,4)</f>
        <v/>
      </c>
      <c r="C2289" s="30">
        <f>(Table2634[[#This Row],[M1 Money Stock, Billions of Dollars, Weekly, Seasonally Adjusted]]-B2288)/B2288</f>
        <v/>
      </c>
      <c r="D2289" s="34">
        <f>(Table2634[[#This Row],[M1 Money Stock, Billions of Dollars, Weekly, Seasonally Adjusted]]-B2286)/B2286</f>
        <v/>
      </c>
      <c r="E2289" s="24">
        <f>AVERAGE(B2286:B2289)</f>
        <v/>
      </c>
      <c r="F2289" s="32">
        <f>(Table2634[[#This Row],[4 weeks average]]-B2237)/B2237</f>
        <v/>
      </c>
    </row>
    <row r="2290">
      <c r="A2290" s="33" t="n">
        <v>43388</v>
      </c>
      <c r="B2290" s="24">
        <f>VLOOKUP(Table2634[[#This Row],[Date]],'DB Money Supply'!$A:$D,4)</f>
        <v/>
      </c>
      <c r="C2290" s="30">
        <f>(Table2634[[#This Row],[M1 Money Stock, Billions of Dollars, Weekly, Seasonally Adjusted]]-B2289)/B2289</f>
        <v/>
      </c>
      <c r="D2290" s="34">
        <f>(Table2634[[#This Row],[M1 Money Stock, Billions of Dollars, Weekly, Seasonally Adjusted]]-B2287)/B2287</f>
        <v/>
      </c>
      <c r="E2290" s="24">
        <f>AVERAGE(B2287:B2290)</f>
        <v/>
      </c>
      <c r="F2290" s="32">
        <f>(Table2634[[#This Row],[4 weeks average]]-B2238)/B2238</f>
        <v/>
      </c>
    </row>
    <row r="2291">
      <c r="A2291" s="33" t="n">
        <v>43395</v>
      </c>
      <c r="B2291" s="24">
        <f>VLOOKUP(Table2634[[#This Row],[Date]],'DB Money Supply'!$A:$D,4)</f>
        <v/>
      </c>
      <c r="C2291" s="30">
        <f>(Table2634[[#This Row],[M1 Money Stock, Billions of Dollars, Weekly, Seasonally Adjusted]]-B2290)/B2290</f>
        <v/>
      </c>
      <c r="D2291" s="34">
        <f>(Table2634[[#This Row],[M1 Money Stock, Billions of Dollars, Weekly, Seasonally Adjusted]]-B2288)/B2288</f>
        <v/>
      </c>
      <c r="E2291" s="24">
        <f>AVERAGE(B2288:B2291)</f>
        <v/>
      </c>
      <c r="F2291" s="32">
        <f>(Table2634[[#This Row],[4 weeks average]]-B2239)/B2239</f>
        <v/>
      </c>
    </row>
    <row r="2292">
      <c r="A2292" s="33" t="n">
        <v>43402</v>
      </c>
      <c r="B2292" s="24">
        <f>VLOOKUP(Table2634[[#This Row],[Date]],'DB Money Supply'!$A:$D,4)</f>
        <v/>
      </c>
      <c r="C2292" s="30">
        <f>(Table2634[[#This Row],[M1 Money Stock, Billions of Dollars, Weekly, Seasonally Adjusted]]-B2291)/B2291</f>
        <v/>
      </c>
      <c r="D2292" s="34">
        <f>(Table2634[[#This Row],[M1 Money Stock, Billions of Dollars, Weekly, Seasonally Adjusted]]-B2289)/B2289</f>
        <v/>
      </c>
      <c r="E2292" s="24">
        <f>AVERAGE(B2289:B2292)</f>
        <v/>
      </c>
      <c r="F2292" s="32">
        <f>(Table2634[[#This Row],[4 weeks average]]-B2240)/B2240</f>
        <v/>
      </c>
    </row>
    <row r="2293">
      <c r="A2293" s="33" t="n">
        <v>43409</v>
      </c>
      <c r="B2293" s="24">
        <f>VLOOKUP(Table2634[[#This Row],[Date]],'DB Money Supply'!$A:$D,4)</f>
        <v/>
      </c>
      <c r="C2293" s="30">
        <f>(Table2634[[#This Row],[M1 Money Stock, Billions of Dollars, Weekly, Seasonally Adjusted]]-B2292)/B2292</f>
        <v/>
      </c>
      <c r="D2293" s="34">
        <f>(Table2634[[#This Row],[M1 Money Stock, Billions of Dollars, Weekly, Seasonally Adjusted]]-B2290)/B2290</f>
        <v/>
      </c>
      <c r="E2293" s="24">
        <f>AVERAGE(B2290:B2293)</f>
        <v/>
      </c>
      <c r="F2293" s="32">
        <f>(Table2634[[#This Row],[4 weeks average]]-B2241)/B2241</f>
        <v/>
      </c>
    </row>
    <row r="2294">
      <c r="A2294" s="33" t="n">
        <v>43416</v>
      </c>
      <c r="B2294" s="24">
        <f>VLOOKUP(Table2634[[#This Row],[Date]],'DB Money Supply'!$A:$D,4)</f>
        <v/>
      </c>
      <c r="C2294" s="30">
        <f>(Table2634[[#This Row],[M1 Money Stock, Billions of Dollars, Weekly, Seasonally Adjusted]]-B2293)/B2293</f>
        <v/>
      </c>
      <c r="D2294" s="34">
        <f>(Table2634[[#This Row],[M1 Money Stock, Billions of Dollars, Weekly, Seasonally Adjusted]]-B2291)/B2291</f>
        <v/>
      </c>
      <c r="E2294" s="24">
        <f>AVERAGE(B2291:B2294)</f>
        <v/>
      </c>
      <c r="F2294" s="32">
        <f>(Table2634[[#This Row],[4 weeks average]]-B2242)/B2242</f>
        <v/>
      </c>
    </row>
    <row r="2295">
      <c r="A2295" s="33" t="n">
        <v>43423</v>
      </c>
      <c r="B2295" s="24">
        <f>VLOOKUP(Table2634[[#This Row],[Date]],'DB Money Supply'!$A:$D,4)</f>
        <v/>
      </c>
      <c r="C2295" s="30">
        <f>(Table2634[[#This Row],[M1 Money Stock, Billions of Dollars, Weekly, Seasonally Adjusted]]-B2294)/B2294</f>
        <v/>
      </c>
      <c r="D2295" s="34">
        <f>(Table2634[[#This Row],[M1 Money Stock, Billions of Dollars, Weekly, Seasonally Adjusted]]-B2292)/B2292</f>
        <v/>
      </c>
      <c r="E2295" s="24">
        <f>AVERAGE(B2292:B2295)</f>
        <v/>
      </c>
      <c r="F2295" s="32">
        <f>(Table2634[[#This Row],[4 weeks average]]-B2243)/B2243</f>
        <v/>
      </c>
    </row>
    <row r="2296">
      <c r="A2296" s="33" t="n">
        <v>43430</v>
      </c>
      <c r="B2296" s="24">
        <f>VLOOKUP(Table2634[[#This Row],[Date]],'DB Money Supply'!$A:$D,4)</f>
        <v/>
      </c>
      <c r="C2296" s="30">
        <f>(Table2634[[#This Row],[M1 Money Stock, Billions of Dollars, Weekly, Seasonally Adjusted]]-B2295)/B2295</f>
        <v/>
      </c>
      <c r="D2296" s="34">
        <f>(Table2634[[#This Row],[M1 Money Stock, Billions of Dollars, Weekly, Seasonally Adjusted]]-B2293)/B2293</f>
        <v/>
      </c>
      <c r="E2296" s="24">
        <f>AVERAGE(B2293:B2296)</f>
        <v/>
      </c>
      <c r="F2296" s="32">
        <f>(Table2634[[#This Row],[4 weeks average]]-B2244)/B2244</f>
        <v/>
      </c>
    </row>
    <row r="2297">
      <c r="A2297" s="33" t="n">
        <v>43437</v>
      </c>
      <c r="B2297" s="24">
        <f>VLOOKUP(Table2634[[#This Row],[Date]],'DB Money Supply'!$A:$D,4)</f>
        <v/>
      </c>
      <c r="C2297" s="30">
        <f>(Table2634[[#This Row],[M1 Money Stock, Billions of Dollars, Weekly, Seasonally Adjusted]]-B2296)/B2296</f>
        <v/>
      </c>
      <c r="D2297" s="34">
        <f>(Table2634[[#This Row],[M1 Money Stock, Billions of Dollars, Weekly, Seasonally Adjusted]]-B2294)/B2294</f>
        <v/>
      </c>
      <c r="E2297" s="24">
        <f>AVERAGE(B2294:B2297)</f>
        <v/>
      </c>
      <c r="F2297" s="32">
        <f>(Table2634[[#This Row],[4 weeks average]]-B2245)/B2245</f>
        <v/>
      </c>
    </row>
    <row r="2298">
      <c r="A2298" s="33" t="n">
        <v>43444</v>
      </c>
      <c r="B2298" s="24">
        <f>VLOOKUP(Table2634[[#This Row],[Date]],'DB Money Supply'!$A:$D,4)</f>
        <v/>
      </c>
      <c r="C2298" s="30">
        <f>(Table2634[[#This Row],[M1 Money Stock, Billions of Dollars, Weekly, Seasonally Adjusted]]-B2297)/B2297</f>
        <v/>
      </c>
      <c r="D2298" s="34">
        <f>(Table2634[[#This Row],[M1 Money Stock, Billions of Dollars, Weekly, Seasonally Adjusted]]-B2295)/B2295</f>
        <v/>
      </c>
      <c r="E2298" s="24">
        <f>AVERAGE(B2295:B2298)</f>
        <v/>
      </c>
      <c r="F2298" s="32">
        <f>(Table2634[[#This Row],[4 weeks average]]-B2246)/B2246</f>
        <v/>
      </c>
    </row>
    <row r="2299">
      <c r="A2299" s="33" t="n">
        <v>43451</v>
      </c>
      <c r="B2299" s="24">
        <f>VLOOKUP(Table2634[[#This Row],[Date]],'DB Money Supply'!$A:$D,4)</f>
        <v/>
      </c>
      <c r="C2299" s="30">
        <f>(Table2634[[#This Row],[M1 Money Stock, Billions of Dollars, Weekly, Seasonally Adjusted]]-B2298)/B2298</f>
        <v/>
      </c>
      <c r="D2299" s="34">
        <f>(Table2634[[#This Row],[M1 Money Stock, Billions of Dollars, Weekly, Seasonally Adjusted]]-B2296)/B2296</f>
        <v/>
      </c>
      <c r="E2299" s="24">
        <f>AVERAGE(B2296:B2299)</f>
        <v/>
      </c>
      <c r="F2299" s="32">
        <f>(Table2634[[#This Row],[4 weeks average]]-B2247)/B2247</f>
        <v/>
      </c>
    </row>
    <row r="2300">
      <c r="A2300" s="33" t="n">
        <v>43458</v>
      </c>
      <c r="B2300" s="24">
        <f>VLOOKUP(Table2634[[#This Row],[Date]],'DB Money Supply'!$A:$D,4)</f>
        <v/>
      </c>
      <c r="C2300" s="30">
        <f>(Table2634[[#This Row],[M1 Money Stock, Billions of Dollars, Weekly, Seasonally Adjusted]]-B2299)/B2299</f>
        <v/>
      </c>
      <c r="D2300" s="34">
        <f>(Table2634[[#This Row],[M1 Money Stock, Billions of Dollars, Weekly, Seasonally Adjusted]]-B2297)/B2297</f>
        <v/>
      </c>
      <c r="E2300" s="24">
        <f>AVERAGE(B2297:B2300)</f>
        <v/>
      </c>
      <c r="F2300" s="32">
        <f>(Table2634[[#This Row],[4 weeks average]]-B2248)/B2248</f>
        <v/>
      </c>
    </row>
    <row r="2301">
      <c r="A2301" s="33" t="n">
        <v>43465</v>
      </c>
      <c r="B2301" s="24">
        <f>VLOOKUP(Table2634[[#This Row],[Date]],'DB Money Supply'!$A:$D,4)</f>
        <v/>
      </c>
      <c r="C2301" s="30">
        <f>(Table2634[[#This Row],[M1 Money Stock, Billions of Dollars, Weekly, Seasonally Adjusted]]-B2300)/B2300</f>
        <v/>
      </c>
      <c r="D2301" s="34">
        <f>(Table2634[[#This Row],[M1 Money Stock, Billions of Dollars, Weekly, Seasonally Adjusted]]-B2298)/B2298</f>
        <v/>
      </c>
      <c r="E2301" s="24">
        <f>AVERAGE(B2298:B2301)</f>
        <v/>
      </c>
      <c r="F2301" s="32">
        <f>(Table2634[[#This Row],[4 weeks average]]-B2249)/B2249</f>
        <v/>
      </c>
    </row>
    <row r="2302">
      <c r="A2302" s="33" t="n">
        <v>43472</v>
      </c>
      <c r="B2302" s="24">
        <f>VLOOKUP(Table2634[[#This Row],[Date]],'DB Money Supply'!$A:$D,4)</f>
        <v/>
      </c>
      <c r="C2302" s="30">
        <f>(Table2634[[#This Row],[M1 Money Stock, Billions of Dollars, Weekly, Seasonally Adjusted]]-B2301)/B2301</f>
        <v/>
      </c>
      <c r="D2302" s="34">
        <f>(Table2634[[#This Row],[M1 Money Stock, Billions of Dollars, Weekly, Seasonally Adjusted]]-B2299)/B2299</f>
        <v/>
      </c>
      <c r="E2302" s="24">
        <f>AVERAGE(B2299:B2302)</f>
        <v/>
      </c>
      <c r="F2302" s="32">
        <f>(Table2634[[#This Row],[4 weeks average]]-B2250)/B2250</f>
        <v/>
      </c>
    </row>
    <row r="2303">
      <c r="A2303" s="33" t="n">
        <v>43479</v>
      </c>
      <c r="B2303" s="24">
        <f>VLOOKUP(Table2634[[#This Row],[Date]],'DB Money Supply'!$A:$D,4)</f>
        <v/>
      </c>
      <c r="C2303" s="30">
        <f>(Table2634[[#This Row],[M1 Money Stock, Billions of Dollars, Weekly, Seasonally Adjusted]]-B2302)/B2302</f>
        <v/>
      </c>
      <c r="D2303" s="34">
        <f>(Table2634[[#This Row],[M1 Money Stock, Billions of Dollars, Weekly, Seasonally Adjusted]]-B2300)/B2300</f>
        <v/>
      </c>
      <c r="E2303" s="24">
        <f>AVERAGE(B2300:B2303)</f>
        <v/>
      </c>
      <c r="F2303" s="32">
        <f>(Table2634[[#This Row],[4 weeks average]]-B2251)/B2251</f>
        <v/>
      </c>
    </row>
    <row r="2304">
      <c r="A2304" s="33" t="n">
        <v>43486</v>
      </c>
      <c r="B2304" s="24">
        <f>VLOOKUP(Table2634[[#This Row],[Date]],'DB Money Supply'!$A:$D,4)</f>
        <v/>
      </c>
      <c r="C2304" s="30">
        <f>(Table2634[[#This Row],[M1 Money Stock, Billions of Dollars, Weekly, Seasonally Adjusted]]-B2303)/B2303</f>
        <v/>
      </c>
      <c r="D2304" s="34">
        <f>(Table2634[[#This Row],[M1 Money Stock, Billions of Dollars, Weekly, Seasonally Adjusted]]-B2301)/B2301</f>
        <v/>
      </c>
      <c r="E2304" s="24">
        <f>AVERAGE(B2301:B2304)</f>
        <v/>
      </c>
      <c r="F2304" s="32">
        <f>(Table2634[[#This Row],[4 weeks average]]-B2252)/B2252</f>
        <v/>
      </c>
    </row>
    <row r="2305">
      <c r="A2305" s="33" t="n">
        <v>43493</v>
      </c>
      <c r="B2305" s="24">
        <f>VLOOKUP(Table2634[[#This Row],[Date]],'DB Money Supply'!$A:$D,4)</f>
        <v/>
      </c>
      <c r="C2305" s="30">
        <f>(Table2634[[#This Row],[M1 Money Stock, Billions of Dollars, Weekly, Seasonally Adjusted]]-B2304)/B2304</f>
        <v/>
      </c>
      <c r="D2305" s="34">
        <f>(Table2634[[#This Row],[M1 Money Stock, Billions of Dollars, Weekly, Seasonally Adjusted]]-B2302)/B2302</f>
        <v/>
      </c>
      <c r="E2305" s="24">
        <f>AVERAGE(B2302:B2305)</f>
        <v/>
      </c>
      <c r="F2305" s="32">
        <f>(Table2634[[#This Row],[4 weeks average]]-B2253)/B2253</f>
        <v/>
      </c>
    </row>
    <row r="2306">
      <c r="A2306" s="33" t="n">
        <v>43500</v>
      </c>
      <c r="B2306" s="24">
        <f>VLOOKUP(Table2634[[#This Row],[Date]],'DB Money Supply'!$A:$D,4)</f>
        <v/>
      </c>
      <c r="C2306" s="30">
        <f>(Table2634[[#This Row],[M1 Money Stock, Billions of Dollars, Weekly, Seasonally Adjusted]]-B2305)/B2305</f>
        <v/>
      </c>
      <c r="D2306" s="34">
        <f>(Table2634[[#This Row],[M1 Money Stock, Billions of Dollars, Weekly, Seasonally Adjusted]]-B2303)/B2303</f>
        <v/>
      </c>
      <c r="E2306" s="24">
        <f>AVERAGE(B2303:B2306)</f>
        <v/>
      </c>
      <c r="F2306" s="32">
        <f>(Table2634[[#This Row],[4 weeks average]]-B2254)/B2254</f>
        <v/>
      </c>
    </row>
    <row r="2307">
      <c r="A2307" s="33" t="n">
        <v>43507</v>
      </c>
      <c r="B2307" s="24">
        <f>VLOOKUP(Table2634[[#This Row],[Date]],'DB Money Supply'!$A:$D,4)</f>
        <v/>
      </c>
      <c r="C2307" s="30">
        <f>(Table2634[[#This Row],[M1 Money Stock, Billions of Dollars, Weekly, Seasonally Adjusted]]-B2306)/B2306</f>
        <v/>
      </c>
      <c r="D2307" s="34">
        <f>(Table2634[[#This Row],[M1 Money Stock, Billions of Dollars, Weekly, Seasonally Adjusted]]-B2304)/B2304</f>
        <v/>
      </c>
      <c r="E2307" s="24">
        <f>AVERAGE(B2304:B2307)</f>
        <v/>
      </c>
      <c r="F2307" s="32">
        <f>(Table2634[[#This Row],[4 weeks average]]-B2255)/B2255</f>
        <v/>
      </c>
    </row>
    <row r="2308">
      <c r="A2308" s="33" t="n">
        <v>43514</v>
      </c>
      <c r="B2308" s="24">
        <f>VLOOKUP(Table2634[[#This Row],[Date]],'DB Money Supply'!$A:$D,4)</f>
        <v/>
      </c>
      <c r="C2308" s="30">
        <f>(Table2634[[#This Row],[M1 Money Stock, Billions of Dollars, Weekly, Seasonally Adjusted]]-B2307)/B2307</f>
        <v/>
      </c>
      <c r="D2308" s="34">
        <f>(Table2634[[#This Row],[M1 Money Stock, Billions of Dollars, Weekly, Seasonally Adjusted]]-B2305)/B2305</f>
        <v/>
      </c>
      <c r="E2308" s="24">
        <f>AVERAGE(B2305:B2308)</f>
        <v/>
      </c>
      <c r="F2308" s="32">
        <f>(Table2634[[#This Row],[4 weeks average]]-B2256)/B2256</f>
        <v/>
      </c>
    </row>
    <row r="2309">
      <c r="A2309" s="33" t="n">
        <v>43521</v>
      </c>
      <c r="B2309" s="24">
        <f>VLOOKUP(Table2634[[#This Row],[Date]],'DB Money Supply'!$A:$D,4)</f>
        <v/>
      </c>
      <c r="C2309" s="30">
        <f>(Table2634[[#This Row],[M1 Money Stock, Billions of Dollars, Weekly, Seasonally Adjusted]]-B2308)/B2308</f>
        <v/>
      </c>
      <c r="D2309" s="34">
        <f>(Table2634[[#This Row],[M1 Money Stock, Billions of Dollars, Weekly, Seasonally Adjusted]]-B2306)/B2306</f>
        <v/>
      </c>
      <c r="E2309" s="24">
        <f>AVERAGE(B2306:B2309)</f>
        <v/>
      </c>
      <c r="F2309" s="32">
        <f>(Table2634[[#This Row],[4 weeks average]]-B2257)/B2257</f>
        <v/>
      </c>
    </row>
    <row r="2310">
      <c r="A2310" s="33" t="n">
        <v>43528</v>
      </c>
      <c r="B2310" s="24">
        <f>VLOOKUP(Table2634[[#This Row],[Date]],'DB Money Supply'!$A:$D,4)</f>
        <v/>
      </c>
      <c r="C2310" s="30">
        <f>(Table2634[[#This Row],[M1 Money Stock, Billions of Dollars, Weekly, Seasonally Adjusted]]-B2309)/B2309</f>
        <v/>
      </c>
      <c r="D2310" s="34">
        <f>(Table2634[[#This Row],[M1 Money Stock, Billions of Dollars, Weekly, Seasonally Adjusted]]-B2307)/B2307</f>
        <v/>
      </c>
      <c r="E2310" s="24">
        <f>AVERAGE(B2307:B2310)</f>
        <v/>
      </c>
      <c r="F2310" s="32">
        <f>(Table2634[[#This Row],[4 weeks average]]-B2258)/B2258</f>
        <v/>
      </c>
    </row>
    <row r="2311">
      <c r="A2311" s="33" t="n">
        <v>43535</v>
      </c>
      <c r="B2311" s="24">
        <f>VLOOKUP(Table2634[[#This Row],[Date]],'DB Money Supply'!$A:$D,4)</f>
        <v/>
      </c>
      <c r="C2311" s="30">
        <f>(Table2634[[#This Row],[M1 Money Stock, Billions of Dollars, Weekly, Seasonally Adjusted]]-B2310)/B2310</f>
        <v/>
      </c>
      <c r="D2311" s="34">
        <f>(Table2634[[#This Row],[M1 Money Stock, Billions of Dollars, Weekly, Seasonally Adjusted]]-B2308)/B2308</f>
        <v/>
      </c>
      <c r="E2311" s="24">
        <f>AVERAGE(B2308:B2311)</f>
        <v/>
      </c>
      <c r="F2311" s="32">
        <f>(Table2634[[#This Row],[4 weeks average]]-B2259)/B2259</f>
        <v/>
      </c>
    </row>
    <row r="2312">
      <c r="A2312" s="33" t="n">
        <v>43542</v>
      </c>
      <c r="B2312" s="24">
        <f>VLOOKUP(Table2634[[#This Row],[Date]],'DB Money Supply'!$A:$D,4)</f>
        <v/>
      </c>
      <c r="C2312" s="30">
        <f>(Table2634[[#This Row],[M1 Money Stock, Billions of Dollars, Weekly, Seasonally Adjusted]]-B2311)/B2311</f>
        <v/>
      </c>
      <c r="D2312" s="34">
        <f>(Table2634[[#This Row],[M1 Money Stock, Billions of Dollars, Weekly, Seasonally Adjusted]]-B2309)/B2309</f>
        <v/>
      </c>
      <c r="E2312" s="24">
        <f>AVERAGE(B2309:B2312)</f>
        <v/>
      </c>
      <c r="F2312" s="32">
        <f>(Table2634[[#This Row],[4 weeks average]]-B2260)/B2260</f>
        <v/>
      </c>
    </row>
    <row r="2313">
      <c r="A2313" s="33" t="n">
        <v>43549</v>
      </c>
      <c r="B2313" s="24">
        <f>VLOOKUP(Table2634[[#This Row],[Date]],'DB Money Supply'!$A:$D,4)</f>
        <v/>
      </c>
      <c r="C2313" s="30">
        <f>(Table2634[[#This Row],[M1 Money Stock, Billions of Dollars, Weekly, Seasonally Adjusted]]-B2312)/B2312</f>
        <v/>
      </c>
      <c r="D2313" s="34">
        <f>(Table2634[[#This Row],[M1 Money Stock, Billions of Dollars, Weekly, Seasonally Adjusted]]-B2310)/B2310</f>
        <v/>
      </c>
      <c r="E2313" s="24">
        <f>AVERAGE(B2310:B2313)</f>
        <v/>
      </c>
      <c r="F2313" s="32">
        <f>(Table2634[[#This Row],[4 weeks average]]-B2261)/B2261</f>
        <v/>
      </c>
    </row>
    <row r="2314">
      <c r="A2314" s="33" t="n">
        <v>43556</v>
      </c>
      <c r="B2314" s="24">
        <f>VLOOKUP(Table2634[[#This Row],[Date]],'DB Money Supply'!$A:$D,4)</f>
        <v/>
      </c>
      <c r="C2314" s="30">
        <f>(Table2634[[#This Row],[M1 Money Stock, Billions of Dollars, Weekly, Seasonally Adjusted]]-B2313)/B2313</f>
        <v/>
      </c>
      <c r="D2314" s="34">
        <f>(Table2634[[#This Row],[M1 Money Stock, Billions of Dollars, Weekly, Seasonally Adjusted]]-B2311)/B2311</f>
        <v/>
      </c>
      <c r="E2314" s="24">
        <f>AVERAGE(B2311:B2314)</f>
        <v/>
      </c>
      <c r="F2314" s="32">
        <f>(Table2634[[#This Row],[4 weeks average]]-B2262)/B2262</f>
        <v/>
      </c>
    </row>
    <row r="2315">
      <c r="A2315" s="33" t="n">
        <v>43563</v>
      </c>
      <c r="B2315" s="24">
        <f>VLOOKUP(Table2634[[#This Row],[Date]],'DB Money Supply'!$A:$D,4)</f>
        <v/>
      </c>
      <c r="C2315" s="30">
        <f>(Table2634[[#This Row],[M1 Money Stock, Billions of Dollars, Weekly, Seasonally Adjusted]]-B2314)/B2314</f>
        <v/>
      </c>
      <c r="D2315" s="34">
        <f>(Table2634[[#This Row],[M1 Money Stock, Billions of Dollars, Weekly, Seasonally Adjusted]]-B2312)/B2312</f>
        <v/>
      </c>
      <c r="E2315" s="24">
        <f>AVERAGE(B2312:B2315)</f>
        <v/>
      </c>
      <c r="F2315" s="32">
        <f>(Table2634[[#This Row],[4 weeks average]]-B2263)/B2263</f>
        <v/>
      </c>
    </row>
    <row r="2316">
      <c r="A2316" s="33" t="n">
        <v>43570</v>
      </c>
      <c r="B2316" s="24">
        <f>VLOOKUP(Table2634[[#This Row],[Date]],'DB Money Supply'!$A:$D,4)</f>
        <v/>
      </c>
      <c r="C2316" s="30">
        <f>(Table2634[[#This Row],[M1 Money Stock, Billions of Dollars, Weekly, Seasonally Adjusted]]-B2315)/B2315</f>
        <v/>
      </c>
      <c r="D2316" s="34">
        <f>(Table2634[[#This Row],[M1 Money Stock, Billions of Dollars, Weekly, Seasonally Adjusted]]-B2313)/B2313</f>
        <v/>
      </c>
      <c r="E2316" s="24">
        <f>AVERAGE(B2313:B2316)</f>
        <v/>
      </c>
      <c r="F2316" s="32">
        <f>(Table2634[[#This Row],[4 weeks average]]-B2264)/B2264</f>
        <v/>
      </c>
    </row>
    <row r="2317">
      <c r="A2317" s="33" t="n">
        <v>43577</v>
      </c>
      <c r="B2317" s="24">
        <f>VLOOKUP(Table2634[[#This Row],[Date]],'DB Money Supply'!$A:$D,4)</f>
        <v/>
      </c>
      <c r="C2317" s="30">
        <f>(Table2634[[#This Row],[M1 Money Stock, Billions of Dollars, Weekly, Seasonally Adjusted]]-B2316)/B2316</f>
        <v/>
      </c>
      <c r="D2317" s="34">
        <f>(Table2634[[#This Row],[M1 Money Stock, Billions of Dollars, Weekly, Seasonally Adjusted]]-B2314)/B2314</f>
        <v/>
      </c>
      <c r="E2317" s="24">
        <f>AVERAGE(B2314:B2317)</f>
        <v/>
      </c>
      <c r="F2317" s="32">
        <f>(Table2634[[#This Row],[4 weeks average]]-B2265)/B2265</f>
        <v/>
      </c>
    </row>
    <row r="2318">
      <c r="A2318" s="33" t="n">
        <v>43584</v>
      </c>
      <c r="B2318" s="24">
        <f>VLOOKUP(Table2634[[#This Row],[Date]],'DB Money Supply'!$A:$D,4)</f>
        <v/>
      </c>
      <c r="C2318" s="30">
        <f>(Table2634[[#This Row],[M1 Money Stock, Billions of Dollars, Weekly, Seasonally Adjusted]]-B2317)/B2317</f>
        <v/>
      </c>
      <c r="D2318" s="34">
        <f>(Table2634[[#This Row],[M1 Money Stock, Billions of Dollars, Weekly, Seasonally Adjusted]]-B2315)/B2315</f>
        <v/>
      </c>
      <c r="E2318" s="24">
        <f>AVERAGE(B2315:B2318)</f>
        <v/>
      </c>
      <c r="F2318" s="32">
        <f>(Table2634[[#This Row],[4 weeks average]]-B2266)/B2266</f>
        <v/>
      </c>
    </row>
    <row r="2319">
      <c r="A2319" s="33" t="n">
        <v>43591</v>
      </c>
      <c r="B2319" s="24">
        <f>VLOOKUP(Table2634[[#This Row],[Date]],'DB Money Supply'!$A:$D,4)</f>
        <v/>
      </c>
      <c r="C2319" s="30">
        <f>(Table2634[[#This Row],[M1 Money Stock, Billions of Dollars, Weekly, Seasonally Adjusted]]-B2318)/B2318</f>
        <v/>
      </c>
      <c r="D2319" s="34">
        <f>(Table2634[[#This Row],[M1 Money Stock, Billions of Dollars, Weekly, Seasonally Adjusted]]-B2316)/B2316</f>
        <v/>
      </c>
      <c r="E2319" s="24">
        <f>AVERAGE(B2316:B2319)</f>
        <v/>
      </c>
      <c r="F2319" s="32">
        <f>(Table2634[[#This Row],[4 weeks average]]-B2267)/B2267</f>
        <v/>
      </c>
    </row>
    <row r="2320">
      <c r="A2320" s="33" t="n">
        <v>43598</v>
      </c>
      <c r="B2320" s="24">
        <f>VLOOKUP(Table2634[[#This Row],[Date]],'DB Money Supply'!$A:$D,4)</f>
        <v/>
      </c>
      <c r="C2320" s="30">
        <f>(Table2634[[#This Row],[M1 Money Stock, Billions of Dollars, Weekly, Seasonally Adjusted]]-B2319)/B2319</f>
        <v/>
      </c>
      <c r="D2320" s="34">
        <f>(Table2634[[#This Row],[M1 Money Stock, Billions of Dollars, Weekly, Seasonally Adjusted]]-B2317)/B2317</f>
        <v/>
      </c>
      <c r="E2320" s="24">
        <f>AVERAGE(B2317:B2320)</f>
        <v/>
      </c>
      <c r="F2320" s="32">
        <f>(Table2634[[#This Row],[4 weeks average]]-B2268)/B2268</f>
        <v/>
      </c>
    </row>
    <row r="2321">
      <c r="A2321" s="33" t="n">
        <v>43605</v>
      </c>
      <c r="B2321" s="24">
        <f>VLOOKUP(Table2634[[#This Row],[Date]],'DB Money Supply'!$A:$D,4)</f>
        <v/>
      </c>
      <c r="C2321" s="30">
        <f>(Table2634[[#This Row],[M1 Money Stock, Billions of Dollars, Weekly, Seasonally Adjusted]]-B2320)/B2320</f>
        <v/>
      </c>
      <c r="D2321" s="34">
        <f>(Table2634[[#This Row],[M1 Money Stock, Billions of Dollars, Weekly, Seasonally Adjusted]]-B2318)/B2318</f>
        <v/>
      </c>
      <c r="E2321" s="24">
        <f>AVERAGE(B2318:B2321)</f>
        <v/>
      </c>
      <c r="F2321" s="32">
        <f>(Table2634[[#This Row],[4 weeks average]]-B2269)/B2269</f>
        <v/>
      </c>
    </row>
    <row r="2322">
      <c r="A2322" s="33" t="n">
        <v>43612</v>
      </c>
      <c r="B2322" s="24">
        <f>VLOOKUP(Table2634[[#This Row],[Date]],'DB Money Supply'!$A:$D,4)</f>
        <v/>
      </c>
      <c r="C2322" s="30">
        <f>(Table2634[[#This Row],[M1 Money Stock, Billions of Dollars, Weekly, Seasonally Adjusted]]-B2321)/B2321</f>
        <v/>
      </c>
      <c r="D2322" s="34">
        <f>(Table2634[[#This Row],[M1 Money Stock, Billions of Dollars, Weekly, Seasonally Adjusted]]-B2319)/B2319</f>
        <v/>
      </c>
      <c r="E2322" s="24">
        <f>AVERAGE(B2319:B2322)</f>
        <v/>
      </c>
      <c r="F2322" s="32">
        <f>(Table2634[[#This Row],[4 weeks average]]-B2270)/B2270</f>
        <v/>
      </c>
    </row>
    <row r="2323">
      <c r="A2323" s="33" t="n">
        <v>43619</v>
      </c>
      <c r="B2323" s="24">
        <f>VLOOKUP(Table2634[[#This Row],[Date]],'DB Money Supply'!$A:$D,4)</f>
        <v/>
      </c>
      <c r="C2323" s="30">
        <f>(Table2634[[#This Row],[M1 Money Stock, Billions of Dollars, Weekly, Seasonally Adjusted]]-B2322)/B2322</f>
        <v/>
      </c>
      <c r="D2323" s="34">
        <f>(Table2634[[#This Row],[M1 Money Stock, Billions of Dollars, Weekly, Seasonally Adjusted]]-B2320)/B2320</f>
        <v/>
      </c>
      <c r="E2323" s="24">
        <f>AVERAGE(B2320:B2323)</f>
        <v/>
      </c>
      <c r="F2323" s="32">
        <f>(Table2634[[#This Row],[4 weeks average]]-B2271)/B2271</f>
        <v/>
      </c>
    </row>
    <row r="2324">
      <c r="A2324" s="33" t="n">
        <v>43626</v>
      </c>
      <c r="B2324" s="24">
        <f>VLOOKUP(Table2634[[#This Row],[Date]],'DB Money Supply'!$A:$D,4)</f>
        <v/>
      </c>
      <c r="C2324" s="30">
        <f>(Table2634[[#This Row],[M1 Money Stock, Billions of Dollars, Weekly, Seasonally Adjusted]]-B2323)/B2323</f>
        <v/>
      </c>
      <c r="D2324" s="34">
        <f>(Table2634[[#This Row],[M1 Money Stock, Billions of Dollars, Weekly, Seasonally Adjusted]]-B2321)/B2321</f>
        <v/>
      </c>
      <c r="E2324" s="24">
        <f>AVERAGE(B2321:B2324)</f>
        <v/>
      </c>
      <c r="F2324" s="32">
        <f>(Table2634[[#This Row],[4 weeks average]]-B2272)/B2272</f>
        <v/>
      </c>
    </row>
    <row r="2325">
      <c r="A2325" s="33" t="n">
        <v>43633</v>
      </c>
      <c r="B2325" s="24">
        <f>VLOOKUP(Table2634[[#This Row],[Date]],'DB Money Supply'!$A:$D,4)</f>
        <v/>
      </c>
      <c r="C2325" s="30">
        <f>(Table2634[[#This Row],[M1 Money Stock, Billions of Dollars, Weekly, Seasonally Adjusted]]-B2324)/B2324</f>
        <v/>
      </c>
      <c r="D2325" s="34">
        <f>(Table2634[[#This Row],[M1 Money Stock, Billions of Dollars, Weekly, Seasonally Adjusted]]-B2322)/B2322</f>
        <v/>
      </c>
      <c r="E2325" s="24">
        <f>AVERAGE(B2322:B2325)</f>
        <v/>
      </c>
      <c r="F2325" s="32">
        <f>(Table2634[[#This Row],[4 weeks average]]-B2273)/B2273</f>
        <v/>
      </c>
    </row>
    <row r="2326">
      <c r="A2326" s="33" t="n">
        <v>43640</v>
      </c>
      <c r="B2326" s="24">
        <f>VLOOKUP(Table2634[[#This Row],[Date]],'DB Money Supply'!$A:$D,4)</f>
        <v/>
      </c>
      <c r="C2326" s="30">
        <f>(Table2634[[#This Row],[M1 Money Stock, Billions of Dollars, Weekly, Seasonally Adjusted]]-B2325)/B2325</f>
        <v/>
      </c>
      <c r="D2326" s="34">
        <f>(Table2634[[#This Row],[M1 Money Stock, Billions of Dollars, Weekly, Seasonally Adjusted]]-B2323)/B2323</f>
        <v/>
      </c>
      <c r="E2326" s="24">
        <f>AVERAGE(B2323:B2326)</f>
        <v/>
      </c>
      <c r="F2326" s="32">
        <f>(Table2634[[#This Row],[4 weeks average]]-B2274)/B2274</f>
        <v/>
      </c>
    </row>
    <row r="2327">
      <c r="A2327" s="33" t="n">
        <v>43647</v>
      </c>
      <c r="B2327" s="24">
        <f>VLOOKUP(Table2634[[#This Row],[Date]],'DB Money Supply'!$A:$D,4)</f>
        <v/>
      </c>
      <c r="C2327" s="30">
        <f>(Table2634[[#This Row],[M1 Money Stock, Billions of Dollars, Weekly, Seasonally Adjusted]]-B2326)/B2326</f>
        <v/>
      </c>
      <c r="D2327" s="34">
        <f>(Table2634[[#This Row],[M1 Money Stock, Billions of Dollars, Weekly, Seasonally Adjusted]]-B2324)/B2324</f>
        <v/>
      </c>
      <c r="E2327" s="24">
        <f>AVERAGE(B2324:B2327)</f>
        <v/>
      </c>
      <c r="F2327" s="32">
        <f>(Table2634[[#This Row],[4 weeks average]]-B2275)/B2275</f>
        <v/>
      </c>
    </row>
    <row r="2328">
      <c r="A2328" s="33" t="n">
        <v>43654</v>
      </c>
      <c r="B2328" s="24">
        <f>VLOOKUP(Table2634[[#This Row],[Date]],'DB Money Supply'!$A:$D,4)</f>
        <v/>
      </c>
      <c r="C2328" s="30">
        <f>(Table2634[[#This Row],[M1 Money Stock, Billions of Dollars, Weekly, Seasonally Adjusted]]-B2327)/B2327</f>
        <v/>
      </c>
      <c r="D2328" s="34">
        <f>(Table2634[[#This Row],[M1 Money Stock, Billions of Dollars, Weekly, Seasonally Adjusted]]-B2325)/B2325</f>
        <v/>
      </c>
      <c r="E2328" s="24">
        <f>AVERAGE(B2325:B2328)</f>
        <v/>
      </c>
      <c r="F2328" s="32">
        <f>(Table2634[[#This Row],[4 weeks average]]-B2276)/B2276</f>
        <v/>
      </c>
    </row>
    <row r="2329">
      <c r="A2329" s="33" t="n">
        <v>43661</v>
      </c>
      <c r="B2329" s="24">
        <f>VLOOKUP(Table2634[[#This Row],[Date]],'DB Money Supply'!$A:$D,4)</f>
        <v/>
      </c>
      <c r="C2329" s="30">
        <f>(Table2634[[#This Row],[M1 Money Stock, Billions of Dollars, Weekly, Seasonally Adjusted]]-B2328)/B2328</f>
        <v/>
      </c>
      <c r="D2329" s="34">
        <f>(Table2634[[#This Row],[M1 Money Stock, Billions of Dollars, Weekly, Seasonally Adjusted]]-B2326)/B2326</f>
        <v/>
      </c>
      <c r="E2329" s="24">
        <f>AVERAGE(B2326:B2329)</f>
        <v/>
      </c>
      <c r="F2329" s="32">
        <f>(Table2634[[#This Row],[4 weeks average]]-B2277)/B2277</f>
        <v/>
      </c>
    </row>
    <row r="2330">
      <c r="A2330" s="33" t="n">
        <v>43668</v>
      </c>
      <c r="B2330" s="24">
        <f>VLOOKUP(Table2634[[#This Row],[Date]],'DB Money Supply'!$A:$D,4)</f>
        <v/>
      </c>
      <c r="C2330" s="30">
        <f>(Table2634[[#This Row],[M1 Money Stock, Billions of Dollars, Weekly, Seasonally Adjusted]]-B2329)/B2329</f>
        <v/>
      </c>
      <c r="D2330" s="34">
        <f>(Table2634[[#This Row],[M1 Money Stock, Billions of Dollars, Weekly, Seasonally Adjusted]]-B2327)/B2327</f>
        <v/>
      </c>
      <c r="E2330" s="24">
        <f>AVERAGE(B2327:B2330)</f>
        <v/>
      </c>
      <c r="F2330" s="32">
        <f>(Table2634[[#This Row],[4 weeks average]]-B2278)/B2278</f>
        <v/>
      </c>
    </row>
    <row r="2331">
      <c r="A2331" s="33" t="n">
        <v>43675</v>
      </c>
      <c r="B2331" s="24">
        <f>VLOOKUP(Table2634[[#This Row],[Date]],'DB Money Supply'!$A:$D,4)</f>
        <v/>
      </c>
      <c r="C2331" s="30">
        <f>(Table2634[[#This Row],[M1 Money Stock, Billions of Dollars, Weekly, Seasonally Adjusted]]-B2330)/B2330</f>
        <v/>
      </c>
      <c r="D2331" s="34">
        <f>(Table2634[[#This Row],[M1 Money Stock, Billions of Dollars, Weekly, Seasonally Adjusted]]-B2328)/B2328</f>
        <v/>
      </c>
      <c r="E2331" s="24">
        <f>AVERAGE(B2328:B2331)</f>
        <v/>
      </c>
      <c r="F2331" s="32">
        <f>(Table2634[[#This Row],[4 weeks average]]-B2279)/B2279</f>
        <v/>
      </c>
    </row>
    <row r="2332">
      <c r="A2332" s="33" t="n">
        <v>43682</v>
      </c>
      <c r="B2332" s="24">
        <f>VLOOKUP(Table2634[[#This Row],[Date]],'DB Money Supply'!$A:$D,4)</f>
        <v/>
      </c>
      <c r="C2332" s="30">
        <f>(Table2634[[#This Row],[M1 Money Stock, Billions of Dollars, Weekly, Seasonally Adjusted]]-B2331)/B2331</f>
        <v/>
      </c>
      <c r="D2332" s="34">
        <f>(Table2634[[#This Row],[M1 Money Stock, Billions of Dollars, Weekly, Seasonally Adjusted]]-B2329)/B2329</f>
        <v/>
      </c>
      <c r="E2332" s="24">
        <f>AVERAGE(B2329:B2332)</f>
        <v/>
      </c>
      <c r="F2332" s="32">
        <f>(Table2634[[#This Row],[4 weeks average]]-B2280)/B2280</f>
        <v/>
      </c>
    </row>
    <row r="2333">
      <c r="A2333" s="33" t="n">
        <v>43689</v>
      </c>
      <c r="B2333" s="24">
        <f>VLOOKUP(Table2634[[#This Row],[Date]],'DB Money Supply'!$A:$D,4)</f>
        <v/>
      </c>
      <c r="C2333" s="30">
        <f>(Table2634[[#This Row],[M1 Money Stock, Billions of Dollars, Weekly, Seasonally Adjusted]]-B2332)/B2332</f>
        <v/>
      </c>
      <c r="D2333" s="34">
        <f>(Table2634[[#This Row],[M1 Money Stock, Billions of Dollars, Weekly, Seasonally Adjusted]]-B2330)/B2330</f>
        <v/>
      </c>
      <c r="E2333" s="24">
        <f>AVERAGE(B2330:B2333)</f>
        <v/>
      </c>
      <c r="F2333" s="32">
        <f>(Table2634[[#This Row],[4 weeks average]]-B2281)/B2281</f>
        <v/>
      </c>
    </row>
    <row r="2334">
      <c r="A2334" s="33" t="n">
        <v>43696</v>
      </c>
      <c r="B2334" s="24">
        <f>VLOOKUP(Table2634[[#This Row],[Date]],'DB Money Supply'!$A:$D,4)</f>
        <v/>
      </c>
      <c r="C2334" s="30">
        <f>(Table2634[[#This Row],[M1 Money Stock, Billions of Dollars, Weekly, Seasonally Adjusted]]-B2333)/B2333</f>
        <v/>
      </c>
      <c r="D2334" s="34">
        <f>(Table2634[[#This Row],[M1 Money Stock, Billions of Dollars, Weekly, Seasonally Adjusted]]-B2331)/B2331</f>
        <v/>
      </c>
      <c r="E2334" s="24">
        <f>AVERAGE(B2331:B2334)</f>
        <v/>
      </c>
      <c r="F2334" s="32">
        <f>(Table2634[[#This Row],[4 weeks average]]-B2282)/B2282</f>
        <v/>
      </c>
    </row>
    <row r="2335">
      <c r="A2335" s="33" t="n">
        <v>43703</v>
      </c>
      <c r="B2335" s="24">
        <f>VLOOKUP(Table2634[[#This Row],[Date]],'DB Money Supply'!$A:$D,4)</f>
        <v/>
      </c>
      <c r="C2335" s="30">
        <f>(Table2634[[#This Row],[M1 Money Stock, Billions of Dollars, Weekly, Seasonally Adjusted]]-B2334)/B2334</f>
        <v/>
      </c>
      <c r="D2335" s="34">
        <f>(Table2634[[#This Row],[M1 Money Stock, Billions of Dollars, Weekly, Seasonally Adjusted]]-B2332)/B2332</f>
        <v/>
      </c>
      <c r="E2335" s="24">
        <f>AVERAGE(B2332:B2335)</f>
        <v/>
      </c>
      <c r="F2335" s="32">
        <f>(Table2634[[#This Row],[4 weeks average]]-B2283)/B2283</f>
        <v/>
      </c>
    </row>
    <row r="2336">
      <c r="A2336" s="33" t="n">
        <v>43710</v>
      </c>
      <c r="B2336" s="24">
        <f>VLOOKUP(Table2634[[#This Row],[Date]],'DB Money Supply'!$A:$D,4)</f>
        <v/>
      </c>
      <c r="C2336" s="30">
        <f>(Table2634[[#This Row],[M1 Money Stock, Billions of Dollars, Weekly, Seasonally Adjusted]]-B2335)/B2335</f>
        <v/>
      </c>
      <c r="D2336" s="34">
        <f>(Table2634[[#This Row],[M1 Money Stock, Billions of Dollars, Weekly, Seasonally Adjusted]]-B2333)/B2333</f>
        <v/>
      </c>
      <c r="E2336" s="24">
        <f>AVERAGE(B2333:B2336)</f>
        <v/>
      </c>
      <c r="F2336" s="32">
        <f>(Table2634[[#This Row],[4 weeks average]]-B2284)/B2284</f>
        <v/>
      </c>
    </row>
    <row r="2337">
      <c r="A2337" s="33" t="n">
        <v>43717</v>
      </c>
      <c r="B2337" s="24">
        <f>VLOOKUP(Table2634[[#This Row],[Date]],'DB Money Supply'!$A:$D,4)</f>
        <v/>
      </c>
      <c r="C2337" s="30">
        <f>(Table2634[[#This Row],[M1 Money Stock, Billions of Dollars, Weekly, Seasonally Adjusted]]-B2336)/B2336</f>
        <v/>
      </c>
      <c r="D2337" s="34">
        <f>(Table2634[[#This Row],[M1 Money Stock, Billions of Dollars, Weekly, Seasonally Adjusted]]-B2334)/B2334</f>
        <v/>
      </c>
      <c r="E2337" s="24">
        <f>AVERAGE(B2334:B2337)</f>
        <v/>
      </c>
      <c r="F2337" s="32">
        <f>(Table2634[[#This Row],[4 weeks average]]-B2285)/B2285</f>
        <v/>
      </c>
    </row>
    <row r="2338">
      <c r="A2338" s="33" t="n">
        <v>43724</v>
      </c>
      <c r="B2338" s="24">
        <f>VLOOKUP(Table2634[[#This Row],[Date]],'DB Money Supply'!$A:$D,4)</f>
        <v/>
      </c>
      <c r="C2338" s="30">
        <f>(Table2634[[#This Row],[M1 Money Stock, Billions of Dollars, Weekly, Seasonally Adjusted]]-B2337)/B2337</f>
        <v/>
      </c>
      <c r="D2338" s="34">
        <f>(Table2634[[#This Row],[M1 Money Stock, Billions of Dollars, Weekly, Seasonally Adjusted]]-B2335)/B2335</f>
        <v/>
      </c>
      <c r="E2338" s="24">
        <f>AVERAGE(B2335:B2338)</f>
        <v/>
      </c>
      <c r="F2338" s="32">
        <f>(Table2634[[#This Row],[4 weeks average]]-B2286)/B2286</f>
        <v/>
      </c>
    </row>
    <row r="2339">
      <c r="A2339" s="33" t="n">
        <v>43731</v>
      </c>
      <c r="B2339" s="24">
        <f>VLOOKUP(Table2634[[#This Row],[Date]],'DB Money Supply'!$A:$D,4)</f>
        <v/>
      </c>
      <c r="C2339" s="30">
        <f>(Table2634[[#This Row],[M1 Money Stock, Billions of Dollars, Weekly, Seasonally Adjusted]]-B2338)/B2338</f>
        <v/>
      </c>
      <c r="D2339" s="34">
        <f>(Table2634[[#This Row],[M1 Money Stock, Billions of Dollars, Weekly, Seasonally Adjusted]]-B2336)/B2336</f>
        <v/>
      </c>
      <c r="E2339" s="24">
        <f>AVERAGE(B2336:B2339)</f>
        <v/>
      </c>
      <c r="F2339" s="32">
        <f>(Table2634[[#This Row],[4 weeks average]]-B2287)/B2287</f>
        <v/>
      </c>
    </row>
    <row r="2340">
      <c r="A2340" s="33" t="n">
        <v>43738</v>
      </c>
      <c r="B2340" s="24">
        <f>VLOOKUP(Table2634[[#This Row],[Date]],'DB Money Supply'!$A:$D,4)</f>
        <v/>
      </c>
      <c r="C2340" s="30">
        <f>(Table2634[[#This Row],[M1 Money Stock, Billions of Dollars, Weekly, Seasonally Adjusted]]-B2339)/B2339</f>
        <v/>
      </c>
      <c r="D2340" s="34">
        <f>(Table2634[[#This Row],[M1 Money Stock, Billions of Dollars, Weekly, Seasonally Adjusted]]-B2337)/B2337</f>
        <v/>
      </c>
      <c r="E2340" s="24">
        <f>AVERAGE(B2337:B2340)</f>
        <v/>
      </c>
      <c r="F2340" s="32">
        <f>(Table2634[[#This Row],[4 weeks average]]-B2288)/B2288</f>
        <v/>
      </c>
    </row>
    <row r="2341">
      <c r="A2341" s="33" t="n">
        <v>43745</v>
      </c>
      <c r="B2341" s="24">
        <f>VLOOKUP(Table2634[[#This Row],[Date]],'DB Money Supply'!$A:$D,4)</f>
        <v/>
      </c>
      <c r="C2341" s="30">
        <f>(Table2634[[#This Row],[M1 Money Stock, Billions of Dollars, Weekly, Seasonally Adjusted]]-B2340)/B2340</f>
        <v/>
      </c>
      <c r="D2341" s="34">
        <f>(Table2634[[#This Row],[M1 Money Stock, Billions of Dollars, Weekly, Seasonally Adjusted]]-B2338)/B2338</f>
        <v/>
      </c>
      <c r="E2341" s="24">
        <f>AVERAGE(B2338:B2341)</f>
        <v/>
      </c>
      <c r="F2341" s="32">
        <f>(Table2634[[#This Row],[4 weeks average]]-B2289)/B2289</f>
        <v/>
      </c>
    </row>
    <row r="2342">
      <c r="A2342" s="33" t="n">
        <v>43752</v>
      </c>
      <c r="B2342" s="24">
        <f>VLOOKUP(Table2634[[#This Row],[Date]],'DB Money Supply'!$A:$D,4)</f>
        <v/>
      </c>
      <c r="C2342" s="30">
        <f>(Table2634[[#This Row],[M1 Money Stock, Billions of Dollars, Weekly, Seasonally Adjusted]]-B2341)/B2341</f>
        <v/>
      </c>
      <c r="D2342" s="34">
        <f>(Table2634[[#This Row],[M1 Money Stock, Billions of Dollars, Weekly, Seasonally Adjusted]]-B2339)/B2339</f>
        <v/>
      </c>
      <c r="E2342" s="24">
        <f>AVERAGE(B2339:B2342)</f>
        <v/>
      </c>
      <c r="F2342" s="32">
        <f>(Table2634[[#This Row],[4 weeks average]]-B2290)/B2290</f>
        <v/>
      </c>
    </row>
    <row r="2343">
      <c r="A2343" s="33" t="n">
        <v>43759</v>
      </c>
      <c r="B2343" s="24">
        <f>VLOOKUP(Table2634[[#This Row],[Date]],'DB Money Supply'!$A:$D,4)</f>
        <v/>
      </c>
      <c r="C2343" s="30">
        <f>(Table2634[[#This Row],[M1 Money Stock, Billions of Dollars, Weekly, Seasonally Adjusted]]-B2342)/B2342</f>
        <v/>
      </c>
      <c r="D2343" s="34">
        <f>(Table2634[[#This Row],[M1 Money Stock, Billions of Dollars, Weekly, Seasonally Adjusted]]-B2340)/B2340</f>
        <v/>
      </c>
      <c r="E2343" s="24">
        <f>AVERAGE(B2340:B2343)</f>
        <v/>
      </c>
      <c r="F2343" s="32">
        <f>(Table2634[[#This Row],[4 weeks average]]-B2291)/B2291</f>
        <v/>
      </c>
    </row>
    <row r="2344">
      <c r="A2344" s="33" t="n">
        <v>43766</v>
      </c>
      <c r="B2344" s="24">
        <f>VLOOKUP(Table2634[[#This Row],[Date]],'DB Money Supply'!$A:$D,4)</f>
        <v/>
      </c>
      <c r="C2344" s="30">
        <f>(Table2634[[#This Row],[M1 Money Stock, Billions of Dollars, Weekly, Seasonally Adjusted]]-B2343)/B2343</f>
        <v/>
      </c>
      <c r="D2344" s="34">
        <f>(Table2634[[#This Row],[M1 Money Stock, Billions of Dollars, Weekly, Seasonally Adjusted]]-B2341)/B2341</f>
        <v/>
      </c>
      <c r="E2344" s="24">
        <f>AVERAGE(B2341:B2344)</f>
        <v/>
      </c>
      <c r="F2344" s="32">
        <f>(Table2634[[#This Row],[4 weeks average]]-B2292)/B2292</f>
        <v/>
      </c>
    </row>
    <row r="2345">
      <c r="A2345" s="33" t="n">
        <v>43773</v>
      </c>
      <c r="B2345" s="24">
        <f>VLOOKUP(Table2634[[#This Row],[Date]],'DB Money Supply'!$A:$D,4)</f>
        <v/>
      </c>
      <c r="C2345" s="30">
        <f>(Table2634[[#This Row],[M1 Money Stock, Billions of Dollars, Weekly, Seasonally Adjusted]]-B2344)/B2344</f>
        <v/>
      </c>
      <c r="D2345" s="34">
        <f>(Table2634[[#This Row],[M1 Money Stock, Billions of Dollars, Weekly, Seasonally Adjusted]]-B2342)/B2342</f>
        <v/>
      </c>
      <c r="E2345" s="24">
        <f>AVERAGE(B2342:B2345)</f>
        <v/>
      </c>
      <c r="F2345" s="32">
        <f>(Table2634[[#This Row],[4 weeks average]]-B2293)/B2293</f>
        <v/>
      </c>
    </row>
    <row r="2346">
      <c r="A2346" s="33" t="n">
        <v>43780</v>
      </c>
      <c r="B2346" s="24">
        <f>VLOOKUP(Table2634[[#This Row],[Date]],'DB Money Supply'!$A:$D,4)</f>
        <v/>
      </c>
      <c r="C2346" s="30">
        <f>(Table2634[[#This Row],[M1 Money Stock, Billions of Dollars, Weekly, Seasonally Adjusted]]-B2345)/B2345</f>
        <v/>
      </c>
      <c r="D2346" s="34">
        <f>(Table2634[[#This Row],[M1 Money Stock, Billions of Dollars, Weekly, Seasonally Adjusted]]-B2343)/B2343</f>
        <v/>
      </c>
      <c r="E2346" s="24">
        <f>AVERAGE(B2343:B2346)</f>
        <v/>
      </c>
      <c r="F2346" s="32">
        <f>(Table2634[[#This Row],[4 weeks average]]-B2294)/B2294</f>
        <v/>
      </c>
    </row>
    <row r="2347">
      <c r="A2347" s="33" t="n">
        <v>43787</v>
      </c>
      <c r="B2347" s="24">
        <f>VLOOKUP(Table2634[[#This Row],[Date]],'DB Money Supply'!$A:$D,4)</f>
        <v/>
      </c>
      <c r="C2347" s="30">
        <f>(Table2634[[#This Row],[M1 Money Stock, Billions of Dollars, Weekly, Seasonally Adjusted]]-B2346)/B2346</f>
        <v/>
      </c>
      <c r="D2347" s="34">
        <f>(Table2634[[#This Row],[M1 Money Stock, Billions of Dollars, Weekly, Seasonally Adjusted]]-B2344)/B2344</f>
        <v/>
      </c>
      <c r="E2347" s="24">
        <f>AVERAGE(B2344:B2347)</f>
        <v/>
      </c>
      <c r="F2347" s="32">
        <f>(Table2634[[#This Row],[4 weeks average]]-B2295)/B2295</f>
        <v/>
      </c>
    </row>
    <row r="2348">
      <c r="A2348" s="33" t="n">
        <v>43794</v>
      </c>
      <c r="B2348" s="24">
        <f>VLOOKUP(Table2634[[#This Row],[Date]],'DB Money Supply'!$A:$D,4)</f>
        <v/>
      </c>
      <c r="C2348" s="30">
        <f>(Table2634[[#This Row],[M1 Money Stock, Billions of Dollars, Weekly, Seasonally Adjusted]]-B2347)/B2347</f>
        <v/>
      </c>
      <c r="D2348" s="34">
        <f>(Table2634[[#This Row],[M1 Money Stock, Billions of Dollars, Weekly, Seasonally Adjusted]]-B2345)/B2345</f>
        <v/>
      </c>
      <c r="E2348" s="24">
        <f>AVERAGE(B2345:B2348)</f>
        <v/>
      </c>
      <c r="F2348" s="32">
        <f>(Table2634[[#This Row],[4 weeks average]]-B2296)/B2296</f>
        <v/>
      </c>
    </row>
    <row r="2349">
      <c r="A2349" s="33" t="n">
        <v>43801</v>
      </c>
      <c r="B2349" s="24">
        <f>VLOOKUP(Table2634[[#This Row],[Date]],'DB Money Supply'!$A:$D,4)</f>
        <v/>
      </c>
      <c r="C2349" s="30">
        <f>(Table2634[[#This Row],[M1 Money Stock, Billions of Dollars, Weekly, Seasonally Adjusted]]-B2348)/B2348</f>
        <v/>
      </c>
      <c r="D2349" s="34">
        <f>(Table2634[[#This Row],[M1 Money Stock, Billions of Dollars, Weekly, Seasonally Adjusted]]-B2346)/B2346</f>
        <v/>
      </c>
      <c r="E2349" s="24">
        <f>AVERAGE(B2346:B2349)</f>
        <v/>
      </c>
      <c r="F2349" s="32">
        <f>(Table2634[[#This Row],[4 weeks average]]-B2297)/B2297</f>
        <v/>
      </c>
    </row>
    <row r="2350">
      <c r="A2350" s="33" t="n">
        <v>43808</v>
      </c>
      <c r="B2350" s="24">
        <f>VLOOKUP(Table2634[[#This Row],[Date]],'DB Money Supply'!$A:$D,4)</f>
        <v/>
      </c>
      <c r="C2350" s="30">
        <f>(Table2634[[#This Row],[M1 Money Stock, Billions of Dollars, Weekly, Seasonally Adjusted]]-B2349)/B2349</f>
        <v/>
      </c>
      <c r="D2350" s="34">
        <f>(Table2634[[#This Row],[M1 Money Stock, Billions of Dollars, Weekly, Seasonally Adjusted]]-B2347)/B2347</f>
        <v/>
      </c>
      <c r="E2350" s="24">
        <f>AVERAGE(B2347:B2350)</f>
        <v/>
      </c>
      <c r="F2350" s="32">
        <f>(Table2634[[#This Row],[4 weeks average]]-B2298)/B2298</f>
        <v/>
      </c>
    </row>
    <row r="2351">
      <c r="A2351" s="33" t="n">
        <v>43815</v>
      </c>
      <c r="B2351" s="24">
        <f>VLOOKUP(Table2634[[#This Row],[Date]],'DB Money Supply'!$A:$D,4)</f>
        <v/>
      </c>
      <c r="C2351" s="30">
        <f>(Table2634[[#This Row],[M1 Money Stock, Billions of Dollars, Weekly, Seasonally Adjusted]]-B2350)/B2350</f>
        <v/>
      </c>
      <c r="D2351" s="34">
        <f>(Table2634[[#This Row],[M1 Money Stock, Billions of Dollars, Weekly, Seasonally Adjusted]]-B2348)/B2348</f>
        <v/>
      </c>
      <c r="E2351" s="24">
        <f>AVERAGE(B2348:B2351)</f>
        <v/>
      </c>
      <c r="F2351" s="32">
        <f>(Table2634[[#This Row],[4 weeks average]]-B2299)/B2299</f>
        <v/>
      </c>
    </row>
    <row r="2352">
      <c r="A2352" s="33" t="n">
        <v>43822</v>
      </c>
      <c r="B2352" s="24">
        <f>VLOOKUP(Table2634[[#This Row],[Date]],'DB Money Supply'!$A:$D,4)</f>
        <v/>
      </c>
      <c r="C2352" s="30">
        <f>(Table2634[[#This Row],[M1 Money Stock, Billions of Dollars, Weekly, Seasonally Adjusted]]-B2351)/B2351</f>
        <v/>
      </c>
      <c r="D2352" s="34">
        <f>(Table2634[[#This Row],[M1 Money Stock, Billions of Dollars, Weekly, Seasonally Adjusted]]-B2349)/B2349</f>
        <v/>
      </c>
      <c r="E2352" s="24">
        <f>AVERAGE(B2349:B2352)</f>
        <v/>
      </c>
      <c r="F2352" s="32">
        <f>(Table2634[[#This Row],[4 weeks average]]-B2300)/B2300</f>
        <v/>
      </c>
    </row>
    <row r="2353">
      <c r="A2353" s="33" t="n">
        <v>43829</v>
      </c>
      <c r="B2353" s="24">
        <f>VLOOKUP(Table2634[[#This Row],[Date]],'DB Money Supply'!$A:$D,4)</f>
        <v/>
      </c>
      <c r="C2353" s="30">
        <f>(Table2634[[#This Row],[M1 Money Stock, Billions of Dollars, Weekly, Seasonally Adjusted]]-B2352)/B2352</f>
        <v/>
      </c>
      <c r="D2353" s="34">
        <f>(Table2634[[#This Row],[M1 Money Stock, Billions of Dollars, Weekly, Seasonally Adjusted]]-B2350)/B2350</f>
        <v/>
      </c>
      <c r="E2353" s="24">
        <f>AVERAGE(B2350:B2353)</f>
        <v/>
      </c>
      <c r="F2353" s="32">
        <f>(Table2634[[#This Row],[4 weeks average]]-B2301)/B2301</f>
        <v/>
      </c>
    </row>
    <row r="2354">
      <c r="A2354" s="33" t="n">
        <v>43836</v>
      </c>
      <c r="B2354" s="24">
        <f>VLOOKUP(Table2634[[#This Row],[Date]],'DB Money Supply'!$A:$D,4)</f>
        <v/>
      </c>
      <c r="C2354" s="30">
        <f>(Table2634[[#This Row],[M1 Money Stock, Billions of Dollars, Weekly, Seasonally Adjusted]]-B2353)/B2353</f>
        <v/>
      </c>
      <c r="D2354" s="34">
        <f>(Table2634[[#This Row],[M1 Money Stock, Billions of Dollars, Weekly, Seasonally Adjusted]]-B2351)/B2351</f>
        <v/>
      </c>
      <c r="E2354" s="24">
        <f>AVERAGE(B2351:B2354)</f>
        <v/>
      </c>
      <c r="F2354" s="32">
        <f>(Table2634[[#This Row],[4 weeks average]]-B2302)/B2302</f>
        <v/>
      </c>
    </row>
    <row r="2355">
      <c r="A2355" s="33" t="n">
        <v>43843</v>
      </c>
      <c r="B2355" s="24">
        <f>VLOOKUP(Table2634[[#This Row],[Date]],'DB Money Supply'!$A:$D,4)</f>
        <v/>
      </c>
      <c r="C2355" s="30">
        <f>(Table2634[[#This Row],[M1 Money Stock, Billions of Dollars, Weekly, Seasonally Adjusted]]-B2354)/B2354</f>
        <v/>
      </c>
      <c r="D2355" s="34">
        <f>(Table2634[[#This Row],[M1 Money Stock, Billions of Dollars, Weekly, Seasonally Adjusted]]-B2352)/B2352</f>
        <v/>
      </c>
      <c r="E2355" s="24">
        <f>AVERAGE(B2352:B2355)</f>
        <v/>
      </c>
      <c r="F2355" s="32">
        <f>(Table2634[[#This Row],[4 weeks average]]-B2303)/B2303</f>
        <v/>
      </c>
    </row>
    <row r="2356">
      <c r="A2356" s="33" t="n">
        <v>43850</v>
      </c>
      <c r="B2356" s="24">
        <f>VLOOKUP(Table2634[[#This Row],[Date]],'DB Money Supply'!$A:$D,4)</f>
        <v/>
      </c>
      <c r="C2356" s="30">
        <f>(Table2634[[#This Row],[M1 Money Stock, Billions of Dollars, Weekly, Seasonally Adjusted]]-B2355)/B2355</f>
        <v/>
      </c>
      <c r="D2356" s="34">
        <f>(Table2634[[#This Row],[M1 Money Stock, Billions of Dollars, Weekly, Seasonally Adjusted]]-B2353)/B2353</f>
        <v/>
      </c>
      <c r="E2356" s="24">
        <f>AVERAGE(B2353:B2356)</f>
        <v/>
      </c>
      <c r="F2356" s="32">
        <f>(Table2634[[#This Row],[4 weeks average]]-B2304)/B2304</f>
        <v/>
      </c>
    </row>
    <row r="2357">
      <c r="A2357" s="33" t="n">
        <v>43857</v>
      </c>
      <c r="B2357" s="24">
        <f>VLOOKUP(Table2634[[#This Row],[Date]],'DB Money Supply'!$A:$D,4)</f>
        <v/>
      </c>
      <c r="C2357" s="30">
        <f>(Table2634[[#This Row],[M1 Money Stock, Billions of Dollars, Weekly, Seasonally Adjusted]]-B2356)/B2356</f>
        <v/>
      </c>
      <c r="D2357" s="34">
        <f>(Table2634[[#This Row],[M1 Money Stock, Billions of Dollars, Weekly, Seasonally Adjusted]]-B2354)/B2354</f>
        <v/>
      </c>
      <c r="E2357" s="24">
        <f>AVERAGE(B2354:B2357)</f>
        <v/>
      </c>
      <c r="F2357" s="32">
        <f>(Table2634[[#This Row],[4 weeks average]]-B2305)/B2305</f>
        <v/>
      </c>
    </row>
    <row r="2358">
      <c r="A2358" s="33" t="n">
        <v>43864</v>
      </c>
      <c r="B2358" s="24">
        <f>VLOOKUP(Table2634[[#This Row],[Date]],'DB Money Supply'!$A:$D,4)</f>
        <v/>
      </c>
      <c r="C2358" s="30">
        <f>(Table2634[[#This Row],[M1 Money Stock, Billions of Dollars, Weekly, Seasonally Adjusted]]-B2357)/B2357</f>
        <v/>
      </c>
      <c r="D2358" s="34">
        <f>(Table2634[[#This Row],[M1 Money Stock, Billions of Dollars, Weekly, Seasonally Adjusted]]-B2355)/B2355</f>
        <v/>
      </c>
      <c r="E2358" s="24">
        <f>AVERAGE(B2355:B2358)</f>
        <v/>
      </c>
      <c r="F2358" s="32">
        <f>(Table2634[[#This Row],[4 weeks average]]-B2306)/B2306</f>
        <v/>
      </c>
    </row>
    <row r="2359">
      <c r="A2359" s="33" t="n">
        <v>43871</v>
      </c>
      <c r="B2359" s="24">
        <f>VLOOKUP(Table2634[[#This Row],[Date]],'DB Money Supply'!$A:$D,4)</f>
        <v/>
      </c>
      <c r="C2359" s="30">
        <f>(Table2634[[#This Row],[M1 Money Stock, Billions of Dollars, Weekly, Seasonally Adjusted]]-B2358)/B2358</f>
        <v/>
      </c>
      <c r="D2359" s="34">
        <f>(Table2634[[#This Row],[M1 Money Stock, Billions of Dollars, Weekly, Seasonally Adjusted]]-B2356)/B2356</f>
        <v/>
      </c>
      <c r="E2359" s="24">
        <f>AVERAGE(B2356:B2359)</f>
        <v/>
      </c>
      <c r="F2359" s="32">
        <f>(Table2634[[#This Row],[4 weeks average]]-B2307)/B2307</f>
        <v/>
      </c>
    </row>
    <row r="2360">
      <c r="A2360" s="33" t="n">
        <v>43878</v>
      </c>
      <c r="B2360" s="24">
        <f>VLOOKUP(Table2634[[#This Row],[Date]],'DB Money Supply'!$A:$D,4)</f>
        <v/>
      </c>
      <c r="C2360" s="30">
        <f>(Table2634[[#This Row],[M1 Money Stock, Billions of Dollars, Weekly, Seasonally Adjusted]]-B2359)/B2359</f>
        <v/>
      </c>
      <c r="D2360" s="34">
        <f>(Table2634[[#This Row],[M1 Money Stock, Billions of Dollars, Weekly, Seasonally Adjusted]]-B2357)/B2357</f>
        <v/>
      </c>
      <c r="E2360" s="24">
        <f>AVERAGE(B2357:B2360)</f>
        <v/>
      </c>
      <c r="F2360" s="32">
        <f>(Table2634[[#This Row],[4 weeks average]]-B2308)/B2308</f>
        <v/>
      </c>
    </row>
    <row r="2361">
      <c r="A2361" s="33" t="n">
        <v>43885</v>
      </c>
      <c r="B2361" s="24">
        <f>VLOOKUP(Table2634[[#This Row],[Date]],'DB Money Supply'!$A:$D,4)</f>
        <v/>
      </c>
      <c r="C2361" s="30">
        <f>(Table2634[[#This Row],[M1 Money Stock, Billions of Dollars, Weekly, Seasonally Adjusted]]-B2360)/B2360</f>
        <v/>
      </c>
      <c r="D2361" s="34">
        <f>(Table2634[[#This Row],[M1 Money Stock, Billions of Dollars, Weekly, Seasonally Adjusted]]-B2358)/B2358</f>
        <v/>
      </c>
      <c r="E2361" s="24">
        <f>AVERAGE(B2358:B2361)</f>
        <v/>
      </c>
      <c r="F2361" s="32">
        <f>(Table2634[[#This Row],[4 weeks average]]-B2309)/B2309</f>
        <v/>
      </c>
    </row>
    <row r="2362">
      <c r="A2362" s="33" t="n">
        <v>43892</v>
      </c>
      <c r="B2362" s="24">
        <f>VLOOKUP(Table2634[[#This Row],[Date]],'DB Money Supply'!$A:$D,4)</f>
        <v/>
      </c>
      <c r="C2362" s="30">
        <f>(Table2634[[#This Row],[M1 Money Stock, Billions of Dollars, Weekly, Seasonally Adjusted]]-B2361)/B2361</f>
        <v/>
      </c>
      <c r="D2362" s="34">
        <f>(Table2634[[#This Row],[M1 Money Stock, Billions of Dollars, Weekly, Seasonally Adjusted]]-B2359)/B2359</f>
        <v/>
      </c>
      <c r="E2362" s="24">
        <f>AVERAGE(B2359:B2362)</f>
        <v/>
      </c>
      <c r="F2362" s="32">
        <f>(Table2634[[#This Row],[4 weeks average]]-B2310)/B2310</f>
        <v/>
      </c>
    </row>
    <row r="2363">
      <c r="A2363" s="33" t="n">
        <v>43899</v>
      </c>
      <c r="B2363" s="24">
        <f>VLOOKUP(Table2634[[#This Row],[Date]],'DB Money Supply'!$A:$D,4)</f>
        <v/>
      </c>
      <c r="C2363" s="30">
        <f>(Table2634[[#This Row],[M1 Money Stock, Billions of Dollars, Weekly, Seasonally Adjusted]]-B2362)/B2362</f>
        <v/>
      </c>
      <c r="D2363" s="34">
        <f>(Table2634[[#This Row],[M1 Money Stock, Billions of Dollars, Weekly, Seasonally Adjusted]]-B2360)/B2360</f>
        <v/>
      </c>
      <c r="E2363" s="24">
        <f>AVERAGE(B2360:B2363)</f>
        <v/>
      </c>
      <c r="F2363" s="32">
        <f>(Table2634[[#This Row],[4 weeks average]]-B2311)/B2311</f>
        <v/>
      </c>
    </row>
    <row r="2364">
      <c r="A2364" s="33" t="n">
        <v>43906</v>
      </c>
      <c r="B2364" s="24">
        <f>VLOOKUP(Table2634[[#This Row],[Date]],'DB Money Supply'!$A:$D,4)</f>
        <v/>
      </c>
      <c r="C2364" s="30">
        <f>(Table2634[[#This Row],[M1 Money Stock, Billions of Dollars, Weekly, Seasonally Adjusted]]-B2363)/B2363</f>
        <v/>
      </c>
      <c r="D2364" s="34">
        <f>(Table2634[[#This Row],[M1 Money Stock, Billions of Dollars, Weekly, Seasonally Adjusted]]-B2361)/B2361</f>
        <v/>
      </c>
      <c r="E2364" s="24">
        <f>AVERAGE(B2361:B2364)</f>
        <v/>
      </c>
      <c r="F2364" s="32">
        <f>(Table2634[[#This Row],[4 weeks average]]-B2312)/B2312</f>
        <v/>
      </c>
    </row>
    <row r="2365">
      <c r="A2365" s="33" t="n">
        <v>43913</v>
      </c>
      <c r="B2365" s="24">
        <f>VLOOKUP(Table2634[[#This Row],[Date]],'DB Money Supply'!$A:$D,4)</f>
        <v/>
      </c>
      <c r="C2365" s="30">
        <f>(Table2634[[#This Row],[M1 Money Stock, Billions of Dollars, Weekly, Seasonally Adjusted]]-B2364)/B2364</f>
        <v/>
      </c>
      <c r="D2365" s="34">
        <f>(Table2634[[#This Row],[M1 Money Stock, Billions of Dollars, Weekly, Seasonally Adjusted]]-B2362)/B2362</f>
        <v/>
      </c>
      <c r="E2365" s="24">
        <f>AVERAGE(B2362:B2365)</f>
        <v/>
      </c>
      <c r="F2365" s="32">
        <f>(Table2634[[#This Row],[4 weeks average]]-B2313)/B2313</f>
        <v/>
      </c>
    </row>
    <row r="2366">
      <c r="A2366" s="33" t="n">
        <v>43920</v>
      </c>
      <c r="B2366" s="24">
        <f>VLOOKUP(Table2634[[#This Row],[Date]],'DB Money Supply'!$A:$D,4)</f>
        <v/>
      </c>
      <c r="C2366" s="30">
        <f>(Table2634[[#This Row],[M1 Money Stock, Billions of Dollars, Weekly, Seasonally Adjusted]]-B2365)/B2365</f>
        <v/>
      </c>
      <c r="D2366" s="34">
        <f>(Table2634[[#This Row],[M1 Money Stock, Billions of Dollars, Weekly, Seasonally Adjusted]]-B2363)/B2363</f>
        <v/>
      </c>
      <c r="E2366" s="24">
        <f>AVERAGE(B2363:B2366)</f>
        <v/>
      </c>
      <c r="F2366" s="32">
        <f>(Table2634[[#This Row],[4 weeks average]]-B2314)/B2314</f>
        <v/>
      </c>
    </row>
    <row r="2367">
      <c r="A2367" s="33" t="n">
        <v>43927</v>
      </c>
      <c r="B2367" s="24">
        <f>VLOOKUP(Table2634[[#This Row],[Date]],'DB Money Supply'!$A:$D,4)</f>
        <v/>
      </c>
      <c r="C2367" s="30">
        <f>(Table2634[[#This Row],[M1 Money Stock, Billions of Dollars, Weekly, Seasonally Adjusted]]-B2366)/B2366</f>
        <v/>
      </c>
      <c r="D2367" s="34">
        <f>(Table2634[[#This Row],[M1 Money Stock, Billions of Dollars, Weekly, Seasonally Adjusted]]-B2364)/B2364</f>
        <v/>
      </c>
      <c r="E2367" s="24">
        <f>AVERAGE(B2364:B2367)</f>
        <v/>
      </c>
      <c r="F2367" s="32">
        <f>(Table2634[[#This Row],[4 weeks average]]-B2315)/B2315</f>
        <v/>
      </c>
    </row>
    <row r="2368">
      <c r="A2368" s="33" t="n">
        <v>43934</v>
      </c>
      <c r="B2368" s="24">
        <f>VLOOKUP(Table2634[[#This Row],[Date]],'DB Money Supply'!$A:$D,4)</f>
        <v/>
      </c>
      <c r="C2368" s="30">
        <f>(Table2634[[#This Row],[M1 Money Stock, Billions of Dollars, Weekly, Seasonally Adjusted]]-B2367)/B2367</f>
        <v/>
      </c>
      <c r="D2368" s="34">
        <f>(Table2634[[#This Row],[M1 Money Stock, Billions of Dollars, Weekly, Seasonally Adjusted]]-B2365)/B2365</f>
        <v/>
      </c>
      <c r="E2368" s="24">
        <f>AVERAGE(B2365:B2368)</f>
        <v/>
      </c>
      <c r="F2368" s="32">
        <f>(Table2634[[#This Row],[4 weeks average]]-B2316)/B2316</f>
        <v/>
      </c>
    </row>
    <row r="2369">
      <c r="A2369" s="33" t="n">
        <v>43941</v>
      </c>
      <c r="B2369" s="24">
        <f>VLOOKUP(Table2634[[#This Row],[Date]],'DB Money Supply'!$A:$D,4)</f>
        <v/>
      </c>
      <c r="C2369" s="30">
        <f>(Table2634[[#This Row],[M1 Money Stock, Billions of Dollars, Weekly, Seasonally Adjusted]]-B2368)/B2368</f>
        <v/>
      </c>
      <c r="D2369" s="34">
        <f>(Table2634[[#This Row],[M1 Money Stock, Billions of Dollars, Weekly, Seasonally Adjusted]]-B2366)/B2366</f>
        <v/>
      </c>
      <c r="E2369" s="24">
        <f>AVERAGE(B2366:B2369)</f>
        <v/>
      </c>
      <c r="F2369" s="32">
        <f>(Table2634[[#This Row],[4 weeks average]]-B2317)/B2317</f>
        <v/>
      </c>
    </row>
    <row r="2370">
      <c r="A2370" s="33" t="n">
        <v>43948</v>
      </c>
      <c r="B2370" s="24">
        <f>VLOOKUP(Table2634[[#This Row],[Date]],'DB Money Supply'!$A:$D,4)</f>
        <v/>
      </c>
      <c r="C2370" s="30">
        <f>(Table2634[[#This Row],[M1 Money Stock, Billions of Dollars, Weekly, Seasonally Adjusted]]-B2369)/B2369</f>
        <v/>
      </c>
      <c r="D2370" s="34">
        <f>(Table2634[[#This Row],[M1 Money Stock, Billions of Dollars, Weekly, Seasonally Adjusted]]-B2367)/B2367</f>
        <v/>
      </c>
      <c r="E2370" s="24">
        <f>AVERAGE(B2367:B2370)</f>
        <v/>
      </c>
      <c r="F2370" s="32">
        <f>(Table2634[[#This Row],[4 weeks average]]-B2318)/B2318</f>
        <v/>
      </c>
    </row>
    <row r="2371">
      <c r="A2371" s="33" t="n">
        <v>43955</v>
      </c>
      <c r="B2371" s="24">
        <f>VLOOKUP(Table2634[[#This Row],[Date]],'DB Money Supply'!$A:$D,4)</f>
        <v/>
      </c>
      <c r="C2371" s="30">
        <f>(Table2634[[#This Row],[M1 Money Stock, Billions of Dollars, Weekly, Seasonally Adjusted]]-B2370)/B2370</f>
        <v/>
      </c>
      <c r="D2371" s="34">
        <f>(Table2634[[#This Row],[M1 Money Stock, Billions of Dollars, Weekly, Seasonally Adjusted]]-B2368)/B2368</f>
        <v/>
      </c>
      <c r="E2371" s="24">
        <f>AVERAGE(B2368:B2371)</f>
        <v/>
      </c>
      <c r="F2371" s="32">
        <f>(Table2634[[#This Row],[4 weeks average]]-B2319)/B2319</f>
        <v/>
      </c>
    </row>
    <row r="2372">
      <c r="A2372" s="33" t="n">
        <v>43962</v>
      </c>
      <c r="B2372" s="24">
        <f>VLOOKUP(Table2634[[#This Row],[Date]],'DB Money Supply'!$A:$D,4)</f>
        <v/>
      </c>
      <c r="C2372" s="30">
        <f>(Table2634[[#This Row],[M1 Money Stock, Billions of Dollars, Weekly, Seasonally Adjusted]]-B2371)/B2371</f>
        <v/>
      </c>
      <c r="D2372" s="34">
        <f>(Table2634[[#This Row],[M1 Money Stock, Billions of Dollars, Weekly, Seasonally Adjusted]]-B2369)/B2369</f>
        <v/>
      </c>
      <c r="E2372" s="24">
        <f>AVERAGE(B2369:B2372)</f>
        <v/>
      </c>
      <c r="F2372" s="32">
        <f>(Table2634[[#This Row],[4 weeks average]]-B2320)/B2320</f>
        <v/>
      </c>
    </row>
    <row r="2373">
      <c r="A2373" s="33" t="n">
        <v>43969</v>
      </c>
      <c r="B2373" s="24">
        <f>VLOOKUP(Table2634[[#This Row],[Date]],'DB Money Supply'!$A:$D,4)</f>
        <v/>
      </c>
      <c r="C2373" s="30">
        <f>(Table2634[[#This Row],[M1 Money Stock, Billions of Dollars, Weekly, Seasonally Adjusted]]-B2372)/B2372</f>
        <v/>
      </c>
      <c r="D2373" s="34">
        <f>(Table2634[[#This Row],[M1 Money Stock, Billions of Dollars, Weekly, Seasonally Adjusted]]-B2370)/B2370</f>
        <v/>
      </c>
      <c r="E2373" s="24">
        <f>AVERAGE(B2370:B2373)</f>
        <v/>
      </c>
      <c r="F2373" s="32">
        <f>(Table2634[[#This Row],[4 weeks average]]-B2321)/B2321</f>
        <v/>
      </c>
    </row>
    <row r="2374">
      <c r="A2374" s="33" t="n">
        <v>43976</v>
      </c>
      <c r="B2374" s="24">
        <f>VLOOKUP(Table2634[[#This Row],[Date]],'DB Money Supply'!$A:$D,4)</f>
        <v/>
      </c>
      <c r="C2374" s="30">
        <f>(Table2634[[#This Row],[M1 Money Stock, Billions of Dollars, Weekly, Seasonally Adjusted]]-B2373)/B2373</f>
        <v/>
      </c>
      <c r="D2374" s="34">
        <f>(Table2634[[#This Row],[M1 Money Stock, Billions of Dollars, Weekly, Seasonally Adjusted]]-B2371)/B2371</f>
        <v/>
      </c>
      <c r="E2374" s="24">
        <f>AVERAGE(B2371:B2374)</f>
        <v/>
      </c>
      <c r="F2374" s="32">
        <f>(Table2634[[#This Row],[4 weeks average]]-B2322)/B2322</f>
        <v/>
      </c>
    </row>
    <row r="2375">
      <c r="A2375" s="33" t="n">
        <v>43983</v>
      </c>
      <c r="B2375" s="24">
        <f>VLOOKUP(Table2634[[#This Row],[Date]],'DB Money Supply'!$A:$D,4)</f>
        <v/>
      </c>
      <c r="C2375" s="30">
        <f>(Table2634[[#This Row],[M1 Money Stock, Billions of Dollars, Weekly, Seasonally Adjusted]]-B2374)/B2374</f>
        <v/>
      </c>
      <c r="D2375" s="34">
        <f>(Table2634[[#This Row],[M1 Money Stock, Billions of Dollars, Weekly, Seasonally Adjusted]]-B2372)/B2372</f>
        <v/>
      </c>
      <c r="E2375" s="24">
        <f>AVERAGE(B2372:B2375)</f>
        <v/>
      </c>
      <c r="F2375" s="32">
        <f>(Table2634[[#This Row],[4 weeks average]]-B2323)/B2323</f>
        <v/>
      </c>
    </row>
    <row r="2376">
      <c r="A2376" s="33" t="n">
        <v>43990</v>
      </c>
      <c r="B2376" s="24">
        <f>VLOOKUP(Table2634[[#This Row],[Date]],'DB Money Supply'!$A:$D,4)</f>
        <v/>
      </c>
      <c r="C2376" s="30">
        <f>(Table2634[[#This Row],[M1 Money Stock, Billions of Dollars, Weekly, Seasonally Adjusted]]-B2375)/B2375</f>
        <v/>
      </c>
      <c r="D2376" s="34">
        <f>(Table2634[[#This Row],[M1 Money Stock, Billions of Dollars, Weekly, Seasonally Adjusted]]-B2373)/B2373</f>
        <v/>
      </c>
      <c r="E2376" s="24">
        <f>AVERAGE(B2373:B2376)</f>
        <v/>
      </c>
      <c r="F2376" s="32">
        <f>(Table2634[[#This Row],[4 weeks average]]-B2324)/B2324</f>
        <v/>
      </c>
    </row>
    <row r="2377">
      <c r="A2377" s="33" t="n">
        <v>43997</v>
      </c>
      <c r="B2377" s="24">
        <f>VLOOKUP(Table2634[[#This Row],[Date]],'DB Money Supply'!$A:$D,4)</f>
        <v/>
      </c>
      <c r="C2377" s="30">
        <f>(Table2634[[#This Row],[M1 Money Stock, Billions of Dollars, Weekly, Seasonally Adjusted]]-B2376)/B2376</f>
        <v/>
      </c>
      <c r="D2377" s="34">
        <f>(Table2634[[#This Row],[M1 Money Stock, Billions of Dollars, Weekly, Seasonally Adjusted]]-B2374)/B2374</f>
        <v/>
      </c>
      <c r="E2377" s="24">
        <f>AVERAGE(B2374:B2377)</f>
        <v/>
      </c>
      <c r="F2377" s="32">
        <f>(Table2634[[#This Row],[4 weeks average]]-B2325)/B2325</f>
        <v/>
      </c>
    </row>
    <row r="2378">
      <c r="A2378" s="33" t="n">
        <v>44004</v>
      </c>
      <c r="B2378" s="24">
        <f>VLOOKUP(Table2634[[#This Row],[Date]],'DB Money Supply'!$A:$D,4)</f>
        <v/>
      </c>
      <c r="C2378" s="30">
        <f>(Table2634[[#This Row],[M1 Money Stock, Billions of Dollars, Weekly, Seasonally Adjusted]]-B2377)/B2377</f>
        <v/>
      </c>
      <c r="D2378" s="34">
        <f>(Table2634[[#This Row],[M1 Money Stock, Billions of Dollars, Weekly, Seasonally Adjusted]]-B2375)/B2375</f>
        <v/>
      </c>
      <c r="E2378" s="24">
        <f>AVERAGE(B2375:B2378)</f>
        <v/>
      </c>
      <c r="F2378" s="32">
        <f>(Table2634[[#This Row],[4 weeks average]]-B2326)/B2326</f>
        <v/>
      </c>
    </row>
    <row r="2379">
      <c r="A2379" s="33" t="n">
        <v>44011</v>
      </c>
      <c r="B2379" s="24">
        <f>VLOOKUP(Table2634[[#This Row],[Date]],'DB Money Supply'!$A:$D,4)</f>
        <v/>
      </c>
      <c r="C2379" s="30">
        <f>(Table2634[[#This Row],[M1 Money Stock, Billions of Dollars, Weekly, Seasonally Adjusted]]-B2378)/B2378</f>
        <v/>
      </c>
      <c r="D2379" s="34">
        <f>(Table2634[[#This Row],[M1 Money Stock, Billions of Dollars, Weekly, Seasonally Adjusted]]-B2376)/B2376</f>
        <v/>
      </c>
      <c r="E2379" s="24">
        <f>AVERAGE(B2376:B2379)</f>
        <v/>
      </c>
      <c r="F2379" s="32">
        <f>(Table2634[[#This Row],[4 weeks average]]-B2327)/B2327</f>
        <v/>
      </c>
    </row>
    <row r="2380">
      <c r="A2380" s="33" t="n">
        <v>44018</v>
      </c>
      <c r="B2380" s="24">
        <f>VLOOKUP(Table2634[[#This Row],[Date]],'DB Money Supply'!$A:$D,4)</f>
        <v/>
      </c>
      <c r="C2380" s="30">
        <f>(Table2634[[#This Row],[M1 Money Stock, Billions of Dollars, Weekly, Seasonally Adjusted]]-B2379)/B2379</f>
        <v/>
      </c>
      <c r="D2380" s="34">
        <f>(Table2634[[#This Row],[M1 Money Stock, Billions of Dollars, Weekly, Seasonally Adjusted]]-B2377)/B2377</f>
        <v/>
      </c>
      <c r="E2380" s="24">
        <f>AVERAGE(B2377:B2380)</f>
        <v/>
      </c>
      <c r="F2380" s="32">
        <f>(Table2634[[#This Row],[4 weeks average]]-B2328)/B2328</f>
        <v/>
      </c>
    </row>
    <row r="2381">
      <c r="A2381" s="33" t="n">
        <v>44025</v>
      </c>
      <c r="B2381" s="24">
        <f>VLOOKUP(Table2634[[#This Row],[Date]],'DB Money Supply'!$A:$D,4)</f>
        <v/>
      </c>
      <c r="C2381" s="30">
        <f>(Table2634[[#This Row],[M1 Money Stock, Billions of Dollars, Weekly, Seasonally Adjusted]]-B2380)/B2380</f>
        <v/>
      </c>
      <c r="D2381" s="34">
        <f>(Table2634[[#This Row],[M1 Money Stock, Billions of Dollars, Weekly, Seasonally Adjusted]]-B2378)/B2378</f>
        <v/>
      </c>
      <c r="E2381" s="24">
        <f>AVERAGE(B2378:B2381)</f>
        <v/>
      </c>
      <c r="F2381" s="32">
        <f>(Table2634[[#This Row],[4 weeks average]]-B2329)/B2329</f>
        <v/>
      </c>
    </row>
    <row r="2382">
      <c r="A2382" s="33" t="n">
        <v>44032</v>
      </c>
      <c r="B2382" s="24">
        <f>VLOOKUP(Table2634[[#This Row],[Date]],'DB Money Supply'!$A:$D,4)</f>
        <v/>
      </c>
      <c r="C2382" s="30">
        <f>(Table2634[[#This Row],[M1 Money Stock, Billions of Dollars, Weekly, Seasonally Adjusted]]-B2381)/B2381</f>
        <v/>
      </c>
      <c r="D2382" s="34">
        <f>(Table2634[[#This Row],[M1 Money Stock, Billions of Dollars, Weekly, Seasonally Adjusted]]-B2379)/B2379</f>
        <v/>
      </c>
      <c r="E2382" s="24">
        <f>AVERAGE(B2379:B2382)</f>
        <v/>
      </c>
      <c r="F2382" s="32">
        <f>(Table2634[[#This Row],[4 weeks average]]-B2330)/B2330</f>
        <v/>
      </c>
    </row>
    <row r="2383">
      <c r="A2383" s="33" t="n">
        <v>44039</v>
      </c>
      <c r="B2383" s="24">
        <f>VLOOKUP(Table2634[[#This Row],[Date]],'DB Money Supply'!$A:$D,4)</f>
        <v/>
      </c>
      <c r="C2383" s="30">
        <f>(Table2634[[#This Row],[M1 Money Stock, Billions of Dollars, Weekly, Seasonally Adjusted]]-B2382)/B2382</f>
        <v/>
      </c>
      <c r="D2383" s="34">
        <f>(Table2634[[#This Row],[M1 Money Stock, Billions of Dollars, Weekly, Seasonally Adjusted]]-B2380)/B2380</f>
        <v/>
      </c>
      <c r="E2383" s="24">
        <f>AVERAGE(B2380:B2383)</f>
        <v/>
      </c>
      <c r="F2383" s="32">
        <f>(Table2634[[#This Row],[4 weeks average]]-B2331)/B2331</f>
        <v/>
      </c>
    </row>
    <row r="2384">
      <c r="A2384" s="33" t="n">
        <v>44046</v>
      </c>
      <c r="B2384" s="24">
        <f>VLOOKUP(Table2634[[#This Row],[Date]],'DB Money Supply'!$A:$D,4)</f>
        <v/>
      </c>
      <c r="C2384" s="30">
        <f>(Table2634[[#This Row],[M1 Money Stock, Billions of Dollars, Weekly, Seasonally Adjusted]]-B2383)/B2383</f>
        <v/>
      </c>
      <c r="D2384" s="34">
        <f>(Table2634[[#This Row],[M1 Money Stock, Billions of Dollars, Weekly, Seasonally Adjusted]]-B2381)/B2381</f>
        <v/>
      </c>
      <c r="E2384" s="24">
        <f>AVERAGE(B2381:B2384)</f>
        <v/>
      </c>
      <c r="F2384" s="32">
        <f>(Table2634[[#This Row],[4 weeks average]]-B2332)/B2332</f>
        <v/>
      </c>
    </row>
    <row r="2385">
      <c r="A2385" s="33" t="n">
        <v>44053</v>
      </c>
      <c r="B2385" s="24">
        <f>VLOOKUP(Table2634[[#This Row],[Date]],'DB Money Supply'!$A:$D,4)</f>
        <v/>
      </c>
      <c r="C2385" s="30">
        <f>(Table2634[[#This Row],[M1 Money Stock, Billions of Dollars, Weekly, Seasonally Adjusted]]-B2384)/B2384</f>
        <v/>
      </c>
      <c r="D2385" s="34">
        <f>(Table2634[[#This Row],[M1 Money Stock, Billions of Dollars, Weekly, Seasonally Adjusted]]-B2382)/B2382</f>
        <v/>
      </c>
      <c r="E2385" s="24">
        <f>AVERAGE(B2382:B2385)</f>
        <v/>
      </c>
      <c r="F2385" s="32">
        <f>(Table2634[[#This Row],[4 weeks average]]-B2333)/B2333</f>
        <v/>
      </c>
    </row>
    <row r="2386">
      <c r="A2386" s="33" t="n">
        <v>44060</v>
      </c>
      <c r="B2386" s="24">
        <f>VLOOKUP(Table2634[[#This Row],[Date]],'DB Money Supply'!$A:$D,4)</f>
        <v/>
      </c>
      <c r="C2386" s="30">
        <f>(Table2634[[#This Row],[M1 Money Stock, Billions of Dollars, Weekly, Seasonally Adjusted]]-B2385)/B2385</f>
        <v/>
      </c>
      <c r="D2386" s="34">
        <f>(Table2634[[#This Row],[M1 Money Stock, Billions of Dollars, Weekly, Seasonally Adjusted]]-B2383)/B2383</f>
        <v/>
      </c>
      <c r="E2386" s="24">
        <f>AVERAGE(B2383:B2386)</f>
        <v/>
      </c>
      <c r="F2386" s="32">
        <f>(Table2634[[#This Row],[4 weeks average]]-B2334)/B2334</f>
        <v/>
      </c>
    </row>
    <row r="2387">
      <c r="A2387" s="33" t="n">
        <v>44067</v>
      </c>
      <c r="B2387" s="24">
        <f>VLOOKUP(Table2634[[#This Row],[Date]],'DB Money Supply'!$A:$D,4)</f>
        <v/>
      </c>
      <c r="C2387" s="30">
        <f>(Table2634[[#This Row],[M1 Money Stock, Billions of Dollars, Weekly, Seasonally Adjusted]]-B2386)/B2386</f>
        <v/>
      </c>
      <c r="D2387" s="34">
        <f>(Table2634[[#This Row],[M1 Money Stock, Billions of Dollars, Weekly, Seasonally Adjusted]]-B2384)/B2384</f>
        <v/>
      </c>
      <c r="E2387" s="24">
        <f>AVERAGE(B2384:B2387)</f>
        <v/>
      </c>
      <c r="F2387" s="32">
        <f>(Table2634[[#This Row],[4 weeks average]]-B2335)/B2335</f>
        <v/>
      </c>
    </row>
    <row r="2388">
      <c r="A2388" s="33" t="n">
        <v>44074</v>
      </c>
      <c r="B2388" s="24">
        <f>VLOOKUP(Table2634[[#This Row],[Date]],'DB Money Supply'!$A:$D,4)</f>
        <v/>
      </c>
      <c r="C2388" s="30">
        <f>(Table2634[[#This Row],[M1 Money Stock, Billions of Dollars, Weekly, Seasonally Adjusted]]-B2387)/B2387</f>
        <v/>
      </c>
      <c r="D2388" s="34">
        <f>(Table2634[[#This Row],[M1 Money Stock, Billions of Dollars, Weekly, Seasonally Adjusted]]-B2385)/B2385</f>
        <v/>
      </c>
      <c r="E2388" s="24">
        <f>AVERAGE(B2385:B2388)</f>
        <v/>
      </c>
      <c r="F2388" s="32">
        <f>(Table2634[[#This Row],[4 weeks average]]-B2336)/B2336</f>
        <v/>
      </c>
    </row>
    <row r="2389">
      <c r="A2389" s="33" t="n">
        <v>44081</v>
      </c>
      <c r="B2389" s="24">
        <f>VLOOKUP(Table2634[[#This Row],[Date]],'DB Money Supply'!$A:$D,4)</f>
        <v/>
      </c>
      <c r="C2389" s="30">
        <f>(Table2634[[#This Row],[M1 Money Stock, Billions of Dollars, Weekly, Seasonally Adjusted]]-B2388)/B2388</f>
        <v/>
      </c>
      <c r="D2389" s="34">
        <f>(Table2634[[#This Row],[M1 Money Stock, Billions of Dollars, Weekly, Seasonally Adjusted]]-B2386)/B2386</f>
        <v/>
      </c>
      <c r="E2389" s="24">
        <f>AVERAGE(B2386:B2389)</f>
        <v/>
      </c>
      <c r="F2389" s="32">
        <f>(Table2634[[#This Row],[4 weeks average]]-B2337)/B2337</f>
        <v/>
      </c>
    </row>
    <row r="2390">
      <c r="A2390" s="33" t="n">
        <v>44088</v>
      </c>
      <c r="B2390" s="24">
        <f>VLOOKUP(Table2634[[#This Row],[Date]],'DB Money Supply'!$A:$D,4)</f>
        <v/>
      </c>
      <c r="C2390" s="30">
        <f>(Table2634[[#This Row],[M1 Money Stock, Billions of Dollars, Weekly, Seasonally Adjusted]]-B2389)/B2389</f>
        <v/>
      </c>
      <c r="D2390" s="34">
        <f>(Table2634[[#This Row],[M1 Money Stock, Billions of Dollars, Weekly, Seasonally Adjusted]]-B2387)/B2387</f>
        <v/>
      </c>
      <c r="E2390" s="24">
        <f>AVERAGE(B2387:B2390)</f>
        <v/>
      </c>
      <c r="F2390" s="32">
        <f>(Table2634[[#This Row],[4 weeks average]]-B2338)/B2338</f>
        <v/>
      </c>
    </row>
    <row r="2391">
      <c r="A2391" s="33" t="n">
        <v>44095</v>
      </c>
      <c r="B2391" s="24">
        <f>VLOOKUP(Table2634[[#This Row],[Date]],'DB Money Supply'!$A:$D,4)</f>
        <v/>
      </c>
      <c r="C2391" s="30">
        <f>(Table2634[[#This Row],[M1 Money Stock, Billions of Dollars, Weekly, Seasonally Adjusted]]-B2390)/B2390</f>
        <v/>
      </c>
      <c r="D2391" s="34">
        <f>(Table2634[[#This Row],[M1 Money Stock, Billions of Dollars, Weekly, Seasonally Adjusted]]-B2388)/B2388</f>
        <v/>
      </c>
      <c r="E2391" s="24">
        <f>AVERAGE(B2388:B2391)</f>
        <v/>
      </c>
      <c r="F2391" s="32">
        <f>(Table2634[[#This Row],[4 weeks average]]-B2339)/B2339</f>
        <v/>
      </c>
    </row>
    <row r="2392">
      <c r="A2392" s="33" t="n">
        <v>44102</v>
      </c>
      <c r="B2392" s="24">
        <f>VLOOKUP(Table2634[[#This Row],[Date]],'DB Money Supply'!$A:$D,4)</f>
        <v/>
      </c>
      <c r="C2392" s="30">
        <f>(Table2634[[#This Row],[M1 Money Stock, Billions of Dollars, Weekly, Seasonally Adjusted]]-B2391)/B2391</f>
        <v/>
      </c>
      <c r="D2392" s="34">
        <f>(Table2634[[#This Row],[M1 Money Stock, Billions of Dollars, Weekly, Seasonally Adjusted]]-B2389)/B2389</f>
        <v/>
      </c>
      <c r="E2392" s="24">
        <f>AVERAGE(B2389:B2392)</f>
        <v/>
      </c>
      <c r="F2392" s="32">
        <f>(Table2634[[#This Row],[4 weeks average]]-B2340)/B2340</f>
        <v/>
      </c>
    </row>
    <row r="2393">
      <c r="A2393" s="33" t="n">
        <v>44109</v>
      </c>
      <c r="B2393" s="24">
        <f>VLOOKUP(Table2634[[#This Row],[Date]],'DB Money Supply'!$A:$D,4)</f>
        <v/>
      </c>
      <c r="C2393" s="30">
        <f>(Table2634[[#This Row],[M1 Money Stock, Billions of Dollars, Weekly, Seasonally Adjusted]]-B2392)/B2392</f>
        <v/>
      </c>
      <c r="D2393" s="34">
        <f>(Table2634[[#This Row],[M1 Money Stock, Billions of Dollars, Weekly, Seasonally Adjusted]]-B2390)/B2390</f>
        <v/>
      </c>
      <c r="E2393" s="24">
        <f>AVERAGE(B2390:B2393)</f>
        <v/>
      </c>
      <c r="F2393" s="32">
        <f>(Table2634[[#This Row],[4 weeks average]]-B2341)/B2341</f>
        <v/>
      </c>
    </row>
    <row r="2394">
      <c r="A2394" s="33" t="n">
        <v>44116</v>
      </c>
      <c r="B2394" s="24">
        <f>VLOOKUP(Table2634[[#This Row],[Date]],'DB Money Supply'!$A:$D,4)</f>
        <v/>
      </c>
      <c r="C2394" s="30">
        <f>(Table2634[[#This Row],[M1 Money Stock, Billions of Dollars, Weekly, Seasonally Adjusted]]-B2393)/B2393</f>
        <v/>
      </c>
      <c r="D2394" s="34">
        <f>(Table2634[[#This Row],[M1 Money Stock, Billions of Dollars, Weekly, Seasonally Adjusted]]-B2391)/B2391</f>
        <v/>
      </c>
      <c r="E2394" s="24">
        <f>AVERAGE(B2391:B2394)</f>
        <v/>
      </c>
      <c r="F2394" s="32">
        <f>(Table2634[[#This Row],[4 weeks average]]-B2342)/B2342</f>
        <v/>
      </c>
    </row>
    <row r="2395">
      <c r="A2395" s="33" t="n">
        <v>44123</v>
      </c>
      <c r="B2395" s="24">
        <f>VLOOKUP(Table2634[[#This Row],[Date]],'DB Money Supply'!$A:$D,4)</f>
        <v/>
      </c>
      <c r="C2395" s="30">
        <f>(Table2634[[#This Row],[M1 Money Stock, Billions of Dollars, Weekly, Seasonally Adjusted]]-B2394)/B2394</f>
        <v/>
      </c>
      <c r="D2395" s="34">
        <f>(Table2634[[#This Row],[M1 Money Stock, Billions of Dollars, Weekly, Seasonally Adjusted]]-B2392)/B2392</f>
        <v/>
      </c>
      <c r="E2395" s="24">
        <f>AVERAGE(B2392:B2395)</f>
        <v/>
      </c>
      <c r="F2395" s="32">
        <f>(Table2634[[#This Row],[4 weeks average]]-B2343)/B2343</f>
        <v/>
      </c>
    </row>
    <row r="2396">
      <c r="A2396" s="33" t="n">
        <v>44130</v>
      </c>
      <c r="B2396" s="24">
        <f>VLOOKUP(Table2634[[#This Row],[Date]],'DB Money Supply'!$A:$D,4)</f>
        <v/>
      </c>
      <c r="C2396" s="30">
        <f>(Table2634[[#This Row],[M1 Money Stock, Billions of Dollars, Weekly, Seasonally Adjusted]]-B2395)/B2395</f>
        <v/>
      </c>
      <c r="D2396" s="34">
        <f>(Table2634[[#This Row],[M1 Money Stock, Billions of Dollars, Weekly, Seasonally Adjusted]]-B2393)/B2393</f>
        <v/>
      </c>
      <c r="E2396" s="24">
        <f>AVERAGE(B2393:B2396)</f>
        <v/>
      </c>
      <c r="F2396" s="32">
        <f>(Table2634[[#This Row],[4 weeks average]]-B2344)/B2344</f>
        <v/>
      </c>
    </row>
    <row r="2397">
      <c r="A2397" s="33" t="n">
        <v>44137</v>
      </c>
      <c r="B2397" s="24">
        <f>VLOOKUP(Table2634[[#This Row],[Date]],'DB Money Supply'!$A:$D,4)</f>
        <v/>
      </c>
      <c r="C2397" s="30">
        <f>(Table2634[[#This Row],[M1 Money Stock, Billions of Dollars, Weekly, Seasonally Adjusted]]-B2396)/B2396</f>
        <v/>
      </c>
      <c r="D2397" s="34">
        <f>(Table2634[[#This Row],[M1 Money Stock, Billions of Dollars, Weekly, Seasonally Adjusted]]-B2394)/B2394</f>
        <v/>
      </c>
      <c r="E2397" s="24">
        <f>AVERAGE(B2394:B2397)</f>
        <v/>
      </c>
      <c r="F2397" s="32">
        <f>(Table2634[[#This Row],[4 weeks average]]-B2345)/B2345</f>
        <v/>
      </c>
    </row>
    <row r="2398">
      <c r="A2398" s="33" t="n">
        <v>44144</v>
      </c>
      <c r="B2398" s="24">
        <f>VLOOKUP(Table2634[[#This Row],[Date]],'DB Money Supply'!$A:$D,4)</f>
        <v/>
      </c>
      <c r="C2398" s="30">
        <f>(Table2634[[#This Row],[M1 Money Stock, Billions of Dollars, Weekly, Seasonally Adjusted]]-B2397)/B2397</f>
        <v/>
      </c>
      <c r="D2398" s="34">
        <f>(Table2634[[#This Row],[M1 Money Stock, Billions of Dollars, Weekly, Seasonally Adjusted]]-B2395)/B2395</f>
        <v/>
      </c>
      <c r="E2398" s="24">
        <f>AVERAGE(B2395:B2398)</f>
        <v/>
      </c>
      <c r="F2398" s="32">
        <f>(Table2634[[#This Row],[4 weeks average]]-B2346)/B2346</f>
        <v/>
      </c>
    </row>
    <row r="2399">
      <c r="A2399" s="33" t="n">
        <v>44151</v>
      </c>
      <c r="B2399" s="24">
        <f>VLOOKUP(Table2634[[#This Row],[Date]],'DB Money Supply'!$A:$D,4)</f>
        <v/>
      </c>
      <c r="C2399" s="30">
        <f>(Table2634[[#This Row],[M1 Money Stock, Billions of Dollars, Weekly, Seasonally Adjusted]]-B2398)/B2398</f>
        <v/>
      </c>
      <c r="D2399" s="34">
        <f>(Table2634[[#This Row],[M1 Money Stock, Billions of Dollars, Weekly, Seasonally Adjusted]]-B2396)/B2396</f>
        <v/>
      </c>
      <c r="E2399" s="24">
        <f>AVERAGE(B2396:B2399)</f>
        <v/>
      </c>
      <c r="F2399" s="32">
        <f>(Table2634[[#This Row],[4 weeks average]]-B2347)/B2347</f>
        <v/>
      </c>
    </row>
    <row r="2400">
      <c r="A2400" s="33" t="n">
        <v>44158</v>
      </c>
      <c r="B2400" s="24">
        <f>VLOOKUP(Table2634[[#This Row],[Date]],'DB Money Supply'!$A:$D,4)</f>
        <v/>
      </c>
      <c r="C2400" s="30">
        <f>(Table2634[[#This Row],[M1 Money Stock, Billions of Dollars, Weekly, Seasonally Adjusted]]-B2399)/B2399</f>
        <v/>
      </c>
      <c r="D2400" s="34">
        <f>(Table2634[[#This Row],[M1 Money Stock, Billions of Dollars, Weekly, Seasonally Adjusted]]-B2397)/B2397</f>
        <v/>
      </c>
      <c r="E2400" s="24">
        <f>AVERAGE(B2397:B2400)</f>
        <v/>
      </c>
      <c r="F2400" s="32">
        <f>(Table2634[[#This Row],[4 weeks average]]-B2348)/B2348</f>
        <v/>
      </c>
    </row>
    <row r="2401">
      <c r="A2401" s="33" t="n">
        <v>44165</v>
      </c>
      <c r="B2401" s="24">
        <f>VLOOKUP(Table2634[[#This Row],[Date]],'DB Money Supply'!$A:$D,4)</f>
        <v/>
      </c>
      <c r="C2401" s="30">
        <f>(Table2634[[#This Row],[M1 Money Stock, Billions of Dollars, Weekly, Seasonally Adjusted]]-B2400)/B2400</f>
        <v/>
      </c>
      <c r="D2401" s="34">
        <f>(Table2634[[#This Row],[M1 Money Stock, Billions of Dollars, Weekly, Seasonally Adjusted]]-B2398)/B2398</f>
        <v/>
      </c>
      <c r="E2401" s="24">
        <f>AVERAGE(B2398:B2401)</f>
        <v/>
      </c>
      <c r="F2401" s="32">
        <f>(Table2634[[#This Row],[4 weeks average]]-B2349)/B2349</f>
        <v/>
      </c>
    </row>
    <row r="2402">
      <c r="A2402" s="33" t="n">
        <v>44172</v>
      </c>
      <c r="B2402" s="24">
        <f>VLOOKUP(Table2634[[#This Row],[Date]],'DB Money Supply'!$A:$D,4)</f>
        <v/>
      </c>
      <c r="C2402" s="30">
        <f>(Table2634[[#This Row],[M1 Money Stock, Billions of Dollars, Weekly, Seasonally Adjusted]]-B2401)/B2401</f>
        <v/>
      </c>
      <c r="D2402" s="34">
        <f>(Table2634[[#This Row],[M1 Money Stock, Billions of Dollars, Weekly, Seasonally Adjusted]]-B2399)/B2399</f>
        <v/>
      </c>
      <c r="E2402" s="24">
        <f>AVERAGE(B2399:B2402)</f>
        <v/>
      </c>
      <c r="F2402" s="32">
        <f>(Table2634[[#This Row],[4 weeks average]]-B2350)/B2350</f>
        <v/>
      </c>
    </row>
    <row r="2403">
      <c r="A2403" s="33" t="n">
        <v>44179</v>
      </c>
      <c r="B2403" s="24">
        <f>VLOOKUP(Table2634[[#This Row],[Date]],'DB Money Supply'!$A:$D,4)</f>
        <v/>
      </c>
      <c r="C2403" s="30">
        <f>(Table2634[[#This Row],[M1 Money Stock, Billions of Dollars, Weekly, Seasonally Adjusted]]-B2402)/B2402</f>
        <v/>
      </c>
      <c r="D2403" s="34">
        <f>(Table2634[[#This Row],[M1 Money Stock, Billions of Dollars, Weekly, Seasonally Adjusted]]-B2400)/B2400</f>
        <v/>
      </c>
      <c r="E2403" s="24">
        <f>AVERAGE(B2400:B2403)</f>
        <v/>
      </c>
      <c r="F2403" s="32">
        <f>(Table2634[[#This Row],[4 weeks average]]-B2351)/B2351</f>
        <v/>
      </c>
    </row>
    <row r="2404">
      <c r="A2404" s="33" t="n">
        <v>44186</v>
      </c>
      <c r="B2404" s="24">
        <f>VLOOKUP(Table2634[[#This Row],[Date]],'DB Money Supply'!$A:$D,4)</f>
        <v/>
      </c>
      <c r="C2404" s="30">
        <f>(Table2634[[#This Row],[M1 Money Stock, Billions of Dollars, Weekly, Seasonally Adjusted]]-B2403)/B2403</f>
        <v/>
      </c>
      <c r="D2404" s="34">
        <f>(Table2634[[#This Row],[M1 Money Stock, Billions of Dollars, Weekly, Seasonally Adjusted]]-B2401)/B2401</f>
        <v/>
      </c>
      <c r="E2404" s="24">
        <f>AVERAGE(B2401:B2404)</f>
        <v/>
      </c>
      <c r="F2404" s="32">
        <f>(Table2634[[#This Row],[4 weeks average]]-B2352)/B2352</f>
        <v/>
      </c>
    </row>
    <row r="2405">
      <c r="A2405" s="33" t="n">
        <v>44193</v>
      </c>
      <c r="B2405" s="24">
        <f>VLOOKUP(Table2634[[#This Row],[Date]],'DB Money Supply'!$A:$D,4)</f>
        <v/>
      </c>
      <c r="C2405" s="30">
        <f>(Table2634[[#This Row],[M1 Money Stock, Billions of Dollars, Weekly, Seasonally Adjusted]]-B2404)/B2404</f>
        <v/>
      </c>
      <c r="D2405" s="34">
        <f>(Table2634[[#This Row],[M1 Money Stock, Billions of Dollars, Weekly, Seasonally Adjusted]]-B2402)/B2402</f>
        <v/>
      </c>
      <c r="E2405" s="24">
        <f>AVERAGE(B2402:B2405)</f>
        <v/>
      </c>
      <c r="F2405" s="32">
        <f>(Table2634[[#This Row],[4 weeks average]]-B2353)/B2353</f>
        <v/>
      </c>
    </row>
    <row r="2406">
      <c r="A2406" s="33" t="n">
        <v>44200</v>
      </c>
      <c r="B2406" s="24">
        <f>VLOOKUP(Table2634[[#This Row],[Date]],'DB Money Supply'!$A:$D,4)</f>
        <v/>
      </c>
      <c r="C2406" s="30">
        <f>(Table2634[[#This Row],[M1 Money Stock, Billions of Dollars, Weekly, Seasonally Adjusted]]-B2405)/B2405</f>
        <v/>
      </c>
      <c r="D2406" s="34">
        <f>(Table2634[[#This Row],[M1 Money Stock, Billions of Dollars, Weekly, Seasonally Adjusted]]-B2403)/B2403</f>
        <v/>
      </c>
      <c r="E2406" s="24">
        <f>AVERAGE(B2403:B2406)</f>
        <v/>
      </c>
      <c r="F2406" s="32">
        <f>(Table2634[[#This Row],[4 weeks average]]-B2354)/B2354</f>
        <v/>
      </c>
    </row>
    <row r="2407">
      <c r="A2407" s="33" t="n">
        <v>44207</v>
      </c>
      <c r="B2407" s="24">
        <f>VLOOKUP(Table2634[[#This Row],[Date]],'DB Money Supply'!$A:$D,4)</f>
        <v/>
      </c>
      <c r="C2407" s="30">
        <f>(Table2634[[#This Row],[M1 Money Stock, Billions of Dollars, Weekly, Seasonally Adjusted]]-B2406)/B2406</f>
        <v/>
      </c>
      <c r="D2407" s="34">
        <f>(Table2634[[#This Row],[M1 Money Stock, Billions of Dollars, Weekly, Seasonally Adjusted]]-B2404)/B2404</f>
        <v/>
      </c>
      <c r="E2407" s="24">
        <f>AVERAGE(B2404:B2407)</f>
        <v/>
      </c>
      <c r="F2407" s="32">
        <f>(Table2634[[#This Row],[4 weeks average]]-B2355)/B2355</f>
        <v/>
      </c>
    </row>
    <row r="2408">
      <c r="A2408" s="33" t="n">
        <v>44214</v>
      </c>
      <c r="B2408" s="24">
        <f>VLOOKUP(Table2634[[#This Row],[Date]],'DB Money Supply'!$A:$D,4)</f>
        <v/>
      </c>
      <c r="C2408" s="30">
        <f>(Table2634[[#This Row],[M1 Money Stock, Billions of Dollars, Weekly, Seasonally Adjusted]]-B2407)/B2407</f>
        <v/>
      </c>
      <c r="D2408" s="34">
        <f>(Table2634[[#This Row],[M1 Money Stock, Billions of Dollars, Weekly, Seasonally Adjusted]]-B2405)/B2405</f>
        <v/>
      </c>
      <c r="E2408" s="24">
        <f>AVERAGE(B2405:B2408)</f>
        <v/>
      </c>
      <c r="F2408" s="32">
        <f>(Table2634[[#This Row],[4 weeks average]]-B2356)/B2356</f>
        <v/>
      </c>
    </row>
    <row r="2409">
      <c r="A2409" s="33" t="n">
        <v>44221</v>
      </c>
      <c r="B2409" s="24">
        <f>VLOOKUP(Table2634[[#This Row],[Date]],'DB Money Supply'!$A:$D,4)</f>
        <v/>
      </c>
      <c r="C2409" s="30">
        <f>(Table2634[[#This Row],[M1 Money Stock, Billions of Dollars, Weekly, Seasonally Adjusted]]-B2408)/B2408</f>
        <v/>
      </c>
      <c r="D2409" s="34">
        <f>(Table2634[[#This Row],[M1 Money Stock, Billions of Dollars, Weekly, Seasonally Adjusted]]-B2406)/B2406</f>
        <v/>
      </c>
      <c r="E2409" s="24">
        <f>AVERAGE(B2406:B2409)</f>
        <v/>
      </c>
      <c r="F2409" s="32">
        <f>(Table2634[[#This Row],[4 weeks average]]-B2357)/B2357</f>
        <v/>
      </c>
    </row>
    <row r="2410">
      <c r="A2410" s="33" t="n">
        <v>44228</v>
      </c>
      <c r="B2410" s="24">
        <f>VLOOKUP(Table2634[[#This Row],[Date]],'DB Money Supply'!$A:$D,4)</f>
        <v/>
      </c>
      <c r="C2410" s="30">
        <f>(Table2634[[#This Row],[M1 Money Stock, Billions of Dollars, Weekly, Seasonally Adjusted]]-B2409)/B2409</f>
        <v/>
      </c>
      <c r="D2410" s="34">
        <f>(Table2634[[#This Row],[M1 Money Stock, Billions of Dollars, Weekly, Seasonally Adjusted]]-B2407)/B2407</f>
        <v/>
      </c>
      <c r="E2410" s="24">
        <f>AVERAGE(B2407:B2410)</f>
        <v/>
      </c>
      <c r="F2410" s="32">
        <f>(Table2634[[#This Row],[4 weeks average]]-B2358)/B2358</f>
        <v/>
      </c>
    </row>
  </sheetData>
  <hyperlinks>
    <hyperlink xmlns:r="http://schemas.openxmlformats.org/officeDocument/2006/relationships" ref="A1" r:id="rId1"/>
  </hyperlinks>
  <pageMargins left="0.7" right="0.7" top="0.75" bottom="0.75" header="0.3" footer="0.3"/>
  <drawing xmlns:r="http://schemas.openxmlformats.org/officeDocument/2006/relationships" r:id="rId2"/>
  <tableParts count="1">
    <tablePart xmlns:r="http://schemas.openxmlformats.org/officeDocument/2006/relationships" r:id="rId3"/>
  </tableParts>
</worksheet>
</file>

<file path=xl/worksheets/sheet9.xml><?xml version="1.0" encoding="utf-8"?>
<worksheet xmlns="http://schemas.openxmlformats.org/spreadsheetml/2006/main">
  <sheetPr codeName="Sheet16">
    <outlinePr summaryBelow="1" summaryRight="1"/>
    <pageSetUpPr/>
  </sheetPr>
  <dimension ref="A1:F775"/>
  <sheetViews>
    <sheetView zoomScale="90" zoomScaleNormal="90" workbookViewId="0">
      <pane ySplit="5" topLeftCell="A759" activePane="bottomLeft" state="frozen"/>
      <selection pane="bottomLeft" activeCell="A767" sqref="A767:D775"/>
    </sheetView>
  </sheetViews>
  <sheetFormatPr baseColWidth="8" defaultColWidth="9.1796875" defaultRowHeight="14.5"/>
  <cols>
    <col width="16.6328125" customWidth="1" style="16" min="1" max="1"/>
    <col width="19" customWidth="1" style="77" min="2" max="2"/>
    <col width="14.6328125" customWidth="1" style="16" min="3" max="3"/>
    <col width="14.6328125" customWidth="1" style="77" min="4" max="4"/>
    <col width="9.1796875" customWidth="1" style="77" min="5" max="43"/>
    <col width="9.1796875" customWidth="1" style="77" min="44" max="16384"/>
  </cols>
  <sheetData>
    <row r="1">
      <c r="A1" t="inlineStr">
        <is>
          <t>https://fred.stlouisfed.org/series/M2SL</t>
        </is>
      </c>
    </row>
    <row r="2">
      <c r="A2" s="77" t="inlineStr">
        <is>
          <t>https://tradingeconomics.com/united-states/money-supply-m2</t>
        </is>
      </c>
    </row>
    <row r="3">
      <c r="E3" s="18" t="inlineStr">
        <is>
          <t>Average</t>
        </is>
      </c>
      <c r="F3" s="19">
        <f>AVERAGE(D7:D752)</f>
        <v/>
      </c>
    </row>
    <row r="4" ht="16" customHeight="1" thickBot="1">
      <c r="F4" s="17">
        <f>_xlfn.STDEV.S(D7:D752)</f>
        <v/>
      </c>
    </row>
    <row r="5" ht="69" customHeight="1" thickBot="1">
      <c r="A5" s="54" t="inlineStr">
        <is>
          <t>Date</t>
        </is>
      </c>
      <c r="B5" s="55" t="inlineStr">
        <is>
          <t>M2 Money Stock, Billions of Dollars, Monthly, Seasonally Adjusted</t>
        </is>
      </c>
      <c r="C5" s="56" t="inlineStr">
        <is>
          <t>Monthly change</t>
        </is>
      </c>
      <c r="D5" s="56" t="inlineStr">
        <is>
          <t>M2 Monthly Change Annualized %</t>
        </is>
      </c>
    </row>
    <row r="6">
      <c r="A6" s="51" t="n">
        <v>21551</v>
      </c>
      <c r="B6" s="53">
        <f>VLOOKUP(Table26[[#This Row],[Date]],'DB Money Supply'!$A:$E,5)</f>
        <v/>
      </c>
      <c r="C6" s="52" t="n"/>
      <c r="D6" s="52" t="n"/>
    </row>
    <row r="7">
      <c r="A7" s="33" t="n">
        <v>21582</v>
      </c>
      <c r="B7" s="53">
        <f>VLOOKUP(Table26[[#This Row],[Date]],'DB Money Supply'!$A:$E,5)</f>
        <v/>
      </c>
      <c r="C7" s="30">
        <f>(Table26[[#This Row],[M2 Money Stock, Billions of Dollars, Monthly, Seasonally Adjusted]]-B6)/B6</f>
        <v/>
      </c>
      <c r="D7" s="31">
        <f>((1+Table26[[#This Row],[Monthly change]])^12)-1</f>
        <v/>
      </c>
    </row>
    <row r="8">
      <c r="A8" s="51" t="n">
        <v>21610</v>
      </c>
      <c r="B8" s="53">
        <f>VLOOKUP(Table26[[#This Row],[Date]],'DB Money Supply'!$A:$E,5)</f>
        <v/>
      </c>
      <c r="C8" s="30">
        <f>(Table26[[#This Row],[M2 Money Stock, Billions of Dollars, Monthly, Seasonally Adjusted]]-B7)/B7</f>
        <v/>
      </c>
      <c r="D8" s="31">
        <f>((1+Table26[[#This Row],[Monthly change]])^12)-1</f>
        <v/>
      </c>
    </row>
    <row r="9">
      <c r="A9" s="33" t="n">
        <v>21641</v>
      </c>
      <c r="B9" s="53">
        <f>VLOOKUP(Table26[[#This Row],[Date]],'DB Money Supply'!$A:$E,5)</f>
        <v/>
      </c>
      <c r="C9" s="30">
        <f>(Table26[[#This Row],[M2 Money Stock, Billions of Dollars, Monthly, Seasonally Adjusted]]-B8)/B8</f>
        <v/>
      </c>
      <c r="D9" s="31">
        <f>((1+Table26[[#This Row],[Monthly change]])^12)-1</f>
        <v/>
      </c>
    </row>
    <row r="10">
      <c r="A10" s="51" t="n">
        <v>21671</v>
      </c>
      <c r="B10" s="53">
        <f>VLOOKUP(Table26[[#This Row],[Date]],'DB Money Supply'!$A:$E,5)</f>
        <v/>
      </c>
      <c r="C10" s="30">
        <f>(Table26[[#This Row],[M2 Money Stock, Billions of Dollars, Monthly, Seasonally Adjusted]]-B9)/B9</f>
        <v/>
      </c>
      <c r="D10" s="31">
        <f>((1+Table26[[#This Row],[Monthly change]])^12)-1</f>
        <v/>
      </c>
    </row>
    <row r="11">
      <c r="A11" s="33" t="n">
        <v>21702</v>
      </c>
      <c r="B11" s="53">
        <f>VLOOKUP(Table26[[#This Row],[Date]],'DB Money Supply'!$A:$E,5)</f>
        <v/>
      </c>
      <c r="C11" s="30">
        <f>(Table26[[#This Row],[M2 Money Stock, Billions of Dollars, Monthly, Seasonally Adjusted]]-B10)/B10</f>
        <v/>
      </c>
      <c r="D11" s="31">
        <f>((1+Table26[[#This Row],[Monthly change]])^12)-1</f>
        <v/>
      </c>
    </row>
    <row r="12">
      <c r="A12" s="51" t="n">
        <v>21732</v>
      </c>
      <c r="B12" s="53">
        <f>VLOOKUP(Table26[[#This Row],[Date]],'DB Money Supply'!$A:$E,5)</f>
        <v/>
      </c>
      <c r="C12" s="30">
        <f>(Table26[[#This Row],[M2 Money Stock, Billions of Dollars, Monthly, Seasonally Adjusted]]-B11)/B11</f>
        <v/>
      </c>
      <c r="D12" s="31">
        <f>((1+Table26[[#This Row],[Monthly change]])^12)-1</f>
        <v/>
      </c>
    </row>
    <row r="13">
      <c r="A13" s="33" t="n">
        <v>21763</v>
      </c>
      <c r="B13" s="53">
        <f>VLOOKUP(Table26[[#This Row],[Date]],'DB Money Supply'!$A:$E,5)</f>
        <v/>
      </c>
      <c r="C13" s="30">
        <f>(Table26[[#This Row],[M2 Money Stock, Billions of Dollars, Monthly, Seasonally Adjusted]]-B12)/B12</f>
        <v/>
      </c>
      <c r="D13" s="31">
        <f>((1+Table26[[#This Row],[Monthly change]])^12)-1</f>
        <v/>
      </c>
    </row>
    <row r="14">
      <c r="A14" s="51" t="n">
        <v>21794</v>
      </c>
      <c r="B14" s="53">
        <f>VLOOKUP(Table26[[#This Row],[Date]],'DB Money Supply'!$A:$E,5)</f>
        <v/>
      </c>
      <c r="C14" s="30">
        <f>(Table26[[#This Row],[M2 Money Stock, Billions of Dollars, Monthly, Seasonally Adjusted]]-B13)/B13</f>
        <v/>
      </c>
      <c r="D14" s="31">
        <f>((1+Table26[[#This Row],[Monthly change]])^12)-1</f>
        <v/>
      </c>
    </row>
    <row r="15">
      <c r="A15" s="33" t="n">
        <v>21824</v>
      </c>
      <c r="B15" s="53">
        <f>VLOOKUP(Table26[[#This Row],[Date]],'DB Money Supply'!$A:$E,5)</f>
        <v/>
      </c>
      <c r="C15" s="30">
        <f>(Table26[[#This Row],[M2 Money Stock, Billions of Dollars, Monthly, Seasonally Adjusted]]-B14)/B14</f>
        <v/>
      </c>
      <c r="D15" s="31">
        <f>((1+Table26[[#This Row],[Monthly change]])^12)-1</f>
        <v/>
      </c>
    </row>
    <row r="16">
      <c r="A16" s="51" t="n">
        <v>21855</v>
      </c>
      <c r="B16" s="53">
        <f>VLOOKUP(Table26[[#This Row],[Date]],'DB Money Supply'!$A:$E,5)</f>
        <v/>
      </c>
      <c r="C16" s="30">
        <f>(Table26[[#This Row],[M2 Money Stock, Billions of Dollars, Monthly, Seasonally Adjusted]]-B15)/B15</f>
        <v/>
      </c>
      <c r="D16" s="31">
        <f>((1+Table26[[#This Row],[Monthly change]])^12)-1</f>
        <v/>
      </c>
    </row>
    <row r="17">
      <c r="A17" s="33" t="n">
        <v>21885</v>
      </c>
      <c r="B17" s="53">
        <f>VLOOKUP(Table26[[#This Row],[Date]],'DB Money Supply'!$A:$E,5)</f>
        <v/>
      </c>
      <c r="C17" s="30">
        <f>(Table26[[#This Row],[M2 Money Stock, Billions of Dollars, Monthly, Seasonally Adjusted]]-B16)/B16</f>
        <v/>
      </c>
      <c r="D17" s="31">
        <f>((1+Table26[[#This Row],[Monthly change]])^12)-1</f>
        <v/>
      </c>
    </row>
    <row r="18">
      <c r="A18" s="51" t="n">
        <v>21916</v>
      </c>
      <c r="B18" s="53">
        <f>VLOOKUP(Table26[[#This Row],[Date]],'DB Money Supply'!$A:$E,5)</f>
        <v/>
      </c>
      <c r="C18" s="30">
        <f>(Table26[[#This Row],[M2 Money Stock, Billions of Dollars, Monthly, Seasonally Adjusted]]-B17)/B17</f>
        <v/>
      </c>
      <c r="D18" s="31">
        <f>((1+Table26[[#This Row],[Monthly change]])^12)-1</f>
        <v/>
      </c>
    </row>
    <row r="19">
      <c r="A19" s="33" t="n">
        <v>21947</v>
      </c>
      <c r="B19" s="53">
        <f>VLOOKUP(Table26[[#This Row],[Date]],'DB Money Supply'!$A:$E,5)</f>
        <v/>
      </c>
      <c r="C19" s="30">
        <f>(Table26[[#This Row],[M2 Money Stock, Billions of Dollars, Monthly, Seasonally Adjusted]]-B18)/B18</f>
        <v/>
      </c>
      <c r="D19" s="31">
        <f>((1+Table26[[#This Row],[Monthly change]])^12)-1</f>
        <v/>
      </c>
    </row>
    <row r="20">
      <c r="A20" s="51" t="n">
        <v>21976</v>
      </c>
      <c r="B20" s="53">
        <f>VLOOKUP(Table26[[#This Row],[Date]],'DB Money Supply'!$A:$E,5)</f>
        <v/>
      </c>
      <c r="C20" s="30">
        <f>(Table26[[#This Row],[M2 Money Stock, Billions of Dollars, Monthly, Seasonally Adjusted]]-B19)/B19</f>
        <v/>
      </c>
      <c r="D20" s="31">
        <f>((1+Table26[[#This Row],[Monthly change]])^12)-1</f>
        <v/>
      </c>
    </row>
    <row r="21">
      <c r="A21" s="33" t="n">
        <v>22007</v>
      </c>
      <c r="B21" s="53">
        <f>VLOOKUP(Table26[[#This Row],[Date]],'DB Money Supply'!$A:$E,5)</f>
        <v/>
      </c>
      <c r="C21" s="30">
        <f>(Table26[[#This Row],[M2 Money Stock, Billions of Dollars, Monthly, Seasonally Adjusted]]-B20)/B20</f>
        <v/>
      </c>
      <c r="D21" s="31">
        <f>((1+Table26[[#This Row],[Monthly change]])^12)-1</f>
        <v/>
      </c>
    </row>
    <row r="22">
      <c r="A22" s="51" t="n">
        <v>22037</v>
      </c>
      <c r="B22" s="53">
        <f>VLOOKUP(Table26[[#This Row],[Date]],'DB Money Supply'!$A:$E,5)</f>
        <v/>
      </c>
      <c r="C22" s="30">
        <f>(Table26[[#This Row],[M2 Money Stock, Billions of Dollars, Monthly, Seasonally Adjusted]]-B21)/B21</f>
        <v/>
      </c>
      <c r="D22" s="31">
        <f>((1+Table26[[#This Row],[Monthly change]])^12)-1</f>
        <v/>
      </c>
    </row>
    <row r="23">
      <c r="A23" s="33" t="n">
        <v>22068</v>
      </c>
      <c r="B23" s="53">
        <f>VLOOKUP(Table26[[#This Row],[Date]],'DB Money Supply'!$A:$E,5)</f>
        <v/>
      </c>
      <c r="C23" s="30">
        <f>(Table26[[#This Row],[M2 Money Stock, Billions of Dollars, Monthly, Seasonally Adjusted]]-B22)/B22</f>
        <v/>
      </c>
      <c r="D23" s="31">
        <f>((1+Table26[[#This Row],[Monthly change]])^12)-1</f>
        <v/>
      </c>
    </row>
    <row r="24">
      <c r="A24" s="51" t="n">
        <v>22098</v>
      </c>
      <c r="B24" s="53">
        <f>VLOOKUP(Table26[[#This Row],[Date]],'DB Money Supply'!$A:$E,5)</f>
        <v/>
      </c>
      <c r="C24" s="30">
        <f>(Table26[[#This Row],[M2 Money Stock, Billions of Dollars, Monthly, Seasonally Adjusted]]-B23)/B23</f>
        <v/>
      </c>
      <c r="D24" s="31">
        <f>((1+Table26[[#This Row],[Monthly change]])^12)-1</f>
        <v/>
      </c>
    </row>
    <row r="25">
      <c r="A25" s="51" t="n">
        <v>22129</v>
      </c>
      <c r="B25" s="53">
        <f>VLOOKUP(Table26[[#This Row],[Date]],'DB Money Supply'!$A:$E,5)</f>
        <v/>
      </c>
      <c r="C25" s="30">
        <f>(Table26[[#This Row],[M2 Money Stock, Billions of Dollars, Monthly, Seasonally Adjusted]]-B24)/B24</f>
        <v/>
      </c>
      <c r="D25" s="31">
        <f>((1+Table26[[#This Row],[Monthly change]])^12)-1</f>
        <v/>
      </c>
    </row>
    <row r="26">
      <c r="A26" s="33" t="n">
        <v>22160</v>
      </c>
      <c r="B26" s="53">
        <f>VLOOKUP(Table26[[#This Row],[Date]],'DB Money Supply'!$A:$E,5)</f>
        <v/>
      </c>
      <c r="C26" s="30">
        <f>(Table26[[#This Row],[M2 Money Stock, Billions of Dollars, Monthly, Seasonally Adjusted]]-B25)/B25</f>
        <v/>
      </c>
      <c r="D26" s="31">
        <f>((1+Table26[[#This Row],[Monthly change]])^12)-1</f>
        <v/>
      </c>
    </row>
    <row r="27">
      <c r="A27" s="51" t="n">
        <v>22190</v>
      </c>
      <c r="B27" s="53">
        <f>VLOOKUP(Table26[[#This Row],[Date]],'DB Money Supply'!$A:$E,5)</f>
        <v/>
      </c>
      <c r="C27" s="30">
        <f>(Table26[[#This Row],[M2 Money Stock, Billions of Dollars, Monthly, Seasonally Adjusted]]-B26)/B26</f>
        <v/>
      </c>
      <c r="D27" s="31">
        <f>((1+Table26[[#This Row],[Monthly change]])^12)-1</f>
        <v/>
      </c>
    </row>
    <row r="28">
      <c r="A28" s="33" t="n">
        <v>22221</v>
      </c>
      <c r="B28" s="53">
        <f>VLOOKUP(Table26[[#This Row],[Date]],'DB Money Supply'!$A:$E,5)</f>
        <v/>
      </c>
      <c r="C28" s="30">
        <f>(Table26[[#This Row],[M2 Money Stock, Billions of Dollars, Monthly, Seasonally Adjusted]]-B27)/B27</f>
        <v/>
      </c>
      <c r="D28" s="31">
        <f>((1+Table26[[#This Row],[Monthly change]])^12)-1</f>
        <v/>
      </c>
    </row>
    <row r="29">
      <c r="A29" s="51" t="n">
        <v>22251</v>
      </c>
      <c r="B29" s="53">
        <f>VLOOKUP(Table26[[#This Row],[Date]],'DB Money Supply'!$A:$E,5)</f>
        <v/>
      </c>
      <c r="C29" s="30">
        <f>(Table26[[#This Row],[M2 Money Stock, Billions of Dollars, Monthly, Seasonally Adjusted]]-B28)/B28</f>
        <v/>
      </c>
      <c r="D29" s="31">
        <f>((1+Table26[[#This Row],[Monthly change]])^12)-1</f>
        <v/>
      </c>
    </row>
    <row r="30">
      <c r="A30" s="33" t="n">
        <v>22282</v>
      </c>
      <c r="B30" s="53">
        <f>VLOOKUP(Table26[[#This Row],[Date]],'DB Money Supply'!$A:$E,5)</f>
        <v/>
      </c>
      <c r="C30" s="30">
        <f>(Table26[[#This Row],[M2 Money Stock, Billions of Dollars, Monthly, Seasonally Adjusted]]-B29)/B29</f>
        <v/>
      </c>
      <c r="D30" s="31">
        <f>((1+Table26[[#This Row],[Monthly change]])^12)-1</f>
        <v/>
      </c>
    </row>
    <row r="31">
      <c r="A31" s="51" t="n">
        <v>22313</v>
      </c>
      <c r="B31" s="53">
        <f>VLOOKUP(Table26[[#This Row],[Date]],'DB Money Supply'!$A:$E,5)</f>
        <v/>
      </c>
      <c r="C31" s="30">
        <f>(Table26[[#This Row],[M2 Money Stock, Billions of Dollars, Monthly, Seasonally Adjusted]]-B30)/B30</f>
        <v/>
      </c>
      <c r="D31" s="31">
        <f>((1+Table26[[#This Row],[Monthly change]])^12)-1</f>
        <v/>
      </c>
    </row>
    <row r="32">
      <c r="A32" s="33" t="n">
        <v>22341</v>
      </c>
      <c r="B32" s="53">
        <f>VLOOKUP(Table26[[#This Row],[Date]],'DB Money Supply'!$A:$E,5)</f>
        <v/>
      </c>
      <c r="C32" s="30">
        <f>(Table26[[#This Row],[M2 Money Stock, Billions of Dollars, Monthly, Seasonally Adjusted]]-B31)/B31</f>
        <v/>
      </c>
      <c r="D32" s="31">
        <f>((1+Table26[[#This Row],[Monthly change]])^12)-1</f>
        <v/>
      </c>
    </row>
    <row r="33">
      <c r="A33" s="51" t="n">
        <v>22372</v>
      </c>
      <c r="B33" s="53">
        <f>VLOOKUP(Table26[[#This Row],[Date]],'DB Money Supply'!$A:$E,5)</f>
        <v/>
      </c>
      <c r="C33" s="30">
        <f>(Table26[[#This Row],[M2 Money Stock, Billions of Dollars, Monthly, Seasonally Adjusted]]-B32)/B32</f>
        <v/>
      </c>
      <c r="D33" s="31">
        <f>((1+Table26[[#This Row],[Monthly change]])^12)-1</f>
        <v/>
      </c>
    </row>
    <row r="34">
      <c r="A34" s="33" t="n">
        <v>22402</v>
      </c>
      <c r="B34" s="53">
        <f>VLOOKUP(Table26[[#This Row],[Date]],'DB Money Supply'!$A:$E,5)</f>
        <v/>
      </c>
      <c r="C34" s="30">
        <f>(Table26[[#This Row],[M2 Money Stock, Billions of Dollars, Monthly, Seasonally Adjusted]]-B33)/B33</f>
        <v/>
      </c>
      <c r="D34" s="31">
        <f>((1+Table26[[#This Row],[Monthly change]])^12)-1</f>
        <v/>
      </c>
    </row>
    <row r="35">
      <c r="A35" s="51" t="n">
        <v>22433</v>
      </c>
      <c r="B35" s="53">
        <f>VLOOKUP(Table26[[#This Row],[Date]],'DB Money Supply'!$A:$E,5)</f>
        <v/>
      </c>
      <c r="C35" s="30">
        <f>(Table26[[#This Row],[M2 Money Stock, Billions of Dollars, Monthly, Seasonally Adjusted]]-B34)/B34</f>
        <v/>
      </c>
      <c r="D35" s="31">
        <f>((1+Table26[[#This Row],[Monthly change]])^12)-1</f>
        <v/>
      </c>
    </row>
    <row r="36">
      <c r="A36" s="33" t="n">
        <v>22463</v>
      </c>
      <c r="B36" s="53">
        <f>VLOOKUP(Table26[[#This Row],[Date]],'DB Money Supply'!$A:$E,5)</f>
        <v/>
      </c>
      <c r="C36" s="30">
        <f>(Table26[[#This Row],[M2 Money Stock, Billions of Dollars, Monthly, Seasonally Adjusted]]-B35)/B35</f>
        <v/>
      </c>
      <c r="D36" s="31">
        <f>((1+Table26[[#This Row],[Monthly change]])^12)-1</f>
        <v/>
      </c>
    </row>
    <row r="37">
      <c r="A37" s="51" t="n">
        <v>22494</v>
      </c>
      <c r="B37" s="53">
        <f>VLOOKUP(Table26[[#This Row],[Date]],'DB Money Supply'!$A:$E,5)</f>
        <v/>
      </c>
      <c r="C37" s="30">
        <f>(Table26[[#This Row],[M2 Money Stock, Billions of Dollars, Monthly, Seasonally Adjusted]]-B36)/B36</f>
        <v/>
      </c>
      <c r="D37" s="31">
        <f>((1+Table26[[#This Row],[Monthly change]])^12)-1</f>
        <v/>
      </c>
    </row>
    <row r="38">
      <c r="A38" s="33" t="n">
        <v>22525</v>
      </c>
      <c r="B38" s="53">
        <f>VLOOKUP(Table26[[#This Row],[Date]],'DB Money Supply'!$A:$E,5)</f>
        <v/>
      </c>
      <c r="C38" s="30">
        <f>(Table26[[#This Row],[M2 Money Stock, Billions of Dollars, Monthly, Seasonally Adjusted]]-B37)/B37</f>
        <v/>
      </c>
      <c r="D38" s="31">
        <f>((1+Table26[[#This Row],[Monthly change]])^12)-1</f>
        <v/>
      </c>
    </row>
    <row r="39">
      <c r="A39" s="51" t="n">
        <v>22555</v>
      </c>
      <c r="B39" s="53">
        <f>VLOOKUP(Table26[[#This Row],[Date]],'DB Money Supply'!$A:$E,5)</f>
        <v/>
      </c>
      <c r="C39" s="30">
        <f>(Table26[[#This Row],[M2 Money Stock, Billions of Dollars, Monthly, Seasonally Adjusted]]-B38)/B38</f>
        <v/>
      </c>
      <c r="D39" s="31">
        <f>((1+Table26[[#This Row],[Monthly change]])^12)-1</f>
        <v/>
      </c>
    </row>
    <row r="40">
      <c r="A40" s="33" t="n">
        <v>22586</v>
      </c>
      <c r="B40" s="53">
        <f>VLOOKUP(Table26[[#This Row],[Date]],'DB Money Supply'!$A:$E,5)</f>
        <v/>
      </c>
      <c r="C40" s="30">
        <f>(Table26[[#This Row],[M2 Money Stock, Billions of Dollars, Monthly, Seasonally Adjusted]]-B39)/B39</f>
        <v/>
      </c>
      <c r="D40" s="31">
        <f>((1+Table26[[#This Row],[Monthly change]])^12)-1</f>
        <v/>
      </c>
    </row>
    <row r="41">
      <c r="A41" s="51" t="n">
        <v>22616</v>
      </c>
      <c r="B41" s="53">
        <f>VLOOKUP(Table26[[#This Row],[Date]],'DB Money Supply'!$A:$E,5)</f>
        <v/>
      </c>
      <c r="C41" s="30">
        <f>(Table26[[#This Row],[M2 Money Stock, Billions of Dollars, Monthly, Seasonally Adjusted]]-B40)/B40</f>
        <v/>
      </c>
      <c r="D41" s="31">
        <f>((1+Table26[[#This Row],[Monthly change]])^12)-1</f>
        <v/>
      </c>
    </row>
    <row r="42">
      <c r="A42" s="33" t="n">
        <v>22647</v>
      </c>
      <c r="B42" s="53">
        <f>VLOOKUP(Table26[[#This Row],[Date]],'DB Money Supply'!$A:$E,5)</f>
        <v/>
      </c>
      <c r="C42" s="30">
        <f>(Table26[[#This Row],[M2 Money Stock, Billions of Dollars, Monthly, Seasonally Adjusted]]-B41)/B41</f>
        <v/>
      </c>
      <c r="D42" s="31">
        <f>((1+Table26[[#This Row],[Monthly change]])^12)-1</f>
        <v/>
      </c>
    </row>
    <row r="43">
      <c r="A43" s="51" t="n">
        <v>22678</v>
      </c>
      <c r="B43" s="53">
        <f>VLOOKUP(Table26[[#This Row],[Date]],'DB Money Supply'!$A:$E,5)</f>
        <v/>
      </c>
      <c r="C43" s="30">
        <f>(Table26[[#This Row],[M2 Money Stock, Billions of Dollars, Monthly, Seasonally Adjusted]]-B42)/B42</f>
        <v/>
      </c>
      <c r="D43" s="31">
        <f>((1+Table26[[#This Row],[Monthly change]])^12)-1</f>
        <v/>
      </c>
    </row>
    <row r="44">
      <c r="A44" s="51" t="n">
        <v>22706</v>
      </c>
      <c r="B44" s="53">
        <f>VLOOKUP(Table26[[#This Row],[Date]],'DB Money Supply'!$A:$E,5)</f>
        <v/>
      </c>
      <c r="C44" s="30">
        <f>(Table26[[#This Row],[M2 Money Stock, Billions of Dollars, Monthly, Seasonally Adjusted]]-B43)/B43</f>
        <v/>
      </c>
      <c r="D44" s="31">
        <f>((1+Table26[[#This Row],[Monthly change]])^12)-1</f>
        <v/>
      </c>
    </row>
    <row r="45">
      <c r="A45" s="33" t="n">
        <v>22737</v>
      </c>
      <c r="B45" s="53">
        <f>VLOOKUP(Table26[[#This Row],[Date]],'DB Money Supply'!$A:$E,5)</f>
        <v/>
      </c>
      <c r="C45" s="30">
        <f>(Table26[[#This Row],[M2 Money Stock, Billions of Dollars, Monthly, Seasonally Adjusted]]-B44)/B44</f>
        <v/>
      </c>
      <c r="D45" s="31">
        <f>((1+Table26[[#This Row],[Monthly change]])^12)-1</f>
        <v/>
      </c>
    </row>
    <row r="46">
      <c r="A46" s="51" t="n">
        <v>22767</v>
      </c>
      <c r="B46" s="53">
        <f>VLOOKUP(Table26[[#This Row],[Date]],'DB Money Supply'!$A:$E,5)</f>
        <v/>
      </c>
      <c r="C46" s="30">
        <f>(Table26[[#This Row],[M2 Money Stock, Billions of Dollars, Monthly, Seasonally Adjusted]]-B45)/B45</f>
        <v/>
      </c>
      <c r="D46" s="31">
        <f>((1+Table26[[#This Row],[Monthly change]])^12)-1</f>
        <v/>
      </c>
    </row>
    <row r="47">
      <c r="A47" s="33" t="n">
        <v>22798</v>
      </c>
      <c r="B47" s="53">
        <f>VLOOKUP(Table26[[#This Row],[Date]],'DB Money Supply'!$A:$E,5)</f>
        <v/>
      </c>
      <c r="C47" s="30">
        <f>(Table26[[#This Row],[M2 Money Stock, Billions of Dollars, Monthly, Seasonally Adjusted]]-B46)/B46</f>
        <v/>
      </c>
      <c r="D47" s="31">
        <f>((1+Table26[[#This Row],[Monthly change]])^12)-1</f>
        <v/>
      </c>
    </row>
    <row r="48">
      <c r="A48" s="51" t="n">
        <v>22828</v>
      </c>
      <c r="B48" s="53">
        <f>VLOOKUP(Table26[[#This Row],[Date]],'DB Money Supply'!$A:$E,5)</f>
        <v/>
      </c>
      <c r="C48" s="30">
        <f>(Table26[[#This Row],[M2 Money Stock, Billions of Dollars, Monthly, Seasonally Adjusted]]-B47)/B47</f>
        <v/>
      </c>
      <c r="D48" s="31">
        <f>((1+Table26[[#This Row],[Monthly change]])^12)-1</f>
        <v/>
      </c>
    </row>
    <row r="49">
      <c r="A49" s="33" t="n">
        <v>22859</v>
      </c>
      <c r="B49" s="53">
        <f>VLOOKUP(Table26[[#This Row],[Date]],'DB Money Supply'!$A:$E,5)</f>
        <v/>
      </c>
      <c r="C49" s="30">
        <f>(Table26[[#This Row],[M2 Money Stock, Billions of Dollars, Monthly, Seasonally Adjusted]]-B48)/B48</f>
        <v/>
      </c>
      <c r="D49" s="31">
        <f>((1+Table26[[#This Row],[Monthly change]])^12)-1</f>
        <v/>
      </c>
    </row>
    <row r="50">
      <c r="A50" s="51" t="n">
        <v>22890</v>
      </c>
      <c r="B50" s="53">
        <f>VLOOKUP(Table26[[#This Row],[Date]],'DB Money Supply'!$A:$E,5)</f>
        <v/>
      </c>
      <c r="C50" s="30">
        <f>(Table26[[#This Row],[M2 Money Stock, Billions of Dollars, Monthly, Seasonally Adjusted]]-B49)/B49</f>
        <v/>
      </c>
      <c r="D50" s="31">
        <f>((1+Table26[[#This Row],[Monthly change]])^12)-1</f>
        <v/>
      </c>
    </row>
    <row r="51">
      <c r="A51" s="33" t="n">
        <v>22920</v>
      </c>
      <c r="B51" s="53">
        <f>VLOOKUP(Table26[[#This Row],[Date]],'DB Money Supply'!$A:$E,5)</f>
        <v/>
      </c>
      <c r="C51" s="30">
        <f>(Table26[[#This Row],[M2 Money Stock, Billions of Dollars, Monthly, Seasonally Adjusted]]-B50)/B50</f>
        <v/>
      </c>
      <c r="D51" s="31">
        <f>((1+Table26[[#This Row],[Monthly change]])^12)-1</f>
        <v/>
      </c>
    </row>
    <row r="52">
      <c r="A52" s="51" t="n">
        <v>22951</v>
      </c>
      <c r="B52" s="53">
        <f>VLOOKUP(Table26[[#This Row],[Date]],'DB Money Supply'!$A:$E,5)</f>
        <v/>
      </c>
      <c r="C52" s="30">
        <f>(Table26[[#This Row],[M2 Money Stock, Billions of Dollars, Monthly, Seasonally Adjusted]]-B51)/B51</f>
        <v/>
      </c>
      <c r="D52" s="31">
        <f>((1+Table26[[#This Row],[Monthly change]])^12)-1</f>
        <v/>
      </c>
    </row>
    <row r="53">
      <c r="A53" s="33" t="n">
        <v>22981</v>
      </c>
      <c r="B53" s="53">
        <f>VLOOKUP(Table26[[#This Row],[Date]],'DB Money Supply'!$A:$E,5)</f>
        <v/>
      </c>
      <c r="C53" s="30">
        <f>(Table26[[#This Row],[M2 Money Stock, Billions of Dollars, Monthly, Seasonally Adjusted]]-B52)/B52</f>
        <v/>
      </c>
      <c r="D53" s="31">
        <f>((1+Table26[[#This Row],[Monthly change]])^12)-1</f>
        <v/>
      </c>
    </row>
    <row r="54">
      <c r="A54" s="51" t="n">
        <v>23012</v>
      </c>
      <c r="B54" s="53">
        <f>VLOOKUP(Table26[[#This Row],[Date]],'DB Money Supply'!$A:$E,5)</f>
        <v/>
      </c>
      <c r="C54" s="30">
        <f>(Table26[[#This Row],[M2 Money Stock, Billions of Dollars, Monthly, Seasonally Adjusted]]-B53)/B53</f>
        <v/>
      </c>
      <c r="D54" s="31">
        <f>((1+Table26[[#This Row],[Monthly change]])^12)-1</f>
        <v/>
      </c>
    </row>
    <row r="55">
      <c r="A55" s="33" t="n">
        <v>23043</v>
      </c>
      <c r="B55" s="53">
        <f>VLOOKUP(Table26[[#This Row],[Date]],'DB Money Supply'!$A:$E,5)</f>
        <v/>
      </c>
      <c r="C55" s="30">
        <f>(Table26[[#This Row],[M2 Money Stock, Billions of Dollars, Monthly, Seasonally Adjusted]]-B54)/B54</f>
        <v/>
      </c>
      <c r="D55" s="31">
        <f>((1+Table26[[#This Row],[Monthly change]])^12)-1</f>
        <v/>
      </c>
    </row>
    <row r="56">
      <c r="A56" s="51" t="n">
        <v>23071</v>
      </c>
      <c r="B56" s="53">
        <f>VLOOKUP(Table26[[#This Row],[Date]],'DB Money Supply'!$A:$E,5)</f>
        <v/>
      </c>
      <c r="C56" s="30">
        <f>(Table26[[#This Row],[M2 Money Stock, Billions of Dollars, Monthly, Seasonally Adjusted]]-B55)/B55</f>
        <v/>
      </c>
      <c r="D56" s="31">
        <f>((1+Table26[[#This Row],[Monthly change]])^12)-1</f>
        <v/>
      </c>
    </row>
    <row r="57">
      <c r="A57" s="33" t="n">
        <v>23102</v>
      </c>
      <c r="B57" s="53">
        <f>VLOOKUP(Table26[[#This Row],[Date]],'DB Money Supply'!$A:$E,5)</f>
        <v/>
      </c>
      <c r="C57" s="30">
        <f>(Table26[[#This Row],[M2 Money Stock, Billions of Dollars, Monthly, Seasonally Adjusted]]-B56)/B56</f>
        <v/>
      </c>
      <c r="D57" s="31">
        <f>((1+Table26[[#This Row],[Monthly change]])^12)-1</f>
        <v/>
      </c>
    </row>
    <row r="58">
      <c r="A58" s="51" t="n">
        <v>23132</v>
      </c>
      <c r="B58" s="53">
        <f>VLOOKUP(Table26[[#This Row],[Date]],'DB Money Supply'!$A:$E,5)</f>
        <v/>
      </c>
      <c r="C58" s="30">
        <f>(Table26[[#This Row],[M2 Money Stock, Billions of Dollars, Monthly, Seasonally Adjusted]]-B57)/B57</f>
        <v/>
      </c>
      <c r="D58" s="31">
        <f>((1+Table26[[#This Row],[Monthly change]])^12)-1</f>
        <v/>
      </c>
    </row>
    <row r="59">
      <c r="A59" s="33" t="n">
        <v>23163</v>
      </c>
      <c r="B59" s="53">
        <f>VLOOKUP(Table26[[#This Row],[Date]],'DB Money Supply'!$A:$E,5)</f>
        <v/>
      </c>
      <c r="C59" s="30">
        <f>(Table26[[#This Row],[M2 Money Stock, Billions of Dollars, Monthly, Seasonally Adjusted]]-B58)/B58</f>
        <v/>
      </c>
      <c r="D59" s="31">
        <f>((1+Table26[[#This Row],[Monthly change]])^12)-1</f>
        <v/>
      </c>
    </row>
    <row r="60">
      <c r="A60" s="51" t="n">
        <v>23193</v>
      </c>
      <c r="B60" s="53">
        <f>VLOOKUP(Table26[[#This Row],[Date]],'DB Money Supply'!$A:$E,5)</f>
        <v/>
      </c>
      <c r="C60" s="30">
        <f>(Table26[[#This Row],[M2 Money Stock, Billions of Dollars, Monthly, Seasonally Adjusted]]-B59)/B59</f>
        <v/>
      </c>
      <c r="D60" s="31">
        <f>((1+Table26[[#This Row],[Monthly change]])^12)-1</f>
        <v/>
      </c>
    </row>
    <row r="61">
      <c r="A61" s="33" t="n">
        <v>23224</v>
      </c>
      <c r="B61" s="53">
        <f>VLOOKUP(Table26[[#This Row],[Date]],'DB Money Supply'!$A:$E,5)</f>
        <v/>
      </c>
      <c r="C61" s="30">
        <f>(Table26[[#This Row],[M2 Money Stock, Billions of Dollars, Monthly, Seasonally Adjusted]]-B60)/B60</f>
        <v/>
      </c>
      <c r="D61" s="31">
        <f>((1+Table26[[#This Row],[Monthly change]])^12)-1</f>
        <v/>
      </c>
    </row>
    <row r="62">
      <c r="A62" s="51" t="n">
        <v>23255</v>
      </c>
      <c r="B62" s="53">
        <f>VLOOKUP(Table26[[#This Row],[Date]],'DB Money Supply'!$A:$E,5)</f>
        <v/>
      </c>
      <c r="C62" s="30">
        <f>(Table26[[#This Row],[M2 Money Stock, Billions of Dollars, Monthly, Seasonally Adjusted]]-B61)/B61</f>
        <v/>
      </c>
      <c r="D62" s="31">
        <f>((1+Table26[[#This Row],[Monthly change]])^12)-1</f>
        <v/>
      </c>
    </row>
    <row r="63">
      <c r="A63" s="51" t="n">
        <v>23285</v>
      </c>
      <c r="B63" s="53">
        <f>VLOOKUP(Table26[[#This Row],[Date]],'DB Money Supply'!$A:$E,5)</f>
        <v/>
      </c>
      <c r="C63" s="30">
        <f>(Table26[[#This Row],[M2 Money Stock, Billions of Dollars, Monthly, Seasonally Adjusted]]-B62)/B62</f>
        <v/>
      </c>
      <c r="D63" s="31">
        <f>((1+Table26[[#This Row],[Monthly change]])^12)-1</f>
        <v/>
      </c>
    </row>
    <row r="64">
      <c r="A64" s="33" t="n">
        <v>23316</v>
      </c>
      <c r="B64" s="53">
        <f>VLOOKUP(Table26[[#This Row],[Date]],'DB Money Supply'!$A:$E,5)</f>
        <v/>
      </c>
      <c r="C64" s="30">
        <f>(Table26[[#This Row],[M2 Money Stock, Billions of Dollars, Monthly, Seasonally Adjusted]]-B63)/B63</f>
        <v/>
      </c>
      <c r="D64" s="31">
        <f>((1+Table26[[#This Row],[Monthly change]])^12)-1</f>
        <v/>
      </c>
    </row>
    <row r="65">
      <c r="A65" s="51" t="n">
        <v>23346</v>
      </c>
      <c r="B65" s="53">
        <f>VLOOKUP(Table26[[#This Row],[Date]],'DB Money Supply'!$A:$E,5)</f>
        <v/>
      </c>
      <c r="C65" s="30">
        <f>(Table26[[#This Row],[M2 Money Stock, Billions of Dollars, Monthly, Seasonally Adjusted]]-B64)/B64</f>
        <v/>
      </c>
      <c r="D65" s="31">
        <f>((1+Table26[[#This Row],[Monthly change]])^12)-1</f>
        <v/>
      </c>
    </row>
    <row r="66">
      <c r="A66" s="33" t="n">
        <v>23377</v>
      </c>
      <c r="B66" s="53">
        <f>VLOOKUP(Table26[[#This Row],[Date]],'DB Money Supply'!$A:$E,5)</f>
        <v/>
      </c>
      <c r="C66" s="30">
        <f>(Table26[[#This Row],[M2 Money Stock, Billions of Dollars, Monthly, Seasonally Adjusted]]-B65)/B65</f>
        <v/>
      </c>
      <c r="D66" s="31">
        <f>((1+Table26[[#This Row],[Monthly change]])^12)-1</f>
        <v/>
      </c>
    </row>
    <row r="67">
      <c r="A67" s="51" t="n">
        <v>23408</v>
      </c>
      <c r="B67" s="53">
        <f>VLOOKUP(Table26[[#This Row],[Date]],'DB Money Supply'!$A:$E,5)</f>
        <v/>
      </c>
      <c r="C67" s="30">
        <f>(Table26[[#This Row],[M2 Money Stock, Billions of Dollars, Monthly, Seasonally Adjusted]]-B66)/B66</f>
        <v/>
      </c>
      <c r="D67" s="31">
        <f>((1+Table26[[#This Row],[Monthly change]])^12)-1</f>
        <v/>
      </c>
    </row>
    <row r="68">
      <c r="A68" s="33" t="n">
        <v>23437</v>
      </c>
      <c r="B68" s="53">
        <f>VLOOKUP(Table26[[#This Row],[Date]],'DB Money Supply'!$A:$E,5)</f>
        <v/>
      </c>
      <c r="C68" s="30">
        <f>(Table26[[#This Row],[M2 Money Stock, Billions of Dollars, Monthly, Seasonally Adjusted]]-B67)/B67</f>
        <v/>
      </c>
      <c r="D68" s="31">
        <f>((1+Table26[[#This Row],[Monthly change]])^12)-1</f>
        <v/>
      </c>
    </row>
    <row r="69">
      <c r="A69" s="51" t="n">
        <v>23468</v>
      </c>
      <c r="B69" s="53">
        <f>VLOOKUP(Table26[[#This Row],[Date]],'DB Money Supply'!$A:$E,5)</f>
        <v/>
      </c>
      <c r="C69" s="30">
        <f>(Table26[[#This Row],[M2 Money Stock, Billions of Dollars, Monthly, Seasonally Adjusted]]-B68)/B68</f>
        <v/>
      </c>
      <c r="D69" s="31">
        <f>((1+Table26[[#This Row],[Monthly change]])^12)-1</f>
        <v/>
      </c>
    </row>
    <row r="70">
      <c r="A70" s="33" t="n">
        <v>23498</v>
      </c>
      <c r="B70" s="53">
        <f>VLOOKUP(Table26[[#This Row],[Date]],'DB Money Supply'!$A:$E,5)</f>
        <v/>
      </c>
      <c r="C70" s="30">
        <f>(Table26[[#This Row],[M2 Money Stock, Billions of Dollars, Monthly, Seasonally Adjusted]]-B69)/B69</f>
        <v/>
      </c>
      <c r="D70" s="31">
        <f>((1+Table26[[#This Row],[Monthly change]])^12)-1</f>
        <v/>
      </c>
    </row>
    <row r="71">
      <c r="A71" s="51" t="n">
        <v>23529</v>
      </c>
      <c r="B71" s="53">
        <f>VLOOKUP(Table26[[#This Row],[Date]],'DB Money Supply'!$A:$E,5)</f>
        <v/>
      </c>
      <c r="C71" s="30">
        <f>(Table26[[#This Row],[M2 Money Stock, Billions of Dollars, Monthly, Seasonally Adjusted]]-B70)/B70</f>
        <v/>
      </c>
      <c r="D71" s="31">
        <f>((1+Table26[[#This Row],[Monthly change]])^12)-1</f>
        <v/>
      </c>
    </row>
    <row r="72">
      <c r="A72" s="33" t="n">
        <v>23559</v>
      </c>
      <c r="B72" s="53">
        <f>VLOOKUP(Table26[[#This Row],[Date]],'DB Money Supply'!$A:$E,5)</f>
        <v/>
      </c>
      <c r="C72" s="30">
        <f>(Table26[[#This Row],[M2 Money Stock, Billions of Dollars, Monthly, Seasonally Adjusted]]-B71)/B71</f>
        <v/>
      </c>
      <c r="D72" s="31">
        <f>((1+Table26[[#This Row],[Monthly change]])^12)-1</f>
        <v/>
      </c>
    </row>
    <row r="73">
      <c r="A73" s="51" t="n">
        <v>23590</v>
      </c>
      <c r="B73" s="53">
        <f>VLOOKUP(Table26[[#This Row],[Date]],'DB Money Supply'!$A:$E,5)</f>
        <v/>
      </c>
      <c r="C73" s="30">
        <f>(Table26[[#This Row],[M2 Money Stock, Billions of Dollars, Monthly, Seasonally Adjusted]]-B72)/B72</f>
        <v/>
      </c>
      <c r="D73" s="31">
        <f>((1+Table26[[#This Row],[Monthly change]])^12)-1</f>
        <v/>
      </c>
    </row>
    <row r="74">
      <c r="A74" s="33" t="n">
        <v>23621</v>
      </c>
      <c r="B74" s="53">
        <f>VLOOKUP(Table26[[#This Row],[Date]],'DB Money Supply'!$A:$E,5)</f>
        <v/>
      </c>
      <c r="C74" s="30">
        <f>(Table26[[#This Row],[M2 Money Stock, Billions of Dollars, Monthly, Seasonally Adjusted]]-B73)/B73</f>
        <v/>
      </c>
      <c r="D74" s="31">
        <f>((1+Table26[[#This Row],[Monthly change]])^12)-1</f>
        <v/>
      </c>
    </row>
    <row r="75">
      <c r="A75" s="51" t="n">
        <v>23651</v>
      </c>
      <c r="B75" s="53">
        <f>VLOOKUP(Table26[[#This Row],[Date]],'DB Money Supply'!$A:$E,5)</f>
        <v/>
      </c>
      <c r="C75" s="30">
        <f>(Table26[[#This Row],[M2 Money Stock, Billions of Dollars, Monthly, Seasonally Adjusted]]-B74)/B74</f>
        <v/>
      </c>
      <c r="D75" s="31">
        <f>((1+Table26[[#This Row],[Monthly change]])^12)-1</f>
        <v/>
      </c>
    </row>
    <row r="76">
      <c r="A76" s="33" t="n">
        <v>23682</v>
      </c>
      <c r="B76" s="53">
        <f>VLOOKUP(Table26[[#This Row],[Date]],'DB Money Supply'!$A:$E,5)</f>
        <v/>
      </c>
      <c r="C76" s="30">
        <f>(Table26[[#This Row],[M2 Money Stock, Billions of Dollars, Monthly, Seasonally Adjusted]]-B75)/B75</f>
        <v/>
      </c>
      <c r="D76" s="31">
        <f>((1+Table26[[#This Row],[Monthly change]])^12)-1</f>
        <v/>
      </c>
    </row>
    <row r="77">
      <c r="A77" s="51" t="n">
        <v>23712</v>
      </c>
      <c r="B77" s="53">
        <f>VLOOKUP(Table26[[#This Row],[Date]],'DB Money Supply'!$A:$E,5)</f>
        <v/>
      </c>
      <c r="C77" s="30">
        <f>(Table26[[#This Row],[M2 Money Stock, Billions of Dollars, Monthly, Seasonally Adjusted]]-B76)/B76</f>
        <v/>
      </c>
      <c r="D77" s="31">
        <f>((1+Table26[[#This Row],[Monthly change]])^12)-1</f>
        <v/>
      </c>
    </row>
    <row r="78">
      <c r="A78" s="33" t="n">
        <v>23743</v>
      </c>
      <c r="B78" s="53">
        <f>VLOOKUP(Table26[[#This Row],[Date]],'DB Money Supply'!$A:$E,5)</f>
        <v/>
      </c>
      <c r="C78" s="30">
        <f>(Table26[[#This Row],[M2 Money Stock, Billions of Dollars, Monthly, Seasonally Adjusted]]-B77)/B77</f>
        <v/>
      </c>
      <c r="D78" s="31">
        <f>((1+Table26[[#This Row],[Monthly change]])^12)-1</f>
        <v/>
      </c>
    </row>
    <row r="79">
      <c r="A79" s="51" t="n">
        <v>23774</v>
      </c>
      <c r="B79" s="53">
        <f>VLOOKUP(Table26[[#This Row],[Date]],'DB Money Supply'!$A:$E,5)</f>
        <v/>
      </c>
      <c r="C79" s="30">
        <f>(Table26[[#This Row],[M2 Money Stock, Billions of Dollars, Monthly, Seasonally Adjusted]]-B78)/B78</f>
        <v/>
      </c>
      <c r="D79" s="31">
        <f>((1+Table26[[#This Row],[Monthly change]])^12)-1</f>
        <v/>
      </c>
    </row>
    <row r="80">
      <c r="A80" s="33" t="n">
        <v>23802</v>
      </c>
      <c r="B80" s="53">
        <f>VLOOKUP(Table26[[#This Row],[Date]],'DB Money Supply'!$A:$E,5)</f>
        <v/>
      </c>
      <c r="C80" s="30">
        <f>(Table26[[#This Row],[M2 Money Stock, Billions of Dollars, Monthly, Seasonally Adjusted]]-B79)/B79</f>
        <v/>
      </c>
      <c r="D80" s="31">
        <f>((1+Table26[[#This Row],[Monthly change]])^12)-1</f>
        <v/>
      </c>
    </row>
    <row r="81">
      <c r="A81" s="51" t="n">
        <v>23833</v>
      </c>
      <c r="B81" s="53">
        <f>VLOOKUP(Table26[[#This Row],[Date]],'DB Money Supply'!$A:$E,5)</f>
        <v/>
      </c>
      <c r="C81" s="30">
        <f>(Table26[[#This Row],[M2 Money Stock, Billions of Dollars, Monthly, Seasonally Adjusted]]-B80)/B80</f>
        <v/>
      </c>
      <c r="D81" s="31">
        <f>((1+Table26[[#This Row],[Monthly change]])^12)-1</f>
        <v/>
      </c>
    </row>
    <row r="82">
      <c r="A82" s="51" t="n">
        <v>23863</v>
      </c>
      <c r="B82" s="53">
        <f>VLOOKUP(Table26[[#This Row],[Date]],'DB Money Supply'!$A:$E,5)</f>
        <v/>
      </c>
      <c r="C82" s="30">
        <f>(Table26[[#This Row],[M2 Money Stock, Billions of Dollars, Monthly, Seasonally Adjusted]]-B81)/B81</f>
        <v/>
      </c>
      <c r="D82" s="31">
        <f>((1+Table26[[#This Row],[Monthly change]])^12)-1</f>
        <v/>
      </c>
    </row>
    <row r="83">
      <c r="A83" s="33" t="n">
        <v>23894</v>
      </c>
      <c r="B83" s="53">
        <f>VLOOKUP(Table26[[#This Row],[Date]],'DB Money Supply'!$A:$E,5)</f>
        <v/>
      </c>
      <c r="C83" s="30">
        <f>(Table26[[#This Row],[M2 Money Stock, Billions of Dollars, Monthly, Seasonally Adjusted]]-B82)/B82</f>
        <v/>
      </c>
      <c r="D83" s="31">
        <f>((1+Table26[[#This Row],[Monthly change]])^12)-1</f>
        <v/>
      </c>
    </row>
    <row r="84">
      <c r="A84" s="51" t="n">
        <v>23924</v>
      </c>
      <c r="B84" s="53">
        <f>VLOOKUP(Table26[[#This Row],[Date]],'DB Money Supply'!$A:$E,5)</f>
        <v/>
      </c>
      <c r="C84" s="30">
        <f>(Table26[[#This Row],[M2 Money Stock, Billions of Dollars, Monthly, Seasonally Adjusted]]-B83)/B83</f>
        <v/>
      </c>
      <c r="D84" s="31">
        <f>((1+Table26[[#This Row],[Monthly change]])^12)-1</f>
        <v/>
      </c>
    </row>
    <row r="85">
      <c r="A85" s="33" t="n">
        <v>23955</v>
      </c>
      <c r="B85" s="53">
        <f>VLOOKUP(Table26[[#This Row],[Date]],'DB Money Supply'!$A:$E,5)</f>
        <v/>
      </c>
      <c r="C85" s="30">
        <f>(Table26[[#This Row],[M2 Money Stock, Billions of Dollars, Monthly, Seasonally Adjusted]]-B84)/B84</f>
        <v/>
      </c>
      <c r="D85" s="31">
        <f>((1+Table26[[#This Row],[Monthly change]])^12)-1</f>
        <v/>
      </c>
    </row>
    <row r="86">
      <c r="A86" s="51" t="n">
        <v>23986</v>
      </c>
      <c r="B86" s="53">
        <f>VLOOKUP(Table26[[#This Row],[Date]],'DB Money Supply'!$A:$E,5)</f>
        <v/>
      </c>
      <c r="C86" s="30">
        <f>(Table26[[#This Row],[M2 Money Stock, Billions of Dollars, Monthly, Seasonally Adjusted]]-B85)/B85</f>
        <v/>
      </c>
      <c r="D86" s="31">
        <f>((1+Table26[[#This Row],[Monthly change]])^12)-1</f>
        <v/>
      </c>
    </row>
    <row r="87">
      <c r="A87" s="33" t="n">
        <v>24016</v>
      </c>
      <c r="B87" s="53">
        <f>VLOOKUP(Table26[[#This Row],[Date]],'DB Money Supply'!$A:$E,5)</f>
        <v/>
      </c>
      <c r="C87" s="30">
        <f>(Table26[[#This Row],[M2 Money Stock, Billions of Dollars, Monthly, Seasonally Adjusted]]-B86)/B86</f>
        <v/>
      </c>
      <c r="D87" s="31">
        <f>((1+Table26[[#This Row],[Monthly change]])^12)-1</f>
        <v/>
      </c>
    </row>
    <row r="88">
      <c r="A88" s="51" t="n">
        <v>24047</v>
      </c>
      <c r="B88" s="53">
        <f>VLOOKUP(Table26[[#This Row],[Date]],'DB Money Supply'!$A:$E,5)</f>
        <v/>
      </c>
      <c r="C88" s="30">
        <f>(Table26[[#This Row],[M2 Money Stock, Billions of Dollars, Monthly, Seasonally Adjusted]]-B87)/B87</f>
        <v/>
      </c>
      <c r="D88" s="31">
        <f>((1+Table26[[#This Row],[Monthly change]])^12)-1</f>
        <v/>
      </c>
    </row>
    <row r="89">
      <c r="A89" s="33" t="n">
        <v>24077</v>
      </c>
      <c r="B89" s="53">
        <f>VLOOKUP(Table26[[#This Row],[Date]],'DB Money Supply'!$A:$E,5)</f>
        <v/>
      </c>
      <c r="C89" s="30">
        <f>(Table26[[#This Row],[M2 Money Stock, Billions of Dollars, Monthly, Seasonally Adjusted]]-B88)/B88</f>
        <v/>
      </c>
      <c r="D89" s="31">
        <f>((1+Table26[[#This Row],[Monthly change]])^12)-1</f>
        <v/>
      </c>
    </row>
    <row r="90">
      <c r="A90" s="51" t="n">
        <v>24108</v>
      </c>
      <c r="B90" s="53">
        <f>VLOOKUP(Table26[[#This Row],[Date]],'DB Money Supply'!$A:$E,5)</f>
        <v/>
      </c>
      <c r="C90" s="30">
        <f>(Table26[[#This Row],[M2 Money Stock, Billions of Dollars, Monthly, Seasonally Adjusted]]-B89)/B89</f>
        <v/>
      </c>
      <c r="D90" s="31">
        <f>((1+Table26[[#This Row],[Monthly change]])^12)-1</f>
        <v/>
      </c>
    </row>
    <row r="91">
      <c r="A91" s="33" t="n">
        <v>24139</v>
      </c>
      <c r="B91" s="53">
        <f>VLOOKUP(Table26[[#This Row],[Date]],'DB Money Supply'!$A:$E,5)</f>
        <v/>
      </c>
      <c r="C91" s="30">
        <f>(Table26[[#This Row],[M2 Money Stock, Billions of Dollars, Monthly, Seasonally Adjusted]]-B90)/B90</f>
        <v/>
      </c>
      <c r="D91" s="31">
        <f>((1+Table26[[#This Row],[Monthly change]])^12)-1</f>
        <v/>
      </c>
    </row>
    <row r="92">
      <c r="A92" s="51" t="n">
        <v>24167</v>
      </c>
      <c r="B92" s="53">
        <f>VLOOKUP(Table26[[#This Row],[Date]],'DB Money Supply'!$A:$E,5)</f>
        <v/>
      </c>
      <c r="C92" s="30">
        <f>(Table26[[#This Row],[M2 Money Stock, Billions of Dollars, Monthly, Seasonally Adjusted]]-B91)/B91</f>
        <v/>
      </c>
      <c r="D92" s="31">
        <f>((1+Table26[[#This Row],[Monthly change]])^12)-1</f>
        <v/>
      </c>
    </row>
    <row r="93">
      <c r="A93" s="33" t="n">
        <v>24198</v>
      </c>
      <c r="B93" s="53">
        <f>VLOOKUP(Table26[[#This Row],[Date]],'DB Money Supply'!$A:$E,5)</f>
        <v/>
      </c>
      <c r="C93" s="30">
        <f>(Table26[[#This Row],[M2 Money Stock, Billions of Dollars, Monthly, Seasonally Adjusted]]-B92)/B92</f>
        <v/>
      </c>
      <c r="D93" s="31">
        <f>((1+Table26[[#This Row],[Monthly change]])^12)-1</f>
        <v/>
      </c>
    </row>
    <row r="94">
      <c r="A94" s="51" t="n">
        <v>24228</v>
      </c>
      <c r="B94" s="53">
        <f>VLOOKUP(Table26[[#This Row],[Date]],'DB Money Supply'!$A:$E,5)</f>
        <v/>
      </c>
      <c r="C94" s="30">
        <f>(Table26[[#This Row],[M2 Money Stock, Billions of Dollars, Monthly, Seasonally Adjusted]]-B93)/B93</f>
        <v/>
      </c>
      <c r="D94" s="31">
        <f>((1+Table26[[#This Row],[Monthly change]])^12)-1</f>
        <v/>
      </c>
    </row>
    <row r="95">
      <c r="A95" s="33" t="n">
        <v>24259</v>
      </c>
      <c r="B95" s="53">
        <f>VLOOKUP(Table26[[#This Row],[Date]],'DB Money Supply'!$A:$E,5)</f>
        <v/>
      </c>
      <c r="C95" s="30">
        <f>(Table26[[#This Row],[M2 Money Stock, Billions of Dollars, Monthly, Seasonally Adjusted]]-B94)/B94</f>
        <v/>
      </c>
      <c r="D95" s="31">
        <f>((1+Table26[[#This Row],[Monthly change]])^12)-1</f>
        <v/>
      </c>
    </row>
    <row r="96">
      <c r="A96" s="51" t="n">
        <v>24289</v>
      </c>
      <c r="B96" s="53">
        <f>VLOOKUP(Table26[[#This Row],[Date]],'DB Money Supply'!$A:$E,5)</f>
        <v/>
      </c>
      <c r="C96" s="30">
        <f>(Table26[[#This Row],[M2 Money Stock, Billions of Dollars, Monthly, Seasonally Adjusted]]-B95)/B95</f>
        <v/>
      </c>
      <c r="D96" s="31">
        <f>((1+Table26[[#This Row],[Monthly change]])^12)-1</f>
        <v/>
      </c>
    </row>
    <row r="97">
      <c r="A97" s="33" t="n">
        <v>24320</v>
      </c>
      <c r="B97" s="53">
        <f>VLOOKUP(Table26[[#This Row],[Date]],'DB Money Supply'!$A:$E,5)</f>
        <v/>
      </c>
      <c r="C97" s="30">
        <f>(Table26[[#This Row],[M2 Money Stock, Billions of Dollars, Monthly, Seasonally Adjusted]]-B96)/B96</f>
        <v/>
      </c>
      <c r="D97" s="31">
        <f>((1+Table26[[#This Row],[Monthly change]])^12)-1</f>
        <v/>
      </c>
    </row>
    <row r="98">
      <c r="A98" s="51" t="n">
        <v>24351</v>
      </c>
      <c r="B98" s="53">
        <f>VLOOKUP(Table26[[#This Row],[Date]],'DB Money Supply'!$A:$E,5)</f>
        <v/>
      </c>
      <c r="C98" s="30">
        <f>(Table26[[#This Row],[M2 Money Stock, Billions of Dollars, Monthly, Seasonally Adjusted]]-B97)/B97</f>
        <v/>
      </c>
      <c r="D98" s="31">
        <f>((1+Table26[[#This Row],[Monthly change]])^12)-1</f>
        <v/>
      </c>
    </row>
    <row r="99">
      <c r="A99" s="33" t="n">
        <v>24381</v>
      </c>
      <c r="B99" s="53">
        <f>VLOOKUP(Table26[[#This Row],[Date]],'DB Money Supply'!$A:$E,5)</f>
        <v/>
      </c>
      <c r="C99" s="30">
        <f>(Table26[[#This Row],[M2 Money Stock, Billions of Dollars, Monthly, Seasonally Adjusted]]-B98)/B98</f>
        <v/>
      </c>
      <c r="D99" s="31">
        <f>((1+Table26[[#This Row],[Monthly change]])^12)-1</f>
        <v/>
      </c>
    </row>
    <row r="100">
      <c r="A100" s="51" t="n">
        <v>24412</v>
      </c>
      <c r="B100" s="53">
        <f>VLOOKUP(Table26[[#This Row],[Date]],'DB Money Supply'!$A:$E,5)</f>
        <v/>
      </c>
      <c r="C100" s="30">
        <f>(Table26[[#This Row],[M2 Money Stock, Billions of Dollars, Monthly, Seasonally Adjusted]]-B99)/B99</f>
        <v/>
      </c>
      <c r="D100" s="31">
        <f>((1+Table26[[#This Row],[Monthly change]])^12)-1</f>
        <v/>
      </c>
    </row>
    <row r="101">
      <c r="A101" s="51" t="n">
        <v>24442</v>
      </c>
      <c r="B101" s="53">
        <f>VLOOKUP(Table26[[#This Row],[Date]],'DB Money Supply'!$A:$E,5)</f>
        <v/>
      </c>
      <c r="C101" s="30">
        <f>(Table26[[#This Row],[M2 Money Stock, Billions of Dollars, Monthly, Seasonally Adjusted]]-B100)/B100</f>
        <v/>
      </c>
      <c r="D101" s="31">
        <f>((1+Table26[[#This Row],[Monthly change]])^12)-1</f>
        <v/>
      </c>
    </row>
    <row r="102">
      <c r="A102" s="33" t="n">
        <v>24473</v>
      </c>
      <c r="B102" s="53">
        <f>VLOOKUP(Table26[[#This Row],[Date]],'DB Money Supply'!$A:$E,5)</f>
        <v/>
      </c>
      <c r="C102" s="30">
        <f>(Table26[[#This Row],[M2 Money Stock, Billions of Dollars, Monthly, Seasonally Adjusted]]-B101)/B101</f>
        <v/>
      </c>
      <c r="D102" s="31">
        <f>((1+Table26[[#This Row],[Monthly change]])^12)-1</f>
        <v/>
      </c>
    </row>
    <row r="103">
      <c r="A103" s="51" t="n">
        <v>24504</v>
      </c>
      <c r="B103" s="53">
        <f>VLOOKUP(Table26[[#This Row],[Date]],'DB Money Supply'!$A:$E,5)</f>
        <v/>
      </c>
      <c r="C103" s="30">
        <f>(Table26[[#This Row],[M2 Money Stock, Billions of Dollars, Monthly, Seasonally Adjusted]]-B102)/B102</f>
        <v/>
      </c>
      <c r="D103" s="31">
        <f>((1+Table26[[#This Row],[Monthly change]])^12)-1</f>
        <v/>
      </c>
    </row>
    <row r="104">
      <c r="A104" s="33" t="n">
        <v>24532</v>
      </c>
      <c r="B104" s="53">
        <f>VLOOKUP(Table26[[#This Row],[Date]],'DB Money Supply'!$A:$E,5)</f>
        <v/>
      </c>
      <c r="C104" s="30">
        <f>(Table26[[#This Row],[M2 Money Stock, Billions of Dollars, Monthly, Seasonally Adjusted]]-B103)/B103</f>
        <v/>
      </c>
      <c r="D104" s="31">
        <f>((1+Table26[[#This Row],[Monthly change]])^12)-1</f>
        <v/>
      </c>
    </row>
    <row r="105">
      <c r="A105" s="51" t="n">
        <v>24563</v>
      </c>
      <c r="B105" s="53">
        <f>VLOOKUP(Table26[[#This Row],[Date]],'DB Money Supply'!$A:$E,5)</f>
        <v/>
      </c>
      <c r="C105" s="30">
        <f>(Table26[[#This Row],[M2 Money Stock, Billions of Dollars, Monthly, Seasonally Adjusted]]-B104)/B104</f>
        <v/>
      </c>
      <c r="D105" s="31">
        <f>((1+Table26[[#This Row],[Monthly change]])^12)-1</f>
        <v/>
      </c>
    </row>
    <row r="106">
      <c r="A106" s="33" t="n">
        <v>24593</v>
      </c>
      <c r="B106" s="53">
        <f>VLOOKUP(Table26[[#This Row],[Date]],'DB Money Supply'!$A:$E,5)</f>
        <v/>
      </c>
      <c r="C106" s="30">
        <f>(Table26[[#This Row],[M2 Money Stock, Billions of Dollars, Monthly, Seasonally Adjusted]]-B105)/B105</f>
        <v/>
      </c>
      <c r="D106" s="31">
        <f>((1+Table26[[#This Row],[Monthly change]])^12)-1</f>
        <v/>
      </c>
    </row>
    <row r="107">
      <c r="A107" s="51" t="n">
        <v>24624</v>
      </c>
      <c r="B107" s="53">
        <f>VLOOKUP(Table26[[#This Row],[Date]],'DB Money Supply'!$A:$E,5)</f>
        <v/>
      </c>
      <c r="C107" s="30">
        <f>(Table26[[#This Row],[M2 Money Stock, Billions of Dollars, Monthly, Seasonally Adjusted]]-B106)/B106</f>
        <v/>
      </c>
      <c r="D107" s="31">
        <f>((1+Table26[[#This Row],[Monthly change]])^12)-1</f>
        <v/>
      </c>
    </row>
    <row r="108">
      <c r="A108" s="33" t="n">
        <v>24654</v>
      </c>
      <c r="B108" s="53">
        <f>VLOOKUP(Table26[[#This Row],[Date]],'DB Money Supply'!$A:$E,5)</f>
        <v/>
      </c>
      <c r="C108" s="30">
        <f>(Table26[[#This Row],[M2 Money Stock, Billions of Dollars, Monthly, Seasonally Adjusted]]-B107)/B107</f>
        <v/>
      </c>
      <c r="D108" s="31">
        <f>((1+Table26[[#This Row],[Monthly change]])^12)-1</f>
        <v/>
      </c>
    </row>
    <row r="109">
      <c r="A109" s="51" t="n">
        <v>24685</v>
      </c>
      <c r="B109" s="53">
        <f>VLOOKUP(Table26[[#This Row],[Date]],'DB Money Supply'!$A:$E,5)</f>
        <v/>
      </c>
      <c r="C109" s="30">
        <f>(Table26[[#This Row],[M2 Money Stock, Billions of Dollars, Monthly, Seasonally Adjusted]]-B108)/B108</f>
        <v/>
      </c>
      <c r="D109" s="31">
        <f>((1+Table26[[#This Row],[Monthly change]])^12)-1</f>
        <v/>
      </c>
    </row>
    <row r="110">
      <c r="A110" s="33" t="n">
        <v>24716</v>
      </c>
      <c r="B110" s="53">
        <f>VLOOKUP(Table26[[#This Row],[Date]],'DB Money Supply'!$A:$E,5)</f>
        <v/>
      </c>
      <c r="C110" s="30">
        <f>(Table26[[#This Row],[M2 Money Stock, Billions of Dollars, Monthly, Seasonally Adjusted]]-B109)/B109</f>
        <v/>
      </c>
      <c r="D110" s="31">
        <f>((1+Table26[[#This Row],[Monthly change]])^12)-1</f>
        <v/>
      </c>
    </row>
    <row r="111">
      <c r="A111" s="51" t="n">
        <v>24746</v>
      </c>
      <c r="B111" s="53">
        <f>VLOOKUP(Table26[[#This Row],[Date]],'DB Money Supply'!$A:$E,5)</f>
        <v/>
      </c>
      <c r="C111" s="30">
        <f>(Table26[[#This Row],[M2 Money Stock, Billions of Dollars, Monthly, Seasonally Adjusted]]-B110)/B110</f>
        <v/>
      </c>
      <c r="D111" s="31">
        <f>((1+Table26[[#This Row],[Monthly change]])^12)-1</f>
        <v/>
      </c>
    </row>
    <row r="112">
      <c r="A112" s="33" t="n">
        <v>24777</v>
      </c>
      <c r="B112" s="53">
        <f>VLOOKUP(Table26[[#This Row],[Date]],'DB Money Supply'!$A:$E,5)</f>
        <v/>
      </c>
      <c r="C112" s="30">
        <f>(Table26[[#This Row],[M2 Money Stock, Billions of Dollars, Monthly, Seasonally Adjusted]]-B111)/B111</f>
        <v/>
      </c>
      <c r="D112" s="31">
        <f>((1+Table26[[#This Row],[Monthly change]])^12)-1</f>
        <v/>
      </c>
    </row>
    <row r="113">
      <c r="A113" s="51" t="n">
        <v>24807</v>
      </c>
      <c r="B113" s="53">
        <f>VLOOKUP(Table26[[#This Row],[Date]],'DB Money Supply'!$A:$E,5)</f>
        <v/>
      </c>
      <c r="C113" s="30">
        <f>(Table26[[#This Row],[M2 Money Stock, Billions of Dollars, Monthly, Seasonally Adjusted]]-B112)/B112</f>
        <v/>
      </c>
      <c r="D113" s="31">
        <f>((1+Table26[[#This Row],[Monthly change]])^12)-1</f>
        <v/>
      </c>
    </row>
    <row r="114">
      <c r="A114" s="33" t="n">
        <v>24838</v>
      </c>
      <c r="B114" s="53">
        <f>VLOOKUP(Table26[[#This Row],[Date]],'DB Money Supply'!$A:$E,5)</f>
        <v/>
      </c>
      <c r="C114" s="30">
        <f>(Table26[[#This Row],[M2 Money Stock, Billions of Dollars, Monthly, Seasonally Adjusted]]-B113)/B113</f>
        <v/>
      </c>
      <c r="D114" s="31">
        <f>((1+Table26[[#This Row],[Monthly change]])^12)-1</f>
        <v/>
      </c>
    </row>
    <row r="115">
      <c r="A115" s="51" t="n">
        <v>24869</v>
      </c>
      <c r="B115" s="53">
        <f>VLOOKUP(Table26[[#This Row],[Date]],'DB Money Supply'!$A:$E,5)</f>
        <v/>
      </c>
      <c r="C115" s="30">
        <f>(Table26[[#This Row],[M2 Money Stock, Billions of Dollars, Monthly, Seasonally Adjusted]]-B114)/B114</f>
        <v/>
      </c>
      <c r="D115" s="31">
        <f>((1+Table26[[#This Row],[Monthly change]])^12)-1</f>
        <v/>
      </c>
    </row>
    <row r="116">
      <c r="A116" s="33" t="n">
        <v>24898</v>
      </c>
      <c r="B116" s="53">
        <f>VLOOKUP(Table26[[#This Row],[Date]],'DB Money Supply'!$A:$E,5)</f>
        <v/>
      </c>
      <c r="C116" s="30">
        <f>(Table26[[#This Row],[M2 Money Stock, Billions of Dollars, Monthly, Seasonally Adjusted]]-B115)/B115</f>
        <v/>
      </c>
      <c r="D116" s="31">
        <f>((1+Table26[[#This Row],[Monthly change]])^12)-1</f>
        <v/>
      </c>
    </row>
    <row r="117">
      <c r="A117" s="51" t="n">
        <v>24929</v>
      </c>
      <c r="B117" s="53">
        <f>VLOOKUP(Table26[[#This Row],[Date]],'DB Money Supply'!$A:$E,5)</f>
        <v/>
      </c>
      <c r="C117" s="30">
        <f>(Table26[[#This Row],[M2 Money Stock, Billions of Dollars, Monthly, Seasonally Adjusted]]-B116)/B116</f>
        <v/>
      </c>
      <c r="D117" s="31">
        <f>((1+Table26[[#This Row],[Monthly change]])^12)-1</f>
        <v/>
      </c>
    </row>
    <row r="118">
      <c r="A118" s="33" t="n">
        <v>24959</v>
      </c>
      <c r="B118" s="53">
        <f>VLOOKUP(Table26[[#This Row],[Date]],'DB Money Supply'!$A:$E,5)</f>
        <v/>
      </c>
      <c r="C118" s="30">
        <f>(Table26[[#This Row],[M2 Money Stock, Billions of Dollars, Monthly, Seasonally Adjusted]]-B117)/B117</f>
        <v/>
      </c>
      <c r="D118" s="31">
        <f>((1+Table26[[#This Row],[Monthly change]])^12)-1</f>
        <v/>
      </c>
    </row>
    <row r="119">
      <c r="A119" s="51" t="n">
        <v>24990</v>
      </c>
      <c r="B119" s="53">
        <f>VLOOKUP(Table26[[#This Row],[Date]],'DB Money Supply'!$A:$E,5)</f>
        <v/>
      </c>
      <c r="C119" s="30">
        <f>(Table26[[#This Row],[M2 Money Stock, Billions of Dollars, Monthly, Seasonally Adjusted]]-B118)/B118</f>
        <v/>
      </c>
      <c r="D119" s="31">
        <f>((1+Table26[[#This Row],[Monthly change]])^12)-1</f>
        <v/>
      </c>
    </row>
    <row r="120">
      <c r="A120" s="51" t="n">
        <v>25020</v>
      </c>
      <c r="B120" s="53">
        <f>VLOOKUP(Table26[[#This Row],[Date]],'DB Money Supply'!$A:$E,5)</f>
        <v/>
      </c>
      <c r="C120" s="30">
        <f>(Table26[[#This Row],[M2 Money Stock, Billions of Dollars, Monthly, Seasonally Adjusted]]-B119)/B119</f>
        <v/>
      </c>
      <c r="D120" s="31">
        <f>((1+Table26[[#This Row],[Monthly change]])^12)-1</f>
        <v/>
      </c>
    </row>
    <row r="121">
      <c r="A121" s="33" t="n">
        <v>25051</v>
      </c>
      <c r="B121" s="53">
        <f>VLOOKUP(Table26[[#This Row],[Date]],'DB Money Supply'!$A:$E,5)</f>
        <v/>
      </c>
      <c r="C121" s="30">
        <f>(Table26[[#This Row],[M2 Money Stock, Billions of Dollars, Monthly, Seasonally Adjusted]]-B120)/B120</f>
        <v/>
      </c>
      <c r="D121" s="31">
        <f>((1+Table26[[#This Row],[Monthly change]])^12)-1</f>
        <v/>
      </c>
    </row>
    <row r="122">
      <c r="A122" s="51" t="n">
        <v>25082</v>
      </c>
      <c r="B122" s="53">
        <f>VLOOKUP(Table26[[#This Row],[Date]],'DB Money Supply'!$A:$E,5)</f>
        <v/>
      </c>
      <c r="C122" s="30">
        <f>(Table26[[#This Row],[M2 Money Stock, Billions of Dollars, Monthly, Seasonally Adjusted]]-B121)/B121</f>
        <v/>
      </c>
      <c r="D122" s="31">
        <f>((1+Table26[[#This Row],[Monthly change]])^12)-1</f>
        <v/>
      </c>
    </row>
    <row r="123">
      <c r="A123" s="33" t="n">
        <v>25112</v>
      </c>
      <c r="B123" s="53">
        <f>VLOOKUP(Table26[[#This Row],[Date]],'DB Money Supply'!$A:$E,5)</f>
        <v/>
      </c>
      <c r="C123" s="30">
        <f>(Table26[[#This Row],[M2 Money Stock, Billions of Dollars, Monthly, Seasonally Adjusted]]-B122)/B122</f>
        <v/>
      </c>
      <c r="D123" s="31">
        <f>((1+Table26[[#This Row],[Monthly change]])^12)-1</f>
        <v/>
      </c>
    </row>
    <row r="124">
      <c r="A124" s="51" t="n">
        <v>25143</v>
      </c>
      <c r="B124" s="53">
        <f>VLOOKUP(Table26[[#This Row],[Date]],'DB Money Supply'!$A:$E,5)</f>
        <v/>
      </c>
      <c r="C124" s="30">
        <f>(Table26[[#This Row],[M2 Money Stock, Billions of Dollars, Monthly, Seasonally Adjusted]]-B123)/B123</f>
        <v/>
      </c>
      <c r="D124" s="31">
        <f>((1+Table26[[#This Row],[Monthly change]])^12)-1</f>
        <v/>
      </c>
    </row>
    <row r="125">
      <c r="A125" s="33" t="n">
        <v>25173</v>
      </c>
      <c r="B125" s="53">
        <f>VLOOKUP(Table26[[#This Row],[Date]],'DB Money Supply'!$A:$E,5)</f>
        <v/>
      </c>
      <c r="C125" s="30">
        <f>(Table26[[#This Row],[M2 Money Stock, Billions of Dollars, Monthly, Seasonally Adjusted]]-B124)/B124</f>
        <v/>
      </c>
      <c r="D125" s="31">
        <f>((1+Table26[[#This Row],[Monthly change]])^12)-1</f>
        <v/>
      </c>
    </row>
    <row r="126">
      <c r="A126" s="51" t="n">
        <v>25204</v>
      </c>
      <c r="B126" s="53">
        <f>VLOOKUP(Table26[[#This Row],[Date]],'DB Money Supply'!$A:$E,5)</f>
        <v/>
      </c>
      <c r="C126" s="30">
        <f>(Table26[[#This Row],[M2 Money Stock, Billions of Dollars, Monthly, Seasonally Adjusted]]-B125)/B125</f>
        <v/>
      </c>
      <c r="D126" s="31">
        <f>((1+Table26[[#This Row],[Monthly change]])^12)-1</f>
        <v/>
      </c>
    </row>
    <row r="127">
      <c r="A127" s="33" t="n">
        <v>25235</v>
      </c>
      <c r="B127" s="53">
        <f>VLOOKUP(Table26[[#This Row],[Date]],'DB Money Supply'!$A:$E,5)</f>
        <v/>
      </c>
      <c r="C127" s="30">
        <f>(Table26[[#This Row],[M2 Money Stock, Billions of Dollars, Monthly, Seasonally Adjusted]]-B126)/B126</f>
        <v/>
      </c>
      <c r="D127" s="31">
        <f>((1+Table26[[#This Row],[Monthly change]])^12)-1</f>
        <v/>
      </c>
    </row>
    <row r="128">
      <c r="A128" s="51" t="n">
        <v>25263</v>
      </c>
      <c r="B128" s="53">
        <f>VLOOKUP(Table26[[#This Row],[Date]],'DB Money Supply'!$A:$E,5)</f>
        <v/>
      </c>
      <c r="C128" s="30">
        <f>(Table26[[#This Row],[M2 Money Stock, Billions of Dollars, Monthly, Seasonally Adjusted]]-B127)/B127</f>
        <v/>
      </c>
      <c r="D128" s="31">
        <f>((1+Table26[[#This Row],[Monthly change]])^12)-1</f>
        <v/>
      </c>
    </row>
    <row r="129">
      <c r="A129" s="33" t="n">
        <v>25294</v>
      </c>
      <c r="B129" s="53">
        <f>VLOOKUP(Table26[[#This Row],[Date]],'DB Money Supply'!$A:$E,5)</f>
        <v/>
      </c>
      <c r="C129" s="30">
        <f>(Table26[[#This Row],[M2 Money Stock, Billions of Dollars, Monthly, Seasonally Adjusted]]-B128)/B128</f>
        <v/>
      </c>
      <c r="D129" s="31">
        <f>((1+Table26[[#This Row],[Monthly change]])^12)-1</f>
        <v/>
      </c>
    </row>
    <row r="130">
      <c r="A130" s="51" t="n">
        <v>25324</v>
      </c>
      <c r="B130" s="53">
        <f>VLOOKUP(Table26[[#This Row],[Date]],'DB Money Supply'!$A:$E,5)</f>
        <v/>
      </c>
      <c r="C130" s="30">
        <f>(Table26[[#This Row],[M2 Money Stock, Billions of Dollars, Monthly, Seasonally Adjusted]]-B129)/B129</f>
        <v/>
      </c>
      <c r="D130" s="31">
        <f>((1+Table26[[#This Row],[Monthly change]])^12)-1</f>
        <v/>
      </c>
    </row>
    <row r="131">
      <c r="A131" s="33" t="n">
        <v>25355</v>
      </c>
      <c r="B131" s="53">
        <f>VLOOKUP(Table26[[#This Row],[Date]],'DB Money Supply'!$A:$E,5)</f>
        <v/>
      </c>
      <c r="C131" s="30">
        <f>(Table26[[#This Row],[M2 Money Stock, Billions of Dollars, Monthly, Seasonally Adjusted]]-B130)/B130</f>
        <v/>
      </c>
      <c r="D131" s="31">
        <f>((1+Table26[[#This Row],[Monthly change]])^12)-1</f>
        <v/>
      </c>
    </row>
    <row r="132">
      <c r="A132" s="51" t="n">
        <v>25385</v>
      </c>
      <c r="B132" s="53">
        <f>VLOOKUP(Table26[[#This Row],[Date]],'DB Money Supply'!$A:$E,5)</f>
        <v/>
      </c>
      <c r="C132" s="30">
        <f>(Table26[[#This Row],[M2 Money Stock, Billions of Dollars, Monthly, Seasonally Adjusted]]-B131)/B131</f>
        <v/>
      </c>
      <c r="D132" s="31">
        <f>((1+Table26[[#This Row],[Monthly change]])^12)-1</f>
        <v/>
      </c>
    </row>
    <row r="133">
      <c r="A133" s="33" t="n">
        <v>25416</v>
      </c>
      <c r="B133" s="53">
        <f>VLOOKUP(Table26[[#This Row],[Date]],'DB Money Supply'!$A:$E,5)</f>
        <v/>
      </c>
      <c r="C133" s="30">
        <f>(Table26[[#This Row],[M2 Money Stock, Billions of Dollars, Monthly, Seasonally Adjusted]]-B132)/B132</f>
        <v/>
      </c>
      <c r="D133" s="31">
        <f>((1+Table26[[#This Row],[Monthly change]])^12)-1</f>
        <v/>
      </c>
    </row>
    <row r="134">
      <c r="A134" s="51" t="n">
        <v>25447</v>
      </c>
      <c r="B134" s="53">
        <f>VLOOKUP(Table26[[#This Row],[Date]],'DB Money Supply'!$A:$E,5)</f>
        <v/>
      </c>
      <c r="C134" s="30">
        <f>(Table26[[#This Row],[M2 Money Stock, Billions of Dollars, Monthly, Seasonally Adjusted]]-B133)/B133</f>
        <v/>
      </c>
      <c r="D134" s="31">
        <f>((1+Table26[[#This Row],[Monthly change]])^12)-1</f>
        <v/>
      </c>
    </row>
    <row r="135">
      <c r="A135" s="33" t="n">
        <v>25477</v>
      </c>
      <c r="B135" s="53">
        <f>VLOOKUP(Table26[[#This Row],[Date]],'DB Money Supply'!$A:$E,5)</f>
        <v/>
      </c>
      <c r="C135" s="30">
        <f>(Table26[[#This Row],[M2 Money Stock, Billions of Dollars, Monthly, Seasonally Adjusted]]-B134)/B134</f>
        <v/>
      </c>
      <c r="D135" s="31">
        <f>((1+Table26[[#This Row],[Monthly change]])^12)-1</f>
        <v/>
      </c>
    </row>
    <row r="136">
      <c r="A136" s="51" t="n">
        <v>25508</v>
      </c>
      <c r="B136" s="53">
        <f>VLOOKUP(Table26[[#This Row],[Date]],'DB Money Supply'!$A:$E,5)</f>
        <v/>
      </c>
      <c r="C136" s="30">
        <f>(Table26[[#This Row],[M2 Money Stock, Billions of Dollars, Monthly, Seasonally Adjusted]]-B135)/B135</f>
        <v/>
      </c>
      <c r="D136" s="31">
        <f>((1+Table26[[#This Row],[Monthly change]])^12)-1</f>
        <v/>
      </c>
    </row>
    <row r="137">
      <c r="A137" s="33" t="n">
        <v>25538</v>
      </c>
      <c r="B137" s="53">
        <f>VLOOKUP(Table26[[#This Row],[Date]],'DB Money Supply'!$A:$E,5)</f>
        <v/>
      </c>
      <c r="C137" s="30">
        <f>(Table26[[#This Row],[M2 Money Stock, Billions of Dollars, Monthly, Seasonally Adjusted]]-B136)/B136</f>
        <v/>
      </c>
      <c r="D137" s="31">
        <f>((1+Table26[[#This Row],[Monthly change]])^12)-1</f>
        <v/>
      </c>
    </row>
    <row r="138">
      <c r="A138" s="51" t="n">
        <v>25569</v>
      </c>
      <c r="B138" s="53">
        <f>VLOOKUP(Table26[[#This Row],[Date]],'DB Money Supply'!$A:$E,5)</f>
        <v/>
      </c>
      <c r="C138" s="30">
        <f>(Table26[[#This Row],[M2 Money Stock, Billions of Dollars, Monthly, Seasonally Adjusted]]-B137)/B137</f>
        <v/>
      </c>
      <c r="D138" s="31">
        <f>((1+Table26[[#This Row],[Monthly change]])^12)-1</f>
        <v/>
      </c>
    </row>
    <row r="139">
      <c r="A139" s="51" t="n">
        <v>25600</v>
      </c>
      <c r="B139" s="53">
        <f>VLOOKUP(Table26[[#This Row],[Date]],'DB Money Supply'!$A:$E,5)</f>
        <v/>
      </c>
      <c r="C139" s="30">
        <f>(Table26[[#This Row],[M2 Money Stock, Billions of Dollars, Monthly, Seasonally Adjusted]]-B138)/B138</f>
        <v/>
      </c>
      <c r="D139" s="31">
        <f>((1+Table26[[#This Row],[Monthly change]])^12)-1</f>
        <v/>
      </c>
    </row>
    <row r="140">
      <c r="A140" s="33" t="n">
        <v>25628</v>
      </c>
      <c r="B140" s="53">
        <f>VLOOKUP(Table26[[#This Row],[Date]],'DB Money Supply'!$A:$E,5)</f>
        <v/>
      </c>
      <c r="C140" s="30">
        <f>(Table26[[#This Row],[M2 Money Stock, Billions of Dollars, Monthly, Seasonally Adjusted]]-B139)/B139</f>
        <v/>
      </c>
      <c r="D140" s="31">
        <f>((1+Table26[[#This Row],[Monthly change]])^12)-1</f>
        <v/>
      </c>
    </row>
    <row r="141">
      <c r="A141" s="51" t="n">
        <v>25659</v>
      </c>
      <c r="B141" s="53">
        <f>VLOOKUP(Table26[[#This Row],[Date]],'DB Money Supply'!$A:$E,5)</f>
        <v/>
      </c>
      <c r="C141" s="30">
        <f>(Table26[[#This Row],[M2 Money Stock, Billions of Dollars, Monthly, Seasonally Adjusted]]-B140)/B140</f>
        <v/>
      </c>
      <c r="D141" s="31">
        <f>((1+Table26[[#This Row],[Monthly change]])^12)-1</f>
        <v/>
      </c>
    </row>
    <row r="142">
      <c r="A142" s="33" t="n">
        <v>25689</v>
      </c>
      <c r="B142" s="53">
        <f>VLOOKUP(Table26[[#This Row],[Date]],'DB Money Supply'!$A:$E,5)</f>
        <v/>
      </c>
      <c r="C142" s="30">
        <f>(Table26[[#This Row],[M2 Money Stock, Billions of Dollars, Monthly, Seasonally Adjusted]]-B141)/B141</f>
        <v/>
      </c>
      <c r="D142" s="31">
        <f>((1+Table26[[#This Row],[Monthly change]])^12)-1</f>
        <v/>
      </c>
    </row>
    <row r="143">
      <c r="A143" s="51" t="n">
        <v>25720</v>
      </c>
      <c r="B143" s="53">
        <f>VLOOKUP(Table26[[#This Row],[Date]],'DB Money Supply'!$A:$E,5)</f>
        <v/>
      </c>
      <c r="C143" s="30">
        <f>(Table26[[#This Row],[M2 Money Stock, Billions of Dollars, Monthly, Seasonally Adjusted]]-B142)/B142</f>
        <v/>
      </c>
      <c r="D143" s="31">
        <f>((1+Table26[[#This Row],[Monthly change]])^12)-1</f>
        <v/>
      </c>
    </row>
    <row r="144">
      <c r="A144" s="33" t="n">
        <v>25750</v>
      </c>
      <c r="B144" s="53">
        <f>VLOOKUP(Table26[[#This Row],[Date]],'DB Money Supply'!$A:$E,5)</f>
        <v/>
      </c>
      <c r="C144" s="30">
        <f>(Table26[[#This Row],[M2 Money Stock, Billions of Dollars, Monthly, Seasonally Adjusted]]-B143)/B143</f>
        <v/>
      </c>
      <c r="D144" s="31">
        <f>((1+Table26[[#This Row],[Monthly change]])^12)-1</f>
        <v/>
      </c>
    </row>
    <row r="145">
      <c r="A145" s="51" t="n">
        <v>25781</v>
      </c>
      <c r="B145" s="53">
        <f>VLOOKUP(Table26[[#This Row],[Date]],'DB Money Supply'!$A:$E,5)</f>
        <v/>
      </c>
      <c r="C145" s="30">
        <f>(Table26[[#This Row],[M2 Money Stock, Billions of Dollars, Monthly, Seasonally Adjusted]]-B144)/B144</f>
        <v/>
      </c>
      <c r="D145" s="31">
        <f>((1+Table26[[#This Row],[Monthly change]])^12)-1</f>
        <v/>
      </c>
    </row>
    <row r="146">
      <c r="A146" s="33" t="n">
        <v>25812</v>
      </c>
      <c r="B146" s="53">
        <f>VLOOKUP(Table26[[#This Row],[Date]],'DB Money Supply'!$A:$E,5)</f>
        <v/>
      </c>
      <c r="C146" s="30">
        <f>(Table26[[#This Row],[M2 Money Stock, Billions of Dollars, Monthly, Seasonally Adjusted]]-B145)/B145</f>
        <v/>
      </c>
      <c r="D146" s="31">
        <f>((1+Table26[[#This Row],[Monthly change]])^12)-1</f>
        <v/>
      </c>
    </row>
    <row r="147">
      <c r="A147" s="51" t="n">
        <v>25842</v>
      </c>
      <c r="B147" s="53">
        <f>VLOOKUP(Table26[[#This Row],[Date]],'DB Money Supply'!$A:$E,5)</f>
        <v/>
      </c>
      <c r="C147" s="30">
        <f>(Table26[[#This Row],[M2 Money Stock, Billions of Dollars, Monthly, Seasonally Adjusted]]-B146)/B146</f>
        <v/>
      </c>
      <c r="D147" s="31">
        <f>((1+Table26[[#This Row],[Monthly change]])^12)-1</f>
        <v/>
      </c>
    </row>
    <row r="148">
      <c r="A148" s="33" t="n">
        <v>25873</v>
      </c>
      <c r="B148" s="53">
        <f>VLOOKUP(Table26[[#This Row],[Date]],'DB Money Supply'!$A:$E,5)</f>
        <v/>
      </c>
      <c r="C148" s="30">
        <f>(Table26[[#This Row],[M2 Money Stock, Billions of Dollars, Monthly, Seasonally Adjusted]]-B147)/B147</f>
        <v/>
      </c>
      <c r="D148" s="31">
        <f>((1+Table26[[#This Row],[Monthly change]])^12)-1</f>
        <v/>
      </c>
    </row>
    <row r="149">
      <c r="A149" s="51" t="n">
        <v>25903</v>
      </c>
      <c r="B149" s="53">
        <f>VLOOKUP(Table26[[#This Row],[Date]],'DB Money Supply'!$A:$E,5)</f>
        <v/>
      </c>
      <c r="C149" s="30">
        <f>(Table26[[#This Row],[M2 Money Stock, Billions of Dollars, Monthly, Seasonally Adjusted]]-B148)/B148</f>
        <v/>
      </c>
      <c r="D149" s="31">
        <f>((1+Table26[[#This Row],[Monthly change]])^12)-1</f>
        <v/>
      </c>
    </row>
    <row r="150">
      <c r="A150" s="33" t="n">
        <v>25934</v>
      </c>
      <c r="B150" s="53">
        <f>VLOOKUP(Table26[[#This Row],[Date]],'DB Money Supply'!$A:$E,5)</f>
        <v/>
      </c>
      <c r="C150" s="30">
        <f>(Table26[[#This Row],[M2 Money Stock, Billions of Dollars, Monthly, Seasonally Adjusted]]-B149)/B149</f>
        <v/>
      </c>
      <c r="D150" s="31">
        <f>((1+Table26[[#This Row],[Monthly change]])^12)-1</f>
        <v/>
      </c>
    </row>
    <row r="151">
      <c r="A151" s="51" t="n">
        <v>25965</v>
      </c>
      <c r="B151" s="53">
        <f>VLOOKUP(Table26[[#This Row],[Date]],'DB Money Supply'!$A:$E,5)</f>
        <v/>
      </c>
      <c r="C151" s="30">
        <f>(Table26[[#This Row],[M2 Money Stock, Billions of Dollars, Monthly, Seasonally Adjusted]]-B150)/B150</f>
        <v/>
      </c>
      <c r="D151" s="31">
        <f>((1+Table26[[#This Row],[Monthly change]])^12)-1</f>
        <v/>
      </c>
    </row>
    <row r="152">
      <c r="A152" s="33" t="n">
        <v>25993</v>
      </c>
      <c r="B152" s="53">
        <f>VLOOKUP(Table26[[#This Row],[Date]],'DB Money Supply'!$A:$E,5)</f>
        <v/>
      </c>
      <c r="C152" s="30">
        <f>(Table26[[#This Row],[M2 Money Stock, Billions of Dollars, Monthly, Seasonally Adjusted]]-B151)/B151</f>
        <v/>
      </c>
      <c r="D152" s="31">
        <f>((1+Table26[[#This Row],[Monthly change]])^12)-1</f>
        <v/>
      </c>
    </row>
    <row r="153">
      <c r="A153" s="51" t="n">
        <v>26024</v>
      </c>
      <c r="B153" s="53">
        <f>VLOOKUP(Table26[[#This Row],[Date]],'DB Money Supply'!$A:$E,5)</f>
        <v/>
      </c>
      <c r="C153" s="30">
        <f>(Table26[[#This Row],[M2 Money Stock, Billions of Dollars, Monthly, Seasonally Adjusted]]-B152)/B152</f>
        <v/>
      </c>
      <c r="D153" s="31">
        <f>((1+Table26[[#This Row],[Monthly change]])^12)-1</f>
        <v/>
      </c>
    </row>
    <row r="154">
      <c r="A154" s="33" t="n">
        <v>26054</v>
      </c>
      <c r="B154" s="53">
        <f>VLOOKUP(Table26[[#This Row],[Date]],'DB Money Supply'!$A:$E,5)</f>
        <v/>
      </c>
      <c r="C154" s="30">
        <f>(Table26[[#This Row],[M2 Money Stock, Billions of Dollars, Monthly, Seasonally Adjusted]]-B153)/B153</f>
        <v/>
      </c>
      <c r="D154" s="31">
        <f>((1+Table26[[#This Row],[Monthly change]])^12)-1</f>
        <v/>
      </c>
    </row>
    <row r="155">
      <c r="A155" s="51" t="n">
        <v>26085</v>
      </c>
      <c r="B155" s="53">
        <f>VLOOKUP(Table26[[#This Row],[Date]],'DB Money Supply'!$A:$E,5)</f>
        <v/>
      </c>
      <c r="C155" s="30">
        <f>(Table26[[#This Row],[M2 Money Stock, Billions of Dollars, Monthly, Seasonally Adjusted]]-B154)/B154</f>
        <v/>
      </c>
      <c r="D155" s="31">
        <f>((1+Table26[[#This Row],[Monthly change]])^12)-1</f>
        <v/>
      </c>
    </row>
    <row r="156">
      <c r="A156" s="33" t="n">
        <v>26115</v>
      </c>
      <c r="B156" s="53">
        <f>VLOOKUP(Table26[[#This Row],[Date]],'DB Money Supply'!$A:$E,5)</f>
        <v/>
      </c>
      <c r="C156" s="30">
        <f>(Table26[[#This Row],[M2 Money Stock, Billions of Dollars, Monthly, Seasonally Adjusted]]-B155)/B155</f>
        <v/>
      </c>
      <c r="D156" s="31">
        <f>((1+Table26[[#This Row],[Monthly change]])^12)-1</f>
        <v/>
      </c>
    </row>
    <row r="157">
      <c r="A157" s="51" t="n">
        <v>26146</v>
      </c>
      <c r="B157" s="53">
        <f>VLOOKUP(Table26[[#This Row],[Date]],'DB Money Supply'!$A:$E,5)</f>
        <v/>
      </c>
      <c r="C157" s="30">
        <f>(Table26[[#This Row],[M2 Money Stock, Billions of Dollars, Monthly, Seasonally Adjusted]]-B156)/B156</f>
        <v/>
      </c>
      <c r="D157" s="31">
        <f>((1+Table26[[#This Row],[Monthly change]])^12)-1</f>
        <v/>
      </c>
    </row>
    <row r="158">
      <c r="A158" s="51" t="n">
        <v>26177</v>
      </c>
      <c r="B158" s="53">
        <f>VLOOKUP(Table26[[#This Row],[Date]],'DB Money Supply'!$A:$E,5)</f>
        <v/>
      </c>
      <c r="C158" s="30">
        <f>(Table26[[#This Row],[M2 Money Stock, Billions of Dollars, Monthly, Seasonally Adjusted]]-B157)/B157</f>
        <v/>
      </c>
      <c r="D158" s="31">
        <f>((1+Table26[[#This Row],[Monthly change]])^12)-1</f>
        <v/>
      </c>
    </row>
    <row r="159">
      <c r="A159" s="33" t="n">
        <v>26207</v>
      </c>
      <c r="B159" s="53">
        <f>VLOOKUP(Table26[[#This Row],[Date]],'DB Money Supply'!$A:$E,5)</f>
        <v/>
      </c>
      <c r="C159" s="30">
        <f>(Table26[[#This Row],[M2 Money Stock, Billions of Dollars, Monthly, Seasonally Adjusted]]-B158)/B158</f>
        <v/>
      </c>
      <c r="D159" s="31">
        <f>((1+Table26[[#This Row],[Monthly change]])^12)-1</f>
        <v/>
      </c>
    </row>
    <row r="160">
      <c r="A160" s="51" t="n">
        <v>26238</v>
      </c>
      <c r="B160" s="53">
        <f>VLOOKUP(Table26[[#This Row],[Date]],'DB Money Supply'!$A:$E,5)</f>
        <v/>
      </c>
      <c r="C160" s="30">
        <f>(Table26[[#This Row],[M2 Money Stock, Billions of Dollars, Monthly, Seasonally Adjusted]]-B159)/B159</f>
        <v/>
      </c>
      <c r="D160" s="31">
        <f>((1+Table26[[#This Row],[Monthly change]])^12)-1</f>
        <v/>
      </c>
    </row>
    <row r="161">
      <c r="A161" s="33" t="n">
        <v>26268</v>
      </c>
      <c r="B161" s="53">
        <f>VLOOKUP(Table26[[#This Row],[Date]],'DB Money Supply'!$A:$E,5)</f>
        <v/>
      </c>
      <c r="C161" s="30">
        <f>(Table26[[#This Row],[M2 Money Stock, Billions of Dollars, Monthly, Seasonally Adjusted]]-B160)/B160</f>
        <v/>
      </c>
      <c r="D161" s="31">
        <f>((1+Table26[[#This Row],[Monthly change]])^12)-1</f>
        <v/>
      </c>
    </row>
    <row r="162">
      <c r="A162" s="51" t="n">
        <v>26299</v>
      </c>
      <c r="B162" s="53">
        <f>VLOOKUP(Table26[[#This Row],[Date]],'DB Money Supply'!$A:$E,5)</f>
        <v/>
      </c>
      <c r="C162" s="30">
        <f>(Table26[[#This Row],[M2 Money Stock, Billions of Dollars, Monthly, Seasonally Adjusted]]-B161)/B161</f>
        <v/>
      </c>
      <c r="D162" s="31">
        <f>((1+Table26[[#This Row],[Monthly change]])^12)-1</f>
        <v/>
      </c>
    </row>
    <row r="163">
      <c r="A163" s="33" t="n">
        <v>26330</v>
      </c>
      <c r="B163" s="53">
        <f>VLOOKUP(Table26[[#This Row],[Date]],'DB Money Supply'!$A:$E,5)</f>
        <v/>
      </c>
      <c r="C163" s="30">
        <f>(Table26[[#This Row],[M2 Money Stock, Billions of Dollars, Monthly, Seasonally Adjusted]]-B162)/B162</f>
        <v/>
      </c>
      <c r="D163" s="31">
        <f>((1+Table26[[#This Row],[Monthly change]])^12)-1</f>
        <v/>
      </c>
    </row>
    <row r="164">
      <c r="A164" s="51" t="n">
        <v>26359</v>
      </c>
      <c r="B164" s="53">
        <f>VLOOKUP(Table26[[#This Row],[Date]],'DB Money Supply'!$A:$E,5)</f>
        <v/>
      </c>
      <c r="C164" s="30">
        <f>(Table26[[#This Row],[M2 Money Stock, Billions of Dollars, Monthly, Seasonally Adjusted]]-B163)/B163</f>
        <v/>
      </c>
      <c r="D164" s="31">
        <f>((1+Table26[[#This Row],[Monthly change]])^12)-1</f>
        <v/>
      </c>
    </row>
    <row r="165">
      <c r="A165" s="33" t="n">
        <v>26390</v>
      </c>
      <c r="B165" s="53">
        <f>VLOOKUP(Table26[[#This Row],[Date]],'DB Money Supply'!$A:$E,5)</f>
        <v/>
      </c>
      <c r="C165" s="30">
        <f>(Table26[[#This Row],[M2 Money Stock, Billions of Dollars, Monthly, Seasonally Adjusted]]-B164)/B164</f>
        <v/>
      </c>
      <c r="D165" s="31">
        <f>((1+Table26[[#This Row],[Monthly change]])^12)-1</f>
        <v/>
      </c>
    </row>
    <row r="166">
      <c r="A166" s="51" t="n">
        <v>26420</v>
      </c>
      <c r="B166" s="53">
        <f>VLOOKUP(Table26[[#This Row],[Date]],'DB Money Supply'!$A:$E,5)</f>
        <v/>
      </c>
      <c r="C166" s="30">
        <f>(Table26[[#This Row],[M2 Money Stock, Billions of Dollars, Monthly, Seasonally Adjusted]]-B165)/B165</f>
        <v/>
      </c>
      <c r="D166" s="31">
        <f>((1+Table26[[#This Row],[Monthly change]])^12)-1</f>
        <v/>
      </c>
    </row>
    <row r="167">
      <c r="A167" s="33" t="n">
        <v>26451</v>
      </c>
      <c r="B167" s="53">
        <f>VLOOKUP(Table26[[#This Row],[Date]],'DB Money Supply'!$A:$E,5)</f>
        <v/>
      </c>
      <c r="C167" s="30">
        <f>(Table26[[#This Row],[M2 Money Stock, Billions of Dollars, Monthly, Seasonally Adjusted]]-B166)/B166</f>
        <v/>
      </c>
      <c r="D167" s="31">
        <f>((1+Table26[[#This Row],[Monthly change]])^12)-1</f>
        <v/>
      </c>
    </row>
    <row r="168">
      <c r="A168" s="51" t="n">
        <v>26481</v>
      </c>
      <c r="B168" s="53">
        <f>VLOOKUP(Table26[[#This Row],[Date]],'DB Money Supply'!$A:$E,5)</f>
        <v/>
      </c>
      <c r="C168" s="30">
        <f>(Table26[[#This Row],[M2 Money Stock, Billions of Dollars, Monthly, Seasonally Adjusted]]-B167)/B167</f>
        <v/>
      </c>
      <c r="D168" s="31">
        <f>((1+Table26[[#This Row],[Monthly change]])^12)-1</f>
        <v/>
      </c>
    </row>
    <row r="169">
      <c r="A169" s="33" t="n">
        <v>26512</v>
      </c>
      <c r="B169" s="53">
        <f>VLOOKUP(Table26[[#This Row],[Date]],'DB Money Supply'!$A:$E,5)</f>
        <v/>
      </c>
      <c r="C169" s="30">
        <f>(Table26[[#This Row],[M2 Money Stock, Billions of Dollars, Monthly, Seasonally Adjusted]]-B168)/B168</f>
        <v/>
      </c>
      <c r="D169" s="31">
        <f>((1+Table26[[#This Row],[Monthly change]])^12)-1</f>
        <v/>
      </c>
    </row>
    <row r="170">
      <c r="A170" s="51" t="n">
        <v>26543</v>
      </c>
      <c r="B170" s="53">
        <f>VLOOKUP(Table26[[#This Row],[Date]],'DB Money Supply'!$A:$E,5)</f>
        <v/>
      </c>
      <c r="C170" s="30">
        <f>(Table26[[#This Row],[M2 Money Stock, Billions of Dollars, Monthly, Seasonally Adjusted]]-B169)/B169</f>
        <v/>
      </c>
      <c r="D170" s="31">
        <f>((1+Table26[[#This Row],[Monthly change]])^12)-1</f>
        <v/>
      </c>
    </row>
    <row r="171">
      <c r="A171" s="33" t="n">
        <v>26573</v>
      </c>
      <c r="B171" s="53">
        <f>VLOOKUP(Table26[[#This Row],[Date]],'DB Money Supply'!$A:$E,5)</f>
        <v/>
      </c>
      <c r="C171" s="30">
        <f>(Table26[[#This Row],[M2 Money Stock, Billions of Dollars, Monthly, Seasonally Adjusted]]-B170)/B170</f>
        <v/>
      </c>
      <c r="D171" s="31">
        <f>((1+Table26[[#This Row],[Monthly change]])^12)-1</f>
        <v/>
      </c>
    </row>
    <row r="172">
      <c r="A172" s="51" t="n">
        <v>26604</v>
      </c>
      <c r="B172" s="53">
        <f>VLOOKUP(Table26[[#This Row],[Date]],'DB Money Supply'!$A:$E,5)</f>
        <v/>
      </c>
      <c r="C172" s="30">
        <f>(Table26[[#This Row],[M2 Money Stock, Billions of Dollars, Monthly, Seasonally Adjusted]]-B171)/B171</f>
        <v/>
      </c>
      <c r="D172" s="31">
        <f>((1+Table26[[#This Row],[Monthly change]])^12)-1</f>
        <v/>
      </c>
    </row>
    <row r="173">
      <c r="A173" s="33" t="n">
        <v>26634</v>
      </c>
      <c r="B173" s="53">
        <f>VLOOKUP(Table26[[#This Row],[Date]],'DB Money Supply'!$A:$E,5)</f>
        <v/>
      </c>
      <c r="C173" s="30">
        <f>(Table26[[#This Row],[M2 Money Stock, Billions of Dollars, Monthly, Seasonally Adjusted]]-B172)/B172</f>
        <v/>
      </c>
      <c r="D173" s="31">
        <f>((1+Table26[[#This Row],[Monthly change]])^12)-1</f>
        <v/>
      </c>
    </row>
    <row r="174">
      <c r="A174" s="51" t="n">
        <v>26665</v>
      </c>
      <c r="B174" s="53">
        <f>VLOOKUP(Table26[[#This Row],[Date]],'DB Money Supply'!$A:$E,5)</f>
        <v/>
      </c>
      <c r="C174" s="30">
        <f>(Table26[[#This Row],[M2 Money Stock, Billions of Dollars, Monthly, Seasonally Adjusted]]-B173)/B173</f>
        <v/>
      </c>
      <c r="D174" s="31">
        <f>((1+Table26[[#This Row],[Monthly change]])^12)-1</f>
        <v/>
      </c>
    </row>
    <row r="175">
      <c r="A175" s="33" t="n">
        <v>26696</v>
      </c>
      <c r="B175" s="53">
        <f>VLOOKUP(Table26[[#This Row],[Date]],'DB Money Supply'!$A:$E,5)</f>
        <v/>
      </c>
      <c r="C175" s="30">
        <f>(Table26[[#This Row],[M2 Money Stock, Billions of Dollars, Monthly, Seasonally Adjusted]]-B174)/B174</f>
        <v/>
      </c>
      <c r="D175" s="31">
        <f>((1+Table26[[#This Row],[Monthly change]])^12)-1</f>
        <v/>
      </c>
    </row>
    <row r="176">
      <c r="A176" s="51" t="n">
        <v>26724</v>
      </c>
      <c r="B176" s="53">
        <f>VLOOKUP(Table26[[#This Row],[Date]],'DB Money Supply'!$A:$E,5)</f>
        <v/>
      </c>
      <c r="C176" s="30">
        <f>(Table26[[#This Row],[M2 Money Stock, Billions of Dollars, Monthly, Seasonally Adjusted]]-B175)/B175</f>
        <v/>
      </c>
      <c r="D176" s="31">
        <f>((1+Table26[[#This Row],[Monthly change]])^12)-1</f>
        <v/>
      </c>
    </row>
    <row r="177">
      <c r="A177" s="51" t="n">
        <v>26755</v>
      </c>
      <c r="B177" s="53">
        <f>VLOOKUP(Table26[[#This Row],[Date]],'DB Money Supply'!$A:$E,5)</f>
        <v/>
      </c>
      <c r="C177" s="30">
        <f>(Table26[[#This Row],[M2 Money Stock, Billions of Dollars, Monthly, Seasonally Adjusted]]-B176)/B176</f>
        <v/>
      </c>
      <c r="D177" s="31">
        <f>((1+Table26[[#This Row],[Monthly change]])^12)-1</f>
        <v/>
      </c>
    </row>
    <row r="178">
      <c r="A178" s="33" t="n">
        <v>26785</v>
      </c>
      <c r="B178" s="53">
        <f>VLOOKUP(Table26[[#This Row],[Date]],'DB Money Supply'!$A:$E,5)</f>
        <v/>
      </c>
      <c r="C178" s="30">
        <f>(Table26[[#This Row],[M2 Money Stock, Billions of Dollars, Monthly, Seasonally Adjusted]]-B177)/B177</f>
        <v/>
      </c>
      <c r="D178" s="31">
        <f>((1+Table26[[#This Row],[Monthly change]])^12)-1</f>
        <v/>
      </c>
    </row>
    <row r="179">
      <c r="A179" s="51" t="n">
        <v>26816</v>
      </c>
      <c r="B179" s="53">
        <f>VLOOKUP(Table26[[#This Row],[Date]],'DB Money Supply'!$A:$E,5)</f>
        <v/>
      </c>
      <c r="C179" s="30">
        <f>(Table26[[#This Row],[M2 Money Stock, Billions of Dollars, Monthly, Seasonally Adjusted]]-B178)/B178</f>
        <v/>
      </c>
      <c r="D179" s="31">
        <f>((1+Table26[[#This Row],[Monthly change]])^12)-1</f>
        <v/>
      </c>
    </row>
    <row r="180">
      <c r="A180" s="33" t="n">
        <v>26846</v>
      </c>
      <c r="B180" s="53">
        <f>VLOOKUP(Table26[[#This Row],[Date]],'DB Money Supply'!$A:$E,5)</f>
        <v/>
      </c>
      <c r="C180" s="30">
        <f>(Table26[[#This Row],[M2 Money Stock, Billions of Dollars, Monthly, Seasonally Adjusted]]-B179)/B179</f>
        <v/>
      </c>
      <c r="D180" s="31">
        <f>((1+Table26[[#This Row],[Monthly change]])^12)-1</f>
        <v/>
      </c>
    </row>
    <row r="181">
      <c r="A181" s="51" t="n">
        <v>26877</v>
      </c>
      <c r="B181" s="53">
        <f>VLOOKUP(Table26[[#This Row],[Date]],'DB Money Supply'!$A:$E,5)</f>
        <v/>
      </c>
      <c r="C181" s="30">
        <f>(Table26[[#This Row],[M2 Money Stock, Billions of Dollars, Monthly, Seasonally Adjusted]]-B180)/B180</f>
        <v/>
      </c>
      <c r="D181" s="31">
        <f>((1+Table26[[#This Row],[Monthly change]])^12)-1</f>
        <v/>
      </c>
    </row>
    <row r="182">
      <c r="A182" s="33" t="n">
        <v>26908</v>
      </c>
      <c r="B182" s="53">
        <f>VLOOKUP(Table26[[#This Row],[Date]],'DB Money Supply'!$A:$E,5)</f>
        <v/>
      </c>
      <c r="C182" s="30">
        <f>(Table26[[#This Row],[M2 Money Stock, Billions of Dollars, Monthly, Seasonally Adjusted]]-B181)/B181</f>
        <v/>
      </c>
      <c r="D182" s="31">
        <f>((1+Table26[[#This Row],[Monthly change]])^12)-1</f>
        <v/>
      </c>
    </row>
    <row r="183">
      <c r="A183" s="51" t="n">
        <v>26938</v>
      </c>
      <c r="B183" s="53">
        <f>VLOOKUP(Table26[[#This Row],[Date]],'DB Money Supply'!$A:$E,5)</f>
        <v/>
      </c>
      <c r="C183" s="30">
        <f>(Table26[[#This Row],[M2 Money Stock, Billions of Dollars, Monthly, Seasonally Adjusted]]-B182)/B182</f>
        <v/>
      </c>
      <c r="D183" s="31">
        <f>((1+Table26[[#This Row],[Monthly change]])^12)-1</f>
        <v/>
      </c>
    </row>
    <row r="184">
      <c r="A184" s="33" t="n">
        <v>26969</v>
      </c>
      <c r="B184" s="53">
        <f>VLOOKUP(Table26[[#This Row],[Date]],'DB Money Supply'!$A:$E,5)</f>
        <v/>
      </c>
      <c r="C184" s="30">
        <f>(Table26[[#This Row],[M2 Money Stock, Billions of Dollars, Monthly, Seasonally Adjusted]]-B183)/B183</f>
        <v/>
      </c>
      <c r="D184" s="31">
        <f>((1+Table26[[#This Row],[Monthly change]])^12)-1</f>
        <v/>
      </c>
    </row>
    <row r="185">
      <c r="A185" s="51" t="n">
        <v>26999</v>
      </c>
      <c r="B185" s="53">
        <f>VLOOKUP(Table26[[#This Row],[Date]],'DB Money Supply'!$A:$E,5)</f>
        <v/>
      </c>
      <c r="C185" s="30">
        <f>(Table26[[#This Row],[M2 Money Stock, Billions of Dollars, Monthly, Seasonally Adjusted]]-B184)/B184</f>
        <v/>
      </c>
      <c r="D185" s="31">
        <f>((1+Table26[[#This Row],[Monthly change]])^12)-1</f>
        <v/>
      </c>
    </row>
    <row r="186">
      <c r="A186" s="33" t="n">
        <v>27030</v>
      </c>
      <c r="B186" s="53">
        <f>VLOOKUP(Table26[[#This Row],[Date]],'DB Money Supply'!$A:$E,5)</f>
        <v/>
      </c>
      <c r="C186" s="30">
        <f>(Table26[[#This Row],[M2 Money Stock, Billions of Dollars, Monthly, Seasonally Adjusted]]-B185)/B185</f>
        <v/>
      </c>
      <c r="D186" s="31">
        <f>((1+Table26[[#This Row],[Monthly change]])^12)-1</f>
        <v/>
      </c>
    </row>
    <row r="187">
      <c r="A187" s="51" t="n">
        <v>27061</v>
      </c>
      <c r="B187" s="53">
        <f>VLOOKUP(Table26[[#This Row],[Date]],'DB Money Supply'!$A:$E,5)</f>
        <v/>
      </c>
      <c r="C187" s="30">
        <f>(Table26[[#This Row],[M2 Money Stock, Billions of Dollars, Monthly, Seasonally Adjusted]]-B186)/B186</f>
        <v/>
      </c>
      <c r="D187" s="31">
        <f>((1+Table26[[#This Row],[Monthly change]])^12)-1</f>
        <v/>
      </c>
    </row>
    <row r="188">
      <c r="A188" s="33" t="n">
        <v>27089</v>
      </c>
      <c r="B188" s="53">
        <f>VLOOKUP(Table26[[#This Row],[Date]],'DB Money Supply'!$A:$E,5)</f>
        <v/>
      </c>
      <c r="C188" s="30">
        <f>(Table26[[#This Row],[M2 Money Stock, Billions of Dollars, Monthly, Seasonally Adjusted]]-B187)/B187</f>
        <v/>
      </c>
      <c r="D188" s="31">
        <f>((1+Table26[[#This Row],[Monthly change]])^12)-1</f>
        <v/>
      </c>
    </row>
    <row r="189">
      <c r="A189" s="51" t="n">
        <v>27120</v>
      </c>
      <c r="B189" s="53">
        <f>VLOOKUP(Table26[[#This Row],[Date]],'DB Money Supply'!$A:$E,5)</f>
        <v/>
      </c>
      <c r="C189" s="30">
        <f>(Table26[[#This Row],[M2 Money Stock, Billions of Dollars, Monthly, Seasonally Adjusted]]-B188)/B188</f>
        <v/>
      </c>
      <c r="D189" s="31">
        <f>((1+Table26[[#This Row],[Monthly change]])^12)-1</f>
        <v/>
      </c>
    </row>
    <row r="190">
      <c r="A190" s="33" t="n">
        <v>27150</v>
      </c>
      <c r="B190" s="53">
        <f>VLOOKUP(Table26[[#This Row],[Date]],'DB Money Supply'!$A:$E,5)</f>
        <v/>
      </c>
      <c r="C190" s="30">
        <f>(Table26[[#This Row],[M2 Money Stock, Billions of Dollars, Monthly, Seasonally Adjusted]]-B189)/B189</f>
        <v/>
      </c>
      <c r="D190" s="31">
        <f>((1+Table26[[#This Row],[Monthly change]])^12)-1</f>
        <v/>
      </c>
    </row>
    <row r="191">
      <c r="A191" s="51" t="n">
        <v>27181</v>
      </c>
      <c r="B191" s="53">
        <f>VLOOKUP(Table26[[#This Row],[Date]],'DB Money Supply'!$A:$E,5)</f>
        <v/>
      </c>
      <c r="C191" s="30">
        <f>(Table26[[#This Row],[M2 Money Stock, Billions of Dollars, Monthly, Seasonally Adjusted]]-B190)/B190</f>
        <v/>
      </c>
      <c r="D191" s="31">
        <f>((1+Table26[[#This Row],[Monthly change]])^12)-1</f>
        <v/>
      </c>
    </row>
    <row r="192">
      <c r="A192" s="33" t="n">
        <v>27211</v>
      </c>
      <c r="B192" s="53">
        <f>VLOOKUP(Table26[[#This Row],[Date]],'DB Money Supply'!$A:$E,5)</f>
        <v/>
      </c>
      <c r="C192" s="30">
        <f>(Table26[[#This Row],[M2 Money Stock, Billions of Dollars, Monthly, Seasonally Adjusted]]-B191)/B191</f>
        <v/>
      </c>
      <c r="D192" s="31">
        <f>((1+Table26[[#This Row],[Monthly change]])^12)-1</f>
        <v/>
      </c>
    </row>
    <row r="193">
      <c r="A193" s="51" t="n">
        <v>27242</v>
      </c>
      <c r="B193" s="53">
        <f>VLOOKUP(Table26[[#This Row],[Date]],'DB Money Supply'!$A:$E,5)</f>
        <v/>
      </c>
      <c r="C193" s="30">
        <f>(Table26[[#This Row],[M2 Money Stock, Billions of Dollars, Monthly, Seasonally Adjusted]]-B192)/B192</f>
        <v/>
      </c>
      <c r="D193" s="31">
        <f>((1+Table26[[#This Row],[Monthly change]])^12)-1</f>
        <v/>
      </c>
    </row>
    <row r="194">
      <c r="A194" s="33" t="n">
        <v>27273</v>
      </c>
      <c r="B194" s="53">
        <f>VLOOKUP(Table26[[#This Row],[Date]],'DB Money Supply'!$A:$E,5)</f>
        <v/>
      </c>
      <c r="C194" s="30">
        <f>(Table26[[#This Row],[M2 Money Stock, Billions of Dollars, Monthly, Seasonally Adjusted]]-B193)/B193</f>
        <v/>
      </c>
      <c r="D194" s="31">
        <f>((1+Table26[[#This Row],[Monthly change]])^12)-1</f>
        <v/>
      </c>
    </row>
    <row r="195">
      <c r="A195" s="51" t="n">
        <v>27303</v>
      </c>
      <c r="B195" s="53">
        <f>VLOOKUP(Table26[[#This Row],[Date]],'DB Money Supply'!$A:$E,5)</f>
        <v/>
      </c>
      <c r="C195" s="30">
        <f>(Table26[[#This Row],[M2 Money Stock, Billions of Dollars, Monthly, Seasonally Adjusted]]-B194)/B194</f>
        <v/>
      </c>
      <c r="D195" s="31">
        <f>((1+Table26[[#This Row],[Monthly change]])^12)-1</f>
        <v/>
      </c>
    </row>
    <row r="196">
      <c r="A196" s="51" t="n">
        <v>27334</v>
      </c>
      <c r="B196" s="53">
        <f>VLOOKUP(Table26[[#This Row],[Date]],'DB Money Supply'!$A:$E,5)</f>
        <v/>
      </c>
      <c r="C196" s="30">
        <f>(Table26[[#This Row],[M2 Money Stock, Billions of Dollars, Monthly, Seasonally Adjusted]]-B195)/B195</f>
        <v/>
      </c>
      <c r="D196" s="31">
        <f>((1+Table26[[#This Row],[Monthly change]])^12)-1</f>
        <v/>
      </c>
    </row>
    <row r="197">
      <c r="A197" s="33" t="n">
        <v>27364</v>
      </c>
      <c r="B197" s="53">
        <f>VLOOKUP(Table26[[#This Row],[Date]],'DB Money Supply'!$A:$E,5)</f>
        <v/>
      </c>
      <c r="C197" s="30">
        <f>(Table26[[#This Row],[M2 Money Stock, Billions of Dollars, Monthly, Seasonally Adjusted]]-B196)/B196</f>
        <v/>
      </c>
      <c r="D197" s="31">
        <f>((1+Table26[[#This Row],[Monthly change]])^12)-1</f>
        <v/>
      </c>
    </row>
    <row r="198">
      <c r="A198" s="51" t="n">
        <v>27395</v>
      </c>
      <c r="B198" s="53">
        <f>VLOOKUP(Table26[[#This Row],[Date]],'DB Money Supply'!$A:$E,5)</f>
        <v/>
      </c>
      <c r="C198" s="30">
        <f>(Table26[[#This Row],[M2 Money Stock, Billions of Dollars, Monthly, Seasonally Adjusted]]-B197)/B197</f>
        <v/>
      </c>
      <c r="D198" s="31">
        <f>((1+Table26[[#This Row],[Monthly change]])^12)-1</f>
        <v/>
      </c>
    </row>
    <row r="199">
      <c r="A199" s="33" t="n">
        <v>27426</v>
      </c>
      <c r="B199" s="53">
        <f>VLOOKUP(Table26[[#This Row],[Date]],'DB Money Supply'!$A:$E,5)</f>
        <v/>
      </c>
      <c r="C199" s="30">
        <f>(Table26[[#This Row],[M2 Money Stock, Billions of Dollars, Monthly, Seasonally Adjusted]]-B198)/B198</f>
        <v/>
      </c>
      <c r="D199" s="31">
        <f>((1+Table26[[#This Row],[Monthly change]])^12)-1</f>
        <v/>
      </c>
    </row>
    <row r="200">
      <c r="A200" s="51" t="n">
        <v>27454</v>
      </c>
      <c r="B200" s="53">
        <f>VLOOKUP(Table26[[#This Row],[Date]],'DB Money Supply'!$A:$E,5)</f>
        <v/>
      </c>
      <c r="C200" s="30">
        <f>(Table26[[#This Row],[M2 Money Stock, Billions of Dollars, Monthly, Seasonally Adjusted]]-B199)/B199</f>
        <v/>
      </c>
      <c r="D200" s="31">
        <f>((1+Table26[[#This Row],[Monthly change]])^12)-1</f>
        <v/>
      </c>
    </row>
    <row r="201">
      <c r="A201" s="33" t="n">
        <v>27485</v>
      </c>
      <c r="B201" s="53">
        <f>VLOOKUP(Table26[[#This Row],[Date]],'DB Money Supply'!$A:$E,5)</f>
        <v/>
      </c>
      <c r="C201" s="30">
        <f>(Table26[[#This Row],[M2 Money Stock, Billions of Dollars, Monthly, Seasonally Adjusted]]-B200)/B200</f>
        <v/>
      </c>
      <c r="D201" s="31">
        <f>((1+Table26[[#This Row],[Monthly change]])^12)-1</f>
        <v/>
      </c>
    </row>
    <row r="202">
      <c r="A202" s="51" t="n">
        <v>27515</v>
      </c>
      <c r="B202" s="53">
        <f>VLOOKUP(Table26[[#This Row],[Date]],'DB Money Supply'!$A:$E,5)</f>
        <v/>
      </c>
      <c r="C202" s="30">
        <f>(Table26[[#This Row],[M2 Money Stock, Billions of Dollars, Monthly, Seasonally Adjusted]]-B201)/B201</f>
        <v/>
      </c>
      <c r="D202" s="31">
        <f>((1+Table26[[#This Row],[Monthly change]])^12)-1</f>
        <v/>
      </c>
    </row>
    <row r="203">
      <c r="A203" s="33" t="n">
        <v>27546</v>
      </c>
      <c r="B203" s="53">
        <f>VLOOKUP(Table26[[#This Row],[Date]],'DB Money Supply'!$A:$E,5)</f>
        <v/>
      </c>
      <c r="C203" s="30">
        <f>(Table26[[#This Row],[M2 Money Stock, Billions of Dollars, Monthly, Seasonally Adjusted]]-B202)/B202</f>
        <v/>
      </c>
      <c r="D203" s="31">
        <f>((1+Table26[[#This Row],[Monthly change]])^12)-1</f>
        <v/>
      </c>
    </row>
    <row r="204">
      <c r="A204" s="51" t="n">
        <v>27576</v>
      </c>
      <c r="B204" s="53">
        <f>VLOOKUP(Table26[[#This Row],[Date]],'DB Money Supply'!$A:$E,5)</f>
        <v/>
      </c>
      <c r="C204" s="30">
        <f>(Table26[[#This Row],[M2 Money Stock, Billions of Dollars, Monthly, Seasonally Adjusted]]-B203)/B203</f>
        <v/>
      </c>
      <c r="D204" s="31">
        <f>((1+Table26[[#This Row],[Monthly change]])^12)-1</f>
        <v/>
      </c>
    </row>
    <row r="205">
      <c r="A205" s="33" t="n">
        <v>27607</v>
      </c>
      <c r="B205" s="53">
        <f>VLOOKUP(Table26[[#This Row],[Date]],'DB Money Supply'!$A:$E,5)</f>
        <v/>
      </c>
      <c r="C205" s="30">
        <f>(Table26[[#This Row],[M2 Money Stock, Billions of Dollars, Monthly, Seasonally Adjusted]]-B204)/B204</f>
        <v/>
      </c>
      <c r="D205" s="31">
        <f>((1+Table26[[#This Row],[Monthly change]])^12)-1</f>
        <v/>
      </c>
    </row>
    <row r="206">
      <c r="A206" s="51" t="n">
        <v>27638</v>
      </c>
      <c r="B206" s="53">
        <f>VLOOKUP(Table26[[#This Row],[Date]],'DB Money Supply'!$A:$E,5)</f>
        <v/>
      </c>
      <c r="C206" s="30">
        <f>(Table26[[#This Row],[M2 Money Stock, Billions of Dollars, Monthly, Seasonally Adjusted]]-B205)/B205</f>
        <v/>
      </c>
      <c r="D206" s="31">
        <f>((1+Table26[[#This Row],[Monthly change]])^12)-1</f>
        <v/>
      </c>
    </row>
    <row r="207">
      <c r="A207" s="33" t="n">
        <v>27668</v>
      </c>
      <c r="B207" s="53">
        <f>VLOOKUP(Table26[[#This Row],[Date]],'DB Money Supply'!$A:$E,5)</f>
        <v/>
      </c>
      <c r="C207" s="30">
        <f>(Table26[[#This Row],[M2 Money Stock, Billions of Dollars, Monthly, Seasonally Adjusted]]-B206)/B206</f>
        <v/>
      </c>
      <c r="D207" s="31">
        <f>((1+Table26[[#This Row],[Monthly change]])^12)-1</f>
        <v/>
      </c>
    </row>
    <row r="208">
      <c r="A208" s="51" t="n">
        <v>27699</v>
      </c>
      <c r="B208" s="53">
        <f>VLOOKUP(Table26[[#This Row],[Date]],'DB Money Supply'!$A:$E,5)</f>
        <v/>
      </c>
      <c r="C208" s="30">
        <f>(Table26[[#This Row],[M2 Money Stock, Billions of Dollars, Monthly, Seasonally Adjusted]]-B207)/B207</f>
        <v/>
      </c>
      <c r="D208" s="31">
        <f>((1+Table26[[#This Row],[Monthly change]])^12)-1</f>
        <v/>
      </c>
    </row>
    <row r="209">
      <c r="A209" s="33" t="n">
        <v>27729</v>
      </c>
      <c r="B209" s="53">
        <f>VLOOKUP(Table26[[#This Row],[Date]],'DB Money Supply'!$A:$E,5)</f>
        <v/>
      </c>
      <c r="C209" s="30">
        <f>(Table26[[#This Row],[M2 Money Stock, Billions of Dollars, Monthly, Seasonally Adjusted]]-B208)/B208</f>
        <v/>
      </c>
      <c r="D209" s="31">
        <f>((1+Table26[[#This Row],[Monthly change]])^12)-1</f>
        <v/>
      </c>
    </row>
    <row r="210">
      <c r="A210" s="51" t="n">
        <v>27760</v>
      </c>
      <c r="B210" s="53">
        <f>VLOOKUP(Table26[[#This Row],[Date]],'DB Money Supply'!$A:$E,5)</f>
        <v/>
      </c>
      <c r="C210" s="30">
        <f>(Table26[[#This Row],[M2 Money Stock, Billions of Dollars, Monthly, Seasonally Adjusted]]-B209)/B209</f>
        <v/>
      </c>
      <c r="D210" s="31">
        <f>((1+Table26[[#This Row],[Monthly change]])^12)-1</f>
        <v/>
      </c>
    </row>
    <row r="211">
      <c r="A211" s="33" t="n">
        <v>27791</v>
      </c>
      <c r="B211" s="53">
        <f>VLOOKUP(Table26[[#This Row],[Date]],'DB Money Supply'!$A:$E,5)</f>
        <v/>
      </c>
      <c r="C211" s="30">
        <f>(Table26[[#This Row],[M2 Money Stock, Billions of Dollars, Monthly, Seasonally Adjusted]]-B210)/B210</f>
        <v/>
      </c>
      <c r="D211" s="31">
        <f>((1+Table26[[#This Row],[Monthly change]])^12)-1</f>
        <v/>
      </c>
    </row>
    <row r="212">
      <c r="A212" s="51" t="n">
        <v>27820</v>
      </c>
      <c r="B212" s="53">
        <f>VLOOKUP(Table26[[#This Row],[Date]],'DB Money Supply'!$A:$E,5)</f>
        <v/>
      </c>
      <c r="C212" s="30">
        <f>(Table26[[#This Row],[M2 Money Stock, Billions of Dollars, Monthly, Seasonally Adjusted]]-B211)/B211</f>
        <v/>
      </c>
      <c r="D212" s="31">
        <f>((1+Table26[[#This Row],[Monthly change]])^12)-1</f>
        <v/>
      </c>
    </row>
    <row r="213">
      <c r="A213" s="33" t="n">
        <v>27851</v>
      </c>
      <c r="B213" s="53">
        <f>VLOOKUP(Table26[[#This Row],[Date]],'DB Money Supply'!$A:$E,5)</f>
        <v/>
      </c>
      <c r="C213" s="30">
        <f>(Table26[[#This Row],[M2 Money Stock, Billions of Dollars, Monthly, Seasonally Adjusted]]-B212)/B212</f>
        <v/>
      </c>
      <c r="D213" s="31">
        <f>((1+Table26[[#This Row],[Monthly change]])^12)-1</f>
        <v/>
      </c>
    </row>
    <row r="214">
      <c r="A214" s="51" t="n">
        <v>27881</v>
      </c>
      <c r="B214" s="53">
        <f>VLOOKUP(Table26[[#This Row],[Date]],'DB Money Supply'!$A:$E,5)</f>
        <v/>
      </c>
      <c r="C214" s="30">
        <f>(Table26[[#This Row],[M2 Money Stock, Billions of Dollars, Monthly, Seasonally Adjusted]]-B213)/B213</f>
        <v/>
      </c>
      <c r="D214" s="31">
        <f>((1+Table26[[#This Row],[Monthly change]])^12)-1</f>
        <v/>
      </c>
    </row>
    <row r="215">
      <c r="A215" s="51" t="n">
        <v>27912</v>
      </c>
      <c r="B215" s="53">
        <f>VLOOKUP(Table26[[#This Row],[Date]],'DB Money Supply'!$A:$E,5)</f>
        <v/>
      </c>
      <c r="C215" s="30">
        <f>(Table26[[#This Row],[M2 Money Stock, Billions of Dollars, Monthly, Seasonally Adjusted]]-B214)/B214</f>
        <v/>
      </c>
      <c r="D215" s="31">
        <f>((1+Table26[[#This Row],[Monthly change]])^12)-1</f>
        <v/>
      </c>
    </row>
    <row r="216">
      <c r="A216" s="33" t="n">
        <v>27942</v>
      </c>
      <c r="B216" s="53">
        <f>VLOOKUP(Table26[[#This Row],[Date]],'DB Money Supply'!$A:$E,5)</f>
        <v/>
      </c>
      <c r="C216" s="30">
        <f>(Table26[[#This Row],[M2 Money Stock, Billions of Dollars, Monthly, Seasonally Adjusted]]-B215)/B215</f>
        <v/>
      </c>
      <c r="D216" s="31">
        <f>((1+Table26[[#This Row],[Monthly change]])^12)-1</f>
        <v/>
      </c>
    </row>
    <row r="217">
      <c r="A217" s="51" t="n">
        <v>27973</v>
      </c>
      <c r="B217" s="53">
        <f>VLOOKUP(Table26[[#This Row],[Date]],'DB Money Supply'!$A:$E,5)</f>
        <v/>
      </c>
      <c r="C217" s="30">
        <f>(Table26[[#This Row],[M2 Money Stock, Billions of Dollars, Monthly, Seasonally Adjusted]]-B216)/B216</f>
        <v/>
      </c>
      <c r="D217" s="31">
        <f>((1+Table26[[#This Row],[Monthly change]])^12)-1</f>
        <v/>
      </c>
    </row>
    <row r="218">
      <c r="A218" s="33" t="n">
        <v>28004</v>
      </c>
      <c r="B218" s="53">
        <f>VLOOKUP(Table26[[#This Row],[Date]],'DB Money Supply'!$A:$E,5)</f>
        <v/>
      </c>
      <c r="C218" s="30">
        <f>(Table26[[#This Row],[M2 Money Stock, Billions of Dollars, Monthly, Seasonally Adjusted]]-B217)/B217</f>
        <v/>
      </c>
      <c r="D218" s="31">
        <f>((1+Table26[[#This Row],[Monthly change]])^12)-1</f>
        <v/>
      </c>
    </row>
    <row r="219">
      <c r="A219" s="51" t="n">
        <v>28034</v>
      </c>
      <c r="B219" s="53">
        <f>VLOOKUP(Table26[[#This Row],[Date]],'DB Money Supply'!$A:$E,5)</f>
        <v/>
      </c>
      <c r="C219" s="30">
        <f>(Table26[[#This Row],[M2 Money Stock, Billions of Dollars, Monthly, Seasonally Adjusted]]-B218)/B218</f>
        <v/>
      </c>
      <c r="D219" s="31">
        <f>((1+Table26[[#This Row],[Monthly change]])^12)-1</f>
        <v/>
      </c>
    </row>
    <row r="220">
      <c r="A220" s="33" t="n">
        <v>28065</v>
      </c>
      <c r="B220" s="53">
        <f>VLOOKUP(Table26[[#This Row],[Date]],'DB Money Supply'!$A:$E,5)</f>
        <v/>
      </c>
      <c r="C220" s="30">
        <f>(Table26[[#This Row],[M2 Money Stock, Billions of Dollars, Monthly, Seasonally Adjusted]]-B219)/B219</f>
        <v/>
      </c>
      <c r="D220" s="31">
        <f>((1+Table26[[#This Row],[Monthly change]])^12)-1</f>
        <v/>
      </c>
    </row>
    <row r="221">
      <c r="A221" s="51" t="n">
        <v>28095</v>
      </c>
      <c r="B221" s="53">
        <f>VLOOKUP(Table26[[#This Row],[Date]],'DB Money Supply'!$A:$E,5)</f>
        <v/>
      </c>
      <c r="C221" s="30">
        <f>(Table26[[#This Row],[M2 Money Stock, Billions of Dollars, Monthly, Seasonally Adjusted]]-B220)/B220</f>
        <v/>
      </c>
      <c r="D221" s="31">
        <f>((1+Table26[[#This Row],[Monthly change]])^12)-1</f>
        <v/>
      </c>
    </row>
    <row r="222">
      <c r="A222" s="33" t="n">
        <v>28126</v>
      </c>
      <c r="B222" s="53">
        <f>VLOOKUP(Table26[[#This Row],[Date]],'DB Money Supply'!$A:$E,5)</f>
        <v/>
      </c>
      <c r="C222" s="30">
        <f>(Table26[[#This Row],[M2 Money Stock, Billions of Dollars, Monthly, Seasonally Adjusted]]-B221)/B221</f>
        <v/>
      </c>
      <c r="D222" s="31">
        <f>((1+Table26[[#This Row],[Monthly change]])^12)-1</f>
        <v/>
      </c>
    </row>
    <row r="223">
      <c r="A223" s="51" t="n">
        <v>28157</v>
      </c>
      <c r="B223" s="53">
        <f>VLOOKUP(Table26[[#This Row],[Date]],'DB Money Supply'!$A:$E,5)</f>
        <v/>
      </c>
      <c r="C223" s="30">
        <f>(Table26[[#This Row],[M2 Money Stock, Billions of Dollars, Monthly, Seasonally Adjusted]]-B222)/B222</f>
        <v/>
      </c>
      <c r="D223" s="31">
        <f>((1+Table26[[#This Row],[Monthly change]])^12)-1</f>
        <v/>
      </c>
    </row>
    <row r="224">
      <c r="A224" s="33" t="n">
        <v>28185</v>
      </c>
      <c r="B224" s="53">
        <f>VLOOKUP(Table26[[#This Row],[Date]],'DB Money Supply'!$A:$E,5)</f>
        <v/>
      </c>
      <c r="C224" s="30">
        <f>(Table26[[#This Row],[M2 Money Stock, Billions of Dollars, Monthly, Seasonally Adjusted]]-B223)/B223</f>
        <v/>
      </c>
      <c r="D224" s="31">
        <f>((1+Table26[[#This Row],[Monthly change]])^12)-1</f>
        <v/>
      </c>
    </row>
    <row r="225">
      <c r="A225" s="51" t="n">
        <v>28216</v>
      </c>
      <c r="B225" s="53">
        <f>VLOOKUP(Table26[[#This Row],[Date]],'DB Money Supply'!$A:$E,5)</f>
        <v/>
      </c>
      <c r="C225" s="30">
        <f>(Table26[[#This Row],[M2 Money Stock, Billions of Dollars, Monthly, Seasonally Adjusted]]-B224)/B224</f>
        <v/>
      </c>
      <c r="D225" s="31">
        <f>((1+Table26[[#This Row],[Monthly change]])^12)-1</f>
        <v/>
      </c>
    </row>
    <row r="226">
      <c r="A226" s="33" t="n">
        <v>28246</v>
      </c>
      <c r="B226" s="53">
        <f>VLOOKUP(Table26[[#This Row],[Date]],'DB Money Supply'!$A:$E,5)</f>
        <v/>
      </c>
      <c r="C226" s="30">
        <f>(Table26[[#This Row],[M2 Money Stock, Billions of Dollars, Monthly, Seasonally Adjusted]]-B225)/B225</f>
        <v/>
      </c>
      <c r="D226" s="31">
        <f>((1+Table26[[#This Row],[Monthly change]])^12)-1</f>
        <v/>
      </c>
    </row>
    <row r="227">
      <c r="A227" s="51" t="n">
        <v>28277</v>
      </c>
      <c r="B227" s="53">
        <f>VLOOKUP(Table26[[#This Row],[Date]],'DB Money Supply'!$A:$E,5)</f>
        <v/>
      </c>
      <c r="C227" s="30">
        <f>(Table26[[#This Row],[M2 Money Stock, Billions of Dollars, Monthly, Seasonally Adjusted]]-B226)/B226</f>
        <v/>
      </c>
      <c r="D227" s="31">
        <f>((1+Table26[[#This Row],[Monthly change]])^12)-1</f>
        <v/>
      </c>
    </row>
    <row r="228">
      <c r="A228" s="33" t="n">
        <v>28307</v>
      </c>
      <c r="B228" s="53">
        <f>VLOOKUP(Table26[[#This Row],[Date]],'DB Money Supply'!$A:$E,5)</f>
        <v/>
      </c>
      <c r="C228" s="30">
        <f>(Table26[[#This Row],[M2 Money Stock, Billions of Dollars, Monthly, Seasonally Adjusted]]-B227)/B227</f>
        <v/>
      </c>
      <c r="D228" s="31">
        <f>((1+Table26[[#This Row],[Monthly change]])^12)-1</f>
        <v/>
      </c>
    </row>
    <row r="229">
      <c r="A229" s="51" t="n">
        <v>28338</v>
      </c>
      <c r="B229" s="53">
        <f>VLOOKUP(Table26[[#This Row],[Date]],'DB Money Supply'!$A:$E,5)</f>
        <v/>
      </c>
      <c r="C229" s="30">
        <f>(Table26[[#This Row],[M2 Money Stock, Billions of Dollars, Monthly, Seasonally Adjusted]]-B228)/B228</f>
        <v/>
      </c>
      <c r="D229" s="31">
        <f>((1+Table26[[#This Row],[Monthly change]])^12)-1</f>
        <v/>
      </c>
    </row>
    <row r="230">
      <c r="A230" s="33" t="n">
        <v>28369</v>
      </c>
      <c r="B230" s="53">
        <f>VLOOKUP(Table26[[#This Row],[Date]],'DB Money Supply'!$A:$E,5)</f>
        <v/>
      </c>
      <c r="C230" s="30">
        <f>(Table26[[#This Row],[M2 Money Stock, Billions of Dollars, Monthly, Seasonally Adjusted]]-B229)/B229</f>
        <v/>
      </c>
      <c r="D230" s="31">
        <f>((1+Table26[[#This Row],[Monthly change]])^12)-1</f>
        <v/>
      </c>
    </row>
    <row r="231">
      <c r="A231" s="51" t="n">
        <v>28399</v>
      </c>
      <c r="B231" s="53">
        <f>VLOOKUP(Table26[[#This Row],[Date]],'DB Money Supply'!$A:$E,5)</f>
        <v/>
      </c>
      <c r="C231" s="30">
        <f>(Table26[[#This Row],[M2 Money Stock, Billions of Dollars, Monthly, Seasonally Adjusted]]-B230)/B230</f>
        <v/>
      </c>
      <c r="D231" s="31">
        <f>((1+Table26[[#This Row],[Monthly change]])^12)-1</f>
        <v/>
      </c>
    </row>
    <row r="232">
      <c r="A232" s="33" t="n">
        <v>28430</v>
      </c>
      <c r="B232" s="53">
        <f>VLOOKUP(Table26[[#This Row],[Date]],'DB Money Supply'!$A:$E,5)</f>
        <v/>
      </c>
      <c r="C232" s="30">
        <f>(Table26[[#This Row],[M2 Money Stock, Billions of Dollars, Monthly, Seasonally Adjusted]]-B231)/B231</f>
        <v/>
      </c>
      <c r="D232" s="31">
        <f>((1+Table26[[#This Row],[Monthly change]])^12)-1</f>
        <v/>
      </c>
    </row>
    <row r="233">
      <c r="A233" s="51" t="n">
        <v>28460</v>
      </c>
      <c r="B233" s="53">
        <f>VLOOKUP(Table26[[#This Row],[Date]],'DB Money Supply'!$A:$E,5)</f>
        <v/>
      </c>
      <c r="C233" s="30">
        <f>(Table26[[#This Row],[M2 Money Stock, Billions of Dollars, Monthly, Seasonally Adjusted]]-B232)/B232</f>
        <v/>
      </c>
      <c r="D233" s="31">
        <f>((1+Table26[[#This Row],[Monthly change]])^12)-1</f>
        <v/>
      </c>
    </row>
    <row r="234">
      <c r="A234" s="51" t="n">
        <v>28491</v>
      </c>
      <c r="B234" s="53">
        <f>VLOOKUP(Table26[[#This Row],[Date]],'DB Money Supply'!$A:$E,5)</f>
        <v/>
      </c>
      <c r="C234" s="30">
        <f>(Table26[[#This Row],[M2 Money Stock, Billions of Dollars, Monthly, Seasonally Adjusted]]-B233)/B233</f>
        <v/>
      </c>
      <c r="D234" s="31">
        <f>((1+Table26[[#This Row],[Monthly change]])^12)-1</f>
        <v/>
      </c>
    </row>
    <row r="235">
      <c r="A235" s="33" t="n">
        <v>28522</v>
      </c>
      <c r="B235" s="53">
        <f>VLOOKUP(Table26[[#This Row],[Date]],'DB Money Supply'!$A:$E,5)</f>
        <v/>
      </c>
      <c r="C235" s="30">
        <f>(Table26[[#This Row],[M2 Money Stock, Billions of Dollars, Monthly, Seasonally Adjusted]]-B234)/B234</f>
        <v/>
      </c>
      <c r="D235" s="31">
        <f>((1+Table26[[#This Row],[Monthly change]])^12)-1</f>
        <v/>
      </c>
    </row>
    <row r="236">
      <c r="A236" s="51" t="n">
        <v>28550</v>
      </c>
      <c r="B236" s="53">
        <f>VLOOKUP(Table26[[#This Row],[Date]],'DB Money Supply'!$A:$E,5)</f>
        <v/>
      </c>
      <c r="C236" s="30">
        <f>(Table26[[#This Row],[M2 Money Stock, Billions of Dollars, Monthly, Seasonally Adjusted]]-B235)/B235</f>
        <v/>
      </c>
      <c r="D236" s="31">
        <f>((1+Table26[[#This Row],[Monthly change]])^12)-1</f>
        <v/>
      </c>
    </row>
    <row r="237">
      <c r="A237" s="33" t="n">
        <v>28581</v>
      </c>
      <c r="B237" s="53">
        <f>VLOOKUP(Table26[[#This Row],[Date]],'DB Money Supply'!$A:$E,5)</f>
        <v/>
      </c>
      <c r="C237" s="30">
        <f>(Table26[[#This Row],[M2 Money Stock, Billions of Dollars, Monthly, Seasonally Adjusted]]-B236)/B236</f>
        <v/>
      </c>
      <c r="D237" s="31">
        <f>((1+Table26[[#This Row],[Monthly change]])^12)-1</f>
        <v/>
      </c>
    </row>
    <row r="238">
      <c r="A238" s="51" t="n">
        <v>28611</v>
      </c>
      <c r="B238" s="53">
        <f>VLOOKUP(Table26[[#This Row],[Date]],'DB Money Supply'!$A:$E,5)</f>
        <v/>
      </c>
      <c r="C238" s="30">
        <f>(Table26[[#This Row],[M2 Money Stock, Billions of Dollars, Monthly, Seasonally Adjusted]]-B237)/B237</f>
        <v/>
      </c>
      <c r="D238" s="31">
        <f>((1+Table26[[#This Row],[Monthly change]])^12)-1</f>
        <v/>
      </c>
    </row>
    <row r="239">
      <c r="A239" s="33" t="n">
        <v>28642</v>
      </c>
      <c r="B239" s="53">
        <f>VLOOKUP(Table26[[#This Row],[Date]],'DB Money Supply'!$A:$E,5)</f>
        <v/>
      </c>
      <c r="C239" s="30">
        <f>(Table26[[#This Row],[M2 Money Stock, Billions of Dollars, Monthly, Seasonally Adjusted]]-B238)/B238</f>
        <v/>
      </c>
      <c r="D239" s="31">
        <f>((1+Table26[[#This Row],[Monthly change]])^12)-1</f>
        <v/>
      </c>
    </row>
    <row r="240">
      <c r="A240" s="51" t="n">
        <v>28672</v>
      </c>
      <c r="B240" s="53">
        <f>VLOOKUP(Table26[[#This Row],[Date]],'DB Money Supply'!$A:$E,5)</f>
        <v/>
      </c>
      <c r="C240" s="30">
        <f>(Table26[[#This Row],[M2 Money Stock, Billions of Dollars, Monthly, Seasonally Adjusted]]-B239)/B239</f>
        <v/>
      </c>
      <c r="D240" s="31">
        <f>((1+Table26[[#This Row],[Monthly change]])^12)-1</f>
        <v/>
      </c>
    </row>
    <row r="241">
      <c r="A241" s="33" t="n">
        <v>28703</v>
      </c>
      <c r="B241" s="53">
        <f>VLOOKUP(Table26[[#This Row],[Date]],'DB Money Supply'!$A:$E,5)</f>
        <v/>
      </c>
      <c r="C241" s="30">
        <f>(Table26[[#This Row],[M2 Money Stock, Billions of Dollars, Monthly, Seasonally Adjusted]]-B240)/B240</f>
        <v/>
      </c>
      <c r="D241" s="31">
        <f>((1+Table26[[#This Row],[Monthly change]])^12)-1</f>
        <v/>
      </c>
    </row>
    <row r="242">
      <c r="A242" s="51" t="n">
        <v>28734</v>
      </c>
      <c r="B242" s="53">
        <f>VLOOKUP(Table26[[#This Row],[Date]],'DB Money Supply'!$A:$E,5)</f>
        <v/>
      </c>
      <c r="C242" s="30">
        <f>(Table26[[#This Row],[M2 Money Stock, Billions of Dollars, Monthly, Seasonally Adjusted]]-B241)/B241</f>
        <v/>
      </c>
      <c r="D242" s="31">
        <f>((1+Table26[[#This Row],[Monthly change]])^12)-1</f>
        <v/>
      </c>
    </row>
    <row r="243">
      <c r="A243" s="33" t="n">
        <v>28764</v>
      </c>
      <c r="B243" s="53">
        <f>VLOOKUP(Table26[[#This Row],[Date]],'DB Money Supply'!$A:$E,5)</f>
        <v/>
      </c>
      <c r="C243" s="30">
        <f>(Table26[[#This Row],[M2 Money Stock, Billions of Dollars, Monthly, Seasonally Adjusted]]-B242)/B242</f>
        <v/>
      </c>
      <c r="D243" s="31">
        <f>((1+Table26[[#This Row],[Monthly change]])^12)-1</f>
        <v/>
      </c>
    </row>
    <row r="244">
      <c r="A244" s="51" t="n">
        <v>28795</v>
      </c>
      <c r="B244" s="53">
        <f>VLOOKUP(Table26[[#This Row],[Date]],'DB Money Supply'!$A:$E,5)</f>
        <v/>
      </c>
      <c r="C244" s="30">
        <f>(Table26[[#This Row],[M2 Money Stock, Billions of Dollars, Monthly, Seasonally Adjusted]]-B243)/B243</f>
        <v/>
      </c>
      <c r="D244" s="31">
        <f>((1+Table26[[#This Row],[Monthly change]])^12)-1</f>
        <v/>
      </c>
    </row>
    <row r="245">
      <c r="A245" s="33" t="n">
        <v>28825</v>
      </c>
      <c r="B245" s="53">
        <f>VLOOKUP(Table26[[#This Row],[Date]],'DB Money Supply'!$A:$E,5)</f>
        <v/>
      </c>
      <c r="C245" s="30">
        <f>(Table26[[#This Row],[M2 Money Stock, Billions of Dollars, Monthly, Seasonally Adjusted]]-B244)/B244</f>
        <v/>
      </c>
      <c r="D245" s="31">
        <f>((1+Table26[[#This Row],[Monthly change]])^12)-1</f>
        <v/>
      </c>
    </row>
    <row r="246">
      <c r="A246" s="51" t="n">
        <v>28856</v>
      </c>
      <c r="B246" s="53">
        <f>VLOOKUP(Table26[[#This Row],[Date]],'DB Money Supply'!$A:$E,5)</f>
        <v/>
      </c>
      <c r="C246" s="30">
        <f>(Table26[[#This Row],[M2 Money Stock, Billions of Dollars, Monthly, Seasonally Adjusted]]-B245)/B245</f>
        <v/>
      </c>
      <c r="D246" s="31">
        <f>((1+Table26[[#This Row],[Monthly change]])^12)-1</f>
        <v/>
      </c>
    </row>
    <row r="247">
      <c r="A247" s="33" t="n">
        <v>28887</v>
      </c>
      <c r="B247" s="53">
        <f>VLOOKUP(Table26[[#This Row],[Date]],'DB Money Supply'!$A:$E,5)</f>
        <v/>
      </c>
      <c r="C247" s="30">
        <f>(Table26[[#This Row],[M2 Money Stock, Billions of Dollars, Monthly, Seasonally Adjusted]]-B246)/B246</f>
        <v/>
      </c>
      <c r="D247" s="31">
        <f>((1+Table26[[#This Row],[Monthly change]])^12)-1</f>
        <v/>
      </c>
    </row>
    <row r="248">
      <c r="A248" s="51" t="n">
        <v>28915</v>
      </c>
      <c r="B248" s="53">
        <f>VLOOKUP(Table26[[#This Row],[Date]],'DB Money Supply'!$A:$E,5)</f>
        <v/>
      </c>
      <c r="C248" s="30">
        <f>(Table26[[#This Row],[M2 Money Stock, Billions of Dollars, Monthly, Seasonally Adjusted]]-B247)/B247</f>
        <v/>
      </c>
      <c r="D248" s="31">
        <f>((1+Table26[[#This Row],[Monthly change]])^12)-1</f>
        <v/>
      </c>
    </row>
    <row r="249">
      <c r="A249" s="33" t="n">
        <v>28946</v>
      </c>
      <c r="B249" s="53">
        <f>VLOOKUP(Table26[[#This Row],[Date]],'DB Money Supply'!$A:$E,5)</f>
        <v/>
      </c>
      <c r="C249" s="30">
        <f>(Table26[[#This Row],[M2 Money Stock, Billions of Dollars, Monthly, Seasonally Adjusted]]-B248)/B248</f>
        <v/>
      </c>
      <c r="D249" s="31">
        <f>((1+Table26[[#This Row],[Monthly change]])^12)-1</f>
        <v/>
      </c>
    </row>
    <row r="250">
      <c r="A250" s="51" t="n">
        <v>28976</v>
      </c>
      <c r="B250" s="53">
        <f>VLOOKUP(Table26[[#This Row],[Date]],'DB Money Supply'!$A:$E,5)</f>
        <v/>
      </c>
      <c r="C250" s="30">
        <f>(Table26[[#This Row],[M2 Money Stock, Billions of Dollars, Monthly, Seasonally Adjusted]]-B249)/B249</f>
        <v/>
      </c>
      <c r="D250" s="31">
        <f>((1+Table26[[#This Row],[Monthly change]])^12)-1</f>
        <v/>
      </c>
    </row>
    <row r="251">
      <c r="A251" s="33" t="n">
        <v>29007</v>
      </c>
      <c r="B251" s="53">
        <f>VLOOKUP(Table26[[#This Row],[Date]],'DB Money Supply'!$A:$E,5)</f>
        <v/>
      </c>
      <c r="C251" s="30">
        <f>(Table26[[#This Row],[M2 Money Stock, Billions of Dollars, Monthly, Seasonally Adjusted]]-B250)/B250</f>
        <v/>
      </c>
      <c r="D251" s="31">
        <f>((1+Table26[[#This Row],[Monthly change]])^12)-1</f>
        <v/>
      </c>
    </row>
    <row r="252">
      <c r="A252" s="51" t="n">
        <v>29037</v>
      </c>
      <c r="B252" s="53">
        <f>VLOOKUP(Table26[[#This Row],[Date]],'DB Money Supply'!$A:$E,5)</f>
        <v/>
      </c>
      <c r="C252" s="30">
        <f>(Table26[[#This Row],[M2 Money Stock, Billions of Dollars, Monthly, Seasonally Adjusted]]-B251)/B251</f>
        <v/>
      </c>
      <c r="D252" s="31">
        <f>((1+Table26[[#This Row],[Monthly change]])^12)-1</f>
        <v/>
      </c>
    </row>
    <row r="253">
      <c r="A253" s="51" t="n">
        <v>29068</v>
      </c>
      <c r="B253" s="53">
        <f>VLOOKUP(Table26[[#This Row],[Date]],'DB Money Supply'!$A:$E,5)</f>
        <v/>
      </c>
      <c r="C253" s="30">
        <f>(Table26[[#This Row],[M2 Money Stock, Billions of Dollars, Monthly, Seasonally Adjusted]]-B252)/B252</f>
        <v/>
      </c>
      <c r="D253" s="31">
        <f>((1+Table26[[#This Row],[Monthly change]])^12)-1</f>
        <v/>
      </c>
    </row>
    <row r="254">
      <c r="A254" s="33" t="n">
        <v>29099</v>
      </c>
      <c r="B254" s="53">
        <f>VLOOKUP(Table26[[#This Row],[Date]],'DB Money Supply'!$A:$E,5)</f>
        <v/>
      </c>
      <c r="C254" s="30">
        <f>(Table26[[#This Row],[M2 Money Stock, Billions of Dollars, Monthly, Seasonally Adjusted]]-B253)/B253</f>
        <v/>
      </c>
      <c r="D254" s="31">
        <f>((1+Table26[[#This Row],[Monthly change]])^12)-1</f>
        <v/>
      </c>
    </row>
    <row r="255">
      <c r="A255" s="51" t="n">
        <v>29129</v>
      </c>
      <c r="B255" s="53">
        <f>VLOOKUP(Table26[[#This Row],[Date]],'DB Money Supply'!$A:$E,5)</f>
        <v/>
      </c>
      <c r="C255" s="30">
        <f>(Table26[[#This Row],[M2 Money Stock, Billions of Dollars, Monthly, Seasonally Adjusted]]-B254)/B254</f>
        <v/>
      </c>
      <c r="D255" s="31">
        <f>((1+Table26[[#This Row],[Monthly change]])^12)-1</f>
        <v/>
      </c>
    </row>
    <row r="256">
      <c r="A256" s="33" t="n">
        <v>29160</v>
      </c>
      <c r="B256" s="53">
        <f>VLOOKUP(Table26[[#This Row],[Date]],'DB Money Supply'!$A:$E,5)</f>
        <v/>
      </c>
      <c r="C256" s="30">
        <f>(Table26[[#This Row],[M2 Money Stock, Billions of Dollars, Monthly, Seasonally Adjusted]]-B255)/B255</f>
        <v/>
      </c>
      <c r="D256" s="31">
        <f>((1+Table26[[#This Row],[Monthly change]])^12)-1</f>
        <v/>
      </c>
    </row>
    <row r="257">
      <c r="A257" s="51" t="n">
        <v>29190</v>
      </c>
      <c r="B257" s="53">
        <f>VLOOKUP(Table26[[#This Row],[Date]],'DB Money Supply'!$A:$E,5)</f>
        <v/>
      </c>
      <c r="C257" s="30">
        <f>(Table26[[#This Row],[M2 Money Stock, Billions of Dollars, Monthly, Seasonally Adjusted]]-B256)/B256</f>
        <v/>
      </c>
      <c r="D257" s="31">
        <f>((1+Table26[[#This Row],[Monthly change]])^12)-1</f>
        <v/>
      </c>
    </row>
    <row r="258">
      <c r="A258" s="33" t="n">
        <v>29221</v>
      </c>
      <c r="B258" s="53">
        <f>VLOOKUP(Table26[[#This Row],[Date]],'DB Money Supply'!$A:$E,5)</f>
        <v/>
      </c>
      <c r="C258" s="30">
        <f>(Table26[[#This Row],[M2 Money Stock, Billions of Dollars, Monthly, Seasonally Adjusted]]-B257)/B257</f>
        <v/>
      </c>
      <c r="D258" s="31">
        <f>((1+Table26[[#This Row],[Monthly change]])^12)-1</f>
        <v/>
      </c>
    </row>
    <row r="259">
      <c r="A259" s="51" t="n">
        <v>29252</v>
      </c>
      <c r="B259" s="53">
        <f>VLOOKUP(Table26[[#This Row],[Date]],'DB Money Supply'!$A:$E,5)</f>
        <v/>
      </c>
      <c r="C259" s="30">
        <f>(Table26[[#This Row],[M2 Money Stock, Billions of Dollars, Monthly, Seasonally Adjusted]]-B258)/B258</f>
        <v/>
      </c>
      <c r="D259" s="31">
        <f>((1+Table26[[#This Row],[Monthly change]])^12)-1</f>
        <v/>
      </c>
    </row>
    <row r="260">
      <c r="A260" s="33" t="n">
        <v>29281</v>
      </c>
      <c r="B260" s="53">
        <f>VLOOKUP(Table26[[#This Row],[Date]],'DB Money Supply'!$A:$E,5)</f>
        <v/>
      </c>
      <c r="C260" s="30">
        <f>(Table26[[#This Row],[M2 Money Stock, Billions of Dollars, Monthly, Seasonally Adjusted]]-B259)/B259</f>
        <v/>
      </c>
      <c r="D260" s="31">
        <f>((1+Table26[[#This Row],[Monthly change]])^12)-1</f>
        <v/>
      </c>
    </row>
    <row r="261">
      <c r="A261" s="51" t="n">
        <v>29312</v>
      </c>
      <c r="B261" s="53">
        <f>VLOOKUP(Table26[[#This Row],[Date]],'DB Money Supply'!$A:$E,5)</f>
        <v/>
      </c>
      <c r="C261" s="30">
        <f>(Table26[[#This Row],[M2 Money Stock, Billions of Dollars, Monthly, Seasonally Adjusted]]-B260)/B260</f>
        <v/>
      </c>
      <c r="D261" s="31">
        <f>((1+Table26[[#This Row],[Monthly change]])^12)-1</f>
        <v/>
      </c>
    </row>
    <row r="262">
      <c r="A262" s="33" t="n">
        <v>29342</v>
      </c>
      <c r="B262" s="53">
        <f>VLOOKUP(Table26[[#This Row],[Date]],'DB Money Supply'!$A:$E,5)</f>
        <v/>
      </c>
      <c r="C262" s="30">
        <f>(Table26[[#This Row],[M2 Money Stock, Billions of Dollars, Monthly, Seasonally Adjusted]]-B261)/B261</f>
        <v/>
      </c>
      <c r="D262" s="31">
        <f>((1+Table26[[#This Row],[Monthly change]])^12)-1</f>
        <v/>
      </c>
    </row>
    <row r="263">
      <c r="A263" s="51" t="n">
        <v>29373</v>
      </c>
      <c r="B263" s="53">
        <f>VLOOKUP(Table26[[#This Row],[Date]],'DB Money Supply'!$A:$E,5)</f>
        <v/>
      </c>
      <c r="C263" s="30">
        <f>(Table26[[#This Row],[M2 Money Stock, Billions of Dollars, Monthly, Seasonally Adjusted]]-B262)/B262</f>
        <v/>
      </c>
      <c r="D263" s="31">
        <f>((1+Table26[[#This Row],[Monthly change]])^12)-1</f>
        <v/>
      </c>
    </row>
    <row r="264">
      <c r="A264" s="33" t="n">
        <v>29403</v>
      </c>
      <c r="B264" s="53">
        <f>VLOOKUP(Table26[[#This Row],[Date]],'DB Money Supply'!$A:$E,5)</f>
        <v/>
      </c>
      <c r="C264" s="30">
        <f>(Table26[[#This Row],[M2 Money Stock, Billions of Dollars, Monthly, Seasonally Adjusted]]-B263)/B263</f>
        <v/>
      </c>
      <c r="D264" s="31">
        <f>((1+Table26[[#This Row],[Monthly change]])^12)-1</f>
        <v/>
      </c>
    </row>
    <row r="265">
      <c r="A265" s="51" t="n">
        <v>29434</v>
      </c>
      <c r="B265" s="53">
        <f>VLOOKUP(Table26[[#This Row],[Date]],'DB Money Supply'!$A:$E,5)</f>
        <v/>
      </c>
      <c r="C265" s="30">
        <f>(Table26[[#This Row],[M2 Money Stock, Billions of Dollars, Monthly, Seasonally Adjusted]]-B264)/B264</f>
        <v/>
      </c>
      <c r="D265" s="31">
        <f>((1+Table26[[#This Row],[Monthly change]])^12)-1</f>
        <v/>
      </c>
    </row>
    <row r="266">
      <c r="A266" s="33" t="n">
        <v>29465</v>
      </c>
      <c r="B266" s="53">
        <f>VLOOKUP(Table26[[#This Row],[Date]],'DB Money Supply'!$A:$E,5)</f>
        <v/>
      </c>
      <c r="C266" s="30">
        <f>(Table26[[#This Row],[M2 Money Stock, Billions of Dollars, Monthly, Seasonally Adjusted]]-B265)/B265</f>
        <v/>
      </c>
      <c r="D266" s="31">
        <f>((1+Table26[[#This Row],[Monthly change]])^12)-1</f>
        <v/>
      </c>
    </row>
    <row r="267">
      <c r="A267" s="51" t="n">
        <v>29495</v>
      </c>
      <c r="B267" s="53">
        <f>VLOOKUP(Table26[[#This Row],[Date]],'DB Money Supply'!$A:$E,5)</f>
        <v/>
      </c>
      <c r="C267" s="30">
        <f>(Table26[[#This Row],[M2 Money Stock, Billions of Dollars, Monthly, Seasonally Adjusted]]-B266)/B266</f>
        <v/>
      </c>
      <c r="D267" s="31">
        <f>((1+Table26[[#This Row],[Monthly change]])^12)-1</f>
        <v/>
      </c>
    </row>
    <row r="268">
      <c r="A268" s="33" t="n">
        <v>29526</v>
      </c>
      <c r="B268" s="53">
        <f>VLOOKUP(Table26[[#This Row],[Date]],'DB Money Supply'!$A:$E,5)</f>
        <v/>
      </c>
      <c r="C268" s="30">
        <f>(Table26[[#This Row],[M2 Money Stock, Billions of Dollars, Monthly, Seasonally Adjusted]]-B267)/B267</f>
        <v/>
      </c>
      <c r="D268" s="31">
        <f>((1+Table26[[#This Row],[Monthly change]])^12)-1</f>
        <v/>
      </c>
    </row>
    <row r="269">
      <c r="A269" s="51" t="n">
        <v>29556</v>
      </c>
      <c r="B269" s="53">
        <f>VLOOKUP(Table26[[#This Row],[Date]],'DB Money Supply'!$A:$E,5)</f>
        <v/>
      </c>
      <c r="C269" s="30">
        <f>(Table26[[#This Row],[M2 Money Stock, Billions of Dollars, Monthly, Seasonally Adjusted]]-B268)/B268</f>
        <v/>
      </c>
      <c r="D269" s="31">
        <f>((1+Table26[[#This Row],[Monthly change]])^12)-1</f>
        <v/>
      </c>
    </row>
    <row r="270">
      <c r="A270" s="33" t="n">
        <v>29587</v>
      </c>
      <c r="B270" s="53">
        <f>VLOOKUP(Table26[[#This Row],[Date]],'DB Money Supply'!$A:$E,5)</f>
        <v/>
      </c>
      <c r="C270" s="30">
        <f>(Table26[[#This Row],[M2 Money Stock, Billions of Dollars, Monthly, Seasonally Adjusted]]-B269)/B269</f>
        <v/>
      </c>
      <c r="D270" s="31">
        <f>((1+Table26[[#This Row],[Monthly change]])^12)-1</f>
        <v/>
      </c>
    </row>
    <row r="271">
      <c r="A271" s="51" t="n">
        <v>29618</v>
      </c>
      <c r="B271" s="53">
        <f>VLOOKUP(Table26[[#This Row],[Date]],'DB Money Supply'!$A:$E,5)</f>
        <v/>
      </c>
      <c r="C271" s="30">
        <f>(Table26[[#This Row],[M2 Money Stock, Billions of Dollars, Monthly, Seasonally Adjusted]]-B270)/B270</f>
        <v/>
      </c>
      <c r="D271" s="31">
        <f>((1+Table26[[#This Row],[Monthly change]])^12)-1</f>
        <v/>
      </c>
    </row>
    <row r="272">
      <c r="A272" s="51" t="n">
        <v>29646</v>
      </c>
      <c r="B272" s="53">
        <f>VLOOKUP(Table26[[#This Row],[Date]],'DB Money Supply'!$A:$E,5)</f>
        <v/>
      </c>
      <c r="C272" s="30">
        <f>(Table26[[#This Row],[M2 Money Stock, Billions of Dollars, Monthly, Seasonally Adjusted]]-B271)/B271</f>
        <v/>
      </c>
      <c r="D272" s="31">
        <f>((1+Table26[[#This Row],[Monthly change]])^12)-1</f>
        <v/>
      </c>
    </row>
    <row r="273">
      <c r="A273" s="33" t="n">
        <v>29677</v>
      </c>
      <c r="B273" s="53">
        <f>VLOOKUP(Table26[[#This Row],[Date]],'DB Money Supply'!$A:$E,5)</f>
        <v/>
      </c>
      <c r="C273" s="30">
        <f>(Table26[[#This Row],[M2 Money Stock, Billions of Dollars, Monthly, Seasonally Adjusted]]-B272)/B272</f>
        <v/>
      </c>
      <c r="D273" s="31">
        <f>((1+Table26[[#This Row],[Monthly change]])^12)-1</f>
        <v/>
      </c>
    </row>
    <row r="274">
      <c r="A274" s="51" t="n">
        <v>29707</v>
      </c>
      <c r="B274" s="53">
        <f>VLOOKUP(Table26[[#This Row],[Date]],'DB Money Supply'!$A:$E,5)</f>
        <v/>
      </c>
      <c r="C274" s="30">
        <f>(Table26[[#This Row],[M2 Money Stock, Billions of Dollars, Monthly, Seasonally Adjusted]]-B273)/B273</f>
        <v/>
      </c>
      <c r="D274" s="31">
        <f>((1+Table26[[#This Row],[Monthly change]])^12)-1</f>
        <v/>
      </c>
    </row>
    <row r="275">
      <c r="A275" s="33" t="n">
        <v>29738</v>
      </c>
      <c r="B275" s="53">
        <f>VLOOKUP(Table26[[#This Row],[Date]],'DB Money Supply'!$A:$E,5)</f>
        <v/>
      </c>
      <c r="C275" s="30">
        <f>(Table26[[#This Row],[M2 Money Stock, Billions of Dollars, Monthly, Seasonally Adjusted]]-B274)/B274</f>
        <v/>
      </c>
      <c r="D275" s="31">
        <f>((1+Table26[[#This Row],[Monthly change]])^12)-1</f>
        <v/>
      </c>
    </row>
    <row r="276">
      <c r="A276" s="51" t="n">
        <v>29768</v>
      </c>
      <c r="B276" s="53">
        <f>VLOOKUP(Table26[[#This Row],[Date]],'DB Money Supply'!$A:$E,5)</f>
        <v/>
      </c>
      <c r="C276" s="30">
        <f>(Table26[[#This Row],[M2 Money Stock, Billions of Dollars, Monthly, Seasonally Adjusted]]-B275)/B275</f>
        <v/>
      </c>
      <c r="D276" s="31">
        <f>((1+Table26[[#This Row],[Monthly change]])^12)-1</f>
        <v/>
      </c>
    </row>
    <row r="277">
      <c r="A277" s="33" t="n">
        <v>29799</v>
      </c>
      <c r="B277" s="53">
        <f>VLOOKUP(Table26[[#This Row],[Date]],'DB Money Supply'!$A:$E,5)</f>
        <v/>
      </c>
      <c r="C277" s="30">
        <f>(Table26[[#This Row],[M2 Money Stock, Billions of Dollars, Monthly, Seasonally Adjusted]]-B276)/B276</f>
        <v/>
      </c>
      <c r="D277" s="31">
        <f>((1+Table26[[#This Row],[Monthly change]])^12)-1</f>
        <v/>
      </c>
    </row>
    <row r="278">
      <c r="A278" s="51" t="n">
        <v>29830</v>
      </c>
      <c r="B278" s="53">
        <f>VLOOKUP(Table26[[#This Row],[Date]],'DB Money Supply'!$A:$E,5)</f>
        <v/>
      </c>
      <c r="C278" s="30">
        <f>(Table26[[#This Row],[M2 Money Stock, Billions of Dollars, Monthly, Seasonally Adjusted]]-B277)/B277</f>
        <v/>
      </c>
      <c r="D278" s="31">
        <f>((1+Table26[[#This Row],[Monthly change]])^12)-1</f>
        <v/>
      </c>
    </row>
    <row r="279">
      <c r="A279" s="33" t="n">
        <v>29860</v>
      </c>
      <c r="B279" s="53">
        <f>VLOOKUP(Table26[[#This Row],[Date]],'DB Money Supply'!$A:$E,5)</f>
        <v/>
      </c>
      <c r="C279" s="30">
        <f>(Table26[[#This Row],[M2 Money Stock, Billions of Dollars, Monthly, Seasonally Adjusted]]-B278)/B278</f>
        <v/>
      </c>
      <c r="D279" s="31">
        <f>((1+Table26[[#This Row],[Monthly change]])^12)-1</f>
        <v/>
      </c>
    </row>
    <row r="280">
      <c r="A280" s="51" t="n">
        <v>29891</v>
      </c>
      <c r="B280" s="53">
        <f>VLOOKUP(Table26[[#This Row],[Date]],'DB Money Supply'!$A:$E,5)</f>
        <v/>
      </c>
      <c r="C280" s="30">
        <f>(Table26[[#This Row],[M2 Money Stock, Billions of Dollars, Monthly, Seasonally Adjusted]]-B279)/B279</f>
        <v/>
      </c>
      <c r="D280" s="31">
        <f>((1+Table26[[#This Row],[Monthly change]])^12)-1</f>
        <v/>
      </c>
    </row>
    <row r="281">
      <c r="A281" s="33" t="n">
        <v>29921</v>
      </c>
      <c r="B281" s="53">
        <f>VLOOKUP(Table26[[#This Row],[Date]],'DB Money Supply'!$A:$E,5)</f>
        <v/>
      </c>
      <c r="C281" s="30">
        <f>(Table26[[#This Row],[M2 Money Stock, Billions of Dollars, Monthly, Seasonally Adjusted]]-B280)/B280</f>
        <v/>
      </c>
      <c r="D281" s="31">
        <f>((1+Table26[[#This Row],[Monthly change]])^12)-1</f>
        <v/>
      </c>
    </row>
    <row r="282">
      <c r="A282" s="51" t="n">
        <v>29952</v>
      </c>
      <c r="B282" s="53">
        <f>VLOOKUP(Table26[[#This Row],[Date]],'DB Money Supply'!$A:$E,5)</f>
        <v/>
      </c>
      <c r="C282" s="30">
        <f>(Table26[[#This Row],[M2 Money Stock, Billions of Dollars, Monthly, Seasonally Adjusted]]-B281)/B281</f>
        <v/>
      </c>
      <c r="D282" s="31">
        <f>((1+Table26[[#This Row],[Monthly change]])^12)-1</f>
        <v/>
      </c>
    </row>
    <row r="283">
      <c r="A283" s="33" t="n">
        <v>29983</v>
      </c>
      <c r="B283" s="53">
        <f>VLOOKUP(Table26[[#This Row],[Date]],'DB Money Supply'!$A:$E,5)</f>
        <v/>
      </c>
      <c r="C283" s="30">
        <f>(Table26[[#This Row],[M2 Money Stock, Billions of Dollars, Monthly, Seasonally Adjusted]]-B282)/B282</f>
        <v/>
      </c>
      <c r="D283" s="31">
        <f>((1+Table26[[#This Row],[Monthly change]])^12)-1</f>
        <v/>
      </c>
    </row>
    <row r="284">
      <c r="A284" s="51" t="n">
        <v>30011</v>
      </c>
      <c r="B284" s="53">
        <f>VLOOKUP(Table26[[#This Row],[Date]],'DB Money Supply'!$A:$E,5)</f>
        <v/>
      </c>
      <c r="C284" s="30">
        <f>(Table26[[#This Row],[M2 Money Stock, Billions of Dollars, Monthly, Seasonally Adjusted]]-B283)/B283</f>
        <v/>
      </c>
      <c r="D284" s="31">
        <f>((1+Table26[[#This Row],[Monthly change]])^12)-1</f>
        <v/>
      </c>
    </row>
    <row r="285">
      <c r="A285" s="33" t="n">
        <v>30042</v>
      </c>
      <c r="B285" s="53">
        <f>VLOOKUP(Table26[[#This Row],[Date]],'DB Money Supply'!$A:$E,5)</f>
        <v/>
      </c>
      <c r="C285" s="30">
        <f>(Table26[[#This Row],[M2 Money Stock, Billions of Dollars, Monthly, Seasonally Adjusted]]-B284)/B284</f>
        <v/>
      </c>
      <c r="D285" s="31">
        <f>((1+Table26[[#This Row],[Monthly change]])^12)-1</f>
        <v/>
      </c>
    </row>
    <row r="286">
      <c r="A286" s="51" t="n">
        <v>30072</v>
      </c>
      <c r="B286" s="53">
        <f>VLOOKUP(Table26[[#This Row],[Date]],'DB Money Supply'!$A:$E,5)</f>
        <v/>
      </c>
      <c r="C286" s="30">
        <f>(Table26[[#This Row],[M2 Money Stock, Billions of Dollars, Monthly, Seasonally Adjusted]]-B285)/B285</f>
        <v/>
      </c>
      <c r="D286" s="31">
        <f>((1+Table26[[#This Row],[Monthly change]])^12)-1</f>
        <v/>
      </c>
    </row>
    <row r="287">
      <c r="A287" s="33" t="n">
        <v>30103</v>
      </c>
      <c r="B287" s="53">
        <f>VLOOKUP(Table26[[#This Row],[Date]],'DB Money Supply'!$A:$E,5)</f>
        <v/>
      </c>
      <c r="C287" s="30">
        <f>(Table26[[#This Row],[M2 Money Stock, Billions of Dollars, Monthly, Seasonally Adjusted]]-B286)/B286</f>
        <v/>
      </c>
      <c r="D287" s="31">
        <f>((1+Table26[[#This Row],[Monthly change]])^12)-1</f>
        <v/>
      </c>
    </row>
    <row r="288">
      <c r="A288" s="51" t="n">
        <v>30133</v>
      </c>
      <c r="B288" s="53">
        <f>VLOOKUP(Table26[[#This Row],[Date]],'DB Money Supply'!$A:$E,5)</f>
        <v/>
      </c>
      <c r="C288" s="30">
        <f>(Table26[[#This Row],[M2 Money Stock, Billions of Dollars, Monthly, Seasonally Adjusted]]-B287)/B287</f>
        <v/>
      </c>
      <c r="D288" s="31">
        <f>((1+Table26[[#This Row],[Monthly change]])^12)-1</f>
        <v/>
      </c>
    </row>
    <row r="289">
      <c r="A289" s="33" t="n">
        <v>30164</v>
      </c>
      <c r="B289" s="53">
        <f>VLOOKUP(Table26[[#This Row],[Date]],'DB Money Supply'!$A:$E,5)</f>
        <v/>
      </c>
      <c r="C289" s="30">
        <f>(Table26[[#This Row],[M2 Money Stock, Billions of Dollars, Monthly, Seasonally Adjusted]]-B288)/B288</f>
        <v/>
      </c>
      <c r="D289" s="31">
        <f>((1+Table26[[#This Row],[Monthly change]])^12)-1</f>
        <v/>
      </c>
    </row>
    <row r="290">
      <c r="A290" s="51" t="n">
        <v>30195</v>
      </c>
      <c r="B290" s="53">
        <f>VLOOKUP(Table26[[#This Row],[Date]],'DB Money Supply'!$A:$E,5)</f>
        <v/>
      </c>
      <c r="C290" s="30">
        <f>(Table26[[#This Row],[M2 Money Stock, Billions of Dollars, Monthly, Seasonally Adjusted]]-B289)/B289</f>
        <v/>
      </c>
      <c r="D290" s="31">
        <f>((1+Table26[[#This Row],[Monthly change]])^12)-1</f>
        <v/>
      </c>
    </row>
    <row r="291">
      <c r="A291" s="51" t="n">
        <v>30225</v>
      </c>
      <c r="B291" s="53">
        <f>VLOOKUP(Table26[[#This Row],[Date]],'DB Money Supply'!$A:$E,5)</f>
        <v/>
      </c>
      <c r="C291" s="30">
        <f>(Table26[[#This Row],[M2 Money Stock, Billions of Dollars, Monthly, Seasonally Adjusted]]-B290)/B290</f>
        <v/>
      </c>
      <c r="D291" s="31">
        <f>((1+Table26[[#This Row],[Monthly change]])^12)-1</f>
        <v/>
      </c>
    </row>
    <row r="292">
      <c r="A292" s="33" t="n">
        <v>30256</v>
      </c>
      <c r="B292" s="53">
        <f>VLOOKUP(Table26[[#This Row],[Date]],'DB Money Supply'!$A:$E,5)</f>
        <v/>
      </c>
      <c r="C292" s="30">
        <f>(Table26[[#This Row],[M2 Money Stock, Billions of Dollars, Monthly, Seasonally Adjusted]]-B291)/B291</f>
        <v/>
      </c>
      <c r="D292" s="31">
        <f>((1+Table26[[#This Row],[Monthly change]])^12)-1</f>
        <v/>
      </c>
    </row>
    <row r="293">
      <c r="A293" s="51" t="n">
        <v>30286</v>
      </c>
      <c r="B293" s="53">
        <f>VLOOKUP(Table26[[#This Row],[Date]],'DB Money Supply'!$A:$E,5)</f>
        <v/>
      </c>
      <c r="C293" s="30">
        <f>(Table26[[#This Row],[M2 Money Stock, Billions of Dollars, Monthly, Seasonally Adjusted]]-B292)/B292</f>
        <v/>
      </c>
      <c r="D293" s="31">
        <f>((1+Table26[[#This Row],[Monthly change]])^12)-1</f>
        <v/>
      </c>
    </row>
    <row r="294">
      <c r="A294" s="33" t="n">
        <v>30317</v>
      </c>
      <c r="B294" s="53">
        <f>VLOOKUP(Table26[[#This Row],[Date]],'DB Money Supply'!$A:$E,5)</f>
        <v/>
      </c>
      <c r="C294" s="30">
        <f>(Table26[[#This Row],[M2 Money Stock, Billions of Dollars, Monthly, Seasonally Adjusted]]-B293)/B293</f>
        <v/>
      </c>
      <c r="D294" s="31">
        <f>((1+Table26[[#This Row],[Monthly change]])^12)-1</f>
        <v/>
      </c>
    </row>
    <row r="295">
      <c r="A295" s="51" t="n">
        <v>30348</v>
      </c>
      <c r="B295" s="53">
        <f>VLOOKUP(Table26[[#This Row],[Date]],'DB Money Supply'!$A:$E,5)</f>
        <v/>
      </c>
      <c r="C295" s="30">
        <f>(Table26[[#This Row],[M2 Money Stock, Billions of Dollars, Monthly, Seasonally Adjusted]]-B294)/B294</f>
        <v/>
      </c>
      <c r="D295" s="31">
        <f>((1+Table26[[#This Row],[Monthly change]])^12)-1</f>
        <v/>
      </c>
    </row>
    <row r="296">
      <c r="A296" s="33" t="n">
        <v>30376</v>
      </c>
      <c r="B296" s="53">
        <f>VLOOKUP(Table26[[#This Row],[Date]],'DB Money Supply'!$A:$E,5)</f>
        <v/>
      </c>
      <c r="C296" s="30">
        <f>(Table26[[#This Row],[M2 Money Stock, Billions of Dollars, Monthly, Seasonally Adjusted]]-B295)/B295</f>
        <v/>
      </c>
      <c r="D296" s="31">
        <f>((1+Table26[[#This Row],[Monthly change]])^12)-1</f>
        <v/>
      </c>
    </row>
    <row r="297">
      <c r="A297" s="51" t="n">
        <v>30407</v>
      </c>
      <c r="B297" s="53">
        <f>VLOOKUP(Table26[[#This Row],[Date]],'DB Money Supply'!$A:$E,5)</f>
        <v/>
      </c>
      <c r="C297" s="30">
        <f>(Table26[[#This Row],[M2 Money Stock, Billions of Dollars, Monthly, Seasonally Adjusted]]-B296)/B296</f>
        <v/>
      </c>
      <c r="D297" s="31">
        <f>((1+Table26[[#This Row],[Monthly change]])^12)-1</f>
        <v/>
      </c>
    </row>
    <row r="298">
      <c r="A298" s="33" t="n">
        <v>30437</v>
      </c>
      <c r="B298" s="53">
        <f>VLOOKUP(Table26[[#This Row],[Date]],'DB Money Supply'!$A:$E,5)</f>
        <v/>
      </c>
      <c r="C298" s="30">
        <f>(Table26[[#This Row],[M2 Money Stock, Billions of Dollars, Monthly, Seasonally Adjusted]]-B297)/B297</f>
        <v/>
      </c>
      <c r="D298" s="31">
        <f>((1+Table26[[#This Row],[Monthly change]])^12)-1</f>
        <v/>
      </c>
    </row>
    <row r="299">
      <c r="A299" s="51" t="n">
        <v>30468</v>
      </c>
      <c r="B299" s="53">
        <f>VLOOKUP(Table26[[#This Row],[Date]],'DB Money Supply'!$A:$E,5)</f>
        <v/>
      </c>
      <c r="C299" s="30">
        <f>(Table26[[#This Row],[M2 Money Stock, Billions of Dollars, Monthly, Seasonally Adjusted]]-B298)/B298</f>
        <v/>
      </c>
      <c r="D299" s="31">
        <f>((1+Table26[[#This Row],[Monthly change]])^12)-1</f>
        <v/>
      </c>
    </row>
    <row r="300">
      <c r="A300" s="33" t="n">
        <v>30498</v>
      </c>
      <c r="B300" s="53">
        <f>VLOOKUP(Table26[[#This Row],[Date]],'DB Money Supply'!$A:$E,5)</f>
        <v/>
      </c>
      <c r="C300" s="30">
        <f>(Table26[[#This Row],[M2 Money Stock, Billions of Dollars, Monthly, Seasonally Adjusted]]-B299)/B299</f>
        <v/>
      </c>
      <c r="D300" s="31">
        <f>((1+Table26[[#This Row],[Monthly change]])^12)-1</f>
        <v/>
      </c>
    </row>
    <row r="301">
      <c r="A301" s="51" t="n">
        <v>30529</v>
      </c>
      <c r="B301" s="53">
        <f>VLOOKUP(Table26[[#This Row],[Date]],'DB Money Supply'!$A:$E,5)</f>
        <v/>
      </c>
      <c r="C301" s="30">
        <f>(Table26[[#This Row],[M2 Money Stock, Billions of Dollars, Monthly, Seasonally Adjusted]]-B300)/B300</f>
        <v/>
      </c>
      <c r="D301" s="31">
        <f>((1+Table26[[#This Row],[Monthly change]])^12)-1</f>
        <v/>
      </c>
    </row>
    <row r="302">
      <c r="A302" s="33" t="n">
        <v>30560</v>
      </c>
      <c r="B302" s="53">
        <f>VLOOKUP(Table26[[#This Row],[Date]],'DB Money Supply'!$A:$E,5)</f>
        <v/>
      </c>
      <c r="C302" s="30">
        <f>(Table26[[#This Row],[M2 Money Stock, Billions of Dollars, Monthly, Seasonally Adjusted]]-B301)/B301</f>
        <v/>
      </c>
      <c r="D302" s="31">
        <f>((1+Table26[[#This Row],[Monthly change]])^12)-1</f>
        <v/>
      </c>
    </row>
    <row r="303">
      <c r="A303" s="51" t="n">
        <v>30590</v>
      </c>
      <c r="B303" s="53">
        <f>VLOOKUP(Table26[[#This Row],[Date]],'DB Money Supply'!$A:$E,5)</f>
        <v/>
      </c>
      <c r="C303" s="30">
        <f>(Table26[[#This Row],[M2 Money Stock, Billions of Dollars, Monthly, Seasonally Adjusted]]-B302)/B302</f>
        <v/>
      </c>
      <c r="D303" s="31">
        <f>((1+Table26[[#This Row],[Monthly change]])^12)-1</f>
        <v/>
      </c>
    </row>
    <row r="304">
      <c r="A304" s="33" t="n">
        <v>30621</v>
      </c>
      <c r="B304" s="53">
        <f>VLOOKUP(Table26[[#This Row],[Date]],'DB Money Supply'!$A:$E,5)</f>
        <v/>
      </c>
      <c r="C304" s="30">
        <f>(Table26[[#This Row],[M2 Money Stock, Billions of Dollars, Monthly, Seasonally Adjusted]]-B303)/B303</f>
        <v/>
      </c>
      <c r="D304" s="31">
        <f>((1+Table26[[#This Row],[Monthly change]])^12)-1</f>
        <v/>
      </c>
    </row>
    <row r="305">
      <c r="A305" s="51" t="n">
        <v>30651</v>
      </c>
      <c r="B305" s="53">
        <f>VLOOKUP(Table26[[#This Row],[Date]],'DB Money Supply'!$A:$E,5)</f>
        <v/>
      </c>
      <c r="C305" s="30">
        <f>(Table26[[#This Row],[M2 Money Stock, Billions of Dollars, Monthly, Seasonally Adjusted]]-B304)/B304</f>
        <v/>
      </c>
      <c r="D305" s="31">
        <f>((1+Table26[[#This Row],[Monthly change]])^12)-1</f>
        <v/>
      </c>
    </row>
    <row r="306">
      <c r="A306" s="33" t="n">
        <v>30682</v>
      </c>
      <c r="B306" s="53">
        <f>VLOOKUP(Table26[[#This Row],[Date]],'DB Money Supply'!$A:$E,5)</f>
        <v/>
      </c>
      <c r="C306" s="30">
        <f>(Table26[[#This Row],[M2 Money Stock, Billions of Dollars, Monthly, Seasonally Adjusted]]-B305)/B305</f>
        <v/>
      </c>
      <c r="D306" s="31">
        <f>((1+Table26[[#This Row],[Monthly change]])^12)-1</f>
        <v/>
      </c>
    </row>
    <row r="307">
      <c r="A307" s="51" t="n">
        <v>30713</v>
      </c>
      <c r="B307" s="53">
        <f>VLOOKUP(Table26[[#This Row],[Date]],'DB Money Supply'!$A:$E,5)</f>
        <v/>
      </c>
      <c r="C307" s="30">
        <f>(Table26[[#This Row],[M2 Money Stock, Billions of Dollars, Monthly, Seasonally Adjusted]]-B306)/B306</f>
        <v/>
      </c>
      <c r="D307" s="31">
        <f>((1+Table26[[#This Row],[Monthly change]])^12)-1</f>
        <v/>
      </c>
    </row>
    <row r="308">
      <c r="A308" s="33" t="n">
        <v>30742</v>
      </c>
      <c r="B308" s="53">
        <f>VLOOKUP(Table26[[#This Row],[Date]],'DB Money Supply'!$A:$E,5)</f>
        <v/>
      </c>
      <c r="C308" s="30">
        <f>(Table26[[#This Row],[M2 Money Stock, Billions of Dollars, Monthly, Seasonally Adjusted]]-B307)/B307</f>
        <v/>
      </c>
      <c r="D308" s="31">
        <f>((1+Table26[[#This Row],[Monthly change]])^12)-1</f>
        <v/>
      </c>
    </row>
    <row r="309">
      <c r="A309" s="51" t="n">
        <v>30773</v>
      </c>
      <c r="B309" s="53">
        <f>VLOOKUP(Table26[[#This Row],[Date]],'DB Money Supply'!$A:$E,5)</f>
        <v/>
      </c>
      <c r="C309" s="30">
        <f>(Table26[[#This Row],[M2 Money Stock, Billions of Dollars, Monthly, Seasonally Adjusted]]-B308)/B308</f>
        <v/>
      </c>
      <c r="D309" s="31">
        <f>((1+Table26[[#This Row],[Monthly change]])^12)-1</f>
        <v/>
      </c>
    </row>
    <row r="310">
      <c r="A310" s="51" t="n">
        <v>30803</v>
      </c>
      <c r="B310" s="53">
        <f>VLOOKUP(Table26[[#This Row],[Date]],'DB Money Supply'!$A:$E,5)</f>
        <v/>
      </c>
      <c r="C310" s="30">
        <f>(Table26[[#This Row],[M2 Money Stock, Billions of Dollars, Monthly, Seasonally Adjusted]]-B309)/B309</f>
        <v/>
      </c>
      <c r="D310" s="31">
        <f>((1+Table26[[#This Row],[Monthly change]])^12)-1</f>
        <v/>
      </c>
    </row>
    <row r="311">
      <c r="A311" s="33" t="n">
        <v>30834</v>
      </c>
      <c r="B311" s="53">
        <f>VLOOKUP(Table26[[#This Row],[Date]],'DB Money Supply'!$A:$E,5)</f>
        <v/>
      </c>
      <c r="C311" s="30">
        <f>(Table26[[#This Row],[M2 Money Stock, Billions of Dollars, Monthly, Seasonally Adjusted]]-B310)/B310</f>
        <v/>
      </c>
      <c r="D311" s="31">
        <f>((1+Table26[[#This Row],[Monthly change]])^12)-1</f>
        <v/>
      </c>
    </row>
    <row r="312">
      <c r="A312" s="51" t="n">
        <v>30864</v>
      </c>
      <c r="B312" s="53">
        <f>VLOOKUP(Table26[[#This Row],[Date]],'DB Money Supply'!$A:$E,5)</f>
        <v/>
      </c>
      <c r="C312" s="30">
        <f>(Table26[[#This Row],[M2 Money Stock, Billions of Dollars, Monthly, Seasonally Adjusted]]-B311)/B311</f>
        <v/>
      </c>
      <c r="D312" s="31">
        <f>((1+Table26[[#This Row],[Monthly change]])^12)-1</f>
        <v/>
      </c>
    </row>
    <row r="313">
      <c r="A313" s="33" t="n">
        <v>30895</v>
      </c>
      <c r="B313" s="53">
        <f>VLOOKUP(Table26[[#This Row],[Date]],'DB Money Supply'!$A:$E,5)</f>
        <v/>
      </c>
      <c r="C313" s="30">
        <f>(Table26[[#This Row],[M2 Money Stock, Billions of Dollars, Monthly, Seasonally Adjusted]]-B312)/B312</f>
        <v/>
      </c>
      <c r="D313" s="31">
        <f>((1+Table26[[#This Row],[Monthly change]])^12)-1</f>
        <v/>
      </c>
    </row>
    <row r="314">
      <c r="A314" s="51" t="n">
        <v>30926</v>
      </c>
      <c r="B314" s="53">
        <f>VLOOKUP(Table26[[#This Row],[Date]],'DB Money Supply'!$A:$E,5)</f>
        <v/>
      </c>
      <c r="C314" s="30">
        <f>(Table26[[#This Row],[M2 Money Stock, Billions of Dollars, Monthly, Seasonally Adjusted]]-B313)/B313</f>
        <v/>
      </c>
      <c r="D314" s="31">
        <f>((1+Table26[[#This Row],[Monthly change]])^12)-1</f>
        <v/>
      </c>
    </row>
    <row r="315">
      <c r="A315" s="33" t="n">
        <v>30956</v>
      </c>
      <c r="B315" s="53">
        <f>VLOOKUP(Table26[[#This Row],[Date]],'DB Money Supply'!$A:$E,5)</f>
        <v/>
      </c>
      <c r="C315" s="30">
        <f>(Table26[[#This Row],[M2 Money Stock, Billions of Dollars, Monthly, Seasonally Adjusted]]-B314)/B314</f>
        <v/>
      </c>
      <c r="D315" s="31">
        <f>((1+Table26[[#This Row],[Monthly change]])^12)-1</f>
        <v/>
      </c>
    </row>
    <row r="316">
      <c r="A316" s="51" t="n">
        <v>30987</v>
      </c>
      <c r="B316" s="53">
        <f>VLOOKUP(Table26[[#This Row],[Date]],'DB Money Supply'!$A:$E,5)</f>
        <v/>
      </c>
      <c r="C316" s="30">
        <f>(Table26[[#This Row],[M2 Money Stock, Billions of Dollars, Monthly, Seasonally Adjusted]]-B315)/B315</f>
        <v/>
      </c>
      <c r="D316" s="31">
        <f>((1+Table26[[#This Row],[Monthly change]])^12)-1</f>
        <v/>
      </c>
    </row>
    <row r="317">
      <c r="A317" s="33" t="n">
        <v>31017</v>
      </c>
      <c r="B317" s="53">
        <f>VLOOKUP(Table26[[#This Row],[Date]],'DB Money Supply'!$A:$E,5)</f>
        <v/>
      </c>
      <c r="C317" s="30">
        <f>(Table26[[#This Row],[M2 Money Stock, Billions of Dollars, Monthly, Seasonally Adjusted]]-B316)/B316</f>
        <v/>
      </c>
      <c r="D317" s="31">
        <f>((1+Table26[[#This Row],[Monthly change]])^12)-1</f>
        <v/>
      </c>
    </row>
    <row r="318">
      <c r="A318" s="51" t="n">
        <v>31048</v>
      </c>
      <c r="B318" s="53">
        <f>VLOOKUP(Table26[[#This Row],[Date]],'DB Money Supply'!$A:$E,5)</f>
        <v/>
      </c>
      <c r="C318" s="30">
        <f>(Table26[[#This Row],[M2 Money Stock, Billions of Dollars, Monthly, Seasonally Adjusted]]-B317)/B317</f>
        <v/>
      </c>
      <c r="D318" s="31">
        <f>((1+Table26[[#This Row],[Monthly change]])^12)-1</f>
        <v/>
      </c>
    </row>
    <row r="319">
      <c r="A319" s="33" t="n">
        <v>31079</v>
      </c>
      <c r="B319" s="53">
        <f>VLOOKUP(Table26[[#This Row],[Date]],'DB Money Supply'!$A:$E,5)</f>
        <v/>
      </c>
      <c r="C319" s="30">
        <f>(Table26[[#This Row],[M2 Money Stock, Billions of Dollars, Monthly, Seasonally Adjusted]]-B318)/B318</f>
        <v/>
      </c>
      <c r="D319" s="31">
        <f>((1+Table26[[#This Row],[Monthly change]])^12)-1</f>
        <v/>
      </c>
    </row>
    <row r="320">
      <c r="A320" s="51" t="n">
        <v>31107</v>
      </c>
      <c r="B320" s="53">
        <f>VLOOKUP(Table26[[#This Row],[Date]],'DB Money Supply'!$A:$E,5)</f>
        <v/>
      </c>
      <c r="C320" s="30">
        <f>(Table26[[#This Row],[M2 Money Stock, Billions of Dollars, Monthly, Seasonally Adjusted]]-B319)/B319</f>
        <v/>
      </c>
      <c r="D320" s="31">
        <f>((1+Table26[[#This Row],[Monthly change]])^12)-1</f>
        <v/>
      </c>
    </row>
    <row r="321">
      <c r="A321" s="33" t="n">
        <v>31138</v>
      </c>
      <c r="B321" s="53">
        <f>VLOOKUP(Table26[[#This Row],[Date]],'DB Money Supply'!$A:$E,5)</f>
        <v/>
      </c>
      <c r="C321" s="30">
        <f>(Table26[[#This Row],[M2 Money Stock, Billions of Dollars, Monthly, Seasonally Adjusted]]-B320)/B320</f>
        <v/>
      </c>
      <c r="D321" s="31">
        <f>((1+Table26[[#This Row],[Monthly change]])^12)-1</f>
        <v/>
      </c>
    </row>
    <row r="322">
      <c r="A322" s="51" t="n">
        <v>31168</v>
      </c>
      <c r="B322" s="53">
        <f>VLOOKUP(Table26[[#This Row],[Date]],'DB Money Supply'!$A:$E,5)</f>
        <v/>
      </c>
      <c r="C322" s="30">
        <f>(Table26[[#This Row],[M2 Money Stock, Billions of Dollars, Monthly, Seasonally Adjusted]]-B321)/B321</f>
        <v/>
      </c>
      <c r="D322" s="31">
        <f>((1+Table26[[#This Row],[Monthly change]])^12)-1</f>
        <v/>
      </c>
    </row>
    <row r="323">
      <c r="A323" s="33" t="n">
        <v>31199</v>
      </c>
      <c r="B323" s="53">
        <f>VLOOKUP(Table26[[#This Row],[Date]],'DB Money Supply'!$A:$E,5)</f>
        <v/>
      </c>
      <c r="C323" s="30">
        <f>(Table26[[#This Row],[M2 Money Stock, Billions of Dollars, Monthly, Seasonally Adjusted]]-B322)/B322</f>
        <v/>
      </c>
      <c r="D323" s="31">
        <f>((1+Table26[[#This Row],[Monthly change]])^12)-1</f>
        <v/>
      </c>
    </row>
    <row r="324">
      <c r="A324" s="51" t="n">
        <v>31229</v>
      </c>
      <c r="B324" s="53">
        <f>VLOOKUP(Table26[[#This Row],[Date]],'DB Money Supply'!$A:$E,5)</f>
        <v/>
      </c>
      <c r="C324" s="30">
        <f>(Table26[[#This Row],[M2 Money Stock, Billions of Dollars, Monthly, Seasonally Adjusted]]-B323)/B323</f>
        <v/>
      </c>
      <c r="D324" s="31">
        <f>((1+Table26[[#This Row],[Monthly change]])^12)-1</f>
        <v/>
      </c>
    </row>
    <row r="325">
      <c r="A325" s="33" t="n">
        <v>31260</v>
      </c>
      <c r="B325" s="53">
        <f>VLOOKUP(Table26[[#This Row],[Date]],'DB Money Supply'!$A:$E,5)</f>
        <v/>
      </c>
      <c r="C325" s="30">
        <f>(Table26[[#This Row],[M2 Money Stock, Billions of Dollars, Monthly, Seasonally Adjusted]]-B324)/B324</f>
        <v/>
      </c>
      <c r="D325" s="31">
        <f>((1+Table26[[#This Row],[Monthly change]])^12)-1</f>
        <v/>
      </c>
    </row>
    <row r="326">
      <c r="A326" s="51" t="n">
        <v>31291</v>
      </c>
      <c r="B326" s="53">
        <f>VLOOKUP(Table26[[#This Row],[Date]],'DB Money Supply'!$A:$E,5)</f>
        <v/>
      </c>
      <c r="C326" s="30">
        <f>(Table26[[#This Row],[M2 Money Stock, Billions of Dollars, Monthly, Seasonally Adjusted]]-B325)/B325</f>
        <v/>
      </c>
      <c r="D326" s="31">
        <f>((1+Table26[[#This Row],[Monthly change]])^12)-1</f>
        <v/>
      </c>
    </row>
    <row r="327">
      <c r="A327" s="33" t="n">
        <v>31321</v>
      </c>
      <c r="B327" s="53">
        <f>VLOOKUP(Table26[[#This Row],[Date]],'DB Money Supply'!$A:$E,5)</f>
        <v/>
      </c>
      <c r="C327" s="30">
        <f>(Table26[[#This Row],[M2 Money Stock, Billions of Dollars, Monthly, Seasonally Adjusted]]-B326)/B326</f>
        <v/>
      </c>
      <c r="D327" s="31">
        <f>((1+Table26[[#This Row],[Monthly change]])^12)-1</f>
        <v/>
      </c>
    </row>
    <row r="328">
      <c r="A328" s="51" t="n">
        <v>31352</v>
      </c>
      <c r="B328" s="53">
        <f>VLOOKUP(Table26[[#This Row],[Date]],'DB Money Supply'!$A:$E,5)</f>
        <v/>
      </c>
      <c r="C328" s="30">
        <f>(Table26[[#This Row],[M2 Money Stock, Billions of Dollars, Monthly, Seasonally Adjusted]]-B327)/B327</f>
        <v/>
      </c>
      <c r="D328" s="31">
        <f>((1+Table26[[#This Row],[Monthly change]])^12)-1</f>
        <v/>
      </c>
    </row>
    <row r="329">
      <c r="A329" s="51" t="n">
        <v>31382</v>
      </c>
      <c r="B329" s="53">
        <f>VLOOKUP(Table26[[#This Row],[Date]],'DB Money Supply'!$A:$E,5)</f>
        <v/>
      </c>
      <c r="C329" s="30">
        <f>(Table26[[#This Row],[M2 Money Stock, Billions of Dollars, Monthly, Seasonally Adjusted]]-B328)/B328</f>
        <v/>
      </c>
      <c r="D329" s="31">
        <f>((1+Table26[[#This Row],[Monthly change]])^12)-1</f>
        <v/>
      </c>
    </row>
    <row r="330">
      <c r="A330" s="33" t="n">
        <v>31413</v>
      </c>
      <c r="B330" s="53">
        <f>VLOOKUP(Table26[[#This Row],[Date]],'DB Money Supply'!$A:$E,5)</f>
        <v/>
      </c>
      <c r="C330" s="30">
        <f>(Table26[[#This Row],[M2 Money Stock, Billions of Dollars, Monthly, Seasonally Adjusted]]-B329)/B329</f>
        <v/>
      </c>
      <c r="D330" s="31">
        <f>((1+Table26[[#This Row],[Monthly change]])^12)-1</f>
        <v/>
      </c>
    </row>
    <row r="331">
      <c r="A331" s="51" t="n">
        <v>31444</v>
      </c>
      <c r="B331" s="53">
        <f>VLOOKUP(Table26[[#This Row],[Date]],'DB Money Supply'!$A:$E,5)</f>
        <v/>
      </c>
      <c r="C331" s="30">
        <f>(Table26[[#This Row],[M2 Money Stock, Billions of Dollars, Monthly, Seasonally Adjusted]]-B330)/B330</f>
        <v/>
      </c>
      <c r="D331" s="31">
        <f>((1+Table26[[#This Row],[Monthly change]])^12)-1</f>
        <v/>
      </c>
    </row>
    <row r="332">
      <c r="A332" s="33" t="n">
        <v>31472</v>
      </c>
      <c r="B332" s="53">
        <f>VLOOKUP(Table26[[#This Row],[Date]],'DB Money Supply'!$A:$E,5)</f>
        <v/>
      </c>
      <c r="C332" s="30">
        <f>(Table26[[#This Row],[M2 Money Stock, Billions of Dollars, Monthly, Seasonally Adjusted]]-B331)/B331</f>
        <v/>
      </c>
      <c r="D332" s="31">
        <f>((1+Table26[[#This Row],[Monthly change]])^12)-1</f>
        <v/>
      </c>
    </row>
    <row r="333">
      <c r="A333" s="51" t="n">
        <v>31503</v>
      </c>
      <c r="B333" s="53">
        <f>VLOOKUP(Table26[[#This Row],[Date]],'DB Money Supply'!$A:$E,5)</f>
        <v/>
      </c>
      <c r="C333" s="30">
        <f>(Table26[[#This Row],[M2 Money Stock, Billions of Dollars, Monthly, Seasonally Adjusted]]-B332)/B332</f>
        <v/>
      </c>
      <c r="D333" s="31">
        <f>((1+Table26[[#This Row],[Monthly change]])^12)-1</f>
        <v/>
      </c>
    </row>
    <row r="334">
      <c r="A334" s="33" t="n">
        <v>31533</v>
      </c>
      <c r="B334" s="53">
        <f>VLOOKUP(Table26[[#This Row],[Date]],'DB Money Supply'!$A:$E,5)</f>
        <v/>
      </c>
      <c r="C334" s="30">
        <f>(Table26[[#This Row],[M2 Money Stock, Billions of Dollars, Monthly, Seasonally Adjusted]]-B333)/B333</f>
        <v/>
      </c>
      <c r="D334" s="31">
        <f>((1+Table26[[#This Row],[Monthly change]])^12)-1</f>
        <v/>
      </c>
    </row>
    <row r="335">
      <c r="A335" s="51" t="n">
        <v>31564</v>
      </c>
      <c r="B335" s="53">
        <f>VLOOKUP(Table26[[#This Row],[Date]],'DB Money Supply'!$A:$E,5)</f>
        <v/>
      </c>
      <c r="C335" s="30">
        <f>(Table26[[#This Row],[M2 Money Stock, Billions of Dollars, Monthly, Seasonally Adjusted]]-B334)/B334</f>
        <v/>
      </c>
      <c r="D335" s="31">
        <f>((1+Table26[[#This Row],[Monthly change]])^12)-1</f>
        <v/>
      </c>
    </row>
    <row r="336">
      <c r="A336" s="33" t="n">
        <v>31594</v>
      </c>
      <c r="B336" s="53">
        <f>VLOOKUP(Table26[[#This Row],[Date]],'DB Money Supply'!$A:$E,5)</f>
        <v/>
      </c>
      <c r="C336" s="30">
        <f>(Table26[[#This Row],[M2 Money Stock, Billions of Dollars, Monthly, Seasonally Adjusted]]-B335)/B335</f>
        <v/>
      </c>
      <c r="D336" s="31">
        <f>((1+Table26[[#This Row],[Monthly change]])^12)-1</f>
        <v/>
      </c>
    </row>
    <row r="337">
      <c r="A337" s="51" t="n">
        <v>31625</v>
      </c>
      <c r="B337" s="53">
        <f>VLOOKUP(Table26[[#This Row],[Date]],'DB Money Supply'!$A:$E,5)</f>
        <v/>
      </c>
      <c r="C337" s="30">
        <f>(Table26[[#This Row],[M2 Money Stock, Billions of Dollars, Monthly, Seasonally Adjusted]]-B336)/B336</f>
        <v/>
      </c>
      <c r="D337" s="31">
        <f>((1+Table26[[#This Row],[Monthly change]])^12)-1</f>
        <v/>
      </c>
    </row>
    <row r="338">
      <c r="A338" s="33" t="n">
        <v>31656</v>
      </c>
      <c r="B338" s="53">
        <f>VLOOKUP(Table26[[#This Row],[Date]],'DB Money Supply'!$A:$E,5)</f>
        <v/>
      </c>
      <c r="C338" s="30">
        <f>(Table26[[#This Row],[M2 Money Stock, Billions of Dollars, Monthly, Seasonally Adjusted]]-B337)/B337</f>
        <v/>
      </c>
      <c r="D338" s="31">
        <f>((1+Table26[[#This Row],[Monthly change]])^12)-1</f>
        <v/>
      </c>
    </row>
    <row r="339">
      <c r="A339" s="51" t="n">
        <v>31686</v>
      </c>
      <c r="B339" s="53">
        <f>VLOOKUP(Table26[[#This Row],[Date]],'DB Money Supply'!$A:$E,5)</f>
        <v/>
      </c>
      <c r="C339" s="30">
        <f>(Table26[[#This Row],[M2 Money Stock, Billions of Dollars, Monthly, Seasonally Adjusted]]-B338)/B338</f>
        <v/>
      </c>
      <c r="D339" s="31">
        <f>((1+Table26[[#This Row],[Monthly change]])^12)-1</f>
        <v/>
      </c>
    </row>
    <row r="340">
      <c r="A340" s="33" t="n">
        <v>31717</v>
      </c>
      <c r="B340" s="53">
        <f>VLOOKUP(Table26[[#This Row],[Date]],'DB Money Supply'!$A:$E,5)</f>
        <v/>
      </c>
      <c r="C340" s="30">
        <f>(Table26[[#This Row],[M2 Money Stock, Billions of Dollars, Monthly, Seasonally Adjusted]]-B339)/B339</f>
        <v/>
      </c>
      <c r="D340" s="31">
        <f>((1+Table26[[#This Row],[Monthly change]])^12)-1</f>
        <v/>
      </c>
    </row>
    <row r="341">
      <c r="A341" s="51" t="n">
        <v>31747</v>
      </c>
      <c r="B341" s="53">
        <f>VLOOKUP(Table26[[#This Row],[Date]],'DB Money Supply'!$A:$E,5)</f>
        <v/>
      </c>
      <c r="C341" s="30">
        <f>(Table26[[#This Row],[M2 Money Stock, Billions of Dollars, Monthly, Seasonally Adjusted]]-B340)/B340</f>
        <v/>
      </c>
      <c r="D341" s="31">
        <f>((1+Table26[[#This Row],[Monthly change]])^12)-1</f>
        <v/>
      </c>
    </row>
    <row r="342">
      <c r="A342" s="33" t="n">
        <v>31778</v>
      </c>
      <c r="B342" s="53">
        <f>VLOOKUP(Table26[[#This Row],[Date]],'DB Money Supply'!$A:$E,5)</f>
        <v/>
      </c>
      <c r="C342" s="30">
        <f>(Table26[[#This Row],[M2 Money Stock, Billions of Dollars, Monthly, Seasonally Adjusted]]-B341)/B341</f>
        <v/>
      </c>
      <c r="D342" s="31">
        <f>((1+Table26[[#This Row],[Monthly change]])^12)-1</f>
        <v/>
      </c>
    </row>
    <row r="343">
      <c r="A343" s="51" t="n">
        <v>31809</v>
      </c>
      <c r="B343" s="53">
        <f>VLOOKUP(Table26[[#This Row],[Date]],'DB Money Supply'!$A:$E,5)</f>
        <v/>
      </c>
      <c r="C343" s="30">
        <f>(Table26[[#This Row],[M2 Money Stock, Billions of Dollars, Monthly, Seasonally Adjusted]]-B342)/B342</f>
        <v/>
      </c>
      <c r="D343" s="31">
        <f>((1+Table26[[#This Row],[Monthly change]])^12)-1</f>
        <v/>
      </c>
    </row>
    <row r="344">
      <c r="A344" s="33" t="n">
        <v>31837</v>
      </c>
      <c r="B344" s="53">
        <f>VLOOKUP(Table26[[#This Row],[Date]],'DB Money Supply'!$A:$E,5)</f>
        <v/>
      </c>
      <c r="C344" s="30">
        <f>(Table26[[#This Row],[M2 Money Stock, Billions of Dollars, Monthly, Seasonally Adjusted]]-B343)/B343</f>
        <v/>
      </c>
      <c r="D344" s="31">
        <f>((1+Table26[[#This Row],[Monthly change]])^12)-1</f>
        <v/>
      </c>
    </row>
    <row r="345">
      <c r="A345" s="51" t="n">
        <v>31868</v>
      </c>
      <c r="B345" s="53">
        <f>VLOOKUP(Table26[[#This Row],[Date]],'DB Money Supply'!$A:$E,5)</f>
        <v/>
      </c>
      <c r="C345" s="30">
        <f>(Table26[[#This Row],[M2 Money Stock, Billions of Dollars, Monthly, Seasonally Adjusted]]-B344)/B344</f>
        <v/>
      </c>
      <c r="D345" s="31">
        <f>((1+Table26[[#This Row],[Monthly change]])^12)-1</f>
        <v/>
      </c>
    </row>
    <row r="346">
      <c r="A346" s="33" t="n">
        <v>31898</v>
      </c>
      <c r="B346" s="53">
        <f>VLOOKUP(Table26[[#This Row],[Date]],'DB Money Supply'!$A:$E,5)</f>
        <v/>
      </c>
      <c r="C346" s="30">
        <f>(Table26[[#This Row],[M2 Money Stock, Billions of Dollars, Monthly, Seasonally Adjusted]]-B345)/B345</f>
        <v/>
      </c>
      <c r="D346" s="31">
        <f>((1+Table26[[#This Row],[Monthly change]])^12)-1</f>
        <v/>
      </c>
    </row>
    <row r="347">
      <c r="A347" s="51" t="n">
        <v>31929</v>
      </c>
      <c r="B347" s="53">
        <f>VLOOKUP(Table26[[#This Row],[Date]],'DB Money Supply'!$A:$E,5)</f>
        <v/>
      </c>
      <c r="C347" s="30">
        <f>(Table26[[#This Row],[M2 Money Stock, Billions of Dollars, Monthly, Seasonally Adjusted]]-B346)/B346</f>
        <v/>
      </c>
      <c r="D347" s="31">
        <f>((1+Table26[[#This Row],[Monthly change]])^12)-1</f>
        <v/>
      </c>
    </row>
    <row r="348">
      <c r="A348" s="51" t="n">
        <v>31959</v>
      </c>
      <c r="B348" s="53">
        <f>VLOOKUP(Table26[[#This Row],[Date]],'DB Money Supply'!$A:$E,5)</f>
        <v/>
      </c>
      <c r="C348" s="30">
        <f>(Table26[[#This Row],[M2 Money Stock, Billions of Dollars, Monthly, Seasonally Adjusted]]-B347)/B347</f>
        <v/>
      </c>
      <c r="D348" s="31">
        <f>((1+Table26[[#This Row],[Monthly change]])^12)-1</f>
        <v/>
      </c>
    </row>
    <row r="349">
      <c r="A349" s="33" t="n">
        <v>31990</v>
      </c>
      <c r="B349" s="53">
        <f>VLOOKUP(Table26[[#This Row],[Date]],'DB Money Supply'!$A:$E,5)</f>
        <v/>
      </c>
      <c r="C349" s="30">
        <f>(Table26[[#This Row],[M2 Money Stock, Billions of Dollars, Monthly, Seasonally Adjusted]]-B348)/B348</f>
        <v/>
      </c>
      <c r="D349" s="31">
        <f>((1+Table26[[#This Row],[Monthly change]])^12)-1</f>
        <v/>
      </c>
    </row>
    <row r="350">
      <c r="A350" s="51" t="n">
        <v>32021</v>
      </c>
      <c r="B350" s="53">
        <f>VLOOKUP(Table26[[#This Row],[Date]],'DB Money Supply'!$A:$E,5)</f>
        <v/>
      </c>
      <c r="C350" s="30">
        <f>(Table26[[#This Row],[M2 Money Stock, Billions of Dollars, Monthly, Seasonally Adjusted]]-B349)/B349</f>
        <v/>
      </c>
      <c r="D350" s="31">
        <f>((1+Table26[[#This Row],[Monthly change]])^12)-1</f>
        <v/>
      </c>
    </row>
    <row r="351">
      <c r="A351" s="33" t="n">
        <v>32051</v>
      </c>
      <c r="B351" s="53">
        <f>VLOOKUP(Table26[[#This Row],[Date]],'DB Money Supply'!$A:$E,5)</f>
        <v/>
      </c>
      <c r="C351" s="30">
        <f>(Table26[[#This Row],[M2 Money Stock, Billions of Dollars, Monthly, Seasonally Adjusted]]-B350)/B350</f>
        <v/>
      </c>
      <c r="D351" s="31">
        <f>((1+Table26[[#This Row],[Monthly change]])^12)-1</f>
        <v/>
      </c>
    </row>
    <row r="352">
      <c r="A352" s="51" t="n">
        <v>32082</v>
      </c>
      <c r="B352" s="53">
        <f>VLOOKUP(Table26[[#This Row],[Date]],'DB Money Supply'!$A:$E,5)</f>
        <v/>
      </c>
      <c r="C352" s="30">
        <f>(Table26[[#This Row],[M2 Money Stock, Billions of Dollars, Monthly, Seasonally Adjusted]]-B351)/B351</f>
        <v/>
      </c>
      <c r="D352" s="31">
        <f>((1+Table26[[#This Row],[Monthly change]])^12)-1</f>
        <v/>
      </c>
    </row>
    <row r="353">
      <c r="A353" s="33" t="n">
        <v>32112</v>
      </c>
      <c r="B353" s="53">
        <f>VLOOKUP(Table26[[#This Row],[Date]],'DB Money Supply'!$A:$E,5)</f>
        <v/>
      </c>
      <c r="C353" s="30">
        <f>(Table26[[#This Row],[M2 Money Stock, Billions of Dollars, Monthly, Seasonally Adjusted]]-B352)/B352</f>
        <v/>
      </c>
      <c r="D353" s="31">
        <f>((1+Table26[[#This Row],[Monthly change]])^12)-1</f>
        <v/>
      </c>
    </row>
    <row r="354">
      <c r="A354" s="51" t="n">
        <v>32143</v>
      </c>
      <c r="B354" s="53">
        <f>VLOOKUP(Table26[[#This Row],[Date]],'DB Money Supply'!$A:$E,5)</f>
        <v/>
      </c>
      <c r="C354" s="30">
        <f>(Table26[[#This Row],[M2 Money Stock, Billions of Dollars, Monthly, Seasonally Adjusted]]-B353)/B353</f>
        <v/>
      </c>
      <c r="D354" s="31">
        <f>((1+Table26[[#This Row],[Monthly change]])^12)-1</f>
        <v/>
      </c>
    </row>
    <row r="355">
      <c r="A355" s="33" t="n">
        <v>32174</v>
      </c>
      <c r="B355" s="53">
        <f>VLOOKUP(Table26[[#This Row],[Date]],'DB Money Supply'!$A:$E,5)</f>
        <v/>
      </c>
      <c r="C355" s="30">
        <f>(Table26[[#This Row],[M2 Money Stock, Billions of Dollars, Monthly, Seasonally Adjusted]]-B354)/B354</f>
        <v/>
      </c>
      <c r="D355" s="31">
        <f>((1+Table26[[#This Row],[Monthly change]])^12)-1</f>
        <v/>
      </c>
    </row>
    <row r="356">
      <c r="A356" s="51" t="n">
        <v>32203</v>
      </c>
      <c r="B356" s="53">
        <f>VLOOKUP(Table26[[#This Row],[Date]],'DB Money Supply'!$A:$E,5)</f>
        <v/>
      </c>
      <c r="C356" s="30">
        <f>(Table26[[#This Row],[M2 Money Stock, Billions of Dollars, Monthly, Seasonally Adjusted]]-B355)/B355</f>
        <v/>
      </c>
      <c r="D356" s="31">
        <f>((1+Table26[[#This Row],[Monthly change]])^12)-1</f>
        <v/>
      </c>
    </row>
    <row r="357">
      <c r="A357" s="33" t="n">
        <v>32234</v>
      </c>
      <c r="B357" s="53">
        <f>VLOOKUP(Table26[[#This Row],[Date]],'DB Money Supply'!$A:$E,5)</f>
        <v/>
      </c>
      <c r="C357" s="30">
        <f>(Table26[[#This Row],[M2 Money Stock, Billions of Dollars, Monthly, Seasonally Adjusted]]-B356)/B356</f>
        <v/>
      </c>
      <c r="D357" s="31">
        <f>((1+Table26[[#This Row],[Monthly change]])^12)-1</f>
        <v/>
      </c>
    </row>
    <row r="358">
      <c r="A358" s="51" t="n">
        <v>32264</v>
      </c>
      <c r="B358" s="53">
        <f>VLOOKUP(Table26[[#This Row],[Date]],'DB Money Supply'!$A:$E,5)</f>
        <v/>
      </c>
      <c r="C358" s="30">
        <f>(Table26[[#This Row],[M2 Money Stock, Billions of Dollars, Monthly, Seasonally Adjusted]]-B357)/B357</f>
        <v/>
      </c>
      <c r="D358" s="31">
        <f>((1+Table26[[#This Row],[Monthly change]])^12)-1</f>
        <v/>
      </c>
    </row>
    <row r="359">
      <c r="A359" s="33" t="n">
        <v>32295</v>
      </c>
      <c r="B359" s="53">
        <f>VLOOKUP(Table26[[#This Row],[Date]],'DB Money Supply'!$A:$E,5)</f>
        <v/>
      </c>
      <c r="C359" s="30">
        <f>(Table26[[#This Row],[M2 Money Stock, Billions of Dollars, Monthly, Seasonally Adjusted]]-B358)/B358</f>
        <v/>
      </c>
      <c r="D359" s="31">
        <f>((1+Table26[[#This Row],[Monthly change]])^12)-1</f>
        <v/>
      </c>
    </row>
    <row r="360">
      <c r="A360" s="51" t="n">
        <v>32325</v>
      </c>
      <c r="B360" s="53">
        <f>VLOOKUP(Table26[[#This Row],[Date]],'DB Money Supply'!$A:$E,5)</f>
        <v/>
      </c>
      <c r="C360" s="30">
        <f>(Table26[[#This Row],[M2 Money Stock, Billions of Dollars, Monthly, Seasonally Adjusted]]-B359)/B359</f>
        <v/>
      </c>
      <c r="D360" s="31">
        <f>((1+Table26[[#This Row],[Monthly change]])^12)-1</f>
        <v/>
      </c>
    </row>
    <row r="361">
      <c r="A361" s="33" t="n">
        <v>32356</v>
      </c>
      <c r="B361" s="53">
        <f>VLOOKUP(Table26[[#This Row],[Date]],'DB Money Supply'!$A:$E,5)</f>
        <v/>
      </c>
      <c r="C361" s="30">
        <f>(Table26[[#This Row],[M2 Money Stock, Billions of Dollars, Monthly, Seasonally Adjusted]]-B360)/B360</f>
        <v/>
      </c>
      <c r="D361" s="31">
        <f>((1+Table26[[#This Row],[Monthly change]])^12)-1</f>
        <v/>
      </c>
    </row>
    <row r="362">
      <c r="A362" s="51" t="n">
        <v>32387</v>
      </c>
      <c r="B362" s="53">
        <f>VLOOKUP(Table26[[#This Row],[Date]],'DB Money Supply'!$A:$E,5)</f>
        <v/>
      </c>
      <c r="C362" s="30">
        <f>(Table26[[#This Row],[M2 Money Stock, Billions of Dollars, Monthly, Seasonally Adjusted]]-B361)/B361</f>
        <v/>
      </c>
      <c r="D362" s="31">
        <f>((1+Table26[[#This Row],[Monthly change]])^12)-1</f>
        <v/>
      </c>
    </row>
    <row r="363">
      <c r="A363" s="33" t="n">
        <v>32417</v>
      </c>
      <c r="B363" s="53">
        <f>VLOOKUP(Table26[[#This Row],[Date]],'DB Money Supply'!$A:$E,5)</f>
        <v/>
      </c>
      <c r="C363" s="30">
        <f>(Table26[[#This Row],[M2 Money Stock, Billions of Dollars, Monthly, Seasonally Adjusted]]-B362)/B362</f>
        <v/>
      </c>
      <c r="D363" s="31">
        <f>((1+Table26[[#This Row],[Monthly change]])^12)-1</f>
        <v/>
      </c>
    </row>
    <row r="364">
      <c r="A364" s="51" t="n">
        <v>32448</v>
      </c>
      <c r="B364" s="53">
        <f>VLOOKUP(Table26[[#This Row],[Date]],'DB Money Supply'!$A:$E,5)</f>
        <v/>
      </c>
      <c r="C364" s="30">
        <f>(Table26[[#This Row],[M2 Money Stock, Billions of Dollars, Monthly, Seasonally Adjusted]]-B363)/B363</f>
        <v/>
      </c>
      <c r="D364" s="31">
        <f>((1+Table26[[#This Row],[Monthly change]])^12)-1</f>
        <v/>
      </c>
    </row>
    <row r="365">
      <c r="A365" s="33" t="n">
        <v>32478</v>
      </c>
      <c r="B365" s="53">
        <f>VLOOKUP(Table26[[#This Row],[Date]],'DB Money Supply'!$A:$E,5)</f>
        <v/>
      </c>
      <c r="C365" s="30">
        <f>(Table26[[#This Row],[M2 Money Stock, Billions of Dollars, Monthly, Seasonally Adjusted]]-B364)/B364</f>
        <v/>
      </c>
      <c r="D365" s="31">
        <f>((1+Table26[[#This Row],[Monthly change]])^12)-1</f>
        <v/>
      </c>
    </row>
    <row r="366">
      <c r="A366" s="51" t="n">
        <v>32509</v>
      </c>
      <c r="B366" s="53">
        <f>VLOOKUP(Table26[[#This Row],[Date]],'DB Money Supply'!$A:$E,5)</f>
        <v/>
      </c>
      <c r="C366" s="30">
        <f>(Table26[[#This Row],[M2 Money Stock, Billions of Dollars, Monthly, Seasonally Adjusted]]-B365)/B365</f>
        <v/>
      </c>
      <c r="D366" s="31">
        <f>((1+Table26[[#This Row],[Monthly change]])^12)-1</f>
        <v/>
      </c>
    </row>
    <row r="367">
      <c r="A367" s="51" t="n">
        <v>32540</v>
      </c>
      <c r="B367" s="53">
        <f>VLOOKUP(Table26[[#This Row],[Date]],'DB Money Supply'!$A:$E,5)</f>
        <v/>
      </c>
      <c r="C367" s="30">
        <f>(Table26[[#This Row],[M2 Money Stock, Billions of Dollars, Monthly, Seasonally Adjusted]]-B366)/B366</f>
        <v/>
      </c>
      <c r="D367" s="31">
        <f>((1+Table26[[#This Row],[Monthly change]])^12)-1</f>
        <v/>
      </c>
    </row>
    <row r="368">
      <c r="A368" s="33" t="n">
        <v>32568</v>
      </c>
      <c r="B368" s="53">
        <f>VLOOKUP(Table26[[#This Row],[Date]],'DB Money Supply'!$A:$E,5)</f>
        <v/>
      </c>
      <c r="C368" s="30">
        <f>(Table26[[#This Row],[M2 Money Stock, Billions of Dollars, Monthly, Seasonally Adjusted]]-B367)/B367</f>
        <v/>
      </c>
      <c r="D368" s="31">
        <f>((1+Table26[[#This Row],[Monthly change]])^12)-1</f>
        <v/>
      </c>
    </row>
    <row r="369">
      <c r="A369" s="51" t="n">
        <v>32599</v>
      </c>
      <c r="B369" s="53">
        <f>VLOOKUP(Table26[[#This Row],[Date]],'DB Money Supply'!$A:$E,5)</f>
        <v/>
      </c>
      <c r="C369" s="30">
        <f>(Table26[[#This Row],[M2 Money Stock, Billions of Dollars, Monthly, Seasonally Adjusted]]-B368)/B368</f>
        <v/>
      </c>
      <c r="D369" s="31">
        <f>((1+Table26[[#This Row],[Monthly change]])^12)-1</f>
        <v/>
      </c>
    </row>
    <row r="370">
      <c r="A370" s="33" t="n">
        <v>32629</v>
      </c>
      <c r="B370" s="53">
        <f>VLOOKUP(Table26[[#This Row],[Date]],'DB Money Supply'!$A:$E,5)</f>
        <v/>
      </c>
      <c r="C370" s="30">
        <f>(Table26[[#This Row],[M2 Money Stock, Billions of Dollars, Monthly, Seasonally Adjusted]]-B369)/B369</f>
        <v/>
      </c>
      <c r="D370" s="31">
        <f>((1+Table26[[#This Row],[Monthly change]])^12)-1</f>
        <v/>
      </c>
    </row>
    <row r="371">
      <c r="A371" s="51" t="n">
        <v>32660</v>
      </c>
      <c r="B371" s="53">
        <f>VLOOKUP(Table26[[#This Row],[Date]],'DB Money Supply'!$A:$E,5)</f>
        <v/>
      </c>
      <c r="C371" s="30">
        <f>(Table26[[#This Row],[M2 Money Stock, Billions of Dollars, Monthly, Seasonally Adjusted]]-B370)/B370</f>
        <v/>
      </c>
      <c r="D371" s="31">
        <f>((1+Table26[[#This Row],[Monthly change]])^12)-1</f>
        <v/>
      </c>
    </row>
    <row r="372">
      <c r="A372" s="33" t="n">
        <v>32690</v>
      </c>
      <c r="B372" s="53">
        <f>VLOOKUP(Table26[[#This Row],[Date]],'DB Money Supply'!$A:$E,5)</f>
        <v/>
      </c>
      <c r="C372" s="30">
        <f>(Table26[[#This Row],[M2 Money Stock, Billions of Dollars, Monthly, Seasonally Adjusted]]-B371)/B371</f>
        <v/>
      </c>
      <c r="D372" s="31">
        <f>((1+Table26[[#This Row],[Monthly change]])^12)-1</f>
        <v/>
      </c>
    </row>
    <row r="373">
      <c r="A373" s="51" t="n">
        <v>32721</v>
      </c>
      <c r="B373" s="53">
        <f>VLOOKUP(Table26[[#This Row],[Date]],'DB Money Supply'!$A:$E,5)</f>
        <v/>
      </c>
      <c r="C373" s="30">
        <f>(Table26[[#This Row],[M2 Money Stock, Billions of Dollars, Monthly, Seasonally Adjusted]]-B372)/B372</f>
        <v/>
      </c>
      <c r="D373" s="31">
        <f>((1+Table26[[#This Row],[Monthly change]])^12)-1</f>
        <v/>
      </c>
    </row>
    <row r="374">
      <c r="A374" s="33" t="n">
        <v>32752</v>
      </c>
      <c r="B374" s="53">
        <f>VLOOKUP(Table26[[#This Row],[Date]],'DB Money Supply'!$A:$E,5)</f>
        <v/>
      </c>
      <c r="C374" s="30">
        <f>(Table26[[#This Row],[M2 Money Stock, Billions of Dollars, Monthly, Seasonally Adjusted]]-B373)/B373</f>
        <v/>
      </c>
      <c r="D374" s="31">
        <f>((1+Table26[[#This Row],[Monthly change]])^12)-1</f>
        <v/>
      </c>
    </row>
    <row r="375">
      <c r="A375" s="51" t="n">
        <v>32782</v>
      </c>
      <c r="B375" s="53">
        <f>VLOOKUP(Table26[[#This Row],[Date]],'DB Money Supply'!$A:$E,5)</f>
        <v/>
      </c>
      <c r="C375" s="30">
        <f>(Table26[[#This Row],[M2 Money Stock, Billions of Dollars, Monthly, Seasonally Adjusted]]-B374)/B374</f>
        <v/>
      </c>
      <c r="D375" s="31">
        <f>((1+Table26[[#This Row],[Monthly change]])^12)-1</f>
        <v/>
      </c>
    </row>
    <row r="376">
      <c r="A376" s="33" t="n">
        <v>32813</v>
      </c>
      <c r="B376" s="53">
        <f>VLOOKUP(Table26[[#This Row],[Date]],'DB Money Supply'!$A:$E,5)</f>
        <v/>
      </c>
      <c r="C376" s="30">
        <f>(Table26[[#This Row],[M2 Money Stock, Billions of Dollars, Monthly, Seasonally Adjusted]]-B375)/B375</f>
        <v/>
      </c>
      <c r="D376" s="31">
        <f>((1+Table26[[#This Row],[Monthly change]])^12)-1</f>
        <v/>
      </c>
    </row>
    <row r="377">
      <c r="A377" s="51" t="n">
        <v>32843</v>
      </c>
      <c r="B377" s="53">
        <f>VLOOKUP(Table26[[#This Row],[Date]],'DB Money Supply'!$A:$E,5)</f>
        <v/>
      </c>
      <c r="C377" s="30">
        <f>(Table26[[#This Row],[M2 Money Stock, Billions of Dollars, Monthly, Seasonally Adjusted]]-B376)/B376</f>
        <v/>
      </c>
      <c r="D377" s="31">
        <f>((1+Table26[[#This Row],[Monthly change]])^12)-1</f>
        <v/>
      </c>
    </row>
    <row r="378">
      <c r="A378" s="33" t="n">
        <v>32874</v>
      </c>
      <c r="B378" s="53">
        <f>VLOOKUP(Table26[[#This Row],[Date]],'DB Money Supply'!$A:$E,5)</f>
        <v/>
      </c>
      <c r="C378" s="30">
        <f>(Table26[[#This Row],[M2 Money Stock, Billions of Dollars, Monthly, Seasonally Adjusted]]-B377)/B377</f>
        <v/>
      </c>
      <c r="D378" s="31">
        <f>((1+Table26[[#This Row],[Monthly change]])^12)-1</f>
        <v/>
      </c>
    </row>
    <row r="379">
      <c r="A379" s="51" t="n">
        <v>32905</v>
      </c>
      <c r="B379" s="53">
        <f>VLOOKUP(Table26[[#This Row],[Date]],'DB Money Supply'!$A:$E,5)</f>
        <v/>
      </c>
      <c r="C379" s="30">
        <f>(Table26[[#This Row],[M2 Money Stock, Billions of Dollars, Monthly, Seasonally Adjusted]]-B378)/B378</f>
        <v/>
      </c>
      <c r="D379" s="31">
        <f>((1+Table26[[#This Row],[Monthly change]])^12)-1</f>
        <v/>
      </c>
    </row>
    <row r="380">
      <c r="A380" s="33" t="n">
        <v>32933</v>
      </c>
      <c r="B380" s="53">
        <f>VLOOKUP(Table26[[#This Row],[Date]],'DB Money Supply'!$A:$E,5)</f>
        <v/>
      </c>
      <c r="C380" s="30">
        <f>(Table26[[#This Row],[M2 Money Stock, Billions of Dollars, Monthly, Seasonally Adjusted]]-B379)/B379</f>
        <v/>
      </c>
      <c r="D380" s="31">
        <f>((1+Table26[[#This Row],[Monthly change]])^12)-1</f>
        <v/>
      </c>
    </row>
    <row r="381">
      <c r="A381" s="51" t="n">
        <v>32964</v>
      </c>
      <c r="B381" s="53">
        <f>VLOOKUP(Table26[[#This Row],[Date]],'DB Money Supply'!$A:$E,5)</f>
        <v/>
      </c>
      <c r="C381" s="30">
        <f>(Table26[[#This Row],[M2 Money Stock, Billions of Dollars, Monthly, Seasonally Adjusted]]-B380)/B380</f>
        <v/>
      </c>
      <c r="D381" s="31">
        <f>((1+Table26[[#This Row],[Monthly change]])^12)-1</f>
        <v/>
      </c>
    </row>
    <row r="382">
      <c r="A382" s="33" t="n">
        <v>32994</v>
      </c>
      <c r="B382" s="53">
        <f>VLOOKUP(Table26[[#This Row],[Date]],'DB Money Supply'!$A:$E,5)</f>
        <v/>
      </c>
      <c r="C382" s="30">
        <f>(Table26[[#This Row],[M2 Money Stock, Billions of Dollars, Monthly, Seasonally Adjusted]]-B381)/B381</f>
        <v/>
      </c>
      <c r="D382" s="31">
        <f>((1+Table26[[#This Row],[Monthly change]])^12)-1</f>
        <v/>
      </c>
    </row>
    <row r="383">
      <c r="A383" s="51" t="n">
        <v>33025</v>
      </c>
      <c r="B383" s="53">
        <f>VLOOKUP(Table26[[#This Row],[Date]],'DB Money Supply'!$A:$E,5)</f>
        <v/>
      </c>
      <c r="C383" s="30">
        <f>(Table26[[#This Row],[M2 Money Stock, Billions of Dollars, Monthly, Seasonally Adjusted]]-B382)/B382</f>
        <v/>
      </c>
      <c r="D383" s="31">
        <f>((1+Table26[[#This Row],[Monthly change]])^12)-1</f>
        <v/>
      </c>
    </row>
    <row r="384">
      <c r="A384" s="33" t="n">
        <v>33055</v>
      </c>
      <c r="B384" s="53">
        <f>VLOOKUP(Table26[[#This Row],[Date]],'DB Money Supply'!$A:$E,5)</f>
        <v/>
      </c>
      <c r="C384" s="30">
        <f>(Table26[[#This Row],[M2 Money Stock, Billions of Dollars, Monthly, Seasonally Adjusted]]-B383)/B383</f>
        <v/>
      </c>
      <c r="D384" s="31">
        <f>((1+Table26[[#This Row],[Monthly change]])^12)-1</f>
        <v/>
      </c>
    </row>
    <row r="385">
      <c r="A385" s="51" t="n">
        <v>33086</v>
      </c>
      <c r="B385" s="53">
        <f>VLOOKUP(Table26[[#This Row],[Date]],'DB Money Supply'!$A:$E,5)</f>
        <v/>
      </c>
      <c r="C385" s="30">
        <f>(Table26[[#This Row],[M2 Money Stock, Billions of Dollars, Monthly, Seasonally Adjusted]]-B384)/B384</f>
        <v/>
      </c>
      <c r="D385" s="31">
        <f>((1+Table26[[#This Row],[Monthly change]])^12)-1</f>
        <v/>
      </c>
    </row>
    <row r="386">
      <c r="A386" s="51" t="n">
        <v>33117</v>
      </c>
      <c r="B386" s="53">
        <f>VLOOKUP(Table26[[#This Row],[Date]],'DB Money Supply'!$A:$E,5)</f>
        <v/>
      </c>
      <c r="C386" s="30">
        <f>(Table26[[#This Row],[M2 Money Stock, Billions of Dollars, Monthly, Seasonally Adjusted]]-B385)/B385</f>
        <v/>
      </c>
      <c r="D386" s="31">
        <f>((1+Table26[[#This Row],[Monthly change]])^12)-1</f>
        <v/>
      </c>
    </row>
    <row r="387">
      <c r="A387" s="33" t="n">
        <v>33147</v>
      </c>
      <c r="B387" s="53">
        <f>VLOOKUP(Table26[[#This Row],[Date]],'DB Money Supply'!$A:$E,5)</f>
        <v/>
      </c>
      <c r="C387" s="30">
        <f>(Table26[[#This Row],[M2 Money Stock, Billions of Dollars, Monthly, Seasonally Adjusted]]-B386)/B386</f>
        <v/>
      </c>
      <c r="D387" s="31">
        <f>((1+Table26[[#This Row],[Monthly change]])^12)-1</f>
        <v/>
      </c>
    </row>
    <row r="388">
      <c r="A388" s="51" t="n">
        <v>33178</v>
      </c>
      <c r="B388" s="53">
        <f>VLOOKUP(Table26[[#This Row],[Date]],'DB Money Supply'!$A:$E,5)</f>
        <v/>
      </c>
      <c r="C388" s="30">
        <f>(Table26[[#This Row],[M2 Money Stock, Billions of Dollars, Monthly, Seasonally Adjusted]]-B387)/B387</f>
        <v/>
      </c>
      <c r="D388" s="31">
        <f>((1+Table26[[#This Row],[Monthly change]])^12)-1</f>
        <v/>
      </c>
    </row>
    <row r="389">
      <c r="A389" s="33" t="n">
        <v>33208</v>
      </c>
      <c r="B389" s="53">
        <f>VLOOKUP(Table26[[#This Row],[Date]],'DB Money Supply'!$A:$E,5)</f>
        <v/>
      </c>
      <c r="C389" s="30">
        <f>(Table26[[#This Row],[M2 Money Stock, Billions of Dollars, Monthly, Seasonally Adjusted]]-B388)/B388</f>
        <v/>
      </c>
      <c r="D389" s="31">
        <f>((1+Table26[[#This Row],[Monthly change]])^12)-1</f>
        <v/>
      </c>
    </row>
    <row r="390">
      <c r="A390" s="51" t="n">
        <v>33239</v>
      </c>
      <c r="B390" s="53">
        <f>VLOOKUP(Table26[[#This Row],[Date]],'DB Money Supply'!$A:$E,5)</f>
        <v/>
      </c>
      <c r="C390" s="30">
        <f>(Table26[[#This Row],[M2 Money Stock, Billions of Dollars, Monthly, Seasonally Adjusted]]-B389)/B389</f>
        <v/>
      </c>
      <c r="D390" s="31">
        <f>((1+Table26[[#This Row],[Monthly change]])^12)-1</f>
        <v/>
      </c>
    </row>
    <row r="391">
      <c r="A391" s="33" t="n">
        <v>33270</v>
      </c>
      <c r="B391" s="53">
        <f>VLOOKUP(Table26[[#This Row],[Date]],'DB Money Supply'!$A:$E,5)</f>
        <v/>
      </c>
      <c r="C391" s="30">
        <f>(Table26[[#This Row],[M2 Money Stock, Billions of Dollars, Monthly, Seasonally Adjusted]]-B390)/B390</f>
        <v/>
      </c>
      <c r="D391" s="31">
        <f>((1+Table26[[#This Row],[Monthly change]])^12)-1</f>
        <v/>
      </c>
    </row>
    <row r="392">
      <c r="A392" s="51" t="n">
        <v>33298</v>
      </c>
      <c r="B392" s="53">
        <f>VLOOKUP(Table26[[#This Row],[Date]],'DB Money Supply'!$A:$E,5)</f>
        <v/>
      </c>
      <c r="C392" s="30">
        <f>(Table26[[#This Row],[M2 Money Stock, Billions of Dollars, Monthly, Seasonally Adjusted]]-B391)/B391</f>
        <v/>
      </c>
      <c r="D392" s="31">
        <f>((1+Table26[[#This Row],[Monthly change]])^12)-1</f>
        <v/>
      </c>
    </row>
    <row r="393">
      <c r="A393" s="33" t="n">
        <v>33329</v>
      </c>
      <c r="B393" s="53">
        <f>VLOOKUP(Table26[[#This Row],[Date]],'DB Money Supply'!$A:$E,5)</f>
        <v/>
      </c>
      <c r="C393" s="30">
        <f>(Table26[[#This Row],[M2 Money Stock, Billions of Dollars, Monthly, Seasonally Adjusted]]-B392)/B392</f>
        <v/>
      </c>
      <c r="D393" s="31">
        <f>((1+Table26[[#This Row],[Monthly change]])^12)-1</f>
        <v/>
      </c>
    </row>
    <row r="394">
      <c r="A394" s="51" t="n">
        <v>33359</v>
      </c>
      <c r="B394" s="53">
        <f>VLOOKUP(Table26[[#This Row],[Date]],'DB Money Supply'!$A:$E,5)</f>
        <v/>
      </c>
      <c r="C394" s="30">
        <f>(Table26[[#This Row],[M2 Money Stock, Billions of Dollars, Monthly, Seasonally Adjusted]]-B393)/B393</f>
        <v/>
      </c>
      <c r="D394" s="31">
        <f>((1+Table26[[#This Row],[Monthly change]])^12)-1</f>
        <v/>
      </c>
    </row>
    <row r="395">
      <c r="A395" s="33" t="n">
        <v>33390</v>
      </c>
      <c r="B395" s="53">
        <f>VLOOKUP(Table26[[#This Row],[Date]],'DB Money Supply'!$A:$E,5)</f>
        <v/>
      </c>
      <c r="C395" s="30">
        <f>(Table26[[#This Row],[M2 Money Stock, Billions of Dollars, Monthly, Seasonally Adjusted]]-B394)/B394</f>
        <v/>
      </c>
      <c r="D395" s="31">
        <f>((1+Table26[[#This Row],[Monthly change]])^12)-1</f>
        <v/>
      </c>
    </row>
    <row r="396">
      <c r="A396" s="51" t="n">
        <v>33420</v>
      </c>
      <c r="B396" s="53">
        <f>VLOOKUP(Table26[[#This Row],[Date]],'DB Money Supply'!$A:$E,5)</f>
        <v/>
      </c>
      <c r="C396" s="30">
        <f>(Table26[[#This Row],[M2 Money Stock, Billions of Dollars, Monthly, Seasonally Adjusted]]-B395)/B395</f>
        <v/>
      </c>
      <c r="D396" s="31">
        <f>((1+Table26[[#This Row],[Monthly change]])^12)-1</f>
        <v/>
      </c>
    </row>
    <row r="397">
      <c r="A397" s="33" t="n">
        <v>33451</v>
      </c>
      <c r="B397" s="53">
        <f>VLOOKUP(Table26[[#This Row],[Date]],'DB Money Supply'!$A:$E,5)</f>
        <v/>
      </c>
      <c r="C397" s="30">
        <f>(Table26[[#This Row],[M2 Money Stock, Billions of Dollars, Monthly, Seasonally Adjusted]]-B396)/B396</f>
        <v/>
      </c>
      <c r="D397" s="31">
        <f>((1+Table26[[#This Row],[Monthly change]])^12)-1</f>
        <v/>
      </c>
    </row>
    <row r="398">
      <c r="A398" s="51" t="n">
        <v>33482</v>
      </c>
      <c r="B398" s="53">
        <f>VLOOKUP(Table26[[#This Row],[Date]],'DB Money Supply'!$A:$E,5)</f>
        <v/>
      </c>
      <c r="C398" s="30">
        <f>(Table26[[#This Row],[M2 Money Stock, Billions of Dollars, Monthly, Seasonally Adjusted]]-B397)/B397</f>
        <v/>
      </c>
      <c r="D398" s="31">
        <f>((1+Table26[[#This Row],[Monthly change]])^12)-1</f>
        <v/>
      </c>
    </row>
    <row r="399">
      <c r="A399" s="33" t="n">
        <v>33512</v>
      </c>
      <c r="B399" s="53">
        <f>VLOOKUP(Table26[[#This Row],[Date]],'DB Money Supply'!$A:$E,5)</f>
        <v/>
      </c>
      <c r="C399" s="30">
        <f>(Table26[[#This Row],[M2 Money Stock, Billions of Dollars, Monthly, Seasonally Adjusted]]-B398)/B398</f>
        <v/>
      </c>
      <c r="D399" s="31">
        <f>((1+Table26[[#This Row],[Monthly change]])^12)-1</f>
        <v/>
      </c>
    </row>
    <row r="400">
      <c r="A400" s="51" t="n">
        <v>33543</v>
      </c>
      <c r="B400" s="53">
        <f>VLOOKUP(Table26[[#This Row],[Date]],'DB Money Supply'!$A:$E,5)</f>
        <v/>
      </c>
      <c r="C400" s="30">
        <f>(Table26[[#This Row],[M2 Money Stock, Billions of Dollars, Monthly, Seasonally Adjusted]]-B399)/B399</f>
        <v/>
      </c>
      <c r="D400" s="31">
        <f>((1+Table26[[#This Row],[Monthly change]])^12)-1</f>
        <v/>
      </c>
    </row>
    <row r="401">
      <c r="A401" s="33" t="n">
        <v>33573</v>
      </c>
      <c r="B401" s="53">
        <f>VLOOKUP(Table26[[#This Row],[Date]],'DB Money Supply'!$A:$E,5)</f>
        <v/>
      </c>
      <c r="C401" s="30">
        <f>(Table26[[#This Row],[M2 Money Stock, Billions of Dollars, Monthly, Seasonally Adjusted]]-B400)/B400</f>
        <v/>
      </c>
      <c r="D401" s="31">
        <f>((1+Table26[[#This Row],[Monthly change]])^12)-1</f>
        <v/>
      </c>
    </row>
    <row r="402">
      <c r="A402" s="51" t="n">
        <v>33604</v>
      </c>
      <c r="B402" s="53">
        <f>VLOOKUP(Table26[[#This Row],[Date]],'DB Money Supply'!$A:$E,5)</f>
        <v/>
      </c>
      <c r="C402" s="30">
        <f>(Table26[[#This Row],[M2 Money Stock, Billions of Dollars, Monthly, Seasonally Adjusted]]-B401)/B401</f>
        <v/>
      </c>
      <c r="D402" s="31">
        <f>((1+Table26[[#This Row],[Monthly change]])^12)-1</f>
        <v/>
      </c>
    </row>
    <row r="403">
      <c r="A403" s="33" t="n">
        <v>33635</v>
      </c>
      <c r="B403" s="53">
        <f>VLOOKUP(Table26[[#This Row],[Date]],'DB Money Supply'!$A:$E,5)</f>
        <v/>
      </c>
      <c r="C403" s="30">
        <f>(Table26[[#This Row],[M2 Money Stock, Billions of Dollars, Monthly, Seasonally Adjusted]]-B402)/B402</f>
        <v/>
      </c>
      <c r="D403" s="31">
        <f>((1+Table26[[#This Row],[Monthly change]])^12)-1</f>
        <v/>
      </c>
    </row>
    <row r="404">
      <c r="A404" s="51" t="n">
        <v>33664</v>
      </c>
      <c r="B404" s="53">
        <f>VLOOKUP(Table26[[#This Row],[Date]],'DB Money Supply'!$A:$E,5)</f>
        <v/>
      </c>
      <c r="C404" s="30">
        <f>(Table26[[#This Row],[M2 Money Stock, Billions of Dollars, Monthly, Seasonally Adjusted]]-B403)/B403</f>
        <v/>
      </c>
      <c r="D404" s="31">
        <f>((1+Table26[[#This Row],[Monthly change]])^12)-1</f>
        <v/>
      </c>
    </row>
    <row r="405">
      <c r="A405" s="51" t="n">
        <v>33695</v>
      </c>
      <c r="B405" s="53">
        <f>VLOOKUP(Table26[[#This Row],[Date]],'DB Money Supply'!$A:$E,5)</f>
        <v/>
      </c>
      <c r="C405" s="30">
        <f>(Table26[[#This Row],[M2 Money Stock, Billions of Dollars, Monthly, Seasonally Adjusted]]-B404)/B404</f>
        <v/>
      </c>
      <c r="D405" s="31">
        <f>((1+Table26[[#This Row],[Monthly change]])^12)-1</f>
        <v/>
      </c>
    </row>
    <row r="406">
      <c r="A406" s="33" t="n">
        <v>33725</v>
      </c>
      <c r="B406" s="53">
        <f>VLOOKUP(Table26[[#This Row],[Date]],'DB Money Supply'!$A:$E,5)</f>
        <v/>
      </c>
      <c r="C406" s="30">
        <f>(Table26[[#This Row],[M2 Money Stock, Billions of Dollars, Monthly, Seasonally Adjusted]]-B405)/B405</f>
        <v/>
      </c>
      <c r="D406" s="31">
        <f>((1+Table26[[#This Row],[Monthly change]])^12)-1</f>
        <v/>
      </c>
    </row>
    <row r="407">
      <c r="A407" s="51" t="n">
        <v>33756</v>
      </c>
      <c r="B407" s="53">
        <f>VLOOKUP(Table26[[#This Row],[Date]],'DB Money Supply'!$A:$E,5)</f>
        <v/>
      </c>
      <c r="C407" s="30">
        <f>(Table26[[#This Row],[M2 Money Stock, Billions of Dollars, Monthly, Seasonally Adjusted]]-B406)/B406</f>
        <v/>
      </c>
      <c r="D407" s="31">
        <f>((1+Table26[[#This Row],[Monthly change]])^12)-1</f>
        <v/>
      </c>
    </row>
    <row r="408">
      <c r="A408" s="33" t="n">
        <v>33786</v>
      </c>
      <c r="B408" s="53">
        <f>VLOOKUP(Table26[[#This Row],[Date]],'DB Money Supply'!$A:$E,5)</f>
        <v/>
      </c>
      <c r="C408" s="30">
        <f>(Table26[[#This Row],[M2 Money Stock, Billions of Dollars, Monthly, Seasonally Adjusted]]-B407)/B407</f>
        <v/>
      </c>
      <c r="D408" s="31">
        <f>((1+Table26[[#This Row],[Monthly change]])^12)-1</f>
        <v/>
      </c>
    </row>
    <row r="409">
      <c r="A409" s="51" t="n">
        <v>33817</v>
      </c>
      <c r="B409" s="53">
        <f>VLOOKUP(Table26[[#This Row],[Date]],'DB Money Supply'!$A:$E,5)</f>
        <v/>
      </c>
      <c r="C409" s="30">
        <f>(Table26[[#This Row],[M2 Money Stock, Billions of Dollars, Monthly, Seasonally Adjusted]]-B408)/B408</f>
        <v/>
      </c>
      <c r="D409" s="31">
        <f>((1+Table26[[#This Row],[Monthly change]])^12)-1</f>
        <v/>
      </c>
    </row>
    <row r="410">
      <c r="A410" s="33" t="n">
        <v>33848</v>
      </c>
      <c r="B410" s="53">
        <f>VLOOKUP(Table26[[#This Row],[Date]],'DB Money Supply'!$A:$E,5)</f>
        <v/>
      </c>
      <c r="C410" s="30">
        <f>(Table26[[#This Row],[M2 Money Stock, Billions of Dollars, Monthly, Seasonally Adjusted]]-B409)/B409</f>
        <v/>
      </c>
      <c r="D410" s="31">
        <f>((1+Table26[[#This Row],[Monthly change]])^12)-1</f>
        <v/>
      </c>
    </row>
    <row r="411">
      <c r="A411" s="51" t="n">
        <v>33878</v>
      </c>
      <c r="B411" s="53">
        <f>VLOOKUP(Table26[[#This Row],[Date]],'DB Money Supply'!$A:$E,5)</f>
        <v/>
      </c>
      <c r="C411" s="30">
        <f>(Table26[[#This Row],[M2 Money Stock, Billions of Dollars, Monthly, Seasonally Adjusted]]-B410)/B410</f>
        <v/>
      </c>
      <c r="D411" s="31">
        <f>((1+Table26[[#This Row],[Monthly change]])^12)-1</f>
        <v/>
      </c>
    </row>
    <row r="412">
      <c r="A412" s="33" t="n">
        <v>33909</v>
      </c>
      <c r="B412" s="53">
        <f>VLOOKUP(Table26[[#This Row],[Date]],'DB Money Supply'!$A:$E,5)</f>
        <v/>
      </c>
      <c r="C412" s="30">
        <f>(Table26[[#This Row],[M2 Money Stock, Billions of Dollars, Monthly, Seasonally Adjusted]]-B411)/B411</f>
        <v/>
      </c>
      <c r="D412" s="31">
        <f>((1+Table26[[#This Row],[Monthly change]])^12)-1</f>
        <v/>
      </c>
    </row>
    <row r="413">
      <c r="A413" s="51" t="n">
        <v>33939</v>
      </c>
      <c r="B413" s="53">
        <f>VLOOKUP(Table26[[#This Row],[Date]],'DB Money Supply'!$A:$E,5)</f>
        <v/>
      </c>
      <c r="C413" s="30">
        <f>(Table26[[#This Row],[M2 Money Stock, Billions of Dollars, Monthly, Seasonally Adjusted]]-B412)/B412</f>
        <v/>
      </c>
      <c r="D413" s="31">
        <f>((1+Table26[[#This Row],[Monthly change]])^12)-1</f>
        <v/>
      </c>
    </row>
    <row r="414">
      <c r="A414" s="33" t="n">
        <v>33970</v>
      </c>
      <c r="B414" s="53">
        <f>VLOOKUP(Table26[[#This Row],[Date]],'DB Money Supply'!$A:$E,5)</f>
        <v/>
      </c>
      <c r="C414" s="30">
        <f>(Table26[[#This Row],[M2 Money Stock, Billions of Dollars, Monthly, Seasonally Adjusted]]-B413)/B413</f>
        <v/>
      </c>
      <c r="D414" s="31">
        <f>((1+Table26[[#This Row],[Monthly change]])^12)-1</f>
        <v/>
      </c>
    </row>
    <row r="415">
      <c r="A415" s="51" t="n">
        <v>34001</v>
      </c>
      <c r="B415" s="53">
        <f>VLOOKUP(Table26[[#This Row],[Date]],'DB Money Supply'!$A:$E,5)</f>
        <v/>
      </c>
      <c r="C415" s="30">
        <f>(Table26[[#This Row],[M2 Money Stock, Billions of Dollars, Monthly, Seasonally Adjusted]]-B414)/B414</f>
        <v/>
      </c>
      <c r="D415" s="31">
        <f>((1+Table26[[#This Row],[Monthly change]])^12)-1</f>
        <v/>
      </c>
    </row>
    <row r="416">
      <c r="A416" s="33" t="n">
        <v>34029</v>
      </c>
      <c r="B416" s="53">
        <f>VLOOKUP(Table26[[#This Row],[Date]],'DB Money Supply'!$A:$E,5)</f>
        <v/>
      </c>
      <c r="C416" s="30">
        <f>(Table26[[#This Row],[M2 Money Stock, Billions of Dollars, Monthly, Seasonally Adjusted]]-B415)/B415</f>
        <v/>
      </c>
      <c r="D416" s="31">
        <f>((1+Table26[[#This Row],[Monthly change]])^12)-1</f>
        <v/>
      </c>
    </row>
    <row r="417">
      <c r="A417" s="51" t="n">
        <v>34060</v>
      </c>
      <c r="B417" s="53">
        <f>VLOOKUP(Table26[[#This Row],[Date]],'DB Money Supply'!$A:$E,5)</f>
        <v/>
      </c>
      <c r="C417" s="30">
        <f>(Table26[[#This Row],[M2 Money Stock, Billions of Dollars, Monthly, Seasonally Adjusted]]-B416)/B416</f>
        <v/>
      </c>
      <c r="D417" s="31">
        <f>((1+Table26[[#This Row],[Monthly change]])^12)-1</f>
        <v/>
      </c>
    </row>
    <row r="418">
      <c r="A418" s="33" t="n">
        <v>34090</v>
      </c>
      <c r="B418" s="53">
        <f>VLOOKUP(Table26[[#This Row],[Date]],'DB Money Supply'!$A:$E,5)</f>
        <v/>
      </c>
      <c r="C418" s="30">
        <f>(Table26[[#This Row],[M2 Money Stock, Billions of Dollars, Monthly, Seasonally Adjusted]]-B417)/B417</f>
        <v/>
      </c>
      <c r="D418" s="31">
        <f>((1+Table26[[#This Row],[Monthly change]])^12)-1</f>
        <v/>
      </c>
    </row>
    <row r="419">
      <c r="A419" s="51" t="n">
        <v>34121</v>
      </c>
      <c r="B419" s="53">
        <f>VLOOKUP(Table26[[#This Row],[Date]],'DB Money Supply'!$A:$E,5)</f>
        <v/>
      </c>
      <c r="C419" s="30">
        <f>(Table26[[#This Row],[M2 Money Stock, Billions of Dollars, Monthly, Seasonally Adjusted]]-B418)/B418</f>
        <v/>
      </c>
      <c r="D419" s="31">
        <f>((1+Table26[[#This Row],[Monthly change]])^12)-1</f>
        <v/>
      </c>
    </row>
    <row r="420">
      <c r="A420" s="33" t="n">
        <v>34151</v>
      </c>
      <c r="B420" s="53">
        <f>VLOOKUP(Table26[[#This Row],[Date]],'DB Money Supply'!$A:$E,5)</f>
        <v/>
      </c>
      <c r="C420" s="30">
        <f>(Table26[[#This Row],[M2 Money Stock, Billions of Dollars, Monthly, Seasonally Adjusted]]-B419)/B419</f>
        <v/>
      </c>
      <c r="D420" s="31">
        <f>((1+Table26[[#This Row],[Monthly change]])^12)-1</f>
        <v/>
      </c>
    </row>
    <row r="421">
      <c r="A421" s="51" t="n">
        <v>34182</v>
      </c>
      <c r="B421" s="53">
        <f>VLOOKUP(Table26[[#This Row],[Date]],'DB Money Supply'!$A:$E,5)</f>
        <v/>
      </c>
      <c r="C421" s="30">
        <f>(Table26[[#This Row],[M2 Money Stock, Billions of Dollars, Monthly, Seasonally Adjusted]]-B420)/B420</f>
        <v/>
      </c>
      <c r="D421" s="31">
        <f>((1+Table26[[#This Row],[Monthly change]])^12)-1</f>
        <v/>
      </c>
    </row>
    <row r="422">
      <c r="A422" s="33" t="n">
        <v>34213</v>
      </c>
      <c r="B422" s="53">
        <f>VLOOKUP(Table26[[#This Row],[Date]],'DB Money Supply'!$A:$E,5)</f>
        <v/>
      </c>
      <c r="C422" s="30">
        <f>(Table26[[#This Row],[M2 Money Stock, Billions of Dollars, Monthly, Seasonally Adjusted]]-B421)/B421</f>
        <v/>
      </c>
      <c r="D422" s="31">
        <f>((1+Table26[[#This Row],[Monthly change]])^12)-1</f>
        <v/>
      </c>
    </row>
    <row r="423">
      <c r="A423" s="51" t="n">
        <v>34243</v>
      </c>
      <c r="B423" s="53">
        <f>VLOOKUP(Table26[[#This Row],[Date]],'DB Money Supply'!$A:$E,5)</f>
        <v/>
      </c>
      <c r="C423" s="30">
        <f>(Table26[[#This Row],[M2 Money Stock, Billions of Dollars, Monthly, Seasonally Adjusted]]-B422)/B422</f>
        <v/>
      </c>
      <c r="D423" s="31">
        <f>((1+Table26[[#This Row],[Monthly change]])^12)-1</f>
        <v/>
      </c>
    </row>
    <row r="424">
      <c r="A424" s="51" t="n">
        <v>34274</v>
      </c>
      <c r="B424" s="53">
        <f>VLOOKUP(Table26[[#This Row],[Date]],'DB Money Supply'!$A:$E,5)</f>
        <v/>
      </c>
      <c r="C424" s="30">
        <f>(Table26[[#This Row],[M2 Money Stock, Billions of Dollars, Monthly, Seasonally Adjusted]]-B423)/B423</f>
        <v/>
      </c>
      <c r="D424" s="31">
        <f>((1+Table26[[#This Row],[Monthly change]])^12)-1</f>
        <v/>
      </c>
    </row>
    <row r="425">
      <c r="A425" s="33" t="n">
        <v>34304</v>
      </c>
      <c r="B425" s="53">
        <f>VLOOKUP(Table26[[#This Row],[Date]],'DB Money Supply'!$A:$E,5)</f>
        <v/>
      </c>
      <c r="C425" s="30">
        <f>(Table26[[#This Row],[M2 Money Stock, Billions of Dollars, Monthly, Seasonally Adjusted]]-B424)/B424</f>
        <v/>
      </c>
      <c r="D425" s="31">
        <f>((1+Table26[[#This Row],[Monthly change]])^12)-1</f>
        <v/>
      </c>
    </row>
    <row r="426">
      <c r="A426" s="51" t="n">
        <v>34335</v>
      </c>
      <c r="B426" s="53">
        <f>VLOOKUP(Table26[[#This Row],[Date]],'DB Money Supply'!$A:$E,5)</f>
        <v/>
      </c>
      <c r="C426" s="30">
        <f>(Table26[[#This Row],[M2 Money Stock, Billions of Dollars, Monthly, Seasonally Adjusted]]-B425)/B425</f>
        <v/>
      </c>
      <c r="D426" s="31">
        <f>((1+Table26[[#This Row],[Monthly change]])^12)-1</f>
        <v/>
      </c>
    </row>
    <row r="427">
      <c r="A427" s="33" t="n">
        <v>34366</v>
      </c>
      <c r="B427" s="53">
        <f>VLOOKUP(Table26[[#This Row],[Date]],'DB Money Supply'!$A:$E,5)</f>
        <v/>
      </c>
      <c r="C427" s="30">
        <f>(Table26[[#This Row],[M2 Money Stock, Billions of Dollars, Monthly, Seasonally Adjusted]]-B426)/B426</f>
        <v/>
      </c>
      <c r="D427" s="31">
        <f>((1+Table26[[#This Row],[Monthly change]])^12)-1</f>
        <v/>
      </c>
    </row>
    <row r="428">
      <c r="A428" s="51" t="n">
        <v>34394</v>
      </c>
      <c r="B428" s="53">
        <f>VLOOKUP(Table26[[#This Row],[Date]],'DB Money Supply'!$A:$E,5)</f>
        <v/>
      </c>
      <c r="C428" s="30">
        <f>(Table26[[#This Row],[M2 Money Stock, Billions of Dollars, Monthly, Seasonally Adjusted]]-B427)/B427</f>
        <v/>
      </c>
      <c r="D428" s="31">
        <f>((1+Table26[[#This Row],[Monthly change]])^12)-1</f>
        <v/>
      </c>
    </row>
    <row r="429">
      <c r="A429" s="33" t="n">
        <v>34425</v>
      </c>
      <c r="B429" s="53">
        <f>VLOOKUP(Table26[[#This Row],[Date]],'DB Money Supply'!$A:$E,5)</f>
        <v/>
      </c>
      <c r="C429" s="30">
        <f>(Table26[[#This Row],[M2 Money Stock, Billions of Dollars, Monthly, Seasonally Adjusted]]-B428)/B428</f>
        <v/>
      </c>
      <c r="D429" s="31">
        <f>((1+Table26[[#This Row],[Monthly change]])^12)-1</f>
        <v/>
      </c>
    </row>
    <row r="430">
      <c r="A430" s="51" t="n">
        <v>34455</v>
      </c>
      <c r="B430" s="53">
        <f>VLOOKUP(Table26[[#This Row],[Date]],'DB Money Supply'!$A:$E,5)</f>
        <v/>
      </c>
      <c r="C430" s="30">
        <f>(Table26[[#This Row],[M2 Money Stock, Billions of Dollars, Monthly, Seasonally Adjusted]]-B429)/B429</f>
        <v/>
      </c>
      <c r="D430" s="31">
        <f>((1+Table26[[#This Row],[Monthly change]])^12)-1</f>
        <v/>
      </c>
    </row>
    <row r="431">
      <c r="A431" s="33" t="n">
        <v>34486</v>
      </c>
      <c r="B431" s="53">
        <f>VLOOKUP(Table26[[#This Row],[Date]],'DB Money Supply'!$A:$E,5)</f>
        <v/>
      </c>
      <c r="C431" s="30">
        <f>(Table26[[#This Row],[M2 Money Stock, Billions of Dollars, Monthly, Seasonally Adjusted]]-B430)/B430</f>
        <v/>
      </c>
      <c r="D431" s="31">
        <f>((1+Table26[[#This Row],[Monthly change]])^12)-1</f>
        <v/>
      </c>
    </row>
    <row r="432">
      <c r="A432" s="51" t="n">
        <v>34516</v>
      </c>
      <c r="B432" s="53">
        <f>VLOOKUP(Table26[[#This Row],[Date]],'DB Money Supply'!$A:$E,5)</f>
        <v/>
      </c>
      <c r="C432" s="30">
        <f>(Table26[[#This Row],[M2 Money Stock, Billions of Dollars, Monthly, Seasonally Adjusted]]-B431)/B431</f>
        <v/>
      </c>
      <c r="D432" s="31">
        <f>((1+Table26[[#This Row],[Monthly change]])^12)-1</f>
        <v/>
      </c>
    </row>
    <row r="433">
      <c r="A433" s="33" t="n">
        <v>34547</v>
      </c>
      <c r="B433" s="53">
        <f>VLOOKUP(Table26[[#This Row],[Date]],'DB Money Supply'!$A:$E,5)</f>
        <v/>
      </c>
      <c r="C433" s="30">
        <f>(Table26[[#This Row],[M2 Money Stock, Billions of Dollars, Monthly, Seasonally Adjusted]]-B432)/B432</f>
        <v/>
      </c>
      <c r="D433" s="31">
        <f>((1+Table26[[#This Row],[Monthly change]])^12)-1</f>
        <v/>
      </c>
    </row>
    <row r="434">
      <c r="A434" s="51" t="n">
        <v>34578</v>
      </c>
      <c r="B434" s="53">
        <f>VLOOKUP(Table26[[#This Row],[Date]],'DB Money Supply'!$A:$E,5)</f>
        <v/>
      </c>
      <c r="C434" s="30">
        <f>(Table26[[#This Row],[M2 Money Stock, Billions of Dollars, Monthly, Seasonally Adjusted]]-B433)/B433</f>
        <v/>
      </c>
      <c r="D434" s="31">
        <f>((1+Table26[[#This Row],[Monthly change]])^12)-1</f>
        <v/>
      </c>
    </row>
    <row r="435">
      <c r="A435" s="33" t="n">
        <v>34608</v>
      </c>
      <c r="B435" s="53">
        <f>VLOOKUP(Table26[[#This Row],[Date]],'DB Money Supply'!$A:$E,5)</f>
        <v/>
      </c>
      <c r="C435" s="30">
        <f>(Table26[[#This Row],[M2 Money Stock, Billions of Dollars, Monthly, Seasonally Adjusted]]-B434)/B434</f>
        <v/>
      </c>
      <c r="D435" s="31">
        <f>((1+Table26[[#This Row],[Monthly change]])^12)-1</f>
        <v/>
      </c>
    </row>
    <row r="436">
      <c r="A436" s="51" t="n">
        <v>34639</v>
      </c>
      <c r="B436" s="53">
        <f>VLOOKUP(Table26[[#This Row],[Date]],'DB Money Supply'!$A:$E,5)</f>
        <v/>
      </c>
      <c r="C436" s="30">
        <f>(Table26[[#This Row],[M2 Money Stock, Billions of Dollars, Monthly, Seasonally Adjusted]]-B435)/B435</f>
        <v/>
      </c>
      <c r="D436" s="31">
        <f>((1+Table26[[#This Row],[Monthly change]])^12)-1</f>
        <v/>
      </c>
    </row>
    <row r="437">
      <c r="A437" s="33" t="n">
        <v>34669</v>
      </c>
      <c r="B437" s="53">
        <f>VLOOKUP(Table26[[#This Row],[Date]],'DB Money Supply'!$A:$E,5)</f>
        <v/>
      </c>
      <c r="C437" s="30">
        <f>(Table26[[#This Row],[M2 Money Stock, Billions of Dollars, Monthly, Seasonally Adjusted]]-B436)/B436</f>
        <v/>
      </c>
      <c r="D437" s="31">
        <f>((1+Table26[[#This Row],[Monthly change]])^12)-1</f>
        <v/>
      </c>
    </row>
    <row r="438">
      <c r="A438" s="51" t="n">
        <v>34700</v>
      </c>
      <c r="B438" s="53">
        <f>VLOOKUP(Table26[[#This Row],[Date]],'DB Money Supply'!$A:$E,5)</f>
        <v/>
      </c>
      <c r="C438" s="30">
        <f>(Table26[[#This Row],[M2 Money Stock, Billions of Dollars, Monthly, Seasonally Adjusted]]-B437)/B437</f>
        <v/>
      </c>
      <c r="D438" s="31">
        <f>((1+Table26[[#This Row],[Monthly change]])^12)-1</f>
        <v/>
      </c>
    </row>
    <row r="439">
      <c r="A439" s="33" t="n">
        <v>34731</v>
      </c>
      <c r="B439" s="53">
        <f>VLOOKUP(Table26[[#This Row],[Date]],'DB Money Supply'!$A:$E,5)</f>
        <v/>
      </c>
      <c r="C439" s="30">
        <f>(Table26[[#This Row],[M2 Money Stock, Billions of Dollars, Monthly, Seasonally Adjusted]]-B438)/B438</f>
        <v/>
      </c>
      <c r="D439" s="31">
        <f>((1+Table26[[#This Row],[Monthly change]])^12)-1</f>
        <v/>
      </c>
    </row>
    <row r="440">
      <c r="A440" s="51" t="n">
        <v>34759</v>
      </c>
      <c r="B440" s="53">
        <f>VLOOKUP(Table26[[#This Row],[Date]],'DB Money Supply'!$A:$E,5)</f>
        <v/>
      </c>
      <c r="C440" s="30">
        <f>(Table26[[#This Row],[M2 Money Stock, Billions of Dollars, Monthly, Seasonally Adjusted]]-B439)/B439</f>
        <v/>
      </c>
      <c r="D440" s="31">
        <f>((1+Table26[[#This Row],[Monthly change]])^12)-1</f>
        <v/>
      </c>
    </row>
    <row r="441">
      <c r="A441" s="33" t="n">
        <v>34790</v>
      </c>
      <c r="B441" s="53">
        <f>VLOOKUP(Table26[[#This Row],[Date]],'DB Money Supply'!$A:$E,5)</f>
        <v/>
      </c>
      <c r="C441" s="30">
        <f>(Table26[[#This Row],[M2 Money Stock, Billions of Dollars, Monthly, Seasonally Adjusted]]-B440)/B440</f>
        <v/>
      </c>
      <c r="D441" s="31">
        <f>((1+Table26[[#This Row],[Monthly change]])^12)-1</f>
        <v/>
      </c>
    </row>
    <row r="442">
      <c r="A442" s="51" t="n">
        <v>34820</v>
      </c>
      <c r="B442" s="53">
        <f>VLOOKUP(Table26[[#This Row],[Date]],'DB Money Supply'!$A:$E,5)</f>
        <v/>
      </c>
      <c r="C442" s="30">
        <f>(Table26[[#This Row],[M2 Money Stock, Billions of Dollars, Monthly, Seasonally Adjusted]]-B441)/B441</f>
        <v/>
      </c>
      <c r="D442" s="31">
        <f>((1+Table26[[#This Row],[Monthly change]])^12)-1</f>
        <v/>
      </c>
    </row>
    <row r="443">
      <c r="A443" s="51" t="n">
        <v>34851</v>
      </c>
      <c r="B443" s="53">
        <f>VLOOKUP(Table26[[#This Row],[Date]],'DB Money Supply'!$A:$E,5)</f>
        <v/>
      </c>
      <c r="C443" s="30">
        <f>(Table26[[#This Row],[M2 Money Stock, Billions of Dollars, Monthly, Seasonally Adjusted]]-B442)/B442</f>
        <v/>
      </c>
      <c r="D443" s="31">
        <f>((1+Table26[[#This Row],[Monthly change]])^12)-1</f>
        <v/>
      </c>
    </row>
    <row r="444">
      <c r="A444" s="33" t="n">
        <v>34881</v>
      </c>
      <c r="B444" s="53">
        <f>VLOOKUP(Table26[[#This Row],[Date]],'DB Money Supply'!$A:$E,5)</f>
        <v/>
      </c>
      <c r="C444" s="30">
        <f>(Table26[[#This Row],[M2 Money Stock, Billions of Dollars, Monthly, Seasonally Adjusted]]-B443)/B443</f>
        <v/>
      </c>
      <c r="D444" s="31">
        <f>((1+Table26[[#This Row],[Monthly change]])^12)-1</f>
        <v/>
      </c>
    </row>
    <row r="445">
      <c r="A445" s="51" t="n">
        <v>34912</v>
      </c>
      <c r="B445" s="53">
        <f>VLOOKUP(Table26[[#This Row],[Date]],'DB Money Supply'!$A:$E,5)</f>
        <v/>
      </c>
      <c r="C445" s="30">
        <f>(Table26[[#This Row],[M2 Money Stock, Billions of Dollars, Monthly, Seasonally Adjusted]]-B444)/B444</f>
        <v/>
      </c>
      <c r="D445" s="31">
        <f>((1+Table26[[#This Row],[Monthly change]])^12)-1</f>
        <v/>
      </c>
    </row>
    <row r="446">
      <c r="A446" s="33" t="n">
        <v>34943</v>
      </c>
      <c r="B446" s="53">
        <f>VLOOKUP(Table26[[#This Row],[Date]],'DB Money Supply'!$A:$E,5)</f>
        <v/>
      </c>
      <c r="C446" s="30">
        <f>(Table26[[#This Row],[M2 Money Stock, Billions of Dollars, Monthly, Seasonally Adjusted]]-B445)/B445</f>
        <v/>
      </c>
      <c r="D446" s="31">
        <f>((1+Table26[[#This Row],[Monthly change]])^12)-1</f>
        <v/>
      </c>
    </row>
    <row r="447">
      <c r="A447" s="51" t="n">
        <v>34973</v>
      </c>
      <c r="B447" s="53">
        <f>VLOOKUP(Table26[[#This Row],[Date]],'DB Money Supply'!$A:$E,5)</f>
        <v/>
      </c>
      <c r="C447" s="30">
        <f>(Table26[[#This Row],[M2 Money Stock, Billions of Dollars, Monthly, Seasonally Adjusted]]-B446)/B446</f>
        <v/>
      </c>
      <c r="D447" s="31">
        <f>((1+Table26[[#This Row],[Monthly change]])^12)-1</f>
        <v/>
      </c>
    </row>
    <row r="448">
      <c r="A448" s="33" t="n">
        <v>35004</v>
      </c>
      <c r="B448" s="53">
        <f>VLOOKUP(Table26[[#This Row],[Date]],'DB Money Supply'!$A:$E,5)</f>
        <v/>
      </c>
      <c r="C448" s="30">
        <f>(Table26[[#This Row],[M2 Money Stock, Billions of Dollars, Monthly, Seasonally Adjusted]]-B447)/B447</f>
        <v/>
      </c>
      <c r="D448" s="31">
        <f>((1+Table26[[#This Row],[Monthly change]])^12)-1</f>
        <v/>
      </c>
    </row>
    <row r="449">
      <c r="A449" s="51" t="n">
        <v>35034</v>
      </c>
      <c r="B449" s="53">
        <f>VLOOKUP(Table26[[#This Row],[Date]],'DB Money Supply'!$A:$E,5)</f>
        <v/>
      </c>
      <c r="C449" s="30">
        <f>(Table26[[#This Row],[M2 Money Stock, Billions of Dollars, Monthly, Seasonally Adjusted]]-B448)/B448</f>
        <v/>
      </c>
      <c r="D449" s="31">
        <f>((1+Table26[[#This Row],[Monthly change]])^12)-1</f>
        <v/>
      </c>
    </row>
    <row r="450">
      <c r="A450" s="33" t="n">
        <v>35065</v>
      </c>
      <c r="B450" s="53">
        <f>VLOOKUP(Table26[[#This Row],[Date]],'DB Money Supply'!$A:$E,5)</f>
        <v/>
      </c>
      <c r="C450" s="30">
        <f>(Table26[[#This Row],[M2 Money Stock, Billions of Dollars, Monthly, Seasonally Adjusted]]-B449)/B449</f>
        <v/>
      </c>
      <c r="D450" s="31">
        <f>((1+Table26[[#This Row],[Monthly change]])^12)-1</f>
        <v/>
      </c>
    </row>
    <row r="451">
      <c r="A451" s="51" t="n">
        <v>35096</v>
      </c>
      <c r="B451" s="53">
        <f>VLOOKUP(Table26[[#This Row],[Date]],'DB Money Supply'!$A:$E,5)</f>
        <v/>
      </c>
      <c r="C451" s="30">
        <f>(Table26[[#This Row],[M2 Money Stock, Billions of Dollars, Monthly, Seasonally Adjusted]]-B450)/B450</f>
        <v/>
      </c>
      <c r="D451" s="31">
        <f>((1+Table26[[#This Row],[Monthly change]])^12)-1</f>
        <v/>
      </c>
    </row>
    <row r="452">
      <c r="A452" s="33" t="n">
        <v>35125</v>
      </c>
      <c r="B452" s="53">
        <f>VLOOKUP(Table26[[#This Row],[Date]],'DB Money Supply'!$A:$E,5)</f>
        <v/>
      </c>
      <c r="C452" s="30">
        <f>(Table26[[#This Row],[M2 Money Stock, Billions of Dollars, Monthly, Seasonally Adjusted]]-B451)/B451</f>
        <v/>
      </c>
      <c r="D452" s="31">
        <f>((1+Table26[[#This Row],[Monthly change]])^12)-1</f>
        <v/>
      </c>
    </row>
    <row r="453">
      <c r="A453" s="51" t="n">
        <v>35156</v>
      </c>
      <c r="B453" s="53">
        <f>VLOOKUP(Table26[[#This Row],[Date]],'DB Money Supply'!$A:$E,5)</f>
        <v/>
      </c>
      <c r="C453" s="30">
        <f>(Table26[[#This Row],[M2 Money Stock, Billions of Dollars, Monthly, Seasonally Adjusted]]-B452)/B452</f>
        <v/>
      </c>
      <c r="D453" s="31">
        <f>((1+Table26[[#This Row],[Monthly change]])^12)-1</f>
        <v/>
      </c>
    </row>
    <row r="454">
      <c r="A454" s="33" t="n">
        <v>35186</v>
      </c>
      <c r="B454" s="53">
        <f>VLOOKUP(Table26[[#This Row],[Date]],'DB Money Supply'!$A:$E,5)</f>
        <v/>
      </c>
      <c r="C454" s="30">
        <f>(Table26[[#This Row],[M2 Money Stock, Billions of Dollars, Monthly, Seasonally Adjusted]]-B453)/B453</f>
        <v/>
      </c>
      <c r="D454" s="31">
        <f>((1+Table26[[#This Row],[Monthly change]])^12)-1</f>
        <v/>
      </c>
    </row>
    <row r="455">
      <c r="A455" s="51" t="n">
        <v>35217</v>
      </c>
      <c r="B455" s="53">
        <f>VLOOKUP(Table26[[#This Row],[Date]],'DB Money Supply'!$A:$E,5)</f>
        <v/>
      </c>
      <c r="C455" s="30">
        <f>(Table26[[#This Row],[M2 Money Stock, Billions of Dollars, Monthly, Seasonally Adjusted]]-B454)/B454</f>
        <v/>
      </c>
      <c r="D455" s="31">
        <f>((1+Table26[[#This Row],[Monthly change]])^12)-1</f>
        <v/>
      </c>
    </row>
    <row r="456">
      <c r="A456" s="33" t="n">
        <v>35247</v>
      </c>
      <c r="B456" s="53">
        <f>VLOOKUP(Table26[[#This Row],[Date]],'DB Money Supply'!$A:$E,5)</f>
        <v/>
      </c>
      <c r="C456" s="30">
        <f>(Table26[[#This Row],[M2 Money Stock, Billions of Dollars, Monthly, Seasonally Adjusted]]-B455)/B455</f>
        <v/>
      </c>
      <c r="D456" s="31">
        <f>((1+Table26[[#This Row],[Monthly change]])^12)-1</f>
        <v/>
      </c>
    </row>
    <row r="457">
      <c r="A457" s="51" t="n">
        <v>35278</v>
      </c>
      <c r="B457" s="53">
        <f>VLOOKUP(Table26[[#This Row],[Date]],'DB Money Supply'!$A:$E,5)</f>
        <v/>
      </c>
      <c r="C457" s="30">
        <f>(Table26[[#This Row],[M2 Money Stock, Billions of Dollars, Monthly, Seasonally Adjusted]]-B456)/B456</f>
        <v/>
      </c>
      <c r="D457" s="31">
        <f>((1+Table26[[#This Row],[Monthly change]])^12)-1</f>
        <v/>
      </c>
    </row>
    <row r="458">
      <c r="A458" s="33" t="n">
        <v>35309</v>
      </c>
      <c r="B458" s="53">
        <f>VLOOKUP(Table26[[#This Row],[Date]],'DB Money Supply'!$A:$E,5)</f>
        <v/>
      </c>
      <c r="C458" s="30">
        <f>(Table26[[#This Row],[M2 Money Stock, Billions of Dollars, Monthly, Seasonally Adjusted]]-B457)/B457</f>
        <v/>
      </c>
      <c r="D458" s="31">
        <f>((1+Table26[[#This Row],[Monthly change]])^12)-1</f>
        <v/>
      </c>
    </row>
    <row r="459">
      <c r="A459" s="51" t="n">
        <v>35339</v>
      </c>
      <c r="B459" s="53">
        <f>VLOOKUP(Table26[[#This Row],[Date]],'DB Money Supply'!$A:$E,5)</f>
        <v/>
      </c>
      <c r="C459" s="30">
        <f>(Table26[[#This Row],[M2 Money Stock, Billions of Dollars, Monthly, Seasonally Adjusted]]-B458)/B458</f>
        <v/>
      </c>
      <c r="D459" s="31">
        <f>((1+Table26[[#This Row],[Monthly change]])^12)-1</f>
        <v/>
      </c>
    </row>
    <row r="460">
      <c r="A460" s="33" t="n">
        <v>35370</v>
      </c>
      <c r="B460" s="53">
        <f>VLOOKUP(Table26[[#This Row],[Date]],'DB Money Supply'!$A:$E,5)</f>
        <v/>
      </c>
      <c r="C460" s="30">
        <f>(Table26[[#This Row],[M2 Money Stock, Billions of Dollars, Monthly, Seasonally Adjusted]]-B459)/B459</f>
        <v/>
      </c>
      <c r="D460" s="31">
        <f>((1+Table26[[#This Row],[Monthly change]])^12)-1</f>
        <v/>
      </c>
    </row>
    <row r="461">
      <c r="A461" s="51" t="n">
        <v>35400</v>
      </c>
      <c r="B461" s="53">
        <f>VLOOKUP(Table26[[#This Row],[Date]],'DB Money Supply'!$A:$E,5)</f>
        <v/>
      </c>
      <c r="C461" s="30">
        <f>(Table26[[#This Row],[M2 Money Stock, Billions of Dollars, Monthly, Seasonally Adjusted]]-B460)/B460</f>
        <v/>
      </c>
      <c r="D461" s="31">
        <f>((1+Table26[[#This Row],[Monthly change]])^12)-1</f>
        <v/>
      </c>
    </row>
    <row r="462">
      <c r="A462" s="51" t="n">
        <v>35431</v>
      </c>
      <c r="B462" s="53">
        <f>VLOOKUP(Table26[[#This Row],[Date]],'DB Money Supply'!$A:$E,5)</f>
        <v/>
      </c>
      <c r="C462" s="30">
        <f>(Table26[[#This Row],[M2 Money Stock, Billions of Dollars, Monthly, Seasonally Adjusted]]-B461)/B461</f>
        <v/>
      </c>
      <c r="D462" s="31">
        <f>((1+Table26[[#This Row],[Monthly change]])^12)-1</f>
        <v/>
      </c>
    </row>
    <row r="463">
      <c r="A463" s="33" t="n">
        <v>35462</v>
      </c>
      <c r="B463" s="53">
        <f>VLOOKUP(Table26[[#This Row],[Date]],'DB Money Supply'!$A:$E,5)</f>
        <v/>
      </c>
      <c r="C463" s="30">
        <f>(Table26[[#This Row],[M2 Money Stock, Billions of Dollars, Monthly, Seasonally Adjusted]]-B462)/B462</f>
        <v/>
      </c>
      <c r="D463" s="31">
        <f>((1+Table26[[#This Row],[Monthly change]])^12)-1</f>
        <v/>
      </c>
    </row>
    <row r="464">
      <c r="A464" s="51" t="n">
        <v>35490</v>
      </c>
      <c r="B464" s="53">
        <f>VLOOKUP(Table26[[#This Row],[Date]],'DB Money Supply'!$A:$E,5)</f>
        <v/>
      </c>
      <c r="C464" s="30">
        <f>(Table26[[#This Row],[M2 Money Stock, Billions of Dollars, Monthly, Seasonally Adjusted]]-B463)/B463</f>
        <v/>
      </c>
      <c r="D464" s="31">
        <f>((1+Table26[[#This Row],[Monthly change]])^12)-1</f>
        <v/>
      </c>
    </row>
    <row r="465">
      <c r="A465" s="33" t="n">
        <v>35521</v>
      </c>
      <c r="B465" s="53">
        <f>VLOOKUP(Table26[[#This Row],[Date]],'DB Money Supply'!$A:$E,5)</f>
        <v/>
      </c>
      <c r="C465" s="30">
        <f>(Table26[[#This Row],[M2 Money Stock, Billions of Dollars, Monthly, Seasonally Adjusted]]-B464)/B464</f>
        <v/>
      </c>
      <c r="D465" s="31">
        <f>((1+Table26[[#This Row],[Monthly change]])^12)-1</f>
        <v/>
      </c>
    </row>
    <row r="466">
      <c r="A466" s="51" t="n">
        <v>35551</v>
      </c>
      <c r="B466" s="53">
        <f>VLOOKUP(Table26[[#This Row],[Date]],'DB Money Supply'!$A:$E,5)</f>
        <v/>
      </c>
      <c r="C466" s="30">
        <f>(Table26[[#This Row],[M2 Money Stock, Billions of Dollars, Monthly, Seasonally Adjusted]]-B465)/B465</f>
        <v/>
      </c>
      <c r="D466" s="31">
        <f>((1+Table26[[#This Row],[Monthly change]])^12)-1</f>
        <v/>
      </c>
    </row>
    <row r="467">
      <c r="A467" s="33" t="n">
        <v>35582</v>
      </c>
      <c r="B467" s="53">
        <f>VLOOKUP(Table26[[#This Row],[Date]],'DB Money Supply'!$A:$E,5)</f>
        <v/>
      </c>
      <c r="C467" s="30">
        <f>(Table26[[#This Row],[M2 Money Stock, Billions of Dollars, Monthly, Seasonally Adjusted]]-B466)/B466</f>
        <v/>
      </c>
      <c r="D467" s="31">
        <f>((1+Table26[[#This Row],[Monthly change]])^12)-1</f>
        <v/>
      </c>
    </row>
    <row r="468">
      <c r="A468" s="51" t="n">
        <v>35612</v>
      </c>
      <c r="B468" s="53">
        <f>VLOOKUP(Table26[[#This Row],[Date]],'DB Money Supply'!$A:$E,5)</f>
        <v/>
      </c>
      <c r="C468" s="30">
        <f>(Table26[[#This Row],[M2 Money Stock, Billions of Dollars, Monthly, Seasonally Adjusted]]-B467)/B467</f>
        <v/>
      </c>
      <c r="D468" s="31">
        <f>((1+Table26[[#This Row],[Monthly change]])^12)-1</f>
        <v/>
      </c>
    </row>
    <row r="469">
      <c r="A469" s="33" t="n">
        <v>35643</v>
      </c>
      <c r="B469" s="53">
        <f>VLOOKUP(Table26[[#This Row],[Date]],'DB Money Supply'!$A:$E,5)</f>
        <v/>
      </c>
      <c r="C469" s="30">
        <f>(Table26[[#This Row],[M2 Money Stock, Billions of Dollars, Monthly, Seasonally Adjusted]]-B468)/B468</f>
        <v/>
      </c>
      <c r="D469" s="31">
        <f>((1+Table26[[#This Row],[Monthly change]])^12)-1</f>
        <v/>
      </c>
    </row>
    <row r="470">
      <c r="A470" s="51" t="n">
        <v>35674</v>
      </c>
      <c r="B470" s="53">
        <f>VLOOKUP(Table26[[#This Row],[Date]],'DB Money Supply'!$A:$E,5)</f>
        <v/>
      </c>
      <c r="C470" s="30">
        <f>(Table26[[#This Row],[M2 Money Stock, Billions of Dollars, Monthly, Seasonally Adjusted]]-B469)/B469</f>
        <v/>
      </c>
      <c r="D470" s="31">
        <f>((1+Table26[[#This Row],[Monthly change]])^12)-1</f>
        <v/>
      </c>
    </row>
    <row r="471">
      <c r="A471" s="33" t="n">
        <v>35704</v>
      </c>
      <c r="B471" s="53">
        <f>VLOOKUP(Table26[[#This Row],[Date]],'DB Money Supply'!$A:$E,5)</f>
        <v/>
      </c>
      <c r="C471" s="30">
        <f>(Table26[[#This Row],[M2 Money Stock, Billions of Dollars, Monthly, Seasonally Adjusted]]-B470)/B470</f>
        <v/>
      </c>
      <c r="D471" s="31">
        <f>((1+Table26[[#This Row],[Monthly change]])^12)-1</f>
        <v/>
      </c>
    </row>
    <row r="472">
      <c r="A472" s="51" t="n">
        <v>35735</v>
      </c>
      <c r="B472" s="53">
        <f>VLOOKUP(Table26[[#This Row],[Date]],'DB Money Supply'!$A:$E,5)</f>
        <v/>
      </c>
      <c r="C472" s="30">
        <f>(Table26[[#This Row],[M2 Money Stock, Billions of Dollars, Monthly, Seasonally Adjusted]]-B471)/B471</f>
        <v/>
      </c>
      <c r="D472" s="31">
        <f>((1+Table26[[#This Row],[Monthly change]])^12)-1</f>
        <v/>
      </c>
    </row>
    <row r="473">
      <c r="A473" s="33" t="n">
        <v>35765</v>
      </c>
      <c r="B473" s="53">
        <f>VLOOKUP(Table26[[#This Row],[Date]],'DB Money Supply'!$A:$E,5)</f>
        <v/>
      </c>
      <c r="C473" s="30">
        <f>(Table26[[#This Row],[M2 Money Stock, Billions of Dollars, Monthly, Seasonally Adjusted]]-B472)/B472</f>
        <v/>
      </c>
      <c r="D473" s="31">
        <f>((1+Table26[[#This Row],[Monthly change]])^12)-1</f>
        <v/>
      </c>
    </row>
    <row r="474">
      <c r="A474" s="51" t="n">
        <v>35796</v>
      </c>
      <c r="B474" s="53">
        <f>VLOOKUP(Table26[[#This Row],[Date]],'DB Money Supply'!$A:$E,5)</f>
        <v/>
      </c>
      <c r="C474" s="30">
        <f>(Table26[[#This Row],[M2 Money Stock, Billions of Dollars, Monthly, Seasonally Adjusted]]-B473)/B473</f>
        <v/>
      </c>
      <c r="D474" s="31">
        <f>((1+Table26[[#This Row],[Monthly change]])^12)-1</f>
        <v/>
      </c>
    </row>
    <row r="475">
      <c r="A475" s="33" t="n">
        <v>35827</v>
      </c>
      <c r="B475" s="53">
        <f>VLOOKUP(Table26[[#This Row],[Date]],'DB Money Supply'!$A:$E,5)</f>
        <v/>
      </c>
      <c r="C475" s="30">
        <f>(Table26[[#This Row],[M2 Money Stock, Billions of Dollars, Monthly, Seasonally Adjusted]]-B474)/B474</f>
        <v/>
      </c>
      <c r="D475" s="31">
        <f>((1+Table26[[#This Row],[Monthly change]])^12)-1</f>
        <v/>
      </c>
    </row>
    <row r="476">
      <c r="A476" s="51" t="n">
        <v>35855</v>
      </c>
      <c r="B476" s="53">
        <f>VLOOKUP(Table26[[#This Row],[Date]],'DB Money Supply'!$A:$E,5)</f>
        <v/>
      </c>
      <c r="C476" s="30">
        <f>(Table26[[#This Row],[M2 Money Stock, Billions of Dollars, Monthly, Seasonally Adjusted]]-B475)/B475</f>
        <v/>
      </c>
      <c r="D476" s="31">
        <f>((1+Table26[[#This Row],[Monthly change]])^12)-1</f>
        <v/>
      </c>
    </row>
    <row r="477">
      <c r="A477" s="33" t="n">
        <v>35886</v>
      </c>
      <c r="B477" s="53">
        <f>VLOOKUP(Table26[[#This Row],[Date]],'DB Money Supply'!$A:$E,5)</f>
        <v/>
      </c>
      <c r="C477" s="30">
        <f>(Table26[[#This Row],[M2 Money Stock, Billions of Dollars, Monthly, Seasonally Adjusted]]-B476)/B476</f>
        <v/>
      </c>
      <c r="D477" s="31">
        <f>((1+Table26[[#This Row],[Monthly change]])^12)-1</f>
        <v/>
      </c>
    </row>
    <row r="478">
      <c r="A478" s="51" t="n">
        <v>35916</v>
      </c>
      <c r="B478" s="53">
        <f>VLOOKUP(Table26[[#This Row],[Date]],'DB Money Supply'!$A:$E,5)</f>
        <v/>
      </c>
      <c r="C478" s="30">
        <f>(Table26[[#This Row],[M2 Money Stock, Billions of Dollars, Monthly, Seasonally Adjusted]]-B477)/B477</f>
        <v/>
      </c>
      <c r="D478" s="31">
        <f>((1+Table26[[#This Row],[Monthly change]])^12)-1</f>
        <v/>
      </c>
    </row>
    <row r="479">
      <c r="A479" s="33" t="n">
        <v>35947</v>
      </c>
      <c r="B479" s="53">
        <f>VLOOKUP(Table26[[#This Row],[Date]],'DB Money Supply'!$A:$E,5)</f>
        <v/>
      </c>
      <c r="C479" s="30">
        <f>(Table26[[#This Row],[M2 Money Stock, Billions of Dollars, Monthly, Seasonally Adjusted]]-B478)/B478</f>
        <v/>
      </c>
      <c r="D479" s="31">
        <f>((1+Table26[[#This Row],[Monthly change]])^12)-1</f>
        <v/>
      </c>
    </row>
    <row r="480">
      <c r="A480" s="51" t="n">
        <v>35977</v>
      </c>
      <c r="B480" s="53">
        <f>VLOOKUP(Table26[[#This Row],[Date]],'DB Money Supply'!$A:$E,5)</f>
        <v/>
      </c>
      <c r="C480" s="30">
        <f>(Table26[[#This Row],[M2 Money Stock, Billions of Dollars, Monthly, Seasonally Adjusted]]-B479)/B479</f>
        <v/>
      </c>
      <c r="D480" s="31">
        <f>((1+Table26[[#This Row],[Monthly change]])^12)-1</f>
        <v/>
      </c>
    </row>
    <row r="481">
      <c r="A481" s="51" t="n">
        <v>36008</v>
      </c>
      <c r="B481" s="53">
        <f>VLOOKUP(Table26[[#This Row],[Date]],'DB Money Supply'!$A:$E,5)</f>
        <v/>
      </c>
      <c r="C481" s="30">
        <f>(Table26[[#This Row],[M2 Money Stock, Billions of Dollars, Monthly, Seasonally Adjusted]]-B480)/B480</f>
        <v/>
      </c>
      <c r="D481" s="31">
        <f>((1+Table26[[#This Row],[Monthly change]])^12)-1</f>
        <v/>
      </c>
    </row>
    <row r="482">
      <c r="A482" s="33" t="n">
        <v>36039</v>
      </c>
      <c r="B482" s="53">
        <f>VLOOKUP(Table26[[#This Row],[Date]],'DB Money Supply'!$A:$E,5)</f>
        <v/>
      </c>
      <c r="C482" s="30">
        <f>(Table26[[#This Row],[M2 Money Stock, Billions of Dollars, Monthly, Seasonally Adjusted]]-B481)/B481</f>
        <v/>
      </c>
      <c r="D482" s="31">
        <f>((1+Table26[[#This Row],[Monthly change]])^12)-1</f>
        <v/>
      </c>
    </row>
    <row r="483">
      <c r="A483" s="51" t="n">
        <v>36069</v>
      </c>
      <c r="B483" s="53">
        <f>VLOOKUP(Table26[[#This Row],[Date]],'DB Money Supply'!$A:$E,5)</f>
        <v/>
      </c>
      <c r="C483" s="30">
        <f>(Table26[[#This Row],[M2 Money Stock, Billions of Dollars, Monthly, Seasonally Adjusted]]-B482)/B482</f>
        <v/>
      </c>
      <c r="D483" s="31">
        <f>((1+Table26[[#This Row],[Monthly change]])^12)-1</f>
        <v/>
      </c>
    </row>
    <row r="484">
      <c r="A484" s="33" t="n">
        <v>36100</v>
      </c>
      <c r="B484" s="53">
        <f>VLOOKUP(Table26[[#This Row],[Date]],'DB Money Supply'!$A:$E,5)</f>
        <v/>
      </c>
      <c r="C484" s="30">
        <f>(Table26[[#This Row],[M2 Money Stock, Billions of Dollars, Monthly, Seasonally Adjusted]]-B483)/B483</f>
        <v/>
      </c>
      <c r="D484" s="31">
        <f>((1+Table26[[#This Row],[Monthly change]])^12)-1</f>
        <v/>
      </c>
    </row>
    <row r="485">
      <c r="A485" s="51" t="n">
        <v>36130</v>
      </c>
      <c r="B485" s="53">
        <f>VLOOKUP(Table26[[#This Row],[Date]],'DB Money Supply'!$A:$E,5)</f>
        <v/>
      </c>
      <c r="C485" s="30">
        <f>(Table26[[#This Row],[M2 Money Stock, Billions of Dollars, Monthly, Seasonally Adjusted]]-B484)/B484</f>
        <v/>
      </c>
      <c r="D485" s="31">
        <f>((1+Table26[[#This Row],[Monthly change]])^12)-1</f>
        <v/>
      </c>
    </row>
    <row r="486">
      <c r="A486" s="33" t="n">
        <v>36161</v>
      </c>
      <c r="B486" s="53">
        <f>VLOOKUP(Table26[[#This Row],[Date]],'DB Money Supply'!$A:$E,5)</f>
        <v/>
      </c>
      <c r="C486" s="30">
        <f>(Table26[[#This Row],[M2 Money Stock, Billions of Dollars, Monthly, Seasonally Adjusted]]-B485)/B485</f>
        <v/>
      </c>
      <c r="D486" s="31">
        <f>((1+Table26[[#This Row],[Monthly change]])^12)-1</f>
        <v/>
      </c>
    </row>
    <row r="487">
      <c r="A487" s="51" t="n">
        <v>36192</v>
      </c>
      <c r="B487" s="53">
        <f>VLOOKUP(Table26[[#This Row],[Date]],'DB Money Supply'!$A:$E,5)</f>
        <v/>
      </c>
      <c r="C487" s="30">
        <f>(Table26[[#This Row],[M2 Money Stock, Billions of Dollars, Monthly, Seasonally Adjusted]]-B486)/B486</f>
        <v/>
      </c>
      <c r="D487" s="31">
        <f>((1+Table26[[#This Row],[Monthly change]])^12)-1</f>
        <v/>
      </c>
    </row>
    <row r="488">
      <c r="A488" s="33" t="n">
        <v>36220</v>
      </c>
      <c r="B488" s="53">
        <f>VLOOKUP(Table26[[#This Row],[Date]],'DB Money Supply'!$A:$E,5)</f>
        <v/>
      </c>
      <c r="C488" s="30">
        <f>(Table26[[#This Row],[M2 Money Stock, Billions of Dollars, Monthly, Seasonally Adjusted]]-B487)/B487</f>
        <v/>
      </c>
      <c r="D488" s="31">
        <f>((1+Table26[[#This Row],[Monthly change]])^12)-1</f>
        <v/>
      </c>
    </row>
    <row r="489">
      <c r="A489" s="51" t="n">
        <v>36251</v>
      </c>
      <c r="B489" s="53">
        <f>VLOOKUP(Table26[[#This Row],[Date]],'DB Money Supply'!$A:$E,5)</f>
        <v/>
      </c>
      <c r="C489" s="30">
        <f>(Table26[[#This Row],[M2 Money Stock, Billions of Dollars, Monthly, Seasonally Adjusted]]-B488)/B488</f>
        <v/>
      </c>
      <c r="D489" s="31">
        <f>((1+Table26[[#This Row],[Monthly change]])^12)-1</f>
        <v/>
      </c>
    </row>
    <row r="490">
      <c r="A490" s="33" t="n">
        <v>36281</v>
      </c>
      <c r="B490" s="53">
        <f>VLOOKUP(Table26[[#This Row],[Date]],'DB Money Supply'!$A:$E,5)</f>
        <v/>
      </c>
      <c r="C490" s="30">
        <f>(Table26[[#This Row],[M2 Money Stock, Billions of Dollars, Monthly, Seasonally Adjusted]]-B489)/B489</f>
        <v/>
      </c>
      <c r="D490" s="31">
        <f>((1+Table26[[#This Row],[Monthly change]])^12)-1</f>
        <v/>
      </c>
    </row>
    <row r="491">
      <c r="A491" s="51" t="n">
        <v>36312</v>
      </c>
      <c r="B491" s="53">
        <f>VLOOKUP(Table26[[#This Row],[Date]],'DB Money Supply'!$A:$E,5)</f>
        <v/>
      </c>
      <c r="C491" s="30">
        <f>(Table26[[#This Row],[M2 Money Stock, Billions of Dollars, Monthly, Seasonally Adjusted]]-B490)/B490</f>
        <v/>
      </c>
      <c r="D491" s="31">
        <f>((1+Table26[[#This Row],[Monthly change]])^12)-1</f>
        <v/>
      </c>
    </row>
    <row r="492">
      <c r="A492" s="33" t="n">
        <v>36342</v>
      </c>
      <c r="B492" s="53">
        <f>VLOOKUP(Table26[[#This Row],[Date]],'DB Money Supply'!$A:$E,5)</f>
        <v/>
      </c>
      <c r="C492" s="30">
        <f>(Table26[[#This Row],[M2 Money Stock, Billions of Dollars, Monthly, Seasonally Adjusted]]-B491)/B491</f>
        <v/>
      </c>
      <c r="D492" s="31">
        <f>((1+Table26[[#This Row],[Monthly change]])^12)-1</f>
        <v/>
      </c>
    </row>
    <row r="493">
      <c r="A493" s="51" t="n">
        <v>36373</v>
      </c>
      <c r="B493" s="53">
        <f>VLOOKUP(Table26[[#This Row],[Date]],'DB Money Supply'!$A:$E,5)</f>
        <v/>
      </c>
      <c r="C493" s="30">
        <f>(Table26[[#This Row],[M2 Money Stock, Billions of Dollars, Monthly, Seasonally Adjusted]]-B492)/B492</f>
        <v/>
      </c>
      <c r="D493" s="31">
        <f>((1+Table26[[#This Row],[Monthly change]])^12)-1</f>
        <v/>
      </c>
    </row>
    <row r="494">
      <c r="A494" s="33" t="n">
        <v>36404</v>
      </c>
      <c r="B494" s="53">
        <f>VLOOKUP(Table26[[#This Row],[Date]],'DB Money Supply'!$A:$E,5)</f>
        <v/>
      </c>
      <c r="C494" s="30">
        <f>(Table26[[#This Row],[M2 Money Stock, Billions of Dollars, Monthly, Seasonally Adjusted]]-B493)/B493</f>
        <v/>
      </c>
      <c r="D494" s="31">
        <f>((1+Table26[[#This Row],[Monthly change]])^12)-1</f>
        <v/>
      </c>
    </row>
    <row r="495">
      <c r="A495" s="51" t="n">
        <v>36434</v>
      </c>
      <c r="B495" s="53">
        <f>VLOOKUP(Table26[[#This Row],[Date]],'DB Money Supply'!$A:$E,5)</f>
        <v/>
      </c>
      <c r="C495" s="30">
        <f>(Table26[[#This Row],[M2 Money Stock, Billions of Dollars, Monthly, Seasonally Adjusted]]-B494)/B494</f>
        <v/>
      </c>
      <c r="D495" s="31">
        <f>((1+Table26[[#This Row],[Monthly change]])^12)-1</f>
        <v/>
      </c>
    </row>
    <row r="496">
      <c r="A496" s="33" t="n">
        <v>36465</v>
      </c>
      <c r="B496" s="53">
        <f>VLOOKUP(Table26[[#This Row],[Date]],'DB Money Supply'!$A:$E,5)</f>
        <v/>
      </c>
      <c r="C496" s="30">
        <f>(Table26[[#This Row],[M2 Money Stock, Billions of Dollars, Monthly, Seasonally Adjusted]]-B495)/B495</f>
        <v/>
      </c>
      <c r="D496" s="31">
        <f>((1+Table26[[#This Row],[Monthly change]])^12)-1</f>
        <v/>
      </c>
    </row>
    <row r="497">
      <c r="A497" s="51" t="n">
        <v>36495</v>
      </c>
      <c r="B497" s="53">
        <f>VLOOKUP(Table26[[#This Row],[Date]],'DB Money Supply'!$A:$E,5)</f>
        <v/>
      </c>
      <c r="C497" s="30">
        <f>(Table26[[#This Row],[M2 Money Stock, Billions of Dollars, Monthly, Seasonally Adjusted]]-B496)/B496</f>
        <v/>
      </c>
      <c r="D497" s="31">
        <f>((1+Table26[[#This Row],[Monthly change]])^12)-1</f>
        <v/>
      </c>
    </row>
    <row r="498">
      <c r="A498" s="33" t="n">
        <v>36526</v>
      </c>
      <c r="B498" s="53">
        <f>VLOOKUP(Table26[[#This Row],[Date]],'DB Money Supply'!$A:$E,5)</f>
        <v/>
      </c>
      <c r="C498" s="30">
        <f>(Table26[[#This Row],[M2 Money Stock, Billions of Dollars, Monthly, Seasonally Adjusted]]-B497)/B497</f>
        <v/>
      </c>
      <c r="D498" s="31">
        <f>((1+Table26[[#This Row],[Monthly change]])^12)-1</f>
        <v/>
      </c>
    </row>
    <row r="499">
      <c r="A499" s="51" t="n">
        <v>36557</v>
      </c>
      <c r="B499" s="53">
        <f>VLOOKUP(Table26[[#This Row],[Date]],'DB Money Supply'!$A:$E,5)</f>
        <v/>
      </c>
      <c r="C499" s="30">
        <f>(Table26[[#This Row],[M2 Money Stock, Billions of Dollars, Monthly, Seasonally Adjusted]]-B498)/B498</f>
        <v/>
      </c>
      <c r="D499" s="31">
        <f>((1+Table26[[#This Row],[Monthly change]])^12)-1</f>
        <v/>
      </c>
    </row>
    <row r="500">
      <c r="A500" s="51" t="n">
        <v>36586</v>
      </c>
      <c r="B500" s="53">
        <f>VLOOKUP(Table26[[#This Row],[Date]],'DB Money Supply'!$A:$E,5)</f>
        <v/>
      </c>
      <c r="C500" s="30">
        <f>(Table26[[#This Row],[M2 Money Stock, Billions of Dollars, Monthly, Seasonally Adjusted]]-B499)/B499</f>
        <v/>
      </c>
      <c r="D500" s="31">
        <f>((1+Table26[[#This Row],[Monthly change]])^12)-1</f>
        <v/>
      </c>
    </row>
    <row r="501">
      <c r="A501" s="33" t="n">
        <v>36617</v>
      </c>
      <c r="B501" s="53">
        <f>VLOOKUP(Table26[[#This Row],[Date]],'DB Money Supply'!$A:$E,5)</f>
        <v/>
      </c>
      <c r="C501" s="30">
        <f>(Table26[[#This Row],[M2 Money Stock, Billions of Dollars, Monthly, Seasonally Adjusted]]-B500)/B500</f>
        <v/>
      </c>
      <c r="D501" s="31">
        <f>((1+Table26[[#This Row],[Monthly change]])^12)-1</f>
        <v/>
      </c>
    </row>
    <row r="502">
      <c r="A502" s="51" t="n">
        <v>36647</v>
      </c>
      <c r="B502" s="53">
        <f>VLOOKUP(Table26[[#This Row],[Date]],'DB Money Supply'!$A:$E,5)</f>
        <v/>
      </c>
      <c r="C502" s="30">
        <f>(Table26[[#This Row],[M2 Money Stock, Billions of Dollars, Monthly, Seasonally Adjusted]]-B501)/B501</f>
        <v/>
      </c>
      <c r="D502" s="31">
        <f>((1+Table26[[#This Row],[Monthly change]])^12)-1</f>
        <v/>
      </c>
    </row>
    <row r="503">
      <c r="A503" s="33" t="n">
        <v>36678</v>
      </c>
      <c r="B503" s="53">
        <f>VLOOKUP(Table26[[#This Row],[Date]],'DB Money Supply'!$A:$E,5)</f>
        <v/>
      </c>
      <c r="C503" s="30">
        <f>(Table26[[#This Row],[M2 Money Stock, Billions of Dollars, Monthly, Seasonally Adjusted]]-B502)/B502</f>
        <v/>
      </c>
      <c r="D503" s="31">
        <f>((1+Table26[[#This Row],[Monthly change]])^12)-1</f>
        <v/>
      </c>
    </row>
    <row r="504">
      <c r="A504" s="51" t="n">
        <v>36708</v>
      </c>
      <c r="B504" s="53">
        <f>VLOOKUP(Table26[[#This Row],[Date]],'DB Money Supply'!$A:$E,5)</f>
        <v/>
      </c>
      <c r="C504" s="30">
        <f>(Table26[[#This Row],[M2 Money Stock, Billions of Dollars, Monthly, Seasonally Adjusted]]-B503)/B503</f>
        <v/>
      </c>
      <c r="D504" s="31">
        <f>((1+Table26[[#This Row],[Monthly change]])^12)-1</f>
        <v/>
      </c>
    </row>
    <row r="505">
      <c r="A505" s="33" t="n">
        <v>36739</v>
      </c>
      <c r="B505" s="53">
        <f>VLOOKUP(Table26[[#This Row],[Date]],'DB Money Supply'!$A:$E,5)</f>
        <v/>
      </c>
      <c r="C505" s="30">
        <f>(Table26[[#This Row],[M2 Money Stock, Billions of Dollars, Monthly, Seasonally Adjusted]]-B504)/B504</f>
        <v/>
      </c>
      <c r="D505" s="31">
        <f>((1+Table26[[#This Row],[Monthly change]])^12)-1</f>
        <v/>
      </c>
    </row>
    <row r="506">
      <c r="A506" s="51" t="n">
        <v>36770</v>
      </c>
      <c r="B506" s="53">
        <f>VLOOKUP(Table26[[#This Row],[Date]],'DB Money Supply'!$A:$E,5)</f>
        <v/>
      </c>
      <c r="C506" s="30">
        <f>(Table26[[#This Row],[M2 Money Stock, Billions of Dollars, Monthly, Seasonally Adjusted]]-B505)/B505</f>
        <v/>
      </c>
      <c r="D506" s="31">
        <f>((1+Table26[[#This Row],[Monthly change]])^12)-1</f>
        <v/>
      </c>
    </row>
    <row r="507">
      <c r="A507" s="33" t="n">
        <v>36800</v>
      </c>
      <c r="B507" s="53">
        <f>VLOOKUP(Table26[[#This Row],[Date]],'DB Money Supply'!$A:$E,5)</f>
        <v/>
      </c>
      <c r="C507" s="30">
        <f>(Table26[[#This Row],[M2 Money Stock, Billions of Dollars, Monthly, Seasonally Adjusted]]-B506)/B506</f>
        <v/>
      </c>
      <c r="D507" s="31">
        <f>((1+Table26[[#This Row],[Monthly change]])^12)-1</f>
        <v/>
      </c>
    </row>
    <row r="508">
      <c r="A508" s="51" t="n">
        <v>36831</v>
      </c>
      <c r="B508" s="53">
        <f>VLOOKUP(Table26[[#This Row],[Date]],'DB Money Supply'!$A:$E,5)</f>
        <v/>
      </c>
      <c r="C508" s="30">
        <f>(Table26[[#This Row],[M2 Money Stock, Billions of Dollars, Monthly, Seasonally Adjusted]]-B507)/B507</f>
        <v/>
      </c>
      <c r="D508" s="31">
        <f>((1+Table26[[#This Row],[Monthly change]])^12)-1</f>
        <v/>
      </c>
    </row>
    <row r="509">
      <c r="A509" s="33" t="n">
        <v>36861</v>
      </c>
      <c r="B509" s="53">
        <f>VLOOKUP(Table26[[#This Row],[Date]],'DB Money Supply'!$A:$E,5)</f>
        <v/>
      </c>
      <c r="C509" s="30">
        <f>(Table26[[#This Row],[M2 Money Stock, Billions of Dollars, Monthly, Seasonally Adjusted]]-B508)/B508</f>
        <v/>
      </c>
      <c r="D509" s="31">
        <f>((1+Table26[[#This Row],[Monthly change]])^12)-1</f>
        <v/>
      </c>
    </row>
    <row r="510">
      <c r="A510" s="51" t="n">
        <v>36892</v>
      </c>
      <c r="B510" s="53">
        <f>VLOOKUP(Table26[[#This Row],[Date]],'DB Money Supply'!$A:$E,5)</f>
        <v/>
      </c>
      <c r="C510" s="30">
        <f>(Table26[[#This Row],[M2 Money Stock, Billions of Dollars, Monthly, Seasonally Adjusted]]-B509)/B509</f>
        <v/>
      </c>
      <c r="D510" s="31">
        <f>((1+Table26[[#This Row],[Monthly change]])^12)-1</f>
        <v/>
      </c>
    </row>
    <row r="511">
      <c r="A511" s="33" t="n">
        <v>36923</v>
      </c>
      <c r="B511" s="53">
        <f>VLOOKUP(Table26[[#This Row],[Date]],'DB Money Supply'!$A:$E,5)</f>
        <v/>
      </c>
      <c r="C511" s="30">
        <f>(Table26[[#This Row],[M2 Money Stock, Billions of Dollars, Monthly, Seasonally Adjusted]]-B510)/B510</f>
        <v/>
      </c>
      <c r="D511" s="31">
        <f>((1+Table26[[#This Row],[Monthly change]])^12)-1</f>
        <v/>
      </c>
    </row>
    <row r="512">
      <c r="A512" s="51" t="n">
        <v>36951</v>
      </c>
      <c r="B512" s="53">
        <f>VLOOKUP(Table26[[#This Row],[Date]],'DB Money Supply'!$A:$E,5)</f>
        <v/>
      </c>
      <c r="C512" s="30">
        <f>(Table26[[#This Row],[M2 Money Stock, Billions of Dollars, Monthly, Seasonally Adjusted]]-B511)/B511</f>
        <v/>
      </c>
      <c r="D512" s="31">
        <f>((1+Table26[[#This Row],[Monthly change]])^12)-1</f>
        <v/>
      </c>
    </row>
    <row r="513">
      <c r="A513" s="33" t="n">
        <v>36982</v>
      </c>
      <c r="B513" s="53">
        <f>VLOOKUP(Table26[[#This Row],[Date]],'DB Money Supply'!$A:$E,5)</f>
        <v/>
      </c>
      <c r="C513" s="30">
        <f>(Table26[[#This Row],[M2 Money Stock, Billions of Dollars, Monthly, Seasonally Adjusted]]-B512)/B512</f>
        <v/>
      </c>
      <c r="D513" s="31">
        <f>((1+Table26[[#This Row],[Monthly change]])^12)-1</f>
        <v/>
      </c>
    </row>
    <row r="514">
      <c r="A514" s="51" t="n">
        <v>37012</v>
      </c>
      <c r="B514" s="53">
        <f>VLOOKUP(Table26[[#This Row],[Date]],'DB Money Supply'!$A:$E,5)</f>
        <v/>
      </c>
      <c r="C514" s="30">
        <f>(Table26[[#This Row],[M2 Money Stock, Billions of Dollars, Monthly, Seasonally Adjusted]]-B513)/B513</f>
        <v/>
      </c>
      <c r="D514" s="31">
        <f>((1+Table26[[#This Row],[Monthly change]])^12)-1</f>
        <v/>
      </c>
    </row>
    <row r="515">
      <c r="A515" s="33" t="n">
        <v>37043</v>
      </c>
      <c r="B515" s="53">
        <f>VLOOKUP(Table26[[#This Row],[Date]],'DB Money Supply'!$A:$E,5)</f>
        <v/>
      </c>
      <c r="C515" s="30">
        <f>(Table26[[#This Row],[M2 Money Stock, Billions of Dollars, Monthly, Seasonally Adjusted]]-B514)/B514</f>
        <v/>
      </c>
      <c r="D515" s="31">
        <f>((1+Table26[[#This Row],[Monthly change]])^12)-1</f>
        <v/>
      </c>
    </row>
    <row r="516">
      <c r="A516" s="51" t="n">
        <v>37073</v>
      </c>
      <c r="B516" s="53">
        <f>VLOOKUP(Table26[[#This Row],[Date]],'DB Money Supply'!$A:$E,5)</f>
        <v/>
      </c>
      <c r="C516" s="30">
        <f>(Table26[[#This Row],[M2 Money Stock, Billions of Dollars, Monthly, Seasonally Adjusted]]-B515)/B515</f>
        <v/>
      </c>
      <c r="D516" s="31">
        <f>((1+Table26[[#This Row],[Monthly change]])^12)-1</f>
        <v/>
      </c>
    </row>
    <row r="517">
      <c r="A517" s="33" t="n">
        <v>37104</v>
      </c>
      <c r="B517" s="53">
        <f>VLOOKUP(Table26[[#This Row],[Date]],'DB Money Supply'!$A:$E,5)</f>
        <v/>
      </c>
      <c r="C517" s="30">
        <f>(Table26[[#This Row],[M2 Money Stock, Billions of Dollars, Monthly, Seasonally Adjusted]]-B516)/B516</f>
        <v/>
      </c>
      <c r="D517" s="31">
        <f>((1+Table26[[#This Row],[Monthly change]])^12)-1</f>
        <v/>
      </c>
    </row>
    <row r="518">
      <c r="A518" s="51" t="n">
        <v>37135</v>
      </c>
      <c r="B518" s="53">
        <f>VLOOKUP(Table26[[#This Row],[Date]],'DB Money Supply'!$A:$E,5)</f>
        <v/>
      </c>
      <c r="C518" s="30">
        <f>(Table26[[#This Row],[M2 Money Stock, Billions of Dollars, Monthly, Seasonally Adjusted]]-B517)/B517</f>
        <v/>
      </c>
      <c r="D518" s="31">
        <f>((1+Table26[[#This Row],[Monthly change]])^12)-1</f>
        <v/>
      </c>
    </row>
    <row r="519">
      <c r="A519" s="51" t="n">
        <v>37165</v>
      </c>
      <c r="B519" s="53">
        <f>VLOOKUP(Table26[[#This Row],[Date]],'DB Money Supply'!$A:$E,5)</f>
        <v/>
      </c>
      <c r="C519" s="30">
        <f>(Table26[[#This Row],[M2 Money Stock, Billions of Dollars, Monthly, Seasonally Adjusted]]-B518)/B518</f>
        <v/>
      </c>
      <c r="D519" s="31">
        <f>((1+Table26[[#This Row],[Monthly change]])^12)-1</f>
        <v/>
      </c>
    </row>
    <row r="520">
      <c r="A520" s="33" t="n">
        <v>37196</v>
      </c>
      <c r="B520" s="53">
        <f>VLOOKUP(Table26[[#This Row],[Date]],'DB Money Supply'!$A:$E,5)</f>
        <v/>
      </c>
      <c r="C520" s="30">
        <f>(Table26[[#This Row],[M2 Money Stock, Billions of Dollars, Monthly, Seasonally Adjusted]]-B519)/B519</f>
        <v/>
      </c>
      <c r="D520" s="31">
        <f>((1+Table26[[#This Row],[Monthly change]])^12)-1</f>
        <v/>
      </c>
    </row>
    <row r="521">
      <c r="A521" s="51" t="n">
        <v>37226</v>
      </c>
      <c r="B521" s="53">
        <f>VLOOKUP(Table26[[#This Row],[Date]],'DB Money Supply'!$A:$E,5)</f>
        <v/>
      </c>
      <c r="C521" s="30">
        <f>(Table26[[#This Row],[M2 Money Stock, Billions of Dollars, Monthly, Seasonally Adjusted]]-B520)/B520</f>
        <v/>
      </c>
      <c r="D521" s="31">
        <f>((1+Table26[[#This Row],[Monthly change]])^12)-1</f>
        <v/>
      </c>
    </row>
    <row r="522">
      <c r="A522" s="33" t="n">
        <v>37257</v>
      </c>
      <c r="B522" s="53">
        <f>VLOOKUP(Table26[[#This Row],[Date]],'DB Money Supply'!$A:$E,5)</f>
        <v/>
      </c>
      <c r="C522" s="30">
        <f>(Table26[[#This Row],[M2 Money Stock, Billions of Dollars, Monthly, Seasonally Adjusted]]-B521)/B521</f>
        <v/>
      </c>
      <c r="D522" s="31">
        <f>((1+Table26[[#This Row],[Monthly change]])^12)-1</f>
        <v/>
      </c>
    </row>
    <row r="523">
      <c r="A523" s="51" t="n">
        <v>37288</v>
      </c>
      <c r="B523" s="53">
        <f>VLOOKUP(Table26[[#This Row],[Date]],'DB Money Supply'!$A:$E,5)</f>
        <v/>
      </c>
      <c r="C523" s="30">
        <f>(Table26[[#This Row],[M2 Money Stock, Billions of Dollars, Monthly, Seasonally Adjusted]]-B522)/B522</f>
        <v/>
      </c>
      <c r="D523" s="31">
        <f>((1+Table26[[#This Row],[Monthly change]])^12)-1</f>
        <v/>
      </c>
    </row>
    <row r="524">
      <c r="A524" s="33" t="n">
        <v>37316</v>
      </c>
      <c r="B524" s="53">
        <f>VLOOKUP(Table26[[#This Row],[Date]],'DB Money Supply'!$A:$E,5)</f>
        <v/>
      </c>
      <c r="C524" s="30">
        <f>(Table26[[#This Row],[M2 Money Stock, Billions of Dollars, Monthly, Seasonally Adjusted]]-B523)/B523</f>
        <v/>
      </c>
      <c r="D524" s="31">
        <f>((1+Table26[[#This Row],[Monthly change]])^12)-1</f>
        <v/>
      </c>
    </row>
    <row r="525">
      <c r="A525" s="51" t="n">
        <v>37347</v>
      </c>
      <c r="B525" s="53">
        <f>VLOOKUP(Table26[[#This Row],[Date]],'DB Money Supply'!$A:$E,5)</f>
        <v/>
      </c>
      <c r="C525" s="30">
        <f>(Table26[[#This Row],[M2 Money Stock, Billions of Dollars, Monthly, Seasonally Adjusted]]-B524)/B524</f>
        <v/>
      </c>
      <c r="D525" s="31">
        <f>((1+Table26[[#This Row],[Monthly change]])^12)-1</f>
        <v/>
      </c>
    </row>
    <row r="526">
      <c r="A526" s="33" t="n">
        <v>37377</v>
      </c>
      <c r="B526" s="53">
        <f>VLOOKUP(Table26[[#This Row],[Date]],'DB Money Supply'!$A:$E,5)</f>
        <v/>
      </c>
      <c r="C526" s="30">
        <f>(Table26[[#This Row],[M2 Money Stock, Billions of Dollars, Monthly, Seasonally Adjusted]]-B525)/B525</f>
        <v/>
      </c>
      <c r="D526" s="31">
        <f>((1+Table26[[#This Row],[Monthly change]])^12)-1</f>
        <v/>
      </c>
    </row>
    <row r="527">
      <c r="A527" s="51" t="n">
        <v>37408</v>
      </c>
      <c r="B527" s="53">
        <f>VLOOKUP(Table26[[#This Row],[Date]],'DB Money Supply'!$A:$E,5)</f>
        <v/>
      </c>
      <c r="C527" s="30">
        <f>(Table26[[#This Row],[M2 Money Stock, Billions of Dollars, Monthly, Seasonally Adjusted]]-B526)/B526</f>
        <v/>
      </c>
      <c r="D527" s="31">
        <f>((1+Table26[[#This Row],[Monthly change]])^12)-1</f>
        <v/>
      </c>
    </row>
    <row r="528">
      <c r="A528" s="33" t="n">
        <v>37438</v>
      </c>
      <c r="B528" s="53">
        <f>VLOOKUP(Table26[[#This Row],[Date]],'DB Money Supply'!$A:$E,5)</f>
        <v/>
      </c>
      <c r="C528" s="30">
        <f>(Table26[[#This Row],[M2 Money Stock, Billions of Dollars, Monthly, Seasonally Adjusted]]-B527)/B527</f>
        <v/>
      </c>
      <c r="D528" s="31">
        <f>((1+Table26[[#This Row],[Monthly change]])^12)-1</f>
        <v/>
      </c>
    </row>
    <row r="529">
      <c r="A529" s="51" t="n">
        <v>37469</v>
      </c>
      <c r="B529" s="53">
        <f>VLOOKUP(Table26[[#This Row],[Date]],'DB Money Supply'!$A:$E,5)</f>
        <v/>
      </c>
      <c r="C529" s="30">
        <f>(Table26[[#This Row],[M2 Money Stock, Billions of Dollars, Monthly, Seasonally Adjusted]]-B528)/B528</f>
        <v/>
      </c>
      <c r="D529" s="31">
        <f>((1+Table26[[#This Row],[Monthly change]])^12)-1</f>
        <v/>
      </c>
    </row>
    <row r="530">
      <c r="A530" s="33" t="n">
        <v>37500</v>
      </c>
      <c r="B530" s="53">
        <f>VLOOKUP(Table26[[#This Row],[Date]],'DB Money Supply'!$A:$E,5)</f>
        <v/>
      </c>
      <c r="C530" s="30">
        <f>(Table26[[#This Row],[M2 Money Stock, Billions of Dollars, Monthly, Seasonally Adjusted]]-B529)/B529</f>
        <v/>
      </c>
      <c r="D530" s="31">
        <f>((1+Table26[[#This Row],[Monthly change]])^12)-1</f>
        <v/>
      </c>
    </row>
    <row r="531">
      <c r="A531" s="51" t="n">
        <v>37530</v>
      </c>
      <c r="B531" s="53">
        <f>VLOOKUP(Table26[[#This Row],[Date]],'DB Money Supply'!$A:$E,5)</f>
        <v/>
      </c>
      <c r="C531" s="30">
        <f>(Table26[[#This Row],[M2 Money Stock, Billions of Dollars, Monthly, Seasonally Adjusted]]-B530)/B530</f>
        <v/>
      </c>
      <c r="D531" s="31">
        <f>((1+Table26[[#This Row],[Monthly change]])^12)-1</f>
        <v/>
      </c>
    </row>
    <row r="532">
      <c r="A532" s="33" t="n">
        <v>37561</v>
      </c>
      <c r="B532" s="53">
        <f>VLOOKUP(Table26[[#This Row],[Date]],'DB Money Supply'!$A:$E,5)</f>
        <v/>
      </c>
      <c r="C532" s="30">
        <f>(Table26[[#This Row],[M2 Money Stock, Billions of Dollars, Monthly, Seasonally Adjusted]]-B531)/B531</f>
        <v/>
      </c>
      <c r="D532" s="31">
        <f>((1+Table26[[#This Row],[Monthly change]])^12)-1</f>
        <v/>
      </c>
    </row>
    <row r="533">
      <c r="A533" s="51" t="n">
        <v>37591</v>
      </c>
      <c r="B533" s="53">
        <f>VLOOKUP(Table26[[#This Row],[Date]],'DB Money Supply'!$A:$E,5)</f>
        <v/>
      </c>
      <c r="C533" s="30">
        <f>(Table26[[#This Row],[M2 Money Stock, Billions of Dollars, Monthly, Seasonally Adjusted]]-B532)/B532</f>
        <v/>
      </c>
      <c r="D533" s="31">
        <f>((1+Table26[[#This Row],[Monthly change]])^12)-1</f>
        <v/>
      </c>
    </row>
    <row r="534">
      <c r="A534" s="33" t="n">
        <v>37622</v>
      </c>
      <c r="B534" s="53">
        <f>VLOOKUP(Table26[[#This Row],[Date]],'DB Money Supply'!$A:$E,5)</f>
        <v/>
      </c>
      <c r="C534" s="30">
        <f>(Table26[[#This Row],[M2 Money Stock, Billions of Dollars, Monthly, Seasonally Adjusted]]-B533)/B533</f>
        <v/>
      </c>
      <c r="D534" s="31">
        <f>((1+Table26[[#This Row],[Monthly change]])^12)-1</f>
        <v/>
      </c>
    </row>
    <row r="535">
      <c r="A535" s="51" t="n">
        <v>37653</v>
      </c>
      <c r="B535" s="53">
        <f>VLOOKUP(Table26[[#This Row],[Date]],'DB Money Supply'!$A:$E,5)</f>
        <v/>
      </c>
      <c r="C535" s="30">
        <f>(Table26[[#This Row],[M2 Money Stock, Billions of Dollars, Monthly, Seasonally Adjusted]]-B534)/B534</f>
        <v/>
      </c>
      <c r="D535" s="31">
        <f>((1+Table26[[#This Row],[Monthly change]])^12)-1</f>
        <v/>
      </c>
    </row>
    <row r="536">
      <c r="A536" s="33" t="n">
        <v>37681</v>
      </c>
      <c r="B536" s="53">
        <f>VLOOKUP(Table26[[#This Row],[Date]],'DB Money Supply'!$A:$E,5)</f>
        <v/>
      </c>
      <c r="C536" s="30">
        <f>(Table26[[#This Row],[M2 Money Stock, Billions of Dollars, Monthly, Seasonally Adjusted]]-B535)/B535</f>
        <v/>
      </c>
      <c r="D536" s="31">
        <f>((1+Table26[[#This Row],[Monthly change]])^12)-1</f>
        <v/>
      </c>
    </row>
    <row r="537">
      <c r="A537" s="51" t="n">
        <v>37712</v>
      </c>
      <c r="B537" s="53">
        <f>VLOOKUP(Table26[[#This Row],[Date]],'DB Money Supply'!$A:$E,5)</f>
        <v/>
      </c>
      <c r="C537" s="30">
        <f>(Table26[[#This Row],[M2 Money Stock, Billions of Dollars, Monthly, Seasonally Adjusted]]-B536)/B536</f>
        <v/>
      </c>
      <c r="D537" s="31">
        <f>((1+Table26[[#This Row],[Monthly change]])^12)-1</f>
        <v/>
      </c>
    </row>
    <row r="538">
      <c r="A538" s="51" t="n">
        <v>37742</v>
      </c>
      <c r="B538" s="53">
        <f>VLOOKUP(Table26[[#This Row],[Date]],'DB Money Supply'!$A:$E,5)</f>
        <v/>
      </c>
      <c r="C538" s="30">
        <f>(Table26[[#This Row],[M2 Money Stock, Billions of Dollars, Monthly, Seasonally Adjusted]]-B537)/B537</f>
        <v/>
      </c>
      <c r="D538" s="31">
        <f>((1+Table26[[#This Row],[Monthly change]])^12)-1</f>
        <v/>
      </c>
    </row>
    <row r="539">
      <c r="A539" s="33" t="n">
        <v>37773</v>
      </c>
      <c r="B539" s="53">
        <f>VLOOKUP(Table26[[#This Row],[Date]],'DB Money Supply'!$A:$E,5)</f>
        <v/>
      </c>
      <c r="C539" s="30">
        <f>(Table26[[#This Row],[M2 Money Stock, Billions of Dollars, Monthly, Seasonally Adjusted]]-B538)/B538</f>
        <v/>
      </c>
      <c r="D539" s="31">
        <f>((1+Table26[[#This Row],[Monthly change]])^12)-1</f>
        <v/>
      </c>
    </row>
    <row r="540">
      <c r="A540" s="51" t="n">
        <v>37803</v>
      </c>
      <c r="B540" s="53">
        <f>VLOOKUP(Table26[[#This Row],[Date]],'DB Money Supply'!$A:$E,5)</f>
        <v/>
      </c>
      <c r="C540" s="30">
        <f>(Table26[[#This Row],[M2 Money Stock, Billions of Dollars, Monthly, Seasonally Adjusted]]-B539)/B539</f>
        <v/>
      </c>
      <c r="D540" s="31">
        <f>((1+Table26[[#This Row],[Monthly change]])^12)-1</f>
        <v/>
      </c>
    </row>
    <row r="541">
      <c r="A541" s="33" t="n">
        <v>37834</v>
      </c>
      <c r="B541" s="53">
        <f>VLOOKUP(Table26[[#This Row],[Date]],'DB Money Supply'!$A:$E,5)</f>
        <v/>
      </c>
      <c r="C541" s="30">
        <f>(Table26[[#This Row],[M2 Money Stock, Billions of Dollars, Monthly, Seasonally Adjusted]]-B540)/B540</f>
        <v/>
      </c>
      <c r="D541" s="31">
        <f>((1+Table26[[#This Row],[Monthly change]])^12)-1</f>
        <v/>
      </c>
    </row>
    <row r="542">
      <c r="A542" s="51" t="n">
        <v>37865</v>
      </c>
      <c r="B542" s="53">
        <f>VLOOKUP(Table26[[#This Row],[Date]],'DB Money Supply'!$A:$E,5)</f>
        <v/>
      </c>
      <c r="C542" s="30">
        <f>(Table26[[#This Row],[M2 Money Stock, Billions of Dollars, Monthly, Seasonally Adjusted]]-B541)/B541</f>
        <v/>
      </c>
      <c r="D542" s="31">
        <f>((1+Table26[[#This Row],[Monthly change]])^12)-1</f>
        <v/>
      </c>
    </row>
    <row r="543">
      <c r="A543" s="33" t="n">
        <v>37895</v>
      </c>
      <c r="B543" s="53">
        <f>VLOOKUP(Table26[[#This Row],[Date]],'DB Money Supply'!$A:$E,5)</f>
        <v/>
      </c>
      <c r="C543" s="30">
        <f>(Table26[[#This Row],[M2 Money Stock, Billions of Dollars, Monthly, Seasonally Adjusted]]-B542)/B542</f>
        <v/>
      </c>
      <c r="D543" s="31">
        <f>((1+Table26[[#This Row],[Monthly change]])^12)-1</f>
        <v/>
      </c>
    </row>
    <row r="544">
      <c r="A544" s="51" t="n">
        <v>37926</v>
      </c>
      <c r="B544" s="53">
        <f>VLOOKUP(Table26[[#This Row],[Date]],'DB Money Supply'!$A:$E,5)</f>
        <v/>
      </c>
      <c r="C544" s="30">
        <f>(Table26[[#This Row],[M2 Money Stock, Billions of Dollars, Monthly, Seasonally Adjusted]]-B543)/B543</f>
        <v/>
      </c>
      <c r="D544" s="31">
        <f>((1+Table26[[#This Row],[Monthly change]])^12)-1</f>
        <v/>
      </c>
    </row>
    <row r="545">
      <c r="A545" s="33" t="n">
        <v>37956</v>
      </c>
      <c r="B545" s="53">
        <f>VLOOKUP(Table26[[#This Row],[Date]],'DB Money Supply'!$A:$E,5)</f>
        <v/>
      </c>
      <c r="C545" s="30">
        <f>(Table26[[#This Row],[M2 Money Stock, Billions of Dollars, Monthly, Seasonally Adjusted]]-B544)/B544</f>
        <v/>
      </c>
      <c r="D545" s="31">
        <f>((1+Table26[[#This Row],[Monthly change]])^12)-1</f>
        <v/>
      </c>
    </row>
    <row r="546">
      <c r="A546" s="51" t="n">
        <v>37987</v>
      </c>
      <c r="B546" s="53">
        <f>VLOOKUP(Table26[[#This Row],[Date]],'DB Money Supply'!$A:$E,5)</f>
        <v/>
      </c>
      <c r="C546" s="30">
        <f>(Table26[[#This Row],[M2 Money Stock, Billions of Dollars, Monthly, Seasonally Adjusted]]-B545)/B545</f>
        <v/>
      </c>
      <c r="D546" s="31">
        <f>((1+Table26[[#This Row],[Monthly change]])^12)-1</f>
        <v/>
      </c>
    </row>
    <row r="547">
      <c r="A547" s="33" t="n">
        <v>38018</v>
      </c>
      <c r="B547" s="53">
        <f>VLOOKUP(Table26[[#This Row],[Date]],'DB Money Supply'!$A:$E,5)</f>
        <v/>
      </c>
      <c r="C547" s="30">
        <f>(Table26[[#This Row],[M2 Money Stock, Billions of Dollars, Monthly, Seasonally Adjusted]]-B546)/B546</f>
        <v/>
      </c>
      <c r="D547" s="31">
        <f>((1+Table26[[#This Row],[Monthly change]])^12)-1</f>
        <v/>
      </c>
    </row>
    <row r="548">
      <c r="A548" s="51" t="n">
        <v>38047</v>
      </c>
      <c r="B548" s="53">
        <f>VLOOKUP(Table26[[#This Row],[Date]],'DB Money Supply'!$A:$E,5)</f>
        <v/>
      </c>
      <c r="C548" s="30">
        <f>(Table26[[#This Row],[M2 Money Stock, Billions of Dollars, Monthly, Seasonally Adjusted]]-B547)/B547</f>
        <v/>
      </c>
      <c r="D548" s="31">
        <f>((1+Table26[[#This Row],[Monthly change]])^12)-1</f>
        <v/>
      </c>
    </row>
    <row r="549">
      <c r="A549" s="33" t="n">
        <v>38078</v>
      </c>
      <c r="B549" s="53">
        <f>VLOOKUP(Table26[[#This Row],[Date]],'DB Money Supply'!$A:$E,5)</f>
        <v/>
      </c>
      <c r="C549" s="30">
        <f>(Table26[[#This Row],[M2 Money Stock, Billions of Dollars, Monthly, Seasonally Adjusted]]-B548)/B548</f>
        <v/>
      </c>
      <c r="D549" s="31">
        <f>((1+Table26[[#This Row],[Monthly change]])^12)-1</f>
        <v/>
      </c>
    </row>
    <row r="550">
      <c r="A550" s="51" t="n">
        <v>38108</v>
      </c>
      <c r="B550" s="53">
        <f>VLOOKUP(Table26[[#This Row],[Date]],'DB Money Supply'!$A:$E,5)</f>
        <v/>
      </c>
      <c r="C550" s="30">
        <f>(Table26[[#This Row],[M2 Money Stock, Billions of Dollars, Monthly, Seasonally Adjusted]]-B549)/B549</f>
        <v/>
      </c>
      <c r="D550" s="31">
        <f>((1+Table26[[#This Row],[Monthly change]])^12)-1</f>
        <v/>
      </c>
    </row>
    <row r="551">
      <c r="A551" s="33" t="n">
        <v>38139</v>
      </c>
      <c r="B551" s="53">
        <f>VLOOKUP(Table26[[#This Row],[Date]],'DB Money Supply'!$A:$E,5)</f>
        <v/>
      </c>
      <c r="C551" s="30">
        <f>(Table26[[#This Row],[M2 Money Stock, Billions of Dollars, Monthly, Seasonally Adjusted]]-B550)/B550</f>
        <v/>
      </c>
      <c r="D551" s="31">
        <f>((1+Table26[[#This Row],[Monthly change]])^12)-1</f>
        <v/>
      </c>
    </row>
    <row r="552">
      <c r="A552" s="51" t="n">
        <v>38169</v>
      </c>
      <c r="B552" s="53">
        <f>VLOOKUP(Table26[[#This Row],[Date]],'DB Money Supply'!$A:$E,5)</f>
        <v/>
      </c>
      <c r="C552" s="30">
        <f>(Table26[[#This Row],[M2 Money Stock, Billions of Dollars, Monthly, Seasonally Adjusted]]-B551)/B551</f>
        <v/>
      </c>
      <c r="D552" s="31">
        <f>((1+Table26[[#This Row],[Monthly change]])^12)-1</f>
        <v/>
      </c>
    </row>
    <row r="553">
      <c r="A553" s="33" t="n">
        <v>38200</v>
      </c>
      <c r="B553" s="53">
        <f>VLOOKUP(Table26[[#This Row],[Date]],'DB Money Supply'!$A:$E,5)</f>
        <v/>
      </c>
      <c r="C553" s="30">
        <f>(Table26[[#This Row],[M2 Money Stock, Billions of Dollars, Monthly, Seasonally Adjusted]]-B552)/B552</f>
        <v/>
      </c>
      <c r="D553" s="31">
        <f>((1+Table26[[#This Row],[Monthly change]])^12)-1</f>
        <v/>
      </c>
    </row>
    <row r="554">
      <c r="A554" s="51" t="n">
        <v>38231</v>
      </c>
      <c r="B554" s="53">
        <f>VLOOKUP(Table26[[#This Row],[Date]],'DB Money Supply'!$A:$E,5)</f>
        <v/>
      </c>
      <c r="C554" s="30">
        <f>(Table26[[#This Row],[M2 Money Stock, Billions of Dollars, Monthly, Seasonally Adjusted]]-B553)/B553</f>
        <v/>
      </c>
      <c r="D554" s="31">
        <f>((1+Table26[[#This Row],[Monthly change]])^12)-1</f>
        <v/>
      </c>
    </row>
    <row r="555">
      <c r="A555" s="33" t="n">
        <v>38261</v>
      </c>
      <c r="B555" s="53">
        <f>VLOOKUP(Table26[[#This Row],[Date]],'DB Money Supply'!$A:$E,5)</f>
        <v/>
      </c>
      <c r="C555" s="30">
        <f>(Table26[[#This Row],[M2 Money Stock, Billions of Dollars, Monthly, Seasonally Adjusted]]-B554)/B554</f>
        <v/>
      </c>
      <c r="D555" s="31">
        <f>((1+Table26[[#This Row],[Monthly change]])^12)-1</f>
        <v/>
      </c>
    </row>
    <row r="556">
      <c r="A556" s="51" t="n">
        <v>38292</v>
      </c>
      <c r="B556" s="53">
        <f>VLOOKUP(Table26[[#This Row],[Date]],'DB Money Supply'!$A:$E,5)</f>
        <v/>
      </c>
      <c r="C556" s="30">
        <f>(Table26[[#This Row],[M2 Money Stock, Billions of Dollars, Monthly, Seasonally Adjusted]]-B555)/B555</f>
        <v/>
      </c>
      <c r="D556" s="31">
        <f>((1+Table26[[#This Row],[Monthly change]])^12)-1</f>
        <v/>
      </c>
    </row>
    <row r="557">
      <c r="A557" s="51" t="n">
        <v>38322</v>
      </c>
      <c r="B557" s="53">
        <f>VLOOKUP(Table26[[#This Row],[Date]],'DB Money Supply'!$A:$E,5)</f>
        <v/>
      </c>
      <c r="C557" s="30">
        <f>(Table26[[#This Row],[M2 Money Stock, Billions of Dollars, Monthly, Seasonally Adjusted]]-B556)/B556</f>
        <v/>
      </c>
      <c r="D557" s="31">
        <f>((1+Table26[[#This Row],[Monthly change]])^12)-1</f>
        <v/>
      </c>
    </row>
    <row r="558">
      <c r="A558" s="33" t="n">
        <v>38353</v>
      </c>
      <c r="B558" s="53">
        <f>VLOOKUP(Table26[[#This Row],[Date]],'DB Money Supply'!$A:$E,5)</f>
        <v/>
      </c>
      <c r="C558" s="30">
        <f>(Table26[[#This Row],[M2 Money Stock, Billions of Dollars, Monthly, Seasonally Adjusted]]-B557)/B557</f>
        <v/>
      </c>
      <c r="D558" s="31">
        <f>((1+Table26[[#This Row],[Monthly change]])^12)-1</f>
        <v/>
      </c>
    </row>
    <row r="559">
      <c r="A559" s="51" t="n">
        <v>38384</v>
      </c>
      <c r="B559" s="53">
        <f>VLOOKUP(Table26[[#This Row],[Date]],'DB Money Supply'!$A:$E,5)</f>
        <v/>
      </c>
      <c r="C559" s="30">
        <f>(Table26[[#This Row],[M2 Money Stock, Billions of Dollars, Monthly, Seasonally Adjusted]]-B558)/B558</f>
        <v/>
      </c>
      <c r="D559" s="31">
        <f>((1+Table26[[#This Row],[Monthly change]])^12)-1</f>
        <v/>
      </c>
    </row>
    <row r="560">
      <c r="A560" s="33" t="n">
        <v>38412</v>
      </c>
      <c r="B560" s="53">
        <f>VLOOKUP(Table26[[#This Row],[Date]],'DB Money Supply'!$A:$E,5)</f>
        <v/>
      </c>
      <c r="C560" s="30">
        <f>(Table26[[#This Row],[M2 Money Stock, Billions of Dollars, Monthly, Seasonally Adjusted]]-B559)/B559</f>
        <v/>
      </c>
      <c r="D560" s="31">
        <f>((1+Table26[[#This Row],[Monthly change]])^12)-1</f>
        <v/>
      </c>
    </row>
    <row r="561">
      <c r="A561" s="51" t="n">
        <v>38443</v>
      </c>
      <c r="B561" s="53">
        <f>VLOOKUP(Table26[[#This Row],[Date]],'DB Money Supply'!$A:$E,5)</f>
        <v/>
      </c>
      <c r="C561" s="30">
        <f>(Table26[[#This Row],[M2 Money Stock, Billions of Dollars, Monthly, Seasonally Adjusted]]-B560)/B560</f>
        <v/>
      </c>
      <c r="D561" s="31">
        <f>((1+Table26[[#This Row],[Monthly change]])^12)-1</f>
        <v/>
      </c>
    </row>
    <row r="562">
      <c r="A562" s="33" t="n">
        <v>38473</v>
      </c>
      <c r="B562" s="53">
        <f>VLOOKUP(Table26[[#This Row],[Date]],'DB Money Supply'!$A:$E,5)</f>
        <v/>
      </c>
      <c r="C562" s="30">
        <f>(Table26[[#This Row],[M2 Money Stock, Billions of Dollars, Monthly, Seasonally Adjusted]]-B561)/B561</f>
        <v/>
      </c>
      <c r="D562" s="31">
        <f>((1+Table26[[#This Row],[Monthly change]])^12)-1</f>
        <v/>
      </c>
    </row>
    <row r="563">
      <c r="A563" s="51" t="n">
        <v>38504</v>
      </c>
      <c r="B563" s="53">
        <f>VLOOKUP(Table26[[#This Row],[Date]],'DB Money Supply'!$A:$E,5)</f>
        <v/>
      </c>
      <c r="C563" s="30">
        <f>(Table26[[#This Row],[M2 Money Stock, Billions of Dollars, Monthly, Seasonally Adjusted]]-B562)/B562</f>
        <v/>
      </c>
      <c r="D563" s="31">
        <f>((1+Table26[[#This Row],[Monthly change]])^12)-1</f>
        <v/>
      </c>
    </row>
    <row r="564">
      <c r="A564" s="33" t="n">
        <v>38534</v>
      </c>
      <c r="B564" s="53">
        <f>VLOOKUP(Table26[[#This Row],[Date]],'DB Money Supply'!$A:$E,5)</f>
        <v/>
      </c>
      <c r="C564" s="30">
        <f>(Table26[[#This Row],[M2 Money Stock, Billions of Dollars, Monthly, Seasonally Adjusted]]-B563)/B563</f>
        <v/>
      </c>
      <c r="D564" s="31">
        <f>((1+Table26[[#This Row],[Monthly change]])^12)-1</f>
        <v/>
      </c>
    </row>
    <row r="565">
      <c r="A565" s="51" t="n">
        <v>38565</v>
      </c>
      <c r="B565" s="53">
        <f>VLOOKUP(Table26[[#This Row],[Date]],'DB Money Supply'!$A:$E,5)</f>
        <v/>
      </c>
      <c r="C565" s="30">
        <f>(Table26[[#This Row],[M2 Money Stock, Billions of Dollars, Monthly, Seasonally Adjusted]]-B564)/B564</f>
        <v/>
      </c>
      <c r="D565" s="31">
        <f>((1+Table26[[#This Row],[Monthly change]])^12)-1</f>
        <v/>
      </c>
    </row>
    <row r="566">
      <c r="A566" s="33" t="n">
        <v>38596</v>
      </c>
      <c r="B566" s="53">
        <f>VLOOKUP(Table26[[#This Row],[Date]],'DB Money Supply'!$A:$E,5)</f>
        <v/>
      </c>
      <c r="C566" s="30">
        <f>(Table26[[#This Row],[M2 Money Stock, Billions of Dollars, Monthly, Seasonally Adjusted]]-B565)/B565</f>
        <v/>
      </c>
      <c r="D566" s="31">
        <f>((1+Table26[[#This Row],[Monthly change]])^12)-1</f>
        <v/>
      </c>
    </row>
    <row r="567">
      <c r="A567" s="51" t="n">
        <v>38626</v>
      </c>
      <c r="B567" s="53">
        <f>VLOOKUP(Table26[[#This Row],[Date]],'DB Money Supply'!$A:$E,5)</f>
        <v/>
      </c>
      <c r="C567" s="30">
        <f>(Table26[[#This Row],[M2 Money Stock, Billions of Dollars, Monthly, Seasonally Adjusted]]-B566)/B566</f>
        <v/>
      </c>
      <c r="D567" s="31">
        <f>((1+Table26[[#This Row],[Monthly change]])^12)-1</f>
        <v/>
      </c>
    </row>
    <row r="568">
      <c r="A568" s="33" t="n">
        <v>38657</v>
      </c>
      <c r="B568" s="53">
        <f>VLOOKUP(Table26[[#This Row],[Date]],'DB Money Supply'!$A:$E,5)</f>
        <v/>
      </c>
      <c r="C568" s="30">
        <f>(Table26[[#This Row],[M2 Money Stock, Billions of Dollars, Monthly, Seasonally Adjusted]]-B567)/B567</f>
        <v/>
      </c>
      <c r="D568" s="31">
        <f>((1+Table26[[#This Row],[Monthly change]])^12)-1</f>
        <v/>
      </c>
    </row>
    <row r="569">
      <c r="A569" s="51" t="n">
        <v>38687</v>
      </c>
      <c r="B569" s="53">
        <f>VLOOKUP(Table26[[#This Row],[Date]],'DB Money Supply'!$A:$E,5)</f>
        <v/>
      </c>
      <c r="C569" s="30">
        <f>(Table26[[#This Row],[M2 Money Stock, Billions of Dollars, Monthly, Seasonally Adjusted]]-B568)/B568</f>
        <v/>
      </c>
      <c r="D569" s="31">
        <f>((1+Table26[[#This Row],[Monthly change]])^12)-1</f>
        <v/>
      </c>
    </row>
    <row r="570">
      <c r="A570" s="33" t="n">
        <v>38718</v>
      </c>
      <c r="B570" s="53">
        <f>VLOOKUP(Table26[[#This Row],[Date]],'DB Money Supply'!$A:$E,5)</f>
        <v/>
      </c>
      <c r="C570" s="30">
        <f>(Table26[[#This Row],[M2 Money Stock, Billions of Dollars, Monthly, Seasonally Adjusted]]-B569)/B569</f>
        <v/>
      </c>
      <c r="D570" s="31">
        <f>((1+Table26[[#This Row],[Monthly change]])^12)-1</f>
        <v/>
      </c>
    </row>
    <row r="571">
      <c r="A571" s="51" t="n">
        <v>38749</v>
      </c>
      <c r="B571" s="53">
        <f>VLOOKUP(Table26[[#This Row],[Date]],'DB Money Supply'!$A:$E,5)</f>
        <v/>
      </c>
      <c r="C571" s="30">
        <f>(Table26[[#This Row],[M2 Money Stock, Billions of Dollars, Monthly, Seasonally Adjusted]]-B570)/B570</f>
        <v/>
      </c>
      <c r="D571" s="31">
        <f>((1+Table26[[#This Row],[Monthly change]])^12)-1</f>
        <v/>
      </c>
    </row>
    <row r="572">
      <c r="A572" s="33" t="n">
        <v>38777</v>
      </c>
      <c r="B572" s="53">
        <f>VLOOKUP(Table26[[#This Row],[Date]],'DB Money Supply'!$A:$E,5)</f>
        <v/>
      </c>
      <c r="C572" s="30">
        <f>(Table26[[#This Row],[M2 Money Stock, Billions of Dollars, Monthly, Seasonally Adjusted]]-B571)/B571</f>
        <v/>
      </c>
      <c r="D572" s="31">
        <f>((1+Table26[[#This Row],[Monthly change]])^12)-1</f>
        <v/>
      </c>
    </row>
    <row r="573">
      <c r="A573" s="51" t="n">
        <v>38808</v>
      </c>
      <c r="B573" s="53">
        <f>VLOOKUP(Table26[[#This Row],[Date]],'DB Money Supply'!$A:$E,5)</f>
        <v/>
      </c>
      <c r="C573" s="30">
        <f>(Table26[[#This Row],[M2 Money Stock, Billions of Dollars, Monthly, Seasonally Adjusted]]-B572)/B572</f>
        <v/>
      </c>
      <c r="D573" s="31">
        <f>((1+Table26[[#This Row],[Monthly change]])^12)-1</f>
        <v/>
      </c>
    </row>
    <row r="574">
      <c r="A574" s="33" t="n">
        <v>38838</v>
      </c>
      <c r="B574" s="53">
        <f>VLOOKUP(Table26[[#This Row],[Date]],'DB Money Supply'!$A:$E,5)</f>
        <v/>
      </c>
      <c r="C574" s="30">
        <f>(Table26[[#This Row],[M2 Money Stock, Billions of Dollars, Monthly, Seasonally Adjusted]]-B573)/B573</f>
        <v/>
      </c>
      <c r="D574" s="31">
        <f>((1+Table26[[#This Row],[Monthly change]])^12)-1</f>
        <v/>
      </c>
    </row>
    <row r="575">
      <c r="A575" s="51" t="n">
        <v>38869</v>
      </c>
      <c r="B575" s="53">
        <f>VLOOKUP(Table26[[#This Row],[Date]],'DB Money Supply'!$A:$E,5)</f>
        <v/>
      </c>
      <c r="C575" s="30">
        <f>(Table26[[#This Row],[M2 Money Stock, Billions of Dollars, Monthly, Seasonally Adjusted]]-B574)/B574</f>
        <v/>
      </c>
      <c r="D575" s="31">
        <f>((1+Table26[[#This Row],[Monthly change]])^12)-1</f>
        <v/>
      </c>
    </row>
    <row r="576">
      <c r="A576" s="51" t="n">
        <v>38899</v>
      </c>
      <c r="B576" s="53">
        <f>VLOOKUP(Table26[[#This Row],[Date]],'DB Money Supply'!$A:$E,5)</f>
        <v/>
      </c>
      <c r="C576" s="30">
        <f>(Table26[[#This Row],[M2 Money Stock, Billions of Dollars, Monthly, Seasonally Adjusted]]-B575)/B575</f>
        <v/>
      </c>
      <c r="D576" s="31">
        <f>((1+Table26[[#This Row],[Monthly change]])^12)-1</f>
        <v/>
      </c>
    </row>
    <row r="577">
      <c r="A577" s="33" t="n">
        <v>38930</v>
      </c>
      <c r="B577" s="53">
        <f>VLOOKUP(Table26[[#This Row],[Date]],'DB Money Supply'!$A:$E,5)</f>
        <v/>
      </c>
      <c r="C577" s="30">
        <f>(Table26[[#This Row],[M2 Money Stock, Billions of Dollars, Monthly, Seasonally Adjusted]]-B576)/B576</f>
        <v/>
      </c>
      <c r="D577" s="31">
        <f>((1+Table26[[#This Row],[Monthly change]])^12)-1</f>
        <v/>
      </c>
    </row>
    <row r="578">
      <c r="A578" s="51" t="n">
        <v>38961</v>
      </c>
      <c r="B578" s="53">
        <f>VLOOKUP(Table26[[#This Row],[Date]],'DB Money Supply'!$A:$E,5)</f>
        <v/>
      </c>
      <c r="C578" s="30">
        <f>(Table26[[#This Row],[M2 Money Stock, Billions of Dollars, Monthly, Seasonally Adjusted]]-B577)/B577</f>
        <v/>
      </c>
      <c r="D578" s="31">
        <f>((1+Table26[[#This Row],[Monthly change]])^12)-1</f>
        <v/>
      </c>
    </row>
    <row r="579">
      <c r="A579" s="33" t="n">
        <v>38991</v>
      </c>
      <c r="B579" s="53">
        <f>VLOOKUP(Table26[[#This Row],[Date]],'DB Money Supply'!$A:$E,5)</f>
        <v/>
      </c>
      <c r="C579" s="30">
        <f>(Table26[[#This Row],[M2 Money Stock, Billions of Dollars, Monthly, Seasonally Adjusted]]-B578)/B578</f>
        <v/>
      </c>
      <c r="D579" s="31">
        <f>((1+Table26[[#This Row],[Monthly change]])^12)-1</f>
        <v/>
      </c>
    </row>
    <row r="580">
      <c r="A580" s="51" t="n">
        <v>39022</v>
      </c>
      <c r="B580" s="53">
        <f>VLOOKUP(Table26[[#This Row],[Date]],'DB Money Supply'!$A:$E,5)</f>
        <v/>
      </c>
      <c r="C580" s="30">
        <f>(Table26[[#This Row],[M2 Money Stock, Billions of Dollars, Monthly, Seasonally Adjusted]]-B579)/B579</f>
        <v/>
      </c>
      <c r="D580" s="31">
        <f>((1+Table26[[#This Row],[Monthly change]])^12)-1</f>
        <v/>
      </c>
    </row>
    <row r="581">
      <c r="A581" s="33" t="n">
        <v>39052</v>
      </c>
      <c r="B581" s="53">
        <f>VLOOKUP(Table26[[#This Row],[Date]],'DB Money Supply'!$A:$E,5)</f>
        <v/>
      </c>
      <c r="C581" s="30">
        <f>(Table26[[#This Row],[M2 Money Stock, Billions of Dollars, Monthly, Seasonally Adjusted]]-B580)/B580</f>
        <v/>
      </c>
      <c r="D581" s="31">
        <f>((1+Table26[[#This Row],[Monthly change]])^12)-1</f>
        <v/>
      </c>
    </row>
    <row r="582">
      <c r="A582" s="51" t="n">
        <v>39083</v>
      </c>
      <c r="B582" s="53">
        <f>VLOOKUP(Table26[[#This Row],[Date]],'DB Money Supply'!$A:$E,5)</f>
        <v/>
      </c>
      <c r="C582" s="30">
        <f>(Table26[[#This Row],[M2 Money Stock, Billions of Dollars, Monthly, Seasonally Adjusted]]-B581)/B581</f>
        <v/>
      </c>
      <c r="D582" s="31">
        <f>((1+Table26[[#This Row],[Monthly change]])^12)-1</f>
        <v/>
      </c>
    </row>
    <row r="583">
      <c r="A583" s="33" t="n">
        <v>39114</v>
      </c>
      <c r="B583" s="53">
        <f>VLOOKUP(Table26[[#This Row],[Date]],'DB Money Supply'!$A:$E,5)</f>
        <v/>
      </c>
      <c r="C583" s="30">
        <f>(Table26[[#This Row],[M2 Money Stock, Billions of Dollars, Monthly, Seasonally Adjusted]]-B582)/B582</f>
        <v/>
      </c>
      <c r="D583" s="31">
        <f>((1+Table26[[#This Row],[Monthly change]])^12)-1</f>
        <v/>
      </c>
    </row>
    <row r="584">
      <c r="A584" s="51" t="n">
        <v>39142</v>
      </c>
      <c r="B584" s="53">
        <f>VLOOKUP(Table26[[#This Row],[Date]],'DB Money Supply'!$A:$E,5)</f>
        <v/>
      </c>
      <c r="C584" s="30">
        <f>(Table26[[#This Row],[M2 Money Stock, Billions of Dollars, Monthly, Seasonally Adjusted]]-B583)/B583</f>
        <v/>
      </c>
      <c r="D584" s="31">
        <f>((1+Table26[[#This Row],[Monthly change]])^12)-1</f>
        <v/>
      </c>
    </row>
    <row r="585">
      <c r="A585" s="33" t="n">
        <v>39173</v>
      </c>
      <c r="B585" s="53">
        <f>VLOOKUP(Table26[[#This Row],[Date]],'DB Money Supply'!$A:$E,5)</f>
        <v/>
      </c>
      <c r="C585" s="30">
        <f>(Table26[[#This Row],[M2 Money Stock, Billions of Dollars, Monthly, Seasonally Adjusted]]-B584)/B584</f>
        <v/>
      </c>
      <c r="D585" s="31">
        <f>((1+Table26[[#This Row],[Monthly change]])^12)-1</f>
        <v/>
      </c>
    </row>
    <row r="586">
      <c r="A586" s="51" t="n">
        <v>39203</v>
      </c>
      <c r="B586" s="53">
        <f>VLOOKUP(Table26[[#This Row],[Date]],'DB Money Supply'!$A:$E,5)</f>
        <v/>
      </c>
      <c r="C586" s="30">
        <f>(Table26[[#This Row],[M2 Money Stock, Billions of Dollars, Monthly, Seasonally Adjusted]]-B585)/B585</f>
        <v/>
      </c>
      <c r="D586" s="31">
        <f>((1+Table26[[#This Row],[Monthly change]])^12)-1</f>
        <v/>
      </c>
    </row>
    <row r="587">
      <c r="A587" s="33" t="n">
        <v>39234</v>
      </c>
      <c r="B587" s="53">
        <f>VLOOKUP(Table26[[#This Row],[Date]],'DB Money Supply'!$A:$E,5)</f>
        <v/>
      </c>
      <c r="C587" s="30">
        <f>(Table26[[#This Row],[M2 Money Stock, Billions of Dollars, Monthly, Seasonally Adjusted]]-B586)/B586</f>
        <v/>
      </c>
      <c r="D587" s="31">
        <f>((1+Table26[[#This Row],[Monthly change]])^12)-1</f>
        <v/>
      </c>
    </row>
    <row r="588">
      <c r="A588" s="51" t="n">
        <v>39264</v>
      </c>
      <c r="B588" s="53">
        <f>VLOOKUP(Table26[[#This Row],[Date]],'DB Money Supply'!$A:$E,5)</f>
        <v/>
      </c>
      <c r="C588" s="30">
        <f>(Table26[[#This Row],[M2 Money Stock, Billions of Dollars, Monthly, Seasonally Adjusted]]-B587)/B587</f>
        <v/>
      </c>
      <c r="D588" s="31">
        <f>((1+Table26[[#This Row],[Monthly change]])^12)-1</f>
        <v/>
      </c>
    </row>
    <row r="589">
      <c r="A589" s="33" t="n">
        <v>39295</v>
      </c>
      <c r="B589" s="53">
        <f>VLOOKUP(Table26[[#This Row],[Date]],'DB Money Supply'!$A:$E,5)</f>
        <v/>
      </c>
      <c r="C589" s="30">
        <f>(Table26[[#This Row],[M2 Money Stock, Billions of Dollars, Monthly, Seasonally Adjusted]]-B588)/B588</f>
        <v/>
      </c>
      <c r="D589" s="31">
        <f>((1+Table26[[#This Row],[Monthly change]])^12)-1</f>
        <v/>
      </c>
    </row>
    <row r="590">
      <c r="A590" s="51" t="n">
        <v>39326</v>
      </c>
      <c r="B590" s="53">
        <f>VLOOKUP(Table26[[#This Row],[Date]],'DB Money Supply'!$A:$E,5)</f>
        <v/>
      </c>
      <c r="C590" s="30">
        <f>(Table26[[#This Row],[M2 Money Stock, Billions of Dollars, Monthly, Seasonally Adjusted]]-B589)/B589</f>
        <v/>
      </c>
      <c r="D590" s="31">
        <f>((1+Table26[[#This Row],[Monthly change]])^12)-1</f>
        <v/>
      </c>
    </row>
    <row r="591">
      <c r="A591" s="33" t="n">
        <v>39356</v>
      </c>
      <c r="B591" s="53">
        <f>VLOOKUP(Table26[[#This Row],[Date]],'DB Money Supply'!$A:$E,5)</f>
        <v/>
      </c>
      <c r="C591" s="30">
        <f>(Table26[[#This Row],[M2 Money Stock, Billions of Dollars, Monthly, Seasonally Adjusted]]-B590)/B590</f>
        <v/>
      </c>
      <c r="D591" s="31">
        <f>((1+Table26[[#This Row],[Monthly change]])^12)-1</f>
        <v/>
      </c>
    </row>
    <row r="592">
      <c r="A592" s="51" t="n">
        <v>39387</v>
      </c>
      <c r="B592" s="53">
        <f>VLOOKUP(Table26[[#This Row],[Date]],'DB Money Supply'!$A:$E,5)</f>
        <v/>
      </c>
      <c r="C592" s="30">
        <f>(Table26[[#This Row],[M2 Money Stock, Billions of Dollars, Monthly, Seasonally Adjusted]]-B591)/B591</f>
        <v/>
      </c>
      <c r="D592" s="31">
        <f>((1+Table26[[#This Row],[Monthly change]])^12)-1</f>
        <v/>
      </c>
    </row>
    <row r="593">
      <c r="A593" s="33" t="n">
        <v>39417</v>
      </c>
      <c r="B593" s="53">
        <f>VLOOKUP(Table26[[#This Row],[Date]],'DB Money Supply'!$A:$E,5)</f>
        <v/>
      </c>
      <c r="C593" s="30">
        <f>(Table26[[#This Row],[M2 Money Stock, Billions of Dollars, Monthly, Seasonally Adjusted]]-B592)/B592</f>
        <v/>
      </c>
      <c r="D593" s="31">
        <f>((1+Table26[[#This Row],[Monthly change]])^12)-1</f>
        <v/>
      </c>
    </row>
    <row r="594">
      <c r="A594" s="51" t="n">
        <v>39448</v>
      </c>
      <c r="B594" s="53">
        <f>VLOOKUP(Table26[[#This Row],[Date]],'DB Money Supply'!$A:$E,5)</f>
        <v/>
      </c>
      <c r="C594" s="30">
        <f>(Table26[[#This Row],[M2 Money Stock, Billions of Dollars, Monthly, Seasonally Adjusted]]-B593)/B593</f>
        <v/>
      </c>
      <c r="D594" s="31">
        <f>((1+Table26[[#This Row],[Monthly change]])^12)-1</f>
        <v/>
      </c>
    </row>
    <row r="595">
      <c r="A595" s="51" t="n">
        <v>39479</v>
      </c>
      <c r="B595" s="53">
        <f>VLOOKUP(Table26[[#This Row],[Date]],'DB Money Supply'!$A:$E,5)</f>
        <v/>
      </c>
      <c r="C595" s="30">
        <f>(Table26[[#This Row],[M2 Money Stock, Billions of Dollars, Monthly, Seasonally Adjusted]]-B594)/B594</f>
        <v/>
      </c>
      <c r="D595" s="31">
        <f>((1+Table26[[#This Row],[Monthly change]])^12)-1</f>
        <v/>
      </c>
    </row>
    <row r="596">
      <c r="A596" s="33" t="n">
        <v>39508</v>
      </c>
      <c r="B596" s="53">
        <f>VLOOKUP(Table26[[#This Row],[Date]],'DB Money Supply'!$A:$E,5)</f>
        <v/>
      </c>
      <c r="C596" s="30">
        <f>(Table26[[#This Row],[M2 Money Stock, Billions of Dollars, Monthly, Seasonally Adjusted]]-B595)/B595</f>
        <v/>
      </c>
      <c r="D596" s="31">
        <f>((1+Table26[[#This Row],[Monthly change]])^12)-1</f>
        <v/>
      </c>
    </row>
    <row r="597">
      <c r="A597" s="51" t="n">
        <v>39539</v>
      </c>
      <c r="B597" s="53">
        <f>VLOOKUP(Table26[[#This Row],[Date]],'DB Money Supply'!$A:$E,5)</f>
        <v/>
      </c>
      <c r="C597" s="30">
        <f>(Table26[[#This Row],[M2 Money Stock, Billions of Dollars, Monthly, Seasonally Adjusted]]-B596)/B596</f>
        <v/>
      </c>
      <c r="D597" s="31">
        <f>((1+Table26[[#This Row],[Monthly change]])^12)-1</f>
        <v/>
      </c>
    </row>
    <row r="598">
      <c r="A598" s="33" t="n">
        <v>39569</v>
      </c>
      <c r="B598" s="53">
        <f>VLOOKUP(Table26[[#This Row],[Date]],'DB Money Supply'!$A:$E,5)</f>
        <v/>
      </c>
      <c r="C598" s="30">
        <f>(Table26[[#This Row],[M2 Money Stock, Billions of Dollars, Monthly, Seasonally Adjusted]]-B597)/B597</f>
        <v/>
      </c>
      <c r="D598" s="31">
        <f>((1+Table26[[#This Row],[Monthly change]])^12)-1</f>
        <v/>
      </c>
    </row>
    <row r="599">
      <c r="A599" s="51" t="n">
        <v>39600</v>
      </c>
      <c r="B599" s="53">
        <f>VLOOKUP(Table26[[#This Row],[Date]],'DB Money Supply'!$A:$E,5)</f>
        <v/>
      </c>
      <c r="C599" s="30">
        <f>(Table26[[#This Row],[M2 Money Stock, Billions of Dollars, Monthly, Seasonally Adjusted]]-B598)/B598</f>
        <v/>
      </c>
      <c r="D599" s="31">
        <f>((1+Table26[[#This Row],[Monthly change]])^12)-1</f>
        <v/>
      </c>
    </row>
    <row r="600">
      <c r="A600" s="33" t="n">
        <v>39630</v>
      </c>
      <c r="B600" s="53">
        <f>VLOOKUP(Table26[[#This Row],[Date]],'DB Money Supply'!$A:$E,5)</f>
        <v/>
      </c>
      <c r="C600" s="30">
        <f>(Table26[[#This Row],[M2 Money Stock, Billions of Dollars, Monthly, Seasonally Adjusted]]-B599)/B599</f>
        <v/>
      </c>
      <c r="D600" s="31">
        <f>((1+Table26[[#This Row],[Monthly change]])^12)-1</f>
        <v/>
      </c>
    </row>
    <row r="601">
      <c r="A601" s="51" t="n">
        <v>39661</v>
      </c>
      <c r="B601" s="53">
        <f>VLOOKUP(Table26[[#This Row],[Date]],'DB Money Supply'!$A:$E,5)</f>
        <v/>
      </c>
      <c r="C601" s="30">
        <f>(Table26[[#This Row],[M2 Money Stock, Billions of Dollars, Monthly, Seasonally Adjusted]]-B600)/B600</f>
        <v/>
      </c>
      <c r="D601" s="31">
        <f>((1+Table26[[#This Row],[Monthly change]])^12)-1</f>
        <v/>
      </c>
    </row>
    <row r="602">
      <c r="A602" s="33" t="n">
        <v>39692</v>
      </c>
      <c r="B602" s="53">
        <f>VLOOKUP(Table26[[#This Row],[Date]],'DB Money Supply'!$A:$E,5)</f>
        <v/>
      </c>
      <c r="C602" s="30">
        <f>(Table26[[#This Row],[M2 Money Stock, Billions of Dollars, Monthly, Seasonally Adjusted]]-B601)/B601</f>
        <v/>
      </c>
      <c r="D602" s="31">
        <f>((1+Table26[[#This Row],[Monthly change]])^12)-1</f>
        <v/>
      </c>
    </row>
    <row r="603">
      <c r="A603" s="51" t="n">
        <v>39722</v>
      </c>
      <c r="B603" s="53">
        <f>VLOOKUP(Table26[[#This Row],[Date]],'DB Money Supply'!$A:$E,5)</f>
        <v/>
      </c>
      <c r="C603" s="30">
        <f>(Table26[[#This Row],[M2 Money Stock, Billions of Dollars, Monthly, Seasonally Adjusted]]-B602)/B602</f>
        <v/>
      </c>
      <c r="D603" s="31">
        <f>((1+Table26[[#This Row],[Monthly change]])^12)-1</f>
        <v/>
      </c>
    </row>
    <row r="604">
      <c r="A604" s="33" t="n">
        <v>39753</v>
      </c>
      <c r="B604" s="53">
        <f>VLOOKUP(Table26[[#This Row],[Date]],'DB Money Supply'!$A:$E,5)</f>
        <v/>
      </c>
      <c r="C604" s="30">
        <f>(Table26[[#This Row],[M2 Money Stock, Billions of Dollars, Monthly, Seasonally Adjusted]]-B603)/B603</f>
        <v/>
      </c>
      <c r="D604" s="31">
        <f>((1+Table26[[#This Row],[Monthly change]])^12)-1</f>
        <v/>
      </c>
    </row>
    <row r="605">
      <c r="A605" s="51" t="n">
        <v>39783</v>
      </c>
      <c r="B605" s="53">
        <f>VLOOKUP(Table26[[#This Row],[Date]],'DB Money Supply'!$A:$E,5)</f>
        <v/>
      </c>
      <c r="C605" s="30">
        <f>(Table26[[#This Row],[M2 Money Stock, Billions of Dollars, Monthly, Seasonally Adjusted]]-B604)/B604</f>
        <v/>
      </c>
      <c r="D605" s="31">
        <f>((1+Table26[[#This Row],[Monthly change]])^12)-1</f>
        <v/>
      </c>
    </row>
    <row r="606">
      <c r="A606" s="33" t="n">
        <v>39814</v>
      </c>
      <c r="B606" s="53">
        <f>VLOOKUP(Table26[[#This Row],[Date]],'DB Money Supply'!$A:$E,5)</f>
        <v/>
      </c>
      <c r="C606" s="30">
        <f>(Table26[[#This Row],[M2 Money Stock, Billions of Dollars, Monthly, Seasonally Adjusted]]-B605)/B605</f>
        <v/>
      </c>
      <c r="D606" s="31">
        <f>((1+Table26[[#This Row],[Monthly change]])^12)-1</f>
        <v/>
      </c>
    </row>
    <row r="607">
      <c r="A607" s="51" t="n">
        <v>39845</v>
      </c>
      <c r="B607" s="53">
        <f>VLOOKUP(Table26[[#This Row],[Date]],'DB Money Supply'!$A:$E,5)</f>
        <v/>
      </c>
      <c r="C607" s="30">
        <f>(Table26[[#This Row],[M2 Money Stock, Billions of Dollars, Monthly, Seasonally Adjusted]]-B606)/B606</f>
        <v/>
      </c>
      <c r="D607" s="31">
        <f>((1+Table26[[#This Row],[Monthly change]])^12)-1</f>
        <v/>
      </c>
    </row>
    <row r="608">
      <c r="A608" s="33" t="n">
        <v>39873</v>
      </c>
      <c r="B608" s="53">
        <f>VLOOKUP(Table26[[#This Row],[Date]],'DB Money Supply'!$A:$E,5)</f>
        <v/>
      </c>
      <c r="C608" s="30">
        <f>(Table26[[#This Row],[M2 Money Stock, Billions of Dollars, Monthly, Seasonally Adjusted]]-B607)/B607</f>
        <v/>
      </c>
      <c r="D608" s="31">
        <f>((1+Table26[[#This Row],[Monthly change]])^12)-1</f>
        <v/>
      </c>
    </row>
    <row r="609">
      <c r="A609" s="51" t="n">
        <v>39904</v>
      </c>
      <c r="B609" s="53">
        <f>VLOOKUP(Table26[[#This Row],[Date]],'DB Money Supply'!$A:$E,5)</f>
        <v/>
      </c>
      <c r="C609" s="30">
        <f>(Table26[[#This Row],[M2 Money Stock, Billions of Dollars, Monthly, Seasonally Adjusted]]-B608)/B608</f>
        <v/>
      </c>
      <c r="D609" s="31">
        <f>((1+Table26[[#This Row],[Monthly change]])^12)-1</f>
        <v/>
      </c>
    </row>
    <row r="610">
      <c r="A610" s="33" t="n">
        <v>39934</v>
      </c>
      <c r="B610" s="53">
        <f>VLOOKUP(Table26[[#This Row],[Date]],'DB Money Supply'!$A:$E,5)</f>
        <v/>
      </c>
      <c r="C610" s="30">
        <f>(Table26[[#This Row],[M2 Money Stock, Billions of Dollars, Monthly, Seasonally Adjusted]]-B609)/B609</f>
        <v/>
      </c>
      <c r="D610" s="31">
        <f>((1+Table26[[#This Row],[Monthly change]])^12)-1</f>
        <v/>
      </c>
    </row>
    <row r="611">
      <c r="A611" s="51" t="n">
        <v>39965</v>
      </c>
      <c r="B611" s="53">
        <f>VLOOKUP(Table26[[#This Row],[Date]],'DB Money Supply'!$A:$E,5)</f>
        <v/>
      </c>
      <c r="C611" s="30">
        <f>(Table26[[#This Row],[M2 Money Stock, Billions of Dollars, Monthly, Seasonally Adjusted]]-B610)/B610</f>
        <v/>
      </c>
      <c r="D611" s="31">
        <f>((1+Table26[[#This Row],[Monthly change]])^12)-1</f>
        <v/>
      </c>
    </row>
    <row r="612">
      <c r="A612" s="33" t="n">
        <v>39995</v>
      </c>
      <c r="B612" s="53">
        <f>VLOOKUP(Table26[[#This Row],[Date]],'DB Money Supply'!$A:$E,5)</f>
        <v/>
      </c>
      <c r="C612" s="30">
        <f>(Table26[[#This Row],[M2 Money Stock, Billions of Dollars, Monthly, Seasonally Adjusted]]-B611)/B611</f>
        <v/>
      </c>
      <c r="D612" s="31">
        <f>((1+Table26[[#This Row],[Monthly change]])^12)-1</f>
        <v/>
      </c>
    </row>
    <row r="613">
      <c r="A613" s="51" t="n">
        <v>40026</v>
      </c>
      <c r="B613" s="53">
        <f>VLOOKUP(Table26[[#This Row],[Date]],'DB Money Supply'!$A:$E,5)</f>
        <v/>
      </c>
      <c r="C613" s="30">
        <f>(Table26[[#This Row],[M2 Money Stock, Billions of Dollars, Monthly, Seasonally Adjusted]]-B612)/B612</f>
        <v/>
      </c>
      <c r="D613" s="31">
        <f>((1+Table26[[#This Row],[Monthly change]])^12)-1</f>
        <v/>
      </c>
    </row>
    <row r="614">
      <c r="A614" s="51" t="n">
        <v>40057</v>
      </c>
      <c r="B614" s="53">
        <f>VLOOKUP(Table26[[#This Row],[Date]],'DB Money Supply'!$A:$E,5)</f>
        <v/>
      </c>
      <c r="C614" s="30">
        <f>(Table26[[#This Row],[M2 Money Stock, Billions of Dollars, Monthly, Seasonally Adjusted]]-B613)/B613</f>
        <v/>
      </c>
      <c r="D614" s="31">
        <f>((1+Table26[[#This Row],[Monthly change]])^12)-1</f>
        <v/>
      </c>
    </row>
    <row r="615">
      <c r="A615" s="33" t="n">
        <v>40087</v>
      </c>
      <c r="B615" s="53">
        <f>VLOOKUP(Table26[[#This Row],[Date]],'DB Money Supply'!$A:$E,5)</f>
        <v/>
      </c>
      <c r="C615" s="30">
        <f>(Table26[[#This Row],[M2 Money Stock, Billions of Dollars, Monthly, Seasonally Adjusted]]-B614)/B614</f>
        <v/>
      </c>
      <c r="D615" s="31">
        <f>((1+Table26[[#This Row],[Monthly change]])^12)-1</f>
        <v/>
      </c>
    </row>
    <row r="616">
      <c r="A616" s="51" t="n">
        <v>40118</v>
      </c>
      <c r="B616" s="53">
        <f>VLOOKUP(Table26[[#This Row],[Date]],'DB Money Supply'!$A:$E,5)</f>
        <v/>
      </c>
      <c r="C616" s="30">
        <f>(Table26[[#This Row],[M2 Money Stock, Billions of Dollars, Monthly, Seasonally Adjusted]]-B615)/B615</f>
        <v/>
      </c>
      <c r="D616" s="31">
        <f>((1+Table26[[#This Row],[Monthly change]])^12)-1</f>
        <v/>
      </c>
    </row>
    <row r="617">
      <c r="A617" s="33" t="n">
        <v>40148</v>
      </c>
      <c r="B617" s="53">
        <f>VLOOKUP(Table26[[#This Row],[Date]],'DB Money Supply'!$A:$E,5)</f>
        <v/>
      </c>
      <c r="C617" s="30">
        <f>(Table26[[#This Row],[M2 Money Stock, Billions of Dollars, Monthly, Seasonally Adjusted]]-B616)/B616</f>
        <v/>
      </c>
      <c r="D617" s="31">
        <f>((1+Table26[[#This Row],[Monthly change]])^12)-1</f>
        <v/>
      </c>
    </row>
    <row r="618">
      <c r="A618" s="51" t="n">
        <v>40179</v>
      </c>
      <c r="B618" s="53">
        <f>VLOOKUP(Table26[[#This Row],[Date]],'DB Money Supply'!$A:$E,5)</f>
        <v/>
      </c>
      <c r="C618" s="30">
        <f>(Table26[[#This Row],[M2 Money Stock, Billions of Dollars, Monthly, Seasonally Adjusted]]-B617)/B617</f>
        <v/>
      </c>
      <c r="D618" s="31">
        <f>((1+Table26[[#This Row],[Monthly change]])^12)-1</f>
        <v/>
      </c>
    </row>
    <row r="619">
      <c r="A619" s="33" t="n">
        <v>40210</v>
      </c>
      <c r="B619" s="53">
        <f>VLOOKUP(Table26[[#This Row],[Date]],'DB Money Supply'!$A:$E,5)</f>
        <v/>
      </c>
      <c r="C619" s="30">
        <f>(Table26[[#This Row],[M2 Money Stock, Billions of Dollars, Monthly, Seasonally Adjusted]]-B618)/B618</f>
        <v/>
      </c>
      <c r="D619" s="31">
        <f>((1+Table26[[#This Row],[Monthly change]])^12)-1</f>
        <v/>
      </c>
    </row>
    <row r="620">
      <c r="A620" s="51" t="n">
        <v>40238</v>
      </c>
      <c r="B620" s="53">
        <f>VLOOKUP(Table26[[#This Row],[Date]],'DB Money Supply'!$A:$E,5)</f>
        <v/>
      </c>
      <c r="C620" s="30">
        <f>(Table26[[#This Row],[M2 Money Stock, Billions of Dollars, Monthly, Seasonally Adjusted]]-B619)/B619</f>
        <v/>
      </c>
      <c r="D620" s="31">
        <f>((1+Table26[[#This Row],[Monthly change]])^12)-1</f>
        <v/>
      </c>
    </row>
    <row r="621">
      <c r="A621" s="33" t="n">
        <v>40269</v>
      </c>
      <c r="B621" s="53">
        <f>VLOOKUP(Table26[[#This Row],[Date]],'DB Money Supply'!$A:$E,5)</f>
        <v/>
      </c>
      <c r="C621" s="30">
        <f>(Table26[[#This Row],[M2 Money Stock, Billions of Dollars, Monthly, Seasonally Adjusted]]-B620)/B620</f>
        <v/>
      </c>
      <c r="D621" s="31">
        <f>((1+Table26[[#This Row],[Monthly change]])^12)-1</f>
        <v/>
      </c>
    </row>
    <row r="622">
      <c r="A622" s="51" t="n">
        <v>40299</v>
      </c>
      <c r="B622" s="53">
        <f>VLOOKUP(Table26[[#This Row],[Date]],'DB Money Supply'!$A:$E,5)</f>
        <v/>
      </c>
      <c r="C622" s="30">
        <f>(Table26[[#This Row],[M2 Money Stock, Billions of Dollars, Monthly, Seasonally Adjusted]]-B621)/B621</f>
        <v/>
      </c>
      <c r="D622" s="31">
        <f>((1+Table26[[#This Row],[Monthly change]])^12)-1</f>
        <v/>
      </c>
    </row>
    <row r="623">
      <c r="A623" s="33" t="n">
        <v>40330</v>
      </c>
      <c r="B623" s="53">
        <f>VLOOKUP(Table26[[#This Row],[Date]],'DB Money Supply'!$A:$E,5)</f>
        <v/>
      </c>
      <c r="C623" s="30">
        <f>(Table26[[#This Row],[M2 Money Stock, Billions of Dollars, Monthly, Seasonally Adjusted]]-B622)/B622</f>
        <v/>
      </c>
      <c r="D623" s="31">
        <f>((1+Table26[[#This Row],[Monthly change]])^12)-1</f>
        <v/>
      </c>
    </row>
    <row r="624">
      <c r="A624" s="51" t="n">
        <v>40360</v>
      </c>
      <c r="B624" s="53">
        <f>VLOOKUP(Table26[[#This Row],[Date]],'DB Money Supply'!$A:$E,5)</f>
        <v/>
      </c>
      <c r="C624" s="30">
        <f>(Table26[[#This Row],[M2 Money Stock, Billions of Dollars, Monthly, Seasonally Adjusted]]-B623)/B623</f>
        <v/>
      </c>
      <c r="D624" s="31">
        <f>((1+Table26[[#This Row],[Monthly change]])^12)-1</f>
        <v/>
      </c>
    </row>
    <row r="625">
      <c r="A625" s="33" t="n">
        <v>40391</v>
      </c>
      <c r="B625" s="53">
        <f>VLOOKUP(Table26[[#This Row],[Date]],'DB Money Supply'!$A:$E,5)</f>
        <v/>
      </c>
      <c r="C625" s="30">
        <f>(Table26[[#This Row],[M2 Money Stock, Billions of Dollars, Monthly, Seasonally Adjusted]]-B624)/B624</f>
        <v/>
      </c>
      <c r="D625" s="31">
        <f>((1+Table26[[#This Row],[Monthly change]])^12)-1</f>
        <v/>
      </c>
    </row>
    <row r="626">
      <c r="A626" s="51" t="n">
        <v>40422</v>
      </c>
      <c r="B626" s="53">
        <f>VLOOKUP(Table26[[#This Row],[Date]],'DB Money Supply'!$A:$E,5)</f>
        <v/>
      </c>
      <c r="C626" s="30">
        <f>(Table26[[#This Row],[M2 Money Stock, Billions of Dollars, Monthly, Seasonally Adjusted]]-B625)/B625</f>
        <v/>
      </c>
      <c r="D626" s="31">
        <f>((1+Table26[[#This Row],[Monthly change]])^12)-1</f>
        <v/>
      </c>
    </row>
    <row r="627">
      <c r="A627" s="33" t="n">
        <v>40452</v>
      </c>
      <c r="B627" s="53">
        <f>VLOOKUP(Table26[[#This Row],[Date]],'DB Money Supply'!$A:$E,5)</f>
        <v/>
      </c>
      <c r="C627" s="30">
        <f>(Table26[[#This Row],[M2 Money Stock, Billions of Dollars, Monthly, Seasonally Adjusted]]-B626)/B626</f>
        <v/>
      </c>
      <c r="D627" s="31">
        <f>((1+Table26[[#This Row],[Monthly change]])^12)-1</f>
        <v/>
      </c>
    </row>
    <row r="628">
      <c r="A628" s="51" t="n">
        <v>40483</v>
      </c>
      <c r="B628" s="53">
        <f>VLOOKUP(Table26[[#This Row],[Date]],'DB Money Supply'!$A:$E,5)</f>
        <v/>
      </c>
      <c r="C628" s="30">
        <f>(Table26[[#This Row],[M2 Money Stock, Billions of Dollars, Monthly, Seasonally Adjusted]]-B627)/B627</f>
        <v/>
      </c>
      <c r="D628" s="31">
        <f>((1+Table26[[#This Row],[Monthly change]])^12)-1</f>
        <v/>
      </c>
    </row>
    <row r="629">
      <c r="A629" s="33" t="n">
        <v>40513</v>
      </c>
      <c r="B629" s="53">
        <f>VLOOKUP(Table26[[#This Row],[Date]],'DB Money Supply'!$A:$E,5)</f>
        <v/>
      </c>
      <c r="C629" s="30">
        <f>(Table26[[#This Row],[M2 Money Stock, Billions of Dollars, Monthly, Seasonally Adjusted]]-B628)/B628</f>
        <v/>
      </c>
      <c r="D629" s="31">
        <f>((1+Table26[[#This Row],[Monthly change]])^12)-1</f>
        <v/>
      </c>
    </row>
    <row r="630">
      <c r="A630" s="51" t="n">
        <v>40544</v>
      </c>
      <c r="B630" s="53">
        <f>VLOOKUP(Table26[[#This Row],[Date]],'DB Money Supply'!$A:$E,5)</f>
        <v/>
      </c>
      <c r="C630" s="30">
        <f>(Table26[[#This Row],[M2 Money Stock, Billions of Dollars, Monthly, Seasonally Adjusted]]-B629)/B629</f>
        <v/>
      </c>
      <c r="D630" s="31">
        <f>((1+Table26[[#This Row],[Monthly change]])^12)-1</f>
        <v/>
      </c>
    </row>
    <row r="631">
      <c r="A631" s="33" t="n">
        <v>40575</v>
      </c>
      <c r="B631" s="53">
        <f>VLOOKUP(Table26[[#This Row],[Date]],'DB Money Supply'!$A:$E,5)</f>
        <v/>
      </c>
      <c r="C631" s="30">
        <f>(Table26[[#This Row],[M2 Money Stock, Billions of Dollars, Monthly, Seasonally Adjusted]]-B630)/B630</f>
        <v/>
      </c>
      <c r="D631" s="31">
        <f>((1+Table26[[#This Row],[Monthly change]])^12)-1</f>
        <v/>
      </c>
    </row>
    <row r="632">
      <c r="A632" s="51" t="n">
        <v>40603</v>
      </c>
      <c r="B632" s="53">
        <f>VLOOKUP(Table26[[#This Row],[Date]],'DB Money Supply'!$A:$E,5)</f>
        <v/>
      </c>
      <c r="C632" s="30">
        <f>(Table26[[#This Row],[M2 Money Stock, Billions of Dollars, Monthly, Seasonally Adjusted]]-B631)/B631</f>
        <v/>
      </c>
      <c r="D632" s="31">
        <f>((1+Table26[[#This Row],[Monthly change]])^12)-1</f>
        <v/>
      </c>
    </row>
    <row r="633">
      <c r="A633" s="51" t="n">
        <v>40634</v>
      </c>
      <c r="B633" s="53">
        <f>VLOOKUP(Table26[[#This Row],[Date]],'DB Money Supply'!$A:$E,5)</f>
        <v/>
      </c>
      <c r="C633" s="30">
        <f>(Table26[[#This Row],[M2 Money Stock, Billions of Dollars, Monthly, Seasonally Adjusted]]-B632)/B632</f>
        <v/>
      </c>
      <c r="D633" s="31">
        <f>((1+Table26[[#This Row],[Monthly change]])^12)-1</f>
        <v/>
      </c>
    </row>
    <row r="634">
      <c r="A634" s="33" t="n">
        <v>40664</v>
      </c>
      <c r="B634" s="53">
        <f>VLOOKUP(Table26[[#This Row],[Date]],'DB Money Supply'!$A:$E,5)</f>
        <v/>
      </c>
      <c r="C634" s="30">
        <f>(Table26[[#This Row],[M2 Money Stock, Billions of Dollars, Monthly, Seasonally Adjusted]]-B633)/B633</f>
        <v/>
      </c>
      <c r="D634" s="31">
        <f>((1+Table26[[#This Row],[Monthly change]])^12)-1</f>
        <v/>
      </c>
    </row>
    <row r="635">
      <c r="A635" s="51" t="n">
        <v>40695</v>
      </c>
      <c r="B635" s="53">
        <f>VLOOKUP(Table26[[#This Row],[Date]],'DB Money Supply'!$A:$E,5)</f>
        <v/>
      </c>
      <c r="C635" s="30">
        <f>(Table26[[#This Row],[M2 Money Stock, Billions of Dollars, Monthly, Seasonally Adjusted]]-B634)/B634</f>
        <v/>
      </c>
      <c r="D635" s="31">
        <f>((1+Table26[[#This Row],[Monthly change]])^12)-1</f>
        <v/>
      </c>
    </row>
    <row r="636">
      <c r="A636" s="33" t="n">
        <v>40725</v>
      </c>
      <c r="B636" s="53">
        <f>VLOOKUP(Table26[[#This Row],[Date]],'DB Money Supply'!$A:$E,5)</f>
        <v/>
      </c>
      <c r="C636" s="30">
        <f>(Table26[[#This Row],[M2 Money Stock, Billions of Dollars, Monthly, Seasonally Adjusted]]-B635)/B635</f>
        <v/>
      </c>
      <c r="D636" s="31">
        <f>((1+Table26[[#This Row],[Monthly change]])^12)-1</f>
        <v/>
      </c>
    </row>
    <row r="637">
      <c r="A637" s="51" t="n">
        <v>40756</v>
      </c>
      <c r="B637" s="53">
        <f>VLOOKUP(Table26[[#This Row],[Date]],'DB Money Supply'!$A:$E,5)</f>
        <v/>
      </c>
      <c r="C637" s="30">
        <f>(Table26[[#This Row],[M2 Money Stock, Billions of Dollars, Monthly, Seasonally Adjusted]]-B636)/B636</f>
        <v/>
      </c>
      <c r="D637" s="31">
        <f>((1+Table26[[#This Row],[Monthly change]])^12)-1</f>
        <v/>
      </c>
    </row>
    <row r="638">
      <c r="A638" s="33" t="n">
        <v>40787</v>
      </c>
      <c r="B638" s="53">
        <f>VLOOKUP(Table26[[#This Row],[Date]],'DB Money Supply'!$A:$E,5)</f>
        <v/>
      </c>
      <c r="C638" s="30">
        <f>(Table26[[#This Row],[M2 Money Stock, Billions of Dollars, Monthly, Seasonally Adjusted]]-B637)/B637</f>
        <v/>
      </c>
      <c r="D638" s="31">
        <f>((1+Table26[[#This Row],[Monthly change]])^12)-1</f>
        <v/>
      </c>
    </row>
    <row r="639">
      <c r="A639" s="51" t="n">
        <v>40817</v>
      </c>
      <c r="B639" s="53">
        <f>VLOOKUP(Table26[[#This Row],[Date]],'DB Money Supply'!$A:$E,5)</f>
        <v/>
      </c>
      <c r="C639" s="30">
        <f>(Table26[[#This Row],[M2 Money Stock, Billions of Dollars, Monthly, Seasonally Adjusted]]-B638)/B638</f>
        <v/>
      </c>
      <c r="D639" s="31">
        <f>((1+Table26[[#This Row],[Monthly change]])^12)-1</f>
        <v/>
      </c>
    </row>
    <row r="640">
      <c r="A640" s="33" t="n">
        <v>40848</v>
      </c>
      <c r="B640" s="53">
        <f>VLOOKUP(Table26[[#This Row],[Date]],'DB Money Supply'!$A:$E,5)</f>
        <v/>
      </c>
      <c r="C640" s="30">
        <f>(Table26[[#This Row],[M2 Money Stock, Billions of Dollars, Monthly, Seasonally Adjusted]]-B639)/B639</f>
        <v/>
      </c>
      <c r="D640" s="31">
        <f>((1+Table26[[#This Row],[Monthly change]])^12)-1</f>
        <v/>
      </c>
    </row>
    <row r="641">
      <c r="A641" s="51" t="n">
        <v>40878</v>
      </c>
      <c r="B641" s="53">
        <f>VLOOKUP(Table26[[#This Row],[Date]],'DB Money Supply'!$A:$E,5)</f>
        <v/>
      </c>
      <c r="C641" s="30">
        <f>(Table26[[#This Row],[M2 Money Stock, Billions of Dollars, Monthly, Seasonally Adjusted]]-B640)/B640</f>
        <v/>
      </c>
      <c r="D641" s="31">
        <f>((1+Table26[[#This Row],[Monthly change]])^12)-1</f>
        <v/>
      </c>
    </row>
    <row r="642">
      <c r="A642" s="33" t="n">
        <v>40909</v>
      </c>
      <c r="B642" s="53">
        <f>VLOOKUP(Table26[[#This Row],[Date]],'DB Money Supply'!$A:$E,5)</f>
        <v/>
      </c>
      <c r="C642" s="30">
        <f>(Table26[[#This Row],[M2 Money Stock, Billions of Dollars, Monthly, Seasonally Adjusted]]-B641)/B641</f>
        <v/>
      </c>
      <c r="D642" s="31">
        <f>((1+Table26[[#This Row],[Monthly change]])^12)-1</f>
        <v/>
      </c>
    </row>
    <row r="643">
      <c r="A643" s="51" t="n">
        <v>40940</v>
      </c>
      <c r="B643" s="53">
        <f>VLOOKUP(Table26[[#This Row],[Date]],'DB Money Supply'!$A:$E,5)</f>
        <v/>
      </c>
      <c r="C643" s="30">
        <f>(Table26[[#This Row],[M2 Money Stock, Billions of Dollars, Monthly, Seasonally Adjusted]]-B642)/B642</f>
        <v/>
      </c>
      <c r="D643" s="31">
        <f>((1+Table26[[#This Row],[Monthly change]])^12)-1</f>
        <v/>
      </c>
    </row>
    <row r="644">
      <c r="A644" s="33" t="n">
        <v>40969</v>
      </c>
      <c r="B644" s="53">
        <f>VLOOKUP(Table26[[#This Row],[Date]],'DB Money Supply'!$A:$E,5)</f>
        <v/>
      </c>
      <c r="C644" s="30">
        <f>(Table26[[#This Row],[M2 Money Stock, Billions of Dollars, Monthly, Seasonally Adjusted]]-B643)/B643</f>
        <v/>
      </c>
      <c r="D644" s="31">
        <f>((1+Table26[[#This Row],[Monthly change]])^12)-1</f>
        <v/>
      </c>
    </row>
    <row r="645">
      <c r="A645" s="51" t="n">
        <v>41000</v>
      </c>
      <c r="B645" s="53">
        <f>VLOOKUP(Table26[[#This Row],[Date]],'DB Money Supply'!$A:$E,5)</f>
        <v/>
      </c>
      <c r="C645" s="30">
        <f>(Table26[[#This Row],[M2 Money Stock, Billions of Dollars, Monthly, Seasonally Adjusted]]-B644)/B644</f>
        <v/>
      </c>
      <c r="D645" s="31">
        <f>((1+Table26[[#This Row],[Monthly change]])^12)-1</f>
        <v/>
      </c>
    </row>
    <row r="646">
      <c r="A646" s="33" t="n">
        <v>41030</v>
      </c>
      <c r="B646" s="53">
        <f>VLOOKUP(Table26[[#This Row],[Date]],'DB Money Supply'!$A:$E,5)</f>
        <v/>
      </c>
      <c r="C646" s="30">
        <f>(Table26[[#This Row],[M2 Money Stock, Billions of Dollars, Monthly, Seasonally Adjusted]]-B645)/B645</f>
        <v/>
      </c>
      <c r="D646" s="31">
        <f>((1+Table26[[#This Row],[Monthly change]])^12)-1</f>
        <v/>
      </c>
    </row>
    <row r="647">
      <c r="A647" s="51" t="n">
        <v>41061</v>
      </c>
      <c r="B647" s="53">
        <f>VLOOKUP(Table26[[#This Row],[Date]],'DB Money Supply'!$A:$E,5)</f>
        <v/>
      </c>
      <c r="C647" s="30">
        <f>(Table26[[#This Row],[M2 Money Stock, Billions of Dollars, Monthly, Seasonally Adjusted]]-B646)/B646</f>
        <v/>
      </c>
      <c r="D647" s="31">
        <f>((1+Table26[[#This Row],[Monthly change]])^12)-1</f>
        <v/>
      </c>
    </row>
    <row r="648">
      <c r="A648" s="33" t="n">
        <v>41091</v>
      </c>
      <c r="B648" s="53">
        <f>VLOOKUP(Table26[[#This Row],[Date]],'DB Money Supply'!$A:$E,5)</f>
        <v/>
      </c>
      <c r="C648" s="30">
        <f>(Table26[[#This Row],[M2 Money Stock, Billions of Dollars, Monthly, Seasonally Adjusted]]-B647)/B647</f>
        <v/>
      </c>
      <c r="D648" s="31">
        <f>((1+Table26[[#This Row],[Monthly change]])^12)-1</f>
        <v/>
      </c>
    </row>
    <row r="649">
      <c r="A649" s="51" t="n">
        <v>41122</v>
      </c>
      <c r="B649" s="53">
        <f>VLOOKUP(Table26[[#This Row],[Date]],'DB Money Supply'!$A:$E,5)</f>
        <v/>
      </c>
      <c r="C649" s="30">
        <f>(Table26[[#This Row],[M2 Money Stock, Billions of Dollars, Monthly, Seasonally Adjusted]]-B648)/B648</f>
        <v/>
      </c>
      <c r="D649" s="31">
        <f>((1+Table26[[#This Row],[Monthly change]])^12)-1</f>
        <v/>
      </c>
    </row>
    <row r="650">
      <c r="A650" s="33" t="n">
        <v>41153</v>
      </c>
      <c r="B650" s="53">
        <f>VLOOKUP(Table26[[#This Row],[Date]],'DB Money Supply'!$A:$E,5)</f>
        <v/>
      </c>
      <c r="C650" s="30">
        <f>(Table26[[#This Row],[M2 Money Stock, Billions of Dollars, Monthly, Seasonally Adjusted]]-B649)/B649</f>
        <v/>
      </c>
      <c r="D650" s="31">
        <f>((1+Table26[[#This Row],[Monthly change]])^12)-1</f>
        <v/>
      </c>
    </row>
    <row r="651">
      <c r="A651" s="51" t="n">
        <v>41183</v>
      </c>
      <c r="B651" s="53">
        <f>VLOOKUP(Table26[[#This Row],[Date]],'DB Money Supply'!$A:$E,5)</f>
        <v/>
      </c>
      <c r="C651" s="30">
        <f>(Table26[[#This Row],[M2 Money Stock, Billions of Dollars, Monthly, Seasonally Adjusted]]-B650)/B650</f>
        <v/>
      </c>
      <c r="D651" s="31">
        <f>((1+Table26[[#This Row],[Monthly change]])^12)-1</f>
        <v/>
      </c>
    </row>
    <row r="652">
      <c r="A652" s="51" t="n">
        <v>41214</v>
      </c>
      <c r="B652" s="53">
        <f>VLOOKUP(Table26[[#This Row],[Date]],'DB Money Supply'!$A:$E,5)</f>
        <v/>
      </c>
      <c r="C652" s="30">
        <f>(Table26[[#This Row],[M2 Money Stock, Billions of Dollars, Monthly, Seasonally Adjusted]]-B651)/B651</f>
        <v/>
      </c>
      <c r="D652" s="31">
        <f>((1+Table26[[#This Row],[Monthly change]])^12)-1</f>
        <v/>
      </c>
    </row>
    <row r="653">
      <c r="A653" s="33" t="n">
        <v>41244</v>
      </c>
      <c r="B653" s="53">
        <f>VLOOKUP(Table26[[#This Row],[Date]],'DB Money Supply'!$A:$E,5)</f>
        <v/>
      </c>
      <c r="C653" s="30">
        <f>(Table26[[#This Row],[M2 Money Stock, Billions of Dollars, Monthly, Seasonally Adjusted]]-B652)/B652</f>
        <v/>
      </c>
      <c r="D653" s="31">
        <f>((1+Table26[[#This Row],[Monthly change]])^12)-1</f>
        <v/>
      </c>
    </row>
    <row r="654">
      <c r="A654" s="51" t="n">
        <v>41275</v>
      </c>
      <c r="B654" s="53">
        <f>VLOOKUP(Table26[[#This Row],[Date]],'DB Money Supply'!$A:$E,5)</f>
        <v/>
      </c>
      <c r="C654" s="30">
        <f>(Table26[[#This Row],[M2 Money Stock, Billions of Dollars, Monthly, Seasonally Adjusted]]-B653)/B653</f>
        <v/>
      </c>
      <c r="D654" s="31">
        <f>((1+Table26[[#This Row],[Monthly change]])^12)-1</f>
        <v/>
      </c>
    </row>
    <row r="655">
      <c r="A655" s="33" t="n">
        <v>41306</v>
      </c>
      <c r="B655" s="53">
        <f>VLOOKUP(Table26[[#This Row],[Date]],'DB Money Supply'!$A:$E,5)</f>
        <v/>
      </c>
      <c r="C655" s="30">
        <f>(Table26[[#This Row],[M2 Money Stock, Billions of Dollars, Monthly, Seasonally Adjusted]]-B654)/B654</f>
        <v/>
      </c>
      <c r="D655" s="31">
        <f>((1+Table26[[#This Row],[Monthly change]])^12)-1</f>
        <v/>
      </c>
    </row>
    <row r="656">
      <c r="A656" s="51" t="n">
        <v>41334</v>
      </c>
      <c r="B656" s="53">
        <f>VLOOKUP(Table26[[#This Row],[Date]],'DB Money Supply'!$A:$E,5)</f>
        <v/>
      </c>
      <c r="C656" s="30">
        <f>(Table26[[#This Row],[M2 Money Stock, Billions of Dollars, Monthly, Seasonally Adjusted]]-B655)/B655</f>
        <v/>
      </c>
      <c r="D656" s="31">
        <f>((1+Table26[[#This Row],[Monthly change]])^12)-1</f>
        <v/>
      </c>
    </row>
    <row r="657">
      <c r="A657" s="33" t="n">
        <v>41365</v>
      </c>
      <c r="B657" s="53">
        <f>VLOOKUP(Table26[[#This Row],[Date]],'DB Money Supply'!$A:$E,5)</f>
        <v/>
      </c>
      <c r="C657" s="30">
        <f>(Table26[[#This Row],[M2 Money Stock, Billions of Dollars, Monthly, Seasonally Adjusted]]-B656)/B656</f>
        <v/>
      </c>
      <c r="D657" s="31">
        <f>((1+Table26[[#This Row],[Monthly change]])^12)-1</f>
        <v/>
      </c>
    </row>
    <row r="658">
      <c r="A658" s="51" t="n">
        <v>41395</v>
      </c>
      <c r="B658" s="53">
        <f>VLOOKUP(Table26[[#This Row],[Date]],'DB Money Supply'!$A:$E,5)</f>
        <v/>
      </c>
      <c r="C658" s="30">
        <f>(Table26[[#This Row],[M2 Money Stock, Billions of Dollars, Monthly, Seasonally Adjusted]]-B657)/B657</f>
        <v/>
      </c>
      <c r="D658" s="31">
        <f>((1+Table26[[#This Row],[Monthly change]])^12)-1</f>
        <v/>
      </c>
    </row>
    <row r="659">
      <c r="A659" s="33" t="n">
        <v>41426</v>
      </c>
      <c r="B659" s="53">
        <f>VLOOKUP(Table26[[#This Row],[Date]],'DB Money Supply'!$A:$E,5)</f>
        <v/>
      </c>
      <c r="C659" s="30">
        <f>(Table26[[#This Row],[M2 Money Stock, Billions of Dollars, Monthly, Seasonally Adjusted]]-B658)/B658</f>
        <v/>
      </c>
      <c r="D659" s="31">
        <f>((1+Table26[[#This Row],[Monthly change]])^12)-1</f>
        <v/>
      </c>
    </row>
    <row r="660">
      <c r="A660" s="51" t="n">
        <v>41456</v>
      </c>
      <c r="B660" s="53">
        <f>VLOOKUP(Table26[[#This Row],[Date]],'DB Money Supply'!$A:$E,5)</f>
        <v/>
      </c>
      <c r="C660" s="30">
        <f>(Table26[[#This Row],[M2 Money Stock, Billions of Dollars, Monthly, Seasonally Adjusted]]-B659)/B659</f>
        <v/>
      </c>
      <c r="D660" s="31">
        <f>((1+Table26[[#This Row],[Monthly change]])^12)-1</f>
        <v/>
      </c>
    </row>
    <row r="661">
      <c r="A661" s="33" t="n">
        <v>41487</v>
      </c>
      <c r="B661" s="53">
        <f>VLOOKUP(Table26[[#This Row],[Date]],'DB Money Supply'!$A:$E,5)</f>
        <v/>
      </c>
      <c r="C661" s="30">
        <f>(Table26[[#This Row],[M2 Money Stock, Billions of Dollars, Monthly, Seasonally Adjusted]]-B660)/B660</f>
        <v/>
      </c>
      <c r="D661" s="31">
        <f>((1+Table26[[#This Row],[Monthly change]])^12)-1</f>
        <v/>
      </c>
    </row>
    <row r="662">
      <c r="A662" s="51" t="n">
        <v>41518</v>
      </c>
      <c r="B662" s="53">
        <f>VLOOKUP(Table26[[#This Row],[Date]],'DB Money Supply'!$A:$E,5)</f>
        <v/>
      </c>
      <c r="C662" s="30">
        <f>(Table26[[#This Row],[M2 Money Stock, Billions of Dollars, Monthly, Seasonally Adjusted]]-B661)/B661</f>
        <v/>
      </c>
      <c r="D662" s="31">
        <f>((1+Table26[[#This Row],[Monthly change]])^12)-1</f>
        <v/>
      </c>
    </row>
    <row r="663">
      <c r="A663" s="33" t="n">
        <v>41548</v>
      </c>
      <c r="B663" s="53">
        <f>VLOOKUP(Table26[[#This Row],[Date]],'DB Money Supply'!$A:$E,5)</f>
        <v/>
      </c>
      <c r="C663" s="30">
        <f>(Table26[[#This Row],[M2 Money Stock, Billions of Dollars, Monthly, Seasonally Adjusted]]-B662)/B662</f>
        <v/>
      </c>
      <c r="D663" s="31">
        <f>((1+Table26[[#This Row],[Monthly change]])^12)-1</f>
        <v/>
      </c>
    </row>
    <row r="664">
      <c r="A664" s="51" t="n">
        <v>41579</v>
      </c>
      <c r="B664" s="53">
        <f>VLOOKUP(Table26[[#This Row],[Date]],'DB Money Supply'!$A:$E,5)</f>
        <v/>
      </c>
      <c r="C664" s="30">
        <f>(Table26[[#This Row],[M2 Money Stock, Billions of Dollars, Monthly, Seasonally Adjusted]]-B663)/B663</f>
        <v/>
      </c>
      <c r="D664" s="31">
        <f>((1+Table26[[#This Row],[Monthly change]])^12)-1</f>
        <v/>
      </c>
    </row>
    <row r="665">
      <c r="A665" s="33" t="n">
        <v>41609</v>
      </c>
      <c r="B665" s="53">
        <f>VLOOKUP(Table26[[#This Row],[Date]],'DB Money Supply'!$A:$E,5)</f>
        <v/>
      </c>
      <c r="C665" s="30">
        <f>(Table26[[#This Row],[M2 Money Stock, Billions of Dollars, Monthly, Seasonally Adjusted]]-B664)/B664</f>
        <v/>
      </c>
      <c r="D665" s="31">
        <f>((1+Table26[[#This Row],[Monthly change]])^12)-1</f>
        <v/>
      </c>
    </row>
    <row r="666">
      <c r="A666" s="51" t="n">
        <v>41640</v>
      </c>
      <c r="B666" s="53">
        <f>VLOOKUP(Table26[[#This Row],[Date]],'DB Money Supply'!$A:$E,5)</f>
        <v/>
      </c>
      <c r="C666" s="30">
        <f>(Table26[[#This Row],[M2 Money Stock, Billions of Dollars, Monthly, Seasonally Adjusted]]-B665)/B665</f>
        <v/>
      </c>
      <c r="D666" s="31">
        <f>((1+Table26[[#This Row],[Monthly change]])^12)-1</f>
        <v/>
      </c>
    </row>
    <row r="667">
      <c r="A667" s="33" t="n">
        <v>41671</v>
      </c>
      <c r="B667" s="53">
        <f>VLOOKUP(Table26[[#This Row],[Date]],'DB Money Supply'!$A:$E,5)</f>
        <v/>
      </c>
      <c r="C667" s="30">
        <f>(Table26[[#This Row],[M2 Money Stock, Billions of Dollars, Monthly, Seasonally Adjusted]]-B666)/B666</f>
        <v/>
      </c>
      <c r="D667" s="31">
        <f>((1+Table26[[#This Row],[Monthly change]])^12)-1</f>
        <v/>
      </c>
    </row>
    <row r="668">
      <c r="A668" s="51" t="n">
        <v>41699</v>
      </c>
      <c r="B668" s="53">
        <f>VLOOKUP(Table26[[#This Row],[Date]],'DB Money Supply'!$A:$E,5)</f>
        <v/>
      </c>
      <c r="C668" s="30">
        <f>(Table26[[#This Row],[M2 Money Stock, Billions of Dollars, Monthly, Seasonally Adjusted]]-B667)/B667</f>
        <v/>
      </c>
      <c r="D668" s="31">
        <f>((1+Table26[[#This Row],[Monthly change]])^12)-1</f>
        <v/>
      </c>
    </row>
    <row r="669">
      <c r="A669" s="33" t="n">
        <v>41730</v>
      </c>
      <c r="B669" s="53">
        <f>VLOOKUP(Table26[[#This Row],[Date]],'DB Money Supply'!$A:$E,5)</f>
        <v/>
      </c>
      <c r="C669" s="30">
        <f>(Table26[[#This Row],[M2 Money Stock, Billions of Dollars, Monthly, Seasonally Adjusted]]-B668)/B668</f>
        <v/>
      </c>
      <c r="D669" s="31">
        <f>((1+Table26[[#This Row],[Monthly change]])^12)-1</f>
        <v/>
      </c>
    </row>
    <row r="670">
      <c r="A670" s="51" t="n">
        <v>41760</v>
      </c>
      <c r="B670" s="53">
        <f>VLOOKUP(Table26[[#This Row],[Date]],'DB Money Supply'!$A:$E,5)</f>
        <v/>
      </c>
      <c r="C670" s="30">
        <f>(Table26[[#This Row],[M2 Money Stock, Billions of Dollars, Monthly, Seasonally Adjusted]]-B669)/B669</f>
        <v/>
      </c>
      <c r="D670" s="31">
        <f>((1+Table26[[#This Row],[Monthly change]])^12)-1</f>
        <v/>
      </c>
    </row>
    <row r="671">
      <c r="A671" s="51" t="n">
        <v>41791</v>
      </c>
      <c r="B671" s="53">
        <f>VLOOKUP(Table26[[#This Row],[Date]],'DB Money Supply'!$A:$E,5)</f>
        <v/>
      </c>
      <c r="C671" s="30">
        <f>(Table26[[#This Row],[M2 Money Stock, Billions of Dollars, Monthly, Seasonally Adjusted]]-B670)/B670</f>
        <v/>
      </c>
      <c r="D671" s="31">
        <f>((1+Table26[[#This Row],[Monthly change]])^12)-1</f>
        <v/>
      </c>
    </row>
    <row r="672">
      <c r="A672" s="33" t="n">
        <v>41821</v>
      </c>
      <c r="B672" s="53">
        <f>VLOOKUP(Table26[[#This Row],[Date]],'DB Money Supply'!$A:$E,5)</f>
        <v/>
      </c>
      <c r="C672" s="30">
        <f>(Table26[[#This Row],[M2 Money Stock, Billions of Dollars, Monthly, Seasonally Adjusted]]-B671)/B671</f>
        <v/>
      </c>
      <c r="D672" s="31">
        <f>((1+Table26[[#This Row],[Monthly change]])^12)-1</f>
        <v/>
      </c>
    </row>
    <row r="673">
      <c r="A673" s="51" t="n">
        <v>41852</v>
      </c>
      <c r="B673" s="53">
        <f>VLOOKUP(Table26[[#This Row],[Date]],'DB Money Supply'!$A:$E,5)</f>
        <v/>
      </c>
      <c r="C673" s="30">
        <f>(Table26[[#This Row],[M2 Money Stock, Billions of Dollars, Monthly, Seasonally Adjusted]]-B672)/B672</f>
        <v/>
      </c>
      <c r="D673" s="31">
        <f>((1+Table26[[#This Row],[Monthly change]])^12)-1</f>
        <v/>
      </c>
    </row>
    <row r="674">
      <c r="A674" s="33" t="n">
        <v>41883</v>
      </c>
      <c r="B674" s="53">
        <f>VLOOKUP(Table26[[#This Row],[Date]],'DB Money Supply'!$A:$E,5)</f>
        <v/>
      </c>
      <c r="C674" s="30">
        <f>(Table26[[#This Row],[M2 Money Stock, Billions of Dollars, Monthly, Seasonally Adjusted]]-B673)/B673</f>
        <v/>
      </c>
      <c r="D674" s="31">
        <f>((1+Table26[[#This Row],[Monthly change]])^12)-1</f>
        <v/>
      </c>
    </row>
    <row r="675">
      <c r="A675" s="51" t="n">
        <v>41913</v>
      </c>
      <c r="B675" s="53">
        <f>VLOOKUP(Table26[[#This Row],[Date]],'DB Money Supply'!$A:$E,5)</f>
        <v/>
      </c>
      <c r="C675" s="30">
        <f>(Table26[[#This Row],[M2 Money Stock, Billions of Dollars, Monthly, Seasonally Adjusted]]-B674)/B674</f>
        <v/>
      </c>
      <c r="D675" s="31">
        <f>((1+Table26[[#This Row],[Monthly change]])^12)-1</f>
        <v/>
      </c>
    </row>
    <row r="676">
      <c r="A676" s="33" t="n">
        <v>41944</v>
      </c>
      <c r="B676" s="53">
        <f>VLOOKUP(Table26[[#This Row],[Date]],'DB Money Supply'!$A:$E,5)</f>
        <v/>
      </c>
      <c r="C676" s="30">
        <f>(Table26[[#This Row],[M2 Money Stock, Billions of Dollars, Monthly, Seasonally Adjusted]]-B675)/B675</f>
        <v/>
      </c>
      <c r="D676" s="31">
        <f>((1+Table26[[#This Row],[Monthly change]])^12)-1</f>
        <v/>
      </c>
    </row>
    <row r="677">
      <c r="A677" s="51" t="n">
        <v>41974</v>
      </c>
      <c r="B677" s="53">
        <f>VLOOKUP(Table26[[#This Row],[Date]],'DB Money Supply'!$A:$E,5)</f>
        <v/>
      </c>
      <c r="C677" s="30">
        <f>(Table26[[#This Row],[M2 Money Stock, Billions of Dollars, Monthly, Seasonally Adjusted]]-B676)/B676</f>
        <v/>
      </c>
      <c r="D677" s="31">
        <f>((1+Table26[[#This Row],[Monthly change]])^12)-1</f>
        <v/>
      </c>
    </row>
    <row r="678">
      <c r="A678" s="33" t="n">
        <v>42005</v>
      </c>
      <c r="B678" s="53">
        <f>VLOOKUP(Table26[[#This Row],[Date]],'DB Money Supply'!$A:$E,5)</f>
        <v/>
      </c>
      <c r="C678" s="30">
        <f>(Table26[[#This Row],[M2 Money Stock, Billions of Dollars, Monthly, Seasonally Adjusted]]-B677)/B677</f>
        <v/>
      </c>
      <c r="D678" s="31">
        <f>((1+Table26[[#This Row],[Monthly change]])^12)-1</f>
        <v/>
      </c>
    </row>
    <row r="679">
      <c r="A679" s="51" t="n">
        <v>42036</v>
      </c>
      <c r="B679" s="53">
        <f>VLOOKUP(Table26[[#This Row],[Date]],'DB Money Supply'!$A:$E,5)</f>
        <v/>
      </c>
      <c r="C679" s="30">
        <f>(Table26[[#This Row],[M2 Money Stock, Billions of Dollars, Monthly, Seasonally Adjusted]]-B678)/B678</f>
        <v/>
      </c>
      <c r="D679" s="31">
        <f>((1+Table26[[#This Row],[Monthly change]])^12)-1</f>
        <v/>
      </c>
    </row>
    <row r="680">
      <c r="A680" s="33" t="n">
        <v>42064</v>
      </c>
      <c r="B680" s="53">
        <f>VLOOKUP(Table26[[#This Row],[Date]],'DB Money Supply'!$A:$E,5)</f>
        <v/>
      </c>
      <c r="C680" s="30">
        <f>(Table26[[#This Row],[M2 Money Stock, Billions of Dollars, Monthly, Seasonally Adjusted]]-B679)/B679</f>
        <v/>
      </c>
      <c r="D680" s="31">
        <f>((1+Table26[[#This Row],[Monthly change]])^12)-1</f>
        <v/>
      </c>
    </row>
    <row r="681">
      <c r="A681" s="51" t="n">
        <v>42095</v>
      </c>
      <c r="B681" s="53">
        <f>VLOOKUP(Table26[[#This Row],[Date]],'DB Money Supply'!$A:$E,5)</f>
        <v/>
      </c>
      <c r="C681" s="30">
        <f>(Table26[[#This Row],[M2 Money Stock, Billions of Dollars, Monthly, Seasonally Adjusted]]-B680)/B680</f>
        <v/>
      </c>
      <c r="D681" s="31">
        <f>((1+Table26[[#This Row],[Monthly change]])^12)-1</f>
        <v/>
      </c>
    </row>
    <row r="682">
      <c r="A682" s="33" t="n">
        <v>42125</v>
      </c>
      <c r="B682" s="53">
        <f>VLOOKUP(Table26[[#This Row],[Date]],'DB Money Supply'!$A:$E,5)</f>
        <v/>
      </c>
      <c r="C682" s="30">
        <f>(Table26[[#This Row],[M2 Money Stock, Billions of Dollars, Monthly, Seasonally Adjusted]]-B681)/B681</f>
        <v/>
      </c>
      <c r="D682" s="31">
        <f>((1+Table26[[#This Row],[Monthly change]])^12)-1</f>
        <v/>
      </c>
    </row>
    <row r="683">
      <c r="A683" s="51" t="n">
        <v>42156</v>
      </c>
      <c r="B683" s="53">
        <f>VLOOKUP(Table26[[#This Row],[Date]],'DB Money Supply'!$A:$E,5)</f>
        <v/>
      </c>
      <c r="C683" s="30">
        <f>(Table26[[#This Row],[M2 Money Stock, Billions of Dollars, Monthly, Seasonally Adjusted]]-B682)/B682</f>
        <v/>
      </c>
      <c r="D683" s="31">
        <f>((1+Table26[[#This Row],[Monthly change]])^12)-1</f>
        <v/>
      </c>
    </row>
    <row r="684">
      <c r="A684" s="33" t="n">
        <v>42186</v>
      </c>
      <c r="B684" s="53">
        <f>VLOOKUP(Table26[[#This Row],[Date]],'DB Money Supply'!$A:$E,5)</f>
        <v/>
      </c>
      <c r="C684" s="30">
        <f>(Table26[[#This Row],[M2 Money Stock, Billions of Dollars, Monthly, Seasonally Adjusted]]-B683)/B683</f>
        <v/>
      </c>
      <c r="D684" s="31">
        <f>((1+Table26[[#This Row],[Monthly change]])^12)-1</f>
        <v/>
      </c>
    </row>
    <row r="685">
      <c r="A685" s="51" t="n">
        <v>42217</v>
      </c>
      <c r="B685" s="53">
        <f>VLOOKUP(Table26[[#This Row],[Date]],'DB Money Supply'!$A:$E,5)</f>
        <v/>
      </c>
      <c r="C685" s="30">
        <f>(Table26[[#This Row],[M2 Money Stock, Billions of Dollars, Monthly, Seasonally Adjusted]]-B684)/B684</f>
        <v/>
      </c>
      <c r="D685" s="31">
        <f>((1+Table26[[#This Row],[Monthly change]])^12)-1</f>
        <v/>
      </c>
    </row>
    <row r="686">
      <c r="A686" s="33" t="n">
        <v>42248</v>
      </c>
      <c r="B686" s="53">
        <f>VLOOKUP(Table26[[#This Row],[Date]],'DB Money Supply'!$A:$E,5)</f>
        <v/>
      </c>
      <c r="C686" s="30">
        <f>(Table26[[#This Row],[M2 Money Stock, Billions of Dollars, Monthly, Seasonally Adjusted]]-B685)/B685</f>
        <v/>
      </c>
      <c r="D686" s="31">
        <f>((1+Table26[[#This Row],[Monthly change]])^12)-1</f>
        <v/>
      </c>
    </row>
    <row r="687">
      <c r="A687" s="51" t="n">
        <v>42278</v>
      </c>
      <c r="B687" s="53">
        <f>VLOOKUP(Table26[[#This Row],[Date]],'DB Money Supply'!$A:$E,5)</f>
        <v/>
      </c>
      <c r="C687" s="30">
        <f>(Table26[[#This Row],[M2 Money Stock, Billions of Dollars, Monthly, Seasonally Adjusted]]-B686)/B686</f>
        <v/>
      </c>
      <c r="D687" s="31">
        <f>((1+Table26[[#This Row],[Monthly change]])^12)-1</f>
        <v/>
      </c>
    </row>
    <row r="688">
      <c r="A688" s="33" t="n">
        <v>42309</v>
      </c>
      <c r="B688" s="53">
        <f>VLOOKUP(Table26[[#This Row],[Date]],'DB Money Supply'!$A:$E,5)</f>
        <v/>
      </c>
      <c r="C688" s="30">
        <f>(Table26[[#This Row],[M2 Money Stock, Billions of Dollars, Monthly, Seasonally Adjusted]]-B687)/B687</f>
        <v/>
      </c>
      <c r="D688" s="31">
        <f>((1+Table26[[#This Row],[Monthly change]])^12)-1</f>
        <v/>
      </c>
    </row>
    <row r="689">
      <c r="A689" s="51" t="n">
        <v>42339</v>
      </c>
      <c r="B689" s="53">
        <f>VLOOKUP(Table26[[#This Row],[Date]],'DB Money Supply'!$A:$E,5)</f>
        <v/>
      </c>
      <c r="C689" s="30">
        <f>(Table26[[#This Row],[M2 Money Stock, Billions of Dollars, Monthly, Seasonally Adjusted]]-B688)/B688</f>
        <v/>
      </c>
      <c r="D689" s="31">
        <f>((1+Table26[[#This Row],[Monthly change]])^12)-1</f>
        <v/>
      </c>
    </row>
    <row r="690">
      <c r="A690" s="51" t="n">
        <v>42370</v>
      </c>
      <c r="B690" s="53">
        <f>VLOOKUP(Table26[[#This Row],[Date]],'DB Money Supply'!$A:$E,5)</f>
        <v/>
      </c>
      <c r="C690" s="30">
        <f>(Table26[[#This Row],[M2 Money Stock, Billions of Dollars, Monthly, Seasonally Adjusted]]-B689)/B689</f>
        <v/>
      </c>
      <c r="D690" s="31">
        <f>((1+Table26[[#This Row],[Monthly change]])^12)-1</f>
        <v/>
      </c>
    </row>
    <row r="691">
      <c r="A691" s="33" t="n">
        <v>42401</v>
      </c>
      <c r="B691" s="53">
        <f>VLOOKUP(Table26[[#This Row],[Date]],'DB Money Supply'!$A:$E,5)</f>
        <v/>
      </c>
      <c r="C691" s="30">
        <f>(Table26[[#This Row],[M2 Money Stock, Billions of Dollars, Monthly, Seasonally Adjusted]]-B690)/B690</f>
        <v/>
      </c>
      <c r="D691" s="31">
        <f>((1+Table26[[#This Row],[Monthly change]])^12)-1</f>
        <v/>
      </c>
    </row>
    <row r="692">
      <c r="A692" s="51" t="n">
        <v>42430</v>
      </c>
      <c r="B692" s="53">
        <f>VLOOKUP(Table26[[#This Row],[Date]],'DB Money Supply'!$A:$E,5)</f>
        <v/>
      </c>
      <c r="C692" s="30">
        <f>(Table26[[#This Row],[M2 Money Stock, Billions of Dollars, Monthly, Seasonally Adjusted]]-B691)/B691</f>
        <v/>
      </c>
      <c r="D692" s="31">
        <f>((1+Table26[[#This Row],[Monthly change]])^12)-1</f>
        <v/>
      </c>
    </row>
    <row r="693">
      <c r="A693" s="33" t="n">
        <v>42461</v>
      </c>
      <c r="B693" s="53">
        <f>VLOOKUP(Table26[[#This Row],[Date]],'DB Money Supply'!$A:$E,5)</f>
        <v/>
      </c>
      <c r="C693" s="30">
        <f>(Table26[[#This Row],[M2 Money Stock, Billions of Dollars, Monthly, Seasonally Adjusted]]-B692)/B692</f>
        <v/>
      </c>
      <c r="D693" s="31">
        <f>((1+Table26[[#This Row],[Monthly change]])^12)-1</f>
        <v/>
      </c>
    </row>
    <row r="694">
      <c r="A694" s="51" t="n">
        <v>42491</v>
      </c>
      <c r="B694" s="53">
        <f>VLOOKUP(Table26[[#This Row],[Date]],'DB Money Supply'!$A:$E,5)</f>
        <v/>
      </c>
      <c r="C694" s="30">
        <f>(Table26[[#This Row],[M2 Money Stock, Billions of Dollars, Monthly, Seasonally Adjusted]]-B693)/B693</f>
        <v/>
      </c>
      <c r="D694" s="31">
        <f>((1+Table26[[#This Row],[Monthly change]])^12)-1</f>
        <v/>
      </c>
    </row>
    <row r="695">
      <c r="A695" s="33" t="n">
        <v>42522</v>
      </c>
      <c r="B695" s="53">
        <f>VLOOKUP(Table26[[#This Row],[Date]],'DB Money Supply'!$A:$E,5)</f>
        <v/>
      </c>
      <c r="C695" s="30">
        <f>(Table26[[#This Row],[M2 Money Stock, Billions of Dollars, Monthly, Seasonally Adjusted]]-B694)/B694</f>
        <v/>
      </c>
      <c r="D695" s="31">
        <f>((1+Table26[[#This Row],[Monthly change]])^12)-1</f>
        <v/>
      </c>
    </row>
    <row r="696">
      <c r="A696" s="51" t="n">
        <v>42552</v>
      </c>
      <c r="B696" s="53">
        <f>VLOOKUP(Table26[[#This Row],[Date]],'DB Money Supply'!$A:$E,5)</f>
        <v/>
      </c>
      <c r="C696" s="30">
        <f>(Table26[[#This Row],[M2 Money Stock, Billions of Dollars, Monthly, Seasonally Adjusted]]-B695)/B695</f>
        <v/>
      </c>
      <c r="D696" s="31">
        <f>((1+Table26[[#This Row],[Monthly change]])^12)-1</f>
        <v/>
      </c>
    </row>
    <row r="697">
      <c r="A697" s="33" t="n">
        <v>42583</v>
      </c>
      <c r="B697" s="53">
        <f>VLOOKUP(Table26[[#This Row],[Date]],'DB Money Supply'!$A:$E,5)</f>
        <v/>
      </c>
      <c r="C697" s="30">
        <f>(Table26[[#This Row],[M2 Money Stock, Billions of Dollars, Monthly, Seasonally Adjusted]]-B696)/B696</f>
        <v/>
      </c>
      <c r="D697" s="31">
        <f>((1+Table26[[#This Row],[Monthly change]])^12)-1</f>
        <v/>
      </c>
    </row>
    <row r="698">
      <c r="A698" s="51" t="n">
        <v>42614</v>
      </c>
      <c r="B698" s="53">
        <f>VLOOKUP(Table26[[#This Row],[Date]],'DB Money Supply'!$A:$E,5)</f>
        <v/>
      </c>
      <c r="C698" s="30">
        <f>(Table26[[#This Row],[M2 Money Stock, Billions of Dollars, Monthly, Seasonally Adjusted]]-B697)/B697</f>
        <v/>
      </c>
      <c r="D698" s="31">
        <f>((1+Table26[[#This Row],[Monthly change]])^12)-1</f>
        <v/>
      </c>
    </row>
    <row r="699">
      <c r="A699" s="33" t="n">
        <v>42644</v>
      </c>
      <c r="B699" s="53">
        <f>VLOOKUP(Table26[[#This Row],[Date]],'DB Money Supply'!$A:$E,5)</f>
        <v/>
      </c>
      <c r="C699" s="30">
        <f>(Table26[[#This Row],[M2 Money Stock, Billions of Dollars, Monthly, Seasonally Adjusted]]-B698)/B698</f>
        <v/>
      </c>
      <c r="D699" s="31">
        <f>((1+Table26[[#This Row],[Monthly change]])^12)-1</f>
        <v/>
      </c>
    </row>
    <row r="700">
      <c r="A700" s="51" t="n">
        <v>42675</v>
      </c>
      <c r="B700" s="53">
        <f>VLOOKUP(Table26[[#This Row],[Date]],'DB Money Supply'!$A:$E,5)</f>
        <v/>
      </c>
      <c r="C700" s="30">
        <f>(Table26[[#This Row],[M2 Money Stock, Billions of Dollars, Monthly, Seasonally Adjusted]]-B699)/B699</f>
        <v/>
      </c>
      <c r="D700" s="31">
        <f>((1+Table26[[#This Row],[Monthly change]])^12)-1</f>
        <v/>
      </c>
    </row>
    <row r="701">
      <c r="A701" s="33" t="n">
        <v>42705</v>
      </c>
      <c r="B701" s="53">
        <f>VLOOKUP(Table26[[#This Row],[Date]],'DB Money Supply'!$A:$E,5)</f>
        <v/>
      </c>
      <c r="C701" s="30">
        <f>(Table26[[#This Row],[M2 Money Stock, Billions of Dollars, Monthly, Seasonally Adjusted]]-B700)/B700</f>
        <v/>
      </c>
      <c r="D701" s="31">
        <f>((1+Table26[[#This Row],[Monthly change]])^12)-1</f>
        <v/>
      </c>
    </row>
    <row r="702">
      <c r="A702" s="51" t="n">
        <v>42736</v>
      </c>
      <c r="B702" s="53">
        <f>VLOOKUP(Table26[[#This Row],[Date]],'DB Money Supply'!$A:$E,5)</f>
        <v/>
      </c>
      <c r="C702" s="30">
        <f>(Table26[[#This Row],[M2 Money Stock, Billions of Dollars, Monthly, Seasonally Adjusted]]-B701)/B701</f>
        <v/>
      </c>
      <c r="D702" s="31">
        <f>((1+Table26[[#This Row],[Monthly change]])^12)-1</f>
        <v/>
      </c>
    </row>
    <row r="703">
      <c r="A703" s="33" t="n">
        <v>42767</v>
      </c>
      <c r="B703" s="53">
        <f>VLOOKUP(Table26[[#This Row],[Date]],'DB Money Supply'!$A:$E,5)</f>
        <v/>
      </c>
      <c r="C703" s="30">
        <f>(Table26[[#This Row],[M2 Money Stock, Billions of Dollars, Monthly, Seasonally Adjusted]]-B702)/B702</f>
        <v/>
      </c>
      <c r="D703" s="31">
        <f>((1+Table26[[#This Row],[Monthly change]])^12)-1</f>
        <v/>
      </c>
    </row>
    <row r="704">
      <c r="A704" s="51" t="n">
        <v>42795</v>
      </c>
      <c r="B704" s="53">
        <f>VLOOKUP(Table26[[#This Row],[Date]],'DB Money Supply'!$A:$E,5)</f>
        <v/>
      </c>
      <c r="C704" s="30">
        <f>(Table26[[#This Row],[M2 Money Stock, Billions of Dollars, Monthly, Seasonally Adjusted]]-B703)/B703</f>
        <v/>
      </c>
      <c r="D704" s="31">
        <f>((1+Table26[[#This Row],[Monthly change]])^12)-1</f>
        <v/>
      </c>
    </row>
    <row r="705">
      <c r="A705" s="33" t="n">
        <v>42826</v>
      </c>
      <c r="B705" s="53">
        <f>VLOOKUP(Table26[[#This Row],[Date]],'DB Money Supply'!$A:$E,5)</f>
        <v/>
      </c>
      <c r="C705" s="30">
        <f>(Table26[[#This Row],[M2 Money Stock, Billions of Dollars, Monthly, Seasonally Adjusted]]-B704)/B704</f>
        <v/>
      </c>
      <c r="D705" s="31">
        <f>((1+Table26[[#This Row],[Monthly change]])^12)-1</f>
        <v/>
      </c>
    </row>
    <row r="706">
      <c r="A706" s="51" t="n">
        <v>42856</v>
      </c>
      <c r="B706" s="53">
        <f>VLOOKUP(Table26[[#This Row],[Date]],'DB Money Supply'!$A:$E,5)</f>
        <v/>
      </c>
      <c r="C706" s="30">
        <f>(Table26[[#This Row],[M2 Money Stock, Billions of Dollars, Monthly, Seasonally Adjusted]]-B705)/B705</f>
        <v/>
      </c>
      <c r="D706" s="31">
        <f>((1+Table26[[#This Row],[Monthly change]])^12)-1</f>
        <v/>
      </c>
    </row>
    <row r="707">
      <c r="A707" s="33" t="n">
        <v>42887</v>
      </c>
      <c r="B707" s="53">
        <f>VLOOKUP(Table26[[#This Row],[Date]],'DB Money Supply'!$A:$E,5)</f>
        <v/>
      </c>
      <c r="C707" s="30">
        <f>(Table26[[#This Row],[M2 Money Stock, Billions of Dollars, Monthly, Seasonally Adjusted]]-B706)/B706</f>
        <v/>
      </c>
      <c r="D707" s="31">
        <f>((1+Table26[[#This Row],[Monthly change]])^12)-1</f>
        <v/>
      </c>
    </row>
    <row r="708">
      <c r="A708" s="51" t="n">
        <v>42917</v>
      </c>
      <c r="B708" s="53">
        <f>VLOOKUP(Table26[[#This Row],[Date]],'DB Money Supply'!$A:$E,5)</f>
        <v/>
      </c>
      <c r="C708" s="30">
        <f>(Table26[[#This Row],[M2 Money Stock, Billions of Dollars, Monthly, Seasonally Adjusted]]-B707)/B707</f>
        <v/>
      </c>
      <c r="D708" s="31">
        <f>((1+Table26[[#This Row],[Monthly change]])^12)-1</f>
        <v/>
      </c>
    </row>
    <row r="709">
      <c r="A709" s="51" t="n">
        <v>42948</v>
      </c>
      <c r="B709" s="53">
        <f>VLOOKUP(Table26[[#This Row],[Date]],'DB Money Supply'!$A:$E,5)</f>
        <v/>
      </c>
      <c r="C709" s="30">
        <f>(Table26[[#This Row],[M2 Money Stock, Billions of Dollars, Monthly, Seasonally Adjusted]]-B708)/B708</f>
        <v/>
      </c>
      <c r="D709" s="31">
        <f>((1+Table26[[#This Row],[Monthly change]])^12)-1</f>
        <v/>
      </c>
    </row>
    <row r="710">
      <c r="A710" s="33" t="n">
        <v>42979</v>
      </c>
      <c r="B710" s="53">
        <f>VLOOKUP(Table26[[#This Row],[Date]],'DB Money Supply'!$A:$E,5)</f>
        <v/>
      </c>
      <c r="C710" s="30">
        <f>(Table26[[#This Row],[M2 Money Stock, Billions of Dollars, Monthly, Seasonally Adjusted]]-B709)/B709</f>
        <v/>
      </c>
      <c r="D710" s="31">
        <f>((1+Table26[[#This Row],[Monthly change]])^12)-1</f>
        <v/>
      </c>
    </row>
    <row r="711">
      <c r="A711" s="51" t="n">
        <v>43009</v>
      </c>
      <c r="B711" s="53">
        <f>VLOOKUP(Table26[[#This Row],[Date]],'DB Money Supply'!$A:$E,5)</f>
        <v/>
      </c>
      <c r="C711" s="30">
        <f>(Table26[[#This Row],[M2 Money Stock, Billions of Dollars, Monthly, Seasonally Adjusted]]-B710)/B710</f>
        <v/>
      </c>
      <c r="D711" s="31">
        <f>((1+Table26[[#This Row],[Monthly change]])^12)-1</f>
        <v/>
      </c>
    </row>
    <row r="712">
      <c r="A712" s="33" t="n">
        <v>43040</v>
      </c>
      <c r="B712" s="53">
        <f>VLOOKUP(Table26[[#This Row],[Date]],'DB Money Supply'!$A:$E,5)</f>
        <v/>
      </c>
      <c r="C712" s="30">
        <f>(Table26[[#This Row],[M2 Money Stock, Billions of Dollars, Monthly, Seasonally Adjusted]]-B711)/B711</f>
        <v/>
      </c>
      <c r="D712" s="31">
        <f>((1+Table26[[#This Row],[Monthly change]])^12)-1</f>
        <v/>
      </c>
    </row>
    <row r="713">
      <c r="A713" s="51" t="n">
        <v>43070</v>
      </c>
      <c r="B713" s="53">
        <f>VLOOKUP(Table26[[#This Row],[Date]],'DB Money Supply'!$A:$E,5)</f>
        <v/>
      </c>
      <c r="C713" s="30">
        <f>(Table26[[#This Row],[M2 Money Stock, Billions of Dollars, Monthly, Seasonally Adjusted]]-B712)/B712</f>
        <v/>
      </c>
      <c r="D713" s="31">
        <f>((1+Table26[[#This Row],[Monthly change]])^12)-1</f>
        <v/>
      </c>
    </row>
    <row r="714">
      <c r="A714" s="33" t="n">
        <v>43101</v>
      </c>
      <c r="B714" s="53">
        <f>VLOOKUP(Table26[[#This Row],[Date]],'DB Money Supply'!$A:$E,5)</f>
        <v/>
      </c>
      <c r="C714" s="30">
        <f>(Table26[[#This Row],[M2 Money Stock, Billions of Dollars, Monthly, Seasonally Adjusted]]-B713)/B713</f>
        <v/>
      </c>
      <c r="D714" s="31">
        <f>((1+Table26[[#This Row],[Monthly change]])^12)-1</f>
        <v/>
      </c>
    </row>
    <row r="715">
      <c r="A715" s="51" t="n">
        <v>43132</v>
      </c>
      <c r="B715" s="53">
        <f>VLOOKUP(Table26[[#This Row],[Date]],'DB Money Supply'!$A:$E,5)</f>
        <v/>
      </c>
      <c r="C715" s="30">
        <f>(Table26[[#This Row],[M2 Money Stock, Billions of Dollars, Monthly, Seasonally Adjusted]]-B714)/B714</f>
        <v/>
      </c>
      <c r="D715" s="31">
        <f>((1+Table26[[#This Row],[Monthly change]])^12)-1</f>
        <v/>
      </c>
    </row>
    <row r="716">
      <c r="A716" s="33" t="n">
        <v>43160</v>
      </c>
      <c r="B716" s="53">
        <f>VLOOKUP(Table26[[#This Row],[Date]],'DB Money Supply'!$A:$E,5)</f>
        <v/>
      </c>
      <c r="C716" s="30">
        <f>(Table26[[#This Row],[M2 Money Stock, Billions of Dollars, Monthly, Seasonally Adjusted]]-B715)/B715</f>
        <v/>
      </c>
      <c r="D716" s="31">
        <f>((1+Table26[[#This Row],[Monthly change]])^12)-1</f>
        <v/>
      </c>
    </row>
    <row r="717">
      <c r="A717" s="51" t="n">
        <v>43191</v>
      </c>
      <c r="B717" s="53">
        <f>VLOOKUP(Table26[[#This Row],[Date]],'DB Money Supply'!$A:$E,5)</f>
        <v/>
      </c>
      <c r="C717" s="30">
        <f>(Table26[[#This Row],[M2 Money Stock, Billions of Dollars, Monthly, Seasonally Adjusted]]-B716)/B716</f>
        <v/>
      </c>
      <c r="D717" s="31">
        <f>((1+Table26[[#This Row],[Monthly change]])^12)-1</f>
        <v/>
      </c>
    </row>
    <row r="718">
      <c r="A718" s="33" t="n">
        <v>43221</v>
      </c>
      <c r="B718" s="53">
        <f>VLOOKUP(Table26[[#This Row],[Date]],'DB Money Supply'!$A:$E,5)</f>
        <v/>
      </c>
      <c r="C718" s="30">
        <f>(Table26[[#This Row],[M2 Money Stock, Billions of Dollars, Monthly, Seasonally Adjusted]]-B717)/B717</f>
        <v/>
      </c>
      <c r="D718" s="31">
        <f>((1+Table26[[#This Row],[Monthly change]])^12)-1</f>
        <v/>
      </c>
    </row>
    <row r="719">
      <c r="A719" s="51" t="n">
        <v>43252</v>
      </c>
      <c r="B719" s="53">
        <f>VLOOKUP(Table26[[#This Row],[Date]],'DB Money Supply'!$A:$E,5)</f>
        <v/>
      </c>
      <c r="C719" s="30">
        <f>(Table26[[#This Row],[M2 Money Stock, Billions of Dollars, Monthly, Seasonally Adjusted]]-B718)/B718</f>
        <v/>
      </c>
      <c r="D719" s="31">
        <f>((1+Table26[[#This Row],[Monthly change]])^12)-1</f>
        <v/>
      </c>
    </row>
    <row r="720">
      <c r="A720" s="33" t="n">
        <v>43282</v>
      </c>
      <c r="B720" s="53">
        <f>VLOOKUP(Table26[[#This Row],[Date]],'DB Money Supply'!$A:$E,5)</f>
        <v/>
      </c>
      <c r="C720" s="30">
        <f>(Table26[[#This Row],[M2 Money Stock, Billions of Dollars, Monthly, Seasonally Adjusted]]-B719)/B719</f>
        <v/>
      </c>
      <c r="D720" s="31">
        <f>((1+Table26[[#This Row],[Monthly change]])^12)-1</f>
        <v/>
      </c>
    </row>
    <row r="721">
      <c r="A721" s="51" t="n">
        <v>43313</v>
      </c>
      <c r="B721" s="53">
        <f>VLOOKUP(Table26[[#This Row],[Date]],'DB Money Supply'!$A:$E,5)</f>
        <v/>
      </c>
      <c r="C721" s="30">
        <f>(Table26[[#This Row],[M2 Money Stock, Billions of Dollars, Monthly, Seasonally Adjusted]]-B720)/B720</f>
        <v/>
      </c>
      <c r="D721" s="31">
        <f>((1+Table26[[#This Row],[Monthly change]])^12)-1</f>
        <v/>
      </c>
    </row>
    <row r="722">
      <c r="A722" s="33" t="n">
        <v>43344</v>
      </c>
      <c r="B722" s="53">
        <f>VLOOKUP(Table26[[#This Row],[Date]],'DB Money Supply'!$A:$E,5)</f>
        <v/>
      </c>
      <c r="C722" s="30">
        <f>(Table26[[#This Row],[M2 Money Stock, Billions of Dollars, Monthly, Seasonally Adjusted]]-B721)/B721</f>
        <v/>
      </c>
      <c r="D722" s="31">
        <f>((1+Table26[[#This Row],[Monthly change]])^12)-1</f>
        <v/>
      </c>
    </row>
    <row r="723">
      <c r="A723" s="51" t="n">
        <v>43374</v>
      </c>
      <c r="B723" s="53">
        <f>VLOOKUP(Table26[[#This Row],[Date]],'DB Money Supply'!$A:$E,5)</f>
        <v/>
      </c>
      <c r="C723" s="30">
        <f>(Table26[[#This Row],[M2 Money Stock, Billions of Dollars, Monthly, Seasonally Adjusted]]-B722)/B722</f>
        <v/>
      </c>
      <c r="D723" s="31">
        <f>((1+Table26[[#This Row],[Monthly change]])^12)-1</f>
        <v/>
      </c>
    </row>
    <row r="724">
      <c r="A724" s="33" t="n">
        <v>43405</v>
      </c>
      <c r="B724" s="53">
        <f>VLOOKUP(Table26[[#This Row],[Date]],'DB Money Supply'!$A:$E,5)</f>
        <v/>
      </c>
      <c r="C724" s="30">
        <f>(Table26[[#This Row],[M2 Money Stock, Billions of Dollars, Monthly, Seasonally Adjusted]]-B723)/B723</f>
        <v/>
      </c>
      <c r="D724" s="31">
        <f>((1+Table26[[#This Row],[Monthly change]])^12)-1</f>
        <v/>
      </c>
    </row>
    <row r="725">
      <c r="A725" s="51" t="n">
        <v>43435</v>
      </c>
      <c r="B725" s="53">
        <f>VLOOKUP(Table26[[#This Row],[Date]],'DB Money Supply'!$A:$E,5)</f>
        <v/>
      </c>
      <c r="C725" s="30">
        <f>(Table26[[#This Row],[M2 Money Stock, Billions of Dollars, Monthly, Seasonally Adjusted]]-B724)/B724</f>
        <v/>
      </c>
      <c r="D725" s="31">
        <f>((1+Table26[[#This Row],[Monthly change]])^12)-1</f>
        <v/>
      </c>
    </row>
    <row r="726">
      <c r="A726" s="33" t="n">
        <v>43466</v>
      </c>
      <c r="B726" s="53">
        <f>VLOOKUP(Table26[[#This Row],[Date]],'DB Money Supply'!$A:$E,5)</f>
        <v/>
      </c>
      <c r="C726" s="30">
        <f>(Table26[[#This Row],[M2 Money Stock, Billions of Dollars, Monthly, Seasonally Adjusted]]-B725)/B725</f>
        <v/>
      </c>
      <c r="D726" s="31">
        <f>((1+Table26[[#This Row],[Monthly change]])^12)-1</f>
        <v/>
      </c>
    </row>
    <row r="727">
      <c r="A727" s="51" t="n">
        <v>43497</v>
      </c>
      <c r="B727" s="53">
        <f>VLOOKUP(Table26[[#This Row],[Date]],'DB Money Supply'!$A:$E,5)</f>
        <v/>
      </c>
      <c r="C727" s="30">
        <f>(Table26[[#This Row],[M2 Money Stock, Billions of Dollars, Monthly, Seasonally Adjusted]]-B726)/B726</f>
        <v/>
      </c>
      <c r="D727" s="31">
        <f>((1+Table26[[#This Row],[Monthly change]])^12)-1</f>
        <v/>
      </c>
    </row>
    <row r="728">
      <c r="A728" s="51" t="n">
        <v>43525</v>
      </c>
      <c r="B728" s="53">
        <f>VLOOKUP(Table26[[#This Row],[Date]],'DB Money Supply'!$A:$E,5)</f>
        <v/>
      </c>
      <c r="C728" s="30">
        <f>(Table26[[#This Row],[M2 Money Stock, Billions of Dollars, Monthly, Seasonally Adjusted]]-B727)/B727</f>
        <v/>
      </c>
      <c r="D728" s="31">
        <f>((1+Table26[[#This Row],[Monthly change]])^12)-1</f>
        <v/>
      </c>
    </row>
    <row r="729">
      <c r="A729" s="33" t="n">
        <v>43556</v>
      </c>
      <c r="B729" s="53">
        <f>VLOOKUP(Table26[[#This Row],[Date]],'DB Money Supply'!$A:$E,5)</f>
        <v/>
      </c>
      <c r="C729" s="30">
        <f>(Table26[[#This Row],[M2 Money Stock, Billions of Dollars, Monthly, Seasonally Adjusted]]-B728)/B728</f>
        <v/>
      </c>
      <c r="D729" s="31">
        <f>((1+Table26[[#This Row],[Monthly change]])^12)-1</f>
        <v/>
      </c>
    </row>
    <row r="730">
      <c r="A730" s="51" t="n">
        <v>43586</v>
      </c>
      <c r="B730" s="53">
        <f>VLOOKUP(Table26[[#This Row],[Date]],'DB Money Supply'!$A:$E,5)</f>
        <v/>
      </c>
      <c r="C730" s="30">
        <f>(Table26[[#This Row],[M2 Money Stock, Billions of Dollars, Monthly, Seasonally Adjusted]]-B729)/B729</f>
        <v/>
      </c>
      <c r="D730" s="31">
        <f>((1+Table26[[#This Row],[Monthly change]])^12)-1</f>
        <v/>
      </c>
    </row>
    <row r="731">
      <c r="A731" s="33" t="n">
        <v>43617</v>
      </c>
      <c r="B731" s="53">
        <f>VLOOKUP(Table26[[#This Row],[Date]],'DB Money Supply'!$A:$E,5)</f>
        <v/>
      </c>
      <c r="C731" s="30">
        <f>(Table26[[#This Row],[M2 Money Stock, Billions of Dollars, Monthly, Seasonally Adjusted]]-B730)/B730</f>
        <v/>
      </c>
      <c r="D731" s="31">
        <f>((1+Table26[[#This Row],[Monthly change]])^12)-1</f>
        <v/>
      </c>
    </row>
    <row r="732">
      <c r="A732" s="51" t="n">
        <v>43647</v>
      </c>
      <c r="B732" s="53">
        <f>VLOOKUP(Table26[[#This Row],[Date]],'DB Money Supply'!$A:$E,5)</f>
        <v/>
      </c>
      <c r="C732" s="30">
        <f>(Table26[[#This Row],[M2 Money Stock, Billions of Dollars, Monthly, Seasonally Adjusted]]-B731)/B731</f>
        <v/>
      </c>
      <c r="D732" s="31">
        <f>((1+Table26[[#This Row],[Monthly change]])^12)-1</f>
        <v/>
      </c>
    </row>
    <row r="733">
      <c r="A733" s="33" t="n">
        <v>43678</v>
      </c>
      <c r="B733" s="53">
        <f>VLOOKUP(Table26[[#This Row],[Date]],'DB Money Supply'!$A:$E,5)</f>
        <v/>
      </c>
      <c r="C733" s="30">
        <f>(Table26[[#This Row],[M2 Money Stock, Billions of Dollars, Monthly, Seasonally Adjusted]]-B732)/B732</f>
        <v/>
      </c>
      <c r="D733" s="31">
        <f>((1+Table26[[#This Row],[Monthly change]])^12)-1</f>
        <v/>
      </c>
    </row>
    <row r="734">
      <c r="A734" s="51" t="n">
        <v>43709</v>
      </c>
      <c r="B734" s="53">
        <f>VLOOKUP(Table26[[#This Row],[Date]],'DB Money Supply'!$A:$E,5)</f>
        <v/>
      </c>
      <c r="C734" s="30">
        <f>(Table26[[#This Row],[M2 Money Stock, Billions of Dollars, Monthly, Seasonally Adjusted]]-B733)/B733</f>
        <v/>
      </c>
      <c r="D734" s="31">
        <f>((1+Table26[[#This Row],[Monthly change]])^12)-1</f>
        <v/>
      </c>
    </row>
    <row r="735">
      <c r="A735" s="33" t="n">
        <v>43739</v>
      </c>
      <c r="B735" s="53">
        <f>VLOOKUP(Table26[[#This Row],[Date]],'DB Money Supply'!$A:$E,5)</f>
        <v/>
      </c>
      <c r="C735" s="30">
        <f>(Table26[[#This Row],[M2 Money Stock, Billions of Dollars, Monthly, Seasonally Adjusted]]-B734)/B734</f>
        <v/>
      </c>
      <c r="D735" s="31">
        <f>((1+Table26[[#This Row],[Monthly change]])^12)-1</f>
        <v/>
      </c>
    </row>
    <row r="736">
      <c r="A736" s="51" t="n">
        <v>43770</v>
      </c>
      <c r="B736" s="53">
        <f>VLOOKUP(Table26[[#This Row],[Date]],'DB Money Supply'!$A:$E,5)</f>
        <v/>
      </c>
      <c r="C736" s="30">
        <f>(Table26[[#This Row],[M2 Money Stock, Billions of Dollars, Monthly, Seasonally Adjusted]]-B735)/B735</f>
        <v/>
      </c>
      <c r="D736" s="31">
        <f>((1+Table26[[#This Row],[Monthly change]])^12)-1</f>
        <v/>
      </c>
    </row>
    <row r="737">
      <c r="A737" s="33" t="n">
        <v>43800</v>
      </c>
      <c r="B737" s="53">
        <f>VLOOKUP(Table26[[#This Row],[Date]],'DB Money Supply'!$A:$E,5)</f>
        <v/>
      </c>
      <c r="C737" s="30">
        <f>(Table26[[#This Row],[M2 Money Stock, Billions of Dollars, Monthly, Seasonally Adjusted]]-B736)/B736</f>
        <v/>
      </c>
      <c r="D737" s="31">
        <f>((1+Table26[[#This Row],[Monthly change]])^12)-1</f>
        <v/>
      </c>
    </row>
    <row r="738">
      <c r="A738" s="51" t="n">
        <v>43831</v>
      </c>
      <c r="B738" s="53">
        <f>VLOOKUP(Table26[[#This Row],[Date]],'DB Money Supply'!$A:$E,5)</f>
        <v/>
      </c>
      <c r="C738" s="30">
        <f>(Table26[[#This Row],[M2 Money Stock, Billions of Dollars, Monthly, Seasonally Adjusted]]-B737)/B737</f>
        <v/>
      </c>
      <c r="D738" s="31">
        <f>((1+Table26[[#This Row],[Monthly change]])^12)-1</f>
        <v/>
      </c>
    </row>
    <row r="739">
      <c r="A739" s="33" t="n">
        <v>43862</v>
      </c>
      <c r="B739" s="53">
        <f>VLOOKUP(Table26[[#This Row],[Date]],'DB Money Supply'!$A:$E,5)</f>
        <v/>
      </c>
      <c r="C739" s="30">
        <f>(Table26[[#This Row],[M2 Money Stock, Billions of Dollars, Monthly, Seasonally Adjusted]]-B738)/B738</f>
        <v/>
      </c>
      <c r="D739" s="31">
        <f>((1+Table26[[#This Row],[Monthly change]])^12)-1</f>
        <v/>
      </c>
    </row>
    <row r="740">
      <c r="A740" s="51" t="n">
        <v>43891</v>
      </c>
      <c r="B740" s="53">
        <f>VLOOKUP(Table26[[#This Row],[Date]],'DB Money Supply'!$A:$E,5)</f>
        <v/>
      </c>
      <c r="C740" s="30">
        <f>(Table26[[#This Row],[M2 Money Stock, Billions of Dollars, Monthly, Seasonally Adjusted]]-B739)/B739</f>
        <v/>
      </c>
      <c r="D740" s="31">
        <f>((1+Table26[[#This Row],[Monthly change]])^12)-1</f>
        <v/>
      </c>
    </row>
    <row r="741">
      <c r="A741" s="33" t="n">
        <v>43922</v>
      </c>
      <c r="B741" s="53">
        <f>VLOOKUP(Table26[[#This Row],[Date]],'DB Money Supply'!$A:$E,5)</f>
        <v/>
      </c>
      <c r="C741" s="30">
        <f>(Table26[[#This Row],[M2 Money Stock, Billions of Dollars, Monthly, Seasonally Adjusted]]-B740)/B740</f>
        <v/>
      </c>
      <c r="D741" s="31">
        <f>((1+Table26[[#This Row],[Monthly change]])^12)-1</f>
        <v/>
      </c>
    </row>
    <row r="742">
      <c r="A742" s="51" t="n">
        <v>43952</v>
      </c>
      <c r="B742" s="53">
        <f>VLOOKUP(Table26[[#This Row],[Date]],'DB Money Supply'!$A:$E,5)</f>
        <v/>
      </c>
      <c r="C742" s="30">
        <f>(Table26[[#This Row],[M2 Money Stock, Billions of Dollars, Monthly, Seasonally Adjusted]]-B741)/B741</f>
        <v/>
      </c>
      <c r="D742" s="31">
        <f>((1+Table26[[#This Row],[Monthly change]])^12)-1</f>
        <v/>
      </c>
    </row>
    <row r="743">
      <c r="A743" s="33" t="n">
        <v>43983</v>
      </c>
      <c r="B743" s="53">
        <f>VLOOKUP(Table26[[#This Row],[Date]],'DB Money Supply'!$A:$E,5)</f>
        <v/>
      </c>
      <c r="C743" s="30">
        <f>(Table26[[#This Row],[M2 Money Stock, Billions of Dollars, Monthly, Seasonally Adjusted]]-B742)/B742</f>
        <v/>
      </c>
      <c r="D743" s="31">
        <f>((1+Table26[[#This Row],[Monthly change]])^12)-1</f>
        <v/>
      </c>
    </row>
    <row r="744">
      <c r="A744" s="51" t="n">
        <v>44013</v>
      </c>
      <c r="B744" s="53">
        <f>VLOOKUP(Table26[[#This Row],[Date]],'DB Money Supply'!$A:$E,5)</f>
        <v/>
      </c>
      <c r="C744" s="30">
        <f>(Table26[[#This Row],[M2 Money Stock, Billions of Dollars, Monthly, Seasonally Adjusted]]-B743)/B743</f>
        <v/>
      </c>
      <c r="D744" s="31">
        <f>((1+Table26[[#This Row],[Monthly change]])^12)-1</f>
        <v/>
      </c>
    </row>
    <row r="745">
      <c r="A745" s="33" t="n">
        <v>44044</v>
      </c>
      <c r="B745" s="53">
        <f>VLOOKUP(Table26[[#This Row],[Date]],'DB Money Supply'!$A:$E,5)</f>
        <v/>
      </c>
      <c r="C745" s="30">
        <f>(Table26[[#This Row],[M2 Money Stock, Billions of Dollars, Monthly, Seasonally Adjusted]]-B744)/B744</f>
        <v/>
      </c>
      <c r="D745" s="31">
        <f>((1+Table26[[#This Row],[Monthly change]])^12)-1</f>
        <v/>
      </c>
    </row>
    <row r="746">
      <c r="A746" s="51" t="n">
        <v>44075</v>
      </c>
      <c r="B746" s="53">
        <f>VLOOKUP(Table26[[#This Row],[Date]],'DB Money Supply'!$A:$E,5)</f>
        <v/>
      </c>
      <c r="C746" s="30">
        <f>(Table26[[#This Row],[M2 Money Stock, Billions of Dollars, Monthly, Seasonally Adjusted]]-B745)/B745</f>
        <v/>
      </c>
      <c r="D746" s="31">
        <f>((1+Table26[[#This Row],[Monthly change]])^12)-1</f>
        <v/>
      </c>
    </row>
    <row r="747">
      <c r="A747" s="51" t="n">
        <v>44105</v>
      </c>
      <c r="B747" s="53">
        <f>VLOOKUP(Table26[[#This Row],[Date]],'DB Money Supply'!$A:$E,5)</f>
        <v/>
      </c>
      <c r="C747" s="30">
        <f>(Table26[[#This Row],[M2 Money Stock, Billions of Dollars, Monthly, Seasonally Adjusted]]-B746)/B746</f>
        <v/>
      </c>
      <c r="D747" s="31">
        <f>((1+Table26[[#This Row],[Monthly change]])^12)-1</f>
        <v/>
      </c>
    </row>
    <row r="748">
      <c r="A748" s="33" t="n">
        <v>44136</v>
      </c>
      <c r="B748" s="53">
        <f>VLOOKUP(Table26[[#This Row],[Date]],'DB Money Supply'!$A:$E,5)</f>
        <v/>
      </c>
      <c r="C748" s="30">
        <f>(Table26[[#This Row],[M2 Money Stock, Billions of Dollars, Monthly, Seasonally Adjusted]]-B747)/B747</f>
        <v/>
      </c>
      <c r="D748" s="31">
        <f>((1+Table26[[#This Row],[Monthly change]])^12)-1</f>
        <v/>
      </c>
    </row>
    <row r="749">
      <c r="A749" s="51" t="n">
        <v>44166</v>
      </c>
      <c r="B749" s="53">
        <f>VLOOKUP(Table26[[#This Row],[Date]],'DB Money Supply'!$A:$E,5)</f>
        <v/>
      </c>
      <c r="C749" s="30">
        <f>(Table26[[#This Row],[M2 Money Stock, Billions of Dollars, Monthly, Seasonally Adjusted]]-B748)/B748</f>
        <v/>
      </c>
      <c r="D749" s="31">
        <f>((1+Table26[[#This Row],[Monthly change]])^12)-1</f>
        <v/>
      </c>
    </row>
    <row r="750">
      <c r="A750" s="33" t="n">
        <v>44197</v>
      </c>
      <c r="B750" s="53">
        <f>VLOOKUP(Table26[[#This Row],[Date]],'DB Money Supply'!$A:$E,5)</f>
        <v/>
      </c>
      <c r="C750" s="30">
        <f>(Table26[[#This Row],[M2 Money Stock, Billions of Dollars, Monthly, Seasonally Adjusted]]-B749)/B749</f>
        <v/>
      </c>
      <c r="D750" s="31">
        <f>((1+Table26[[#This Row],[Monthly change]])^12)-1</f>
        <v/>
      </c>
    </row>
    <row r="751">
      <c r="A751" s="51" t="n">
        <v>44228</v>
      </c>
      <c r="B751" s="53">
        <f>VLOOKUP(Table26[[#This Row],[Date]],'DB Money Supply'!$A:$E,5)</f>
        <v/>
      </c>
      <c r="C751" s="30">
        <f>(Table26[[#This Row],[M2 Money Stock, Billions of Dollars, Monthly, Seasonally Adjusted]]-B750)/B750</f>
        <v/>
      </c>
      <c r="D751" s="31">
        <f>((1+Table26[[#This Row],[Monthly change]])^12)-1</f>
        <v/>
      </c>
    </row>
    <row r="752">
      <c r="A752" s="33" t="n">
        <v>44256</v>
      </c>
      <c r="B752" s="53">
        <f>VLOOKUP(Table26[[#This Row],[Date]],'DB Money Supply'!$A:$E,5)</f>
        <v/>
      </c>
      <c r="C752" s="30">
        <f>(Table26[[#This Row],[M2 Money Stock, Billions of Dollars, Monthly, Seasonally Adjusted]]-B751)/B751</f>
        <v/>
      </c>
      <c r="D752" s="31">
        <f>((1+Table26[[#This Row],[Monthly change]])^12)-1</f>
        <v/>
      </c>
    </row>
    <row r="753">
      <c r="A753" s="51" t="n">
        <v>44287</v>
      </c>
      <c r="B753" s="53">
        <f>VLOOKUP(Table26[[#This Row],[Date]],'DB Money Supply'!$A:$E,5)</f>
        <v/>
      </c>
      <c r="C753" s="30">
        <f>(Table26[[#This Row],[M2 Money Stock, Billions of Dollars, Monthly, Seasonally Adjusted]]-B752)/B752</f>
        <v/>
      </c>
      <c r="D753" s="31">
        <f>((1+Table26[[#This Row],[Monthly change]])^12)-1</f>
        <v/>
      </c>
    </row>
    <row r="754">
      <c r="A754" s="33" t="n">
        <v>44317</v>
      </c>
      <c r="B754" s="53">
        <f>VLOOKUP(Table26[[#This Row],[Date]],'DB Money Supply'!$A:$E,5)</f>
        <v/>
      </c>
      <c r="C754" s="30">
        <f>(Table26[[#This Row],[M2 Money Stock, Billions of Dollars, Monthly, Seasonally Adjusted]]-B753)/B753</f>
        <v/>
      </c>
      <c r="D754" s="31">
        <f>((1+Table26[[#This Row],[Monthly change]])^12)-1</f>
        <v/>
      </c>
    </row>
    <row r="755">
      <c r="A755" s="51" t="n">
        <v>44348</v>
      </c>
      <c r="B755" s="53">
        <f>VLOOKUP(Table26[[#This Row],[Date]],'DB Money Supply'!$A:$E,5)</f>
        <v/>
      </c>
      <c r="C755" s="30">
        <f>(Table26[[#This Row],[M2 Money Stock, Billions of Dollars, Monthly, Seasonally Adjusted]]-B754)/B754</f>
        <v/>
      </c>
      <c r="D755" s="31">
        <f>((1+Table26[[#This Row],[Monthly change]])^12)-1</f>
        <v/>
      </c>
    </row>
    <row r="756">
      <c r="A756" s="33" t="n">
        <v>44378</v>
      </c>
      <c r="B756" s="53">
        <f>VLOOKUP(Table26[[#This Row],[Date]],'DB Money Supply'!$A:$E,5)</f>
        <v/>
      </c>
      <c r="C756" s="30">
        <f>(Table26[[#This Row],[M2 Money Stock, Billions of Dollars, Monthly, Seasonally Adjusted]]-B755)/B755</f>
        <v/>
      </c>
      <c r="D756" s="31">
        <f>((1+Table26[[#This Row],[Monthly change]])^12)-1</f>
        <v/>
      </c>
    </row>
    <row r="757">
      <c r="A757" s="51" t="n">
        <v>44409</v>
      </c>
      <c r="B757" s="53">
        <f>VLOOKUP(Table26[[#This Row],[Date]],'DB Money Supply'!$A:$E,5)</f>
        <v/>
      </c>
      <c r="C757" s="30">
        <f>(Table26[[#This Row],[M2 Money Stock, Billions of Dollars, Monthly, Seasonally Adjusted]]-B756)/B756</f>
        <v/>
      </c>
      <c r="D757" s="31">
        <f>((1+Table26[[#This Row],[Monthly change]])^12)-1</f>
        <v/>
      </c>
    </row>
    <row r="758">
      <c r="A758" s="33" t="n">
        <v>44440</v>
      </c>
      <c r="B758" s="53">
        <f>VLOOKUP(Table26[[#This Row],[Date]],'DB Money Supply'!$A:$E,5)</f>
        <v/>
      </c>
      <c r="C758" s="30">
        <f>(Table26[[#This Row],[M2 Money Stock, Billions of Dollars, Monthly, Seasonally Adjusted]]-B757)/B757</f>
        <v/>
      </c>
      <c r="D758" s="31">
        <f>((1+Table26[[#This Row],[Monthly change]])^12)-1</f>
        <v/>
      </c>
    </row>
    <row r="759">
      <c r="A759" s="51" t="n">
        <v>44470</v>
      </c>
      <c r="B759" s="53">
        <f>VLOOKUP(Table26[[#This Row],[Date]],'DB Money Supply'!$A:$E,5)</f>
        <v/>
      </c>
      <c r="C759" s="30">
        <f>(Table26[[#This Row],[M2 Money Stock, Billions of Dollars, Monthly, Seasonally Adjusted]]-B758)/B758</f>
        <v/>
      </c>
      <c r="D759" s="31">
        <f>((1+Table26[[#This Row],[Monthly change]])^12)-1</f>
        <v/>
      </c>
    </row>
    <row r="760">
      <c r="A760" s="33" t="n">
        <v>44501</v>
      </c>
      <c r="B760" s="53">
        <f>VLOOKUP(Table26[[#This Row],[Date]],'DB Money Supply'!$A:$E,5)</f>
        <v/>
      </c>
      <c r="C760" s="30">
        <f>(Table26[[#This Row],[M2 Money Stock, Billions of Dollars, Monthly, Seasonally Adjusted]]-B759)/B759</f>
        <v/>
      </c>
      <c r="D760" s="31">
        <f>((1+Table26[[#This Row],[Monthly change]])^12)-1</f>
        <v/>
      </c>
    </row>
    <row r="761">
      <c r="A761" s="51" t="n">
        <v>44531</v>
      </c>
      <c r="B761" s="53">
        <f>VLOOKUP(Table26[[#This Row],[Date]],'DB Money Supply'!$A:$E,5)</f>
        <v/>
      </c>
      <c r="C761" s="30">
        <f>(Table26[[#This Row],[M2 Money Stock, Billions of Dollars, Monthly, Seasonally Adjusted]]-B760)/B760</f>
        <v/>
      </c>
      <c r="D761" s="31">
        <f>((1+Table26[[#This Row],[Monthly change]])^12)-1</f>
        <v/>
      </c>
    </row>
    <row r="762">
      <c r="A762" s="51" t="n">
        <v>44562</v>
      </c>
      <c r="B762" s="53">
        <f>VLOOKUP(Table26[[#This Row],[Date]],'DB Money Supply'!$A:$E,5)</f>
        <v/>
      </c>
      <c r="C762" s="30">
        <f>(Table26[[#This Row],[M2 Money Stock, Billions of Dollars, Monthly, Seasonally Adjusted]]-B761)/B761</f>
        <v/>
      </c>
      <c r="D762" s="31">
        <f>((1+Table26[[#This Row],[Monthly change]])^12)-1</f>
        <v/>
      </c>
    </row>
    <row r="763">
      <c r="A763" s="33" t="n">
        <v>44593</v>
      </c>
      <c r="B763" s="53">
        <f>VLOOKUP(Table26[[#This Row],[Date]],'DB Money Supply'!$A:$E,5)</f>
        <v/>
      </c>
      <c r="C763" s="30">
        <f>(Table26[[#This Row],[M2 Money Stock, Billions of Dollars, Monthly, Seasonally Adjusted]]-B762)/B762</f>
        <v/>
      </c>
      <c r="D763" s="31">
        <f>((1+Table26[[#This Row],[Monthly change]])^12)-1</f>
        <v/>
      </c>
    </row>
    <row r="764">
      <c r="A764" s="33" t="n">
        <v>44621</v>
      </c>
      <c r="B764" s="53">
        <f>VLOOKUP(Table26[[#This Row],[Date]],'DB Money Supply'!$A:$E,5)</f>
        <v/>
      </c>
      <c r="C764" s="30">
        <f>(Table26[[#This Row],[M2 Money Stock, Billions of Dollars, Monthly, Seasonally Adjusted]]-B763)/B763</f>
        <v/>
      </c>
      <c r="D764" s="31">
        <f>((1+Table26[[#This Row],[Monthly change]])^12)-1</f>
        <v/>
      </c>
    </row>
    <row r="765">
      <c r="A765" s="51" t="n">
        <v>44652</v>
      </c>
      <c r="B765" s="53">
        <f>VLOOKUP(Table26[[#This Row],[Date]],'DB Money Supply'!$A:$E,5)</f>
        <v/>
      </c>
      <c r="C765" s="30">
        <f>(Table26[[#This Row],[M2 Money Stock, Billions of Dollars, Monthly, Seasonally Adjusted]]-B764)/B764</f>
        <v/>
      </c>
      <c r="D765" s="31">
        <f>((1+Table26[[#This Row],[Monthly change]])^12)-1</f>
        <v/>
      </c>
    </row>
    <row r="766">
      <c r="A766" s="33" t="n">
        <v>44682</v>
      </c>
      <c r="B766" s="53">
        <f>VLOOKUP(Table26[[#This Row],[Date]],'DB Money Supply'!$A:$E,5)</f>
        <v/>
      </c>
      <c r="C766" s="30">
        <f>(Table26[[#This Row],[M2 Money Stock, Billions of Dollars, Monthly, Seasonally Adjusted]]-B765)/B765</f>
        <v/>
      </c>
      <c r="D766" s="31">
        <f>((1+Table26[[#This Row],[Monthly change]])^12)-1</f>
        <v/>
      </c>
    </row>
    <row r="767">
      <c r="A767" s="33" t="n">
        <v>44713</v>
      </c>
      <c r="B767" s="53">
        <f>VLOOKUP(Table26[[#This Row],[Date]],'DB Money Supply'!$A:$E,5)</f>
        <v/>
      </c>
      <c r="C767" s="30">
        <f>(Table26[[#This Row],[M2 Money Stock, Billions of Dollars, Monthly, Seasonally Adjusted]]-B766)/B766</f>
        <v/>
      </c>
      <c r="D767" s="31">
        <f>((1+Table26[[#This Row],[Monthly change]])^12)-1</f>
        <v/>
      </c>
    </row>
    <row r="768">
      <c r="A768" s="33" t="n">
        <v>44743</v>
      </c>
      <c r="B768" s="53">
        <f>VLOOKUP(Table26[[#This Row],[Date]],'DB Money Supply'!$A:$E,5)</f>
        <v/>
      </c>
      <c r="C768" s="30">
        <f>(Table26[[#This Row],[M2 Money Stock, Billions of Dollars, Monthly, Seasonally Adjusted]]-B767)/B767</f>
        <v/>
      </c>
      <c r="D768" s="31">
        <f>((1+Table26[[#This Row],[Monthly change]])^12)-1</f>
        <v/>
      </c>
    </row>
    <row r="769">
      <c r="A769" s="51" t="n">
        <v>44774</v>
      </c>
      <c r="B769" s="53">
        <f>VLOOKUP(Table26[[#This Row],[Date]],'DB Money Supply'!$A:$E,5)</f>
        <v/>
      </c>
      <c r="C769" s="30">
        <f>(Table26[[#This Row],[M2 Money Stock, Billions of Dollars, Monthly, Seasonally Adjusted]]-B768)/B768</f>
        <v/>
      </c>
      <c r="D769" s="31">
        <f>((1+Table26[[#This Row],[Monthly change]])^12)-1</f>
        <v/>
      </c>
    </row>
    <row r="770">
      <c r="A770" s="51" t="n">
        <v>44805</v>
      </c>
      <c r="B770" s="53">
        <f>VLOOKUP(Table26[[#This Row],[Date]],'DB Money Supply'!$A:$E,5)</f>
        <v/>
      </c>
      <c r="C770" s="30">
        <f>(Table26[[#This Row],[M2 Money Stock, Billions of Dollars, Monthly, Seasonally Adjusted]]-B769)/B769</f>
        <v/>
      </c>
      <c r="D770" s="31">
        <f>((1+Table26[[#This Row],[Monthly change]])^12)-1</f>
        <v/>
      </c>
    </row>
    <row r="771">
      <c r="A771" s="51" t="n">
        <v>44835</v>
      </c>
      <c r="B771" s="53">
        <f>VLOOKUP(Table26[[#This Row],[Date]],'DB Money Supply'!$A:$E,5)</f>
        <v/>
      </c>
      <c r="C771" s="30">
        <f>(Table26[[#This Row],[M2 Money Stock, Billions of Dollars, Monthly, Seasonally Adjusted]]-B770)/B770</f>
        <v/>
      </c>
      <c r="D771" s="31">
        <f>((1+Table26[[#This Row],[Monthly change]])^12)-1</f>
        <v/>
      </c>
    </row>
    <row r="772">
      <c r="A772" s="33" t="n">
        <v>44866</v>
      </c>
      <c r="B772" s="53">
        <f>VLOOKUP(Table26[[#This Row],[Date]],'DB Money Supply'!$A:$E,5)</f>
        <v/>
      </c>
      <c r="C772" s="30">
        <f>(Table26[[#This Row],[M2 Money Stock, Billions of Dollars, Monthly, Seasonally Adjusted]]-B771)/B771</f>
        <v/>
      </c>
      <c r="D772" s="31">
        <f>((1+Table26[[#This Row],[Monthly change]])^12)-1</f>
        <v/>
      </c>
    </row>
    <row r="773">
      <c r="A773" s="33" t="n">
        <v>44896</v>
      </c>
      <c r="B773" s="53">
        <f>VLOOKUP(Table26[[#This Row],[Date]],'DB Money Supply'!$A:$E,5)</f>
        <v/>
      </c>
      <c r="C773" s="30">
        <f>(Table26[[#This Row],[M2 Money Stock, Billions of Dollars, Monthly, Seasonally Adjusted]]-B772)/B772</f>
        <v/>
      </c>
      <c r="D773" s="31">
        <f>((1+Table26[[#This Row],[Monthly change]])^12)-1</f>
        <v/>
      </c>
    </row>
    <row r="774">
      <c r="A774" s="33" t="n">
        <v>44927</v>
      </c>
      <c r="B774" s="53">
        <f>VLOOKUP(Table26[[#This Row],[Date]],'DB Money Supply'!$A:$E,5)</f>
        <v/>
      </c>
      <c r="C774" s="30">
        <f>(Table26[[#This Row],[M2 Money Stock, Billions of Dollars, Monthly, Seasonally Adjusted]]-B773)/B773</f>
        <v/>
      </c>
      <c r="D774" s="31">
        <f>((1+Table26[[#This Row],[Monthly change]])^12)-1</f>
        <v/>
      </c>
    </row>
    <row r="775">
      <c r="A775" s="33" t="n">
        <v>44958</v>
      </c>
      <c r="B775" s="53">
        <f>VLOOKUP(Table26[[#This Row],[Date]],'DB Money Supply'!$A:$E,5)</f>
        <v/>
      </c>
      <c r="C775" s="30">
        <f>(Table26[[#This Row],[M2 Money Stock, Billions of Dollars, Monthly, Seasonally Adjusted]]-B774)/B774</f>
        <v/>
      </c>
      <c r="D775" s="31">
        <f>((1+Table26[[#This Row],[Monthly change]])^12)-1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D2:I30"/>
  <sheetViews>
    <sheetView topLeftCell="A7" zoomScale="110" zoomScaleNormal="110" workbookViewId="0">
      <pane xSplit="4" topLeftCell="G1" activePane="topRight" state="frozen"/>
      <selection activeCell="AB17" sqref="AB17"/>
      <selection pane="topRight" activeCell="M18" sqref="M18"/>
    </sheetView>
  </sheetViews>
  <sheetFormatPr baseColWidth="8" defaultColWidth="9.1796875" defaultRowHeight="14.5"/>
  <cols>
    <col width="9.1796875" customWidth="1" style="77" min="1" max="3"/>
    <col width="28" customWidth="1" style="16" min="4" max="9"/>
    <col width="9.1796875" customWidth="1" style="77" min="10" max="48"/>
    <col width="9.1796875" customWidth="1" style="77" min="49" max="16384"/>
  </cols>
  <sheetData>
    <row r="2">
      <c r="D2" s="1" t="inlineStr">
        <is>
          <t>https://tradingeconomics.com/country-list/money-supply-m2?continent=g20</t>
        </is>
      </c>
    </row>
    <row r="7">
      <c r="D7" s="73" t="inlineStr">
        <is>
          <t>Country</t>
        </is>
      </c>
      <c r="E7" s="73" t="inlineStr">
        <is>
          <t>Last</t>
        </is>
      </c>
      <c r="F7" s="73" t="inlineStr">
        <is>
          <t>Month</t>
        </is>
      </c>
      <c r="G7" s="73" t="inlineStr">
        <is>
          <t>Previous</t>
        </is>
      </c>
      <c r="H7" s="73" t="inlineStr">
        <is>
          <t>mom annualized</t>
        </is>
      </c>
      <c r="I7" s="73" t="inlineStr">
        <is>
          <t>Currency</t>
        </is>
      </c>
    </row>
    <row r="8">
      <c r="D8" s="43" t="inlineStr">
        <is>
          <t>Argentina</t>
        </is>
      </c>
      <c r="E8" s="23">
        <f>VLOOKUP(D8,'DB Trading Economics'!$A:$E,2)</f>
        <v/>
      </c>
      <c r="F8" s="64">
        <f>VLOOKUP(D8,'DB Trading Economics'!$A:$E,3)</f>
        <v/>
      </c>
      <c r="G8" s="23">
        <f>VLOOKUP(D8,'DB Trading Economics'!$A:$E,4)</f>
        <v/>
      </c>
      <c r="H8" s="59">
        <f>(((E8-G8)/G8)+1)^12-1</f>
        <v/>
      </c>
      <c r="I8" s="23">
        <f>VLOOKUP(D8,'DB Trading Economics'!$A:$E,5)</f>
        <v/>
      </c>
    </row>
    <row r="9">
      <c r="D9" s="43" t="inlineStr">
        <is>
          <t>Brazil</t>
        </is>
      </c>
      <c r="E9" s="23">
        <f>VLOOKUP(D9,'DB Trading Economics'!$A:$E,2)</f>
        <v/>
      </c>
      <c r="F9" s="64">
        <f>VLOOKUP(D9,'DB Trading Economics'!$A:$E,3)</f>
        <v/>
      </c>
      <c r="G9" s="23">
        <f>VLOOKUP(D9,'DB Trading Economics'!$A:$E,4)</f>
        <v/>
      </c>
      <c r="H9" s="59">
        <f>(((E9-G9)/G9)+1)^12-1</f>
        <v/>
      </c>
      <c r="I9" s="23">
        <f>VLOOKUP(D9,'DB Trading Economics'!$A:$E,5)</f>
        <v/>
      </c>
    </row>
    <row r="10">
      <c r="D10" s="43" t="inlineStr">
        <is>
          <t>Canada</t>
        </is>
      </c>
      <c r="E10" s="23">
        <f>VLOOKUP(D10,'DB Trading Economics'!$A:$E,2)</f>
        <v/>
      </c>
      <c r="F10" s="64">
        <f>VLOOKUP(D10,'DB Trading Economics'!$A:$E,3)</f>
        <v/>
      </c>
      <c r="G10" s="23">
        <f>VLOOKUP(D10,'DB Trading Economics'!$A:$E,4)</f>
        <v/>
      </c>
      <c r="H10" s="59">
        <f>(((E10-G10)/G10)+1)^12-1</f>
        <v/>
      </c>
      <c r="I10" s="23">
        <f>VLOOKUP(D10,'DB Trading Economics'!$A:$E,5)</f>
        <v/>
      </c>
    </row>
    <row r="11">
      <c r="D11" s="43" t="inlineStr">
        <is>
          <t>China</t>
        </is>
      </c>
      <c r="E11" s="23">
        <f>VLOOKUP(D11,'DB Trading Economics'!$A:$E,2)</f>
        <v/>
      </c>
      <c r="F11" s="64">
        <f>VLOOKUP(D11,'DB Trading Economics'!$A:$E,3)</f>
        <v/>
      </c>
      <c r="G11" s="23">
        <f>VLOOKUP(D11,'DB Trading Economics'!$A:$E,4)</f>
        <v/>
      </c>
      <c r="H11" s="59">
        <f>(((E11-G11)/G11)+1)^12-1</f>
        <v/>
      </c>
      <c r="I11" s="23">
        <f>VLOOKUP(D11,'DB Trading Economics'!$A:$E,5)</f>
        <v/>
      </c>
    </row>
    <row r="12">
      <c r="D12" s="43" t="inlineStr">
        <is>
          <t>Euro Area</t>
        </is>
      </c>
      <c r="E12" s="23">
        <f>VLOOKUP(D12,'DB Trading Economics'!$A:$E,2)</f>
        <v/>
      </c>
      <c r="F12" s="64">
        <f>VLOOKUP(D12,'DB Trading Economics'!$A:$E,3)</f>
        <v/>
      </c>
      <c r="G12" s="23">
        <f>VLOOKUP(D12,'DB Trading Economics'!$A:$E,4)</f>
        <v/>
      </c>
      <c r="H12" s="59">
        <f>(((E12-G12)/G12)+1)^12-1</f>
        <v/>
      </c>
      <c r="I12" s="23">
        <f>VLOOKUP(D12,'DB Trading Economics'!$A:$E,5)</f>
        <v/>
      </c>
    </row>
    <row r="13">
      <c r="D13" s="43" t="inlineStr">
        <is>
          <t>France</t>
        </is>
      </c>
      <c r="E13" s="23">
        <f>VLOOKUP(D13,'DB Trading Economics'!$A:$E,2)</f>
        <v/>
      </c>
      <c r="F13" s="64">
        <f>VLOOKUP(D13,'DB Trading Economics'!$A:$E,3)</f>
        <v/>
      </c>
      <c r="G13" s="23">
        <f>VLOOKUP(D13,'DB Trading Economics'!$A:$E,4)</f>
        <v/>
      </c>
      <c r="H13" s="59">
        <f>(((E13-G13)/G13)+1)^12-1</f>
        <v/>
      </c>
      <c r="I13" s="23">
        <f>VLOOKUP(D13,'DB Trading Economics'!$A:$E,5)</f>
        <v/>
      </c>
    </row>
    <row r="14">
      <c r="D14" s="43" t="inlineStr">
        <is>
          <t>Germany</t>
        </is>
      </c>
      <c r="E14" s="23">
        <f>VLOOKUP(D14,'DB Trading Economics'!$A:$E,2)</f>
        <v/>
      </c>
      <c r="F14" s="64">
        <f>VLOOKUP(D14,'DB Trading Economics'!$A:$E,3)</f>
        <v/>
      </c>
      <c r="G14" s="23">
        <f>VLOOKUP(D14,'DB Trading Economics'!$A:$E,4)</f>
        <v/>
      </c>
      <c r="H14" s="59">
        <f>(((E14-G14)/G14)+1)^12-1</f>
        <v/>
      </c>
      <c r="I14" s="23">
        <f>VLOOKUP(D14,'DB Trading Economics'!$A:$E,5)</f>
        <v/>
      </c>
    </row>
    <row r="15">
      <c r="D15" s="43" t="inlineStr">
        <is>
          <t>India</t>
        </is>
      </c>
      <c r="E15" s="23">
        <f>VLOOKUP(D15,'DB Trading Economics'!$A:$E,2)</f>
        <v/>
      </c>
      <c r="F15" s="64">
        <f>VLOOKUP(D15,'DB Trading Economics'!$A:$E,3)</f>
        <v/>
      </c>
      <c r="G15" s="23">
        <f>VLOOKUP(D15,'DB Trading Economics'!$A:$E,4)</f>
        <v/>
      </c>
      <c r="H15" s="59">
        <f>(((E15-G15)/G15)+1)^12-1</f>
        <v/>
      </c>
      <c r="I15" s="23">
        <f>VLOOKUP(D15,'DB Trading Economics'!$A:$E,5)</f>
        <v/>
      </c>
    </row>
    <row r="16">
      <c r="D16" s="43" t="inlineStr">
        <is>
          <t>Indonesia</t>
        </is>
      </c>
      <c r="E16" s="23">
        <f>VLOOKUP(D16,'DB Trading Economics'!$A:$E,2)</f>
        <v/>
      </c>
      <c r="F16" s="64">
        <f>VLOOKUP(D16,'DB Trading Economics'!$A:$E,3)</f>
        <v/>
      </c>
      <c r="G16" s="23">
        <f>VLOOKUP(D16,'DB Trading Economics'!$A:$E,4)</f>
        <v/>
      </c>
      <c r="H16" s="59">
        <f>(((E16-G16)/G16)+1)^12-1</f>
        <v/>
      </c>
      <c r="I16" s="23">
        <f>VLOOKUP(D16,'DB Trading Economics'!$A:$E,5)</f>
        <v/>
      </c>
    </row>
    <row r="17">
      <c r="D17" s="43" t="inlineStr">
        <is>
          <t>Italy</t>
        </is>
      </c>
      <c r="E17" s="23">
        <f>VLOOKUP(D17,'DB Trading Economics'!$A:$E,2)</f>
        <v/>
      </c>
      <c r="F17" s="64">
        <f>VLOOKUP(D17,'DB Trading Economics'!$A:$E,3)</f>
        <v/>
      </c>
      <c r="G17" s="23">
        <f>VLOOKUP(D17,'DB Trading Economics'!$A:$E,4)</f>
        <v/>
      </c>
      <c r="H17" s="59">
        <f>(((E17-G17)/G17)+1)^12-1</f>
        <v/>
      </c>
      <c r="I17" s="23">
        <f>VLOOKUP(D17,'DB Trading Economics'!$A:$E,5)</f>
        <v/>
      </c>
    </row>
    <row r="18">
      <c r="D18" s="43" t="inlineStr">
        <is>
          <t>Japan</t>
        </is>
      </c>
      <c r="E18" s="23">
        <f>VLOOKUP(D18,'DB Trading Economics'!$A:$E,2)</f>
        <v/>
      </c>
      <c r="F18" s="64">
        <f>VLOOKUP(D18,'DB Trading Economics'!$A:$E,3)</f>
        <v/>
      </c>
      <c r="G18" s="23">
        <f>VLOOKUP(D18,'DB Trading Economics'!$A:$E,4)</f>
        <v/>
      </c>
      <c r="H18" s="59">
        <f>(((E18-G18)/G18)+1)^12-1</f>
        <v/>
      </c>
      <c r="I18" s="23">
        <f>VLOOKUP(D18,'DB Trading Economics'!$A:$E,5)</f>
        <v/>
      </c>
    </row>
    <row r="19">
      <c r="D19" s="43" t="inlineStr">
        <is>
          <t>Mexico</t>
        </is>
      </c>
      <c r="E19" s="23">
        <f>VLOOKUP(D19,'DB Trading Economics'!$A:$E,2)</f>
        <v/>
      </c>
      <c r="F19" s="64">
        <f>VLOOKUP(D19,'DB Trading Economics'!$A:$E,3)</f>
        <v/>
      </c>
      <c r="G19" s="23">
        <f>VLOOKUP(D19,'DB Trading Economics'!$A:$E,4)</f>
        <v/>
      </c>
      <c r="H19" s="59">
        <f>(((E19-G19)/G19)+1)^12-1</f>
        <v/>
      </c>
      <c r="I19" s="23">
        <f>VLOOKUP(D19,'DB Trading Economics'!$A:$E,5)</f>
        <v/>
      </c>
    </row>
    <row r="20">
      <c r="D20" s="43" t="inlineStr">
        <is>
          <t>Netherlands</t>
        </is>
      </c>
      <c r="E20" s="23">
        <f>VLOOKUP(D20,'DB Trading Economics'!$A:$E,2)</f>
        <v/>
      </c>
      <c r="F20" s="64">
        <f>VLOOKUP(D20,'DB Trading Economics'!$A:$E,3)</f>
        <v/>
      </c>
      <c r="G20" s="23">
        <f>VLOOKUP(D20,'DB Trading Economics'!$A:$E,4)</f>
        <v/>
      </c>
      <c r="H20" s="59">
        <f>(((E20-G20)/G20)+1)^12-1</f>
        <v/>
      </c>
      <c r="I20" s="23">
        <f>VLOOKUP(D20,'DB Trading Economics'!$A:$E,5)</f>
        <v/>
      </c>
    </row>
    <row r="21">
      <c r="D21" s="43" t="inlineStr">
        <is>
          <t>Russia</t>
        </is>
      </c>
      <c r="E21" s="23">
        <f>VLOOKUP(D21,'DB Trading Economics'!$A:$E,2)</f>
        <v/>
      </c>
      <c r="F21" s="64">
        <f>VLOOKUP(D21,'DB Trading Economics'!$A:$E,3)</f>
        <v/>
      </c>
      <c r="G21" s="23">
        <f>VLOOKUP(D21,'DB Trading Economics'!$A:$E,4)</f>
        <v/>
      </c>
      <c r="H21" s="59">
        <f>(((E21-G21)/G21)+1)^12-1</f>
        <v/>
      </c>
      <c r="I21" s="23">
        <f>VLOOKUP(D21,'DB Trading Economics'!$A:$E,5)</f>
        <v/>
      </c>
    </row>
    <row r="22">
      <c r="D22" s="43" t="inlineStr">
        <is>
          <t>Saudi Arabia</t>
        </is>
      </c>
      <c r="E22" s="23">
        <f>VLOOKUP(D22,'DB Trading Economics'!$A:$E,2)</f>
        <v/>
      </c>
      <c r="F22" s="64">
        <f>VLOOKUP(D22,'DB Trading Economics'!$A:$E,3)</f>
        <v/>
      </c>
      <c r="G22" s="23">
        <f>VLOOKUP(D22,'DB Trading Economics'!$A:$E,4)</f>
        <v/>
      </c>
      <c r="H22" s="59">
        <f>(((E22-G22)/G22)+1)^12-1</f>
        <v/>
      </c>
      <c r="I22" s="23">
        <f>VLOOKUP(D22,'DB Trading Economics'!$A:$E,5)</f>
        <v/>
      </c>
    </row>
    <row r="23">
      <c r="D23" s="43" t="inlineStr">
        <is>
          <t>Singapore</t>
        </is>
      </c>
      <c r="E23" s="23">
        <f>VLOOKUP(D23,'DB Trading Economics'!$A:$E,2)</f>
        <v/>
      </c>
      <c r="F23" s="64">
        <f>VLOOKUP(D23,'DB Trading Economics'!$A:$E,3)</f>
        <v/>
      </c>
      <c r="G23" s="23">
        <f>VLOOKUP(D23,'DB Trading Economics'!$A:$E,4)</f>
        <v/>
      </c>
      <c r="H23" s="59">
        <f>(((E23-G23)/G23)+1)^12-1</f>
        <v/>
      </c>
      <c r="I23" s="23">
        <f>VLOOKUP(D23,'DB Trading Economics'!$A:$E,5)</f>
        <v/>
      </c>
    </row>
    <row r="24">
      <c r="D24" s="43" t="inlineStr">
        <is>
          <t>South Africa</t>
        </is>
      </c>
      <c r="E24" s="23">
        <f>VLOOKUP(D24,'DB Trading Economics'!$A:$E,2)</f>
        <v/>
      </c>
      <c r="F24" s="64">
        <f>VLOOKUP(D24,'DB Trading Economics'!$A:$E,3)</f>
        <v/>
      </c>
      <c r="G24" s="23">
        <f>VLOOKUP(D24,'DB Trading Economics'!$A:$E,4)</f>
        <v/>
      </c>
      <c r="H24" s="59">
        <f>(((E24-G24)/G24)+1)^12-1</f>
        <v/>
      </c>
      <c r="I24" s="23">
        <f>VLOOKUP(D24,'DB Trading Economics'!$A:$E,5)</f>
        <v/>
      </c>
    </row>
    <row r="25">
      <c r="D25" s="43" t="inlineStr">
        <is>
          <t>South Korea</t>
        </is>
      </c>
      <c r="E25" s="23">
        <f>VLOOKUP(D25,'DB Trading Economics'!$A:$E,2)</f>
        <v/>
      </c>
      <c r="F25" s="64">
        <f>VLOOKUP(D25,'DB Trading Economics'!$A:$E,3)</f>
        <v/>
      </c>
      <c r="G25" s="23">
        <f>VLOOKUP(D25,'DB Trading Economics'!$A:$E,4)</f>
        <v/>
      </c>
      <c r="H25" s="59">
        <f>(((E25-G25)/G25)+1)^12-1</f>
        <v/>
      </c>
      <c r="I25" s="23">
        <f>VLOOKUP(D25,'DB Trading Economics'!$A:$E,5)</f>
        <v/>
      </c>
    </row>
    <row r="26">
      <c r="D26" s="43" t="inlineStr">
        <is>
          <t>Spain</t>
        </is>
      </c>
      <c r="E26" s="23">
        <f>VLOOKUP(D26,'DB Trading Economics'!$A:$E,2)</f>
        <v/>
      </c>
      <c r="F26" s="64">
        <f>VLOOKUP(D26,'DB Trading Economics'!$A:$E,3)</f>
        <v/>
      </c>
      <c r="G26" s="23">
        <f>VLOOKUP(D26,'DB Trading Economics'!$A:$E,4)</f>
        <v/>
      </c>
      <c r="H26" s="59">
        <f>(((E26-G26)/G26)+1)^12-1</f>
        <v/>
      </c>
      <c r="I26" s="23">
        <f>VLOOKUP(D26,'DB Trading Economics'!$A:$E,5)</f>
        <v/>
      </c>
    </row>
    <row r="27">
      <c r="D27" s="43" t="inlineStr">
        <is>
          <t>Switzerland</t>
        </is>
      </c>
      <c r="E27" s="23">
        <f>VLOOKUP(D27,'DB Trading Economics'!$A:$E,2)</f>
        <v/>
      </c>
      <c r="F27" s="64">
        <f>VLOOKUP(D27,'DB Trading Economics'!$A:$E,3)</f>
        <v/>
      </c>
      <c r="G27" s="23">
        <f>VLOOKUP(D27,'DB Trading Economics'!$A:$E,4)</f>
        <v/>
      </c>
      <c r="H27" s="59">
        <f>(((E27-G27)/G27)+1)^12-1</f>
        <v/>
      </c>
      <c r="I27" s="23">
        <f>VLOOKUP(D27,'DB Trading Economics'!$A:$E,5)</f>
        <v/>
      </c>
    </row>
    <row r="28">
      <c r="D28" s="43" t="inlineStr">
        <is>
          <t>Turkey</t>
        </is>
      </c>
      <c r="E28" s="23">
        <f>VLOOKUP(D28,'DB Trading Economics'!$A:$E,2)</f>
        <v/>
      </c>
      <c r="F28" s="64">
        <f>VLOOKUP(D28,'DB Trading Economics'!$A:$E,3)</f>
        <v/>
      </c>
      <c r="G28" s="23">
        <f>VLOOKUP(D28,'DB Trading Economics'!$A:$E,4)</f>
        <v/>
      </c>
      <c r="H28" s="59">
        <f>(((E28-G28)/G28)+1)^12-1</f>
        <v/>
      </c>
      <c r="I28" s="23">
        <f>VLOOKUP(D28,'DB Trading Economics'!$A:$E,5)</f>
        <v/>
      </c>
    </row>
    <row r="29">
      <c r="D29" s="43" t="inlineStr">
        <is>
          <t>United Kingdom</t>
        </is>
      </c>
      <c r="E29" s="23">
        <f>VLOOKUP(D29,'DB Trading Economics'!$A:$E,2)</f>
        <v/>
      </c>
      <c r="F29" s="64">
        <f>VLOOKUP(D29,'DB Trading Economics'!$A:$E,3)</f>
        <v/>
      </c>
      <c r="G29" s="23">
        <f>VLOOKUP(D29,'DB Trading Economics'!$A:$E,4)</f>
        <v/>
      </c>
      <c r="H29" s="59">
        <f>(((E29-G29)/G29)+1)^12-1</f>
        <v/>
      </c>
      <c r="I29" s="23">
        <f>VLOOKUP(D29,'DB Trading Economics'!$A:$E,5)</f>
        <v/>
      </c>
    </row>
    <row r="30">
      <c r="D30" s="43" t="inlineStr">
        <is>
          <t>United States</t>
        </is>
      </c>
      <c r="E30" s="23">
        <f>VLOOKUP(D30,'DB Trading Economics'!$A:$E,2)</f>
        <v/>
      </c>
      <c r="F30" s="64">
        <f>VLOOKUP(D30,'DB Trading Economics'!$A:$E,3)</f>
        <v/>
      </c>
      <c r="G30" s="23">
        <f>VLOOKUP(D30,'DB Trading Economics'!$A:$E,4)</f>
        <v/>
      </c>
      <c r="H30" s="59">
        <f>(((E30-G30)/G30)+1)^12-1</f>
        <v/>
      </c>
      <c r="I30" s="23">
        <f>VLOOKUP(D30,'DB Trading Economics'!$A:$E,5)</f>
        <v/>
      </c>
    </row>
  </sheetData>
  <conditionalFormatting sqref="H8:H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xmlns:r="http://schemas.openxmlformats.org/officeDocument/2006/relationships" ref="D2" r:id="rId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>
  <sheetPr codeName="Sheet17">
    <tabColor rgb="FFFFC000"/>
    <outlinePr summaryBelow="1" summaryRight="1"/>
    <pageSetUpPr/>
  </sheetPr>
  <dimension ref="A1:AI102"/>
  <sheetViews>
    <sheetView zoomScale="90" zoomScaleNormal="90" workbookViewId="0">
      <pane xSplit="1" ySplit="5" topLeftCell="B88" activePane="bottomRight" state="frozen"/>
      <selection pane="topRight" activeCell="B1" sqref="B1"/>
      <selection pane="bottomLeft" activeCell="A6" sqref="A6"/>
      <selection pane="bottomRight" activeCell="Z107" sqref="Z107"/>
    </sheetView>
  </sheetViews>
  <sheetFormatPr baseColWidth="8" defaultColWidth="8.81640625" defaultRowHeight="14.5"/>
  <cols>
    <col width="10.6328125" bestFit="1" customWidth="1" style="77" min="1" max="1"/>
    <col width="13.6328125" customWidth="1" min="2" max="2"/>
    <col width="6.36328125" customWidth="1" min="3" max="3"/>
    <col width="6.1796875" customWidth="1" min="4" max="4"/>
    <col width="7.36328125" customWidth="1" min="5" max="5"/>
    <col width="6.6328125" customWidth="1" min="6" max="6"/>
    <col width="6.1796875" customWidth="1" min="7" max="9"/>
    <col width="5.36328125" customWidth="1" min="10" max="10"/>
    <col width="6.1796875" customWidth="1" min="11" max="22"/>
    <col width="5.6328125" customWidth="1" min="23" max="23"/>
    <col width="6.1796875" customWidth="1" min="24" max="27"/>
    <col width="9.1796875" customWidth="1" style="77" min="28" max="28"/>
    <col width="12.36328125" customWidth="1" style="77" min="29" max="29"/>
    <col width="9.1796875" customWidth="1" style="77" min="30" max="30"/>
    <col width="10.6328125" customWidth="1" style="77" min="31" max="31"/>
    <col width="10.6328125" bestFit="1" customWidth="1" style="77" min="32" max="32"/>
    <col width="9.1796875" customWidth="1" style="77" min="33" max="73"/>
  </cols>
  <sheetData>
    <row r="1" customFormat="1" s="77">
      <c r="C1" s="77" t="inlineStr">
        <is>
          <t>OECD</t>
        </is>
      </c>
      <c r="D1" s="77" t="inlineStr">
        <is>
          <t>USA</t>
        </is>
      </c>
      <c r="E1" s="77" t="inlineStr">
        <is>
          <t>CHN</t>
        </is>
      </c>
      <c r="F1" s="77" t="inlineStr">
        <is>
          <t>EA19</t>
        </is>
      </c>
      <c r="G1" s="77" t="inlineStr">
        <is>
          <t>JPN</t>
        </is>
      </c>
      <c r="H1" s="77" t="inlineStr">
        <is>
          <t>GBR</t>
        </is>
      </c>
      <c r="I1" s="77" t="inlineStr">
        <is>
          <t>CHE</t>
        </is>
      </c>
      <c r="J1" s="77" t="inlineStr">
        <is>
          <t>SWE</t>
        </is>
      </c>
      <c r="K1" s="77" t="inlineStr">
        <is>
          <t>NOR</t>
        </is>
      </c>
      <c r="L1" s="77" t="inlineStr">
        <is>
          <t>BRA</t>
        </is>
      </c>
      <c r="M1" s="77" t="inlineStr">
        <is>
          <t>MEX</t>
        </is>
      </c>
      <c r="N1" s="77" t="inlineStr">
        <is>
          <t>RUS</t>
        </is>
      </c>
      <c r="O1" s="77" t="inlineStr">
        <is>
          <t>IND</t>
        </is>
      </c>
      <c r="P1" s="77" t="inlineStr">
        <is>
          <t>CAN</t>
        </is>
      </c>
      <c r="Q1" s="77" t="inlineStr">
        <is>
          <t>AUS</t>
        </is>
      </c>
      <c r="R1" s="77" t="inlineStr">
        <is>
          <t>IDN</t>
        </is>
      </c>
      <c r="S1" s="77" t="inlineStr">
        <is>
          <t>KOR</t>
        </is>
      </c>
      <c r="T1" s="77" t="inlineStr">
        <is>
          <t>CHL</t>
        </is>
      </c>
      <c r="U1" s="77" t="inlineStr">
        <is>
          <t>DNK</t>
        </is>
      </c>
      <c r="V1" s="77" t="inlineStr">
        <is>
          <t>ISR</t>
        </is>
      </c>
      <c r="W1" s="77" t="inlineStr">
        <is>
          <t>TUR</t>
        </is>
      </c>
      <c r="X1" s="77" t="inlineStr">
        <is>
          <t>ZAF</t>
        </is>
      </c>
      <c r="Y1" s="77" t="inlineStr">
        <is>
          <t>NZL</t>
        </is>
      </c>
      <c r="Z1" s="77" t="inlineStr">
        <is>
          <t>CZE</t>
        </is>
      </c>
      <c r="AA1" s="77" t="inlineStr">
        <is>
          <t>POL</t>
        </is>
      </c>
      <c r="AI1" s="77" t="inlineStr">
        <is>
          <t>modify max/min/avg</t>
        </is>
      </c>
    </row>
    <row r="2" ht="90" customHeight="1">
      <c r="B2" s="2" t="n"/>
      <c r="C2" s="3" t="inlineStr">
        <is>
          <t>Global OECD</t>
        </is>
      </c>
      <c r="D2" s="4" t="inlineStr">
        <is>
          <t>US</t>
        </is>
      </c>
      <c r="E2" s="5" t="inlineStr">
        <is>
          <t xml:space="preserve">China </t>
        </is>
      </c>
      <c r="F2" s="6" t="inlineStr">
        <is>
          <t>Eurozone</t>
        </is>
      </c>
      <c r="G2" s="7" t="inlineStr">
        <is>
          <t xml:space="preserve">Japan </t>
        </is>
      </c>
      <c r="H2" s="8" t="inlineStr">
        <is>
          <t>UK</t>
        </is>
      </c>
      <c r="I2" s="8" t="inlineStr">
        <is>
          <t>Switzerland</t>
        </is>
      </c>
      <c r="J2" s="8" t="inlineStr">
        <is>
          <t>Sweden</t>
        </is>
      </c>
      <c r="K2" s="8" t="inlineStr">
        <is>
          <t>Norway</t>
        </is>
      </c>
      <c r="L2" s="8" t="inlineStr">
        <is>
          <t>Brazil</t>
        </is>
      </c>
      <c r="M2" s="8" t="inlineStr">
        <is>
          <t>Mexico</t>
        </is>
      </c>
      <c r="N2" s="8" t="inlineStr">
        <is>
          <t>Russia</t>
        </is>
      </c>
      <c r="O2" s="8" t="inlineStr">
        <is>
          <t>India</t>
        </is>
      </c>
      <c r="P2" s="8" t="inlineStr">
        <is>
          <t>Canada</t>
        </is>
      </c>
      <c r="Q2" s="8" t="inlineStr">
        <is>
          <t>Australia</t>
        </is>
      </c>
      <c r="R2" s="9" t="inlineStr">
        <is>
          <t>Indonesia</t>
        </is>
      </c>
      <c r="S2" s="8" t="inlineStr">
        <is>
          <t xml:space="preserve">S Korea </t>
        </is>
      </c>
      <c r="T2" s="8" t="inlineStr">
        <is>
          <t>Chile</t>
        </is>
      </c>
      <c r="U2" s="8" t="inlineStr">
        <is>
          <t>Danemark</t>
        </is>
      </c>
      <c r="V2" s="8" t="inlineStr">
        <is>
          <t>Israel</t>
        </is>
      </c>
      <c r="W2" s="8" t="inlineStr">
        <is>
          <t>Turkey</t>
        </is>
      </c>
      <c r="X2" s="8" t="inlineStr">
        <is>
          <t>South Africa</t>
        </is>
      </c>
      <c r="Y2" s="8" t="inlineStr">
        <is>
          <t>New Zealand</t>
        </is>
      </c>
      <c r="Z2" s="8" t="inlineStr">
        <is>
          <t xml:space="preserve">Czech </t>
        </is>
      </c>
      <c r="AA2" s="8" t="inlineStr">
        <is>
          <t>Poland</t>
        </is>
      </c>
    </row>
    <row r="3">
      <c r="B3" s="2" t="inlineStr">
        <is>
          <t>max 12m</t>
        </is>
      </c>
      <c r="C3" s="15">
        <f>MAX(OFFSET(C$20,COUNT(C$20:C$435),0,-13,1))</f>
        <v/>
      </c>
      <c r="D3" s="15">
        <f>MAX(OFFSET(D$20,COUNT(D$20:D$435),0,-13,1))</f>
        <v/>
      </c>
      <c r="E3" s="15">
        <f>MAX(OFFSET(E$20,COUNT(E$20:E$435),0,-13,1))</f>
        <v/>
      </c>
      <c r="F3" s="15">
        <f>MAX(OFFSET(F$20,COUNT(F$20:F$435),0,-13,1))</f>
        <v/>
      </c>
      <c r="G3" s="15">
        <f>MAX(OFFSET(G$20,COUNT(G$20:G$435),0,-13,1))</f>
        <v/>
      </c>
      <c r="H3" s="15">
        <f>MAX(OFFSET(H$20,COUNT(H$20:H$435),0,-13,1))</f>
        <v/>
      </c>
      <c r="I3" s="15">
        <f>MAX(OFFSET(I$20,COUNT(I$20:I$435),0,-13,1))</f>
        <v/>
      </c>
      <c r="J3" s="15">
        <f>MAX(OFFSET(J$20,COUNT(J$20:J$435),0,-13,1))</f>
        <v/>
      </c>
      <c r="K3" s="15">
        <f>MAX(OFFSET(K$20,COUNT(K$20:K$435),0,-13,1))</f>
        <v/>
      </c>
      <c r="L3" s="15">
        <f>MAX(OFFSET(L$20,COUNT(L$20:L$435),0,-13,1))</f>
        <v/>
      </c>
      <c r="M3" s="15">
        <f>MAX(OFFSET(M$20,COUNT(M$20:M$435),0,-13,1))</f>
        <v/>
      </c>
      <c r="N3" s="15">
        <f>MAX(OFFSET(N$20,COUNT(N$20:N$435),0,-13,1))</f>
        <v/>
      </c>
      <c r="O3" s="15">
        <f>MAX(OFFSET(O$20,COUNT(O$20:O$435),0,-13,1))</f>
        <v/>
      </c>
      <c r="P3" s="15">
        <f>MAX(OFFSET(P$20,COUNT(P$20:P$435),0,-13,1))</f>
        <v/>
      </c>
      <c r="Q3" s="15">
        <f>MAX(OFFSET(Q$20,COUNT(Q$20:Q$435),0,-13,1))</f>
        <v/>
      </c>
      <c r="R3" s="15">
        <f>MAX(OFFSET(R$20,COUNT(R$20:R$435),0,-13,1))</f>
        <v/>
      </c>
      <c r="S3" s="15">
        <f>MAX(OFFSET(S$20,COUNT(S$20:S$435),0,-13,1))</f>
        <v/>
      </c>
      <c r="T3" s="15">
        <f>MAX(OFFSET(T$20,COUNT(T$20:T$435),0,-13,1))</f>
        <v/>
      </c>
      <c r="U3" s="15">
        <f>MAX(OFFSET(U$20,COUNT(U$20:U$435),0,-13,1))</f>
        <v/>
      </c>
      <c r="V3" s="15">
        <f>MAX(OFFSET(V$20,COUNT(V$20:V$435),0,-13,1))</f>
        <v/>
      </c>
      <c r="W3" s="15">
        <f>MAX(OFFSET(W$20,COUNT(W$20:W$435),0,-13,1))</f>
        <v/>
      </c>
      <c r="X3" s="15">
        <f>MAX(OFFSET(X$20,COUNT(X$20:X$435),0,-13,1))</f>
        <v/>
      </c>
      <c r="Y3" s="15">
        <f>MAX(OFFSET(Y$20,COUNT(Y$20:Y$435),0,-13,1))</f>
        <v/>
      </c>
      <c r="Z3" s="15">
        <f>MAX(OFFSET(Z$20,COUNT(Z$20:Z$435),0,-13,1))</f>
        <v/>
      </c>
      <c r="AA3" s="15">
        <f>MAX(OFFSET(AA$20,COUNT(AA$20:AA$435),0,-13,1))</f>
        <v/>
      </c>
    </row>
    <row r="4">
      <c r="B4" s="2" t="inlineStr">
        <is>
          <t>min 12m</t>
        </is>
      </c>
      <c r="C4" s="15">
        <f>MIN(OFFSET(C$20,COUNT(C$20:C$435),0,-13,1))</f>
        <v/>
      </c>
      <c r="D4" s="15">
        <f>MIN(OFFSET(D$20,COUNT(D$20:D$435),0,-13,1))</f>
        <v/>
      </c>
      <c r="E4" s="15">
        <f>MIN(OFFSET(E$20,COUNT(E$20:E$435),0,-13,1))</f>
        <v/>
      </c>
      <c r="F4" s="15">
        <f>MIN(OFFSET(F$20,COUNT(F$20:F$435),0,-13,1))</f>
        <v/>
      </c>
      <c r="G4" s="15">
        <f>MIN(OFFSET(G$20,COUNT(G$20:G$435),0,-13,1))</f>
        <v/>
      </c>
      <c r="H4" s="15">
        <f>MIN(OFFSET(H$20,COUNT(H$20:H$435),0,-13,1))</f>
        <v/>
      </c>
      <c r="I4" s="15">
        <f>MIN(OFFSET(I$20,COUNT(I$20:I$435),0,-13,1))</f>
        <v/>
      </c>
      <c r="J4" s="15">
        <f>MIN(OFFSET(J$20,COUNT(J$20:J$435),0,-13,1))</f>
        <v/>
      </c>
      <c r="K4" s="15">
        <f>MIN(OFFSET(K$20,COUNT(K$20:K$435),0,-13,1))</f>
        <v/>
      </c>
      <c r="L4" s="15">
        <f>MIN(OFFSET(L$20,COUNT(L$20:L$435),0,-13,1))</f>
        <v/>
      </c>
      <c r="M4" s="15">
        <f>MIN(OFFSET(M$20,COUNT(M$20:M$435),0,-13,1))</f>
        <v/>
      </c>
      <c r="N4" s="15">
        <f>MIN(OFFSET(N$20,COUNT(N$20:N$435),0,-13,1))</f>
        <v/>
      </c>
      <c r="O4" s="15">
        <f>MIN(OFFSET(O$20,COUNT(O$20:O$435),0,-13,1))</f>
        <v/>
      </c>
      <c r="P4" s="15">
        <f>MIN(OFFSET(P$20,COUNT(P$20:P$435),0,-13,1))</f>
        <v/>
      </c>
      <c r="Q4" s="15">
        <f>MIN(OFFSET(Q$20,COUNT(Q$20:Q$435),0,-13,1))</f>
        <v/>
      </c>
      <c r="R4" s="15">
        <f>MIN(OFFSET(R$20,COUNT(R$20:R$435),0,-13,1))</f>
        <v/>
      </c>
      <c r="S4" s="15">
        <f>MIN(OFFSET(S$20,COUNT(S$20:S$435),0,-13,1))</f>
        <v/>
      </c>
      <c r="T4" s="15">
        <f>MIN(OFFSET(T$20,COUNT(T$20:T$435),0,-13,1))</f>
        <v/>
      </c>
      <c r="U4" s="15">
        <f>MIN(OFFSET(U$20,COUNT(U$20:U$435),0,-13,1))</f>
        <v/>
      </c>
      <c r="V4" s="15">
        <f>MIN(OFFSET(V$20,COUNT(V$20:V$435),0,-13,1))</f>
        <v/>
      </c>
      <c r="W4" s="15">
        <f>MIN(OFFSET(W$20,COUNT(W$20:W$435),0,-13,1))</f>
        <v/>
      </c>
      <c r="X4" s="15">
        <f>MIN(OFFSET(X$20,COUNT(X$20:X$435),0,-13,1))</f>
        <v/>
      </c>
      <c r="Y4" s="15">
        <f>MIN(OFFSET(Y$20,COUNT(Y$20:Y$435),0,-13,1))</f>
        <v/>
      </c>
      <c r="Z4" s="15">
        <f>MIN(OFFSET(Z$20,COUNT(Z$20:Z$435),0,-13,1))</f>
        <v/>
      </c>
      <c r="AA4" s="15">
        <f>MIN(OFFSET(AA$20,COUNT(AA$20:AA$435),0,-13,1))</f>
        <v/>
      </c>
    </row>
    <row r="5">
      <c r="B5" s="2" t="inlineStr">
        <is>
          <t>12m avg</t>
        </is>
      </c>
      <c r="C5" s="15">
        <f>AVERAGE(OFFSET(C$20,COUNT(C$20:C$435),0,-13,1))</f>
        <v/>
      </c>
      <c r="D5" s="15">
        <f>AVERAGE(OFFSET(D$20,COUNT(D$20:D$435),0,-13,1))</f>
        <v/>
      </c>
      <c r="E5" s="15">
        <f>AVERAGE(OFFSET(E$20,COUNT(E$20:E$435),0,-13,1))</f>
        <v/>
      </c>
      <c r="F5" s="15">
        <f>AVERAGE(OFFSET(F$20,COUNT(F$20:F$435),0,-13,1))</f>
        <v/>
      </c>
      <c r="G5" s="15">
        <f>AVERAGE(OFFSET(G$20,COUNT(G$20:G$435),0,-13,1))</f>
        <v/>
      </c>
      <c r="H5" s="15">
        <f>AVERAGE(OFFSET(H$20,COUNT(H$20:H$435),0,-13,1))</f>
        <v/>
      </c>
      <c r="I5" s="15">
        <f>AVERAGE(OFFSET(I$20,COUNT(I$20:I$435),0,-13,1))</f>
        <v/>
      </c>
      <c r="J5" s="15">
        <f>AVERAGE(OFFSET(J$20,COUNT(J$20:J$435),0,-13,1))</f>
        <v/>
      </c>
      <c r="K5" s="15">
        <f>AVERAGE(OFFSET(K$20,COUNT(K$20:K$435),0,-13,1))</f>
        <v/>
      </c>
      <c r="L5" s="15">
        <f>AVERAGE(OFFSET(L$20,COUNT(L$20:L$435),0,-13,1))</f>
        <v/>
      </c>
      <c r="M5" s="15">
        <f>AVERAGE(OFFSET(M$20,COUNT(M$20:M$435),0,-13,1))</f>
        <v/>
      </c>
      <c r="N5" s="15">
        <f>AVERAGE(OFFSET(N$20,COUNT(N$20:N$435),0,-13,1))</f>
        <v/>
      </c>
      <c r="O5" s="15">
        <f>AVERAGE(OFFSET(O$20,COUNT(O$20:O$435),0,-13,1))</f>
        <v/>
      </c>
      <c r="P5" s="15">
        <f>AVERAGE(OFFSET(P$20,COUNT(P$20:P$435),0,-13,1))</f>
        <v/>
      </c>
      <c r="Q5" s="15">
        <f>AVERAGE(OFFSET(Q$20,COUNT(Q$20:Q$435),0,-13,1))</f>
        <v/>
      </c>
      <c r="R5" s="15">
        <f>AVERAGE(OFFSET(R$20,COUNT(R$20:R$435),0,-13,1))</f>
        <v/>
      </c>
      <c r="S5" s="15">
        <f>AVERAGE(OFFSET(S$20,COUNT(S$20:S$435),0,-13,1))</f>
        <v/>
      </c>
      <c r="T5" s="15">
        <f>AVERAGE(OFFSET(T$20,COUNT(T$20:T$435),0,-13,1))</f>
        <v/>
      </c>
      <c r="U5" s="15">
        <f>AVERAGE(OFFSET(U$20,COUNT(U$20:U$435),0,-13,1))</f>
        <v/>
      </c>
      <c r="V5" s="15">
        <f>AVERAGE(OFFSET(V$20,COUNT(V$20:V$435),0,-13,1))</f>
        <v/>
      </c>
      <c r="W5" s="15">
        <f>AVERAGE(OFFSET(W$20,COUNT(W$20:W$435),0,-13,1))</f>
        <v/>
      </c>
      <c r="X5" s="15">
        <f>AVERAGE(OFFSET(X$20,COUNT(X$20:X$435),0,-13,1))</f>
        <v/>
      </c>
      <c r="Y5" s="15">
        <f>AVERAGE(OFFSET(Y$20,COUNT(Y$20:Y$435),0,-13,1))</f>
        <v/>
      </c>
      <c r="Z5" s="15">
        <f>AVERAGE(OFFSET(Z$20,COUNT(Z$20:Z$435),0,-13,1))</f>
        <v/>
      </c>
      <c r="AA5" s="15">
        <f>AVERAGE(OFFSET(AA$20,COUNT(AA$20:AA$435),0,-13,1))</f>
        <v/>
      </c>
    </row>
    <row r="6">
      <c r="B6" s="2" t="n"/>
      <c r="C6" s="10" t="n"/>
      <c r="D6" s="10" t="n"/>
      <c r="E6" s="10" t="n"/>
      <c r="F6" s="10" t="n"/>
      <c r="G6" s="10" t="n"/>
      <c r="H6" s="10" t="n"/>
      <c r="I6" s="10" t="n"/>
      <c r="J6" s="10" t="n"/>
      <c r="K6" s="10" t="n"/>
      <c r="L6" s="10" t="n"/>
      <c r="M6" s="10" t="n"/>
      <c r="N6" s="10" t="n"/>
      <c r="O6" s="10" t="n"/>
      <c r="P6" s="10" t="n"/>
      <c r="Q6" s="10" t="n"/>
      <c r="R6" s="10" t="n"/>
      <c r="S6" s="11" t="n"/>
      <c r="T6" s="10" t="n"/>
      <c r="U6" s="10" t="n"/>
      <c r="V6" s="10" t="n"/>
      <c r="W6" s="10" t="n"/>
      <c r="X6" s="10" t="n"/>
      <c r="Y6" s="10" t="n"/>
      <c r="Z6" s="10" t="n"/>
      <c r="AA6" s="10" t="n"/>
    </row>
    <row r="7" hidden="1">
      <c r="B7" s="12" t="n">
        <v>42064</v>
      </c>
      <c r="C7" s="13" t="n">
        <v>51.8</v>
      </c>
      <c r="D7" s="13" t="n">
        <v>51.8</v>
      </c>
      <c r="E7" s="13" t="n">
        <v>50.1</v>
      </c>
      <c r="F7" s="13" t="n">
        <v>52.2</v>
      </c>
      <c r="G7" s="13" t="n">
        <v>50.3</v>
      </c>
      <c r="H7" s="13" t="n">
        <v>52.8</v>
      </c>
      <c r="I7" s="13" t="n">
        <v>48.8</v>
      </c>
      <c r="J7" s="13" t="n">
        <v>52.5</v>
      </c>
      <c r="K7" s="13" t="n">
        <v>53.3</v>
      </c>
      <c r="L7" s="13" t="n">
        <v>54.3</v>
      </c>
      <c r="M7" s="13" t="n">
        <v>46.2</v>
      </c>
      <c r="N7" s="13" t="n">
        <v>53.8</v>
      </c>
      <c r="O7" s="13" t="n">
        <v>48.1</v>
      </c>
      <c r="P7" s="13" t="n">
        <v>52.1</v>
      </c>
      <c r="Q7" s="13" t="n">
        <v>48.9</v>
      </c>
      <c r="R7" s="13" t="n">
        <v>46.3</v>
      </c>
      <c r="S7" s="13" t="n">
        <v>46.4</v>
      </c>
      <c r="T7" s="13" t="n">
        <v>51</v>
      </c>
      <c r="U7" s="13" t="n">
        <v>48.9</v>
      </c>
      <c r="V7" s="13" t="n">
        <v>56.8</v>
      </c>
      <c r="W7" s="13" t="n">
        <v>48</v>
      </c>
      <c r="X7" s="13" t="n">
        <v>-1.600000000000001</v>
      </c>
      <c r="Y7" s="13" t="n">
        <v>0.07934624568247428</v>
      </c>
      <c r="Z7" s="13" t="n">
        <v>56.1</v>
      </c>
      <c r="AA7" s="13" t="n">
        <v>54.8</v>
      </c>
      <c r="AC7" s="77">
        <f>VLOOKUP(B7,Data!$A:$AN,MATCH(yoy!$C$1,Data!$A$1:$AN$1,),)</f>
        <v/>
      </c>
    </row>
    <row r="8" hidden="1">
      <c r="B8" s="12" t="n">
        <v>42095</v>
      </c>
      <c r="C8" s="13" t="n">
        <v>51</v>
      </c>
      <c r="D8" s="13" t="n">
        <v>51.6</v>
      </c>
      <c r="E8" s="13" t="n">
        <v>50.1</v>
      </c>
      <c r="F8" s="13" t="n">
        <v>52</v>
      </c>
      <c r="G8" s="13" t="n">
        <v>49.9</v>
      </c>
      <c r="H8" s="13" t="n">
        <v>52.1</v>
      </c>
      <c r="I8" s="13" t="n">
        <v>48</v>
      </c>
      <c r="J8" s="13" t="n">
        <v>51.6</v>
      </c>
      <c r="K8" s="13" t="n">
        <v>53.8</v>
      </c>
      <c r="L8" s="13" t="n">
        <v>54.2</v>
      </c>
      <c r="M8" s="13" t="n">
        <v>46</v>
      </c>
      <c r="N8" s="13" t="n">
        <v>53.8</v>
      </c>
      <c r="O8" s="13" t="n">
        <v>48.9</v>
      </c>
      <c r="P8" s="13" t="n">
        <v>51.3</v>
      </c>
      <c r="Q8" s="13" t="n">
        <v>49</v>
      </c>
      <c r="R8" s="13" t="n">
        <v>48</v>
      </c>
      <c r="S8" s="13" t="n">
        <v>46.7</v>
      </c>
      <c r="T8" s="13" t="n">
        <v>49.2</v>
      </c>
      <c r="U8" s="13" t="n">
        <v>46.5</v>
      </c>
      <c r="V8" s="13" t="n">
        <v>55.8</v>
      </c>
      <c r="W8" s="13" t="n">
        <v>48.5</v>
      </c>
      <c r="X8" s="13" t="n">
        <v>0.5</v>
      </c>
      <c r="Y8" s="13" t="n">
        <v>0</v>
      </c>
      <c r="Z8" s="13" t="n">
        <v>54.7</v>
      </c>
      <c r="AA8" s="13" t="n">
        <v>54</v>
      </c>
      <c r="AC8" s="77">
        <f>VLOOKUP(B8,Data!$A:$AN,MATCH(yoy!$C$1,Data!$A$1:$AN$1,),)</f>
        <v/>
      </c>
    </row>
    <row r="9" hidden="1">
      <c r="B9" s="12" t="n">
        <v>42125</v>
      </c>
      <c r="C9" s="13" t="n">
        <v>51.2</v>
      </c>
      <c r="D9" s="13" t="n">
        <v>52.9</v>
      </c>
      <c r="E9" s="13" t="n">
        <v>50.2</v>
      </c>
      <c r="F9" s="13" t="n">
        <v>52.2</v>
      </c>
      <c r="G9" s="13" t="n">
        <v>50.9</v>
      </c>
      <c r="H9" s="13" t="n">
        <v>51.1</v>
      </c>
      <c r="I9" s="13" t="n">
        <v>49.4</v>
      </c>
      <c r="J9" s="13" t="n">
        <v>51.6</v>
      </c>
      <c r="K9" s="13" t="n">
        <v>54.8</v>
      </c>
      <c r="L9" s="13" t="n">
        <v>55.8</v>
      </c>
      <c r="M9" s="13" t="n">
        <v>45.9</v>
      </c>
      <c r="N9" s="13" t="n">
        <v>53.3</v>
      </c>
      <c r="O9" s="13" t="n">
        <v>47.6</v>
      </c>
      <c r="P9" s="13" t="n">
        <v>52.6</v>
      </c>
      <c r="Q9" s="13" t="n">
        <v>49.8</v>
      </c>
      <c r="R9" s="13" t="n">
        <v>52.29</v>
      </c>
      <c r="S9" s="13" t="n">
        <v>47.1</v>
      </c>
      <c r="T9" s="13" t="n">
        <v>49.3</v>
      </c>
      <c r="U9" s="13" t="n">
        <v>48</v>
      </c>
      <c r="V9" s="13" t="n">
        <v>57.1</v>
      </c>
      <c r="W9" s="13" t="n">
        <v>50.2</v>
      </c>
      <c r="X9" s="13" t="n">
        <v>1.700000000000003</v>
      </c>
      <c r="Y9" s="13" t="n">
        <v>0</v>
      </c>
      <c r="Z9" s="13" t="n">
        <v>55.5</v>
      </c>
      <c r="AA9" s="13" t="n">
        <v>52.4</v>
      </c>
      <c r="AC9" s="77">
        <f>VLOOKUP(B9,Data!$A:$AN,MATCH(yoy!$C$1,Data!$A$1:$AN$1,),)</f>
        <v/>
      </c>
    </row>
    <row r="10" hidden="1">
      <c r="B10" s="12" t="n">
        <v>42156</v>
      </c>
      <c r="C10" s="13" t="n">
        <v>51</v>
      </c>
      <c r="D10" s="13" t="n">
        <v>52.3</v>
      </c>
      <c r="E10" s="13" t="n">
        <v>50.2</v>
      </c>
      <c r="F10" s="13" t="n">
        <v>52.5</v>
      </c>
      <c r="G10" s="13" t="n">
        <v>50.1</v>
      </c>
      <c r="H10" s="13" t="n">
        <v>51.9</v>
      </c>
      <c r="I10" s="13" t="n">
        <v>50.7</v>
      </c>
      <c r="J10" s="13" t="n">
        <v>54.3</v>
      </c>
      <c r="K10" s="13" t="n">
        <v>54.1</v>
      </c>
      <c r="L10" s="13" t="n">
        <v>54.5</v>
      </c>
      <c r="M10" s="13" t="n">
        <v>46.5</v>
      </c>
      <c r="N10" s="13" t="n">
        <v>52</v>
      </c>
      <c r="O10" s="13" t="n">
        <v>48.7</v>
      </c>
      <c r="P10" s="13" t="n">
        <v>51.3</v>
      </c>
      <c r="Q10" s="13" t="n">
        <v>51.3</v>
      </c>
      <c r="R10" s="13" t="n">
        <v>44.2</v>
      </c>
      <c r="S10" s="13" t="n">
        <v>47.8</v>
      </c>
      <c r="T10" s="13" t="n">
        <v>46.3</v>
      </c>
      <c r="U10" s="13" t="n">
        <v>46.9</v>
      </c>
      <c r="V10" s="13" t="n">
        <v>54.6</v>
      </c>
      <c r="W10" s="13" t="n">
        <v>49</v>
      </c>
      <c r="X10" s="13" t="n">
        <v>-1.200000000000003</v>
      </c>
      <c r="Y10" s="13" t="n">
        <v>0.05977952412521215</v>
      </c>
      <c r="Z10" s="13" t="n">
        <v>56.9</v>
      </c>
      <c r="AA10" s="13" t="n">
        <v>54.3</v>
      </c>
      <c r="AC10" s="77">
        <f>VLOOKUP(B10,Data!$A:$AN,MATCH(yoy!$C$1,Data!$A$1:$AN$1,),)</f>
        <v/>
      </c>
    </row>
    <row r="11" hidden="1">
      <c r="B11" s="12" t="n">
        <v>42186</v>
      </c>
      <c r="C11" s="13" t="n">
        <v>51</v>
      </c>
      <c r="D11" s="13" t="n">
        <v>51.9</v>
      </c>
      <c r="E11" s="13" t="n">
        <v>50</v>
      </c>
      <c r="F11" s="13" t="n">
        <v>52.4</v>
      </c>
      <c r="G11" s="13" t="n">
        <v>51.2</v>
      </c>
      <c r="H11" s="13" t="n">
        <v>51.8</v>
      </c>
      <c r="I11" s="13" t="n">
        <v>49.6</v>
      </c>
      <c r="J11" s="13" t="n">
        <v>52.3</v>
      </c>
      <c r="K11" s="13" t="n">
        <v>55.3</v>
      </c>
      <c r="L11" s="13" t="n">
        <v>53.6</v>
      </c>
      <c r="M11" s="13" t="n">
        <v>47.2</v>
      </c>
      <c r="N11" s="13" t="n">
        <v>52.9</v>
      </c>
      <c r="O11" s="13" t="n">
        <v>48.3</v>
      </c>
      <c r="P11" s="13" t="n">
        <v>52.7</v>
      </c>
      <c r="Q11" s="13" t="n">
        <v>50.8</v>
      </c>
      <c r="R11" s="13" t="n">
        <v>50.4</v>
      </c>
      <c r="S11" s="13" t="n">
        <v>47.3</v>
      </c>
      <c r="T11" s="13" t="n">
        <v>47.1</v>
      </c>
      <c r="U11" s="13" t="n">
        <v>30.2</v>
      </c>
      <c r="V11" s="13" t="n">
        <v>56.7</v>
      </c>
      <c r="W11" s="13" t="n">
        <v>50.1</v>
      </c>
      <c r="X11" s="13" t="n">
        <v>1.100000000000001</v>
      </c>
      <c r="Y11" s="13" t="n">
        <v>0</v>
      </c>
      <c r="Z11" s="13" t="n">
        <v>57.5</v>
      </c>
      <c r="AA11" s="13" t="n">
        <v>54.5</v>
      </c>
      <c r="AC11" s="77">
        <f>VLOOKUP(B11,Data!$A:$AN,MATCH(yoy!$C$1,Data!$A$1:$AN$1,),)</f>
        <v/>
      </c>
    </row>
    <row r="12" hidden="1">
      <c r="B12" s="12" t="n">
        <v>42217</v>
      </c>
      <c r="C12" s="13" t="n">
        <v>50.7</v>
      </c>
      <c r="D12" s="13" t="n">
        <v>50.8</v>
      </c>
      <c r="E12" s="13" t="n">
        <v>47.3</v>
      </c>
      <c r="F12" s="13" t="n">
        <v>52.3</v>
      </c>
      <c r="G12" s="13" t="n">
        <v>51.7</v>
      </c>
      <c r="H12" s="13" t="n">
        <v>53.3</v>
      </c>
      <c r="I12" s="13" t="n">
        <v>48.3</v>
      </c>
      <c r="J12" s="13" t="n">
        <v>51</v>
      </c>
      <c r="K12" s="13" t="n">
        <v>53.8</v>
      </c>
      <c r="L12" s="13" t="n">
        <v>53.2</v>
      </c>
      <c r="M12" s="13" t="n">
        <v>45.8</v>
      </c>
      <c r="N12" s="13" t="n">
        <v>52.4</v>
      </c>
      <c r="O12" s="13" t="n">
        <v>47.9</v>
      </c>
      <c r="P12" s="13" t="n">
        <v>52.3</v>
      </c>
      <c r="Q12" s="13" t="n">
        <v>49.4</v>
      </c>
      <c r="R12" s="13" t="n">
        <v>51.7</v>
      </c>
      <c r="S12" s="13" t="n">
        <v>48.4</v>
      </c>
      <c r="T12" s="13" t="n">
        <v>46.1</v>
      </c>
      <c r="U12" s="13" t="n">
        <v>39.1</v>
      </c>
      <c r="V12" s="13" t="n">
        <v>53.6</v>
      </c>
      <c r="W12" s="13" t="n">
        <v>49.3</v>
      </c>
      <c r="X12" s="13" t="n">
        <v>-0.8000000000000043</v>
      </c>
      <c r="Y12" s="13" t="n">
        <v>0</v>
      </c>
      <c r="Z12" s="13" t="n">
        <v>56.6</v>
      </c>
      <c r="AA12" s="13" t="n">
        <v>51.1</v>
      </c>
      <c r="AC12" s="77">
        <f>VLOOKUP(B12,Data!$A:$AN,MATCH(yoy!$C$1,Data!$A$1:$AN$1,),)</f>
        <v/>
      </c>
    </row>
    <row r="13" hidden="1">
      <c r="B13" s="12" t="n">
        <v>42248</v>
      </c>
      <c r="C13" s="13" t="n">
        <v>50.6</v>
      </c>
      <c r="D13" s="13" t="n">
        <v>50.1</v>
      </c>
      <c r="E13" s="13" t="n">
        <v>47.2</v>
      </c>
      <c r="F13" s="13" t="n">
        <v>52</v>
      </c>
      <c r="G13" s="13" t="n">
        <v>51</v>
      </c>
      <c r="H13" s="13" t="n">
        <v>52.3</v>
      </c>
      <c r="I13" s="13" t="n">
        <v>50.6</v>
      </c>
      <c r="J13" s="13" t="n">
        <v>52.2</v>
      </c>
      <c r="K13" s="13" t="n">
        <v>52.7</v>
      </c>
      <c r="L13" s="13" t="n">
        <v>51.7</v>
      </c>
      <c r="M13" s="13" t="n">
        <v>47</v>
      </c>
      <c r="N13" s="13" t="n">
        <v>52.1</v>
      </c>
      <c r="O13" s="13" t="n">
        <v>49.1</v>
      </c>
      <c r="P13" s="13" t="n">
        <v>51.2</v>
      </c>
      <c r="Q13" s="13" t="n">
        <v>48.6</v>
      </c>
      <c r="R13" s="13" t="n">
        <v>52.1</v>
      </c>
      <c r="S13" s="13" t="n">
        <v>47.4</v>
      </c>
      <c r="T13" s="13" t="n">
        <v>46.9</v>
      </c>
      <c r="U13" s="13" t="n">
        <v>43.3</v>
      </c>
      <c r="V13" s="13" t="n">
        <v>53.8</v>
      </c>
      <c r="W13" s="13" t="n">
        <v>48.8</v>
      </c>
      <c r="X13" s="13" t="n">
        <v>-0.5</v>
      </c>
      <c r="Y13" s="13" t="n">
        <v>0.05205162733949531</v>
      </c>
      <c r="Z13" s="13" t="n">
        <v>55.5</v>
      </c>
      <c r="AA13" s="13" t="n">
        <v>50.9</v>
      </c>
      <c r="AC13" s="77">
        <f>VLOOKUP(B13,Data!$A:$AN,MATCH(yoy!$C$1,Data!$A$1:$AN$1,),)</f>
        <v/>
      </c>
    </row>
    <row r="14" hidden="1">
      <c r="B14" s="12" t="n">
        <v>42278</v>
      </c>
      <c r="C14" s="13" t="n">
        <v>51.4</v>
      </c>
      <c r="D14" s="13" t="n">
        <v>49.6</v>
      </c>
      <c r="E14" s="13" t="n">
        <v>48.3</v>
      </c>
      <c r="F14" s="13" t="n">
        <v>52.3</v>
      </c>
      <c r="G14" s="13" t="n">
        <v>52.4</v>
      </c>
      <c r="H14" s="13" t="n">
        <v>52.1</v>
      </c>
      <c r="I14" s="13" t="n">
        <v>50.6</v>
      </c>
      <c r="J14" s="13" t="n">
        <v>50.8</v>
      </c>
      <c r="K14" s="13" t="n">
        <v>54.1</v>
      </c>
      <c r="L14" s="13" t="n">
        <v>51.3</v>
      </c>
      <c r="M14" s="13" t="n">
        <v>44.1</v>
      </c>
      <c r="N14" s="13" t="n">
        <v>53</v>
      </c>
      <c r="O14" s="13" t="n">
        <v>50.2</v>
      </c>
      <c r="P14" s="13" t="n">
        <v>50.7</v>
      </c>
      <c r="Q14" s="13" t="n">
        <v>48</v>
      </c>
      <c r="R14" s="13" t="n">
        <v>50.2</v>
      </c>
      <c r="S14" s="13" t="n">
        <v>47.8</v>
      </c>
      <c r="T14" s="13" t="n">
        <v>47.8</v>
      </c>
      <c r="U14" s="13" t="n">
        <v>47.3</v>
      </c>
      <c r="V14" s="13" t="n">
        <v>53.6</v>
      </c>
      <c r="W14" s="13" t="n">
        <v>49.5</v>
      </c>
      <c r="X14" s="13" t="n">
        <v>0.7000000000000028</v>
      </c>
      <c r="Y14" s="13" t="n">
        <v>0</v>
      </c>
      <c r="Z14" s="13" t="n">
        <v>54</v>
      </c>
      <c r="AA14" s="13" t="n">
        <v>52.2</v>
      </c>
      <c r="AC14" s="77">
        <f>VLOOKUP(B14,Data!$A:$AN,MATCH(yoy!$C$1,Data!$A$1:$AN$1,),)</f>
        <v/>
      </c>
    </row>
    <row r="15" hidden="1">
      <c r="B15" s="12" t="n">
        <v>42309</v>
      </c>
      <c r="C15" s="13" t="n">
        <v>51.2</v>
      </c>
      <c r="D15" s="13" t="n">
        <v>49.1</v>
      </c>
      <c r="E15" s="13" t="n">
        <v>48.6</v>
      </c>
      <c r="F15" s="13" t="n">
        <v>52.8</v>
      </c>
      <c r="G15" s="13" t="n">
        <v>52.6</v>
      </c>
      <c r="H15" s="13" t="n">
        <v>52.9</v>
      </c>
      <c r="I15" s="13" t="n">
        <v>50.6</v>
      </c>
      <c r="J15" s="13" t="n">
        <v>51.1</v>
      </c>
      <c r="K15" s="13" t="n">
        <v>54.9</v>
      </c>
      <c r="L15" s="13" t="n">
        <v>53.1</v>
      </c>
      <c r="M15" s="13" t="n">
        <v>43.8</v>
      </c>
      <c r="N15" s="13" t="n">
        <v>53</v>
      </c>
      <c r="O15" s="13" t="n">
        <v>50.1</v>
      </c>
      <c r="P15" s="13" t="n">
        <v>50.3</v>
      </c>
      <c r="Q15" s="13" t="n">
        <v>48.6</v>
      </c>
      <c r="R15" s="13" t="n">
        <v>52.5</v>
      </c>
      <c r="S15" s="13" t="n">
        <v>46.9</v>
      </c>
      <c r="T15" s="13" t="n">
        <v>49.5</v>
      </c>
      <c r="U15" s="13" t="n">
        <v>48.1</v>
      </c>
      <c r="V15" s="13" t="n">
        <v>53.3</v>
      </c>
      <c r="W15" s="13" t="n">
        <v>50.9</v>
      </c>
      <c r="X15" s="13" t="n">
        <v>1.399999999999999</v>
      </c>
      <c r="Y15" s="13" t="n">
        <v>0</v>
      </c>
      <c r="Z15" s="13" t="n">
        <v>54.2</v>
      </c>
      <c r="AA15" s="13" t="n">
        <v>52.1</v>
      </c>
      <c r="AC15" s="77">
        <f>VLOOKUP(B15,Data!$A:$AN,MATCH(yoy!$C$1,Data!$A$1:$AN$1,),)</f>
        <v/>
      </c>
    </row>
    <row r="16" hidden="1">
      <c r="B16" s="12" t="n">
        <v>42339</v>
      </c>
      <c r="C16" s="13" t="n">
        <v>50.9</v>
      </c>
      <c r="D16" s="13" t="n">
        <v>48.4</v>
      </c>
      <c r="E16" s="13" t="n">
        <v>48.2</v>
      </c>
      <c r="F16" s="13" t="n">
        <v>53.2</v>
      </c>
      <c r="G16" s="13" t="n">
        <v>52.6</v>
      </c>
      <c r="H16" s="13" t="n">
        <v>53.2</v>
      </c>
      <c r="I16" s="13" t="n">
        <v>51.4</v>
      </c>
      <c r="J16" s="13" t="n">
        <v>51</v>
      </c>
      <c r="K16" s="13" t="n">
        <v>55.6</v>
      </c>
      <c r="L16" s="13" t="n">
        <v>53</v>
      </c>
      <c r="M16" s="13" t="n">
        <v>45.6</v>
      </c>
      <c r="N16" s="13" t="n">
        <v>52.4</v>
      </c>
      <c r="O16" s="13" t="n">
        <v>48.7</v>
      </c>
      <c r="P16" s="13" t="n">
        <v>49.1</v>
      </c>
      <c r="Q16" s="13" t="n">
        <v>47.5</v>
      </c>
      <c r="R16" s="13" t="n">
        <v>51.9</v>
      </c>
      <c r="S16" s="13" t="n">
        <v>47.8</v>
      </c>
      <c r="T16" s="13" t="n">
        <v>51.7</v>
      </c>
      <c r="U16" s="13" t="n">
        <v>50.2</v>
      </c>
      <c r="V16" s="13" t="n">
        <v>54.2</v>
      </c>
      <c r="W16" s="13" t="n">
        <v>52.2</v>
      </c>
      <c r="X16" s="13" t="n">
        <v>1.300000000000004</v>
      </c>
      <c r="Y16" s="13" t="n">
        <v>0.03812641431611064</v>
      </c>
      <c r="Z16" s="13" t="n">
        <v>55.6</v>
      </c>
      <c r="AA16" s="13" t="n">
        <v>52.1</v>
      </c>
      <c r="AC16" s="77">
        <f>VLOOKUP(B16,Data!$A:$AN,MATCH(yoy!$C$1,Data!$A$1:$AN$1,),)</f>
        <v/>
      </c>
    </row>
    <row r="17" hidden="1">
      <c r="B17" s="12" t="n">
        <v>42370</v>
      </c>
      <c r="C17" s="13" t="n">
        <v>50.9</v>
      </c>
      <c r="D17" s="13" t="n">
        <v>47.8</v>
      </c>
      <c r="E17" s="13" t="n">
        <v>48.4</v>
      </c>
      <c r="F17" s="13" t="n">
        <v>52.3</v>
      </c>
      <c r="G17" s="13" t="n">
        <v>52.3</v>
      </c>
      <c r="H17" s="13" t="n">
        <v>52.3</v>
      </c>
      <c r="I17" s="13" t="n">
        <v>50</v>
      </c>
      <c r="J17" s="13" t="n">
        <v>52.2</v>
      </c>
      <c r="K17" s="13" t="n">
        <v>53.2</v>
      </c>
      <c r="L17" s="13" t="n">
        <v>55.4</v>
      </c>
      <c r="M17" s="13" t="n">
        <v>47.4</v>
      </c>
      <c r="N17" s="13" t="n">
        <v>52.2</v>
      </c>
      <c r="O17" s="13" t="n">
        <v>49.8</v>
      </c>
      <c r="P17" s="13" t="n">
        <v>51.1</v>
      </c>
      <c r="Q17" s="13" t="n">
        <v>49.3</v>
      </c>
      <c r="R17" s="13" t="n">
        <v>51.5</v>
      </c>
      <c r="S17" s="13" t="n">
        <v>48.9</v>
      </c>
      <c r="T17" s="13" t="n">
        <v>50.6</v>
      </c>
      <c r="U17" s="13" t="n">
        <v>50</v>
      </c>
      <c r="V17" s="13" t="n">
        <v>54.3</v>
      </c>
      <c r="W17" s="13" t="n">
        <v>50.9</v>
      </c>
      <c r="X17" s="13" t="n">
        <v>-1.300000000000004</v>
      </c>
      <c r="Y17" s="13" t="n">
        <v>0</v>
      </c>
      <c r="Z17" s="13" t="n">
        <v>56.9</v>
      </c>
      <c r="AA17" s="13" t="n">
        <v>50.9</v>
      </c>
      <c r="AC17" s="77">
        <f>VLOOKUP(B17,Data!$A:$AN,MATCH(yoy!$C$1,Data!$A$1:$AN$1,),)</f>
        <v/>
      </c>
    </row>
    <row r="18" hidden="1">
      <c r="B18" s="12" t="n">
        <v>42401</v>
      </c>
      <c r="C18" s="13" t="n">
        <v>50</v>
      </c>
      <c r="D18" s="13" t="n">
        <v>49.4</v>
      </c>
      <c r="E18" s="13" t="n">
        <v>48</v>
      </c>
      <c r="F18" s="13" t="n">
        <v>51.2</v>
      </c>
      <c r="G18" s="13" t="n">
        <v>50.1</v>
      </c>
      <c r="H18" s="13" t="n">
        <v>50.5</v>
      </c>
      <c r="I18" s="13" t="n">
        <v>50.2</v>
      </c>
      <c r="J18" s="13" t="n">
        <v>50.8</v>
      </c>
      <c r="K18" s="13" t="n">
        <v>52.2</v>
      </c>
      <c r="L18" s="13" t="n">
        <v>54.1</v>
      </c>
      <c r="M18" s="13" t="n">
        <v>44.5</v>
      </c>
      <c r="N18" s="13" t="n">
        <v>53.1</v>
      </c>
      <c r="O18" s="13" t="n">
        <v>49.3</v>
      </c>
      <c r="P18" s="13" t="n">
        <v>51.1</v>
      </c>
      <c r="Q18" s="13" t="n">
        <v>49.4</v>
      </c>
      <c r="R18" s="13" t="n">
        <v>53.5</v>
      </c>
      <c r="S18" s="13" t="n">
        <v>48.7</v>
      </c>
      <c r="T18" s="13" t="n">
        <v>49.4</v>
      </c>
      <c r="U18" s="13" t="n">
        <v>48.4</v>
      </c>
      <c r="V18" s="13" t="n">
        <v>52.9</v>
      </c>
      <c r="W18" s="13" t="n">
        <v>50.3</v>
      </c>
      <c r="X18" s="13" t="n">
        <v>-0.6000000000000014</v>
      </c>
      <c r="Y18" s="13" t="n">
        <v>0</v>
      </c>
      <c r="Z18" s="13" t="n">
        <v>55.5</v>
      </c>
      <c r="AA18" s="13" t="n">
        <v>52.8</v>
      </c>
      <c r="AC18" s="77">
        <f>VLOOKUP(B18,Data!$A:$AN,MATCH(yoy!$C$1,Data!$A$1:$AN$1,),)</f>
        <v/>
      </c>
    </row>
    <row r="19" hidden="1">
      <c r="B19" s="12" t="n">
        <v>42430</v>
      </c>
      <c r="C19" s="13" t="n">
        <v>50.5</v>
      </c>
      <c r="D19" s="13" t="n">
        <v>51.2</v>
      </c>
      <c r="E19" s="13" t="n">
        <v>49.7</v>
      </c>
      <c r="F19" s="13" t="n">
        <v>51.6</v>
      </c>
      <c r="G19" s="13" t="n">
        <v>49.1</v>
      </c>
      <c r="H19" s="13" t="n">
        <v>50.7</v>
      </c>
      <c r="I19" s="13" t="n">
        <v>49.6</v>
      </c>
      <c r="J19" s="13" t="n">
        <v>51.1</v>
      </c>
      <c r="K19" s="13" t="n">
        <v>53.5</v>
      </c>
      <c r="L19" s="13" t="n">
        <v>53.4</v>
      </c>
      <c r="M19" s="13" t="n">
        <v>46</v>
      </c>
      <c r="N19" s="13" t="n">
        <v>53.2</v>
      </c>
      <c r="O19" s="13" t="n">
        <v>48.3</v>
      </c>
      <c r="P19" s="13" t="n">
        <v>52.4</v>
      </c>
      <c r="Q19" s="13" t="n">
        <v>51.5</v>
      </c>
      <c r="R19" s="13" t="n">
        <v>58.1</v>
      </c>
      <c r="S19" s="13" t="n">
        <v>50.6</v>
      </c>
      <c r="T19" s="13" t="n">
        <v>51.1</v>
      </c>
      <c r="U19" s="13" t="n">
        <v>49</v>
      </c>
      <c r="V19" s="13" t="n">
        <v>54.9</v>
      </c>
      <c r="W19" s="13" t="n">
        <v>49.2</v>
      </c>
      <c r="X19" s="13" t="n">
        <v>-1.099999999999994</v>
      </c>
      <c r="Y19" s="13" t="n">
        <v>0.02815025662112891</v>
      </c>
      <c r="Z19" s="13" t="n">
        <v>54.3</v>
      </c>
      <c r="AA19" s="13" t="n">
        <v>53.8</v>
      </c>
      <c r="AC19" s="77">
        <f>VLOOKUP(B19,Data!$A:$AN,MATCH(yoy!$C$1,Data!$A$1:$AN$1,),)</f>
        <v/>
      </c>
    </row>
    <row r="20">
      <c r="A20" s="20">
        <f>DATE(YEAR(B20)-1,MONTH(B20),DAY(B20))</f>
        <v/>
      </c>
      <c r="B20" s="12" t="n">
        <v>42461</v>
      </c>
      <c r="C20" s="14">
        <f>IF(VLOOKUP(B20,Data!$A:$AN,MATCH(yoy!$C$1,Data!$A$1:$AN$1,),)=0,"#N/A",(VLOOKUP(B20,Data!$A:$AN,MATCH(yoy!$C$1,Data!$A$1:$AN$1,),)-VLOOKUP(A20,Data!$A:$AN,MATCH(yoy!$C$1,Data!$A$1:$AN$1,),))/VLOOKUP(A20,Data!$A:$AN,MATCH(yoy!$C$1,Data!$A$1:$AN$1,),))</f>
        <v/>
      </c>
      <c r="D20" s="14">
        <f>IF(VLOOKUP(B20,Data!$A:$AN,MATCH(yoy!$D$1,Data!$A$1:$AN$1,),)=0,"#N/A",(VLOOKUP(B20,Data!$A:$AN,MATCH(yoy!$D$1,Data!$A$1:$AN$1,),)-VLOOKUP(A20,Data!$A:$AN,MATCH(yoy!$D$1,Data!$A$1:$AN$1,),))/VLOOKUP(A20,Data!$A:$AN,MATCH(yoy!$D$1,Data!$A$1:$AN$1,),))</f>
        <v/>
      </c>
      <c r="E20" s="14">
        <f>IF(VLOOKUP(B20,Data!$A:$AN,MATCH(yoy!$E$1,Data!$A$1:$AN$1,),)=0,"#N/A",(VLOOKUP(B20,Data!$A:$AN,MATCH(yoy!$E$1,Data!$A$1:$AN$1,),)-VLOOKUP(A20,Data!$A:$AN,MATCH(yoy!$E$1,Data!$A$1:$AN$1,),))/VLOOKUP(A20,Data!$A:$AN,MATCH(yoy!$E$1,Data!$A$1:$AN$1,),))</f>
        <v/>
      </c>
      <c r="F20" s="14">
        <f>IF(VLOOKUP(B20,Data!$A:$AN,MATCH(yoy!$F$1,Data!$A$1:$AN$1,),)=0,"#N/A",(VLOOKUP(B20,Data!$A:$AN,MATCH(yoy!$F$1,Data!$A$1:$AN$1,),)-VLOOKUP(A20,Data!$A:$AN,MATCH(yoy!$F$1,Data!$A$1:$AN$1,),))/VLOOKUP(A20,Data!$A:$AN,MATCH(yoy!$F$1,Data!$A$1:$AN$1,),))</f>
        <v/>
      </c>
      <c r="G20" s="14">
        <f>IF(VLOOKUP(B20,Data!$A:$AN,MATCH(yoy!$G$1,Data!$A$1:$AN$1,),)=0,"#N/A",(VLOOKUP(B20,Data!$A:$AN,MATCH(yoy!$G$1,Data!$A$1:$AN$1,),)-VLOOKUP(A20,Data!$A:$AN,MATCH(yoy!$G$1,Data!$A$1:$AN$1,),))/VLOOKUP(A20,Data!$A:$AN,MATCH(yoy!$G$1,Data!$A$1:$AN$1,),))</f>
        <v/>
      </c>
      <c r="H20" s="14">
        <f>IF(VLOOKUP(B20,Data!$A:$AN,MATCH(yoy!$H$1,Data!$A$1:$AN$1,),)=0,"#N/A",(VLOOKUP(B20,Data!$A:$AN,MATCH(yoy!$H$1,Data!$A$1:$AN$1,),)-VLOOKUP(A20,Data!$A:$AN,MATCH(yoy!$H$1,Data!$A$1:$AN$1,),))/VLOOKUP(A20,Data!$A:$AN,MATCH(yoy!$H$1,Data!$A$1:$AN$1,),))</f>
        <v/>
      </c>
      <c r="I20" s="14">
        <f>IF(VLOOKUP(B20,Data!$A:$AN,MATCH(yoy!$I$1,Data!$A$1:$AN$1,),)=0,"#N/A",(VLOOKUP(B20,Data!$A:$AN,MATCH(yoy!$I$1,Data!$A$1:$AN$1,),)-VLOOKUP(A20,Data!$A:$AN,MATCH(yoy!$I$1,Data!$A$1:$AN$1,),))/VLOOKUP(A20,Data!$A:$AN,MATCH(yoy!$I$1,Data!$A$1:$AN$1,),))</f>
        <v/>
      </c>
      <c r="J20" s="14">
        <f>IF(VLOOKUP(B20,Data!$A:$AN,MATCH(yoy!$J$1,Data!$A$1:$AN$1,),)=0,"#N/A",(VLOOKUP(B20,Data!$A:$AN,MATCH(yoy!$J$1,Data!$A$1:$AN$1,),)-VLOOKUP(A20,Data!$A:$AN,MATCH(yoy!$J$1,Data!$A$1:$AN$1,),))/VLOOKUP(A20,Data!$A:$AN,MATCH(yoy!$J$1,Data!$A$1:$AN$1,),))</f>
        <v/>
      </c>
      <c r="K20" s="14">
        <f>IF(VLOOKUP(B20,Data!$A:$AN,MATCH(yoy!$K$1,Data!$A$1:$AN$1,),)=0,"#N/A",(VLOOKUP(B20,Data!$A:$AN,MATCH(yoy!$K$1,Data!$A$1:$AN$1,),)-VLOOKUP(A20,Data!$A:$AN,MATCH(yoy!$K$1,Data!$A$1:$AN$1,),))/VLOOKUP(A20,Data!$A:$AN,MATCH(yoy!$K$1,Data!$A$1:$AN$1,),))</f>
        <v/>
      </c>
      <c r="L20" s="14">
        <f>IF(VLOOKUP(B20,Data!$A:$AN,MATCH(yoy!$L$1,Data!$A$1:$AN$1,),)=0,"#N/A",(VLOOKUP(B20,Data!$A:$AN,MATCH(yoy!$L$1,Data!$A$1:$AN$1,),)-VLOOKUP(A20,Data!$A:$AN,MATCH(yoy!$L$1,Data!$A$1:$AN$1,),))/VLOOKUP(A20,Data!$A:$AN,MATCH(yoy!$L$1,Data!$A$1:$AN$1,),))</f>
        <v/>
      </c>
      <c r="M20" s="14">
        <f>IF(VLOOKUP(B20,Data!$A:$AN,MATCH(yoy!$M$1,Data!$A$1:$AN$1,),)=0,"#N/A",(VLOOKUP(B20,Data!$A:$AN,MATCH(yoy!$M$1,Data!$A$1:$AN$1,),)-VLOOKUP(A20,Data!$A:$AN,MATCH(yoy!$M$1,Data!$A$1:$AN$1,),))/VLOOKUP(A20,Data!$A:$AN,MATCH(yoy!$M$1,Data!$A$1:$AN$1,),))</f>
        <v/>
      </c>
      <c r="N20" s="14">
        <f>IF(VLOOKUP(B20,Data!$A:$AN,MATCH(yoy!$N$1,Data!$A$1:$AN$1,),)=0,"#N/A",(VLOOKUP(B20,Data!$A:$AN,MATCH(yoy!$N$1,Data!$A$1:$AN$1,),)-VLOOKUP(A20,Data!$A:$AN,MATCH(yoy!$N$1,Data!$A$1:$AN$1,),))/VLOOKUP(A20,Data!$A:$AN,MATCH(yoy!$N$1,Data!$A$1:$AN$1,),))</f>
        <v/>
      </c>
      <c r="O20" s="14">
        <f>IF(VLOOKUP(B20,Data!$A:$AN,MATCH(yoy!$O$1,Data!$A$1:$AN$1,),)=0,"#N/A",(VLOOKUP(B20,Data!$A:$AN,MATCH(yoy!$O$1,Data!$A$1:$AN$1,),)-VLOOKUP(A20,Data!$A:$AN,MATCH(yoy!$O$1,Data!$A$1:$AN$1,),))/VLOOKUP(A20,Data!$A:$AN,MATCH(yoy!$O$1,Data!$A$1:$AN$1,),))</f>
        <v/>
      </c>
      <c r="P20" s="14">
        <f>IF(VLOOKUP(B20,Data!$A:$AN,MATCH(yoy!$P$1,Data!$A$1:$AN$1,),)=0,"#N/A",(VLOOKUP(B20,Data!$A:$AN,MATCH(yoy!$P$1,Data!$A$1:$AN$1,),)-VLOOKUP(A20,Data!$A:$AN,MATCH(yoy!$P$1,Data!$A$1:$AN$1,),))/VLOOKUP(A20,Data!$A:$AN,MATCH(yoy!$P$1,Data!$A$1:$AN$1,),))</f>
        <v/>
      </c>
      <c r="Q20" s="14">
        <f>IF(VLOOKUP(B20,Data!$A:$AN,MATCH(yoy!$Q$1,Data!$A$1:$AN$1,),)=0,"#N/A",(VLOOKUP(B20,Data!$A:$AN,MATCH(yoy!$Q$1,Data!$A$1:$AN$1,),)-VLOOKUP(A20,Data!$A:$AN,MATCH(yoy!$Q$1,Data!$A$1:$AN$1,),))/VLOOKUP(A20,Data!$A:$AN,MATCH(yoy!$Q$1,Data!$A$1:$AN$1,),))</f>
        <v/>
      </c>
      <c r="R20" s="14">
        <f>IF(VLOOKUP(B20,Data!$A:$AN,MATCH(yoy!$R$1,Data!$A$1:$AN$1,),)=0,"#N/A",(VLOOKUP(B20,Data!$A:$AN,MATCH(yoy!$R$1,Data!$A$1:$AN$1,),)-VLOOKUP(A20,Data!$A:$AN,MATCH(yoy!$R$1,Data!$A$1:$AN$1,),))/VLOOKUP(A20,Data!$A:$AN,MATCH(yoy!$R$1,Data!$A$1:$AN$1,),))</f>
        <v/>
      </c>
      <c r="S20" s="14">
        <f>IF(VLOOKUP(B20,Data!$A:$AN,MATCH(yoy!$S$1,Data!$A$1:$AN$1,),)=0,"#N/A",(VLOOKUP(B20,Data!$A:$AN,MATCH(yoy!$S$1,Data!$A$1:$AN$1,),)-VLOOKUP(A20,Data!$A:$AN,MATCH(yoy!$S$1,Data!$A$1:$AN$1,),))/VLOOKUP(A20,Data!$A:$AN,MATCH(yoy!$S$1,Data!$A$1:$AN$1,),))</f>
        <v/>
      </c>
      <c r="T20" s="14">
        <f>IF(VLOOKUP(B20,Data!$A:$AN,MATCH(yoy!$T$1,Data!$A$1:$AN$1,),)=0,"#N/A",(VLOOKUP(B20,Data!$A:$AN,MATCH(yoy!$T$1,Data!$A$1:$AN$1,),)-VLOOKUP(A20,Data!$A:$AN,MATCH(yoy!$T$1,Data!$A$1:$AN$1,),))/VLOOKUP(A20,Data!$A:$AN,MATCH(yoy!$T$1,Data!$A$1:$AN$1,),))</f>
        <v/>
      </c>
      <c r="U20" s="14">
        <f>IF(VLOOKUP(B20,Data!$A:$AN,MATCH(yoy!$U$1,Data!$A$1:$AN$1,),)=0,"#N/A",(VLOOKUP(B20,Data!$A:$AN,MATCH(yoy!$U$1,Data!$A$1:$AN$1,),)-VLOOKUP(A20,Data!$A:$AN,MATCH(yoy!$U$1,Data!$A$1:$AN$1,),))/VLOOKUP(A20,Data!$A:$AN,MATCH(yoy!$U$1,Data!$A$1:$AN$1,),))</f>
        <v/>
      </c>
      <c r="V20" s="14">
        <f>IF(VLOOKUP(B20,Data!$A:$AN,MATCH(yoy!$V$1,Data!$A$1:$AN$1,),)=0,"#N/A",(VLOOKUP(B20,Data!$A:$AN,MATCH(yoy!$V$1,Data!$A$1:$AN$1,),)-VLOOKUP(A20,Data!$A:$AN,MATCH(yoy!$V$1,Data!$A$1:$AN$1,),))/VLOOKUP(A20,Data!$A:$AN,MATCH(yoy!$V$1,Data!$A$1:$AN$1,),))</f>
        <v/>
      </c>
      <c r="W20" s="14">
        <f>IF(VLOOKUP(B20,Data!$A:$AN,MATCH(yoy!$W$1,Data!$A$1:$AN$1,),)=0,"#N/A",(VLOOKUP(B20,Data!$A:$AN,MATCH(yoy!$W$1,Data!$A$1:$AN$1,),)-VLOOKUP(A20,Data!$A:$AN,MATCH(yoy!$W$1,Data!$A$1:$AN$1,),))/VLOOKUP(A20,Data!$A:$AN,MATCH(yoy!$W$1,Data!$A$1:$AN$1,),))</f>
        <v/>
      </c>
      <c r="X20" s="14">
        <f>IF(VLOOKUP(B20,Data!$A:$AN,MATCH(yoy!$X$1,Data!$A$1:$AN$1,),)=0,"#N/A",(VLOOKUP(B20,Data!$A:$AN,MATCH(yoy!$X$1,Data!$A$1:$AN$1,),)-VLOOKUP(A20,Data!$A:$AN,MATCH(yoy!$X$1,Data!$A$1:$AN$1,),))/VLOOKUP(A20,Data!$A:$AN,MATCH(yoy!$X$1,Data!$A$1:$AN$1,),))</f>
        <v/>
      </c>
      <c r="Y20" s="14">
        <f>IF(VLOOKUP(B20,Data!$A:$AN,MATCH(yoy!$Y$1,Data!$A$1:$AN$1,),)=0,"#N/A",(VLOOKUP(B20,Data!$A:$AN,MATCH(yoy!$Y$1,Data!$A$1:$AN$1,),)-VLOOKUP(A20,Data!$A:$AN,MATCH(yoy!$Y$1,Data!$A$1:$AN$1,),))/VLOOKUP(A20,Data!$A:$AN,MATCH(yoy!$Y$1,Data!$A$1:$AN$1,),))</f>
        <v/>
      </c>
      <c r="Z20" s="14">
        <f>IF(VLOOKUP(B20,Data!$A:$AN,MATCH(yoy!$Z$1,Data!$A$1:$AN$1,),)=0,"#N/A",(VLOOKUP(B20,Data!$A:$AN,MATCH(yoy!$Z$1,Data!$A$1:$AN$1,),)-VLOOKUP(A20,Data!$A:$AN,MATCH(yoy!$Z$1,Data!$A$1:$AN$1,),))/VLOOKUP(A20,Data!$A:$AN,MATCH(yoy!$Z$1,Data!$A$1:$AN$1,),))</f>
        <v/>
      </c>
      <c r="AA20" s="14">
        <f>IF(VLOOKUP(B20,Data!$A:$AN,MATCH(yoy!$AA$1,Data!$A$1:$AN$1,),)=0,"#N/A",(VLOOKUP(B20,Data!$A:$AN,MATCH(yoy!$AA$1,Data!$A$1:$AN$1,),)-VLOOKUP(A20,Data!$A:$AN,MATCH(yoy!$AA$1,Data!$A$1:$AN$1,),))/VLOOKUP(A20,Data!$A:$AN,MATCH(yoy!$AA$1,Data!$A$1:$AN$1,),))</f>
        <v/>
      </c>
    </row>
    <row r="21">
      <c r="A21" s="20">
        <f>DATE(YEAR(B21)-1,MONTH(B21),DAY(B21))</f>
        <v/>
      </c>
      <c r="B21" s="12" t="n">
        <v>42491</v>
      </c>
      <c r="C21" s="14">
        <f>IF(VLOOKUP(B21,Data!$A:$AN,MATCH(yoy!$C$1,Data!$A$1:$AN$1,),)=0,"#N/A",(VLOOKUP(B21,Data!$A:$AN,MATCH(yoy!$C$1,Data!$A$1:$AN$1,),)-VLOOKUP(A21,Data!$A:$AN,MATCH(yoy!$C$1,Data!$A$1:$AN$1,),))/VLOOKUP(A21,Data!$A:$AN,MATCH(yoy!$C$1,Data!$A$1:$AN$1,),))</f>
        <v/>
      </c>
      <c r="D21" s="14">
        <f>IF(VLOOKUP(B21,Data!$A:$AN,MATCH(yoy!$D$1,Data!$A$1:$AN$1,),)=0,"#N/A",(VLOOKUP(B21,Data!$A:$AN,MATCH(yoy!$D$1,Data!$A$1:$AN$1,),)-VLOOKUP(A21,Data!$A:$AN,MATCH(yoy!$D$1,Data!$A$1:$AN$1,),))/VLOOKUP(A21,Data!$A:$AN,MATCH(yoy!$D$1,Data!$A$1:$AN$1,),))</f>
        <v/>
      </c>
      <c r="E21" s="14">
        <f>IF(VLOOKUP(B21,Data!$A:$AN,MATCH(yoy!$E$1,Data!$A$1:$AN$1,),)=0,"#N/A",(VLOOKUP(B21,Data!$A:$AN,MATCH(yoy!$E$1,Data!$A$1:$AN$1,),)-VLOOKUP(A21,Data!$A:$AN,MATCH(yoy!$E$1,Data!$A$1:$AN$1,),))/VLOOKUP(A21,Data!$A:$AN,MATCH(yoy!$E$1,Data!$A$1:$AN$1,),))</f>
        <v/>
      </c>
      <c r="F21" s="14">
        <f>IF(VLOOKUP(B21,Data!$A:$AN,MATCH(yoy!$F$1,Data!$A$1:$AN$1,),)=0,"#N/A",(VLOOKUP(B21,Data!$A:$AN,MATCH(yoy!$F$1,Data!$A$1:$AN$1,),)-VLOOKUP(A21,Data!$A:$AN,MATCH(yoy!$F$1,Data!$A$1:$AN$1,),))/VLOOKUP(A21,Data!$A:$AN,MATCH(yoy!$F$1,Data!$A$1:$AN$1,),))</f>
        <v/>
      </c>
      <c r="G21" s="14">
        <f>IF(VLOOKUP(B21,Data!$A:$AN,MATCH(yoy!$G$1,Data!$A$1:$AN$1,),)=0,"#N/A",(VLOOKUP(B21,Data!$A:$AN,MATCH(yoy!$G$1,Data!$A$1:$AN$1,),)-VLOOKUP(A21,Data!$A:$AN,MATCH(yoy!$G$1,Data!$A$1:$AN$1,),))/VLOOKUP(A21,Data!$A:$AN,MATCH(yoy!$G$1,Data!$A$1:$AN$1,),))</f>
        <v/>
      </c>
      <c r="H21" s="14">
        <f>IF(VLOOKUP(B21,Data!$A:$AN,MATCH(yoy!$H$1,Data!$A$1:$AN$1,),)=0,"#N/A",(VLOOKUP(B21,Data!$A:$AN,MATCH(yoy!$H$1,Data!$A$1:$AN$1,),)-VLOOKUP(A21,Data!$A:$AN,MATCH(yoy!$H$1,Data!$A$1:$AN$1,),))/VLOOKUP(A21,Data!$A:$AN,MATCH(yoy!$H$1,Data!$A$1:$AN$1,),))</f>
        <v/>
      </c>
      <c r="I21" s="14">
        <f>IF(VLOOKUP(B21,Data!$A:$AN,MATCH(yoy!$I$1,Data!$A$1:$AN$1,),)=0,"#N/A",(VLOOKUP(B21,Data!$A:$AN,MATCH(yoy!$I$1,Data!$A$1:$AN$1,),)-VLOOKUP(A21,Data!$A:$AN,MATCH(yoy!$I$1,Data!$A$1:$AN$1,),))/VLOOKUP(A21,Data!$A:$AN,MATCH(yoy!$I$1,Data!$A$1:$AN$1,),))</f>
        <v/>
      </c>
      <c r="J21" s="14">
        <f>IF(VLOOKUP(B21,Data!$A:$AN,MATCH(yoy!$J$1,Data!$A$1:$AN$1,),)=0,"#N/A",(VLOOKUP(B21,Data!$A:$AN,MATCH(yoy!$J$1,Data!$A$1:$AN$1,),)-VLOOKUP(A21,Data!$A:$AN,MATCH(yoy!$J$1,Data!$A$1:$AN$1,),))/VLOOKUP(A21,Data!$A:$AN,MATCH(yoy!$J$1,Data!$A$1:$AN$1,),))</f>
        <v/>
      </c>
      <c r="K21" s="14">
        <f>IF(VLOOKUP(B21,Data!$A:$AN,MATCH(yoy!$K$1,Data!$A$1:$AN$1,),)=0,"#N/A",(VLOOKUP(B21,Data!$A:$AN,MATCH(yoy!$K$1,Data!$A$1:$AN$1,),)-VLOOKUP(A21,Data!$A:$AN,MATCH(yoy!$K$1,Data!$A$1:$AN$1,),))/VLOOKUP(A21,Data!$A:$AN,MATCH(yoy!$K$1,Data!$A$1:$AN$1,),))</f>
        <v/>
      </c>
      <c r="L21" s="14">
        <f>IF(VLOOKUP(B21,Data!$A:$AN,MATCH(yoy!$L$1,Data!$A$1:$AN$1,),)=0,"#N/A",(VLOOKUP(B21,Data!$A:$AN,MATCH(yoy!$L$1,Data!$A$1:$AN$1,),)-VLOOKUP(A21,Data!$A:$AN,MATCH(yoy!$L$1,Data!$A$1:$AN$1,),))/VLOOKUP(A21,Data!$A:$AN,MATCH(yoy!$L$1,Data!$A$1:$AN$1,),))</f>
        <v/>
      </c>
      <c r="M21" s="14">
        <f>IF(VLOOKUP(B21,Data!$A:$AN,MATCH(yoy!$M$1,Data!$A$1:$AN$1,),)=0,"#N/A",(VLOOKUP(B21,Data!$A:$AN,MATCH(yoy!$M$1,Data!$A$1:$AN$1,),)-VLOOKUP(A21,Data!$A:$AN,MATCH(yoy!$M$1,Data!$A$1:$AN$1,),))/VLOOKUP(A21,Data!$A:$AN,MATCH(yoy!$M$1,Data!$A$1:$AN$1,),))</f>
        <v/>
      </c>
      <c r="N21" s="14">
        <f>IF(VLOOKUP(B21,Data!$A:$AN,MATCH(yoy!$N$1,Data!$A$1:$AN$1,),)=0,"#N/A",(VLOOKUP(B21,Data!$A:$AN,MATCH(yoy!$N$1,Data!$A$1:$AN$1,),)-VLOOKUP(A21,Data!$A:$AN,MATCH(yoy!$N$1,Data!$A$1:$AN$1,),))/VLOOKUP(A21,Data!$A:$AN,MATCH(yoy!$N$1,Data!$A$1:$AN$1,),))</f>
        <v/>
      </c>
      <c r="O21" s="14">
        <f>IF(VLOOKUP(B21,Data!$A:$AN,MATCH(yoy!$O$1,Data!$A$1:$AN$1,),)=0,"#N/A",(VLOOKUP(B21,Data!$A:$AN,MATCH(yoy!$O$1,Data!$A$1:$AN$1,),)-VLOOKUP(A21,Data!$A:$AN,MATCH(yoy!$O$1,Data!$A$1:$AN$1,),))/VLOOKUP(A21,Data!$A:$AN,MATCH(yoy!$O$1,Data!$A$1:$AN$1,),))</f>
        <v/>
      </c>
      <c r="P21" s="14">
        <f>IF(VLOOKUP(B21,Data!$A:$AN,MATCH(yoy!$P$1,Data!$A$1:$AN$1,),)=0,"#N/A",(VLOOKUP(B21,Data!$A:$AN,MATCH(yoy!$P$1,Data!$A$1:$AN$1,),)-VLOOKUP(A21,Data!$A:$AN,MATCH(yoy!$P$1,Data!$A$1:$AN$1,),))/VLOOKUP(A21,Data!$A:$AN,MATCH(yoy!$P$1,Data!$A$1:$AN$1,),))</f>
        <v/>
      </c>
      <c r="Q21" s="14">
        <f>IF(VLOOKUP(B21,Data!$A:$AN,MATCH(yoy!$Q$1,Data!$A$1:$AN$1,),)=0,"#N/A",(VLOOKUP(B21,Data!$A:$AN,MATCH(yoy!$Q$1,Data!$A$1:$AN$1,),)-VLOOKUP(A21,Data!$A:$AN,MATCH(yoy!$Q$1,Data!$A$1:$AN$1,),))/VLOOKUP(A21,Data!$A:$AN,MATCH(yoy!$Q$1,Data!$A$1:$AN$1,),))</f>
        <v/>
      </c>
      <c r="R21" s="14">
        <f>IF(VLOOKUP(B21,Data!$A:$AN,MATCH(yoy!$R$1,Data!$A$1:$AN$1,),)=0,"#N/A",(VLOOKUP(B21,Data!$A:$AN,MATCH(yoy!$R$1,Data!$A$1:$AN$1,),)-VLOOKUP(A21,Data!$A:$AN,MATCH(yoy!$R$1,Data!$A$1:$AN$1,),))/VLOOKUP(A21,Data!$A:$AN,MATCH(yoy!$R$1,Data!$A$1:$AN$1,),))</f>
        <v/>
      </c>
      <c r="S21" s="14">
        <f>IF(VLOOKUP(B21,Data!$A:$AN,MATCH(yoy!$S$1,Data!$A$1:$AN$1,),)=0,"#N/A",(VLOOKUP(B21,Data!$A:$AN,MATCH(yoy!$S$1,Data!$A$1:$AN$1,),)-VLOOKUP(A21,Data!$A:$AN,MATCH(yoy!$S$1,Data!$A$1:$AN$1,),))/VLOOKUP(A21,Data!$A:$AN,MATCH(yoy!$S$1,Data!$A$1:$AN$1,),))</f>
        <v/>
      </c>
      <c r="T21" s="14">
        <f>IF(VLOOKUP(B21,Data!$A:$AN,MATCH(yoy!$T$1,Data!$A$1:$AN$1,),)=0,"#N/A",(VLOOKUP(B21,Data!$A:$AN,MATCH(yoy!$T$1,Data!$A$1:$AN$1,),)-VLOOKUP(A21,Data!$A:$AN,MATCH(yoy!$T$1,Data!$A$1:$AN$1,),))/VLOOKUP(A21,Data!$A:$AN,MATCH(yoy!$T$1,Data!$A$1:$AN$1,),))</f>
        <v/>
      </c>
      <c r="U21" s="14">
        <f>IF(VLOOKUP(B21,Data!$A:$AN,MATCH(yoy!$U$1,Data!$A$1:$AN$1,),)=0,"#N/A",(VLOOKUP(B21,Data!$A:$AN,MATCH(yoy!$U$1,Data!$A$1:$AN$1,),)-VLOOKUP(A21,Data!$A:$AN,MATCH(yoy!$U$1,Data!$A$1:$AN$1,),))/VLOOKUP(A21,Data!$A:$AN,MATCH(yoy!$U$1,Data!$A$1:$AN$1,),))</f>
        <v/>
      </c>
      <c r="V21" s="14">
        <f>IF(VLOOKUP(B21,Data!$A:$AN,MATCH(yoy!$V$1,Data!$A$1:$AN$1,),)=0,"#N/A",(VLOOKUP(B21,Data!$A:$AN,MATCH(yoy!$V$1,Data!$A$1:$AN$1,),)-VLOOKUP(A21,Data!$A:$AN,MATCH(yoy!$V$1,Data!$A$1:$AN$1,),))/VLOOKUP(A21,Data!$A:$AN,MATCH(yoy!$V$1,Data!$A$1:$AN$1,),))</f>
        <v/>
      </c>
      <c r="W21" s="14">
        <f>IF(VLOOKUP(B21,Data!$A:$AN,MATCH(yoy!$W$1,Data!$A$1:$AN$1,),)=0,"#N/A",(VLOOKUP(B21,Data!$A:$AN,MATCH(yoy!$W$1,Data!$A$1:$AN$1,),)-VLOOKUP(A21,Data!$A:$AN,MATCH(yoy!$W$1,Data!$A$1:$AN$1,),))/VLOOKUP(A21,Data!$A:$AN,MATCH(yoy!$W$1,Data!$A$1:$AN$1,),))</f>
        <v/>
      </c>
      <c r="X21" s="14">
        <f>IF(VLOOKUP(B21,Data!$A:$AN,MATCH(yoy!$X$1,Data!$A$1:$AN$1,),)=0,"#N/A",(VLOOKUP(B21,Data!$A:$AN,MATCH(yoy!$X$1,Data!$A$1:$AN$1,),)-VLOOKUP(A21,Data!$A:$AN,MATCH(yoy!$X$1,Data!$A$1:$AN$1,),))/VLOOKUP(A21,Data!$A:$AN,MATCH(yoy!$X$1,Data!$A$1:$AN$1,),))</f>
        <v/>
      </c>
      <c r="Y21" s="14">
        <f>IF(VLOOKUP(B21,Data!$A:$AN,MATCH(yoy!$Y$1,Data!$A$1:$AN$1,),)=0,"#N/A",(VLOOKUP(B21,Data!$A:$AN,MATCH(yoy!$Y$1,Data!$A$1:$AN$1,),)-VLOOKUP(A21,Data!$A:$AN,MATCH(yoy!$Y$1,Data!$A$1:$AN$1,),))/VLOOKUP(A21,Data!$A:$AN,MATCH(yoy!$Y$1,Data!$A$1:$AN$1,),))</f>
        <v/>
      </c>
      <c r="Z21" s="14">
        <f>IF(VLOOKUP(B21,Data!$A:$AN,MATCH(yoy!$Z$1,Data!$A$1:$AN$1,),)=0,"#N/A",(VLOOKUP(B21,Data!$A:$AN,MATCH(yoy!$Z$1,Data!$A$1:$AN$1,),)-VLOOKUP(A21,Data!$A:$AN,MATCH(yoy!$Z$1,Data!$A$1:$AN$1,),))/VLOOKUP(A21,Data!$A:$AN,MATCH(yoy!$Z$1,Data!$A$1:$AN$1,),))</f>
        <v/>
      </c>
      <c r="AA21" s="14">
        <f>IF(VLOOKUP(B21,Data!$A:$AN,MATCH(yoy!$AA$1,Data!$A$1:$AN$1,),)=0,"#N/A",(VLOOKUP(B21,Data!$A:$AN,MATCH(yoy!$AA$1,Data!$A$1:$AN$1,),)-VLOOKUP(A21,Data!$A:$AN,MATCH(yoy!$AA$1,Data!$A$1:$AN$1,),))/VLOOKUP(A21,Data!$A:$AN,MATCH(yoy!$AA$1,Data!$A$1:$AN$1,),))</f>
        <v/>
      </c>
    </row>
    <row r="22">
      <c r="A22" s="20">
        <f>DATE(YEAR(B22)-1,MONTH(B22),DAY(B22))</f>
        <v/>
      </c>
      <c r="B22" s="12" t="n">
        <v>42522</v>
      </c>
      <c r="C22" s="14">
        <f>IF(VLOOKUP(B22,Data!$A:$AN,MATCH(yoy!$C$1,Data!$A$1:$AN$1,),)=0,"#N/A",(VLOOKUP(B22,Data!$A:$AN,MATCH(yoy!$C$1,Data!$A$1:$AN$1,),)-VLOOKUP(A22,Data!$A:$AN,MATCH(yoy!$C$1,Data!$A$1:$AN$1,),))/VLOOKUP(A22,Data!$A:$AN,MATCH(yoy!$C$1,Data!$A$1:$AN$1,),))</f>
        <v/>
      </c>
      <c r="D22" s="14">
        <f>IF(VLOOKUP(B22,Data!$A:$AN,MATCH(yoy!$D$1,Data!$A$1:$AN$1,),)=0,"#N/A",(VLOOKUP(B22,Data!$A:$AN,MATCH(yoy!$D$1,Data!$A$1:$AN$1,),)-VLOOKUP(A22,Data!$A:$AN,MATCH(yoy!$D$1,Data!$A$1:$AN$1,),))/VLOOKUP(A22,Data!$A:$AN,MATCH(yoy!$D$1,Data!$A$1:$AN$1,),))</f>
        <v/>
      </c>
      <c r="E22" s="14">
        <f>IF(VLOOKUP(B22,Data!$A:$AN,MATCH(yoy!$E$1,Data!$A$1:$AN$1,),)=0,"#N/A",(VLOOKUP(B22,Data!$A:$AN,MATCH(yoy!$E$1,Data!$A$1:$AN$1,),)-VLOOKUP(A22,Data!$A:$AN,MATCH(yoy!$E$1,Data!$A$1:$AN$1,),))/VLOOKUP(A22,Data!$A:$AN,MATCH(yoy!$E$1,Data!$A$1:$AN$1,),))</f>
        <v/>
      </c>
      <c r="F22" s="14">
        <f>IF(VLOOKUP(B22,Data!$A:$AN,MATCH(yoy!$F$1,Data!$A$1:$AN$1,),)=0,"#N/A",(VLOOKUP(B22,Data!$A:$AN,MATCH(yoy!$F$1,Data!$A$1:$AN$1,),)-VLOOKUP(A22,Data!$A:$AN,MATCH(yoy!$F$1,Data!$A$1:$AN$1,),))/VLOOKUP(A22,Data!$A:$AN,MATCH(yoy!$F$1,Data!$A$1:$AN$1,),))</f>
        <v/>
      </c>
      <c r="G22" s="14">
        <f>IF(VLOOKUP(B22,Data!$A:$AN,MATCH(yoy!$G$1,Data!$A$1:$AN$1,),)=0,"#N/A",(VLOOKUP(B22,Data!$A:$AN,MATCH(yoy!$G$1,Data!$A$1:$AN$1,),)-VLOOKUP(A22,Data!$A:$AN,MATCH(yoy!$G$1,Data!$A$1:$AN$1,),))/VLOOKUP(A22,Data!$A:$AN,MATCH(yoy!$G$1,Data!$A$1:$AN$1,),))</f>
        <v/>
      </c>
      <c r="H22" s="14">
        <f>IF(VLOOKUP(B22,Data!$A:$AN,MATCH(yoy!$H$1,Data!$A$1:$AN$1,),)=0,"#N/A",(VLOOKUP(B22,Data!$A:$AN,MATCH(yoy!$H$1,Data!$A$1:$AN$1,),)-VLOOKUP(A22,Data!$A:$AN,MATCH(yoy!$H$1,Data!$A$1:$AN$1,),))/VLOOKUP(A22,Data!$A:$AN,MATCH(yoy!$H$1,Data!$A$1:$AN$1,),))</f>
        <v/>
      </c>
      <c r="I22" s="14">
        <f>IF(VLOOKUP(B22,Data!$A:$AN,MATCH(yoy!$I$1,Data!$A$1:$AN$1,),)=0,"#N/A",(VLOOKUP(B22,Data!$A:$AN,MATCH(yoy!$I$1,Data!$A$1:$AN$1,),)-VLOOKUP(A22,Data!$A:$AN,MATCH(yoy!$I$1,Data!$A$1:$AN$1,),))/VLOOKUP(A22,Data!$A:$AN,MATCH(yoy!$I$1,Data!$A$1:$AN$1,),))</f>
        <v/>
      </c>
      <c r="J22" s="14">
        <f>IF(VLOOKUP(B22,Data!$A:$AN,MATCH(yoy!$J$1,Data!$A$1:$AN$1,),)=0,"#N/A",(VLOOKUP(B22,Data!$A:$AN,MATCH(yoy!$J$1,Data!$A$1:$AN$1,),)-VLOOKUP(A22,Data!$A:$AN,MATCH(yoy!$J$1,Data!$A$1:$AN$1,),))/VLOOKUP(A22,Data!$A:$AN,MATCH(yoy!$J$1,Data!$A$1:$AN$1,),))</f>
        <v/>
      </c>
      <c r="K22" s="14">
        <f>IF(VLOOKUP(B22,Data!$A:$AN,MATCH(yoy!$K$1,Data!$A$1:$AN$1,),)=0,"#N/A",(VLOOKUP(B22,Data!$A:$AN,MATCH(yoy!$K$1,Data!$A$1:$AN$1,),)-VLOOKUP(A22,Data!$A:$AN,MATCH(yoy!$K$1,Data!$A$1:$AN$1,),))/VLOOKUP(A22,Data!$A:$AN,MATCH(yoy!$K$1,Data!$A$1:$AN$1,),))</f>
        <v/>
      </c>
      <c r="L22" s="14">
        <f>IF(VLOOKUP(B22,Data!$A:$AN,MATCH(yoy!$L$1,Data!$A$1:$AN$1,),)=0,"#N/A",(VLOOKUP(B22,Data!$A:$AN,MATCH(yoy!$L$1,Data!$A$1:$AN$1,),)-VLOOKUP(A22,Data!$A:$AN,MATCH(yoy!$L$1,Data!$A$1:$AN$1,),))/VLOOKUP(A22,Data!$A:$AN,MATCH(yoy!$L$1,Data!$A$1:$AN$1,),))</f>
        <v/>
      </c>
      <c r="M22" s="14">
        <f>IF(VLOOKUP(B22,Data!$A:$AN,MATCH(yoy!$M$1,Data!$A$1:$AN$1,),)=0,"#N/A",(VLOOKUP(B22,Data!$A:$AN,MATCH(yoy!$M$1,Data!$A$1:$AN$1,),)-VLOOKUP(A22,Data!$A:$AN,MATCH(yoy!$M$1,Data!$A$1:$AN$1,),))/VLOOKUP(A22,Data!$A:$AN,MATCH(yoy!$M$1,Data!$A$1:$AN$1,),))</f>
        <v/>
      </c>
      <c r="N22" s="14">
        <f>IF(VLOOKUP(B22,Data!$A:$AN,MATCH(yoy!$N$1,Data!$A$1:$AN$1,),)=0,"#N/A",(VLOOKUP(B22,Data!$A:$AN,MATCH(yoy!$N$1,Data!$A$1:$AN$1,),)-VLOOKUP(A22,Data!$A:$AN,MATCH(yoy!$N$1,Data!$A$1:$AN$1,),))/VLOOKUP(A22,Data!$A:$AN,MATCH(yoy!$N$1,Data!$A$1:$AN$1,),))</f>
        <v/>
      </c>
      <c r="O22" s="14">
        <f>IF(VLOOKUP(B22,Data!$A:$AN,MATCH(yoy!$O$1,Data!$A$1:$AN$1,),)=0,"#N/A",(VLOOKUP(B22,Data!$A:$AN,MATCH(yoy!$O$1,Data!$A$1:$AN$1,),)-VLOOKUP(A22,Data!$A:$AN,MATCH(yoy!$O$1,Data!$A$1:$AN$1,),))/VLOOKUP(A22,Data!$A:$AN,MATCH(yoy!$O$1,Data!$A$1:$AN$1,),))</f>
        <v/>
      </c>
      <c r="P22" s="14">
        <f>IF(VLOOKUP(B22,Data!$A:$AN,MATCH(yoy!$P$1,Data!$A$1:$AN$1,),)=0,"#N/A",(VLOOKUP(B22,Data!$A:$AN,MATCH(yoy!$P$1,Data!$A$1:$AN$1,),)-VLOOKUP(A22,Data!$A:$AN,MATCH(yoy!$P$1,Data!$A$1:$AN$1,),))/VLOOKUP(A22,Data!$A:$AN,MATCH(yoy!$P$1,Data!$A$1:$AN$1,),))</f>
        <v/>
      </c>
      <c r="Q22" s="14">
        <f>IF(VLOOKUP(B22,Data!$A:$AN,MATCH(yoy!$Q$1,Data!$A$1:$AN$1,),)=0,"#N/A",(VLOOKUP(B22,Data!$A:$AN,MATCH(yoy!$Q$1,Data!$A$1:$AN$1,),)-VLOOKUP(A22,Data!$A:$AN,MATCH(yoy!$Q$1,Data!$A$1:$AN$1,),))/VLOOKUP(A22,Data!$A:$AN,MATCH(yoy!$Q$1,Data!$A$1:$AN$1,),))</f>
        <v/>
      </c>
      <c r="R22" s="14">
        <f>IF(VLOOKUP(B22,Data!$A:$AN,MATCH(yoy!$R$1,Data!$A$1:$AN$1,),)=0,"#N/A",(VLOOKUP(B22,Data!$A:$AN,MATCH(yoy!$R$1,Data!$A$1:$AN$1,),)-VLOOKUP(A22,Data!$A:$AN,MATCH(yoy!$R$1,Data!$A$1:$AN$1,),))/VLOOKUP(A22,Data!$A:$AN,MATCH(yoy!$R$1,Data!$A$1:$AN$1,),))</f>
        <v/>
      </c>
      <c r="S22" s="14">
        <f>IF(VLOOKUP(B22,Data!$A:$AN,MATCH(yoy!$S$1,Data!$A$1:$AN$1,),)=0,"#N/A",(VLOOKUP(B22,Data!$A:$AN,MATCH(yoy!$S$1,Data!$A$1:$AN$1,),)-VLOOKUP(A22,Data!$A:$AN,MATCH(yoy!$S$1,Data!$A$1:$AN$1,),))/VLOOKUP(A22,Data!$A:$AN,MATCH(yoy!$S$1,Data!$A$1:$AN$1,),))</f>
        <v/>
      </c>
      <c r="T22" s="14">
        <f>IF(VLOOKUP(B22,Data!$A:$AN,MATCH(yoy!$T$1,Data!$A$1:$AN$1,),)=0,"#N/A",(VLOOKUP(B22,Data!$A:$AN,MATCH(yoy!$T$1,Data!$A$1:$AN$1,),)-VLOOKUP(A22,Data!$A:$AN,MATCH(yoy!$T$1,Data!$A$1:$AN$1,),))/VLOOKUP(A22,Data!$A:$AN,MATCH(yoy!$T$1,Data!$A$1:$AN$1,),))</f>
        <v/>
      </c>
      <c r="U22" s="14">
        <f>IF(VLOOKUP(B22,Data!$A:$AN,MATCH(yoy!$U$1,Data!$A$1:$AN$1,),)=0,"#N/A",(VLOOKUP(B22,Data!$A:$AN,MATCH(yoy!$U$1,Data!$A$1:$AN$1,),)-VLOOKUP(A22,Data!$A:$AN,MATCH(yoy!$U$1,Data!$A$1:$AN$1,),))/VLOOKUP(A22,Data!$A:$AN,MATCH(yoy!$U$1,Data!$A$1:$AN$1,),))</f>
        <v/>
      </c>
      <c r="V22" s="14">
        <f>IF(VLOOKUP(B22,Data!$A:$AN,MATCH(yoy!$V$1,Data!$A$1:$AN$1,),)=0,"#N/A",(VLOOKUP(B22,Data!$A:$AN,MATCH(yoy!$V$1,Data!$A$1:$AN$1,),)-VLOOKUP(A22,Data!$A:$AN,MATCH(yoy!$V$1,Data!$A$1:$AN$1,),))/VLOOKUP(A22,Data!$A:$AN,MATCH(yoy!$V$1,Data!$A$1:$AN$1,),))</f>
        <v/>
      </c>
      <c r="W22" s="14">
        <f>IF(VLOOKUP(B22,Data!$A:$AN,MATCH(yoy!$W$1,Data!$A$1:$AN$1,),)=0,"#N/A",(VLOOKUP(B22,Data!$A:$AN,MATCH(yoy!$W$1,Data!$A$1:$AN$1,),)-VLOOKUP(A22,Data!$A:$AN,MATCH(yoy!$W$1,Data!$A$1:$AN$1,),))/VLOOKUP(A22,Data!$A:$AN,MATCH(yoy!$W$1,Data!$A$1:$AN$1,),))</f>
        <v/>
      </c>
      <c r="X22" s="14">
        <f>IF(VLOOKUP(B22,Data!$A:$AN,MATCH(yoy!$X$1,Data!$A$1:$AN$1,),)=0,"#N/A",(VLOOKUP(B22,Data!$A:$AN,MATCH(yoy!$X$1,Data!$A$1:$AN$1,),)-VLOOKUP(A22,Data!$A:$AN,MATCH(yoy!$X$1,Data!$A$1:$AN$1,),))/VLOOKUP(A22,Data!$A:$AN,MATCH(yoy!$X$1,Data!$A$1:$AN$1,),))</f>
        <v/>
      </c>
      <c r="Y22" s="14">
        <f>IF(VLOOKUP(B22,Data!$A:$AN,MATCH(yoy!$Y$1,Data!$A$1:$AN$1,),)=0,"#N/A",(VLOOKUP(B22,Data!$A:$AN,MATCH(yoy!$Y$1,Data!$A$1:$AN$1,),)-VLOOKUP(A22,Data!$A:$AN,MATCH(yoy!$Y$1,Data!$A$1:$AN$1,),))/VLOOKUP(A22,Data!$A:$AN,MATCH(yoy!$Y$1,Data!$A$1:$AN$1,),))</f>
        <v/>
      </c>
      <c r="Z22" s="14">
        <f>IF(VLOOKUP(B22,Data!$A:$AN,MATCH(yoy!$Z$1,Data!$A$1:$AN$1,),)=0,"#N/A",(VLOOKUP(B22,Data!$A:$AN,MATCH(yoy!$Z$1,Data!$A$1:$AN$1,),)-VLOOKUP(A22,Data!$A:$AN,MATCH(yoy!$Z$1,Data!$A$1:$AN$1,),))/VLOOKUP(A22,Data!$A:$AN,MATCH(yoy!$Z$1,Data!$A$1:$AN$1,),))</f>
        <v/>
      </c>
      <c r="AA22" s="14">
        <f>IF(VLOOKUP(B22,Data!$A:$AN,MATCH(yoy!$AA$1,Data!$A$1:$AN$1,),)=0,"#N/A",(VLOOKUP(B22,Data!$A:$AN,MATCH(yoy!$AA$1,Data!$A$1:$AN$1,),)-VLOOKUP(A22,Data!$A:$AN,MATCH(yoy!$AA$1,Data!$A$1:$AN$1,),))/VLOOKUP(A22,Data!$A:$AN,MATCH(yoy!$AA$1,Data!$A$1:$AN$1,),))</f>
        <v/>
      </c>
    </row>
    <row r="23">
      <c r="A23" s="20">
        <f>DATE(YEAR(B23)-1,MONTH(B23),DAY(B23))</f>
        <v/>
      </c>
      <c r="B23" s="12" t="n">
        <v>42552</v>
      </c>
      <c r="C23" s="14">
        <f>IF(VLOOKUP(B23,Data!$A:$AN,MATCH(yoy!$C$1,Data!$A$1:$AN$1,),)=0,"#N/A",(VLOOKUP(B23,Data!$A:$AN,MATCH(yoy!$C$1,Data!$A$1:$AN$1,),)-VLOOKUP(A23,Data!$A:$AN,MATCH(yoy!$C$1,Data!$A$1:$AN$1,),))/VLOOKUP(A23,Data!$A:$AN,MATCH(yoy!$C$1,Data!$A$1:$AN$1,),))</f>
        <v/>
      </c>
      <c r="D23" s="14">
        <f>IF(VLOOKUP(B23,Data!$A:$AN,MATCH(yoy!$D$1,Data!$A$1:$AN$1,),)=0,"#N/A",(VLOOKUP(B23,Data!$A:$AN,MATCH(yoy!$D$1,Data!$A$1:$AN$1,),)-VLOOKUP(A23,Data!$A:$AN,MATCH(yoy!$D$1,Data!$A$1:$AN$1,),))/VLOOKUP(A23,Data!$A:$AN,MATCH(yoy!$D$1,Data!$A$1:$AN$1,),))</f>
        <v/>
      </c>
      <c r="E23" s="14">
        <f>IF(VLOOKUP(B23,Data!$A:$AN,MATCH(yoy!$E$1,Data!$A$1:$AN$1,),)=0,"#N/A",(VLOOKUP(B23,Data!$A:$AN,MATCH(yoy!$E$1,Data!$A$1:$AN$1,),)-VLOOKUP(A23,Data!$A:$AN,MATCH(yoy!$E$1,Data!$A$1:$AN$1,),))/VLOOKUP(A23,Data!$A:$AN,MATCH(yoy!$E$1,Data!$A$1:$AN$1,),))</f>
        <v/>
      </c>
      <c r="F23" s="14">
        <f>IF(VLOOKUP(B23,Data!$A:$AN,MATCH(yoy!$F$1,Data!$A$1:$AN$1,),)=0,"#N/A",(VLOOKUP(B23,Data!$A:$AN,MATCH(yoy!$F$1,Data!$A$1:$AN$1,),)-VLOOKUP(A23,Data!$A:$AN,MATCH(yoy!$F$1,Data!$A$1:$AN$1,),))/VLOOKUP(A23,Data!$A:$AN,MATCH(yoy!$F$1,Data!$A$1:$AN$1,),))</f>
        <v/>
      </c>
      <c r="G23" s="14">
        <f>IF(VLOOKUP(B23,Data!$A:$AN,MATCH(yoy!$G$1,Data!$A$1:$AN$1,),)=0,"#N/A",(VLOOKUP(B23,Data!$A:$AN,MATCH(yoy!$G$1,Data!$A$1:$AN$1,),)-VLOOKUP(A23,Data!$A:$AN,MATCH(yoy!$G$1,Data!$A$1:$AN$1,),))/VLOOKUP(A23,Data!$A:$AN,MATCH(yoy!$G$1,Data!$A$1:$AN$1,),))</f>
        <v/>
      </c>
      <c r="H23" s="14">
        <f>IF(VLOOKUP(B23,Data!$A:$AN,MATCH(yoy!$H$1,Data!$A$1:$AN$1,),)=0,"#N/A",(VLOOKUP(B23,Data!$A:$AN,MATCH(yoy!$H$1,Data!$A$1:$AN$1,),)-VLOOKUP(A23,Data!$A:$AN,MATCH(yoy!$H$1,Data!$A$1:$AN$1,),))/VLOOKUP(A23,Data!$A:$AN,MATCH(yoy!$H$1,Data!$A$1:$AN$1,),))</f>
        <v/>
      </c>
      <c r="I23" s="14">
        <f>IF(VLOOKUP(B23,Data!$A:$AN,MATCH(yoy!$I$1,Data!$A$1:$AN$1,),)=0,"#N/A",(VLOOKUP(B23,Data!$A:$AN,MATCH(yoy!$I$1,Data!$A$1:$AN$1,),)-VLOOKUP(A23,Data!$A:$AN,MATCH(yoy!$I$1,Data!$A$1:$AN$1,),))/VLOOKUP(A23,Data!$A:$AN,MATCH(yoy!$I$1,Data!$A$1:$AN$1,),))</f>
        <v/>
      </c>
      <c r="J23" s="14">
        <f>IF(VLOOKUP(B23,Data!$A:$AN,MATCH(yoy!$J$1,Data!$A$1:$AN$1,),)=0,"#N/A",(VLOOKUP(B23,Data!$A:$AN,MATCH(yoy!$J$1,Data!$A$1:$AN$1,),)-VLOOKUP(A23,Data!$A:$AN,MATCH(yoy!$J$1,Data!$A$1:$AN$1,),))/VLOOKUP(A23,Data!$A:$AN,MATCH(yoy!$J$1,Data!$A$1:$AN$1,),))</f>
        <v/>
      </c>
      <c r="K23" s="14">
        <f>IF(VLOOKUP(B23,Data!$A:$AN,MATCH(yoy!$K$1,Data!$A$1:$AN$1,),)=0,"#N/A",(VLOOKUP(B23,Data!$A:$AN,MATCH(yoy!$K$1,Data!$A$1:$AN$1,),)-VLOOKUP(A23,Data!$A:$AN,MATCH(yoy!$K$1,Data!$A$1:$AN$1,),))/VLOOKUP(A23,Data!$A:$AN,MATCH(yoy!$K$1,Data!$A$1:$AN$1,),))</f>
        <v/>
      </c>
      <c r="L23" s="14">
        <f>IF(VLOOKUP(B23,Data!$A:$AN,MATCH(yoy!$L$1,Data!$A$1:$AN$1,),)=0,"#N/A",(VLOOKUP(B23,Data!$A:$AN,MATCH(yoy!$L$1,Data!$A$1:$AN$1,),)-VLOOKUP(A23,Data!$A:$AN,MATCH(yoy!$L$1,Data!$A$1:$AN$1,),))/VLOOKUP(A23,Data!$A:$AN,MATCH(yoy!$L$1,Data!$A$1:$AN$1,),))</f>
        <v/>
      </c>
      <c r="M23" s="14">
        <f>IF(VLOOKUP(B23,Data!$A:$AN,MATCH(yoy!$M$1,Data!$A$1:$AN$1,),)=0,"#N/A",(VLOOKUP(B23,Data!$A:$AN,MATCH(yoy!$M$1,Data!$A$1:$AN$1,),)-VLOOKUP(A23,Data!$A:$AN,MATCH(yoy!$M$1,Data!$A$1:$AN$1,),))/VLOOKUP(A23,Data!$A:$AN,MATCH(yoy!$M$1,Data!$A$1:$AN$1,),))</f>
        <v/>
      </c>
      <c r="N23" s="14">
        <f>IF(VLOOKUP(B23,Data!$A:$AN,MATCH(yoy!$N$1,Data!$A$1:$AN$1,),)=0,"#N/A",(VLOOKUP(B23,Data!$A:$AN,MATCH(yoy!$N$1,Data!$A$1:$AN$1,),)-VLOOKUP(A23,Data!$A:$AN,MATCH(yoy!$N$1,Data!$A$1:$AN$1,),))/VLOOKUP(A23,Data!$A:$AN,MATCH(yoy!$N$1,Data!$A$1:$AN$1,),))</f>
        <v/>
      </c>
      <c r="O23" s="14">
        <f>IF(VLOOKUP(B23,Data!$A:$AN,MATCH(yoy!$O$1,Data!$A$1:$AN$1,),)=0,"#N/A",(VLOOKUP(B23,Data!$A:$AN,MATCH(yoy!$O$1,Data!$A$1:$AN$1,),)-VLOOKUP(A23,Data!$A:$AN,MATCH(yoy!$O$1,Data!$A$1:$AN$1,),))/VLOOKUP(A23,Data!$A:$AN,MATCH(yoy!$O$1,Data!$A$1:$AN$1,),))</f>
        <v/>
      </c>
      <c r="P23" s="14">
        <f>IF(VLOOKUP(B23,Data!$A:$AN,MATCH(yoy!$P$1,Data!$A$1:$AN$1,),)=0,"#N/A",(VLOOKUP(B23,Data!$A:$AN,MATCH(yoy!$P$1,Data!$A$1:$AN$1,),)-VLOOKUP(A23,Data!$A:$AN,MATCH(yoy!$P$1,Data!$A$1:$AN$1,),))/VLOOKUP(A23,Data!$A:$AN,MATCH(yoy!$P$1,Data!$A$1:$AN$1,),))</f>
        <v/>
      </c>
      <c r="Q23" s="14">
        <f>IF(VLOOKUP(B23,Data!$A:$AN,MATCH(yoy!$Q$1,Data!$A$1:$AN$1,),)=0,"#N/A",(VLOOKUP(B23,Data!$A:$AN,MATCH(yoy!$Q$1,Data!$A$1:$AN$1,),)-VLOOKUP(A23,Data!$A:$AN,MATCH(yoy!$Q$1,Data!$A$1:$AN$1,),))/VLOOKUP(A23,Data!$A:$AN,MATCH(yoy!$Q$1,Data!$A$1:$AN$1,),))</f>
        <v/>
      </c>
      <c r="R23" s="14">
        <f>IF(VLOOKUP(B23,Data!$A:$AN,MATCH(yoy!$R$1,Data!$A$1:$AN$1,),)=0,"#N/A",(VLOOKUP(B23,Data!$A:$AN,MATCH(yoy!$R$1,Data!$A$1:$AN$1,),)-VLOOKUP(A23,Data!$A:$AN,MATCH(yoy!$R$1,Data!$A$1:$AN$1,),))/VLOOKUP(A23,Data!$A:$AN,MATCH(yoy!$R$1,Data!$A$1:$AN$1,),))</f>
        <v/>
      </c>
      <c r="S23" s="14">
        <f>IF(VLOOKUP(B23,Data!$A:$AN,MATCH(yoy!$S$1,Data!$A$1:$AN$1,),)=0,"#N/A",(VLOOKUP(B23,Data!$A:$AN,MATCH(yoy!$S$1,Data!$A$1:$AN$1,),)-VLOOKUP(A23,Data!$A:$AN,MATCH(yoy!$S$1,Data!$A$1:$AN$1,),))/VLOOKUP(A23,Data!$A:$AN,MATCH(yoy!$S$1,Data!$A$1:$AN$1,),))</f>
        <v/>
      </c>
      <c r="T23" s="14">
        <f>IF(VLOOKUP(B23,Data!$A:$AN,MATCH(yoy!$T$1,Data!$A$1:$AN$1,),)=0,"#N/A",(VLOOKUP(B23,Data!$A:$AN,MATCH(yoy!$T$1,Data!$A$1:$AN$1,),)-VLOOKUP(A23,Data!$A:$AN,MATCH(yoy!$T$1,Data!$A$1:$AN$1,),))/VLOOKUP(A23,Data!$A:$AN,MATCH(yoy!$T$1,Data!$A$1:$AN$1,),))</f>
        <v/>
      </c>
      <c r="U23" s="14">
        <f>IF(VLOOKUP(B23,Data!$A:$AN,MATCH(yoy!$U$1,Data!$A$1:$AN$1,),)=0,"#N/A",(VLOOKUP(B23,Data!$A:$AN,MATCH(yoy!$U$1,Data!$A$1:$AN$1,),)-VLOOKUP(A23,Data!$A:$AN,MATCH(yoy!$U$1,Data!$A$1:$AN$1,),))/VLOOKUP(A23,Data!$A:$AN,MATCH(yoy!$U$1,Data!$A$1:$AN$1,),))</f>
        <v/>
      </c>
      <c r="V23" s="14">
        <f>IF(VLOOKUP(B23,Data!$A:$AN,MATCH(yoy!$V$1,Data!$A$1:$AN$1,),)=0,"#N/A",(VLOOKUP(B23,Data!$A:$AN,MATCH(yoy!$V$1,Data!$A$1:$AN$1,),)-VLOOKUP(A23,Data!$A:$AN,MATCH(yoy!$V$1,Data!$A$1:$AN$1,),))/VLOOKUP(A23,Data!$A:$AN,MATCH(yoy!$V$1,Data!$A$1:$AN$1,),))</f>
        <v/>
      </c>
      <c r="W23" s="14">
        <f>IF(VLOOKUP(B23,Data!$A:$AN,MATCH(yoy!$W$1,Data!$A$1:$AN$1,),)=0,"#N/A",(VLOOKUP(B23,Data!$A:$AN,MATCH(yoy!$W$1,Data!$A$1:$AN$1,),)-VLOOKUP(A23,Data!$A:$AN,MATCH(yoy!$W$1,Data!$A$1:$AN$1,),))/VLOOKUP(A23,Data!$A:$AN,MATCH(yoy!$W$1,Data!$A$1:$AN$1,),))</f>
        <v/>
      </c>
      <c r="X23" s="14">
        <f>IF(VLOOKUP(B23,Data!$A:$AN,MATCH(yoy!$X$1,Data!$A$1:$AN$1,),)=0,"#N/A",(VLOOKUP(B23,Data!$A:$AN,MATCH(yoy!$X$1,Data!$A$1:$AN$1,),)-VLOOKUP(A23,Data!$A:$AN,MATCH(yoy!$X$1,Data!$A$1:$AN$1,),))/VLOOKUP(A23,Data!$A:$AN,MATCH(yoy!$X$1,Data!$A$1:$AN$1,),))</f>
        <v/>
      </c>
      <c r="Y23" s="14">
        <f>IF(VLOOKUP(B23,Data!$A:$AN,MATCH(yoy!$Y$1,Data!$A$1:$AN$1,),)=0,"#N/A",(VLOOKUP(B23,Data!$A:$AN,MATCH(yoy!$Y$1,Data!$A$1:$AN$1,),)-VLOOKUP(A23,Data!$A:$AN,MATCH(yoy!$Y$1,Data!$A$1:$AN$1,),))/VLOOKUP(A23,Data!$A:$AN,MATCH(yoy!$Y$1,Data!$A$1:$AN$1,),))</f>
        <v/>
      </c>
      <c r="Z23" s="14">
        <f>IF(VLOOKUP(B23,Data!$A:$AN,MATCH(yoy!$Z$1,Data!$A$1:$AN$1,),)=0,"#N/A",(VLOOKUP(B23,Data!$A:$AN,MATCH(yoy!$Z$1,Data!$A$1:$AN$1,),)-VLOOKUP(A23,Data!$A:$AN,MATCH(yoy!$Z$1,Data!$A$1:$AN$1,),))/VLOOKUP(A23,Data!$A:$AN,MATCH(yoy!$Z$1,Data!$A$1:$AN$1,),))</f>
        <v/>
      </c>
      <c r="AA23" s="14">
        <f>IF(VLOOKUP(B23,Data!$A:$AN,MATCH(yoy!$AA$1,Data!$A$1:$AN$1,),)=0,"#N/A",(VLOOKUP(B23,Data!$A:$AN,MATCH(yoy!$AA$1,Data!$A$1:$AN$1,),)-VLOOKUP(A23,Data!$A:$AN,MATCH(yoy!$AA$1,Data!$A$1:$AN$1,),))/VLOOKUP(A23,Data!$A:$AN,MATCH(yoy!$AA$1,Data!$A$1:$AN$1,),))</f>
        <v/>
      </c>
    </row>
    <row r="24">
      <c r="A24" s="20">
        <f>DATE(YEAR(B24)-1,MONTH(B24),DAY(B24))</f>
        <v/>
      </c>
      <c r="B24" s="12" t="n">
        <v>42583</v>
      </c>
      <c r="C24" s="14">
        <f>IF(VLOOKUP(B24,Data!$A:$AN,MATCH(yoy!$C$1,Data!$A$1:$AN$1,),)=0,"#N/A",(VLOOKUP(B24,Data!$A:$AN,MATCH(yoy!$C$1,Data!$A$1:$AN$1,),)-VLOOKUP(A24,Data!$A:$AN,MATCH(yoy!$C$1,Data!$A$1:$AN$1,),))/VLOOKUP(A24,Data!$A:$AN,MATCH(yoy!$C$1,Data!$A$1:$AN$1,),))</f>
        <v/>
      </c>
      <c r="D24" s="14">
        <f>IF(VLOOKUP(B24,Data!$A:$AN,MATCH(yoy!$D$1,Data!$A$1:$AN$1,),)=0,"#N/A",(VLOOKUP(B24,Data!$A:$AN,MATCH(yoy!$D$1,Data!$A$1:$AN$1,),)-VLOOKUP(A24,Data!$A:$AN,MATCH(yoy!$D$1,Data!$A$1:$AN$1,),))/VLOOKUP(A24,Data!$A:$AN,MATCH(yoy!$D$1,Data!$A$1:$AN$1,),))</f>
        <v/>
      </c>
      <c r="E24" s="14">
        <f>IF(VLOOKUP(B24,Data!$A:$AN,MATCH(yoy!$E$1,Data!$A$1:$AN$1,),)=0,"#N/A",(VLOOKUP(B24,Data!$A:$AN,MATCH(yoy!$E$1,Data!$A$1:$AN$1,),)-VLOOKUP(A24,Data!$A:$AN,MATCH(yoy!$E$1,Data!$A$1:$AN$1,),))/VLOOKUP(A24,Data!$A:$AN,MATCH(yoy!$E$1,Data!$A$1:$AN$1,),))</f>
        <v/>
      </c>
      <c r="F24" s="14">
        <f>IF(VLOOKUP(B24,Data!$A:$AN,MATCH(yoy!$F$1,Data!$A$1:$AN$1,),)=0,"#N/A",(VLOOKUP(B24,Data!$A:$AN,MATCH(yoy!$F$1,Data!$A$1:$AN$1,),)-VLOOKUP(A24,Data!$A:$AN,MATCH(yoy!$F$1,Data!$A$1:$AN$1,),))/VLOOKUP(A24,Data!$A:$AN,MATCH(yoy!$F$1,Data!$A$1:$AN$1,),))</f>
        <v/>
      </c>
      <c r="G24" s="14">
        <f>IF(VLOOKUP(B24,Data!$A:$AN,MATCH(yoy!$G$1,Data!$A$1:$AN$1,),)=0,"#N/A",(VLOOKUP(B24,Data!$A:$AN,MATCH(yoy!$G$1,Data!$A$1:$AN$1,),)-VLOOKUP(A24,Data!$A:$AN,MATCH(yoy!$G$1,Data!$A$1:$AN$1,),))/VLOOKUP(A24,Data!$A:$AN,MATCH(yoy!$G$1,Data!$A$1:$AN$1,),))</f>
        <v/>
      </c>
      <c r="H24" s="14">
        <f>IF(VLOOKUP(B24,Data!$A:$AN,MATCH(yoy!$H$1,Data!$A$1:$AN$1,),)=0,"#N/A",(VLOOKUP(B24,Data!$A:$AN,MATCH(yoy!$H$1,Data!$A$1:$AN$1,),)-VLOOKUP(A24,Data!$A:$AN,MATCH(yoy!$H$1,Data!$A$1:$AN$1,),))/VLOOKUP(A24,Data!$A:$AN,MATCH(yoy!$H$1,Data!$A$1:$AN$1,),))</f>
        <v/>
      </c>
      <c r="I24" s="14">
        <f>IF(VLOOKUP(B24,Data!$A:$AN,MATCH(yoy!$I$1,Data!$A$1:$AN$1,),)=0,"#N/A",(VLOOKUP(B24,Data!$A:$AN,MATCH(yoy!$I$1,Data!$A$1:$AN$1,),)-VLOOKUP(A24,Data!$A:$AN,MATCH(yoy!$I$1,Data!$A$1:$AN$1,),))/VLOOKUP(A24,Data!$A:$AN,MATCH(yoy!$I$1,Data!$A$1:$AN$1,),))</f>
        <v/>
      </c>
      <c r="J24" s="14">
        <f>IF(VLOOKUP(B24,Data!$A:$AN,MATCH(yoy!$J$1,Data!$A$1:$AN$1,),)=0,"#N/A",(VLOOKUP(B24,Data!$A:$AN,MATCH(yoy!$J$1,Data!$A$1:$AN$1,),)-VLOOKUP(A24,Data!$A:$AN,MATCH(yoy!$J$1,Data!$A$1:$AN$1,),))/VLOOKUP(A24,Data!$A:$AN,MATCH(yoy!$J$1,Data!$A$1:$AN$1,),))</f>
        <v/>
      </c>
      <c r="K24" s="14">
        <f>IF(VLOOKUP(B24,Data!$A:$AN,MATCH(yoy!$K$1,Data!$A$1:$AN$1,),)=0,"#N/A",(VLOOKUP(B24,Data!$A:$AN,MATCH(yoy!$K$1,Data!$A$1:$AN$1,),)-VLOOKUP(A24,Data!$A:$AN,MATCH(yoy!$K$1,Data!$A$1:$AN$1,),))/VLOOKUP(A24,Data!$A:$AN,MATCH(yoy!$K$1,Data!$A$1:$AN$1,),))</f>
        <v/>
      </c>
      <c r="L24" s="14">
        <f>IF(VLOOKUP(B24,Data!$A:$AN,MATCH(yoy!$L$1,Data!$A$1:$AN$1,),)=0,"#N/A",(VLOOKUP(B24,Data!$A:$AN,MATCH(yoy!$L$1,Data!$A$1:$AN$1,),)-VLOOKUP(A24,Data!$A:$AN,MATCH(yoy!$L$1,Data!$A$1:$AN$1,),))/VLOOKUP(A24,Data!$A:$AN,MATCH(yoy!$L$1,Data!$A$1:$AN$1,),))</f>
        <v/>
      </c>
      <c r="M24" s="14">
        <f>IF(VLOOKUP(B24,Data!$A:$AN,MATCH(yoy!$M$1,Data!$A$1:$AN$1,),)=0,"#N/A",(VLOOKUP(B24,Data!$A:$AN,MATCH(yoy!$M$1,Data!$A$1:$AN$1,),)-VLOOKUP(A24,Data!$A:$AN,MATCH(yoy!$M$1,Data!$A$1:$AN$1,),))/VLOOKUP(A24,Data!$A:$AN,MATCH(yoy!$M$1,Data!$A$1:$AN$1,),))</f>
        <v/>
      </c>
      <c r="N24" s="14">
        <f>IF(VLOOKUP(B24,Data!$A:$AN,MATCH(yoy!$N$1,Data!$A$1:$AN$1,),)=0,"#N/A",(VLOOKUP(B24,Data!$A:$AN,MATCH(yoy!$N$1,Data!$A$1:$AN$1,),)-VLOOKUP(A24,Data!$A:$AN,MATCH(yoy!$N$1,Data!$A$1:$AN$1,),))/VLOOKUP(A24,Data!$A:$AN,MATCH(yoy!$N$1,Data!$A$1:$AN$1,),))</f>
        <v/>
      </c>
      <c r="O24" s="14">
        <f>IF(VLOOKUP(B24,Data!$A:$AN,MATCH(yoy!$O$1,Data!$A$1:$AN$1,),)=0,"#N/A",(VLOOKUP(B24,Data!$A:$AN,MATCH(yoy!$O$1,Data!$A$1:$AN$1,),)-VLOOKUP(A24,Data!$A:$AN,MATCH(yoy!$O$1,Data!$A$1:$AN$1,),))/VLOOKUP(A24,Data!$A:$AN,MATCH(yoy!$O$1,Data!$A$1:$AN$1,),))</f>
        <v/>
      </c>
      <c r="P24" s="14">
        <f>IF(VLOOKUP(B24,Data!$A:$AN,MATCH(yoy!$P$1,Data!$A$1:$AN$1,),)=0,"#N/A",(VLOOKUP(B24,Data!$A:$AN,MATCH(yoy!$P$1,Data!$A$1:$AN$1,),)-VLOOKUP(A24,Data!$A:$AN,MATCH(yoy!$P$1,Data!$A$1:$AN$1,),))/VLOOKUP(A24,Data!$A:$AN,MATCH(yoy!$P$1,Data!$A$1:$AN$1,),))</f>
        <v/>
      </c>
      <c r="Q24" s="14">
        <f>IF(VLOOKUP(B24,Data!$A:$AN,MATCH(yoy!$Q$1,Data!$A$1:$AN$1,),)=0,"#N/A",(VLOOKUP(B24,Data!$A:$AN,MATCH(yoy!$Q$1,Data!$A$1:$AN$1,),)-VLOOKUP(A24,Data!$A:$AN,MATCH(yoy!$Q$1,Data!$A$1:$AN$1,),))/VLOOKUP(A24,Data!$A:$AN,MATCH(yoy!$Q$1,Data!$A$1:$AN$1,),))</f>
        <v/>
      </c>
      <c r="R24" s="14">
        <f>IF(VLOOKUP(B24,Data!$A:$AN,MATCH(yoy!$R$1,Data!$A$1:$AN$1,),)=0,"#N/A",(VLOOKUP(B24,Data!$A:$AN,MATCH(yoy!$R$1,Data!$A$1:$AN$1,),)-VLOOKUP(A24,Data!$A:$AN,MATCH(yoy!$R$1,Data!$A$1:$AN$1,),))/VLOOKUP(A24,Data!$A:$AN,MATCH(yoy!$R$1,Data!$A$1:$AN$1,),))</f>
        <v/>
      </c>
      <c r="S24" s="14">
        <f>IF(VLOOKUP(B24,Data!$A:$AN,MATCH(yoy!$S$1,Data!$A$1:$AN$1,),)=0,"#N/A",(VLOOKUP(B24,Data!$A:$AN,MATCH(yoy!$S$1,Data!$A$1:$AN$1,),)-VLOOKUP(A24,Data!$A:$AN,MATCH(yoy!$S$1,Data!$A$1:$AN$1,),))/VLOOKUP(A24,Data!$A:$AN,MATCH(yoy!$S$1,Data!$A$1:$AN$1,),))</f>
        <v/>
      </c>
      <c r="T24" s="14">
        <f>IF(VLOOKUP(B24,Data!$A:$AN,MATCH(yoy!$T$1,Data!$A$1:$AN$1,),)=0,"#N/A",(VLOOKUP(B24,Data!$A:$AN,MATCH(yoy!$T$1,Data!$A$1:$AN$1,),)-VLOOKUP(A24,Data!$A:$AN,MATCH(yoy!$T$1,Data!$A$1:$AN$1,),))/VLOOKUP(A24,Data!$A:$AN,MATCH(yoy!$T$1,Data!$A$1:$AN$1,),))</f>
        <v/>
      </c>
      <c r="U24" s="14">
        <f>IF(VLOOKUP(B24,Data!$A:$AN,MATCH(yoy!$U$1,Data!$A$1:$AN$1,),)=0,"#N/A",(VLOOKUP(B24,Data!$A:$AN,MATCH(yoy!$U$1,Data!$A$1:$AN$1,),)-VLOOKUP(A24,Data!$A:$AN,MATCH(yoy!$U$1,Data!$A$1:$AN$1,),))/VLOOKUP(A24,Data!$A:$AN,MATCH(yoy!$U$1,Data!$A$1:$AN$1,),))</f>
        <v/>
      </c>
      <c r="V24" s="14">
        <f>IF(VLOOKUP(B24,Data!$A:$AN,MATCH(yoy!$V$1,Data!$A$1:$AN$1,),)=0,"#N/A",(VLOOKUP(B24,Data!$A:$AN,MATCH(yoy!$V$1,Data!$A$1:$AN$1,),)-VLOOKUP(A24,Data!$A:$AN,MATCH(yoy!$V$1,Data!$A$1:$AN$1,),))/VLOOKUP(A24,Data!$A:$AN,MATCH(yoy!$V$1,Data!$A$1:$AN$1,),))</f>
        <v/>
      </c>
      <c r="W24" s="14">
        <f>IF(VLOOKUP(B24,Data!$A:$AN,MATCH(yoy!$W$1,Data!$A$1:$AN$1,),)=0,"#N/A",(VLOOKUP(B24,Data!$A:$AN,MATCH(yoy!$W$1,Data!$A$1:$AN$1,),)-VLOOKUP(A24,Data!$A:$AN,MATCH(yoy!$W$1,Data!$A$1:$AN$1,),))/VLOOKUP(A24,Data!$A:$AN,MATCH(yoy!$W$1,Data!$A$1:$AN$1,),))</f>
        <v/>
      </c>
      <c r="X24" s="14">
        <f>IF(VLOOKUP(B24,Data!$A:$AN,MATCH(yoy!$X$1,Data!$A$1:$AN$1,),)=0,"#N/A",(VLOOKUP(B24,Data!$A:$AN,MATCH(yoy!$X$1,Data!$A$1:$AN$1,),)-VLOOKUP(A24,Data!$A:$AN,MATCH(yoy!$X$1,Data!$A$1:$AN$1,),))/VLOOKUP(A24,Data!$A:$AN,MATCH(yoy!$X$1,Data!$A$1:$AN$1,),))</f>
        <v/>
      </c>
      <c r="Y24" s="14">
        <f>IF(VLOOKUP(B24,Data!$A:$AN,MATCH(yoy!$Y$1,Data!$A$1:$AN$1,),)=0,"#N/A",(VLOOKUP(B24,Data!$A:$AN,MATCH(yoy!$Y$1,Data!$A$1:$AN$1,),)-VLOOKUP(A24,Data!$A:$AN,MATCH(yoy!$Y$1,Data!$A$1:$AN$1,),))/VLOOKUP(A24,Data!$A:$AN,MATCH(yoy!$Y$1,Data!$A$1:$AN$1,),))</f>
        <v/>
      </c>
      <c r="Z24" s="14">
        <f>IF(VLOOKUP(B24,Data!$A:$AN,MATCH(yoy!$Z$1,Data!$A$1:$AN$1,),)=0,"#N/A",(VLOOKUP(B24,Data!$A:$AN,MATCH(yoy!$Z$1,Data!$A$1:$AN$1,),)-VLOOKUP(A24,Data!$A:$AN,MATCH(yoy!$Z$1,Data!$A$1:$AN$1,),))/VLOOKUP(A24,Data!$A:$AN,MATCH(yoy!$Z$1,Data!$A$1:$AN$1,),))</f>
        <v/>
      </c>
      <c r="AA24" s="14">
        <f>IF(VLOOKUP(B24,Data!$A:$AN,MATCH(yoy!$AA$1,Data!$A$1:$AN$1,),)=0,"#N/A",(VLOOKUP(B24,Data!$A:$AN,MATCH(yoy!$AA$1,Data!$A$1:$AN$1,),)-VLOOKUP(A24,Data!$A:$AN,MATCH(yoy!$AA$1,Data!$A$1:$AN$1,),))/VLOOKUP(A24,Data!$A:$AN,MATCH(yoy!$AA$1,Data!$A$1:$AN$1,),))</f>
        <v/>
      </c>
    </row>
    <row r="25">
      <c r="A25" s="20">
        <f>DATE(YEAR(B25)-1,MONTH(B25),DAY(B25))</f>
        <v/>
      </c>
      <c r="B25" s="12" t="n">
        <v>42614</v>
      </c>
      <c r="C25" s="14">
        <f>IF(VLOOKUP(B25,Data!$A:$AN,MATCH(yoy!$C$1,Data!$A$1:$AN$1,),)=0,"#N/A",(VLOOKUP(B25,Data!$A:$AN,MATCH(yoy!$C$1,Data!$A$1:$AN$1,),)-VLOOKUP(A25,Data!$A:$AN,MATCH(yoy!$C$1,Data!$A$1:$AN$1,),))/VLOOKUP(A25,Data!$A:$AN,MATCH(yoy!$C$1,Data!$A$1:$AN$1,),))</f>
        <v/>
      </c>
      <c r="D25" s="14">
        <f>IF(VLOOKUP(B25,Data!$A:$AN,MATCH(yoy!$D$1,Data!$A$1:$AN$1,),)=0,"#N/A",(VLOOKUP(B25,Data!$A:$AN,MATCH(yoy!$D$1,Data!$A$1:$AN$1,),)-VLOOKUP(A25,Data!$A:$AN,MATCH(yoy!$D$1,Data!$A$1:$AN$1,),))/VLOOKUP(A25,Data!$A:$AN,MATCH(yoy!$D$1,Data!$A$1:$AN$1,),))</f>
        <v/>
      </c>
      <c r="E25" s="14">
        <f>IF(VLOOKUP(B25,Data!$A:$AN,MATCH(yoy!$E$1,Data!$A$1:$AN$1,),)=0,"#N/A",(VLOOKUP(B25,Data!$A:$AN,MATCH(yoy!$E$1,Data!$A$1:$AN$1,),)-VLOOKUP(A25,Data!$A:$AN,MATCH(yoy!$E$1,Data!$A$1:$AN$1,),))/VLOOKUP(A25,Data!$A:$AN,MATCH(yoy!$E$1,Data!$A$1:$AN$1,),))</f>
        <v/>
      </c>
      <c r="F25" s="14">
        <f>IF(VLOOKUP(B25,Data!$A:$AN,MATCH(yoy!$F$1,Data!$A$1:$AN$1,),)=0,"#N/A",(VLOOKUP(B25,Data!$A:$AN,MATCH(yoy!$F$1,Data!$A$1:$AN$1,),)-VLOOKUP(A25,Data!$A:$AN,MATCH(yoy!$F$1,Data!$A$1:$AN$1,),))/VLOOKUP(A25,Data!$A:$AN,MATCH(yoy!$F$1,Data!$A$1:$AN$1,),))</f>
        <v/>
      </c>
      <c r="G25" s="14">
        <f>IF(VLOOKUP(B25,Data!$A:$AN,MATCH(yoy!$G$1,Data!$A$1:$AN$1,),)=0,"#N/A",(VLOOKUP(B25,Data!$A:$AN,MATCH(yoy!$G$1,Data!$A$1:$AN$1,),)-VLOOKUP(A25,Data!$A:$AN,MATCH(yoy!$G$1,Data!$A$1:$AN$1,),))/VLOOKUP(A25,Data!$A:$AN,MATCH(yoy!$G$1,Data!$A$1:$AN$1,),))</f>
        <v/>
      </c>
      <c r="H25" s="14">
        <f>IF(VLOOKUP(B25,Data!$A:$AN,MATCH(yoy!$H$1,Data!$A$1:$AN$1,),)=0,"#N/A",(VLOOKUP(B25,Data!$A:$AN,MATCH(yoy!$H$1,Data!$A$1:$AN$1,),)-VLOOKUP(A25,Data!$A:$AN,MATCH(yoy!$H$1,Data!$A$1:$AN$1,),))/VLOOKUP(A25,Data!$A:$AN,MATCH(yoy!$H$1,Data!$A$1:$AN$1,),))</f>
        <v/>
      </c>
      <c r="I25" s="14">
        <f>IF(VLOOKUP(B25,Data!$A:$AN,MATCH(yoy!$I$1,Data!$A$1:$AN$1,),)=0,"#N/A",(VLOOKUP(B25,Data!$A:$AN,MATCH(yoy!$I$1,Data!$A$1:$AN$1,),)-VLOOKUP(A25,Data!$A:$AN,MATCH(yoy!$I$1,Data!$A$1:$AN$1,),))/VLOOKUP(A25,Data!$A:$AN,MATCH(yoy!$I$1,Data!$A$1:$AN$1,),))</f>
        <v/>
      </c>
      <c r="J25" s="14">
        <f>IF(VLOOKUP(B25,Data!$A:$AN,MATCH(yoy!$J$1,Data!$A$1:$AN$1,),)=0,"#N/A",(VLOOKUP(B25,Data!$A:$AN,MATCH(yoy!$J$1,Data!$A$1:$AN$1,),)-VLOOKUP(A25,Data!$A:$AN,MATCH(yoy!$J$1,Data!$A$1:$AN$1,),))/VLOOKUP(A25,Data!$A:$AN,MATCH(yoy!$J$1,Data!$A$1:$AN$1,),))</f>
        <v/>
      </c>
      <c r="K25" s="14">
        <f>IF(VLOOKUP(B25,Data!$A:$AN,MATCH(yoy!$K$1,Data!$A$1:$AN$1,),)=0,"#N/A",(VLOOKUP(B25,Data!$A:$AN,MATCH(yoy!$K$1,Data!$A$1:$AN$1,),)-VLOOKUP(A25,Data!$A:$AN,MATCH(yoy!$K$1,Data!$A$1:$AN$1,),))/VLOOKUP(A25,Data!$A:$AN,MATCH(yoy!$K$1,Data!$A$1:$AN$1,),))</f>
        <v/>
      </c>
      <c r="L25" s="14">
        <f>IF(VLOOKUP(B25,Data!$A:$AN,MATCH(yoy!$L$1,Data!$A$1:$AN$1,),)=0,"#N/A",(VLOOKUP(B25,Data!$A:$AN,MATCH(yoy!$L$1,Data!$A$1:$AN$1,),)-VLOOKUP(A25,Data!$A:$AN,MATCH(yoy!$L$1,Data!$A$1:$AN$1,),))/VLOOKUP(A25,Data!$A:$AN,MATCH(yoy!$L$1,Data!$A$1:$AN$1,),))</f>
        <v/>
      </c>
      <c r="M25" s="14">
        <f>IF(VLOOKUP(B25,Data!$A:$AN,MATCH(yoy!$M$1,Data!$A$1:$AN$1,),)=0,"#N/A",(VLOOKUP(B25,Data!$A:$AN,MATCH(yoy!$M$1,Data!$A$1:$AN$1,),)-VLOOKUP(A25,Data!$A:$AN,MATCH(yoy!$M$1,Data!$A$1:$AN$1,),))/VLOOKUP(A25,Data!$A:$AN,MATCH(yoy!$M$1,Data!$A$1:$AN$1,),))</f>
        <v/>
      </c>
      <c r="N25" s="14">
        <f>IF(VLOOKUP(B25,Data!$A:$AN,MATCH(yoy!$N$1,Data!$A$1:$AN$1,),)=0,"#N/A",(VLOOKUP(B25,Data!$A:$AN,MATCH(yoy!$N$1,Data!$A$1:$AN$1,),)-VLOOKUP(A25,Data!$A:$AN,MATCH(yoy!$N$1,Data!$A$1:$AN$1,),))/VLOOKUP(A25,Data!$A:$AN,MATCH(yoy!$N$1,Data!$A$1:$AN$1,),))</f>
        <v/>
      </c>
      <c r="O25" s="14">
        <f>IF(VLOOKUP(B25,Data!$A:$AN,MATCH(yoy!$O$1,Data!$A$1:$AN$1,),)=0,"#N/A",(VLOOKUP(B25,Data!$A:$AN,MATCH(yoy!$O$1,Data!$A$1:$AN$1,),)-VLOOKUP(A25,Data!$A:$AN,MATCH(yoy!$O$1,Data!$A$1:$AN$1,),))/VLOOKUP(A25,Data!$A:$AN,MATCH(yoy!$O$1,Data!$A$1:$AN$1,),))</f>
        <v/>
      </c>
      <c r="P25" s="14">
        <f>IF(VLOOKUP(B25,Data!$A:$AN,MATCH(yoy!$P$1,Data!$A$1:$AN$1,),)=0,"#N/A",(VLOOKUP(B25,Data!$A:$AN,MATCH(yoy!$P$1,Data!$A$1:$AN$1,),)-VLOOKUP(A25,Data!$A:$AN,MATCH(yoy!$P$1,Data!$A$1:$AN$1,),))/VLOOKUP(A25,Data!$A:$AN,MATCH(yoy!$P$1,Data!$A$1:$AN$1,),))</f>
        <v/>
      </c>
      <c r="Q25" s="14">
        <f>IF(VLOOKUP(B25,Data!$A:$AN,MATCH(yoy!$Q$1,Data!$A$1:$AN$1,),)=0,"#N/A",(VLOOKUP(B25,Data!$A:$AN,MATCH(yoy!$Q$1,Data!$A$1:$AN$1,),)-VLOOKUP(A25,Data!$A:$AN,MATCH(yoy!$Q$1,Data!$A$1:$AN$1,),))/VLOOKUP(A25,Data!$A:$AN,MATCH(yoy!$Q$1,Data!$A$1:$AN$1,),))</f>
        <v/>
      </c>
      <c r="R25" s="14">
        <f>IF(VLOOKUP(B25,Data!$A:$AN,MATCH(yoy!$R$1,Data!$A$1:$AN$1,),)=0,"#N/A",(VLOOKUP(B25,Data!$A:$AN,MATCH(yoy!$R$1,Data!$A$1:$AN$1,),)-VLOOKUP(A25,Data!$A:$AN,MATCH(yoy!$R$1,Data!$A$1:$AN$1,),))/VLOOKUP(A25,Data!$A:$AN,MATCH(yoy!$R$1,Data!$A$1:$AN$1,),))</f>
        <v/>
      </c>
      <c r="S25" s="14">
        <f>IF(VLOOKUP(B25,Data!$A:$AN,MATCH(yoy!$S$1,Data!$A$1:$AN$1,),)=0,"#N/A",(VLOOKUP(B25,Data!$A:$AN,MATCH(yoy!$S$1,Data!$A$1:$AN$1,),)-VLOOKUP(A25,Data!$A:$AN,MATCH(yoy!$S$1,Data!$A$1:$AN$1,),))/VLOOKUP(A25,Data!$A:$AN,MATCH(yoy!$S$1,Data!$A$1:$AN$1,),))</f>
        <v/>
      </c>
      <c r="T25" s="14">
        <f>IF(VLOOKUP(B25,Data!$A:$AN,MATCH(yoy!$T$1,Data!$A$1:$AN$1,),)=0,"#N/A",(VLOOKUP(B25,Data!$A:$AN,MATCH(yoy!$T$1,Data!$A$1:$AN$1,),)-VLOOKUP(A25,Data!$A:$AN,MATCH(yoy!$T$1,Data!$A$1:$AN$1,),))/VLOOKUP(A25,Data!$A:$AN,MATCH(yoy!$T$1,Data!$A$1:$AN$1,),))</f>
        <v/>
      </c>
      <c r="U25" s="14">
        <f>IF(VLOOKUP(B25,Data!$A:$AN,MATCH(yoy!$U$1,Data!$A$1:$AN$1,),)=0,"#N/A",(VLOOKUP(B25,Data!$A:$AN,MATCH(yoy!$U$1,Data!$A$1:$AN$1,),)-VLOOKUP(A25,Data!$A:$AN,MATCH(yoy!$U$1,Data!$A$1:$AN$1,),))/VLOOKUP(A25,Data!$A:$AN,MATCH(yoy!$U$1,Data!$A$1:$AN$1,),))</f>
        <v/>
      </c>
      <c r="V25" s="14">
        <f>IF(VLOOKUP(B25,Data!$A:$AN,MATCH(yoy!$V$1,Data!$A$1:$AN$1,),)=0,"#N/A",(VLOOKUP(B25,Data!$A:$AN,MATCH(yoy!$V$1,Data!$A$1:$AN$1,),)-VLOOKUP(A25,Data!$A:$AN,MATCH(yoy!$V$1,Data!$A$1:$AN$1,),))/VLOOKUP(A25,Data!$A:$AN,MATCH(yoy!$V$1,Data!$A$1:$AN$1,),))</f>
        <v/>
      </c>
      <c r="W25" s="14">
        <f>IF(VLOOKUP(B25,Data!$A:$AN,MATCH(yoy!$W$1,Data!$A$1:$AN$1,),)=0,"#N/A",(VLOOKUP(B25,Data!$A:$AN,MATCH(yoy!$W$1,Data!$A$1:$AN$1,),)-VLOOKUP(A25,Data!$A:$AN,MATCH(yoy!$W$1,Data!$A$1:$AN$1,),))/VLOOKUP(A25,Data!$A:$AN,MATCH(yoy!$W$1,Data!$A$1:$AN$1,),))</f>
        <v/>
      </c>
      <c r="X25" s="14">
        <f>IF(VLOOKUP(B25,Data!$A:$AN,MATCH(yoy!$X$1,Data!$A$1:$AN$1,),)=0,"#N/A",(VLOOKUP(B25,Data!$A:$AN,MATCH(yoy!$X$1,Data!$A$1:$AN$1,),)-VLOOKUP(A25,Data!$A:$AN,MATCH(yoy!$X$1,Data!$A$1:$AN$1,),))/VLOOKUP(A25,Data!$A:$AN,MATCH(yoy!$X$1,Data!$A$1:$AN$1,),))</f>
        <v/>
      </c>
      <c r="Y25" s="14">
        <f>IF(VLOOKUP(B25,Data!$A:$AN,MATCH(yoy!$Y$1,Data!$A$1:$AN$1,),)=0,"#N/A",(VLOOKUP(B25,Data!$A:$AN,MATCH(yoy!$Y$1,Data!$A$1:$AN$1,),)-VLOOKUP(A25,Data!$A:$AN,MATCH(yoy!$Y$1,Data!$A$1:$AN$1,),))/VLOOKUP(A25,Data!$A:$AN,MATCH(yoy!$Y$1,Data!$A$1:$AN$1,),))</f>
        <v/>
      </c>
      <c r="Z25" s="14">
        <f>IF(VLOOKUP(B25,Data!$A:$AN,MATCH(yoy!$Z$1,Data!$A$1:$AN$1,),)=0,"#N/A",(VLOOKUP(B25,Data!$A:$AN,MATCH(yoy!$Z$1,Data!$A$1:$AN$1,),)-VLOOKUP(A25,Data!$A:$AN,MATCH(yoy!$Z$1,Data!$A$1:$AN$1,),))/VLOOKUP(A25,Data!$A:$AN,MATCH(yoy!$Z$1,Data!$A$1:$AN$1,),))</f>
        <v/>
      </c>
      <c r="AA25" s="14">
        <f>IF(VLOOKUP(B25,Data!$A:$AN,MATCH(yoy!$AA$1,Data!$A$1:$AN$1,),)=0,"#N/A",(VLOOKUP(B25,Data!$A:$AN,MATCH(yoy!$AA$1,Data!$A$1:$AN$1,),)-VLOOKUP(A25,Data!$A:$AN,MATCH(yoy!$AA$1,Data!$A$1:$AN$1,),))/VLOOKUP(A25,Data!$A:$AN,MATCH(yoy!$AA$1,Data!$A$1:$AN$1,),))</f>
        <v/>
      </c>
    </row>
    <row r="26">
      <c r="A26" s="20">
        <f>DATE(YEAR(B26)-1,MONTH(B26),DAY(B26))</f>
        <v/>
      </c>
      <c r="B26" s="12" t="n">
        <v>42644</v>
      </c>
      <c r="C26" s="14">
        <f>IF(VLOOKUP(B26,Data!$A:$AN,MATCH(yoy!$C$1,Data!$A$1:$AN$1,),)=0,"#N/A",(VLOOKUP(B26,Data!$A:$AN,MATCH(yoy!$C$1,Data!$A$1:$AN$1,),)-VLOOKUP(A26,Data!$A:$AN,MATCH(yoy!$C$1,Data!$A$1:$AN$1,),))/VLOOKUP(A26,Data!$A:$AN,MATCH(yoy!$C$1,Data!$A$1:$AN$1,),))</f>
        <v/>
      </c>
      <c r="D26" s="14">
        <f>IF(VLOOKUP(B26,Data!$A:$AN,MATCH(yoy!$D$1,Data!$A$1:$AN$1,),)=0,"#N/A",(VLOOKUP(B26,Data!$A:$AN,MATCH(yoy!$D$1,Data!$A$1:$AN$1,),)-VLOOKUP(A26,Data!$A:$AN,MATCH(yoy!$D$1,Data!$A$1:$AN$1,),))/VLOOKUP(A26,Data!$A:$AN,MATCH(yoy!$D$1,Data!$A$1:$AN$1,),))</f>
        <v/>
      </c>
      <c r="E26" s="14">
        <f>IF(VLOOKUP(B26,Data!$A:$AN,MATCH(yoy!$E$1,Data!$A$1:$AN$1,),)=0,"#N/A",(VLOOKUP(B26,Data!$A:$AN,MATCH(yoy!$E$1,Data!$A$1:$AN$1,),)-VLOOKUP(A26,Data!$A:$AN,MATCH(yoy!$E$1,Data!$A$1:$AN$1,),))/VLOOKUP(A26,Data!$A:$AN,MATCH(yoy!$E$1,Data!$A$1:$AN$1,),))</f>
        <v/>
      </c>
      <c r="F26" s="14">
        <f>IF(VLOOKUP(B26,Data!$A:$AN,MATCH(yoy!$F$1,Data!$A$1:$AN$1,),)=0,"#N/A",(VLOOKUP(B26,Data!$A:$AN,MATCH(yoy!$F$1,Data!$A$1:$AN$1,),)-VLOOKUP(A26,Data!$A:$AN,MATCH(yoy!$F$1,Data!$A$1:$AN$1,),))/VLOOKUP(A26,Data!$A:$AN,MATCH(yoy!$F$1,Data!$A$1:$AN$1,),))</f>
        <v/>
      </c>
      <c r="G26" s="14">
        <f>IF(VLOOKUP(B26,Data!$A:$AN,MATCH(yoy!$G$1,Data!$A$1:$AN$1,),)=0,"#N/A",(VLOOKUP(B26,Data!$A:$AN,MATCH(yoy!$G$1,Data!$A$1:$AN$1,),)-VLOOKUP(A26,Data!$A:$AN,MATCH(yoy!$G$1,Data!$A$1:$AN$1,),))/VLOOKUP(A26,Data!$A:$AN,MATCH(yoy!$G$1,Data!$A$1:$AN$1,),))</f>
        <v/>
      </c>
      <c r="H26" s="14">
        <f>IF(VLOOKUP(B26,Data!$A:$AN,MATCH(yoy!$H$1,Data!$A$1:$AN$1,),)=0,"#N/A",(VLOOKUP(B26,Data!$A:$AN,MATCH(yoy!$H$1,Data!$A$1:$AN$1,),)-VLOOKUP(A26,Data!$A:$AN,MATCH(yoy!$H$1,Data!$A$1:$AN$1,),))/VLOOKUP(A26,Data!$A:$AN,MATCH(yoy!$H$1,Data!$A$1:$AN$1,),))</f>
        <v/>
      </c>
      <c r="I26" s="14">
        <f>IF(VLOOKUP(B26,Data!$A:$AN,MATCH(yoy!$I$1,Data!$A$1:$AN$1,),)=0,"#N/A",(VLOOKUP(B26,Data!$A:$AN,MATCH(yoy!$I$1,Data!$A$1:$AN$1,),)-VLOOKUP(A26,Data!$A:$AN,MATCH(yoy!$I$1,Data!$A$1:$AN$1,),))/VLOOKUP(A26,Data!$A:$AN,MATCH(yoy!$I$1,Data!$A$1:$AN$1,),))</f>
        <v/>
      </c>
      <c r="J26" s="14">
        <f>IF(VLOOKUP(B26,Data!$A:$AN,MATCH(yoy!$J$1,Data!$A$1:$AN$1,),)=0,"#N/A",(VLOOKUP(B26,Data!$A:$AN,MATCH(yoy!$J$1,Data!$A$1:$AN$1,),)-VLOOKUP(A26,Data!$A:$AN,MATCH(yoy!$J$1,Data!$A$1:$AN$1,),))/VLOOKUP(A26,Data!$A:$AN,MATCH(yoy!$J$1,Data!$A$1:$AN$1,),))</f>
        <v/>
      </c>
      <c r="K26" s="14">
        <f>IF(VLOOKUP(B26,Data!$A:$AN,MATCH(yoy!$K$1,Data!$A$1:$AN$1,),)=0,"#N/A",(VLOOKUP(B26,Data!$A:$AN,MATCH(yoy!$K$1,Data!$A$1:$AN$1,),)-VLOOKUP(A26,Data!$A:$AN,MATCH(yoy!$K$1,Data!$A$1:$AN$1,),))/VLOOKUP(A26,Data!$A:$AN,MATCH(yoy!$K$1,Data!$A$1:$AN$1,),))</f>
        <v/>
      </c>
      <c r="L26" s="14">
        <f>IF(VLOOKUP(B26,Data!$A:$AN,MATCH(yoy!$L$1,Data!$A$1:$AN$1,),)=0,"#N/A",(VLOOKUP(B26,Data!$A:$AN,MATCH(yoy!$L$1,Data!$A$1:$AN$1,),)-VLOOKUP(A26,Data!$A:$AN,MATCH(yoy!$L$1,Data!$A$1:$AN$1,),))/VLOOKUP(A26,Data!$A:$AN,MATCH(yoy!$L$1,Data!$A$1:$AN$1,),))</f>
        <v/>
      </c>
      <c r="M26" s="14">
        <f>IF(VLOOKUP(B26,Data!$A:$AN,MATCH(yoy!$M$1,Data!$A$1:$AN$1,),)=0,"#N/A",(VLOOKUP(B26,Data!$A:$AN,MATCH(yoy!$M$1,Data!$A$1:$AN$1,),)-VLOOKUP(A26,Data!$A:$AN,MATCH(yoy!$M$1,Data!$A$1:$AN$1,),))/VLOOKUP(A26,Data!$A:$AN,MATCH(yoy!$M$1,Data!$A$1:$AN$1,),))</f>
        <v/>
      </c>
      <c r="N26" s="14">
        <f>IF(VLOOKUP(B26,Data!$A:$AN,MATCH(yoy!$N$1,Data!$A$1:$AN$1,),)=0,"#N/A",(VLOOKUP(B26,Data!$A:$AN,MATCH(yoy!$N$1,Data!$A$1:$AN$1,),)-VLOOKUP(A26,Data!$A:$AN,MATCH(yoy!$N$1,Data!$A$1:$AN$1,),))/VLOOKUP(A26,Data!$A:$AN,MATCH(yoy!$N$1,Data!$A$1:$AN$1,),))</f>
        <v/>
      </c>
      <c r="O26" s="14">
        <f>IF(VLOOKUP(B26,Data!$A:$AN,MATCH(yoy!$O$1,Data!$A$1:$AN$1,),)=0,"#N/A",(VLOOKUP(B26,Data!$A:$AN,MATCH(yoy!$O$1,Data!$A$1:$AN$1,),)-VLOOKUP(A26,Data!$A:$AN,MATCH(yoy!$O$1,Data!$A$1:$AN$1,),))/VLOOKUP(A26,Data!$A:$AN,MATCH(yoy!$O$1,Data!$A$1:$AN$1,),))</f>
        <v/>
      </c>
      <c r="P26" s="14">
        <f>IF(VLOOKUP(B26,Data!$A:$AN,MATCH(yoy!$P$1,Data!$A$1:$AN$1,),)=0,"#N/A",(VLOOKUP(B26,Data!$A:$AN,MATCH(yoy!$P$1,Data!$A$1:$AN$1,),)-VLOOKUP(A26,Data!$A:$AN,MATCH(yoy!$P$1,Data!$A$1:$AN$1,),))/VLOOKUP(A26,Data!$A:$AN,MATCH(yoy!$P$1,Data!$A$1:$AN$1,),))</f>
        <v/>
      </c>
      <c r="Q26" s="14">
        <f>IF(VLOOKUP(B26,Data!$A:$AN,MATCH(yoy!$Q$1,Data!$A$1:$AN$1,),)=0,"#N/A",(VLOOKUP(B26,Data!$A:$AN,MATCH(yoy!$Q$1,Data!$A$1:$AN$1,),)-VLOOKUP(A26,Data!$A:$AN,MATCH(yoy!$Q$1,Data!$A$1:$AN$1,),))/VLOOKUP(A26,Data!$A:$AN,MATCH(yoy!$Q$1,Data!$A$1:$AN$1,),))</f>
        <v/>
      </c>
      <c r="R26" s="14">
        <f>IF(VLOOKUP(B26,Data!$A:$AN,MATCH(yoy!$R$1,Data!$A$1:$AN$1,),)=0,"#N/A",(VLOOKUP(B26,Data!$A:$AN,MATCH(yoy!$R$1,Data!$A$1:$AN$1,),)-VLOOKUP(A26,Data!$A:$AN,MATCH(yoy!$R$1,Data!$A$1:$AN$1,),))/VLOOKUP(A26,Data!$A:$AN,MATCH(yoy!$R$1,Data!$A$1:$AN$1,),))</f>
        <v/>
      </c>
      <c r="S26" s="14">
        <f>IF(VLOOKUP(B26,Data!$A:$AN,MATCH(yoy!$S$1,Data!$A$1:$AN$1,),)=0,"#N/A",(VLOOKUP(B26,Data!$A:$AN,MATCH(yoy!$S$1,Data!$A$1:$AN$1,),)-VLOOKUP(A26,Data!$A:$AN,MATCH(yoy!$S$1,Data!$A$1:$AN$1,),))/VLOOKUP(A26,Data!$A:$AN,MATCH(yoy!$S$1,Data!$A$1:$AN$1,),))</f>
        <v/>
      </c>
      <c r="T26" s="14">
        <f>IF(VLOOKUP(B26,Data!$A:$AN,MATCH(yoy!$T$1,Data!$A$1:$AN$1,),)=0,"#N/A",(VLOOKUP(B26,Data!$A:$AN,MATCH(yoy!$T$1,Data!$A$1:$AN$1,),)-VLOOKUP(A26,Data!$A:$AN,MATCH(yoy!$T$1,Data!$A$1:$AN$1,),))/VLOOKUP(A26,Data!$A:$AN,MATCH(yoy!$T$1,Data!$A$1:$AN$1,),))</f>
        <v/>
      </c>
      <c r="U26" s="14">
        <f>IF(VLOOKUP(B26,Data!$A:$AN,MATCH(yoy!$U$1,Data!$A$1:$AN$1,),)=0,"#N/A",(VLOOKUP(B26,Data!$A:$AN,MATCH(yoy!$U$1,Data!$A$1:$AN$1,),)-VLOOKUP(A26,Data!$A:$AN,MATCH(yoy!$U$1,Data!$A$1:$AN$1,),))/VLOOKUP(A26,Data!$A:$AN,MATCH(yoy!$U$1,Data!$A$1:$AN$1,),))</f>
        <v/>
      </c>
      <c r="V26" s="14">
        <f>IF(VLOOKUP(B26,Data!$A:$AN,MATCH(yoy!$V$1,Data!$A$1:$AN$1,),)=0,"#N/A",(VLOOKUP(B26,Data!$A:$AN,MATCH(yoy!$V$1,Data!$A$1:$AN$1,),)-VLOOKUP(A26,Data!$A:$AN,MATCH(yoy!$V$1,Data!$A$1:$AN$1,),))/VLOOKUP(A26,Data!$A:$AN,MATCH(yoy!$V$1,Data!$A$1:$AN$1,),))</f>
        <v/>
      </c>
      <c r="W26" s="14">
        <f>IF(VLOOKUP(B26,Data!$A:$AN,MATCH(yoy!$W$1,Data!$A$1:$AN$1,),)=0,"#N/A",(VLOOKUP(B26,Data!$A:$AN,MATCH(yoy!$W$1,Data!$A$1:$AN$1,),)-VLOOKUP(A26,Data!$A:$AN,MATCH(yoy!$W$1,Data!$A$1:$AN$1,),))/VLOOKUP(A26,Data!$A:$AN,MATCH(yoy!$W$1,Data!$A$1:$AN$1,),))</f>
        <v/>
      </c>
      <c r="X26" s="14">
        <f>IF(VLOOKUP(B26,Data!$A:$AN,MATCH(yoy!$X$1,Data!$A$1:$AN$1,),)=0,"#N/A",(VLOOKUP(B26,Data!$A:$AN,MATCH(yoy!$X$1,Data!$A$1:$AN$1,),)-VLOOKUP(A26,Data!$A:$AN,MATCH(yoy!$X$1,Data!$A$1:$AN$1,),))/VLOOKUP(A26,Data!$A:$AN,MATCH(yoy!$X$1,Data!$A$1:$AN$1,),))</f>
        <v/>
      </c>
      <c r="Y26" s="14">
        <f>IF(VLOOKUP(B26,Data!$A:$AN,MATCH(yoy!$Y$1,Data!$A$1:$AN$1,),)=0,"#N/A",(VLOOKUP(B26,Data!$A:$AN,MATCH(yoy!$Y$1,Data!$A$1:$AN$1,),)-VLOOKUP(A26,Data!$A:$AN,MATCH(yoy!$Y$1,Data!$A$1:$AN$1,),))/VLOOKUP(A26,Data!$A:$AN,MATCH(yoy!$Y$1,Data!$A$1:$AN$1,),))</f>
        <v/>
      </c>
      <c r="Z26" s="14">
        <f>IF(VLOOKUP(B26,Data!$A:$AN,MATCH(yoy!$Z$1,Data!$A$1:$AN$1,),)=0,"#N/A",(VLOOKUP(B26,Data!$A:$AN,MATCH(yoy!$Z$1,Data!$A$1:$AN$1,),)-VLOOKUP(A26,Data!$A:$AN,MATCH(yoy!$Z$1,Data!$A$1:$AN$1,),))/VLOOKUP(A26,Data!$A:$AN,MATCH(yoy!$Z$1,Data!$A$1:$AN$1,),))</f>
        <v/>
      </c>
      <c r="AA26" s="14">
        <f>IF(VLOOKUP(B26,Data!$A:$AN,MATCH(yoy!$AA$1,Data!$A$1:$AN$1,),)=0,"#N/A",(VLOOKUP(B26,Data!$A:$AN,MATCH(yoy!$AA$1,Data!$A$1:$AN$1,),)-VLOOKUP(A26,Data!$A:$AN,MATCH(yoy!$AA$1,Data!$A$1:$AN$1,),))/VLOOKUP(A26,Data!$A:$AN,MATCH(yoy!$AA$1,Data!$A$1:$AN$1,),))</f>
        <v/>
      </c>
    </row>
    <row r="27">
      <c r="A27" s="20">
        <f>DATE(YEAR(B27)-1,MONTH(B27),DAY(B27))</f>
        <v/>
      </c>
      <c r="B27" s="12" t="n">
        <v>42675</v>
      </c>
      <c r="C27" s="14">
        <f>IF(VLOOKUP(B27,Data!$A:$AN,MATCH(yoy!$C$1,Data!$A$1:$AN$1,),)=0,"#N/A",(VLOOKUP(B27,Data!$A:$AN,MATCH(yoy!$C$1,Data!$A$1:$AN$1,),)-VLOOKUP(A27,Data!$A:$AN,MATCH(yoy!$C$1,Data!$A$1:$AN$1,),))/VLOOKUP(A27,Data!$A:$AN,MATCH(yoy!$C$1,Data!$A$1:$AN$1,),))</f>
        <v/>
      </c>
      <c r="D27" s="14">
        <f>IF(VLOOKUP(B27,Data!$A:$AN,MATCH(yoy!$D$1,Data!$A$1:$AN$1,),)=0,"#N/A",(VLOOKUP(B27,Data!$A:$AN,MATCH(yoy!$D$1,Data!$A$1:$AN$1,),)-VLOOKUP(A27,Data!$A:$AN,MATCH(yoy!$D$1,Data!$A$1:$AN$1,),))/VLOOKUP(A27,Data!$A:$AN,MATCH(yoy!$D$1,Data!$A$1:$AN$1,),))</f>
        <v/>
      </c>
      <c r="E27" s="14">
        <f>IF(VLOOKUP(B27,Data!$A:$AN,MATCH(yoy!$E$1,Data!$A$1:$AN$1,),)=0,"#N/A",(VLOOKUP(B27,Data!$A:$AN,MATCH(yoy!$E$1,Data!$A$1:$AN$1,),)-VLOOKUP(A27,Data!$A:$AN,MATCH(yoy!$E$1,Data!$A$1:$AN$1,),))/VLOOKUP(A27,Data!$A:$AN,MATCH(yoy!$E$1,Data!$A$1:$AN$1,),))</f>
        <v/>
      </c>
      <c r="F27" s="14">
        <f>IF(VLOOKUP(B27,Data!$A:$AN,MATCH(yoy!$F$1,Data!$A$1:$AN$1,),)=0,"#N/A",(VLOOKUP(B27,Data!$A:$AN,MATCH(yoy!$F$1,Data!$A$1:$AN$1,),)-VLOOKUP(A27,Data!$A:$AN,MATCH(yoy!$F$1,Data!$A$1:$AN$1,),))/VLOOKUP(A27,Data!$A:$AN,MATCH(yoy!$F$1,Data!$A$1:$AN$1,),))</f>
        <v/>
      </c>
      <c r="G27" s="14">
        <f>IF(VLOOKUP(B27,Data!$A:$AN,MATCH(yoy!$G$1,Data!$A$1:$AN$1,),)=0,"#N/A",(VLOOKUP(B27,Data!$A:$AN,MATCH(yoy!$G$1,Data!$A$1:$AN$1,),)-VLOOKUP(A27,Data!$A:$AN,MATCH(yoy!$G$1,Data!$A$1:$AN$1,),))/VLOOKUP(A27,Data!$A:$AN,MATCH(yoy!$G$1,Data!$A$1:$AN$1,),))</f>
        <v/>
      </c>
      <c r="H27" s="14">
        <f>IF(VLOOKUP(B27,Data!$A:$AN,MATCH(yoy!$H$1,Data!$A$1:$AN$1,),)=0,"#N/A",(VLOOKUP(B27,Data!$A:$AN,MATCH(yoy!$H$1,Data!$A$1:$AN$1,),)-VLOOKUP(A27,Data!$A:$AN,MATCH(yoy!$H$1,Data!$A$1:$AN$1,),))/VLOOKUP(A27,Data!$A:$AN,MATCH(yoy!$H$1,Data!$A$1:$AN$1,),))</f>
        <v/>
      </c>
      <c r="I27" s="14">
        <f>IF(VLOOKUP(B27,Data!$A:$AN,MATCH(yoy!$I$1,Data!$A$1:$AN$1,),)=0,"#N/A",(VLOOKUP(B27,Data!$A:$AN,MATCH(yoy!$I$1,Data!$A$1:$AN$1,),)-VLOOKUP(A27,Data!$A:$AN,MATCH(yoy!$I$1,Data!$A$1:$AN$1,),))/VLOOKUP(A27,Data!$A:$AN,MATCH(yoy!$I$1,Data!$A$1:$AN$1,),))</f>
        <v/>
      </c>
      <c r="J27" s="14">
        <f>IF(VLOOKUP(B27,Data!$A:$AN,MATCH(yoy!$J$1,Data!$A$1:$AN$1,),)=0,"#N/A",(VLOOKUP(B27,Data!$A:$AN,MATCH(yoy!$J$1,Data!$A$1:$AN$1,),)-VLOOKUP(A27,Data!$A:$AN,MATCH(yoy!$J$1,Data!$A$1:$AN$1,),))/VLOOKUP(A27,Data!$A:$AN,MATCH(yoy!$J$1,Data!$A$1:$AN$1,),))</f>
        <v/>
      </c>
      <c r="K27" s="14">
        <f>IF(VLOOKUP(B27,Data!$A:$AN,MATCH(yoy!$K$1,Data!$A$1:$AN$1,),)=0,"#N/A",(VLOOKUP(B27,Data!$A:$AN,MATCH(yoy!$K$1,Data!$A$1:$AN$1,),)-VLOOKUP(A27,Data!$A:$AN,MATCH(yoy!$K$1,Data!$A$1:$AN$1,),))/VLOOKUP(A27,Data!$A:$AN,MATCH(yoy!$K$1,Data!$A$1:$AN$1,),))</f>
        <v/>
      </c>
      <c r="L27" s="14">
        <f>IF(VLOOKUP(B27,Data!$A:$AN,MATCH(yoy!$L$1,Data!$A$1:$AN$1,),)=0,"#N/A",(VLOOKUP(B27,Data!$A:$AN,MATCH(yoy!$L$1,Data!$A$1:$AN$1,),)-VLOOKUP(A27,Data!$A:$AN,MATCH(yoy!$L$1,Data!$A$1:$AN$1,),))/VLOOKUP(A27,Data!$A:$AN,MATCH(yoy!$L$1,Data!$A$1:$AN$1,),))</f>
        <v/>
      </c>
      <c r="M27" s="14">
        <f>IF(VLOOKUP(B27,Data!$A:$AN,MATCH(yoy!$M$1,Data!$A$1:$AN$1,),)=0,"#N/A",(VLOOKUP(B27,Data!$A:$AN,MATCH(yoy!$M$1,Data!$A$1:$AN$1,),)-VLOOKUP(A27,Data!$A:$AN,MATCH(yoy!$M$1,Data!$A$1:$AN$1,),))/VLOOKUP(A27,Data!$A:$AN,MATCH(yoy!$M$1,Data!$A$1:$AN$1,),))</f>
        <v/>
      </c>
      <c r="N27" s="14">
        <f>IF(VLOOKUP(B27,Data!$A:$AN,MATCH(yoy!$N$1,Data!$A$1:$AN$1,),)=0,"#N/A",(VLOOKUP(B27,Data!$A:$AN,MATCH(yoy!$N$1,Data!$A$1:$AN$1,),)-VLOOKUP(A27,Data!$A:$AN,MATCH(yoy!$N$1,Data!$A$1:$AN$1,),))/VLOOKUP(A27,Data!$A:$AN,MATCH(yoy!$N$1,Data!$A$1:$AN$1,),))</f>
        <v/>
      </c>
      <c r="O27" s="14">
        <f>IF(VLOOKUP(B27,Data!$A:$AN,MATCH(yoy!$O$1,Data!$A$1:$AN$1,),)=0,"#N/A",(VLOOKUP(B27,Data!$A:$AN,MATCH(yoy!$O$1,Data!$A$1:$AN$1,),)-VLOOKUP(A27,Data!$A:$AN,MATCH(yoy!$O$1,Data!$A$1:$AN$1,),))/VLOOKUP(A27,Data!$A:$AN,MATCH(yoy!$O$1,Data!$A$1:$AN$1,),))</f>
        <v/>
      </c>
      <c r="P27" s="14">
        <f>IF(VLOOKUP(B27,Data!$A:$AN,MATCH(yoy!$P$1,Data!$A$1:$AN$1,),)=0,"#N/A",(VLOOKUP(B27,Data!$A:$AN,MATCH(yoy!$P$1,Data!$A$1:$AN$1,),)-VLOOKUP(A27,Data!$A:$AN,MATCH(yoy!$P$1,Data!$A$1:$AN$1,),))/VLOOKUP(A27,Data!$A:$AN,MATCH(yoy!$P$1,Data!$A$1:$AN$1,),))</f>
        <v/>
      </c>
      <c r="Q27" s="14">
        <f>IF(VLOOKUP(B27,Data!$A:$AN,MATCH(yoy!$Q$1,Data!$A$1:$AN$1,),)=0,"#N/A",(VLOOKUP(B27,Data!$A:$AN,MATCH(yoy!$Q$1,Data!$A$1:$AN$1,),)-VLOOKUP(A27,Data!$A:$AN,MATCH(yoy!$Q$1,Data!$A$1:$AN$1,),))/VLOOKUP(A27,Data!$A:$AN,MATCH(yoy!$Q$1,Data!$A$1:$AN$1,),))</f>
        <v/>
      </c>
      <c r="R27" s="14">
        <f>IF(VLOOKUP(B27,Data!$A:$AN,MATCH(yoy!$R$1,Data!$A$1:$AN$1,),)=0,"#N/A",(VLOOKUP(B27,Data!$A:$AN,MATCH(yoy!$R$1,Data!$A$1:$AN$1,),)-VLOOKUP(A27,Data!$A:$AN,MATCH(yoy!$R$1,Data!$A$1:$AN$1,),))/VLOOKUP(A27,Data!$A:$AN,MATCH(yoy!$R$1,Data!$A$1:$AN$1,),))</f>
        <v/>
      </c>
      <c r="S27" s="14">
        <f>IF(VLOOKUP(B27,Data!$A:$AN,MATCH(yoy!$S$1,Data!$A$1:$AN$1,),)=0,"#N/A",(VLOOKUP(B27,Data!$A:$AN,MATCH(yoy!$S$1,Data!$A$1:$AN$1,),)-VLOOKUP(A27,Data!$A:$AN,MATCH(yoy!$S$1,Data!$A$1:$AN$1,),))/VLOOKUP(A27,Data!$A:$AN,MATCH(yoy!$S$1,Data!$A$1:$AN$1,),))</f>
        <v/>
      </c>
      <c r="T27" s="14">
        <f>IF(VLOOKUP(B27,Data!$A:$AN,MATCH(yoy!$T$1,Data!$A$1:$AN$1,),)=0,"#N/A",(VLOOKUP(B27,Data!$A:$AN,MATCH(yoy!$T$1,Data!$A$1:$AN$1,),)-VLOOKUP(A27,Data!$A:$AN,MATCH(yoy!$T$1,Data!$A$1:$AN$1,),))/VLOOKUP(A27,Data!$A:$AN,MATCH(yoy!$T$1,Data!$A$1:$AN$1,),))</f>
        <v/>
      </c>
      <c r="U27" s="14">
        <f>IF(VLOOKUP(B27,Data!$A:$AN,MATCH(yoy!$U$1,Data!$A$1:$AN$1,),)=0,"#N/A",(VLOOKUP(B27,Data!$A:$AN,MATCH(yoy!$U$1,Data!$A$1:$AN$1,),)-VLOOKUP(A27,Data!$A:$AN,MATCH(yoy!$U$1,Data!$A$1:$AN$1,),))/VLOOKUP(A27,Data!$A:$AN,MATCH(yoy!$U$1,Data!$A$1:$AN$1,),))</f>
        <v/>
      </c>
      <c r="V27" s="14">
        <f>IF(VLOOKUP(B27,Data!$A:$AN,MATCH(yoy!$V$1,Data!$A$1:$AN$1,),)=0,"#N/A",(VLOOKUP(B27,Data!$A:$AN,MATCH(yoy!$V$1,Data!$A$1:$AN$1,),)-VLOOKUP(A27,Data!$A:$AN,MATCH(yoy!$V$1,Data!$A$1:$AN$1,),))/VLOOKUP(A27,Data!$A:$AN,MATCH(yoy!$V$1,Data!$A$1:$AN$1,),))</f>
        <v/>
      </c>
      <c r="W27" s="14">
        <f>IF(VLOOKUP(B27,Data!$A:$AN,MATCH(yoy!$W$1,Data!$A$1:$AN$1,),)=0,"#N/A",(VLOOKUP(B27,Data!$A:$AN,MATCH(yoy!$W$1,Data!$A$1:$AN$1,),)-VLOOKUP(A27,Data!$A:$AN,MATCH(yoy!$W$1,Data!$A$1:$AN$1,),))/VLOOKUP(A27,Data!$A:$AN,MATCH(yoy!$W$1,Data!$A$1:$AN$1,),))</f>
        <v/>
      </c>
      <c r="X27" s="14">
        <f>IF(VLOOKUP(B27,Data!$A:$AN,MATCH(yoy!$X$1,Data!$A$1:$AN$1,),)=0,"#N/A",(VLOOKUP(B27,Data!$A:$AN,MATCH(yoy!$X$1,Data!$A$1:$AN$1,),)-VLOOKUP(A27,Data!$A:$AN,MATCH(yoy!$X$1,Data!$A$1:$AN$1,),))/VLOOKUP(A27,Data!$A:$AN,MATCH(yoy!$X$1,Data!$A$1:$AN$1,),))</f>
        <v/>
      </c>
      <c r="Y27" s="14">
        <f>IF(VLOOKUP(B27,Data!$A:$AN,MATCH(yoy!$Y$1,Data!$A$1:$AN$1,),)=0,"#N/A",(VLOOKUP(B27,Data!$A:$AN,MATCH(yoy!$Y$1,Data!$A$1:$AN$1,),)-VLOOKUP(A27,Data!$A:$AN,MATCH(yoy!$Y$1,Data!$A$1:$AN$1,),))/VLOOKUP(A27,Data!$A:$AN,MATCH(yoy!$Y$1,Data!$A$1:$AN$1,),))</f>
        <v/>
      </c>
      <c r="Z27" s="14">
        <f>IF(VLOOKUP(B27,Data!$A:$AN,MATCH(yoy!$Z$1,Data!$A$1:$AN$1,),)=0,"#N/A",(VLOOKUP(B27,Data!$A:$AN,MATCH(yoy!$Z$1,Data!$A$1:$AN$1,),)-VLOOKUP(A27,Data!$A:$AN,MATCH(yoy!$Z$1,Data!$A$1:$AN$1,),))/VLOOKUP(A27,Data!$A:$AN,MATCH(yoy!$Z$1,Data!$A$1:$AN$1,),))</f>
        <v/>
      </c>
      <c r="AA27" s="14">
        <f>IF(VLOOKUP(B27,Data!$A:$AN,MATCH(yoy!$AA$1,Data!$A$1:$AN$1,),)=0,"#N/A",(VLOOKUP(B27,Data!$A:$AN,MATCH(yoy!$AA$1,Data!$A$1:$AN$1,),)-VLOOKUP(A27,Data!$A:$AN,MATCH(yoy!$AA$1,Data!$A$1:$AN$1,),))/VLOOKUP(A27,Data!$A:$AN,MATCH(yoy!$AA$1,Data!$A$1:$AN$1,),))</f>
        <v/>
      </c>
    </row>
    <row r="28">
      <c r="A28" s="20">
        <f>DATE(YEAR(B28)-1,MONTH(B28),DAY(B28))</f>
        <v/>
      </c>
      <c r="B28" s="12" t="n">
        <v>42705</v>
      </c>
      <c r="C28" s="14">
        <f>IF(VLOOKUP(B28,Data!$A:$AN,MATCH(yoy!$C$1,Data!$A$1:$AN$1,),)=0,"#N/A",(VLOOKUP(B28,Data!$A:$AN,MATCH(yoy!$C$1,Data!$A$1:$AN$1,),)-VLOOKUP(A28,Data!$A:$AN,MATCH(yoy!$C$1,Data!$A$1:$AN$1,),))/VLOOKUP(A28,Data!$A:$AN,MATCH(yoy!$C$1,Data!$A$1:$AN$1,),))</f>
        <v/>
      </c>
      <c r="D28" s="14">
        <f>IF(VLOOKUP(B28,Data!$A:$AN,MATCH(yoy!$D$1,Data!$A$1:$AN$1,),)=0,"#N/A",(VLOOKUP(B28,Data!$A:$AN,MATCH(yoy!$D$1,Data!$A$1:$AN$1,),)-VLOOKUP(A28,Data!$A:$AN,MATCH(yoy!$D$1,Data!$A$1:$AN$1,),))/VLOOKUP(A28,Data!$A:$AN,MATCH(yoy!$D$1,Data!$A$1:$AN$1,),))</f>
        <v/>
      </c>
      <c r="E28" s="14">
        <f>IF(VLOOKUP(B28,Data!$A:$AN,MATCH(yoy!$E$1,Data!$A$1:$AN$1,),)=0,"#N/A",(VLOOKUP(B28,Data!$A:$AN,MATCH(yoy!$E$1,Data!$A$1:$AN$1,),)-VLOOKUP(A28,Data!$A:$AN,MATCH(yoy!$E$1,Data!$A$1:$AN$1,),))/VLOOKUP(A28,Data!$A:$AN,MATCH(yoy!$E$1,Data!$A$1:$AN$1,),))</f>
        <v/>
      </c>
      <c r="F28" s="14">
        <f>IF(VLOOKUP(B28,Data!$A:$AN,MATCH(yoy!$F$1,Data!$A$1:$AN$1,),)=0,"#N/A",(VLOOKUP(B28,Data!$A:$AN,MATCH(yoy!$F$1,Data!$A$1:$AN$1,),)-VLOOKUP(A28,Data!$A:$AN,MATCH(yoy!$F$1,Data!$A$1:$AN$1,),))/VLOOKUP(A28,Data!$A:$AN,MATCH(yoy!$F$1,Data!$A$1:$AN$1,),))</f>
        <v/>
      </c>
      <c r="G28" s="14">
        <f>IF(VLOOKUP(B28,Data!$A:$AN,MATCH(yoy!$G$1,Data!$A$1:$AN$1,),)=0,"#N/A",(VLOOKUP(B28,Data!$A:$AN,MATCH(yoy!$G$1,Data!$A$1:$AN$1,),)-VLOOKUP(A28,Data!$A:$AN,MATCH(yoy!$G$1,Data!$A$1:$AN$1,),))/VLOOKUP(A28,Data!$A:$AN,MATCH(yoy!$G$1,Data!$A$1:$AN$1,),))</f>
        <v/>
      </c>
      <c r="H28" s="14">
        <f>IF(VLOOKUP(B28,Data!$A:$AN,MATCH(yoy!$H$1,Data!$A$1:$AN$1,),)=0,"#N/A",(VLOOKUP(B28,Data!$A:$AN,MATCH(yoy!$H$1,Data!$A$1:$AN$1,),)-VLOOKUP(A28,Data!$A:$AN,MATCH(yoy!$H$1,Data!$A$1:$AN$1,),))/VLOOKUP(A28,Data!$A:$AN,MATCH(yoy!$H$1,Data!$A$1:$AN$1,),))</f>
        <v/>
      </c>
      <c r="I28" s="14">
        <f>IF(VLOOKUP(B28,Data!$A:$AN,MATCH(yoy!$I$1,Data!$A$1:$AN$1,),)=0,"#N/A",(VLOOKUP(B28,Data!$A:$AN,MATCH(yoy!$I$1,Data!$A$1:$AN$1,),)-VLOOKUP(A28,Data!$A:$AN,MATCH(yoy!$I$1,Data!$A$1:$AN$1,),))/VLOOKUP(A28,Data!$A:$AN,MATCH(yoy!$I$1,Data!$A$1:$AN$1,),))</f>
        <v/>
      </c>
      <c r="J28" s="14">
        <f>IF(VLOOKUP(B28,Data!$A:$AN,MATCH(yoy!$J$1,Data!$A$1:$AN$1,),)=0,"#N/A",(VLOOKUP(B28,Data!$A:$AN,MATCH(yoy!$J$1,Data!$A$1:$AN$1,),)-VLOOKUP(A28,Data!$A:$AN,MATCH(yoy!$J$1,Data!$A$1:$AN$1,),))/VLOOKUP(A28,Data!$A:$AN,MATCH(yoy!$J$1,Data!$A$1:$AN$1,),))</f>
        <v/>
      </c>
      <c r="K28" s="14">
        <f>IF(VLOOKUP(B28,Data!$A:$AN,MATCH(yoy!$K$1,Data!$A$1:$AN$1,),)=0,"#N/A",(VLOOKUP(B28,Data!$A:$AN,MATCH(yoy!$K$1,Data!$A$1:$AN$1,),)-VLOOKUP(A28,Data!$A:$AN,MATCH(yoy!$K$1,Data!$A$1:$AN$1,),))/VLOOKUP(A28,Data!$A:$AN,MATCH(yoy!$K$1,Data!$A$1:$AN$1,),))</f>
        <v/>
      </c>
      <c r="L28" s="14">
        <f>IF(VLOOKUP(B28,Data!$A:$AN,MATCH(yoy!$L$1,Data!$A$1:$AN$1,),)=0,"#N/A",(VLOOKUP(B28,Data!$A:$AN,MATCH(yoy!$L$1,Data!$A$1:$AN$1,),)-VLOOKUP(A28,Data!$A:$AN,MATCH(yoy!$L$1,Data!$A$1:$AN$1,),))/VLOOKUP(A28,Data!$A:$AN,MATCH(yoy!$L$1,Data!$A$1:$AN$1,),))</f>
        <v/>
      </c>
      <c r="M28" s="14">
        <f>IF(VLOOKUP(B28,Data!$A:$AN,MATCH(yoy!$M$1,Data!$A$1:$AN$1,),)=0,"#N/A",(VLOOKUP(B28,Data!$A:$AN,MATCH(yoy!$M$1,Data!$A$1:$AN$1,),)-VLOOKUP(A28,Data!$A:$AN,MATCH(yoy!$M$1,Data!$A$1:$AN$1,),))/VLOOKUP(A28,Data!$A:$AN,MATCH(yoy!$M$1,Data!$A$1:$AN$1,),))</f>
        <v/>
      </c>
      <c r="N28" s="14">
        <f>IF(VLOOKUP(B28,Data!$A:$AN,MATCH(yoy!$N$1,Data!$A$1:$AN$1,),)=0,"#N/A",(VLOOKUP(B28,Data!$A:$AN,MATCH(yoy!$N$1,Data!$A$1:$AN$1,),)-VLOOKUP(A28,Data!$A:$AN,MATCH(yoy!$N$1,Data!$A$1:$AN$1,),))/VLOOKUP(A28,Data!$A:$AN,MATCH(yoy!$N$1,Data!$A$1:$AN$1,),))</f>
        <v/>
      </c>
      <c r="O28" s="14">
        <f>IF(VLOOKUP(B28,Data!$A:$AN,MATCH(yoy!$O$1,Data!$A$1:$AN$1,),)=0,"#N/A",(VLOOKUP(B28,Data!$A:$AN,MATCH(yoy!$O$1,Data!$A$1:$AN$1,),)-VLOOKUP(A28,Data!$A:$AN,MATCH(yoy!$O$1,Data!$A$1:$AN$1,),))/VLOOKUP(A28,Data!$A:$AN,MATCH(yoy!$O$1,Data!$A$1:$AN$1,),))</f>
        <v/>
      </c>
      <c r="P28" s="14">
        <f>IF(VLOOKUP(B28,Data!$A:$AN,MATCH(yoy!$P$1,Data!$A$1:$AN$1,),)=0,"#N/A",(VLOOKUP(B28,Data!$A:$AN,MATCH(yoy!$P$1,Data!$A$1:$AN$1,),)-VLOOKUP(A28,Data!$A:$AN,MATCH(yoy!$P$1,Data!$A$1:$AN$1,),))/VLOOKUP(A28,Data!$A:$AN,MATCH(yoy!$P$1,Data!$A$1:$AN$1,),))</f>
        <v/>
      </c>
      <c r="Q28" s="14">
        <f>IF(VLOOKUP(B28,Data!$A:$AN,MATCH(yoy!$Q$1,Data!$A$1:$AN$1,),)=0,"#N/A",(VLOOKUP(B28,Data!$A:$AN,MATCH(yoy!$Q$1,Data!$A$1:$AN$1,),)-VLOOKUP(A28,Data!$A:$AN,MATCH(yoy!$Q$1,Data!$A$1:$AN$1,),))/VLOOKUP(A28,Data!$A:$AN,MATCH(yoy!$Q$1,Data!$A$1:$AN$1,),))</f>
        <v/>
      </c>
      <c r="R28" s="14">
        <f>IF(VLOOKUP(B28,Data!$A:$AN,MATCH(yoy!$R$1,Data!$A$1:$AN$1,),)=0,"#N/A",(VLOOKUP(B28,Data!$A:$AN,MATCH(yoy!$R$1,Data!$A$1:$AN$1,),)-VLOOKUP(A28,Data!$A:$AN,MATCH(yoy!$R$1,Data!$A$1:$AN$1,),))/VLOOKUP(A28,Data!$A:$AN,MATCH(yoy!$R$1,Data!$A$1:$AN$1,),))</f>
        <v/>
      </c>
      <c r="S28" s="14">
        <f>IF(VLOOKUP(B28,Data!$A:$AN,MATCH(yoy!$S$1,Data!$A$1:$AN$1,),)=0,"#N/A",(VLOOKUP(B28,Data!$A:$AN,MATCH(yoy!$S$1,Data!$A$1:$AN$1,),)-VLOOKUP(A28,Data!$A:$AN,MATCH(yoy!$S$1,Data!$A$1:$AN$1,),))/VLOOKUP(A28,Data!$A:$AN,MATCH(yoy!$S$1,Data!$A$1:$AN$1,),))</f>
        <v/>
      </c>
      <c r="T28" s="14">
        <f>IF(VLOOKUP(B28,Data!$A:$AN,MATCH(yoy!$T$1,Data!$A$1:$AN$1,),)=0,"#N/A",(VLOOKUP(B28,Data!$A:$AN,MATCH(yoy!$T$1,Data!$A$1:$AN$1,),)-VLOOKUP(A28,Data!$A:$AN,MATCH(yoy!$T$1,Data!$A$1:$AN$1,),))/VLOOKUP(A28,Data!$A:$AN,MATCH(yoy!$T$1,Data!$A$1:$AN$1,),))</f>
        <v/>
      </c>
      <c r="U28" s="14">
        <f>IF(VLOOKUP(B28,Data!$A:$AN,MATCH(yoy!$U$1,Data!$A$1:$AN$1,),)=0,"#N/A",(VLOOKUP(B28,Data!$A:$AN,MATCH(yoy!$U$1,Data!$A$1:$AN$1,),)-VLOOKUP(A28,Data!$A:$AN,MATCH(yoy!$U$1,Data!$A$1:$AN$1,),))/VLOOKUP(A28,Data!$A:$AN,MATCH(yoy!$U$1,Data!$A$1:$AN$1,),))</f>
        <v/>
      </c>
      <c r="V28" s="14">
        <f>IF(VLOOKUP(B28,Data!$A:$AN,MATCH(yoy!$V$1,Data!$A$1:$AN$1,),)=0,"#N/A",(VLOOKUP(B28,Data!$A:$AN,MATCH(yoy!$V$1,Data!$A$1:$AN$1,),)-VLOOKUP(A28,Data!$A:$AN,MATCH(yoy!$V$1,Data!$A$1:$AN$1,),))/VLOOKUP(A28,Data!$A:$AN,MATCH(yoy!$V$1,Data!$A$1:$AN$1,),))</f>
        <v/>
      </c>
      <c r="W28" s="14">
        <f>IF(VLOOKUP(B28,Data!$A:$AN,MATCH(yoy!$W$1,Data!$A$1:$AN$1,),)=0,"#N/A",(VLOOKUP(B28,Data!$A:$AN,MATCH(yoy!$W$1,Data!$A$1:$AN$1,),)-VLOOKUP(A28,Data!$A:$AN,MATCH(yoy!$W$1,Data!$A$1:$AN$1,),))/VLOOKUP(A28,Data!$A:$AN,MATCH(yoy!$W$1,Data!$A$1:$AN$1,),))</f>
        <v/>
      </c>
      <c r="X28" s="14">
        <f>IF(VLOOKUP(B28,Data!$A:$AN,MATCH(yoy!$X$1,Data!$A$1:$AN$1,),)=0,"#N/A",(VLOOKUP(B28,Data!$A:$AN,MATCH(yoy!$X$1,Data!$A$1:$AN$1,),)-VLOOKUP(A28,Data!$A:$AN,MATCH(yoy!$X$1,Data!$A$1:$AN$1,),))/VLOOKUP(A28,Data!$A:$AN,MATCH(yoy!$X$1,Data!$A$1:$AN$1,),))</f>
        <v/>
      </c>
      <c r="Y28" s="14">
        <f>IF(VLOOKUP(B28,Data!$A:$AN,MATCH(yoy!$Y$1,Data!$A$1:$AN$1,),)=0,"#N/A",(VLOOKUP(B28,Data!$A:$AN,MATCH(yoy!$Y$1,Data!$A$1:$AN$1,),)-VLOOKUP(A28,Data!$A:$AN,MATCH(yoy!$Y$1,Data!$A$1:$AN$1,),))/VLOOKUP(A28,Data!$A:$AN,MATCH(yoy!$Y$1,Data!$A$1:$AN$1,),))</f>
        <v/>
      </c>
      <c r="Z28" s="14">
        <f>IF(VLOOKUP(B28,Data!$A:$AN,MATCH(yoy!$Z$1,Data!$A$1:$AN$1,),)=0,"#N/A",(VLOOKUP(B28,Data!$A:$AN,MATCH(yoy!$Z$1,Data!$A$1:$AN$1,),)-VLOOKUP(A28,Data!$A:$AN,MATCH(yoy!$Z$1,Data!$A$1:$AN$1,),))/VLOOKUP(A28,Data!$A:$AN,MATCH(yoy!$Z$1,Data!$A$1:$AN$1,),))</f>
        <v/>
      </c>
      <c r="AA28" s="14">
        <f>IF(VLOOKUP(B28,Data!$A:$AN,MATCH(yoy!$AA$1,Data!$A$1:$AN$1,),)=0,"#N/A",(VLOOKUP(B28,Data!$A:$AN,MATCH(yoy!$AA$1,Data!$A$1:$AN$1,),)-VLOOKUP(A28,Data!$A:$AN,MATCH(yoy!$AA$1,Data!$A$1:$AN$1,),))/VLOOKUP(A28,Data!$A:$AN,MATCH(yoy!$AA$1,Data!$A$1:$AN$1,),))</f>
        <v/>
      </c>
    </row>
    <row r="29">
      <c r="A29" s="20">
        <f>DATE(YEAR(B29)-1,MONTH(B29),DAY(B29))</f>
        <v/>
      </c>
      <c r="B29" s="12" t="n">
        <v>42736</v>
      </c>
      <c r="C29" s="14">
        <f>IF(VLOOKUP(B29,Data!$A:$AN,MATCH(yoy!$C$1,Data!$A$1:$AN$1,),)=0,"#N/A",(VLOOKUP(B29,Data!$A:$AN,MATCH(yoy!$C$1,Data!$A$1:$AN$1,),)-VLOOKUP(A29,Data!$A:$AN,MATCH(yoy!$C$1,Data!$A$1:$AN$1,),))/VLOOKUP(A29,Data!$A:$AN,MATCH(yoy!$C$1,Data!$A$1:$AN$1,),))</f>
        <v/>
      </c>
      <c r="D29" s="14">
        <f>IF(VLOOKUP(B29,Data!$A:$AN,MATCH(yoy!$D$1,Data!$A$1:$AN$1,),)=0,"#N/A",(VLOOKUP(B29,Data!$A:$AN,MATCH(yoy!$D$1,Data!$A$1:$AN$1,),)-VLOOKUP(A29,Data!$A:$AN,MATCH(yoy!$D$1,Data!$A$1:$AN$1,),))/VLOOKUP(A29,Data!$A:$AN,MATCH(yoy!$D$1,Data!$A$1:$AN$1,),))</f>
        <v/>
      </c>
      <c r="E29" s="14">
        <f>IF(VLOOKUP(B29,Data!$A:$AN,MATCH(yoy!$E$1,Data!$A$1:$AN$1,),)=0,"#N/A",(VLOOKUP(B29,Data!$A:$AN,MATCH(yoy!$E$1,Data!$A$1:$AN$1,),)-VLOOKUP(A29,Data!$A:$AN,MATCH(yoy!$E$1,Data!$A$1:$AN$1,),))/VLOOKUP(A29,Data!$A:$AN,MATCH(yoy!$E$1,Data!$A$1:$AN$1,),))</f>
        <v/>
      </c>
      <c r="F29" s="14">
        <f>IF(VLOOKUP(B29,Data!$A:$AN,MATCH(yoy!$F$1,Data!$A$1:$AN$1,),)=0,"#N/A",(VLOOKUP(B29,Data!$A:$AN,MATCH(yoy!$F$1,Data!$A$1:$AN$1,),)-VLOOKUP(A29,Data!$A:$AN,MATCH(yoy!$F$1,Data!$A$1:$AN$1,),))/VLOOKUP(A29,Data!$A:$AN,MATCH(yoy!$F$1,Data!$A$1:$AN$1,),))</f>
        <v/>
      </c>
      <c r="G29" s="14">
        <f>IF(VLOOKUP(B29,Data!$A:$AN,MATCH(yoy!$G$1,Data!$A$1:$AN$1,),)=0,"#N/A",(VLOOKUP(B29,Data!$A:$AN,MATCH(yoy!$G$1,Data!$A$1:$AN$1,),)-VLOOKUP(A29,Data!$A:$AN,MATCH(yoy!$G$1,Data!$A$1:$AN$1,),))/VLOOKUP(A29,Data!$A:$AN,MATCH(yoy!$G$1,Data!$A$1:$AN$1,),))</f>
        <v/>
      </c>
      <c r="H29" s="14">
        <f>IF(VLOOKUP(B29,Data!$A:$AN,MATCH(yoy!$H$1,Data!$A$1:$AN$1,),)=0,"#N/A",(VLOOKUP(B29,Data!$A:$AN,MATCH(yoy!$H$1,Data!$A$1:$AN$1,),)-VLOOKUP(A29,Data!$A:$AN,MATCH(yoy!$H$1,Data!$A$1:$AN$1,),))/VLOOKUP(A29,Data!$A:$AN,MATCH(yoy!$H$1,Data!$A$1:$AN$1,),))</f>
        <v/>
      </c>
      <c r="I29" s="14">
        <f>IF(VLOOKUP(B29,Data!$A:$AN,MATCH(yoy!$I$1,Data!$A$1:$AN$1,),)=0,"#N/A",(VLOOKUP(B29,Data!$A:$AN,MATCH(yoy!$I$1,Data!$A$1:$AN$1,),)-VLOOKUP(A29,Data!$A:$AN,MATCH(yoy!$I$1,Data!$A$1:$AN$1,),))/VLOOKUP(A29,Data!$A:$AN,MATCH(yoy!$I$1,Data!$A$1:$AN$1,),))</f>
        <v/>
      </c>
      <c r="J29" s="14">
        <f>IF(VLOOKUP(B29,Data!$A:$AN,MATCH(yoy!$J$1,Data!$A$1:$AN$1,),)=0,"#N/A",(VLOOKUP(B29,Data!$A:$AN,MATCH(yoy!$J$1,Data!$A$1:$AN$1,),)-VLOOKUP(A29,Data!$A:$AN,MATCH(yoy!$J$1,Data!$A$1:$AN$1,),))/VLOOKUP(A29,Data!$A:$AN,MATCH(yoy!$J$1,Data!$A$1:$AN$1,),))</f>
        <v/>
      </c>
      <c r="K29" s="14">
        <f>IF(VLOOKUP(B29,Data!$A:$AN,MATCH(yoy!$K$1,Data!$A$1:$AN$1,),)=0,"#N/A",(VLOOKUP(B29,Data!$A:$AN,MATCH(yoy!$K$1,Data!$A$1:$AN$1,),)-VLOOKUP(A29,Data!$A:$AN,MATCH(yoy!$K$1,Data!$A$1:$AN$1,),))/VLOOKUP(A29,Data!$A:$AN,MATCH(yoy!$K$1,Data!$A$1:$AN$1,),))</f>
        <v/>
      </c>
      <c r="L29" s="14">
        <f>IF(VLOOKUP(B29,Data!$A:$AN,MATCH(yoy!$L$1,Data!$A$1:$AN$1,),)=0,"#N/A",(VLOOKUP(B29,Data!$A:$AN,MATCH(yoy!$L$1,Data!$A$1:$AN$1,),)-VLOOKUP(A29,Data!$A:$AN,MATCH(yoy!$L$1,Data!$A$1:$AN$1,),))/VLOOKUP(A29,Data!$A:$AN,MATCH(yoy!$L$1,Data!$A$1:$AN$1,),))</f>
        <v/>
      </c>
      <c r="M29" s="14">
        <f>IF(VLOOKUP(B29,Data!$A:$AN,MATCH(yoy!$M$1,Data!$A$1:$AN$1,),)=0,"#N/A",(VLOOKUP(B29,Data!$A:$AN,MATCH(yoy!$M$1,Data!$A$1:$AN$1,),)-VLOOKUP(A29,Data!$A:$AN,MATCH(yoy!$M$1,Data!$A$1:$AN$1,),))/VLOOKUP(A29,Data!$A:$AN,MATCH(yoy!$M$1,Data!$A$1:$AN$1,),))</f>
        <v/>
      </c>
      <c r="N29" s="14">
        <f>IF(VLOOKUP(B29,Data!$A:$AN,MATCH(yoy!$N$1,Data!$A$1:$AN$1,),)=0,"#N/A",(VLOOKUP(B29,Data!$A:$AN,MATCH(yoy!$N$1,Data!$A$1:$AN$1,),)-VLOOKUP(A29,Data!$A:$AN,MATCH(yoy!$N$1,Data!$A$1:$AN$1,),))/VLOOKUP(A29,Data!$A:$AN,MATCH(yoy!$N$1,Data!$A$1:$AN$1,),))</f>
        <v/>
      </c>
      <c r="O29" s="14">
        <f>IF(VLOOKUP(B29,Data!$A:$AN,MATCH(yoy!$O$1,Data!$A$1:$AN$1,),)=0,"#N/A",(VLOOKUP(B29,Data!$A:$AN,MATCH(yoy!$O$1,Data!$A$1:$AN$1,),)-VLOOKUP(A29,Data!$A:$AN,MATCH(yoy!$O$1,Data!$A$1:$AN$1,),))/VLOOKUP(A29,Data!$A:$AN,MATCH(yoy!$O$1,Data!$A$1:$AN$1,),))</f>
        <v/>
      </c>
      <c r="P29" s="14">
        <f>IF(VLOOKUP(B29,Data!$A:$AN,MATCH(yoy!$P$1,Data!$A$1:$AN$1,),)=0,"#N/A",(VLOOKUP(B29,Data!$A:$AN,MATCH(yoy!$P$1,Data!$A$1:$AN$1,),)-VLOOKUP(A29,Data!$A:$AN,MATCH(yoy!$P$1,Data!$A$1:$AN$1,),))/VLOOKUP(A29,Data!$A:$AN,MATCH(yoy!$P$1,Data!$A$1:$AN$1,),))</f>
        <v/>
      </c>
      <c r="Q29" s="14">
        <f>IF(VLOOKUP(B29,Data!$A:$AN,MATCH(yoy!$Q$1,Data!$A$1:$AN$1,),)=0,"#N/A",(VLOOKUP(B29,Data!$A:$AN,MATCH(yoy!$Q$1,Data!$A$1:$AN$1,),)-VLOOKUP(A29,Data!$A:$AN,MATCH(yoy!$Q$1,Data!$A$1:$AN$1,),))/VLOOKUP(A29,Data!$A:$AN,MATCH(yoy!$Q$1,Data!$A$1:$AN$1,),))</f>
        <v/>
      </c>
      <c r="R29" s="14">
        <f>IF(VLOOKUP(B29,Data!$A:$AN,MATCH(yoy!$R$1,Data!$A$1:$AN$1,),)=0,"#N/A",(VLOOKUP(B29,Data!$A:$AN,MATCH(yoy!$R$1,Data!$A$1:$AN$1,),)-VLOOKUP(A29,Data!$A:$AN,MATCH(yoy!$R$1,Data!$A$1:$AN$1,),))/VLOOKUP(A29,Data!$A:$AN,MATCH(yoy!$R$1,Data!$A$1:$AN$1,),))</f>
        <v/>
      </c>
      <c r="S29" s="14">
        <f>IF(VLOOKUP(B29,Data!$A:$AN,MATCH(yoy!$S$1,Data!$A$1:$AN$1,),)=0,"#N/A",(VLOOKUP(B29,Data!$A:$AN,MATCH(yoy!$S$1,Data!$A$1:$AN$1,),)-VLOOKUP(A29,Data!$A:$AN,MATCH(yoy!$S$1,Data!$A$1:$AN$1,),))/VLOOKUP(A29,Data!$A:$AN,MATCH(yoy!$S$1,Data!$A$1:$AN$1,),))</f>
        <v/>
      </c>
      <c r="T29" s="14">
        <f>IF(VLOOKUP(B29,Data!$A:$AN,MATCH(yoy!$T$1,Data!$A$1:$AN$1,),)=0,"#N/A",(VLOOKUP(B29,Data!$A:$AN,MATCH(yoy!$T$1,Data!$A$1:$AN$1,),)-VLOOKUP(A29,Data!$A:$AN,MATCH(yoy!$T$1,Data!$A$1:$AN$1,),))/VLOOKUP(A29,Data!$A:$AN,MATCH(yoy!$T$1,Data!$A$1:$AN$1,),))</f>
        <v/>
      </c>
      <c r="U29" s="14">
        <f>IF(VLOOKUP(B29,Data!$A:$AN,MATCH(yoy!$U$1,Data!$A$1:$AN$1,),)=0,"#N/A",(VLOOKUP(B29,Data!$A:$AN,MATCH(yoy!$U$1,Data!$A$1:$AN$1,),)-VLOOKUP(A29,Data!$A:$AN,MATCH(yoy!$U$1,Data!$A$1:$AN$1,),))/VLOOKUP(A29,Data!$A:$AN,MATCH(yoy!$U$1,Data!$A$1:$AN$1,),))</f>
        <v/>
      </c>
      <c r="V29" s="14">
        <f>IF(VLOOKUP(B29,Data!$A:$AN,MATCH(yoy!$V$1,Data!$A$1:$AN$1,),)=0,"#N/A",(VLOOKUP(B29,Data!$A:$AN,MATCH(yoy!$V$1,Data!$A$1:$AN$1,),)-VLOOKUP(A29,Data!$A:$AN,MATCH(yoy!$V$1,Data!$A$1:$AN$1,),))/VLOOKUP(A29,Data!$A:$AN,MATCH(yoy!$V$1,Data!$A$1:$AN$1,),))</f>
        <v/>
      </c>
      <c r="W29" s="14">
        <f>IF(VLOOKUP(B29,Data!$A:$AN,MATCH(yoy!$W$1,Data!$A$1:$AN$1,),)=0,"#N/A",(VLOOKUP(B29,Data!$A:$AN,MATCH(yoy!$W$1,Data!$A$1:$AN$1,),)-VLOOKUP(A29,Data!$A:$AN,MATCH(yoy!$W$1,Data!$A$1:$AN$1,),))/VLOOKUP(A29,Data!$A:$AN,MATCH(yoy!$W$1,Data!$A$1:$AN$1,),))</f>
        <v/>
      </c>
      <c r="X29" s="14">
        <f>IF(VLOOKUP(B29,Data!$A:$AN,MATCH(yoy!$X$1,Data!$A$1:$AN$1,),)=0,"#N/A",(VLOOKUP(B29,Data!$A:$AN,MATCH(yoy!$X$1,Data!$A$1:$AN$1,),)-VLOOKUP(A29,Data!$A:$AN,MATCH(yoy!$X$1,Data!$A$1:$AN$1,),))/VLOOKUP(A29,Data!$A:$AN,MATCH(yoy!$X$1,Data!$A$1:$AN$1,),))</f>
        <v/>
      </c>
      <c r="Y29" s="14">
        <f>IF(VLOOKUP(B29,Data!$A:$AN,MATCH(yoy!$Y$1,Data!$A$1:$AN$1,),)=0,"#N/A",(VLOOKUP(B29,Data!$A:$AN,MATCH(yoy!$Y$1,Data!$A$1:$AN$1,),)-VLOOKUP(A29,Data!$A:$AN,MATCH(yoy!$Y$1,Data!$A$1:$AN$1,),))/VLOOKUP(A29,Data!$A:$AN,MATCH(yoy!$Y$1,Data!$A$1:$AN$1,),))</f>
        <v/>
      </c>
      <c r="Z29" s="14">
        <f>IF(VLOOKUP(B29,Data!$A:$AN,MATCH(yoy!$Z$1,Data!$A$1:$AN$1,),)=0,"#N/A",(VLOOKUP(B29,Data!$A:$AN,MATCH(yoy!$Z$1,Data!$A$1:$AN$1,),)-VLOOKUP(A29,Data!$A:$AN,MATCH(yoy!$Z$1,Data!$A$1:$AN$1,),))/VLOOKUP(A29,Data!$A:$AN,MATCH(yoy!$Z$1,Data!$A$1:$AN$1,),))</f>
        <v/>
      </c>
      <c r="AA29" s="14">
        <f>IF(VLOOKUP(B29,Data!$A:$AN,MATCH(yoy!$AA$1,Data!$A$1:$AN$1,),)=0,"#N/A",(VLOOKUP(B29,Data!$A:$AN,MATCH(yoy!$AA$1,Data!$A$1:$AN$1,),)-VLOOKUP(A29,Data!$A:$AN,MATCH(yoy!$AA$1,Data!$A$1:$AN$1,),))/VLOOKUP(A29,Data!$A:$AN,MATCH(yoy!$AA$1,Data!$A$1:$AN$1,),))</f>
        <v/>
      </c>
    </row>
    <row r="30">
      <c r="A30" s="20">
        <f>DATE(YEAR(B30)-1,MONTH(B30),DAY(B30))</f>
        <v/>
      </c>
      <c r="B30" s="12" t="n">
        <v>42767</v>
      </c>
      <c r="C30" s="14">
        <f>IF(VLOOKUP(B30,Data!$A:$AN,MATCH(yoy!$C$1,Data!$A$1:$AN$1,),)=0,"#N/A",(VLOOKUP(B30,Data!$A:$AN,MATCH(yoy!$C$1,Data!$A$1:$AN$1,),)-VLOOKUP(A30,Data!$A:$AN,MATCH(yoy!$C$1,Data!$A$1:$AN$1,),))/VLOOKUP(A30,Data!$A:$AN,MATCH(yoy!$C$1,Data!$A$1:$AN$1,),))</f>
        <v/>
      </c>
      <c r="D30" s="14">
        <f>IF(VLOOKUP(B30,Data!$A:$AN,MATCH(yoy!$D$1,Data!$A$1:$AN$1,),)=0,"#N/A",(VLOOKUP(B30,Data!$A:$AN,MATCH(yoy!$D$1,Data!$A$1:$AN$1,),)-VLOOKUP(A30,Data!$A:$AN,MATCH(yoy!$D$1,Data!$A$1:$AN$1,),))/VLOOKUP(A30,Data!$A:$AN,MATCH(yoy!$D$1,Data!$A$1:$AN$1,),))</f>
        <v/>
      </c>
      <c r="E30" s="14">
        <f>IF(VLOOKUP(B30,Data!$A:$AN,MATCH(yoy!$E$1,Data!$A$1:$AN$1,),)=0,"#N/A",(VLOOKUP(B30,Data!$A:$AN,MATCH(yoy!$E$1,Data!$A$1:$AN$1,),)-VLOOKUP(A30,Data!$A:$AN,MATCH(yoy!$E$1,Data!$A$1:$AN$1,),))/VLOOKUP(A30,Data!$A:$AN,MATCH(yoy!$E$1,Data!$A$1:$AN$1,),))</f>
        <v/>
      </c>
      <c r="F30" s="14">
        <f>IF(VLOOKUP(B30,Data!$A:$AN,MATCH(yoy!$F$1,Data!$A$1:$AN$1,),)=0,"#N/A",(VLOOKUP(B30,Data!$A:$AN,MATCH(yoy!$F$1,Data!$A$1:$AN$1,),)-VLOOKUP(A30,Data!$A:$AN,MATCH(yoy!$F$1,Data!$A$1:$AN$1,),))/VLOOKUP(A30,Data!$A:$AN,MATCH(yoy!$F$1,Data!$A$1:$AN$1,),))</f>
        <v/>
      </c>
      <c r="G30" s="14">
        <f>IF(VLOOKUP(B30,Data!$A:$AN,MATCH(yoy!$G$1,Data!$A$1:$AN$1,),)=0,"#N/A",(VLOOKUP(B30,Data!$A:$AN,MATCH(yoy!$G$1,Data!$A$1:$AN$1,),)-VLOOKUP(A30,Data!$A:$AN,MATCH(yoy!$G$1,Data!$A$1:$AN$1,),))/VLOOKUP(A30,Data!$A:$AN,MATCH(yoy!$G$1,Data!$A$1:$AN$1,),))</f>
        <v/>
      </c>
      <c r="H30" s="14">
        <f>IF(VLOOKUP(B30,Data!$A:$AN,MATCH(yoy!$H$1,Data!$A$1:$AN$1,),)=0,"#N/A",(VLOOKUP(B30,Data!$A:$AN,MATCH(yoy!$H$1,Data!$A$1:$AN$1,),)-VLOOKUP(A30,Data!$A:$AN,MATCH(yoy!$H$1,Data!$A$1:$AN$1,),))/VLOOKUP(A30,Data!$A:$AN,MATCH(yoy!$H$1,Data!$A$1:$AN$1,),))</f>
        <v/>
      </c>
      <c r="I30" s="14">
        <f>IF(VLOOKUP(B30,Data!$A:$AN,MATCH(yoy!$I$1,Data!$A$1:$AN$1,),)=0,"#N/A",(VLOOKUP(B30,Data!$A:$AN,MATCH(yoy!$I$1,Data!$A$1:$AN$1,),)-VLOOKUP(A30,Data!$A:$AN,MATCH(yoy!$I$1,Data!$A$1:$AN$1,),))/VLOOKUP(A30,Data!$A:$AN,MATCH(yoy!$I$1,Data!$A$1:$AN$1,),))</f>
        <v/>
      </c>
      <c r="J30" s="14">
        <f>IF(VLOOKUP(B30,Data!$A:$AN,MATCH(yoy!$J$1,Data!$A$1:$AN$1,),)=0,"#N/A",(VLOOKUP(B30,Data!$A:$AN,MATCH(yoy!$J$1,Data!$A$1:$AN$1,),)-VLOOKUP(A30,Data!$A:$AN,MATCH(yoy!$J$1,Data!$A$1:$AN$1,),))/VLOOKUP(A30,Data!$A:$AN,MATCH(yoy!$J$1,Data!$A$1:$AN$1,),))</f>
        <v/>
      </c>
      <c r="K30" s="14">
        <f>IF(VLOOKUP(B30,Data!$A:$AN,MATCH(yoy!$K$1,Data!$A$1:$AN$1,),)=0,"#N/A",(VLOOKUP(B30,Data!$A:$AN,MATCH(yoy!$K$1,Data!$A$1:$AN$1,),)-VLOOKUP(A30,Data!$A:$AN,MATCH(yoy!$K$1,Data!$A$1:$AN$1,),))/VLOOKUP(A30,Data!$A:$AN,MATCH(yoy!$K$1,Data!$A$1:$AN$1,),))</f>
        <v/>
      </c>
      <c r="L30" s="14">
        <f>IF(VLOOKUP(B30,Data!$A:$AN,MATCH(yoy!$L$1,Data!$A$1:$AN$1,),)=0,"#N/A",(VLOOKUP(B30,Data!$A:$AN,MATCH(yoy!$L$1,Data!$A$1:$AN$1,),)-VLOOKUP(A30,Data!$A:$AN,MATCH(yoy!$L$1,Data!$A$1:$AN$1,),))/VLOOKUP(A30,Data!$A:$AN,MATCH(yoy!$L$1,Data!$A$1:$AN$1,),))</f>
        <v/>
      </c>
      <c r="M30" s="14">
        <f>IF(VLOOKUP(B30,Data!$A:$AN,MATCH(yoy!$M$1,Data!$A$1:$AN$1,),)=0,"#N/A",(VLOOKUP(B30,Data!$A:$AN,MATCH(yoy!$M$1,Data!$A$1:$AN$1,),)-VLOOKUP(A30,Data!$A:$AN,MATCH(yoy!$M$1,Data!$A$1:$AN$1,),))/VLOOKUP(A30,Data!$A:$AN,MATCH(yoy!$M$1,Data!$A$1:$AN$1,),))</f>
        <v/>
      </c>
      <c r="N30" s="14">
        <f>IF(VLOOKUP(B30,Data!$A:$AN,MATCH(yoy!$N$1,Data!$A$1:$AN$1,),)=0,"#N/A",(VLOOKUP(B30,Data!$A:$AN,MATCH(yoy!$N$1,Data!$A$1:$AN$1,),)-VLOOKUP(A30,Data!$A:$AN,MATCH(yoy!$N$1,Data!$A$1:$AN$1,),))/VLOOKUP(A30,Data!$A:$AN,MATCH(yoy!$N$1,Data!$A$1:$AN$1,),))</f>
        <v/>
      </c>
      <c r="O30" s="14">
        <f>IF(VLOOKUP(B30,Data!$A:$AN,MATCH(yoy!$O$1,Data!$A$1:$AN$1,),)=0,"#N/A",(VLOOKUP(B30,Data!$A:$AN,MATCH(yoy!$O$1,Data!$A$1:$AN$1,),)-VLOOKUP(A30,Data!$A:$AN,MATCH(yoy!$O$1,Data!$A$1:$AN$1,),))/VLOOKUP(A30,Data!$A:$AN,MATCH(yoy!$O$1,Data!$A$1:$AN$1,),))</f>
        <v/>
      </c>
      <c r="P30" s="14">
        <f>IF(VLOOKUP(B30,Data!$A:$AN,MATCH(yoy!$P$1,Data!$A$1:$AN$1,),)=0,"#N/A",(VLOOKUP(B30,Data!$A:$AN,MATCH(yoy!$P$1,Data!$A$1:$AN$1,),)-VLOOKUP(A30,Data!$A:$AN,MATCH(yoy!$P$1,Data!$A$1:$AN$1,),))/VLOOKUP(A30,Data!$A:$AN,MATCH(yoy!$P$1,Data!$A$1:$AN$1,),))</f>
        <v/>
      </c>
      <c r="Q30" s="14">
        <f>IF(VLOOKUP(B30,Data!$A:$AN,MATCH(yoy!$Q$1,Data!$A$1:$AN$1,),)=0,"#N/A",(VLOOKUP(B30,Data!$A:$AN,MATCH(yoy!$Q$1,Data!$A$1:$AN$1,),)-VLOOKUP(A30,Data!$A:$AN,MATCH(yoy!$Q$1,Data!$A$1:$AN$1,),))/VLOOKUP(A30,Data!$A:$AN,MATCH(yoy!$Q$1,Data!$A$1:$AN$1,),))</f>
        <v/>
      </c>
      <c r="R30" s="14">
        <f>IF(VLOOKUP(B30,Data!$A:$AN,MATCH(yoy!$R$1,Data!$A$1:$AN$1,),)=0,"#N/A",(VLOOKUP(B30,Data!$A:$AN,MATCH(yoy!$R$1,Data!$A$1:$AN$1,),)-VLOOKUP(A30,Data!$A:$AN,MATCH(yoy!$R$1,Data!$A$1:$AN$1,),))/VLOOKUP(A30,Data!$A:$AN,MATCH(yoy!$R$1,Data!$A$1:$AN$1,),))</f>
        <v/>
      </c>
      <c r="S30" s="14">
        <f>IF(VLOOKUP(B30,Data!$A:$AN,MATCH(yoy!$S$1,Data!$A$1:$AN$1,),)=0,"#N/A",(VLOOKUP(B30,Data!$A:$AN,MATCH(yoy!$S$1,Data!$A$1:$AN$1,),)-VLOOKUP(A30,Data!$A:$AN,MATCH(yoy!$S$1,Data!$A$1:$AN$1,),))/VLOOKUP(A30,Data!$A:$AN,MATCH(yoy!$S$1,Data!$A$1:$AN$1,),))</f>
        <v/>
      </c>
      <c r="T30" s="14">
        <f>IF(VLOOKUP(B30,Data!$A:$AN,MATCH(yoy!$T$1,Data!$A$1:$AN$1,),)=0,"#N/A",(VLOOKUP(B30,Data!$A:$AN,MATCH(yoy!$T$1,Data!$A$1:$AN$1,),)-VLOOKUP(A30,Data!$A:$AN,MATCH(yoy!$T$1,Data!$A$1:$AN$1,),))/VLOOKUP(A30,Data!$A:$AN,MATCH(yoy!$T$1,Data!$A$1:$AN$1,),))</f>
        <v/>
      </c>
      <c r="U30" s="14">
        <f>IF(VLOOKUP(B30,Data!$A:$AN,MATCH(yoy!$U$1,Data!$A$1:$AN$1,),)=0,"#N/A",(VLOOKUP(B30,Data!$A:$AN,MATCH(yoy!$U$1,Data!$A$1:$AN$1,),)-VLOOKUP(A30,Data!$A:$AN,MATCH(yoy!$U$1,Data!$A$1:$AN$1,),))/VLOOKUP(A30,Data!$A:$AN,MATCH(yoy!$U$1,Data!$A$1:$AN$1,),))</f>
        <v/>
      </c>
      <c r="V30" s="14">
        <f>IF(VLOOKUP(B30,Data!$A:$AN,MATCH(yoy!$V$1,Data!$A$1:$AN$1,),)=0,"#N/A",(VLOOKUP(B30,Data!$A:$AN,MATCH(yoy!$V$1,Data!$A$1:$AN$1,),)-VLOOKUP(A30,Data!$A:$AN,MATCH(yoy!$V$1,Data!$A$1:$AN$1,),))/VLOOKUP(A30,Data!$A:$AN,MATCH(yoy!$V$1,Data!$A$1:$AN$1,),))</f>
        <v/>
      </c>
      <c r="W30" s="14">
        <f>IF(VLOOKUP(B30,Data!$A:$AN,MATCH(yoy!$W$1,Data!$A$1:$AN$1,),)=0,"#N/A",(VLOOKUP(B30,Data!$A:$AN,MATCH(yoy!$W$1,Data!$A$1:$AN$1,),)-VLOOKUP(A30,Data!$A:$AN,MATCH(yoy!$W$1,Data!$A$1:$AN$1,),))/VLOOKUP(A30,Data!$A:$AN,MATCH(yoy!$W$1,Data!$A$1:$AN$1,),))</f>
        <v/>
      </c>
      <c r="X30" s="14">
        <f>IF(VLOOKUP(B30,Data!$A:$AN,MATCH(yoy!$X$1,Data!$A$1:$AN$1,),)=0,"#N/A",(VLOOKUP(B30,Data!$A:$AN,MATCH(yoy!$X$1,Data!$A$1:$AN$1,),)-VLOOKUP(A30,Data!$A:$AN,MATCH(yoy!$X$1,Data!$A$1:$AN$1,),))/VLOOKUP(A30,Data!$A:$AN,MATCH(yoy!$X$1,Data!$A$1:$AN$1,),))</f>
        <v/>
      </c>
      <c r="Y30" s="14">
        <f>IF(VLOOKUP(B30,Data!$A:$AN,MATCH(yoy!$Y$1,Data!$A$1:$AN$1,),)=0,"#N/A",(VLOOKUP(B30,Data!$A:$AN,MATCH(yoy!$Y$1,Data!$A$1:$AN$1,),)-VLOOKUP(A30,Data!$A:$AN,MATCH(yoy!$Y$1,Data!$A$1:$AN$1,),))/VLOOKUP(A30,Data!$A:$AN,MATCH(yoy!$Y$1,Data!$A$1:$AN$1,),))</f>
        <v/>
      </c>
      <c r="Z30" s="14">
        <f>IF(VLOOKUP(B30,Data!$A:$AN,MATCH(yoy!$Z$1,Data!$A$1:$AN$1,),)=0,"#N/A",(VLOOKUP(B30,Data!$A:$AN,MATCH(yoy!$Z$1,Data!$A$1:$AN$1,),)-VLOOKUP(A30,Data!$A:$AN,MATCH(yoy!$Z$1,Data!$A$1:$AN$1,),))/VLOOKUP(A30,Data!$A:$AN,MATCH(yoy!$Z$1,Data!$A$1:$AN$1,),))</f>
        <v/>
      </c>
      <c r="AA30" s="14">
        <f>IF(VLOOKUP(B30,Data!$A:$AN,MATCH(yoy!$AA$1,Data!$A$1:$AN$1,),)=0,"#N/A",(VLOOKUP(B30,Data!$A:$AN,MATCH(yoy!$AA$1,Data!$A$1:$AN$1,),)-VLOOKUP(A30,Data!$A:$AN,MATCH(yoy!$AA$1,Data!$A$1:$AN$1,),))/VLOOKUP(A30,Data!$A:$AN,MATCH(yoy!$AA$1,Data!$A$1:$AN$1,),))</f>
        <v/>
      </c>
    </row>
    <row r="31">
      <c r="A31" s="20">
        <f>DATE(YEAR(B31)-1,MONTH(B31),DAY(B31))</f>
        <v/>
      </c>
      <c r="B31" s="12" t="n">
        <v>42795</v>
      </c>
      <c r="C31" s="14">
        <f>IF(VLOOKUP(B31,Data!$A:$AN,MATCH(yoy!$C$1,Data!$A$1:$AN$1,),)=0,"#N/A",(VLOOKUP(B31,Data!$A:$AN,MATCH(yoy!$C$1,Data!$A$1:$AN$1,),)-VLOOKUP(A31,Data!$A:$AN,MATCH(yoy!$C$1,Data!$A$1:$AN$1,),))/VLOOKUP(A31,Data!$A:$AN,MATCH(yoy!$C$1,Data!$A$1:$AN$1,),))</f>
        <v/>
      </c>
      <c r="D31" s="14">
        <f>IF(VLOOKUP(B31,Data!$A:$AN,MATCH(yoy!$D$1,Data!$A$1:$AN$1,),)=0,"#N/A",(VLOOKUP(B31,Data!$A:$AN,MATCH(yoy!$D$1,Data!$A$1:$AN$1,),)-VLOOKUP(A31,Data!$A:$AN,MATCH(yoy!$D$1,Data!$A$1:$AN$1,),))/VLOOKUP(A31,Data!$A:$AN,MATCH(yoy!$D$1,Data!$A$1:$AN$1,),))</f>
        <v/>
      </c>
      <c r="E31" s="14">
        <f>IF(VLOOKUP(B31,Data!$A:$AN,MATCH(yoy!$E$1,Data!$A$1:$AN$1,),)=0,"#N/A",(VLOOKUP(B31,Data!$A:$AN,MATCH(yoy!$E$1,Data!$A$1:$AN$1,),)-VLOOKUP(A31,Data!$A:$AN,MATCH(yoy!$E$1,Data!$A$1:$AN$1,),))/VLOOKUP(A31,Data!$A:$AN,MATCH(yoy!$E$1,Data!$A$1:$AN$1,),))</f>
        <v/>
      </c>
      <c r="F31" s="14">
        <f>IF(VLOOKUP(B31,Data!$A:$AN,MATCH(yoy!$F$1,Data!$A$1:$AN$1,),)=0,"#N/A",(VLOOKUP(B31,Data!$A:$AN,MATCH(yoy!$F$1,Data!$A$1:$AN$1,),)-VLOOKUP(A31,Data!$A:$AN,MATCH(yoy!$F$1,Data!$A$1:$AN$1,),))/VLOOKUP(A31,Data!$A:$AN,MATCH(yoy!$F$1,Data!$A$1:$AN$1,),))</f>
        <v/>
      </c>
      <c r="G31" s="14">
        <f>IF(VLOOKUP(B31,Data!$A:$AN,MATCH(yoy!$G$1,Data!$A$1:$AN$1,),)=0,"#N/A",(VLOOKUP(B31,Data!$A:$AN,MATCH(yoy!$G$1,Data!$A$1:$AN$1,),)-VLOOKUP(A31,Data!$A:$AN,MATCH(yoy!$G$1,Data!$A$1:$AN$1,),))/VLOOKUP(A31,Data!$A:$AN,MATCH(yoy!$G$1,Data!$A$1:$AN$1,),))</f>
        <v/>
      </c>
      <c r="H31" s="14">
        <f>IF(VLOOKUP(B31,Data!$A:$AN,MATCH(yoy!$H$1,Data!$A$1:$AN$1,),)=0,"#N/A",(VLOOKUP(B31,Data!$A:$AN,MATCH(yoy!$H$1,Data!$A$1:$AN$1,),)-VLOOKUP(A31,Data!$A:$AN,MATCH(yoy!$H$1,Data!$A$1:$AN$1,),))/VLOOKUP(A31,Data!$A:$AN,MATCH(yoy!$H$1,Data!$A$1:$AN$1,),))</f>
        <v/>
      </c>
      <c r="I31" s="14">
        <f>IF(VLOOKUP(B31,Data!$A:$AN,MATCH(yoy!$I$1,Data!$A$1:$AN$1,),)=0,"#N/A",(VLOOKUP(B31,Data!$A:$AN,MATCH(yoy!$I$1,Data!$A$1:$AN$1,),)-VLOOKUP(A31,Data!$A:$AN,MATCH(yoy!$I$1,Data!$A$1:$AN$1,),))/VLOOKUP(A31,Data!$A:$AN,MATCH(yoy!$I$1,Data!$A$1:$AN$1,),))</f>
        <v/>
      </c>
      <c r="J31" s="14">
        <f>IF(VLOOKUP(B31,Data!$A:$AN,MATCH(yoy!$J$1,Data!$A$1:$AN$1,),)=0,"#N/A",(VLOOKUP(B31,Data!$A:$AN,MATCH(yoy!$J$1,Data!$A$1:$AN$1,),)-VLOOKUP(A31,Data!$A:$AN,MATCH(yoy!$J$1,Data!$A$1:$AN$1,),))/VLOOKUP(A31,Data!$A:$AN,MATCH(yoy!$J$1,Data!$A$1:$AN$1,),))</f>
        <v/>
      </c>
      <c r="K31" s="14">
        <f>IF(VLOOKUP(B31,Data!$A:$AN,MATCH(yoy!$K$1,Data!$A$1:$AN$1,),)=0,"#N/A",(VLOOKUP(B31,Data!$A:$AN,MATCH(yoy!$K$1,Data!$A$1:$AN$1,),)-VLOOKUP(A31,Data!$A:$AN,MATCH(yoy!$K$1,Data!$A$1:$AN$1,),))/VLOOKUP(A31,Data!$A:$AN,MATCH(yoy!$K$1,Data!$A$1:$AN$1,),))</f>
        <v/>
      </c>
      <c r="L31" s="14">
        <f>IF(VLOOKUP(B31,Data!$A:$AN,MATCH(yoy!$L$1,Data!$A$1:$AN$1,),)=0,"#N/A",(VLOOKUP(B31,Data!$A:$AN,MATCH(yoy!$L$1,Data!$A$1:$AN$1,),)-VLOOKUP(A31,Data!$A:$AN,MATCH(yoy!$L$1,Data!$A$1:$AN$1,),))/VLOOKUP(A31,Data!$A:$AN,MATCH(yoy!$L$1,Data!$A$1:$AN$1,),))</f>
        <v/>
      </c>
      <c r="M31" s="14">
        <f>IF(VLOOKUP(B31,Data!$A:$AN,MATCH(yoy!$M$1,Data!$A$1:$AN$1,),)=0,"#N/A",(VLOOKUP(B31,Data!$A:$AN,MATCH(yoy!$M$1,Data!$A$1:$AN$1,),)-VLOOKUP(A31,Data!$A:$AN,MATCH(yoy!$M$1,Data!$A$1:$AN$1,),))/VLOOKUP(A31,Data!$A:$AN,MATCH(yoy!$M$1,Data!$A$1:$AN$1,),))</f>
        <v/>
      </c>
      <c r="N31" s="14">
        <f>IF(VLOOKUP(B31,Data!$A:$AN,MATCH(yoy!$N$1,Data!$A$1:$AN$1,),)=0,"#N/A",(VLOOKUP(B31,Data!$A:$AN,MATCH(yoy!$N$1,Data!$A$1:$AN$1,),)-VLOOKUP(A31,Data!$A:$AN,MATCH(yoy!$N$1,Data!$A$1:$AN$1,),))/VLOOKUP(A31,Data!$A:$AN,MATCH(yoy!$N$1,Data!$A$1:$AN$1,),))</f>
        <v/>
      </c>
      <c r="O31" s="14">
        <f>IF(VLOOKUP(B31,Data!$A:$AN,MATCH(yoy!$O$1,Data!$A$1:$AN$1,),)=0,"#N/A",(VLOOKUP(B31,Data!$A:$AN,MATCH(yoy!$O$1,Data!$A$1:$AN$1,),)-VLOOKUP(A31,Data!$A:$AN,MATCH(yoy!$O$1,Data!$A$1:$AN$1,),))/VLOOKUP(A31,Data!$A:$AN,MATCH(yoy!$O$1,Data!$A$1:$AN$1,),))</f>
        <v/>
      </c>
      <c r="P31" s="14">
        <f>IF(VLOOKUP(B31,Data!$A:$AN,MATCH(yoy!$P$1,Data!$A$1:$AN$1,),)=0,"#N/A",(VLOOKUP(B31,Data!$A:$AN,MATCH(yoy!$P$1,Data!$A$1:$AN$1,),)-VLOOKUP(A31,Data!$A:$AN,MATCH(yoy!$P$1,Data!$A$1:$AN$1,),))/VLOOKUP(A31,Data!$A:$AN,MATCH(yoy!$P$1,Data!$A$1:$AN$1,),))</f>
        <v/>
      </c>
      <c r="Q31" s="14">
        <f>IF(VLOOKUP(B31,Data!$A:$AN,MATCH(yoy!$Q$1,Data!$A$1:$AN$1,),)=0,"#N/A",(VLOOKUP(B31,Data!$A:$AN,MATCH(yoy!$Q$1,Data!$A$1:$AN$1,),)-VLOOKUP(A31,Data!$A:$AN,MATCH(yoy!$Q$1,Data!$A$1:$AN$1,),))/VLOOKUP(A31,Data!$A:$AN,MATCH(yoy!$Q$1,Data!$A$1:$AN$1,),))</f>
        <v/>
      </c>
      <c r="R31" s="14">
        <f>IF(VLOOKUP(B31,Data!$A:$AN,MATCH(yoy!$R$1,Data!$A$1:$AN$1,),)=0,"#N/A",(VLOOKUP(B31,Data!$A:$AN,MATCH(yoy!$R$1,Data!$A$1:$AN$1,),)-VLOOKUP(A31,Data!$A:$AN,MATCH(yoy!$R$1,Data!$A$1:$AN$1,),))/VLOOKUP(A31,Data!$A:$AN,MATCH(yoy!$R$1,Data!$A$1:$AN$1,),))</f>
        <v/>
      </c>
      <c r="S31" s="14">
        <f>IF(VLOOKUP(B31,Data!$A:$AN,MATCH(yoy!$S$1,Data!$A$1:$AN$1,),)=0,"#N/A",(VLOOKUP(B31,Data!$A:$AN,MATCH(yoy!$S$1,Data!$A$1:$AN$1,),)-VLOOKUP(A31,Data!$A:$AN,MATCH(yoy!$S$1,Data!$A$1:$AN$1,),))/VLOOKUP(A31,Data!$A:$AN,MATCH(yoy!$S$1,Data!$A$1:$AN$1,),))</f>
        <v/>
      </c>
      <c r="T31" s="14">
        <f>IF(VLOOKUP(B31,Data!$A:$AN,MATCH(yoy!$T$1,Data!$A$1:$AN$1,),)=0,"#N/A",(VLOOKUP(B31,Data!$A:$AN,MATCH(yoy!$T$1,Data!$A$1:$AN$1,),)-VLOOKUP(A31,Data!$A:$AN,MATCH(yoy!$T$1,Data!$A$1:$AN$1,),))/VLOOKUP(A31,Data!$A:$AN,MATCH(yoy!$T$1,Data!$A$1:$AN$1,),))</f>
        <v/>
      </c>
      <c r="U31" s="14">
        <f>IF(VLOOKUP(B31,Data!$A:$AN,MATCH(yoy!$U$1,Data!$A$1:$AN$1,),)=0,"#N/A",(VLOOKUP(B31,Data!$A:$AN,MATCH(yoy!$U$1,Data!$A$1:$AN$1,),)-VLOOKUP(A31,Data!$A:$AN,MATCH(yoy!$U$1,Data!$A$1:$AN$1,),))/VLOOKUP(A31,Data!$A:$AN,MATCH(yoy!$U$1,Data!$A$1:$AN$1,),))</f>
        <v/>
      </c>
      <c r="V31" s="14">
        <f>IF(VLOOKUP(B31,Data!$A:$AN,MATCH(yoy!$V$1,Data!$A$1:$AN$1,),)=0,"#N/A",(VLOOKUP(B31,Data!$A:$AN,MATCH(yoy!$V$1,Data!$A$1:$AN$1,),)-VLOOKUP(A31,Data!$A:$AN,MATCH(yoy!$V$1,Data!$A$1:$AN$1,),))/VLOOKUP(A31,Data!$A:$AN,MATCH(yoy!$V$1,Data!$A$1:$AN$1,),))</f>
        <v/>
      </c>
      <c r="W31" s="14">
        <f>IF(VLOOKUP(B31,Data!$A:$AN,MATCH(yoy!$W$1,Data!$A$1:$AN$1,),)=0,"#N/A",(VLOOKUP(B31,Data!$A:$AN,MATCH(yoy!$W$1,Data!$A$1:$AN$1,),)-VLOOKUP(A31,Data!$A:$AN,MATCH(yoy!$W$1,Data!$A$1:$AN$1,),))/VLOOKUP(A31,Data!$A:$AN,MATCH(yoy!$W$1,Data!$A$1:$AN$1,),))</f>
        <v/>
      </c>
      <c r="X31" s="14">
        <f>IF(VLOOKUP(B31,Data!$A:$AN,MATCH(yoy!$X$1,Data!$A$1:$AN$1,),)=0,"#N/A",(VLOOKUP(B31,Data!$A:$AN,MATCH(yoy!$X$1,Data!$A$1:$AN$1,),)-VLOOKUP(A31,Data!$A:$AN,MATCH(yoy!$X$1,Data!$A$1:$AN$1,),))/VLOOKUP(A31,Data!$A:$AN,MATCH(yoy!$X$1,Data!$A$1:$AN$1,),))</f>
        <v/>
      </c>
      <c r="Y31" s="14">
        <f>IF(VLOOKUP(B31,Data!$A:$AN,MATCH(yoy!$Y$1,Data!$A$1:$AN$1,),)=0,"#N/A",(VLOOKUP(B31,Data!$A:$AN,MATCH(yoy!$Y$1,Data!$A$1:$AN$1,),)-VLOOKUP(A31,Data!$A:$AN,MATCH(yoy!$Y$1,Data!$A$1:$AN$1,),))/VLOOKUP(A31,Data!$A:$AN,MATCH(yoy!$Y$1,Data!$A$1:$AN$1,),))</f>
        <v/>
      </c>
      <c r="Z31" s="14">
        <f>IF(VLOOKUP(B31,Data!$A:$AN,MATCH(yoy!$Z$1,Data!$A$1:$AN$1,),)=0,"#N/A",(VLOOKUP(B31,Data!$A:$AN,MATCH(yoy!$Z$1,Data!$A$1:$AN$1,),)-VLOOKUP(A31,Data!$A:$AN,MATCH(yoy!$Z$1,Data!$A$1:$AN$1,),))/VLOOKUP(A31,Data!$A:$AN,MATCH(yoy!$Z$1,Data!$A$1:$AN$1,),))</f>
        <v/>
      </c>
      <c r="AA31" s="14">
        <f>IF(VLOOKUP(B31,Data!$A:$AN,MATCH(yoy!$AA$1,Data!$A$1:$AN$1,),)=0,"#N/A",(VLOOKUP(B31,Data!$A:$AN,MATCH(yoy!$AA$1,Data!$A$1:$AN$1,),)-VLOOKUP(A31,Data!$A:$AN,MATCH(yoy!$AA$1,Data!$A$1:$AN$1,),))/VLOOKUP(A31,Data!$A:$AN,MATCH(yoy!$AA$1,Data!$A$1:$AN$1,),))</f>
        <v/>
      </c>
    </row>
    <row r="32">
      <c r="A32" s="20">
        <f>DATE(YEAR(B32)-1,MONTH(B32),DAY(B32))</f>
        <v/>
      </c>
      <c r="B32" s="12" t="n">
        <v>42826</v>
      </c>
      <c r="C32" s="14">
        <f>IF(VLOOKUP(B32,Data!$A:$AN,MATCH(yoy!$C$1,Data!$A$1:$AN$1,),)=0,"#N/A",(VLOOKUP(B32,Data!$A:$AN,MATCH(yoy!$C$1,Data!$A$1:$AN$1,),)-VLOOKUP(A32,Data!$A:$AN,MATCH(yoy!$C$1,Data!$A$1:$AN$1,),))/VLOOKUP(A32,Data!$A:$AN,MATCH(yoy!$C$1,Data!$A$1:$AN$1,),))</f>
        <v/>
      </c>
      <c r="D32" s="14">
        <f>IF(VLOOKUP(B32,Data!$A:$AN,MATCH(yoy!$D$1,Data!$A$1:$AN$1,),)=0,"#N/A",(VLOOKUP(B32,Data!$A:$AN,MATCH(yoy!$D$1,Data!$A$1:$AN$1,),)-VLOOKUP(A32,Data!$A:$AN,MATCH(yoy!$D$1,Data!$A$1:$AN$1,),))/VLOOKUP(A32,Data!$A:$AN,MATCH(yoy!$D$1,Data!$A$1:$AN$1,),))</f>
        <v/>
      </c>
      <c r="E32" s="14">
        <f>IF(VLOOKUP(B32,Data!$A:$AN,MATCH(yoy!$E$1,Data!$A$1:$AN$1,),)=0,"#N/A",(VLOOKUP(B32,Data!$A:$AN,MATCH(yoy!$E$1,Data!$A$1:$AN$1,),)-VLOOKUP(A32,Data!$A:$AN,MATCH(yoy!$E$1,Data!$A$1:$AN$1,),))/VLOOKUP(A32,Data!$A:$AN,MATCH(yoy!$E$1,Data!$A$1:$AN$1,),))</f>
        <v/>
      </c>
      <c r="F32" s="14">
        <f>IF(VLOOKUP(B32,Data!$A:$AN,MATCH(yoy!$F$1,Data!$A$1:$AN$1,),)=0,"#N/A",(VLOOKUP(B32,Data!$A:$AN,MATCH(yoy!$F$1,Data!$A$1:$AN$1,),)-VLOOKUP(A32,Data!$A:$AN,MATCH(yoy!$F$1,Data!$A$1:$AN$1,),))/VLOOKUP(A32,Data!$A:$AN,MATCH(yoy!$F$1,Data!$A$1:$AN$1,),))</f>
        <v/>
      </c>
      <c r="G32" s="14">
        <f>IF(VLOOKUP(B32,Data!$A:$AN,MATCH(yoy!$G$1,Data!$A$1:$AN$1,),)=0,"#N/A",(VLOOKUP(B32,Data!$A:$AN,MATCH(yoy!$G$1,Data!$A$1:$AN$1,),)-VLOOKUP(A32,Data!$A:$AN,MATCH(yoy!$G$1,Data!$A$1:$AN$1,),))/VLOOKUP(A32,Data!$A:$AN,MATCH(yoy!$G$1,Data!$A$1:$AN$1,),))</f>
        <v/>
      </c>
      <c r="H32" s="14">
        <f>IF(VLOOKUP(B32,Data!$A:$AN,MATCH(yoy!$H$1,Data!$A$1:$AN$1,),)=0,"#N/A",(VLOOKUP(B32,Data!$A:$AN,MATCH(yoy!$H$1,Data!$A$1:$AN$1,),)-VLOOKUP(A32,Data!$A:$AN,MATCH(yoy!$H$1,Data!$A$1:$AN$1,),))/VLOOKUP(A32,Data!$A:$AN,MATCH(yoy!$H$1,Data!$A$1:$AN$1,),))</f>
        <v/>
      </c>
      <c r="I32" s="14">
        <f>IF(VLOOKUP(B32,Data!$A:$AN,MATCH(yoy!$I$1,Data!$A$1:$AN$1,),)=0,"#N/A",(VLOOKUP(B32,Data!$A:$AN,MATCH(yoy!$I$1,Data!$A$1:$AN$1,),)-VLOOKUP(A32,Data!$A:$AN,MATCH(yoy!$I$1,Data!$A$1:$AN$1,),))/VLOOKUP(A32,Data!$A:$AN,MATCH(yoy!$I$1,Data!$A$1:$AN$1,),))</f>
        <v/>
      </c>
      <c r="J32" s="14">
        <f>IF(VLOOKUP(B32,Data!$A:$AN,MATCH(yoy!$J$1,Data!$A$1:$AN$1,),)=0,"#N/A",(VLOOKUP(B32,Data!$A:$AN,MATCH(yoy!$J$1,Data!$A$1:$AN$1,),)-VLOOKUP(A32,Data!$A:$AN,MATCH(yoy!$J$1,Data!$A$1:$AN$1,),))/VLOOKUP(A32,Data!$A:$AN,MATCH(yoy!$J$1,Data!$A$1:$AN$1,),))</f>
        <v/>
      </c>
      <c r="K32" s="14">
        <f>IF(VLOOKUP(B32,Data!$A:$AN,MATCH(yoy!$K$1,Data!$A$1:$AN$1,),)=0,"#N/A",(VLOOKUP(B32,Data!$A:$AN,MATCH(yoy!$K$1,Data!$A$1:$AN$1,),)-VLOOKUP(A32,Data!$A:$AN,MATCH(yoy!$K$1,Data!$A$1:$AN$1,),))/VLOOKUP(A32,Data!$A:$AN,MATCH(yoy!$K$1,Data!$A$1:$AN$1,),))</f>
        <v/>
      </c>
      <c r="L32" s="14">
        <f>IF(VLOOKUP(B32,Data!$A:$AN,MATCH(yoy!$L$1,Data!$A$1:$AN$1,),)=0,"#N/A",(VLOOKUP(B32,Data!$A:$AN,MATCH(yoy!$L$1,Data!$A$1:$AN$1,),)-VLOOKUP(A32,Data!$A:$AN,MATCH(yoy!$L$1,Data!$A$1:$AN$1,),))/VLOOKUP(A32,Data!$A:$AN,MATCH(yoy!$L$1,Data!$A$1:$AN$1,),))</f>
        <v/>
      </c>
      <c r="M32" s="14">
        <f>IF(VLOOKUP(B32,Data!$A:$AN,MATCH(yoy!$M$1,Data!$A$1:$AN$1,),)=0,"#N/A",(VLOOKUP(B32,Data!$A:$AN,MATCH(yoy!$M$1,Data!$A$1:$AN$1,),)-VLOOKUP(A32,Data!$A:$AN,MATCH(yoy!$M$1,Data!$A$1:$AN$1,),))/VLOOKUP(A32,Data!$A:$AN,MATCH(yoy!$M$1,Data!$A$1:$AN$1,),))</f>
        <v/>
      </c>
      <c r="N32" s="14">
        <f>IF(VLOOKUP(B32,Data!$A:$AN,MATCH(yoy!$N$1,Data!$A$1:$AN$1,),)=0,"#N/A",(VLOOKUP(B32,Data!$A:$AN,MATCH(yoy!$N$1,Data!$A$1:$AN$1,),)-VLOOKUP(A32,Data!$A:$AN,MATCH(yoy!$N$1,Data!$A$1:$AN$1,),))/VLOOKUP(A32,Data!$A:$AN,MATCH(yoy!$N$1,Data!$A$1:$AN$1,),))</f>
        <v/>
      </c>
      <c r="O32" s="14">
        <f>IF(VLOOKUP(B32,Data!$A:$AN,MATCH(yoy!$O$1,Data!$A$1:$AN$1,),)=0,"#N/A",(VLOOKUP(B32,Data!$A:$AN,MATCH(yoy!$O$1,Data!$A$1:$AN$1,),)-VLOOKUP(A32,Data!$A:$AN,MATCH(yoy!$O$1,Data!$A$1:$AN$1,),))/VLOOKUP(A32,Data!$A:$AN,MATCH(yoy!$O$1,Data!$A$1:$AN$1,),))</f>
        <v/>
      </c>
      <c r="P32" s="14">
        <f>IF(VLOOKUP(B32,Data!$A:$AN,MATCH(yoy!$P$1,Data!$A$1:$AN$1,),)=0,"#N/A",(VLOOKUP(B32,Data!$A:$AN,MATCH(yoy!$P$1,Data!$A$1:$AN$1,),)-VLOOKUP(A32,Data!$A:$AN,MATCH(yoy!$P$1,Data!$A$1:$AN$1,),))/VLOOKUP(A32,Data!$A:$AN,MATCH(yoy!$P$1,Data!$A$1:$AN$1,),))</f>
        <v/>
      </c>
      <c r="Q32" s="14">
        <f>IF(VLOOKUP(B32,Data!$A:$AN,MATCH(yoy!$Q$1,Data!$A$1:$AN$1,),)=0,"#N/A",(VLOOKUP(B32,Data!$A:$AN,MATCH(yoy!$Q$1,Data!$A$1:$AN$1,),)-VLOOKUP(A32,Data!$A:$AN,MATCH(yoy!$Q$1,Data!$A$1:$AN$1,),))/VLOOKUP(A32,Data!$A:$AN,MATCH(yoy!$Q$1,Data!$A$1:$AN$1,),))</f>
        <v/>
      </c>
      <c r="R32" s="14">
        <f>IF(VLOOKUP(B32,Data!$A:$AN,MATCH(yoy!$R$1,Data!$A$1:$AN$1,),)=0,"#N/A",(VLOOKUP(B32,Data!$A:$AN,MATCH(yoy!$R$1,Data!$A$1:$AN$1,),)-VLOOKUP(A32,Data!$A:$AN,MATCH(yoy!$R$1,Data!$A$1:$AN$1,),))/VLOOKUP(A32,Data!$A:$AN,MATCH(yoy!$R$1,Data!$A$1:$AN$1,),))</f>
        <v/>
      </c>
      <c r="S32" s="14">
        <f>IF(VLOOKUP(B32,Data!$A:$AN,MATCH(yoy!$S$1,Data!$A$1:$AN$1,),)=0,"#N/A",(VLOOKUP(B32,Data!$A:$AN,MATCH(yoy!$S$1,Data!$A$1:$AN$1,),)-VLOOKUP(A32,Data!$A:$AN,MATCH(yoy!$S$1,Data!$A$1:$AN$1,),))/VLOOKUP(A32,Data!$A:$AN,MATCH(yoy!$S$1,Data!$A$1:$AN$1,),))</f>
        <v/>
      </c>
      <c r="T32" s="14">
        <f>IF(VLOOKUP(B32,Data!$A:$AN,MATCH(yoy!$T$1,Data!$A$1:$AN$1,),)=0,"#N/A",(VLOOKUP(B32,Data!$A:$AN,MATCH(yoy!$T$1,Data!$A$1:$AN$1,),)-VLOOKUP(A32,Data!$A:$AN,MATCH(yoy!$T$1,Data!$A$1:$AN$1,),))/VLOOKUP(A32,Data!$A:$AN,MATCH(yoy!$T$1,Data!$A$1:$AN$1,),))</f>
        <v/>
      </c>
      <c r="U32" s="14">
        <f>IF(VLOOKUP(B32,Data!$A:$AN,MATCH(yoy!$U$1,Data!$A$1:$AN$1,),)=0,"#N/A",(VLOOKUP(B32,Data!$A:$AN,MATCH(yoy!$U$1,Data!$A$1:$AN$1,),)-VLOOKUP(A32,Data!$A:$AN,MATCH(yoy!$U$1,Data!$A$1:$AN$1,),))/VLOOKUP(A32,Data!$A:$AN,MATCH(yoy!$U$1,Data!$A$1:$AN$1,),))</f>
        <v/>
      </c>
      <c r="V32" s="14">
        <f>IF(VLOOKUP(B32,Data!$A:$AN,MATCH(yoy!$V$1,Data!$A$1:$AN$1,),)=0,"#N/A",(VLOOKUP(B32,Data!$A:$AN,MATCH(yoy!$V$1,Data!$A$1:$AN$1,),)-VLOOKUP(A32,Data!$A:$AN,MATCH(yoy!$V$1,Data!$A$1:$AN$1,),))/VLOOKUP(A32,Data!$A:$AN,MATCH(yoy!$V$1,Data!$A$1:$AN$1,),))</f>
        <v/>
      </c>
      <c r="W32" s="14">
        <f>IF(VLOOKUP(B32,Data!$A:$AN,MATCH(yoy!$W$1,Data!$A$1:$AN$1,),)=0,"#N/A",(VLOOKUP(B32,Data!$A:$AN,MATCH(yoy!$W$1,Data!$A$1:$AN$1,),)-VLOOKUP(A32,Data!$A:$AN,MATCH(yoy!$W$1,Data!$A$1:$AN$1,),))/VLOOKUP(A32,Data!$A:$AN,MATCH(yoy!$W$1,Data!$A$1:$AN$1,),))</f>
        <v/>
      </c>
      <c r="X32" s="14">
        <f>IF(VLOOKUP(B32,Data!$A:$AN,MATCH(yoy!$X$1,Data!$A$1:$AN$1,),)=0,"#N/A",(VLOOKUP(B32,Data!$A:$AN,MATCH(yoy!$X$1,Data!$A$1:$AN$1,),)-VLOOKUP(A32,Data!$A:$AN,MATCH(yoy!$X$1,Data!$A$1:$AN$1,),))/VLOOKUP(A32,Data!$A:$AN,MATCH(yoy!$X$1,Data!$A$1:$AN$1,),))</f>
        <v/>
      </c>
      <c r="Y32" s="14">
        <f>IF(VLOOKUP(B32,Data!$A:$AN,MATCH(yoy!$Y$1,Data!$A$1:$AN$1,),)=0,"#N/A",(VLOOKUP(B32,Data!$A:$AN,MATCH(yoy!$Y$1,Data!$A$1:$AN$1,),)-VLOOKUP(A32,Data!$A:$AN,MATCH(yoy!$Y$1,Data!$A$1:$AN$1,),))/VLOOKUP(A32,Data!$A:$AN,MATCH(yoy!$Y$1,Data!$A$1:$AN$1,),))</f>
        <v/>
      </c>
      <c r="Z32" s="14">
        <f>IF(VLOOKUP(B32,Data!$A:$AN,MATCH(yoy!$Z$1,Data!$A$1:$AN$1,),)=0,"#N/A",(VLOOKUP(B32,Data!$A:$AN,MATCH(yoy!$Z$1,Data!$A$1:$AN$1,),)-VLOOKUP(A32,Data!$A:$AN,MATCH(yoy!$Z$1,Data!$A$1:$AN$1,),))/VLOOKUP(A32,Data!$A:$AN,MATCH(yoy!$Z$1,Data!$A$1:$AN$1,),))</f>
        <v/>
      </c>
      <c r="AA32" s="14">
        <f>IF(VLOOKUP(B32,Data!$A:$AN,MATCH(yoy!$AA$1,Data!$A$1:$AN$1,),)=0,"#N/A",(VLOOKUP(B32,Data!$A:$AN,MATCH(yoy!$AA$1,Data!$A$1:$AN$1,),)-VLOOKUP(A32,Data!$A:$AN,MATCH(yoy!$AA$1,Data!$A$1:$AN$1,),))/VLOOKUP(A32,Data!$A:$AN,MATCH(yoy!$AA$1,Data!$A$1:$AN$1,),))</f>
        <v/>
      </c>
    </row>
    <row r="33">
      <c r="A33" s="20">
        <f>DATE(YEAR(B33)-1,MONTH(B33),DAY(B33))</f>
        <v/>
      </c>
      <c r="B33" s="12" t="n">
        <v>42856</v>
      </c>
      <c r="C33" s="14">
        <f>IF(VLOOKUP(B33,Data!$A:$AN,MATCH(yoy!$C$1,Data!$A$1:$AN$1,),)=0,"#N/A",(VLOOKUP(B33,Data!$A:$AN,MATCH(yoy!$C$1,Data!$A$1:$AN$1,),)-VLOOKUP(A33,Data!$A:$AN,MATCH(yoy!$C$1,Data!$A$1:$AN$1,),))/VLOOKUP(A33,Data!$A:$AN,MATCH(yoy!$C$1,Data!$A$1:$AN$1,),))</f>
        <v/>
      </c>
      <c r="D33" s="14">
        <f>IF(VLOOKUP(B33,Data!$A:$AN,MATCH(yoy!$D$1,Data!$A$1:$AN$1,),)=0,"#N/A",(VLOOKUP(B33,Data!$A:$AN,MATCH(yoy!$D$1,Data!$A$1:$AN$1,),)-VLOOKUP(A33,Data!$A:$AN,MATCH(yoy!$D$1,Data!$A$1:$AN$1,),))/VLOOKUP(A33,Data!$A:$AN,MATCH(yoy!$D$1,Data!$A$1:$AN$1,),))</f>
        <v/>
      </c>
      <c r="E33" s="14">
        <f>IF(VLOOKUP(B33,Data!$A:$AN,MATCH(yoy!$E$1,Data!$A$1:$AN$1,),)=0,"#N/A",(VLOOKUP(B33,Data!$A:$AN,MATCH(yoy!$E$1,Data!$A$1:$AN$1,),)-VLOOKUP(A33,Data!$A:$AN,MATCH(yoy!$E$1,Data!$A$1:$AN$1,),))/VLOOKUP(A33,Data!$A:$AN,MATCH(yoy!$E$1,Data!$A$1:$AN$1,),))</f>
        <v/>
      </c>
      <c r="F33" s="14">
        <f>IF(VLOOKUP(B33,Data!$A:$AN,MATCH(yoy!$F$1,Data!$A$1:$AN$1,),)=0,"#N/A",(VLOOKUP(B33,Data!$A:$AN,MATCH(yoy!$F$1,Data!$A$1:$AN$1,),)-VLOOKUP(A33,Data!$A:$AN,MATCH(yoy!$F$1,Data!$A$1:$AN$1,),))/VLOOKUP(A33,Data!$A:$AN,MATCH(yoy!$F$1,Data!$A$1:$AN$1,),))</f>
        <v/>
      </c>
      <c r="G33" s="14">
        <f>IF(VLOOKUP(B33,Data!$A:$AN,MATCH(yoy!$G$1,Data!$A$1:$AN$1,),)=0,"#N/A",(VLOOKUP(B33,Data!$A:$AN,MATCH(yoy!$G$1,Data!$A$1:$AN$1,),)-VLOOKUP(A33,Data!$A:$AN,MATCH(yoy!$G$1,Data!$A$1:$AN$1,),))/VLOOKUP(A33,Data!$A:$AN,MATCH(yoy!$G$1,Data!$A$1:$AN$1,),))</f>
        <v/>
      </c>
      <c r="H33" s="14">
        <f>IF(VLOOKUP(B33,Data!$A:$AN,MATCH(yoy!$H$1,Data!$A$1:$AN$1,),)=0,"#N/A",(VLOOKUP(B33,Data!$A:$AN,MATCH(yoy!$H$1,Data!$A$1:$AN$1,),)-VLOOKUP(A33,Data!$A:$AN,MATCH(yoy!$H$1,Data!$A$1:$AN$1,),))/VLOOKUP(A33,Data!$A:$AN,MATCH(yoy!$H$1,Data!$A$1:$AN$1,),))</f>
        <v/>
      </c>
      <c r="I33" s="14">
        <f>IF(VLOOKUP(B33,Data!$A:$AN,MATCH(yoy!$I$1,Data!$A$1:$AN$1,),)=0,"#N/A",(VLOOKUP(B33,Data!$A:$AN,MATCH(yoy!$I$1,Data!$A$1:$AN$1,),)-VLOOKUP(A33,Data!$A:$AN,MATCH(yoy!$I$1,Data!$A$1:$AN$1,),))/VLOOKUP(A33,Data!$A:$AN,MATCH(yoy!$I$1,Data!$A$1:$AN$1,),))</f>
        <v/>
      </c>
      <c r="J33" s="14">
        <f>IF(VLOOKUP(B33,Data!$A:$AN,MATCH(yoy!$J$1,Data!$A$1:$AN$1,),)=0,"#N/A",(VLOOKUP(B33,Data!$A:$AN,MATCH(yoy!$J$1,Data!$A$1:$AN$1,),)-VLOOKUP(A33,Data!$A:$AN,MATCH(yoy!$J$1,Data!$A$1:$AN$1,),))/VLOOKUP(A33,Data!$A:$AN,MATCH(yoy!$J$1,Data!$A$1:$AN$1,),))</f>
        <v/>
      </c>
      <c r="K33" s="14">
        <f>IF(VLOOKUP(B33,Data!$A:$AN,MATCH(yoy!$K$1,Data!$A$1:$AN$1,),)=0,"#N/A",(VLOOKUP(B33,Data!$A:$AN,MATCH(yoy!$K$1,Data!$A$1:$AN$1,),)-VLOOKUP(A33,Data!$A:$AN,MATCH(yoy!$K$1,Data!$A$1:$AN$1,),))/VLOOKUP(A33,Data!$A:$AN,MATCH(yoy!$K$1,Data!$A$1:$AN$1,),))</f>
        <v/>
      </c>
      <c r="L33" s="14">
        <f>IF(VLOOKUP(B33,Data!$A:$AN,MATCH(yoy!$L$1,Data!$A$1:$AN$1,),)=0,"#N/A",(VLOOKUP(B33,Data!$A:$AN,MATCH(yoy!$L$1,Data!$A$1:$AN$1,),)-VLOOKUP(A33,Data!$A:$AN,MATCH(yoy!$L$1,Data!$A$1:$AN$1,),))/VLOOKUP(A33,Data!$A:$AN,MATCH(yoy!$L$1,Data!$A$1:$AN$1,),))</f>
        <v/>
      </c>
      <c r="M33" s="14">
        <f>IF(VLOOKUP(B33,Data!$A:$AN,MATCH(yoy!$M$1,Data!$A$1:$AN$1,),)=0,"#N/A",(VLOOKUP(B33,Data!$A:$AN,MATCH(yoy!$M$1,Data!$A$1:$AN$1,),)-VLOOKUP(A33,Data!$A:$AN,MATCH(yoy!$M$1,Data!$A$1:$AN$1,),))/VLOOKUP(A33,Data!$A:$AN,MATCH(yoy!$M$1,Data!$A$1:$AN$1,),))</f>
        <v/>
      </c>
      <c r="N33" s="14">
        <f>IF(VLOOKUP(B33,Data!$A:$AN,MATCH(yoy!$N$1,Data!$A$1:$AN$1,),)=0,"#N/A",(VLOOKUP(B33,Data!$A:$AN,MATCH(yoy!$N$1,Data!$A$1:$AN$1,),)-VLOOKUP(A33,Data!$A:$AN,MATCH(yoy!$N$1,Data!$A$1:$AN$1,),))/VLOOKUP(A33,Data!$A:$AN,MATCH(yoy!$N$1,Data!$A$1:$AN$1,),))</f>
        <v/>
      </c>
      <c r="O33" s="14">
        <f>IF(VLOOKUP(B33,Data!$A:$AN,MATCH(yoy!$O$1,Data!$A$1:$AN$1,),)=0,"#N/A",(VLOOKUP(B33,Data!$A:$AN,MATCH(yoy!$O$1,Data!$A$1:$AN$1,),)-VLOOKUP(A33,Data!$A:$AN,MATCH(yoy!$O$1,Data!$A$1:$AN$1,),))/VLOOKUP(A33,Data!$A:$AN,MATCH(yoy!$O$1,Data!$A$1:$AN$1,),))</f>
        <v/>
      </c>
      <c r="P33" s="14">
        <f>IF(VLOOKUP(B33,Data!$A:$AN,MATCH(yoy!$P$1,Data!$A$1:$AN$1,),)=0,"#N/A",(VLOOKUP(B33,Data!$A:$AN,MATCH(yoy!$P$1,Data!$A$1:$AN$1,),)-VLOOKUP(A33,Data!$A:$AN,MATCH(yoy!$P$1,Data!$A$1:$AN$1,),))/VLOOKUP(A33,Data!$A:$AN,MATCH(yoy!$P$1,Data!$A$1:$AN$1,),))</f>
        <v/>
      </c>
      <c r="Q33" s="14">
        <f>IF(VLOOKUP(B33,Data!$A:$AN,MATCH(yoy!$Q$1,Data!$A$1:$AN$1,),)=0,"#N/A",(VLOOKUP(B33,Data!$A:$AN,MATCH(yoy!$Q$1,Data!$A$1:$AN$1,),)-VLOOKUP(A33,Data!$A:$AN,MATCH(yoy!$Q$1,Data!$A$1:$AN$1,),))/VLOOKUP(A33,Data!$A:$AN,MATCH(yoy!$Q$1,Data!$A$1:$AN$1,),))</f>
        <v/>
      </c>
      <c r="R33" s="14">
        <f>IF(VLOOKUP(B33,Data!$A:$AN,MATCH(yoy!$R$1,Data!$A$1:$AN$1,),)=0,"#N/A",(VLOOKUP(B33,Data!$A:$AN,MATCH(yoy!$R$1,Data!$A$1:$AN$1,),)-VLOOKUP(A33,Data!$A:$AN,MATCH(yoy!$R$1,Data!$A$1:$AN$1,),))/VLOOKUP(A33,Data!$A:$AN,MATCH(yoy!$R$1,Data!$A$1:$AN$1,),))</f>
        <v/>
      </c>
      <c r="S33" s="14">
        <f>IF(VLOOKUP(B33,Data!$A:$AN,MATCH(yoy!$S$1,Data!$A$1:$AN$1,),)=0,"#N/A",(VLOOKUP(B33,Data!$A:$AN,MATCH(yoy!$S$1,Data!$A$1:$AN$1,),)-VLOOKUP(A33,Data!$A:$AN,MATCH(yoy!$S$1,Data!$A$1:$AN$1,),))/VLOOKUP(A33,Data!$A:$AN,MATCH(yoy!$S$1,Data!$A$1:$AN$1,),))</f>
        <v/>
      </c>
      <c r="T33" s="14">
        <f>IF(VLOOKUP(B33,Data!$A:$AN,MATCH(yoy!$T$1,Data!$A$1:$AN$1,),)=0,"#N/A",(VLOOKUP(B33,Data!$A:$AN,MATCH(yoy!$T$1,Data!$A$1:$AN$1,),)-VLOOKUP(A33,Data!$A:$AN,MATCH(yoy!$T$1,Data!$A$1:$AN$1,),))/VLOOKUP(A33,Data!$A:$AN,MATCH(yoy!$T$1,Data!$A$1:$AN$1,),))</f>
        <v/>
      </c>
      <c r="U33" s="14">
        <f>IF(VLOOKUP(B33,Data!$A:$AN,MATCH(yoy!$U$1,Data!$A$1:$AN$1,),)=0,"#N/A",(VLOOKUP(B33,Data!$A:$AN,MATCH(yoy!$U$1,Data!$A$1:$AN$1,),)-VLOOKUP(A33,Data!$A:$AN,MATCH(yoy!$U$1,Data!$A$1:$AN$1,),))/VLOOKUP(A33,Data!$A:$AN,MATCH(yoy!$U$1,Data!$A$1:$AN$1,),))</f>
        <v/>
      </c>
      <c r="V33" s="14">
        <f>IF(VLOOKUP(B33,Data!$A:$AN,MATCH(yoy!$V$1,Data!$A$1:$AN$1,),)=0,"#N/A",(VLOOKUP(B33,Data!$A:$AN,MATCH(yoy!$V$1,Data!$A$1:$AN$1,),)-VLOOKUP(A33,Data!$A:$AN,MATCH(yoy!$V$1,Data!$A$1:$AN$1,),))/VLOOKUP(A33,Data!$A:$AN,MATCH(yoy!$V$1,Data!$A$1:$AN$1,),))</f>
        <v/>
      </c>
      <c r="W33" s="14">
        <f>IF(VLOOKUP(B33,Data!$A:$AN,MATCH(yoy!$W$1,Data!$A$1:$AN$1,),)=0,"#N/A",(VLOOKUP(B33,Data!$A:$AN,MATCH(yoy!$W$1,Data!$A$1:$AN$1,),)-VLOOKUP(A33,Data!$A:$AN,MATCH(yoy!$W$1,Data!$A$1:$AN$1,),))/VLOOKUP(A33,Data!$A:$AN,MATCH(yoy!$W$1,Data!$A$1:$AN$1,),))</f>
        <v/>
      </c>
      <c r="X33" s="14">
        <f>IF(VLOOKUP(B33,Data!$A:$AN,MATCH(yoy!$X$1,Data!$A$1:$AN$1,),)=0,"#N/A",(VLOOKUP(B33,Data!$A:$AN,MATCH(yoy!$X$1,Data!$A$1:$AN$1,),)-VLOOKUP(A33,Data!$A:$AN,MATCH(yoy!$X$1,Data!$A$1:$AN$1,),))/VLOOKUP(A33,Data!$A:$AN,MATCH(yoy!$X$1,Data!$A$1:$AN$1,),))</f>
        <v/>
      </c>
      <c r="Y33" s="14">
        <f>IF(VLOOKUP(B33,Data!$A:$AN,MATCH(yoy!$Y$1,Data!$A$1:$AN$1,),)=0,"#N/A",(VLOOKUP(B33,Data!$A:$AN,MATCH(yoy!$Y$1,Data!$A$1:$AN$1,),)-VLOOKUP(A33,Data!$A:$AN,MATCH(yoy!$Y$1,Data!$A$1:$AN$1,),))/VLOOKUP(A33,Data!$A:$AN,MATCH(yoy!$Y$1,Data!$A$1:$AN$1,),))</f>
        <v/>
      </c>
      <c r="Z33" s="14">
        <f>IF(VLOOKUP(B33,Data!$A:$AN,MATCH(yoy!$Z$1,Data!$A$1:$AN$1,),)=0,"#N/A",(VLOOKUP(B33,Data!$A:$AN,MATCH(yoy!$Z$1,Data!$A$1:$AN$1,),)-VLOOKUP(A33,Data!$A:$AN,MATCH(yoy!$Z$1,Data!$A$1:$AN$1,),))/VLOOKUP(A33,Data!$A:$AN,MATCH(yoy!$Z$1,Data!$A$1:$AN$1,),))</f>
        <v/>
      </c>
      <c r="AA33" s="14">
        <f>IF(VLOOKUP(B33,Data!$A:$AN,MATCH(yoy!$AA$1,Data!$A$1:$AN$1,),)=0,"#N/A",(VLOOKUP(B33,Data!$A:$AN,MATCH(yoy!$AA$1,Data!$A$1:$AN$1,),)-VLOOKUP(A33,Data!$A:$AN,MATCH(yoy!$AA$1,Data!$A$1:$AN$1,),))/VLOOKUP(A33,Data!$A:$AN,MATCH(yoy!$AA$1,Data!$A$1:$AN$1,),))</f>
        <v/>
      </c>
    </row>
    <row r="34">
      <c r="A34" s="20">
        <f>DATE(YEAR(B34)-1,MONTH(B34),DAY(B34))</f>
        <v/>
      </c>
      <c r="B34" s="12" t="n">
        <v>42887</v>
      </c>
      <c r="C34" s="14">
        <f>IF(VLOOKUP(B34,Data!$A:$AN,MATCH(yoy!$C$1,Data!$A$1:$AN$1,),)=0,"#N/A",(VLOOKUP(B34,Data!$A:$AN,MATCH(yoy!$C$1,Data!$A$1:$AN$1,),)-VLOOKUP(A34,Data!$A:$AN,MATCH(yoy!$C$1,Data!$A$1:$AN$1,),))/VLOOKUP(A34,Data!$A:$AN,MATCH(yoy!$C$1,Data!$A$1:$AN$1,),))</f>
        <v/>
      </c>
      <c r="D34" s="14">
        <f>IF(VLOOKUP(B34,Data!$A:$AN,MATCH(yoy!$D$1,Data!$A$1:$AN$1,),)=0,"#N/A",(VLOOKUP(B34,Data!$A:$AN,MATCH(yoy!$D$1,Data!$A$1:$AN$1,),)-VLOOKUP(A34,Data!$A:$AN,MATCH(yoy!$D$1,Data!$A$1:$AN$1,),))/VLOOKUP(A34,Data!$A:$AN,MATCH(yoy!$D$1,Data!$A$1:$AN$1,),))</f>
        <v/>
      </c>
      <c r="E34" s="14">
        <f>IF(VLOOKUP(B34,Data!$A:$AN,MATCH(yoy!$E$1,Data!$A$1:$AN$1,),)=0,"#N/A",(VLOOKUP(B34,Data!$A:$AN,MATCH(yoy!$E$1,Data!$A$1:$AN$1,),)-VLOOKUP(A34,Data!$A:$AN,MATCH(yoy!$E$1,Data!$A$1:$AN$1,),))/VLOOKUP(A34,Data!$A:$AN,MATCH(yoy!$E$1,Data!$A$1:$AN$1,),))</f>
        <v/>
      </c>
      <c r="F34" s="14">
        <f>IF(VLOOKUP(B34,Data!$A:$AN,MATCH(yoy!$F$1,Data!$A$1:$AN$1,),)=0,"#N/A",(VLOOKUP(B34,Data!$A:$AN,MATCH(yoy!$F$1,Data!$A$1:$AN$1,),)-VLOOKUP(A34,Data!$A:$AN,MATCH(yoy!$F$1,Data!$A$1:$AN$1,),))/VLOOKUP(A34,Data!$A:$AN,MATCH(yoy!$F$1,Data!$A$1:$AN$1,),))</f>
        <v/>
      </c>
      <c r="G34" s="14">
        <f>IF(VLOOKUP(B34,Data!$A:$AN,MATCH(yoy!$G$1,Data!$A$1:$AN$1,),)=0,"#N/A",(VLOOKUP(B34,Data!$A:$AN,MATCH(yoy!$G$1,Data!$A$1:$AN$1,),)-VLOOKUP(A34,Data!$A:$AN,MATCH(yoy!$G$1,Data!$A$1:$AN$1,),))/VLOOKUP(A34,Data!$A:$AN,MATCH(yoy!$G$1,Data!$A$1:$AN$1,),))</f>
        <v/>
      </c>
      <c r="H34" s="14">
        <f>IF(VLOOKUP(B34,Data!$A:$AN,MATCH(yoy!$H$1,Data!$A$1:$AN$1,),)=0,"#N/A",(VLOOKUP(B34,Data!$A:$AN,MATCH(yoy!$H$1,Data!$A$1:$AN$1,),)-VLOOKUP(A34,Data!$A:$AN,MATCH(yoy!$H$1,Data!$A$1:$AN$1,),))/VLOOKUP(A34,Data!$A:$AN,MATCH(yoy!$H$1,Data!$A$1:$AN$1,),))</f>
        <v/>
      </c>
      <c r="I34" s="14">
        <f>IF(VLOOKUP(B34,Data!$A:$AN,MATCH(yoy!$I$1,Data!$A$1:$AN$1,),)=0,"#N/A",(VLOOKUP(B34,Data!$A:$AN,MATCH(yoy!$I$1,Data!$A$1:$AN$1,),)-VLOOKUP(A34,Data!$A:$AN,MATCH(yoy!$I$1,Data!$A$1:$AN$1,),))/VLOOKUP(A34,Data!$A:$AN,MATCH(yoy!$I$1,Data!$A$1:$AN$1,),))</f>
        <v/>
      </c>
      <c r="J34" s="14">
        <f>IF(VLOOKUP(B34,Data!$A:$AN,MATCH(yoy!$J$1,Data!$A$1:$AN$1,),)=0,"#N/A",(VLOOKUP(B34,Data!$A:$AN,MATCH(yoy!$J$1,Data!$A$1:$AN$1,),)-VLOOKUP(A34,Data!$A:$AN,MATCH(yoy!$J$1,Data!$A$1:$AN$1,),))/VLOOKUP(A34,Data!$A:$AN,MATCH(yoy!$J$1,Data!$A$1:$AN$1,),))</f>
        <v/>
      </c>
      <c r="K34" s="14">
        <f>IF(VLOOKUP(B34,Data!$A:$AN,MATCH(yoy!$K$1,Data!$A$1:$AN$1,),)=0,"#N/A",(VLOOKUP(B34,Data!$A:$AN,MATCH(yoy!$K$1,Data!$A$1:$AN$1,),)-VLOOKUP(A34,Data!$A:$AN,MATCH(yoy!$K$1,Data!$A$1:$AN$1,),))/VLOOKUP(A34,Data!$A:$AN,MATCH(yoy!$K$1,Data!$A$1:$AN$1,),))</f>
        <v/>
      </c>
      <c r="L34" s="14">
        <f>IF(VLOOKUP(B34,Data!$A:$AN,MATCH(yoy!$L$1,Data!$A$1:$AN$1,),)=0,"#N/A",(VLOOKUP(B34,Data!$A:$AN,MATCH(yoy!$L$1,Data!$A$1:$AN$1,),)-VLOOKUP(A34,Data!$A:$AN,MATCH(yoy!$L$1,Data!$A$1:$AN$1,),))/VLOOKUP(A34,Data!$A:$AN,MATCH(yoy!$L$1,Data!$A$1:$AN$1,),))</f>
        <v/>
      </c>
      <c r="M34" s="14">
        <f>IF(VLOOKUP(B34,Data!$A:$AN,MATCH(yoy!$M$1,Data!$A$1:$AN$1,),)=0,"#N/A",(VLOOKUP(B34,Data!$A:$AN,MATCH(yoy!$M$1,Data!$A$1:$AN$1,),)-VLOOKUP(A34,Data!$A:$AN,MATCH(yoy!$M$1,Data!$A$1:$AN$1,),))/VLOOKUP(A34,Data!$A:$AN,MATCH(yoy!$M$1,Data!$A$1:$AN$1,),))</f>
        <v/>
      </c>
      <c r="N34" s="14">
        <f>IF(VLOOKUP(B34,Data!$A:$AN,MATCH(yoy!$N$1,Data!$A$1:$AN$1,),)=0,"#N/A",(VLOOKUP(B34,Data!$A:$AN,MATCH(yoy!$N$1,Data!$A$1:$AN$1,),)-VLOOKUP(A34,Data!$A:$AN,MATCH(yoy!$N$1,Data!$A$1:$AN$1,),))/VLOOKUP(A34,Data!$A:$AN,MATCH(yoy!$N$1,Data!$A$1:$AN$1,),))</f>
        <v/>
      </c>
      <c r="O34" s="14">
        <f>IF(VLOOKUP(B34,Data!$A:$AN,MATCH(yoy!$O$1,Data!$A$1:$AN$1,),)=0,"#N/A",(VLOOKUP(B34,Data!$A:$AN,MATCH(yoy!$O$1,Data!$A$1:$AN$1,),)-VLOOKUP(A34,Data!$A:$AN,MATCH(yoy!$O$1,Data!$A$1:$AN$1,),))/VLOOKUP(A34,Data!$A:$AN,MATCH(yoy!$O$1,Data!$A$1:$AN$1,),))</f>
        <v/>
      </c>
      <c r="P34" s="14">
        <f>IF(VLOOKUP(B34,Data!$A:$AN,MATCH(yoy!$P$1,Data!$A$1:$AN$1,),)=0,"#N/A",(VLOOKUP(B34,Data!$A:$AN,MATCH(yoy!$P$1,Data!$A$1:$AN$1,),)-VLOOKUP(A34,Data!$A:$AN,MATCH(yoy!$P$1,Data!$A$1:$AN$1,),))/VLOOKUP(A34,Data!$A:$AN,MATCH(yoy!$P$1,Data!$A$1:$AN$1,),))</f>
        <v/>
      </c>
      <c r="Q34" s="14">
        <f>IF(VLOOKUP(B34,Data!$A:$AN,MATCH(yoy!$Q$1,Data!$A$1:$AN$1,),)=0,"#N/A",(VLOOKUP(B34,Data!$A:$AN,MATCH(yoy!$Q$1,Data!$A$1:$AN$1,),)-VLOOKUP(A34,Data!$A:$AN,MATCH(yoy!$Q$1,Data!$A$1:$AN$1,),))/VLOOKUP(A34,Data!$A:$AN,MATCH(yoy!$Q$1,Data!$A$1:$AN$1,),))</f>
        <v/>
      </c>
      <c r="R34" s="14">
        <f>IF(VLOOKUP(B34,Data!$A:$AN,MATCH(yoy!$R$1,Data!$A$1:$AN$1,),)=0,"#N/A",(VLOOKUP(B34,Data!$A:$AN,MATCH(yoy!$R$1,Data!$A$1:$AN$1,),)-VLOOKUP(A34,Data!$A:$AN,MATCH(yoy!$R$1,Data!$A$1:$AN$1,),))/VLOOKUP(A34,Data!$A:$AN,MATCH(yoy!$R$1,Data!$A$1:$AN$1,),))</f>
        <v/>
      </c>
      <c r="S34" s="14">
        <f>IF(VLOOKUP(B34,Data!$A:$AN,MATCH(yoy!$S$1,Data!$A$1:$AN$1,),)=0,"#N/A",(VLOOKUP(B34,Data!$A:$AN,MATCH(yoy!$S$1,Data!$A$1:$AN$1,),)-VLOOKUP(A34,Data!$A:$AN,MATCH(yoy!$S$1,Data!$A$1:$AN$1,),))/VLOOKUP(A34,Data!$A:$AN,MATCH(yoy!$S$1,Data!$A$1:$AN$1,),))</f>
        <v/>
      </c>
      <c r="T34" s="14">
        <f>IF(VLOOKUP(B34,Data!$A:$AN,MATCH(yoy!$T$1,Data!$A$1:$AN$1,),)=0,"#N/A",(VLOOKUP(B34,Data!$A:$AN,MATCH(yoy!$T$1,Data!$A$1:$AN$1,),)-VLOOKUP(A34,Data!$A:$AN,MATCH(yoy!$T$1,Data!$A$1:$AN$1,),))/VLOOKUP(A34,Data!$A:$AN,MATCH(yoy!$T$1,Data!$A$1:$AN$1,),))</f>
        <v/>
      </c>
      <c r="U34" s="14">
        <f>IF(VLOOKUP(B34,Data!$A:$AN,MATCH(yoy!$U$1,Data!$A$1:$AN$1,),)=0,"#N/A",(VLOOKUP(B34,Data!$A:$AN,MATCH(yoy!$U$1,Data!$A$1:$AN$1,),)-VLOOKUP(A34,Data!$A:$AN,MATCH(yoy!$U$1,Data!$A$1:$AN$1,),))/VLOOKUP(A34,Data!$A:$AN,MATCH(yoy!$U$1,Data!$A$1:$AN$1,),))</f>
        <v/>
      </c>
      <c r="V34" s="14">
        <f>IF(VLOOKUP(B34,Data!$A:$AN,MATCH(yoy!$V$1,Data!$A$1:$AN$1,),)=0,"#N/A",(VLOOKUP(B34,Data!$A:$AN,MATCH(yoy!$V$1,Data!$A$1:$AN$1,),)-VLOOKUP(A34,Data!$A:$AN,MATCH(yoy!$V$1,Data!$A$1:$AN$1,),))/VLOOKUP(A34,Data!$A:$AN,MATCH(yoy!$V$1,Data!$A$1:$AN$1,),))</f>
        <v/>
      </c>
      <c r="W34" s="14">
        <f>IF(VLOOKUP(B34,Data!$A:$AN,MATCH(yoy!$W$1,Data!$A$1:$AN$1,),)=0,"#N/A",(VLOOKUP(B34,Data!$A:$AN,MATCH(yoy!$W$1,Data!$A$1:$AN$1,),)-VLOOKUP(A34,Data!$A:$AN,MATCH(yoy!$W$1,Data!$A$1:$AN$1,),))/VLOOKUP(A34,Data!$A:$AN,MATCH(yoy!$W$1,Data!$A$1:$AN$1,),))</f>
        <v/>
      </c>
      <c r="X34" s="14">
        <f>IF(VLOOKUP(B34,Data!$A:$AN,MATCH(yoy!$X$1,Data!$A$1:$AN$1,),)=0,"#N/A",(VLOOKUP(B34,Data!$A:$AN,MATCH(yoy!$X$1,Data!$A$1:$AN$1,),)-VLOOKUP(A34,Data!$A:$AN,MATCH(yoy!$X$1,Data!$A$1:$AN$1,),))/VLOOKUP(A34,Data!$A:$AN,MATCH(yoy!$X$1,Data!$A$1:$AN$1,),))</f>
        <v/>
      </c>
      <c r="Y34" s="14">
        <f>IF(VLOOKUP(B34,Data!$A:$AN,MATCH(yoy!$Y$1,Data!$A$1:$AN$1,),)=0,"#N/A",(VLOOKUP(B34,Data!$A:$AN,MATCH(yoy!$Y$1,Data!$A$1:$AN$1,),)-VLOOKUP(A34,Data!$A:$AN,MATCH(yoy!$Y$1,Data!$A$1:$AN$1,),))/VLOOKUP(A34,Data!$A:$AN,MATCH(yoy!$Y$1,Data!$A$1:$AN$1,),))</f>
        <v/>
      </c>
      <c r="Z34" s="14">
        <f>IF(VLOOKUP(B34,Data!$A:$AN,MATCH(yoy!$Z$1,Data!$A$1:$AN$1,),)=0,"#N/A",(VLOOKUP(B34,Data!$A:$AN,MATCH(yoy!$Z$1,Data!$A$1:$AN$1,),)-VLOOKUP(A34,Data!$A:$AN,MATCH(yoy!$Z$1,Data!$A$1:$AN$1,),))/VLOOKUP(A34,Data!$A:$AN,MATCH(yoy!$Z$1,Data!$A$1:$AN$1,),))</f>
        <v/>
      </c>
      <c r="AA34" s="14">
        <f>IF(VLOOKUP(B34,Data!$A:$AN,MATCH(yoy!$AA$1,Data!$A$1:$AN$1,),)=0,"#N/A",(VLOOKUP(B34,Data!$A:$AN,MATCH(yoy!$AA$1,Data!$A$1:$AN$1,),)-VLOOKUP(A34,Data!$A:$AN,MATCH(yoy!$AA$1,Data!$A$1:$AN$1,),))/VLOOKUP(A34,Data!$A:$AN,MATCH(yoy!$AA$1,Data!$A$1:$AN$1,),))</f>
        <v/>
      </c>
    </row>
    <row r="35">
      <c r="A35" s="20">
        <f>DATE(YEAR(B35)-1,MONTH(B35),DAY(B35))</f>
        <v/>
      </c>
      <c r="B35" s="12" t="n">
        <v>42917</v>
      </c>
      <c r="C35" s="14">
        <f>IF(VLOOKUP(B35,Data!$A:$AN,MATCH(yoy!$C$1,Data!$A$1:$AN$1,),)=0,"#N/A",(VLOOKUP(B35,Data!$A:$AN,MATCH(yoy!$C$1,Data!$A$1:$AN$1,),)-VLOOKUP(A35,Data!$A:$AN,MATCH(yoy!$C$1,Data!$A$1:$AN$1,),))/VLOOKUP(A35,Data!$A:$AN,MATCH(yoy!$C$1,Data!$A$1:$AN$1,),))</f>
        <v/>
      </c>
      <c r="D35" s="14">
        <f>IF(VLOOKUP(B35,Data!$A:$AN,MATCH(yoy!$D$1,Data!$A$1:$AN$1,),)=0,"#N/A",(VLOOKUP(B35,Data!$A:$AN,MATCH(yoy!$D$1,Data!$A$1:$AN$1,),)-VLOOKUP(A35,Data!$A:$AN,MATCH(yoy!$D$1,Data!$A$1:$AN$1,),))/VLOOKUP(A35,Data!$A:$AN,MATCH(yoy!$D$1,Data!$A$1:$AN$1,),))</f>
        <v/>
      </c>
      <c r="E35" s="14">
        <f>IF(VLOOKUP(B35,Data!$A:$AN,MATCH(yoy!$E$1,Data!$A$1:$AN$1,),)=0,"#N/A",(VLOOKUP(B35,Data!$A:$AN,MATCH(yoy!$E$1,Data!$A$1:$AN$1,),)-VLOOKUP(A35,Data!$A:$AN,MATCH(yoy!$E$1,Data!$A$1:$AN$1,),))/VLOOKUP(A35,Data!$A:$AN,MATCH(yoy!$E$1,Data!$A$1:$AN$1,),))</f>
        <v/>
      </c>
      <c r="F35" s="14">
        <f>IF(VLOOKUP(B35,Data!$A:$AN,MATCH(yoy!$F$1,Data!$A$1:$AN$1,),)=0,"#N/A",(VLOOKUP(B35,Data!$A:$AN,MATCH(yoy!$F$1,Data!$A$1:$AN$1,),)-VLOOKUP(A35,Data!$A:$AN,MATCH(yoy!$F$1,Data!$A$1:$AN$1,),))/VLOOKUP(A35,Data!$A:$AN,MATCH(yoy!$F$1,Data!$A$1:$AN$1,),))</f>
        <v/>
      </c>
      <c r="G35" s="14">
        <f>IF(VLOOKUP(B35,Data!$A:$AN,MATCH(yoy!$G$1,Data!$A$1:$AN$1,),)=0,"#N/A",(VLOOKUP(B35,Data!$A:$AN,MATCH(yoy!$G$1,Data!$A$1:$AN$1,),)-VLOOKUP(A35,Data!$A:$AN,MATCH(yoy!$G$1,Data!$A$1:$AN$1,),))/VLOOKUP(A35,Data!$A:$AN,MATCH(yoy!$G$1,Data!$A$1:$AN$1,),))</f>
        <v/>
      </c>
      <c r="H35" s="14">
        <f>IF(VLOOKUP(B35,Data!$A:$AN,MATCH(yoy!$H$1,Data!$A$1:$AN$1,),)=0,"#N/A",(VLOOKUP(B35,Data!$A:$AN,MATCH(yoy!$H$1,Data!$A$1:$AN$1,),)-VLOOKUP(A35,Data!$A:$AN,MATCH(yoy!$H$1,Data!$A$1:$AN$1,),))/VLOOKUP(A35,Data!$A:$AN,MATCH(yoy!$H$1,Data!$A$1:$AN$1,),))</f>
        <v/>
      </c>
      <c r="I35" s="14">
        <f>IF(VLOOKUP(B35,Data!$A:$AN,MATCH(yoy!$I$1,Data!$A$1:$AN$1,),)=0,"#N/A",(VLOOKUP(B35,Data!$A:$AN,MATCH(yoy!$I$1,Data!$A$1:$AN$1,),)-VLOOKUP(A35,Data!$A:$AN,MATCH(yoy!$I$1,Data!$A$1:$AN$1,),))/VLOOKUP(A35,Data!$A:$AN,MATCH(yoy!$I$1,Data!$A$1:$AN$1,),))</f>
        <v/>
      </c>
      <c r="J35" s="14">
        <f>IF(VLOOKUP(B35,Data!$A:$AN,MATCH(yoy!$J$1,Data!$A$1:$AN$1,),)=0,"#N/A",(VLOOKUP(B35,Data!$A:$AN,MATCH(yoy!$J$1,Data!$A$1:$AN$1,),)-VLOOKUP(A35,Data!$A:$AN,MATCH(yoy!$J$1,Data!$A$1:$AN$1,),))/VLOOKUP(A35,Data!$A:$AN,MATCH(yoy!$J$1,Data!$A$1:$AN$1,),))</f>
        <v/>
      </c>
      <c r="K35" s="14">
        <f>IF(VLOOKUP(B35,Data!$A:$AN,MATCH(yoy!$K$1,Data!$A$1:$AN$1,),)=0,"#N/A",(VLOOKUP(B35,Data!$A:$AN,MATCH(yoy!$K$1,Data!$A$1:$AN$1,),)-VLOOKUP(A35,Data!$A:$AN,MATCH(yoy!$K$1,Data!$A$1:$AN$1,),))/VLOOKUP(A35,Data!$A:$AN,MATCH(yoy!$K$1,Data!$A$1:$AN$1,),))</f>
        <v/>
      </c>
      <c r="L35" s="14">
        <f>IF(VLOOKUP(B35,Data!$A:$AN,MATCH(yoy!$L$1,Data!$A$1:$AN$1,),)=0,"#N/A",(VLOOKUP(B35,Data!$A:$AN,MATCH(yoy!$L$1,Data!$A$1:$AN$1,),)-VLOOKUP(A35,Data!$A:$AN,MATCH(yoy!$L$1,Data!$A$1:$AN$1,),))/VLOOKUP(A35,Data!$A:$AN,MATCH(yoy!$L$1,Data!$A$1:$AN$1,),))</f>
        <v/>
      </c>
      <c r="M35" s="14">
        <f>IF(VLOOKUP(B35,Data!$A:$AN,MATCH(yoy!$M$1,Data!$A$1:$AN$1,),)=0,"#N/A",(VLOOKUP(B35,Data!$A:$AN,MATCH(yoy!$M$1,Data!$A$1:$AN$1,),)-VLOOKUP(A35,Data!$A:$AN,MATCH(yoy!$M$1,Data!$A$1:$AN$1,),))/VLOOKUP(A35,Data!$A:$AN,MATCH(yoy!$M$1,Data!$A$1:$AN$1,),))</f>
        <v/>
      </c>
      <c r="N35" s="14">
        <f>IF(VLOOKUP(B35,Data!$A:$AN,MATCH(yoy!$N$1,Data!$A$1:$AN$1,),)=0,"#N/A",(VLOOKUP(B35,Data!$A:$AN,MATCH(yoy!$N$1,Data!$A$1:$AN$1,),)-VLOOKUP(A35,Data!$A:$AN,MATCH(yoy!$N$1,Data!$A$1:$AN$1,),))/VLOOKUP(A35,Data!$A:$AN,MATCH(yoy!$N$1,Data!$A$1:$AN$1,),))</f>
        <v/>
      </c>
      <c r="O35" s="14">
        <f>IF(VLOOKUP(B35,Data!$A:$AN,MATCH(yoy!$O$1,Data!$A$1:$AN$1,),)=0,"#N/A",(VLOOKUP(B35,Data!$A:$AN,MATCH(yoy!$O$1,Data!$A$1:$AN$1,),)-VLOOKUP(A35,Data!$A:$AN,MATCH(yoy!$O$1,Data!$A$1:$AN$1,),))/VLOOKUP(A35,Data!$A:$AN,MATCH(yoy!$O$1,Data!$A$1:$AN$1,),))</f>
        <v/>
      </c>
      <c r="P35" s="14">
        <f>IF(VLOOKUP(B35,Data!$A:$AN,MATCH(yoy!$P$1,Data!$A$1:$AN$1,),)=0,"#N/A",(VLOOKUP(B35,Data!$A:$AN,MATCH(yoy!$P$1,Data!$A$1:$AN$1,),)-VLOOKUP(A35,Data!$A:$AN,MATCH(yoy!$P$1,Data!$A$1:$AN$1,),))/VLOOKUP(A35,Data!$A:$AN,MATCH(yoy!$P$1,Data!$A$1:$AN$1,),))</f>
        <v/>
      </c>
      <c r="Q35" s="14">
        <f>IF(VLOOKUP(B35,Data!$A:$AN,MATCH(yoy!$Q$1,Data!$A$1:$AN$1,),)=0,"#N/A",(VLOOKUP(B35,Data!$A:$AN,MATCH(yoy!$Q$1,Data!$A$1:$AN$1,),)-VLOOKUP(A35,Data!$A:$AN,MATCH(yoy!$Q$1,Data!$A$1:$AN$1,),))/VLOOKUP(A35,Data!$A:$AN,MATCH(yoy!$Q$1,Data!$A$1:$AN$1,),))</f>
        <v/>
      </c>
      <c r="R35" s="14">
        <f>IF(VLOOKUP(B35,Data!$A:$AN,MATCH(yoy!$R$1,Data!$A$1:$AN$1,),)=0,"#N/A",(VLOOKUP(B35,Data!$A:$AN,MATCH(yoy!$R$1,Data!$A$1:$AN$1,),)-VLOOKUP(A35,Data!$A:$AN,MATCH(yoy!$R$1,Data!$A$1:$AN$1,),))/VLOOKUP(A35,Data!$A:$AN,MATCH(yoy!$R$1,Data!$A$1:$AN$1,),))</f>
        <v/>
      </c>
      <c r="S35" s="14">
        <f>IF(VLOOKUP(B35,Data!$A:$AN,MATCH(yoy!$S$1,Data!$A$1:$AN$1,),)=0,"#N/A",(VLOOKUP(B35,Data!$A:$AN,MATCH(yoy!$S$1,Data!$A$1:$AN$1,),)-VLOOKUP(A35,Data!$A:$AN,MATCH(yoy!$S$1,Data!$A$1:$AN$1,),))/VLOOKUP(A35,Data!$A:$AN,MATCH(yoy!$S$1,Data!$A$1:$AN$1,),))</f>
        <v/>
      </c>
      <c r="T35" s="14">
        <f>IF(VLOOKUP(B35,Data!$A:$AN,MATCH(yoy!$T$1,Data!$A$1:$AN$1,),)=0,"#N/A",(VLOOKUP(B35,Data!$A:$AN,MATCH(yoy!$T$1,Data!$A$1:$AN$1,),)-VLOOKUP(A35,Data!$A:$AN,MATCH(yoy!$T$1,Data!$A$1:$AN$1,),))/VLOOKUP(A35,Data!$A:$AN,MATCH(yoy!$T$1,Data!$A$1:$AN$1,),))</f>
        <v/>
      </c>
      <c r="U35" s="14">
        <f>IF(VLOOKUP(B35,Data!$A:$AN,MATCH(yoy!$U$1,Data!$A$1:$AN$1,),)=0,"#N/A",(VLOOKUP(B35,Data!$A:$AN,MATCH(yoy!$U$1,Data!$A$1:$AN$1,),)-VLOOKUP(A35,Data!$A:$AN,MATCH(yoy!$U$1,Data!$A$1:$AN$1,),))/VLOOKUP(A35,Data!$A:$AN,MATCH(yoy!$U$1,Data!$A$1:$AN$1,),))</f>
        <v/>
      </c>
      <c r="V35" s="14">
        <f>IF(VLOOKUP(B35,Data!$A:$AN,MATCH(yoy!$V$1,Data!$A$1:$AN$1,),)=0,"#N/A",(VLOOKUP(B35,Data!$A:$AN,MATCH(yoy!$V$1,Data!$A$1:$AN$1,),)-VLOOKUP(A35,Data!$A:$AN,MATCH(yoy!$V$1,Data!$A$1:$AN$1,),))/VLOOKUP(A35,Data!$A:$AN,MATCH(yoy!$V$1,Data!$A$1:$AN$1,),))</f>
        <v/>
      </c>
      <c r="W35" s="14">
        <f>IF(VLOOKUP(B35,Data!$A:$AN,MATCH(yoy!$W$1,Data!$A$1:$AN$1,),)=0,"#N/A",(VLOOKUP(B35,Data!$A:$AN,MATCH(yoy!$W$1,Data!$A$1:$AN$1,),)-VLOOKUP(A35,Data!$A:$AN,MATCH(yoy!$W$1,Data!$A$1:$AN$1,),))/VLOOKUP(A35,Data!$A:$AN,MATCH(yoy!$W$1,Data!$A$1:$AN$1,),))</f>
        <v/>
      </c>
      <c r="X35" s="14">
        <f>IF(VLOOKUP(B35,Data!$A:$AN,MATCH(yoy!$X$1,Data!$A$1:$AN$1,),)=0,"#N/A",(VLOOKUP(B35,Data!$A:$AN,MATCH(yoy!$X$1,Data!$A$1:$AN$1,),)-VLOOKUP(A35,Data!$A:$AN,MATCH(yoy!$X$1,Data!$A$1:$AN$1,),))/VLOOKUP(A35,Data!$A:$AN,MATCH(yoy!$X$1,Data!$A$1:$AN$1,),))</f>
        <v/>
      </c>
      <c r="Y35" s="14">
        <f>IF(VLOOKUP(B35,Data!$A:$AN,MATCH(yoy!$Y$1,Data!$A$1:$AN$1,),)=0,"#N/A",(VLOOKUP(B35,Data!$A:$AN,MATCH(yoy!$Y$1,Data!$A$1:$AN$1,),)-VLOOKUP(A35,Data!$A:$AN,MATCH(yoy!$Y$1,Data!$A$1:$AN$1,),))/VLOOKUP(A35,Data!$A:$AN,MATCH(yoy!$Y$1,Data!$A$1:$AN$1,),))</f>
        <v/>
      </c>
      <c r="Z35" s="14">
        <f>IF(VLOOKUP(B35,Data!$A:$AN,MATCH(yoy!$Z$1,Data!$A$1:$AN$1,),)=0,"#N/A",(VLOOKUP(B35,Data!$A:$AN,MATCH(yoy!$Z$1,Data!$A$1:$AN$1,),)-VLOOKUP(A35,Data!$A:$AN,MATCH(yoy!$Z$1,Data!$A$1:$AN$1,),))/VLOOKUP(A35,Data!$A:$AN,MATCH(yoy!$Z$1,Data!$A$1:$AN$1,),))</f>
        <v/>
      </c>
      <c r="AA35" s="14">
        <f>IF(VLOOKUP(B35,Data!$A:$AN,MATCH(yoy!$AA$1,Data!$A$1:$AN$1,),)=0,"#N/A",(VLOOKUP(B35,Data!$A:$AN,MATCH(yoy!$AA$1,Data!$A$1:$AN$1,),)-VLOOKUP(A35,Data!$A:$AN,MATCH(yoy!$AA$1,Data!$A$1:$AN$1,),))/VLOOKUP(A35,Data!$A:$AN,MATCH(yoy!$AA$1,Data!$A$1:$AN$1,),))</f>
        <v/>
      </c>
    </row>
    <row r="36">
      <c r="A36" s="20">
        <f>DATE(YEAR(B36)-1,MONTH(B36),DAY(B36))</f>
        <v/>
      </c>
      <c r="B36" s="12" t="n">
        <v>42948</v>
      </c>
      <c r="C36" s="14">
        <f>IF(VLOOKUP(B36,Data!$A:$AN,MATCH(yoy!$C$1,Data!$A$1:$AN$1,),)=0,"#N/A",(VLOOKUP(B36,Data!$A:$AN,MATCH(yoy!$C$1,Data!$A$1:$AN$1,),)-VLOOKUP(A36,Data!$A:$AN,MATCH(yoy!$C$1,Data!$A$1:$AN$1,),))/VLOOKUP(A36,Data!$A:$AN,MATCH(yoy!$C$1,Data!$A$1:$AN$1,),))</f>
        <v/>
      </c>
      <c r="D36" s="14">
        <f>IF(VLOOKUP(B36,Data!$A:$AN,MATCH(yoy!$D$1,Data!$A$1:$AN$1,),)=0,"#N/A",(VLOOKUP(B36,Data!$A:$AN,MATCH(yoy!$D$1,Data!$A$1:$AN$1,),)-VLOOKUP(A36,Data!$A:$AN,MATCH(yoy!$D$1,Data!$A$1:$AN$1,),))/VLOOKUP(A36,Data!$A:$AN,MATCH(yoy!$D$1,Data!$A$1:$AN$1,),))</f>
        <v/>
      </c>
      <c r="E36" s="14">
        <f>IF(VLOOKUP(B36,Data!$A:$AN,MATCH(yoy!$E$1,Data!$A$1:$AN$1,),)=0,"#N/A",(VLOOKUP(B36,Data!$A:$AN,MATCH(yoy!$E$1,Data!$A$1:$AN$1,),)-VLOOKUP(A36,Data!$A:$AN,MATCH(yoy!$E$1,Data!$A$1:$AN$1,),))/VLOOKUP(A36,Data!$A:$AN,MATCH(yoy!$E$1,Data!$A$1:$AN$1,),))</f>
        <v/>
      </c>
      <c r="F36" s="14">
        <f>IF(VLOOKUP(B36,Data!$A:$AN,MATCH(yoy!$F$1,Data!$A$1:$AN$1,),)=0,"#N/A",(VLOOKUP(B36,Data!$A:$AN,MATCH(yoy!$F$1,Data!$A$1:$AN$1,),)-VLOOKUP(A36,Data!$A:$AN,MATCH(yoy!$F$1,Data!$A$1:$AN$1,),))/VLOOKUP(A36,Data!$A:$AN,MATCH(yoy!$F$1,Data!$A$1:$AN$1,),))</f>
        <v/>
      </c>
      <c r="G36" s="14">
        <f>IF(VLOOKUP(B36,Data!$A:$AN,MATCH(yoy!$G$1,Data!$A$1:$AN$1,),)=0,"#N/A",(VLOOKUP(B36,Data!$A:$AN,MATCH(yoy!$G$1,Data!$A$1:$AN$1,),)-VLOOKUP(A36,Data!$A:$AN,MATCH(yoy!$G$1,Data!$A$1:$AN$1,),))/VLOOKUP(A36,Data!$A:$AN,MATCH(yoy!$G$1,Data!$A$1:$AN$1,),))</f>
        <v/>
      </c>
      <c r="H36" s="14">
        <f>IF(VLOOKUP(B36,Data!$A:$AN,MATCH(yoy!$H$1,Data!$A$1:$AN$1,),)=0,"#N/A",(VLOOKUP(B36,Data!$A:$AN,MATCH(yoy!$H$1,Data!$A$1:$AN$1,),)-VLOOKUP(A36,Data!$A:$AN,MATCH(yoy!$H$1,Data!$A$1:$AN$1,),))/VLOOKUP(A36,Data!$A:$AN,MATCH(yoy!$H$1,Data!$A$1:$AN$1,),))</f>
        <v/>
      </c>
      <c r="I36" s="14">
        <f>IF(VLOOKUP(B36,Data!$A:$AN,MATCH(yoy!$I$1,Data!$A$1:$AN$1,),)=0,"#N/A",(VLOOKUP(B36,Data!$A:$AN,MATCH(yoy!$I$1,Data!$A$1:$AN$1,),)-VLOOKUP(A36,Data!$A:$AN,MATCH(yoy!$I$1,Data!$A$1:$AN$1,),))/VLOOKUP(A36,Data!$A:$AN,MATCH(yoy!$I$1,Data!$A$1:$AN$1,),))</f>
        <v/>
      </c>
      <c r="J36" s="14">
        <f>IF(VLOOKUP(B36,Data!$A:$AN,MATCH(yoy!$J$1,Data!$A$1:$AN$1,),)=0,"#N/A",(VLOOKUP(B36,Data!$A:$AN,MATCH(yoy!$J$1,Data!$A$1:$AN$1,),)-VLOOKUP(A36,Data!$A:$AN,MATCH(yoy!$J$1,Data!$A$1:$AN$1,),))/VLOOKUP(A36,Data!$A:$AN,MATCH(yoy!$J$1,Data!$A$1:$AN$1,),))</f>
        <v/>
      </c>
      <c r="K36" s="14">
        <f>IF(VLOOKUP(B36,Data!$A:$AN,MATCH(yoy!$K$1,Data!$A$1:$AN$1,),)=0,"#N/A",(VLOOKUP(B36,Data!$A:$AN,MATCH(yoy!$K$1,Data!$A$1:$AN$1,),)-VLOOKUP(A36,Data!$A:$AN,MATCH(yoy!$K$1,Data!$A$1:$AN$1,),))/VLOOKUP(A36,Data!$A:$AN,MATCH(yoy!$K$1,Data!$A$1:$AN$1,),))</f>
        <v/>
      </c>
      <c r="L36" s="14">
        <f>IF(VLOOKUP(B36,Data!$A:$AN,MATCH(yoy!$L$1,Data!$A$1:$AN$1,),)=0,"#N/A",(VLOOKUP(B36,Data!$A:$AN,MATCH(yoy!$L$1,Data!$A$1:$AN$1,),)-VLOOKUP(A36,Data!$A:$AN,MATCH(yoy!$L$1,Data!$A$1:$AN$1,),))/VLOOKUP(A36,Data!$A:$AN,MATCH(yoy!$L$1,Data!$A$1:$AN$1,),))</f>
        <v/>
      </c>
      <c r="M36" s="14">
        <f>IF(VLOOKUP(B36,Data!$A:$AN,MATCH(yoy!$M$1,Data!$A$1:$AN$1,),)=0,"#N/A",(VLOOKUP(B36,Data!$A:$AN,MATCH(yoy!$M$1,Data!$A$1:$AN$1,),)-VLOOKUP(A36,Data!$A:$AN,MATCH(yoy!$M$1,Data!$A$1:$AN$1,),))/VLOOKUP(A36,Data!$A:$AN,MATCH(yoy!$M$1,Data!$A$1:$AN$1,),))</f>
        <v/>
      </c>
      <c r="N36" s="14">
        <f>IF(VLOOKUP(B36,Data!$A:$AN,MATCH(yoy!$N$1,Data!$A$1:$AN$1,),)=0,"#N/A",(VLOOKUP(B36,Data!$A:$AN,MATCH(yoy!$N$1,Data!$A$1:$AN$1,),)-VLOOKUP(A36,Data!$A:$AN,MATCH(yoy!$N$1,Data!$A$1:$AN$1,),))/VLOOKUP(A36,Data!$A:$AN,MATCH(yoy!$N$1,Data!$A$1:$AN$1,),))</f>
        <v/>
      </c>
      <c r="O36" s="14">
        <f>IF(VLOOKUP(B36,Data!$A:$AN,MATCH(yoy!$O$1,Data!$A$1:$AN$1,),)=0,"#N/A",(VLOOKUP(B36,Data!$A:$AN,MATCH(yoy!$O$1,Data!$A$1:$AN$1,),)-VLOOKUP(A36,Data!$A:$AN,MATCH(yoy!$O$1,Data!$A$1:$AN$1,),))/VLOOKUP(A36,Data!$A:$AN,MATCH(yoy!$O$1,Data!$A$1:$AN$1,),))</f>
        <v/>
      </c>
      <c r="P36" s="14">
        <f>IF(VLOOKUP(B36,Data!$A:$AN,MATCH(yoy!$P$1,Data!$A$1:$AN$1,),)=0,"#N/A",(VLOOKUP(B36,Data!$A:$AN,MATCH(yoy!$P$1,Data!$A$1:$AN$1,),)-VLOOKUP(A36,Data!$A:$AN,MATCH(yoy!$P$1,Data!$A$1:$AN$1,),))/VLOOKUP(A36,Data!$A:$AN,MATCH(yoy!$P$1,Data!$A$1:$AN$1,),))</f>
        <v/>
      </c>
      <c r="Q36" s="14">
        <f>IF(VLOOKUP(B36,Data!$A:$AN,MATCH(yoy!$Q$1,Data!$A$1:$AN$1,),)=0,"#N/A",(VLOOKUP(B36,Data!$A:$AN,MATCH(yoy!$Q$1,Data!$A$1:$AN$1,),)-VLOOKUP(A36,Data!$A:$AN,MATCH(yoy!$Q$1,Data!$A$1:$AN$1,),))/VLOOKUP(A36,Data!$A:$AN,MATCH(yoy!$Q$1,Data!$A$1:$AN$1,),))</f>
        <v/>
      </c>
      <c r="R36" s="14">
        <f>IF(VLOOKUP(B36,Data!$A:$AN,MATCH(yoy!$R$1,Data!$A$1:$AN$1,),)=0,"#N/A",(VLOOKUP(B36,Data!$A:$AN,MATCH(yoy!$R$1,Data!$A$1:$AN$1,),)-VLOOKUP(A36,Data!$A:$AN,MATCH(yoy!$R$1,Data!$A$1:$AN$1,),))/VLOOKUP(A36,Data!$A:$AN,MATCH(yoy!$R$1,Data!$A$1:$AN$1,),))</f>
        <v/>
      </c>
      <c r="S36" s="14">
        <f>IF(VLOOKUP(B36,Data!$A:$AN,MATCH(yoy!$S$1,Data!$A$1:$AN$1,),)=0,"#N/A",(VLOOKUP(B36,Data!$A:$AN,MATCH(yoy!$S$1,Data!$A$1:$AN$1,),)-VLOOKUP(A36,Data!$A:$AN,MATCH(yoy!$S$1,Data!$A$1:$AN$1,),))/VLOOKUP(A36,Data!$A:$AN,MATCH(yoy!$S$1,Data!$A$1:$AN$1,),))</f>
        <v/>
      </c>
      <c r="T36" s="14">
        <f>IF(VLOOKUP(B36,Data!$A:$AN,MATCH(yoy!$T$1,Data!$A$1:$AN$1,),)=0,"#N/A",(VLOOKUP(B36,Data!$A:$AN,MATCH(yoy!$T$1,Data!$A$1:$AN$1,),)-VLOOKUP(A36,Data!$A:$AN,MATCH(yoy!$T$1,Data!$A$1:$AN$1,),))/VLOOKUP(A36,Data!$A:$AN,MATCH(yoy!$T$1,Data!$A$1:$AN$1,),))</f>
        <v/>
      </c>
      <c r="U36" s="14">
        <f>IF(VLOOKUP(B36,Data!$A:$AN,MATCH(yoy!$U$1,Data!$A$1:$AN$1,),)=0,"#N/A",(VLOOKUP(B36,Data!$A:$AN,MATCH(yoy!$U$1,Data!$A$1:$AN$1,),)-VLOOKUP(A36,Data!$A:$AN,MATCH(yoy!$U$1,Data!$A$1:$AN$1,),))/VLOOKUP(A36,Data!$A:$AN,MATCH(yoy!$U$1,Data!$A$1:$AN$1,),))</f>
        <v/>
      </c>
      <c r="V36" s="14">
        <f>IF(VLOOKUP(B36,Data!$A:$AN,MATCH(yoy!$V$1,Data!$A$1:$AN$1,),)=0,"#N/A",(VLOOKUP(B36,Data!$A:$AN,MATCH(yoy!$V$1,Data!$A$1:$AN$1,),)-VLOOKUP(A36,Data!$A:$AN,MATCH(yoy!$V$1,Data!$A$1:$AN$1,),))/VLOOKUP(A36,Data!$A:$AN,MATCH(yoy!$V$1,Data!$A$1:$AN$1,),))</f>
        <v/>
      </c>
      <c r="W36" s="14">
        <f>IF(VLOOKUP(B36,Data!$A:$AN,MATCH(yoy!$W$1,Data!$A$1:$AN$1,),)=0,"#N/A",(VLOOKUP(B36,Data!$A:$AN,MATCH(yoy!$W$1,Data!$A$1:$AN$1,),)-VLOOKUP(A36,Data!$A:$AN,MATCH(yoy!$W$1,Data!$A$1:$AN$1,),))/VLOOKUP(A36,Data!$A:$AN,MATCH(yoy!$W$1,Data!$A$1:$AN$1,),))</f>
        <v/>
      </c>
      <c r="X36" s="14">
        <f>IF(VLOOKUP(B36,Data!$A:$AN,MATCH(yoy!$X$1,Data!$A$1:$AN$1,),)=0,"#N/A",(VLOOKUP(B36,Data!$A:$AN,MATCH(yoy!$X$1,Data!$A$1:$AN$1,),)-VLOOKUP(A36,Data!$A:$AN,MATCH(yoy!$X$1,Data!$A$1:$AN$1,),))/VLOOKUP(A36,Data!$A:$AN,MATCH(yoy!$X$1,Data!$A$1:$AN$1,),))</f>
        <v/>
      </c>
      <c r="Y36" s="14">
        <f>IF(VLOOKUP(B36,Data!$A:$AN,MATCH(yoy!$Y$1,Data!$A$1:$AN$1,),)=0,"#N/A",(VLOOKUP(B36,Data!$A:$AN,MATCH(yoy!$Y$1,Data!$A$1:$AN$1,),)-VLOOKUP(A36,Data!$A:$AN,MATCH(yoy!$Y$1,Data!$A$1:$AN$1,),))/VLOOKUP(A36,Data!$A:$AN,MATCH(yoy!$Y$1,Data!$A$1:$AN$1,),))</f>
        <v/>
      </c>
      <c r="Z36" s="14">
        <f>IF(VLOOKUP(B36,Data!$A:$AN,MATCH(yoy!$Z$1,Data!$A$1:$AN$1,),)=0,"#N/A",(VLOOKUP(B36,Data!$A:$AN,MATCH(yoy!$Z$1,Data!$A$1:$AN$1,),)-VLOOKUP(A36,Data!$A:$AN,MATCH(yoy!$Z$1,Data!$A$1:$AN$1,),))/VLOOKUP(A36,Data!$A:$AN,MATCH(yoy!$Z$1,Data!$A$1:$AN$1,),))</f>
        <v/>
      </c>
      <c r="AA36" s="14">
        <f>IF(VLOOKUP(B36,Data!$A:$AN,MATCH(yoy!$AA$1,Data!$A$1:$AN$1,),)=0,"#N/A",(VLOOKUP(B36,Data!$A:$AN,MATCH(yoy!$AA$1,Data!$A$1:$AN$1,),)-VLOOKUP(A36,Data!$A:$AN,MATCH(yoy!$AA$1,Data!$A$1:$AN$1,),))/VLOOKUP(A36,Data!$A:$AN,MATCH(yoy!$AA$1,Data!$A$1:$AN$1,),))</f>
        <v/>
      </c>
    </row>
    <row r="37">
      <c r="A37" s="20">
        <f>DATE(YEAR(B37)-1,MONTH(B37),DAY(B37))</f>
        <v/>
      </c>
      <c r="B37" s="12" t="n">
        <v>42979</v>
      </c>
      <c r="C37" s="14">
        <f>IF(VLOOKUP(B37,Data!$A:$AN,MATCH(yoy!$C$1,Data!$A$1:$AN$1,),)=0,"#N/A",(VLOOKUP(B37,Data!$A:$AN,MATCH(yoy!$C$1,Data!$A$1:$AN$1,),)-VLOOKUP(A37,Data!$A:$AN,MATCH(yoy!$C$1,Data!$A$1:$AN$1,),))/VLOOKUP(A37,Data!$A:$AN,MATCH(yoy!$C$1,Data!$A$1:$AN$1,),))</f>
        <v/>
      </c>
      <c r="D37" s="14">
        <f>IF(VLOOKUP(B37,Data!$A:$AN,MATCH(yoy!$D$1,Data!$A$1:$AN$1,),)=0,"#N/A",(VLOOKUP(B37,Data!$A:$AN,MATCH(yoy!$D$1,Data!$A$1:$AN$1,),)-VLOOKUP(A37,Data!$A:$AN,MATCH(yoy!$D$1,Data!$A$1:$AN$1,),))/VLOOKUP(A37,Data!$A:$AN,MATCH(yoy!$D$1,Data!$A$1:$AN$1,),))</f>
        <v/>
      </c>
      <c r="E37" s="14">
        <f>IF(VLOOKUP(B37,Data!$A:$AN,MATCH(yoy!$E$1,Data!$A$1:$AN$1,),)=0,"#N/A",(VLOOKUP(B37,Data!$A:$AN,MATCH(yoy!$E$1,Data!$A$1:$AN$1,),)-VLOOKUP(A37,Data!$A:$AN,MATCH(yoy!$E$1,Data!$A$1:$AN$1,),))/VLOOKUP(A37,Data!$A:$AN,MATCH(yoy!$E$1,Data!$A$1:$AN$1,),))</f>
        <v/>
      </c>
      <c r="F37" s="14">
        <f>IF(VLOOKUP(B37,Data!$A:$AN,MATCH(yoy!$F$1,Data!$A$1:$AN$1,),)=0,"#N/A",(VLOOKUP(B37,Data!$A:$AN,MATCH(yoy!$F$1,Data!$A$1:$AN$1,),)-VLOOKUP(A37,Data!$A:$AN,MATCH(yoy!$F$1,Data!$A$1:$AN$1,),))/VLOOKUP(A37,Data!$A:$AN,MATCH(yoy!$F$1,Data!$A$1:$AN$1,),))</f>
        <v/>
      </c>
      <c r="G37" s="14">
        <f>IF(VLOOKUP(B37,Data!$A:$AN,MATCH(yoy!$G$1,Data!$A$1:$AN$1,),)=0,"#N/A",(VLOOKUP(B37,Data!$A:$AN,MATCH(yoy!$G$1,Data!$A$1:$AN$1,),)-VLOOKUP(A37,Data!$A:$AN,MATCH(yoy!$G$1,Data!$A$1:$AN$1,),))/VLOOKUP(A37,Data!$A:$AN,MATCH(yoy!$G$1,Data!$A$1:$AN$1,),))</f>
        <v/>
      </c>
      <c r="H37" s="14">
        <f>IF(VLOOKUP(B37,Data!$A:$AN,MATCH(yoy!$H$1,Data!$A$1:$AN$1,),)=0,"#N/A",(VLOOKUP(B37,Data!$A:$AN,MATCH(yoy!$H$1,Data!$A$1:$AN$1,),)-VLOOKUP(A37,Data!$A:$AN,MATCH(yoy!$H$1,Data!$A$1:$AN$1,),))/VLOOKUP(A37,Data!$A:$AN,MATCH(yoy!$H$1,Data!$A$1:$AN$1,),))</f>
        <v/>
      </c>
      <c r="I37" s="14">
        <f>IF(VLOOKUP(B37,Data!$A:$AN,MATCH(yoy!$I$1,Data!$A$1:$AN$1,),)=0,"#N/A",(VLOOKUP(B37,Data!$A:$AN,MATCH(yoy!$I$1,Data!$A$1:$AN$1,),)-VLOOKUP(A37,Data!$A:$AN,MATCH(yoy!$I$1,Data!$A$1:$AN$1,),))/VLOOKUP(A37,Data!$A:$AN,MATCH(yoy!$I$1,Data!$A$1:$AN$1,),))</f>
        <v/>
      </c>
      <c r="J37" s="14">
        <f>IF(VLOOKUP(B37,Data!$A:$AN,MATCH(yoy!$J$1,Data!$A$1:$AN$1,),)=0,"#N/A",(VLOOKUP(B37,Data!$A:$AN,MATCH(yoy!$J$1,Data!$A$1:$AN$1,),)-VLOOKUP(A37,Data!$A:$AN,MATCH(yoy!$J$1,Data!$A$1:$AN$1,),))/VLOOKUP(A37,Data!$A:$AN,MATCH(yoy!$J$1,Data!$A$1:$AN$1,),))</f>
        <v/>
      </c>
      <c r="K37" s="14">
        <f>IF(VLOOKUP(B37,Data!$A:$AN,MATCH(yoy!$K$1,Data!$A$1:$AN$1,),)=0,"#N/A",(VLOOKUP(B37,Data!$A:$AN,MATCH(yoy!$K$1,Data!$A$1:$AN$1,),)-VLOOKUP(A37,Data!$A:$AN,MATCH(yoy!$K$1,Data!$A$1:$AN$1,),))/VLOOKUP(A37,Data!$A:$AN,MATCH(yoy!$K$1,Data!$A$1:$AN$1,),))</f>
        <v/>
      </c>
      <c r="L37" s="14">
        <f>IF(VLOOKUP(B37,Data!$A:$AN,MATCH(yoy!$L$1,Data!$A$1:$AN$1,),)=0,"#N/A",(VLOOKUP(B37,Data!$A:$AN,MATCH(yoy!$L$1,Data!$A$1:$AN$1,),)-VLOOKUP(A37,Data!$A:$AN,MATCH(yoy!$L$1,Data!$A$1:$AN$1,),))/VLOOKUP(A37,Data!$A:$AN,MATCH(yoy!$L$1,Data!$A$1:$AN$1,),))</f>
        <v/>
      </c>
      <c r="M37" s="14">
        <f>IF(VLOOKUP(B37,Data!$A:$AN,MATCH(yoy!$M$1,Data!$A$1:$AN$1,),)=0,"#N/A",(VLOOKUP(B37,Data!$A:$AN,MATCH(yoy!$M$1,Data!$A$1:$AN$1,),)-VLOOKUP(A37,Data!$A:$AN,MATCH(yoy!$M$1,Data!$A$1:$AN$1,),))/VLOOKUP(A37,Data!$A:$AN,MATCH(yoy!$M$1,Data!$A$1:$AN$1,),))</f>
        <v/>
      </c>
      <c r="N37" s="14">
        <f>IF(VLOOKUP(B37,Data!$A:$AN,MATCH(yoy!$N$1,Data!$A$1:$AN$1,),)=0,"#N/A",(VLOOKUP(B37,Data!$A:$AN,MATCH(yoy!$N$1,Data!$A$1:$AN$1,),)-VLOOKUP(A37,Data!$A:$AN,MATCH(yoy!$N$1,Data!$A$1:$AN$1,),))/VLOOKUP(A37,Data!$A:$AN,MATCH(yoy!$N$1,Data!$A$1:$AN$1,),))</f>
        <v/>
      </c>
      <c r="O37" s="14">
        <f>IF(VLOOKUP(B37,Data!$A:$AN,MATCH(yoy!$O$1,Data!$A$1:$AN$1,),)=0,"#N/A",(VLOOKUP(B37,Data!$A:$AN,MATCH(yoy!$O$1,Data!$A$1:$AN$1,),)-VLOOKUP(A37,Data!$A:$AN,MATCH(yoy!$O$1,Data!$A$1:$AN$1,),))/VLOOKUP(A37,Data!$A:$AN,MATCH(yoy!$O$1,Data!$A$1:$AN$1,),))</f>
        <v/>
      </c>
      <c r="P37" s="14">
        <f>IF(VLOOKUP(B37,Data!$A:$AN,MATCH(yoy!$P$1,Data!$A$1:$AN$1,),)=0,"#N/A",(VLOOKUP(B37,Data!$A:$AN,MATCH(yoy!$P$1,Data!$A$1:$AN$1,),)-VLOOKUP(A37,Data!$A:$AN,MATCH(yoy!$P$1,Data!$A$1:$AN$1,),))/VLOOKUP(A37,Data!$A:$AN,MATCH(yoy!$P$1,Data!$A$1:$AN$1,),))</f>
        <v/>
      </c>
      <c r="Q37" s="14">
        <f>IF(VLOOKUP(B37,Data!$A:$AN,MATCH(yoy!$Q$1,Data!$A$1:$AN$1,),)=0,"#N/A",(VLOOKUP(B37,Data!$A:$AN,MATCH(yoy!$Q$1,Data!$A$1:$AN$1,),)-VLOOKUP(A37,Data!$A:$AN,MATCH(yoy!$Q$1,Data!$A$1:$AN$1,),))/VLOOKUP(A37,Data!$A:$AN,MATCH(yoy!$Q$1,Data!$A$1:$AN$1,),))</f>
        <v/>
      </c>
      <c r="R37" s="14">
        <f>IF(VLOOKUP(B37,Data!$A:$AN,MATCH(yoy!$R$1,Data!$A$1:$AN$1,),)=0,"#N/A",(VLOOKUP(B37,Data!$A:$AN,MATCH(yoy!$R$1,Data!$A$1:$AN$1,),)-VLOOKUP(A37,Data!$A:$AN,MATCH(yoy!$R$1,Data!$A$1:$AN$1,),))/VLOOKUP(A37,Data!$A:$AN,MATCH(yoy!$R$1,Data!$A$1:$AN$1,),))</f>
        <v/>
      </c>
      <c r="S37" s="14">
        <f>IF(VLOOKUP(B37,Data!$A:$AN,MATCH(yoy!$S$1,Data!$A$1:$AN$1,),)=0,"#N/A",(VLOOKUP(B37,Data!$A:$AN,MATCH(yoy!$S$1,Data!$A$1:$AN$1,),)-VLOOKUP(A37,Data!$A:$AN,MATCH(yoy!$S$1,Data!$A$1:$AN$1,),))/VLOOKUP(A37,Data!$A:$AN,MATCH(yoy!$S$1,Data!$A$1:$AN$1,),))</f>
        <v/>
      </c>
      <c r="T37" s="14">
        <f>IF(VLOOKUP(B37,Data!$A:$AN,MATCH(yoy!$T$1,Data!$A$1:$AN$1,),)=0,"#N/A",(VLOOKUP(B37,Data!$A:$AN,MATCH(yoy!$T$1,Data!$A$1:$AN$1,),)-VLOOKUP(A37,Data!$A:$AN,MATCH(yoy!$T$1,Data!$A$1:$AN$1,),))/VLOOKUP(A37,Data!$A:$AN,MATCH(yoy!$T$1,Data!$A$1:$AN$1,),))</f>
        <v/>
      </c>
      <c r="U37" s="14">
        <f>IF(VLOOKUP(B37,Data!$A:$AN,MATCH(yoy!$U$1,Data!$A$1:$AN$1,),)=0,"#N/A",(VLOOKUP(B37,Data!$A:$AN,MATCH(yoy!$U$1,Data!$A$1:$AN$1,),)-VLOOKUP(A37,Data!$A:$AN,MATCH(yoy!$U$1,Data!$A$1:$AN$1,),))/VLOOKUP(A37,Data!$A:$AN,MATCH(yoy!$U$1,Data!$A$1:$AN$1,),))</f>
        <v/>
      </c>
      <c r="V37" s="14">
        <f>IF(VLOOKUP(B37,Data!$A:$AN,MATCH(yoy!$V$1,Data!$A$1:$AN$1,),)=0,"#N/A",(VLOOKUP(B37,Data!$A:$AN,MATCH(yoy!$V$1,Data!$A$1:$AN$1,),)-VLOOKUP(A37,Data!$A:$AN,MATCH(yoy!$V$1,Data!$A$1:$AN$1,),))/VLOOKUP(A37,Data!$A:$AN,MATCH(yoy!$V$1,Data!$A$1:$AN$1,),))</f>
        <v/>
      </c>
      <c r="W37" s="14">
        <f>IF(VLOOKUP(B37,Data!$A:$AN,MATCH(yoy!$W$1,Data!$A$1:$AN$1,),)=0,"#N/A",(VLOOKUP(B37,Data!$A:$AN,MATCH(yoy!$W$1,Data!$A$1:$AN$1,),)-VLOOKUP(A37,Data!$A:$AN,MATCH(yoy!$W$1,Data!$A$1:$AN$1,),))/VLOOKUP(A37,Data!$A:$AN,MATCH(yoy!$W$1,Data!$A$1:$AN$1,),))</f>
        <v/>
      </c>
      <c r="X37" s="14">
        <f>IF(VLOOKUP(B37,Data!$A:$AN,MATCH(yoy!$X$1,Data!$A$1:$AN$1,),)=0,"#N/A",(VLOOKUP(B37,Data!$A:$AN,MATCH(yoy!$X$1,Data!$A$1:$AN$1,),)-VLOOKUP(A37,Data!$A:$AN,MATCH(yoy!$X$1,Data!$A$1:$AN$1,),))/VLOOKUP(A37,Data!$A:$AN,MATCH(yoy!$X$1,Data!$A$1:$AN$1,),))</f>
        <v/>
      </c>
      <c r="Y37" s="14">
        <f>IF(VLOOKUP(B37,Data!$A:$AN,MATCH(yoy!$Y$1,Data!$A$1:$AN$1,),)=0,"#N/A",(VLOOKUP(B37,Data!$A:$AN,MATCH(yoy!$Y$1,Data!$A$1:$AN$1,),)-VLOOKUP(A37,Data!$A:$AN,MATCH(yoy!$Y$1,Data!$A$1:$AN$1,),))/VLOOKUP(A37,Data!$A:$AN,MATCH(yoy!$Y$1,Data!$A$1:$AN$1,),))</f>
        <v/>
      </c>
      <c r="Z37" s="14">
        <f>IF(VLOOKUP(B37,Data!$A:$AN,MATCH(yoy!$Z$1,Data!$A$1:$AN$1,),)=0,"#N/A",(VLOOKUP(B37,Data!$A:$AN,MATCH(yoy!$Z$1,Data!$A$1:$AN$1,),)-VLOOKUP(A37,Data!$A:$AN,MATCH(yoy!$Z$1,Data!$A$1:$AN$1,),))/VLOOKUP(A37,Data!$A:$AN,MATCH(yoy!$Z$1,Data!$A$1:$AN$1,),))</f>
        <v/>
      </c>
      <c r="AA37" s="14">
        <f>IF(VLOOKUP(B37,Data!$A:$AN,MATCH(yoy!$AA$1,Data!$A$1:$AN$1,),)=0,"#N/A",(VLOOKUP(B37,Data!$A:$AN,MATCH(yoy!$AA$1,Data!$A$1:$AN$1,),)-VLOOKUP(A37,Data!$A:$AN,MATCH(yoy!$AA$1,Data!$A$1:$AN$1,),))/VLOOKUP(A37,Data!$A:$AN,MATCH(yoy!$AA$1,Data!$A$1:$AN$1,),))</f>
        <v/>
      </c>
    </row>
    <row r="38">
      <c r="A38" s="20">
        <f>DATE(YEAR(B38)-1,MONTH(B38),DAY(B38))</f>
        <v/>
      </c>
      <c r="B38" s="12" t="n">
        <v>43009</v>
      </c>
      <c r="C38" s="14">
        <f>IF(VLOOKUP(B38,Data!$A:$AN,MATCH(yoy!$C$1,Data!$A$1:$AN$1,),)=0,"#N/A",(VLOOKUP(B38,Data!$A:$AN,MATCH(yoy!$C$1,Data!$A$1:$AN$1,),)-VLOOKUP(A38,Data!$A:$AN,MATCH(yoy!$C$1,Data!$A$1:$AN$1,),))/VLOOKUP(A38,Data!$A:$AN,MATCH(yoy!$C$1,Data!$A$1:$AN$1,),))</f>
        <v/>
      </c>
      <c r="D38" s="14">
        <f>IF(VLOOKUP(B38,Data!$A:$AN,MATCH(yoy!$D$1,Data!$A$1:$AN$1,),)=0,"#N/A",(VLOOKUP(B38,Data!$A:$AN,MATCH(yoy!$D$1,Data!$A$1:$AN$1,),)-VLOOKUP(A38,Data!$A:$AN,MATCH(yoy!$D$1,Data!$A$1:$AN$1,),))/VLOOKUP(A38,Data!$A:$AN,MATCH(yoy!$D$1,Data!$A$1:$AN$1,),))</f>
        <v/>
      </c>
      <c r="E38" s="14">
        <f>IF(VLOOKUP(B38,Data!$A:$AN,MATCH(yoy!$E$1,Data!$A$1:$AN$1,),)=0,"#N/A",(VLOOKUP(B38,Data!$A:$AN,MATCH(yoy!$E$1,Data!$A$1:$AN$1,),)-VLOOKUP(A38,Data!$A:$AN,MATCH(yoy!$E$1,Data!$A$1:$AN$1,),))/VLOOKUP(A38,Data!$A:$AN,MATCH(yoy!$E$1,Data!$A$1:$AN$1,),))</f>
        <v/>
      </c>
      <c r="F38" s="14">
        <f>IF(VLOOKUP(B38,Data!$A:$AN,MATCH(yoy!$F$1,Data!$A$1:$AN$1,),)=0,"#N/A",(VLOOKUP(B38,Data!$A:$AN,MATCH(yoy!$F$1,Data!$A$1:$AN$1,),)-VLOOKUP(A38,Data!$A:$AN,MATCH(yoy!$F$1,Data!$A$1:$AN$1,),))/VLOOKUP(A38,Data!$A:$AN,MATCH(yoy!$F$1,Data!$A$1:$AN$1,),))</f>
        <v/>
      </c>
      <c r="G38" s="14">
        <f>IF(VLOOKUP(B38,Data!$A:$AN,MATCH(yoy!$G$1,Data!$A$1:$AN$1,),)=0,"#N/A",(VLOOKUP(B38,Data!$A:$AN,MATCH(yoy!$G$1,Data!$A$1:$AN$1,),)-VLOOKUP(A38,Data!$A:$AN,MATCH(yoy!$G$1,Data!$A$1:$AN$1,),))/VLOOKUP(A38,Data!$A:$AN,MATCH(yoy!$G$1,Data!$A$1:$AN$1,),))</f>
        <v/>
      </c>
      <c r="H38" s="14">
        <f>IF(VLOOKUP(B38,Data!$A:$AN,MATCH(yoy!$H$1,Data!$A$1:$AN$1,),)=0,"#N/A",(VLOOKUP(B38,Data!$A:$AN,MATCH(yoy!$H$1,Data!$A$1:$AN$1,),)-VLOOKUP(A38,Data!$A:$AN,MATCH(yoy!$H$1,Data!$A$1:$AN$1,),))/VLOOKUP(A38,Data!$A:$AN,MATCH(yoy!$H$1,Data!$A$1:$AN$1,),))</f>
        <v/>
      </c>
      <c r="I38" s="14">
        <f>IF(VLOOKUP(B38,Data!$A:$AN,MATCH(yoy!$I$1,Data!$A$1:$AN$1,),)=0,"#N/A",(VLOOKUP(B38,Data!$A:$AN,MATCH(yoy!$I$1,Data!$A$1:$AN$1,),)-VLOOKUP(A38,Data!$A:$AN,MATCH(yoy!$I$1,Data!$A$1:$AN$1,),))/VLOOKUP(A38,Data!$A:$AN,MATCH(yoy!$I$1,Data!$A$1:$AN$1,),))</f>
        <v/>
      </c>
      <c r="J38" s="14">
        <f>IF(VLOOKUP(B38,Data!$A:$AN,MATCH(yoy!$J$1,Data!$A$1:$AN$1,),)=0,"#N/A",(VLOOKUP(B38,Data!$A:$AN,MATCH(yoy!$J$1,Data!$A$1:$AN$1,),)-VLOOKUP(A38,Data!$A:$AN,MATCH(yoy!$J$1,Data!$A$1:$AN$1,),))/VLOOKUP(A38,Data!$A:$AN,MATCH(yoy!$J$1,Data!$A$1:$AN$1,),))</f>
        <v/>
      </c>
      <c r="K38" s="14">
        <f>IF(VLOOKUP(B38,Data!$A:$AN,MATCH(yoy!$K$1,Data!$A$1:$AN$1,),)=0,"#N/A",(VLOOKUP(B38,Data!$A:$AN,MATCH(yoy!$K$1,Data!$A$1:$AN$1,),)-VLOOKUP(A38,Data!$A:$AN,MATCH(yoy!$K$1,Data!$A$1:$AN$1,),))/VLOOKUP(A38,Data!$A:$AN,MATCH(yoy!$K$1,Data!$A$1:$AN$1,),))</f>
        <v/>
      </c>
      <c r="L38" s="14">
        <f>IF(VLOOKUP(B38,Data!$A:$AN,MATCH(yoy!$L$1,Data!$A$1:$AN$1,),)=0,"#N/A",(VLOOKUP(B38,Data!$A:$AN,MATCH(yoy!$L$1,Data!$A$1:$AN$1,),)-VLOOKUP(A38,Data!$A:$AN,MATCH(yoy!$L$1,Data!$A$1:$AN$1,),))/VLOOKUP(A38,Data!$A:$AN,MATCH(yoy!$L$1,Data!$A$1:$AN$1,),))</f>
        <v/>
      </c>
      <c r="M38" s="14">
        <f>IF(VLOOKUP(B38,Data!$A:$AN,MATCH(yoy!$M$1,Data!$A$1:$AN$1,),)=0,"#N/A",(VLOOKUP(B38,Data!$A:$AN,MATCH(yoy!$M$1,Data!$A$1:$AN$1,),)-VLOOKUP(A38,Data!$A:$AN,MATCH(yoy!$M$1,Data!$A$1:$AN$1,),))/VLOOKUP(A38,Data!$A:$AN,MATCH(yoy!$M$1,Data!$A$1:$AN$1,),))</f>
        <v/>
      </c>
      <c r="N38" s="14">
        <f>IF(VLOOKUP(B38,Data!$A:$AN,MATCH(yoy!$N$1,Data!$A$1:$AN$1,),)=0,"#N/A",(VLOOKUP(B38,Data!$A:$AN,MATCH(yoy!$N$1,Data!$A$1:$AN$1,),)-VLOOKUP(A38,Data!$A:$AN,MATCH(yoy!$N$1,Data!$A$1:$AN$1,),))/VLOOKUP(A38,Data!$A:$AN,MATCH(yoy!$N$1,Data!$A$1:$AN$1,),))</f>
        <v/>
      </c>
      <c r="O38" s="14">
        <f>IF(VLOOKUP(B38,Data!$A:$AN,MATCH(yoy!$O$1,Data!$A$1:$AN$1,),)=0,"#N/A",(VLOOKUP(B38,Data!$A:$AN,MATCH(yoy!$O$1,Data!$A$1:$AN$1,),)-VLOOKUP(A38,Data!$A:$AN,MATCH(yoy!$O$1,Data!$A$1:$AN$1,),))/VLOOKUP(A38,Data!$A:$AN,MATCH(yoy!$O$1,Data!$A$1:$AN$1,),))</f>
        <v/>
      </c>
      <c r="P38" s="14">
        <f>IF(VLOOKUP(B38,Data!$A:$AN,MATCH(yoy!$P$1,Data!$A$1:$AN$1,),)=0,"#N/A",(VLOOKUP(B38,Data!$A:$AN,MATCH(yoy!$P$1,Data!$A$1:$AN$1,),)-VLOOKUP(A38,Data!$A:$AN,MATCH(yoy!$P$1,Data!$A$1:$AN$1,),))/VLOOKUP(A38,Data!$A:$AN,MATCH(yoy!$P$1,Data!$A$1:$AN$1,),))</f>
        <v/>
      </c>
      <c r="Q38" s="14">
        <f>IF(VLOOKUP(B38,Data!$A:$AN,MATCH(yoy!$Q$1,Data!$A$1:$AN$1,),)=0,"#N/A",(VLOOKUP(B38,Data!$A:$AN,MATCH(yoy!$Q$1,Data!$A$1:$AN$1,),)-VLOOKUP(A38,Data!$A:$AN,MATCH(yoy!$Q$1,Data!$A$1:$AN$1,),))/VLOOKUP(A38,Data!$A:$AN,MATCH(yoy!$Q$1,Data!$A$1:$AN$1,),))</f>
        <v/>
      </c>
      <c r="R38" s="14">
        <f>IF(VLOOKUP(B38,Data!$A:$AN,MATCH(yoy!$R$1,Data!$A$1:$AN$1,),)=0,"#N/A",(VLOOKUP(B38,Data!$A:$AN,MATCH(yoy!$R$1,Data!$A$1:$AN$1,),)-VLOOKUP(A38,Data!$A:$AN,MATCH(yoy!$R$1,Data!$A$1:$AN$1,),))/VLOOKUP(A38,Data!$A:$AN,MATCH(yoy!$R$1,Data!$A$1:$AN$1,),))</f>
        <v/>
      </c>
      <c r="S38" s="14">
        <f>IF(VLOOKUP(B38,Data!$A:$AN,MATCH(yoy!$S$1,Data!$A$1:$AN$1,),)=0,"#N/A",(VLOOKUP(B38,Data!$A:$AN,MATCH(yoy!$S$1,Data!$A$1:$AN$1,),)-VLOOKUP(A38,Data!$A:$AN,MATCH(yoy!$S$1,Data!$A$1:$AN$1,),))/VLOOKUP(A38,Data!$A:$AN,MATCH(yoy!$S$1,Data!$A$1:$AN$1,),))</f>
        <v/>
      </c>
      <c r="T38" s="14">
        <f>IF(VLOOKUP(B38,Data!$A:$AN,MATCH(yoy!$T$1,Data!$A$1:$AN$1,),)=0,"#N/A",(VLOOKUP(B38,Data!$A:$AN,MATCH(yoy!$T$1,Data!$A$1:$AN$1,),)-VLOOKUP(A38,Data!$A:$AN,MATCH(yoy!$T$1,Data!$A$1:$AN$1,),))/VLOOKUP(A38,Data!$A:$AN,MATCH(yoy!$T$1,Data!$A$1:$AN$1,),))</f>
        <v/>
      </c>
      <c r="U38" s="14">
        <f>IF(VLOOKUP(B38,Data!$A:$AN,MATCH(yoy!$U$1,Data!$A$1:$AN$1,),)=0,"#N/A",(VLOOKUP(B38,Data!$A:$AN,MATCH(yoy!$U$1,Data!$A$1:$AN$1,),)-VLOOKUP(A38,Data!$A:$AN,MATCH(yoy!$U$1,Data!$A$1:$AN$1,),))/VLOOKUP(A38,Data!$A:$AN,MATCH(yoy!$U$1,Data!$A$1:$AN$1,),))</f>
        <v/>
      </c>
      <c r="V38" s="14">
        <f>IF(VLOOKUP(B38,Data!$A:$AN,MATCH(yoy!$V$1,Data!$A$1:$AN$1,),)=0,"#N/A",(VLOOKUP(B38,Data!$A:$AN,MATCH(yoy!$V$1,Data!$A$1:$AN$1,),)-VLOOKUP(A38,Data!$A:$AN,MATCH(yoy!$V$1,Data!$A$1:$AN$1,),))/VLOOKUP(A38,Data!$A:$AN,MATCH(yoy!$V$1,Data!$A$1:$AN$1,),))</f>
        <v/>
      </c>
      <c r="W38" s="14">
        <f>IF(VLOOKUP(B38,Data!$A:$AN,MATCH(yoy!$W$1,Data!$A$1:$AN$1,),)=0,"#N/A",(VLOOKUP(B38,Data!$A:$AN,MATCH(yoy!$W$1,Data!$A$1:$AN$1,),)-VLOOKUP(A38,Data!$A:$AN,MATCH(yoy!$W$1,Data!$A$1:$AN$1,),))/VLOOKUP(A38,Data!$A:$AN,MATCH(yoy!$W$1,Data!$A$1:$AN$1,),))</f>
        <v/>
      </c>
      <c r="X38" s="14">
        <f>IF(VLOOKUP(B38,Data!$A:$AN,MATCH(yoy!$X$1,Data!$A$1:$AN$1,),)=0,"#N/A",(VLOOKUP(B38,Data!$A:$AN,MATCH(yoy!$X$1,Data!$A$1:$AN$1,),)-VLOOKUP(A38,Data!$A:$AN,MATCH(yoy!$X$1,Data!$A$1:$AN$1,),))/VLOOKUP(A38,Data!$A:$AN,MATCH(yoy!$X$1,Data!$A$1:$AN$1,),))</f>
        <v/>
      </c>
      <c r="Y38" s="14">
        <f>IF(VLOOKUP(B38,Data!$A:$AN,MATCH(yoy!$Y$1,Data!$A$1:$AN$1,),)=0,"#N/A",(VLOOKUP(B38,Data!$A:$AN,MATCH(yoy!$Y$1,Data!$A$1:$AN$1,),)-VLOOKUP(A38,Data!$A:$AN,MATCH(yoy!$Y$1,Data!$A$1:$AN$1,),))/VLOOKUP(A38,Data!$A:$AN,MATCH(yoy!$Y$1,Data!$A$1:$AN$1,),))</f>
        <v/>
      </c>
      <c r="Z38" s="14">
        <f>IF(VLOOKUP(B38,Data!$A:$AN,MATCH(yoy!$Z$1,Data!$A$1:$AN$1,),)=0,"#N/A",(VLOOKUP(B38,Data!$A:$AN,MATCH(yoy!$Z$1,Data!$A$1:$AN$1,),)-VLOOKUP(A38,Data!$A:$AN,MATCH(yoy!$Z$1,Data!$A$1:$AN$1,),))/VLOOKUP(A38,Data!$A:$AN,MATCH(yoy!$Z$1,Data!$A$1:$AN$1,),))</f>
        <v/>
      </c>
      <c r="AA38" s="14">
        <f>IF(VLOOKUP(B38,Data!$A:$AN,MATCH(yoy!$AA$1,Data!$A$1:$AN$1,),)=0,"#N/A",(VLOOKUP(B38,Data!$A:$AN,MATCH(yoy!$AA$1,Data!$A$1:$AN$1,),)-VLOOKUP(A38,Data!$A:$AN,MATCH(yoy!$AA$1,Data!$A$1:$AN$1,),))/VLOOKUP(A38,Data!$A:$AN,MATCH(yoy!$AA$1,Data!$A$1:$AN$1,),))</f>
        <v/>
      </c>
    </row>
    <row r="39">
      <c r="A39" s="20">
        <f>DATE(YEAR(B39)-1,MONTH(B39),DAY(B39))</f>
        <v/>
      </c>
      <c r="B39" s="12" t="n">
        <v>43040</v>
      </c>
      <c r="C39" s="14">
        <f>IF(VLOOKUP(B39,Data!$A:$AN,MATCH(yoy!$C$1,Data!$A$1:$AN$1,),)=0,"#N/A",(VLOOKUP(B39,Data!$A:$AN,MATCH(yoy!$C$1,Data!$A$1:$AN$1,),)-VLOOKUP(A39,Data!$A:$AN,MATCH(yoy!$C$1,Data!$A$1:$AN$1,),))/VLOOKUP(A39,Data!$A:$AN,MATCH(yoy!$C$1,Data!$A$1:$AN$1,),))</f>
        <v/>
      </c>
      <c r="D39" s="14">
        <f>IF(VLOOKUP(B39,Data!$A:$AN,MATCH(yoy!$D$1,Data!$A$1:$AN$1,),)=0,"#N/A",(VLOOKUP(B39,Data!$A:$AN,MATCH(yoy!$D$1,Data!$A$1:$AN$1,),)-VLOOKUP(A39,Data!$A:$AN,MATCH(yoy!$D$1,Data!$A$1:$AN$1,),))/VLOOKUP(A39,Data!$A:$AN,MATCH(yoy!$D$1,Data!$A$1:$AN$1,),))</f>
        <v/>
      </c>
      <c r="E39" s="14">
        <f>IF(VLOOKUP(B39,Data!$A:$AN,MATCH(yoy!$E$1,Data!$A$1:$AN$1,),)=0,"#N/A",(VLOOKUP(B39,Data!$A:$AN,MATCH(yoy!$E$1,Data!$A$1:$AN$1,),)-VLOOKUP(A39,Data!$A:$AN,MATCH(yoy!$E$1,Data!$A$1:$AN$1,),))/VLOOKUP(A39,Data!$A:$AN,MATCH(yoy!$E$1,Data!$A$1:$AN$1,),))</f>
        <v/>
      </c>
      <c r="F39" s="14">
        <f>IF(VLOOKUP(B39,Data!$A:$AN,MATCH(yoy!$F$1,Data!$A$1:$AN$1,),)=0,"#N/A",(VLOOKUP(B39,Data!$A:$AN,MATCH(yoy!$F$1,Data!$A$1:$AN$1,),)-VLOOKUP(A39,Data!$A:$AN,MATCH(yoy!$F$1,Data!$A$1:$AN$1,),))/VLOOKUP(A39,Data!$A:$AN,MATCH(yoy!$F$1,Data!$A$1:$AN$1,),))</f>
        <v/>
      </c>
      <c r="G39" s="14">
        <f>IF(VLOOKUP(B39,Data!$A:$AN,MATCH(yoy!$G$1,Data!$A$1:$AN$1,),)=0,"#N/A",(VLOOKUP(B39,Data!$A:$AN,MATCH(yoy!$G$1,Data!$A$1:$AN$1,),)-VLOOKUP(A39,Data!$A:$AN,MATCH(yoy!$G$1,Data!$A$1:$AN$1,),))/VLOOKUP(A39,Data!$A:$AN,MATCH(yoy!$G$1,Data!$A$1:$AN$1,),))</f>
        <v/>
      </c>
      <c r="H39" s="14">
        <f>IF(VLOOKUP(B39,Data!$A:$AN,MATCH(yoy!$H$1,Data!$A$1:$AN$1,),)=0,"#N/A",(VLOOKUP(B39,Data!$A:$AN,MATCH(yoy!$H$1,Data!$A$1:$AN$1,),)-VLOOKUP(A39,Data!$A:$AN,MATCH(yoy!$H$1,Data!$A$1:$AN$1,),))/VLOOKUP(A39,Data!$A:$AN,MATCH(yoy!$H$1,Data!$A$1:$AN$1,),))</f>
        <v/>
      </c>
      <c r="I39" s="14">
        <f>IF(VLOOKUP(B39,Data!$A:$AN,MATCH(yoy!$I$1,Data!$A$1:$AN$1,),)=0,"#N/A",(VLOOKUP(B39,Data!$A:$AN,MATCH(yoy!$I$1,Data!$A$1:$AN$1,),)-VLOOKUP(A39,Data!$A:$AN,MATCH(yoy!$I$1,Data!$A$1:$AN$1,),))/VLOOKUP(A39,Data!$A:$AN,MATCH(yoy!$I$1,Data!$A$1:$AN$1,),))</f>
        <v/>
      </c>
      <c r="J39" s="14">
        <f>IF(VLOOKUP(B39,Data!$A:$AN,MATCH(yoy!$J$1,Data!$A$1:$AN$1,),)=0,"#N/A",(VLOOKUP(B39,Data!$A:$AN,MATCH(yoy!$J$1,Data!$A$1:$AN$1,),)-VLOOKUP(A39,Data!$A:$AN,MATCH(yoy!$J$1,Data!$A$1:$AN$1,),))/VLOOKUP(A39,Data!$A:$AN,MATCH(yoy!$J$1,Data!$A$1:$AN$1,),))</f>
        <v/>
      </c>
      <c r="K39" s="14">
        <f>IF(VLOOKUP(B39,Data!$A:$AN,MATCH(yoy!$K$1,Data!$A$1:$AN$1,),)=0,"#N/A",(VLOOKUP(B39,Data!$A:$AN,MATCH(yoy!$K$1,Data!$A$1:$AN$1,),)-VLOOKUP(A39,Data!$A:$AN,MATCH(yoy!$K$1,Data!$A$1:$AN$1,),))/VLOOKUP(A39,Data!$A:$AN,MATCH(yoy!$K$1,Data!$A$1:$AN$1,),))</f>
        <v/>
      </c>
      <c r="L39" s="14">
        <f>IF(VLOOKUP(B39,Data!$A:$AN,MATCH(yoy!$L$1,Data!$A$1:$AN$1,),)=0,"#N/A",(VLOOKUP(B39,Data!$A:$AN,MATCH(yoy!$L$1,Data!$A$1:$AN$1,),)-VLOOKUP(A39,Data!$A:$AN,MATCH(yoy!$L$1,Data!$A$1:$AN$1,),))/VLOOKUP(A39,Data!$A:$AN,MATCH(yoy!$L$1,Data!$A$1:$AN$1,),))</f>
        <v/>
      </c>
      <c r="M39" s="14">
        <f>IF(VLOOKUP(B39,Data!$A:$AN,MATCH(yoy!$M$1,Data!$A$1:$AN$1,),)=0,"#N/A",(VLOOKUP(B39,Data!$A:$AN,MATCH(yoy!$M$1,Data!$A$1:$AN$1,),)-VLOOKUP(A39,Data!$A:$AN,MATCH(yoy!$M$1,Data!$A$1:$AN$1,),))/VLOOKUP(A39,Data!$A:$AN,MATCH(yoy!$M$1,Data!$A$1:$AN$1,),))</f>
        <v/>
      </c>
      <c r="N39" s="14">
        <f>IF(VLOOKUP(B39,Data!$A:$AN,MATCH(yoy!$N$1,Data!$A$1:$AN$1,),)=0,"#N/A",(VLOOKUP(B39,Data!$A:$AN,MATCH(yoy!$N$1,Data!$A$1:$AN$1,),)-VLOOKUP(A39,Data!$A:$AN,MATCH(yoy!$N$1,Data!$A$1:$AN$1,),))/VLOOKUP(A39,Data!$A:$AN,MATCH(yoy!$N$1,Data!$A$1:$AN$1,),))</f>
        <v/>
      </c>
      <c r="O39" s="14">
        <f>IF(VLOOKUP(B39,Data!$A:$AN,MATCH(yoy!$O$1,Data!$A$1:$AN$1,),)=0,"#N/A",(VLOOKUP(B39,Data!$A:$AN,MATCH(yoy!$O$1,Data!$A$1:$AN$1,),)-VLOOKUP(A39,Data!$A:$AN,MATCH(yoy!$O$1,Data!$A$1:$AN$1,),))/VLOOKUP(A39,Data!$A:$AN,MATCH(yoy!$O$1,Data!$A$1:$AN$1,),))</f>
        <v/>
      </c>
      <c r="P39" s="14">
        <f>IF(VLOOKUP(B39,Data!$A:$AN,MATCH(yoy!$P$1,Data!$A$1:$AN$1,),)=0,"#N/A",(VLOOKUP(B39,Data!$A:$AN,MATCH(yoy!$P$1,Data!$A$1:$AN$1,),)-VLOOKUP(A39,Data!$A:$AN,MATCH(yoy!$P$1,Data!$A$1:$AN$1,),))/VLOOKUP(A39,Data!$A:$AN,MATCH(yoy!$P$1,Data!$A$1:$AN$1,),))</f>
        <v/>
      </c>
      <c r="Q39" s="14">
        <f>IF(VLOOKUP(B39,Data!$A:$AN,MATCH(yoy!$Q$1,Data!$A$1:$AN$1,),)=0,"#N/A",(VLOOKUP(B39,Data!$A:$AN,MATCH(yoy!$Q$1,Data!$A$1:$AN$1,),)-VLOOKUP(A39,Data!$A:$AN,MATCH(yoy!$Q$1,Data!$A$1:$AN$1,),))/VLOOKUP(A39,Data!$A:$AN,MATCH(yoy!$Q$1,Data!$A$1:$AN$1,),))</f>
        <v/>
      </c>
      <c r="R39" s="14">
        <f>IF(VLOOKUP(B39,Data!$A:$AN,MATCH(yoy!$R$1,Data!$A$1:$AN$1,),)=0,"#N/A",(VLOOKUP(B39,Data!$A:$AN,MATCH(yoy!$R$1,Data!$A$1:$AN$1,),)-VLOOKUP(A39,Data!$A:$AN,MATCH(yoy!$R$1,Data!$A$1:$AN$1,),))/VLOOKUP(A39,Data!$A:$AN,MATCH(yoy!$R$1,Data!$A$1:$AN$1,),))</f>
        <v/>
      </c>
      <c r="S39" s="14">
        <f>IF(VLOOKUP(B39,Data!$A:$AN,MATCH(yoy!$S$1,Data!$A$1:$AN$1,),)=0,"#N/A",(VLOOKUP(B39,Data!$A:$AN,MATCH(yoy!$S$1,Data!$A$1:$AN$1,),)-VLOOKUP(A39,Data!$A:$AN,MATCH(yoy!$S$1,Data!$A$1:$AN$1,),))/VLOOKUP(A39,Data!$A:$AN,MATCH(yoy!$S$1,Data!$A$1:$AN$1,),))</f>
        <v/>
      </c>
      <c r="T39" s="14">
        <f>IF(VLOOKUP(B39,Data!$A:$AN,MATCH(yoy!$T$1,Data!$A$1:$AN$1,),)=0,"#N/A",(VLOOKUP(B39,Data!$A:$AN,MATCH(yoy!$T$1,Data!$A$1:$AN$1,),)-VLOOKUP(A39,Data!$A:$AN,MATCH(yoy!$T$1,Data!$A$1:$AN$1,),))/VLOOKUP(A39,Data!$A:$AN,MATCH(yoy!$T$1,Data!$A$1:$AN$1,),))</f>
        <v/>
      </c>
      <c r="U39" s="14">
        <f>IF(VLOOKUP(B39,Data!$A:$AN,MATCH(yoy!$U$1,Data!$A$1:$AN$1,),)=0,"#N/A",(VLOOKUP(B39,Data!$A:$AN,MATCH(yoy!$U$1,Data!$A$1:$AN$1,),)-VLOOKUP(A39,Data!$A:$AN,MATCH(yoy!$U$1,Data!$A$1:$AN$1,),))/VLOOKUP(A39,Data!$A:$AN,MATCH(yoy!$U$1,Data!$A$1:$AN$1,),))</f>
        <v/>
      </c>
      <c r="V39" s="14">
        <f>IF(VLOOKUP(B39,Data!$A:$AN,MATCH(yoy!$V$1,Data!$A$1:$AN$1,),)=0,"#N/A",(VLOOKUP(B39,Data!$A:$AN,MATCH(yoy!$V$1,Data!$A$1:$AN$1,),)-VLOOKUP(A39,Data!$A:$AN,MATCH(yoy!$V$1,Data!$A$1:$AN$1,),))/VLOOKUP(A39,Data!$A:$AN,MATCH(yoy!$V$1,Data!$A$1:$AN$1,),))</f>
        <v/>
      </c>
      <c r="W39" s="14">
        <f>IF(VLOOKUP(B39,Data!$A:$AN,MATCH(yoy!$W$1,Data!$A$1:$AN$1,),)=0,"#N/A",(VLOOKUP(B39,Data!$A:$AN,MATCH(yoy!$W$1,Data!$A$1:$AN$1,),)-VLOOKUP(A39,Data!$A:$AN,MATCH(yoy!$W$1,Data!$A$1:$AN$1,),))/VLOOKUP(A39,Data!$A:$AN,MATCH(yoy!$W$1,Data!$A$1:$AN$1,),))</f>
        <v/>
      </c>
      <c r="X39" s="14">
        <f>IF(VLOOKUP(B39,Data!$A:$AN,MATCH(yoy!$X$1,Data!$A$1:$AN$1,),)=0,"#N/A",(VLOOKUP(B39,Data!$A:$AN,MATCH(yoy!$X$1,Data!$A$1:$AN$1,),)-VLOOKUP(A39,Data!$A:$AN,MATCH(yoy!$X$1,Data!$A$1:$AN$1,),))/VLOOKUP(A39,Data!$A:$AN,MATCH(yoy!$X$1,Data!$A$1:$AN$1,),))</f>
        <v/>
      </c>
      <c r="Y39" s="14">
        <f>IF(VLOOKUP(B39,Data!$A:$AN,MATCH(yoy!$Y$1,Data!$A$1:$AN$1,),)=0,"#N/A",(VLOOKUP(B39,Data!$A:$AN,MATCH(yoy!$Y$1,Data!$A$1:$AN$1,),)-VLOOKUP(A39,Data!$A:$AN,MATCH(yoy!$Y$1,Data!$A$1:$AN$1,),))/VLOOKUP(A39,Data!$A:$AN,MATCH(yoy!$Y$1,Data!$A$1:$AN$1,),))</f>
        <v/>
      </c>
      <c r="Z39" s="14">
        <f>IF(VLOOKUP(B39,Data!$A:$AN,MATCH(yoy!$Z$1,Data!$A$1:$AN$1,),)=0,"#N/A",(VLOOKUP(B39,Data!$A:$AN,MATCH(yoy!$Z$1,Data!$A$1:$AN$1,),)-VLOOKUP(A39,Data!$A:$AN,MATCH(yoy!$Z$1,Data!$A$1:$AN$1,),))/VLOOKUP(A39,Data!$A:$AN,MATCH(yoy!$Z$1,Data!$A$1:$AN$1,),))</f>
        <v/>
      </c>
      <c r="AA39" s="14">
        <f>IF(VLOOKUP(B39,Data!$A:$AN,MATCH(yoy!$AA$1,Data!$A$1:$AN$1,),)=0,"#N/A",(VLOOKUP(B39,Data!$A:$AN,MATCH(yoy!$AA$1,Data!$A$1:$AN$1,),)-VLOOKUP(A39,Data!$A:$AN,MATCH(yoy!$AA$1,Data!$A$1:$AN$1,),))/VLOOKUP(A39,Data!$A:$AN,MATCH(yoy!$AA$1,Data!$A$1:$AN$1,),))</f>
        <v/>
      </c>
    </row>
    <row r="40">
      <c r="A40" s="20">
        <f>DATE(YEAR(B40)-1,MONTH(B40),DAY(B40))</f>
        <v/>
      </c>
      <c r="B40" s="12" t="n">
        <v>43070</v>
      </c>
      <c r="C40" s="14">
        <f>IF(VLOOKUP(B40,Data!$A:$AN,MATCH(yoy!$C$1,Data!$A$1:$AN$1,),)=0,"#N/A",(VLOOKUP(B40,Data!$A:$AN,MATCH(yoy!$C$1,Data!$A$1:$AN$1,),)-VLOOKUP(A40,Data!$A:$AN,MATCH(yoy!$C$1,Data!$A$1:$AN$1,),))/VLOOKUP(A40,Data!$A:$AN,MATCH(yoy!$C$1,Data!$A$1:$AN$1,),))</f>
        <v/>
      </c>
      <c r="D40" s="14">
        <f>IF(VLOOKUP(B40,Data!$A:$AN,MATCH(yoy!$D$1,Data!$A$1:$AN$1,),)=0,"#N/A",(VLOOKUP(B40,Data!$A:$AN,MATCH(yoy!$D$1,Data!$A$1:$AN$1,),)-VLOOKUP(A40,Data!$A:$AN,MATCH(yoy!$D$1,Data!$A$1:$AN$1,),))/VLOOKUP(A40,Data!$A:$AN,MATCH(yoy!$D$1,Data!$A$1:$AN$1,),))</f>
        <v/>
      </c>
      <c r="E40" s="14">
        <f>IF(VLOOKUP(B40,Data!$A:$AN,MATCH(yoy!$E$1,Data!$A$1:$AN$1,),)=0,"#N/A",(VLOOKUP(B40,Data!$A:$AN,MATCH(yoy!$E$1,Data!$A$1:$AN$1,),)-VLOOKUP(A40,Data!$A:$AN,MATCH(yoy!$E$1,Data!$A$1:$AN$1,),))/VLOOKUP(A40,Data!$A:$AN,MATCH(yoy!$E$1,Data!$A$1:$AN$1,),))</f>
        <v/>
      </c>
      <c r="F40" s="14">
        <f>IF(VLOOKUP(B40,Data!$A:$AN,MATCH(yoy!$F$1,Data!$A$1:$AN$1,),)=0,"#N/A",(VLOOKUP(B40,Data!$A:$AN,MATCH(yoy!$F$1,Data!$A$1:$AN$1,),)-VLOOKUP(A40,Data!$A:$AN,MATCH(yoy!$F$1,Data!$A$1:$AN$1,),))/VLOOKUP(A40,Data!$A:$AN,MATCH(yoy!$F$1,Data!$A$1:$AN$1,),))</f>
        <v/>
      </c>
      <c r="G40" s="14">
        <f>IF(VLOOKUP(B40,Data!$A:$AN,MATCH(yoy!$G$1,Data!$A$1:$AN$1,),)=0,"#N/A",(VLOOKUP(B40,Data!$A:$AN,MATCH(yoy!$G$1,Data!$A$1:$AN$1,),)-VLOOKUP(A40,Data!$A:$AN,MATCH(yoy!$G$1,Data!$A$1:$AN$1,),))/VLOOKUP(A40,Data!$A:$AN,MATCH(yoy!$G$1,Data!$A$1:$AN$1,),))</f>
        <v/>
      </c>
      <c r="H40" s="14">
        <f>IF(VLOOKUP(B40,Data!$A:$AN,MATCH(yoy!$H$1,Data!$A$1:$AN$1,),)=0,"#N/A",(VLOOKUP(B40,Data!$A:$AN,MATCH(yoy!$H$1,Data!$A$1:$AN$1,),)-VLOOKUP(A40,Data!$A:$AN,MATCH(yoy!$H$1,Data!$A$1:$AN$1,),))/VLOOKUP(A40,Data!$A:$AN,MATCH(yoy!$H$1,Data!$A$1:$AN$1,),))</f>
        <v/>
      </c>
      <c r="I40" s="14">
        <f>IF(VLOOKUP(B40,Data!$A:$AN,MATCH(yoy!$I$1,Data!$A$1:$AN$1,),)=0,"#N/A",(VLOOKUP(B40,Data!$A:$AN,MATCH(yoy!$I$1,Data!$A$1:$AN$1,),)-VLOOKUP(A40,Data!$A:$AN,MATCH(yoy!$I$1,Data!$A$1:$AN$1,),))/VLOOKUP(A40,Data!$A:$AN,MATCH(yoy!$I$1,Data!$A$1:$AN$1,),))</f>
        <v/>
      </c>
      <c r="J40" s="14">
        <f>IF(VLOOKUP(B40,Data!$A:$AN,MATCH(yoy!$J$1,Data!$A$1:$AN$1,),)=0,"#N/A",(VLOOKUP(B40,Data!$A:$AN,MATCH(yoy!$J$1,Data!$A$1:$AN$1,),)-VLOOKUP(A40,Data!$A:$AN,MATCH(yoy!$J$1,Data!$A$1:$AN$1,),))/VLOOKUP(A40,Data!$A:$AN,MATCH(yoy!$J$1,Data!$A$1:$AN$1,),))</f>
        <v/>
      </c>
      <c r="K40" s="14">
        <f>IF(VLOOKUP(B40,Data!$A:$AN,MATCH(yoy!$K$1,Data!$A$1:$AN$1,),)=0,"#N/A",(VLOOKUP(B40,Data!$A:$AN,MATCH(yoy!$K$1,Data!$A$1:$AN$1,),)-VLOOKUP(A40,Data!$A:$AN,MATCH(yoy!$K$1,Data!$A$1:$AN$1,),))/VLOOKUP(A40,Data!$A:$AN,MATCH(yoy!$K$1,Data!$A$1:$AN$1,),))</f>
        <v/>
      </c>
      <c r="L40" s="14">
        <f>IF(VLOOKUP(B40,Data!$A:$AN,MATCH(yoy!$L$1,Data!$A$1:$AN$1,),)=0,"#N/A",(VLOOKUP(B40,Data!$A:$AN,MATCH(yoy!$L$1,Data!$A$1:$AN$1,),)-VLOOKUP(A40,Data!$A:$AN,MATCH(yoy!$L$1,Data!$A$1:$AN$1,),))/VLOOKUP(A40,Data!$A:$AN,MATCH(yoy!$L$1,Data!$A$1:$AN$1,),))</f>
        <v/>
      </c>
      <c r="M40" s="14">
        <f>IF(VLOOKUP(B40,Data!$A:$AN,MATCH(yoy!$M$1,Data!$A$1:$AN$1,),)=0,"#N/A",(VLOOKUP(B40,Data!$A:$AN,MATCH(yoy!$M$1,Data!$A$1:$AN$1,),)-VLOOKUP(A40,Data!$A:$AN,MATCH(yoy!$M$1,Data!$A$1:$AN$1,),))/VLOOKUP(A40,Data!$A:$AN,MATCH(yoy!$M$1,Data!$A$1:$AN$1,),))</f>
        <v/>
      </c>
      <c r="N40" s="14">
        <f>IF(VLOOKUP(B40,Data!$A:$AN,MATCH(yoy!$N$1,Data!$A$1:$AN$1,),)=0,"#N/A",(VLOOKUP(B40,Data!$A:$AN,MATCH(yoy!$N$1,Data!$A$1:$AN$1,),)-VLOOKUP(A40,Data!$A:$AN,MATCH(yoy!$N$1,Data!$A$1:$AN$1,),))/VLOOKUP(A40,Data!$A:$AN,MATCH(yoy!$N$1,Data!$A$1:$AN$1,),))</f>
        <v/>
      </c>
      <c r="O40" s="14">
        <f>IF(VLOOKUP(B40,Data!$A:$AN,MATCH(yoy!$O$1,Data!$A$1:$AN$1,),)=0,"#N/A",(VLOOKUP(B40,Data!$A:$AN,MATCH(yoy!$O$1,Data!$A$1:$AN$1,),)-VLOOKUP(A40,Data!$A:$AN,MATCH(yoy!$O$1,Data!$A$1:$AN$1,),))/VLOOKUP(A40,Data!$A:$AN,MATCH(yoy!$O$1,Data!$A$1:$AN$1,),))</f>
        <v/>
      </c>
      <c r="P40" s="14">
        <f>IF(VLOOKUP(B40,Data!$A:$AN,MATCH(yoy!$P$1,Data!$A$1:$AN$1,),)=0,"#N/A",(VLOOKUP(B40,Data!$A:$AN,MATCH(yoy!$P$1,Data!$A$1:$AN$1,),)-VLOOKUP(A40,Data!$A:$AN,MATCH(yoy!$P$1,Data!$A$1:$AN$1,),))/VLOOKUP(A40,Data!$A:$AN,MATCH(yoy!$P$1,Data!$A$1:$AN$1,),))</f>
        <v/>
      </c>
      <c r="Q40" s="14">
        <f>IF(VLOOKUP(B40,Data!$A:$AN,MATCH(yoy!$Q$1,Data!$A$1:$AN$1,),)=0,"#N/A",(VLOOKUP(B40,Data!$A:$AN,MATCH(yoy!$Q$1,Data!$A$1:$AN$1,),)-VLOOKUP(A40,Data!$A:$AN,MATCH(yoy!$Q$1,Data!$A$1:$AN$1,),))/VLOOKUP(A40,Data!$A:$AN,MATCH(yoy!$Q$1,Data!$A$1:$AN$1,),))</f>
        <v/>
      </c>
      <c r="R40" s="14">
        <f>IF(VLOOKUP(B40,Data!$A:$AN,MATCH(yoy!$R$1,Data!$A$1:$AN$1,),)=0,"#N/A",(VLOOKUP(B40,Data!$A:$AN,MATCH(yoy!$R$1,Data!$A$1:$AN$1,),)-VLOOKUP(A40,Data!$A:$AN,MATCH(yoy!$R$1,Data!$A$1:$AN$1,),))/VLOOKUP(A40,Data!$A:$AN,MATCH(yoy!$R$1,Data!$A$1:$AN$1,),))</f>
        <v/>
      </c>
      <c r="S40" s="14">
        <f>IF(VLOOKUP(B40,Data!$A:$AN,MATCH(yoy!$S$1,Data!$A$1:$AN$1,),)=0,"#N/A",(VLOOKUP(B40,Data!$A:$AN,MATCH(yoy!$S$1,Data!$A$1:$AN$1,),)-VLOOKUP(A40,Data!$A:$AN,MATCH(yoy!$S$1,Data!$A$1:$AN$1,),))/VLOOKUP(A40,Data!$A:$AN,MATCH(yoy!$S$1,Data!$A$1:$AN$1,),))</f>
        <v/>
      </c>
      <c r="T40" s="14">
        <f>IF(VLOOKUP(B40,Data!$A:$AN,MATCH(yoy!$T$1,Data!$A$1:$AN$1,),)=0,"#N/A",(VLOOKUP(B40,Data!$A:$AN,MATCH(yoy!$T$1,Data!$A$1:$AN$1,),)-VLOOKUP(A40,Data!$A:$AN,MATCH(yoy!$T$1,Data!$A$1:$AN$1,),))/VLOOKUP(A40,Data!$A:$AN,MATCH(yoy!$T$1,Data!$A$1:$AN$1,),))</f>
        <v/>
      </c>
      <c r="U40" s="14">
        <f>IF(VLOOKUP(B40,Data!$A:$AN,MATCH(yoy!$U$1,Data!$A$1:$AN$1,),)=0,"#N/A",(VLOOKUP(B40,Data!$A:$AN,MATCH(yoy!$U$1,Data!$A$1:$AN$1,),)-VLOOKUP(A40,Data!$A:$AN,MATCH(yoy!$U$1,Data!$A$1:$AN$1,),))/VLOOKUP(A40,Data!$A:$AN,MATCH(yoy!$U$1,Data!$A$1:$AN$1,),))</f>
        <v/>
      </c>
      <c r="V40" s="14">
        <f>IF(VLOOKUP(B40,Data!$A:$AN,MATCH(yoy!$V$1,Data!$A$1:$AN$1,),)=0,"#N/A",(VLOOKUP(B40,Data!$A:$AN,MATCH(yoy!$V$1,Data!$A$1:$AN$1,),)-VLOOKUP(A40,Data!$A:$AN,MATCH(yoy!$V$1,Data!$A$1:$AN$1,),))/VLOOKUP(A40,Data!$A:$AN,MATCH(yoy!$V$1,Data!$A$1:$AN$1,),))</f>
        <v/>
      </c>
      <c r="W40" s="14">
        <f>IF(VLOOKUP(B40,Data!$A:$AN,MATCH(yoy!$W$1,Data!$A$1:$AN$1,),)=0,"#N/A",(VLOOKUP(B40,Data!$A:$AN,MATCH(yoy!$W$1,Data!$A$1:$AN$1,),)-VLOOKUP(A40,Data!$A:$AN,MATCH(yoy!$W$1,Data!$A$1:$AN$1,),))/VLOOKUP(A40,Data!$A:$AN,MATCH(yoy!$W$1,Data!$A$1:$AN$1,),))</f>
        <v/>
      </c>
      <c r="X40" s="14">
        <f>IF(VLOOKUP(B40,Data!$A:$AN,MATCH(yoy!$X$1,Data!$A$1:$AN$1,),)=0,"#N/A",(VLOOKUP(B40,Data!$A:$AN,MATCH(yoy!$X$1,Data!$A$1:$AN$1,),)-VLOOKUP(A40,Data!$A:$AN,MATCH(yoy!$X$1,Data!$A$1:$AN$1,),))/VLOOKUP(A40,Data!$A:$AN,MATCH(yoy!$X$1,Data!$A$1:$AN$1,),))</f>
        <v/>
      </c>
      <c r="Y40" s="14">
        <f>IF(VLOOKUP(B40,Data!$A:$AN,MATCH(yoy!$Y$1,Data!$A$1:$AN$1,),)=0,"#N/A",(VLOOKUP(B40,Data!$A:$AN,MATCH(yoy!$Y$1,Data!$A$1:$AN$1,),)-VLOOKUP(A40,Data!$A:$AN,MATCH(yoy!$Y$1,Data!$A$1:$AN$1,),))/VLOOKUP(A40,Data!$A:$AN,MATCH(yoy!$Y$1,Data!$A$1:$AN$1,),))</f>
        <v/>
      </c>
      <c r="Z40" s="14">
        <f>IF(VLOOKUP(B40,Data!$A:$AN,MATCH(yoy!$Z$1,Data!$A$1:$AN$1,),)=0,"#N/A",(VLOOKUP(B40,Data!$A:$AN,MATCH(yoy!$Z$1,Data!$A$1:$AN$1,),)-VLOOKUP(A40,Data!$A:$AN,MATCH(yoy!$Z$1,Data!$A$1:$AN$1,),))/VLOOKUP(A40,Data!$A:$AN,MATCH(yoy!$Z$1,Data!$A$1:$AN$1,),))</f>
        <v/>
      </c>
      <c r="AA40" s="14">
        <f>IF(VLOOKUP(B40,Data!$A:$AN,MATCH(yoy!$AA$1,Data!$A$1:$AN$1,),)=0,"#N/A",(VLOOKUP(B40,Data!$A:$AN,MATCH(yoy!$AA$1,Data!$A$1:$AN$1,),)-VLOOKUP(A40,Data!$A:$AN,MATCH(yoy!$AA$1,Data!$A$1:$AN$1,),))/VLOOKUP(A40,Data!$A:$AN,MATCH(yoy!$AA$1,Data!$A$1:$AN$1,),))</f>
        <v/>
      </c>
    </row>
    <row r="41">
      <c r="A41" s="20">
        <f>DATE(YEAR(B41)-1,MONTH(B41),DAY(B41))</f>
        <v/>
      </c>
      <c r="B41" s="12" t="n">
        <v>43101</v>
      </c>
      <c r="C41" s="14">
        <f>IF(VLOOKUP(B41,Data!$A:$AN,MATCH(yoy!$C$1,Data!$A$1:$AN$1,),)=0,"#N/A",(VLOOKUP(B41,Data!$A:$AN,MATCH(yoy!$C$1,Data!$A$1:$AN$1,),)-VLOOKUP(A41,Data!$A:$AN,MATCH(yoy!$C$1,Data!$A$1:$AN$1,),))/VLOOKUP(A41,Data!$A:$AN,MATCH(yoy!$C$1,Data!$A$1:$AN$1,),))</f>
        <v/>
      </c>
      <c r="D41" s="14">
        <f>IF(VLOOKUP(B41,Data!$A:$AN,MATCH(yoy!$D$1,Data!$A$1:$AN$1,),)=0,"#N/A",(VLOOKUP(B41,Data!$A:$AN,MATCH(yoy!$D$1,Data!$A$1:$AN$1,),)-VLOOKUP(A41,Data!$A:$AN,MATCH(yoy!$D$1,Data!$A$1:$AN$1,),))/VLOOKUP(A41,Data!$A:$AN,MATCH(yoy!$D$1,Data!$A$1:$AN$1,),))</f>
        <v/>
      </c>
      <c r="E41" s="14">
        <f>IF(VLOOKUP(B41,Data!$A:$AN,MATCH(yoy!$E$1,Data!$A$1:$AN$1,),)=0,"#N/A",(VLOOKUP(B41,Data!$A:$AN,MATCH(yoy!$E$1,Data!$A$1:$AN$1,),)-VLOOKUP(A41,Data!$A:$AN,MATCH(yoy!$E$1,Data!$A$1:$AN$1,),))/VLOOKUP(A41,Data!$A:$AN,MATCH(yoy!$E$1,Data!$A$1:$AN$1,),))</f>
        <v/>
      </c>
      <c r="F41" s="14">
        <f>IF(VLOOKUP(B41,Data!$A:$AN,MATCH(yoy!$F$1,Data!$A$1:$AN$1,),)=0,"#N/A",(VLOOKUP(B41,Data!$A:$AN,MATCH(yoy!$F$1,Data!$A$1:$AN$1,),)-VLOOKUP(A41,Data!$A:$AN,MATCH(yoy!$F$1,Data!$A$1:$AN$1,),))/VLOOKUP(A41,Data!$A:$AN,MATCH(yoy!$F$1,Data!$A$1:$AN$1,),))</f>
        <v/>
      </c>
      <c r="G41" s="14">
        <f>IF(VLOOKUP(B41,Data!$A:$AN,MATCH(yoy!$G$1,Data!$A$1:$AN$1,),)=0,"#N/A",(VLOOKUP(B41,Data!$A:$AN,MATCH(yoy!$G$1,Data!$A$1:$AN$1,),)-VLOOKUP(A41,Data!$A:$AN,MATCH(yoy!$G$1,Data!$A$1:$AN$1,),))/VLOOKUP(A41,Data!$A:$AN,MATCH(yoy!$G$1,Data!$A$1:$AN$1,),))</f>
        <v/>
      </c>
      <c r="H41" s="14">
        <f>IF(VLOOKUP(B41,Data!$A:$AN,MATCH(yoy!$H$1,Data!$A$1:$AN$1,),)=0,"#N/A",(VLOOKUP(B41,Data!$A:$AN,MATCH(yoy!$H$1,Data!$A$1:$AN$1,),)-VLOOKUP(A41,Data!$A:$AN,MATCH(yoy!$H$1,Data!$A$1:$AN$1,),))/VLOOKUP(A41,Data!$A:$AN,MATCH(yoy!$H$1,Data!$A$1:$AN$1,),))</f>
        <v/>
      </c>
      <c r="I41" s="14">
        <f>IF(VLOOKUP(B41,Data!$A:$AN,MATCH(yoy!$I$1,Data!$A$1:$AN$1,),)=0,"#N/A",(VLOOKUP(B41,Data!$A:$AN,MATCH(yoy!$I$1,Data!$A$1:$AN$1,),)-VLOOKUP(A41,Data!$A:$AN,MATCH(yoy!$I$1,Data!$A$1:$AN$1,),))/VLOOKUP(A41,Data!$A:$AN,MATCH(yoy!$I$1,Data!$A$1:$AN$1,),))</f>
        <v/>
      </c>
      <c r="J41" s="14">
        <f>IF(VLOOKUP(B41,Data!$A:$AN,MATCH(yoy!$J$1,Data!$A$1:$AN$1,),)=0,"#N/A",(VLOOKUP(B41,Data!$A:$AN,MATCH(yoy!$J$1,Data!$A$1:$AN$1,),)-VLOOKUP(A41,Data!$A:$AN,MATCH(yoy!$J$1,Data!$A$1:$AN$1,),))/VLOOKUP(A41,Data!$A:$AN,MATCH(yoy!$J$1,Data!$A$1:$AN$1,),))</f>
        <v/>
      </c>
      <c r="K41" s="14">
        <f>IF(VLOOKUP(B41,Data!$A:$AN,MATCH(yoy!$K$1,Data!$A$1:$AN$1,),)=0,"#N/A",(VLOOKUP(B41,Data!$A:$AN,MATCH(yoy!$K$1,Data!$A$1:$AN$1,),)-VLOOKUP(A41,Data!$A:$AN,MATCH(yoy!$K$1,Data!$A$1:$AN$1,),))/VLOOKUP(A41,Data!$A:$AN,MATCH(yoy!$K$1,Data!$A$1:$AN$1,),))</f>
        <v/>
      </c>
      <c r="L41" s="14">
        <f>IF(VLOOKUP(B41,Data!$A:$AN,MATCH(yoy!$L$1,Data!$A$1:$AN$1,),)=0,"#N/A",(VLOOKUP(B41,Data!$A:$AN,MATCH(yoy!$L$1,Data!$A$1:$AN$1,),)-VLOOKUP(A41,Data!$A:$AN,MATCH(yoy!$L$1,Data!$A$1:$AN$1,),))/VLOOKUP(A41,Data!$A:$AN,MATCH(yoy!$L$1,Data!$A$1:$AN$1,),))</f>
        <v/>
      </c>
      <c r="M41" s="14">
        <f>IF(VLOOKUP(B41,Data!$A:$AN,MATCH(yoy!$M$1,Data!$A$1:$AN$1,),)=0,"#N/A",(VLOOKUP(B41,Data!$A:$AN,MATCH(yoy!$M$1,Data!$A$1:$AN$1,),)-VLOOKUP(A41,Data!$A:$AN,MATCH(yoy!$M$1,Data!$A$1:$AN$1,),))/VLOOKUP(A41,Data!$A:$AN,MATCH(yoy!$M$1,Data!$A$1:$AN$1,),))</f>
        <v/>
      </c>
      <c r="N41" s="14">
        <f>IF(VLOOKUP(B41,Data!$A:$AN,MATCH(yoy!$N$1,Data!$A$1:$AN$1,),)=0,"#N/A",(VLOOKUP(B41,Data!$A:$AN,MATCH(yoy!$N$1,Data!$A$1:$AN$1,),)-VLOOKUP(A41,Data!$A:$AN,MATCH(yoy!$N$1,Data!$A$1:$AN$1,),))/VLOOKUP(A41,Data!$A:$AN,MATCH(yoy!$N$1,Data!$A$1:$AN$1,),))</f>
        <v/>
      </c>
      <c r="O41" s="14">
        <f>IF(VLOOKUP(B41,Data!$A:$AN,MATCH(yoy!$O$1,Data!$A$1:$AN$1,),)=0,"#N/A",(VLOOKUP(B41,Data!$A:$AN,MATCH(yoy!$O$1,Data!$A$1:$AN$1,),)-VLOOKUP(A41,Data!$A:$AN,MATCH(yoy!$O$1,Data!$A$1:$AN$1,),))/VLOOKUP(A41,Data!$A:$AN,MATCH(yoy!$O$1,Data!$A$1:$AN$1,),))</f>
        <v/>
      </c>
      <c r="P41" s="14">
        <f>IF(VLOOKUP(B41,Data!$A:$AN,MATCH(yoy!$P$1,Data!$A$1:$AN$1,),)=0,"#N/A",(VLOOKUP(B41,Data!$A:$AN,MATCH(yoy!$P$1,Data!$A$1:$AN$1,),)-VLOOKUP(A41,Data!$A:$AN,MATCH(yoy!$P$1,Data!$A$1:$AN$1,),))/VLOOKUP(A41,Data!$A:$AN,MATCH(yoy!$P$1,Data!$A$1:$AN$1,),))</f>
        <v/>
      </c>
      <c r="Q41" s="14">
        <f>IF(VLOOKUP(B41,Data!$A:$AN,MATCH(yoy!$Q$1,Data!$A$1:$AN$1,),)=0,"#N/A",(VLOOKUP(B41,Data!$A:$AN,MATCH(yoy!$Q$1,Data!$A$1:$AN$1,),)-VLOOKUP(A41,Data!$A:$AN,MATCH(yoy!$Q$1,Data!$A$1:$AN$1,),))/VLOOKUP(A41,Data!$A:$AN,MATCH(yoy!$Q$1,Data!$A$1:$AN$1,),))</f>
        <v/>
      </c>
      <c r="R41" s="14">
        <f>IF(VLOOKUP(B41,Data!$A:$AN,MATCH(yoy!$R$1,Data!$A$1:$AN$1,),)=0,"#N/A",(VLOOKUP(B41,Data!$A:$AN,MATCH(yoy!$R$1,Data!$A$1:$AN$1,),)-VLOOKUP(A41,Data!$A:$AN,MATCH(yoy!$R$1,Data!$A$1:$AN$1,),))/VLOOKUP(A41,Data!$A:$AN,MATCH(yoy!$R$1,Data!$A$1:$AN$1,),))</f>
        <v/>
      </c>
      <c r="S41" s="14">
        <f>IF(VLOOKUP(B41,Data!$A:$AN,MATCH(yoy!$S$1,Data!$A$1:$AN$1,),)=0,"#N/A",(VLOOKUP(B41,Data!$A:$AN,MATCH(yoy!$S$1,Data!$A$1:$AN$1,),)-VLOOKUP(A41,Data!$A:$AN,MATCH(yoy!$S$1,Data!$A$1:$AN$1,),))/VLOOKUP(A41,Data!$A:$AN,MATCH(yoy!$S$1,Data!$A$1:$AN$1,),))</f>
        <v/>
      </c>
      <c r="T41" s="14">
        <f>IF(VLOOKUP(B41,Data!$A:$AN,MATCH(yoy!$T$1,Data!$A$1:$AN$1,),)=0,"#N/A",(VLOOKUP(B41,Data!$A:$AN,MATCH(yoy!$T$1,Data!$A$1:$AN$1,),)-VLOOKUP(A41,Data!$A:$AN,MATCH(yoy!$T$1,Data!$A$1:$AN$1,),))/VLOOKUP(A41,Data!$A:$AN,MATCH(yoy!$T$1,Data!$A$1:$AN$1,),))</f>
        <v/>
      </c>
      <c r="U41" s="14">
        <f>IF(VLOOKUP(B41,Data!$A:$AN,MATCH(yoy!$U$1,Data!$A$1:$AN$1,),)=0,"#N/A",(VLOOKUP(B41,Data!$A:$AN,MATCH(yoy!$U$1,Data!$A$1:$AN$1,),)-VLOOKUP(A41,Data!$A:$AN,MATCH(yoy!$U$1,Data!$A$1:$AN$1,),))/VLOOKUP(A41,Data!$A:$AN,MATCH(yoy!$U$1,Data!$A$1:$AN$1,),))</f>
        <v/>
      </c>
      <c r="V41" s="14">
        <f>IF(VLOOKUP(B41,Data!$A:$AN,MATCH(yoy!$V$1,Data!$A$1:$AN$1,),)=0,"#N/A",(VLOOKUP(B41,Data!$A:$AN,MATCH(yoy!$V$1,Data!$A$1:$AN$1,),)-VLOOKUP(A41,Data!$A:$AN,MATCH(yoy!$V$1,Data!$A$1:$AN$1,),))/VLOOKUP(A41,Data!$A:$AN,MATCH(yoy!$V$1,Data!$A$1:$AN$1,),))</f>
        <v/>
      </c>
      <c r="W41" s="14">
        <f>IF(VLOOKUP(B41,Data!$A:$AN,MATCH(yoy!$W$1,Data!$A$1:$AN$1,),)=0,"#N/A",(VLOOKUP(B41,Data!$A:$AN,MATCH(yoy!$W$1,Data!$A$1:$AN$1,),)-VLOOKUP(A41,Data!$A:$AN,MATCH(yoy!$W$1,Data!$A$1:$AN$1,),))/VLOOKUP(A41,Data!$A:$AN,MATCH(yoy!$W$1,Data!$A$1:$AN$1,),))</f>
        <v/>
      </c>
      <c r="X41" s="14">
        <f>IF(VLOOKUP(B41,Data!$A:$AN,MATCH(yoy!$X$1,Data!$A$1:$AN$1,),)=0,"#N/A",(VLOOKUP(B41,Data!$A:$AN,MATCH(yoy!$X$1,Data!$A$1:$AN$1,),)-VLOOKUP(A41,Data!$A:$AN,MATCH(yoy!$X$1,Data!$A$1:$AN$1,),))/VLOOKUP(A41,Data!$A:$AN,MATCH(yoy!$X$1,Data!$A$1:$AN$1,),))</f>
        <v/>
      </c>
      <c r="Y41" s="14">
        <f>IF(VLOOKUP(B41,Data!$A:$AN,MATCH(yoy!$Y$1,Data!$A$1:$AN$1,),)=0,"#N/A",(VLOOKUP(B41,Data!$A:$AN,MATCH(yoy!$Y$1,Data!$A$1:$AN$1,),)-VLOOKUP(A41,Data!$A:$AN,MATCH(yoy!$Y$1,Data!$A$1:$AN$1,),))/VLOOKUP(A41,Data!$A:$AN,MATCH(yoy!$Y$1,Data!$A$1:$AN$1,),))</f>
        <v/>
      </c>
      <c r="Z41" s="14">
        <f>IF(VLOOKUP(B41,Data!$A:$AN,MATCH(yoy!$Z$1,Data!$A$1:$AN$1,),)=0,"#N/A",(VLOOKUP(B41,Data!$A:$AN,MATCH(yoy!$Z$1,Data!$A$1:$AN$1,),)-VLOOKUP(A41,Data!$A:$AN,MATCH(yoy!$Z$1,Data!$A$1:$AN$1,),))/VLOOKUP(A41,Data!$A:$AN,MATCH(yoy!$Z$1,Data!$A$1:$AN$1,),))</f>
        <v/>
      </c>
      <c r="AA41" s="14">
        <f>IF(VLOOKUP(B41,Data!$A:$AN,MATCH(yoy!$AA$1,Data!$A$1:$AN$1,),)=0,"#N/A",(VLOOKUP(B41,Data!$A:$AN,MATCH(yoy!$AA$1,Data!$A$1:$AN$1,),)-VLOOKUP(A41,Data!$A:$AN,MATCH(yoy!$AA$1,Data!$A$1:$AN$1,),))/VLOOKUP(A41,Data!$A:$AN,MATCH(yoy!$AA$1,Data!$A$1:$AN$1,),))</f>
        <v/>
      </c>
    </row>
    <row r="42">
      <c r="A42" s="20">
        <f>DATE(YEAR(B42)-1,MONTH(B42),DAY(B42))</f>
        <v/>
      </c>
      <c r="B42" s="12" t="n">
        <v>43132</v>
      </c>
      <c r="C42" s="14">
        <f>IF(VLOOKUP(B42,Data!$A:$AN,MATCH(yoy!$C$1,Data!$A$1:$AN$1,),)=0,"#N/A",(VLOOKUP(B42,Data!$A:$AN,MATCH(yoy!$C$1,Data!$A$1:$AN$1,),)-VLOOKUP(A42,Data!$A:$AN,MATCH(yoy!$C$1,Data!$A$1:$AN$1,),))/VLOOKUP(A42,Data!$A:$AN,MATCH(yoy!$C$1,Data!$A$1:$AN$1,),))</f>
        <v/>
      </c>
      <c r="D42" s="14">
        <f>IF(VLOOKUP(B42,Data!$A:$AN,MATCH(yoy!$D$1,Data!$A$1:$AN$1,),)=0,"#N/A",(VLOOKUP(B42,Data!$A:$AN,MATCH(yoy!$D$1,Data!$A$1:$AN$1,),)-VLOOKUP(A42,Data!$A:$AN,MATCH(yoy!$D$1,Data!$A$1:$AN$1,),))/VLOOKUP(A42,Data!$A:$AN,MATCH(yoy!$D$1,Data!$A$1:$AN$1,),))</f>
        <v/>
      </c>
      <c r="E42" s="14">
        <f>IF(VLOOKUP(B42,Data!$A:$AN,MATCH(yoy!$E$1,Data!$A$1:$AN$1,),)=0,"#N/A",(VLOOKUP(B42,Data!$A:$AN,MATCH(yoy!$E$1,Data!$A$1:$AN$1,),)-VLOOKUP(A42,Data!$A:$AN,MATCH(yoy!$E$1,Data!$A$1:$AN$1,),))/VLOOKUP(A42,Data!$A:$AN,MATCH(yoy!$E$1,Data!$A$1:$AN$1,),))</f>
        <v/>
      </c>
      <c r="F42" s="14">
        <f>IF(VLOOKUP(B42,Data!$A:$AN,MATCH(yoy!$F$1,Data!$A$1:$AN$1,),)=0,"#N/A",(VLOOKUP(B42,Data!$A:$AN,MATCH(yoy!$F$1,Data!$A$1:$AN$1,),)-VLOOKUP(A42,Data!$A:$AN,MATCH(yoy!$F$1,Data!$A$1:$AN$1,),))/VLOOKUP(A42,Data!$A:$AN,MATCH(yoy!$F$1,Data!$A$1:$AN$1,),))</f>
        <v/>
      </c>
      <c r="G42" s="14">
        <f>IF(VLOOKUP(B42,Data!$A:$AN,MATCH(yoy!$G$1,Data!$A$1:$AN$1,),)=0,"#N/A",(VLOOKUP(B42,Data!$A:$AN,MATCH(yoy!$G$1,Data!$A$1:$AN$1,),)-VLOOKUP(A42,Data!$A:$AN,MATCH(yoy!$G$1,Data!$A$1:$AN$1,),))/VLOOKUP(A42,Data!$A:$AN,MATCH(yoy!$G$1,Data!$A$1:$AN$1,),))</f>
        <v/>
      </c>
      <c r="H42" s="14">
        <f>IF(VLOOKUP(B42,Data!$A:$AN,MATCH(yoy!$H$1,Data!$A$1:$AN$1,),)=0,"#N/A",(VLOOKUP(B42,Data!$A:$AN,MATCH(yoy!$H$1,Data!$A$1:$AN$1,),)-VLOOKUP(A42,Data!$A:$AN,MATCH(yoy!$H$1,Data!$A$1:$AN$1,),))/VLOOKUP(A42,Data!$A:$AN,MATCH(yoy!$H$1,Data!$A$1:$AN$1,),))</f>
        <v/>
      </c>
      <c r="I42" s="14">
        <f>IF(VLOOKUP(B42,Data!$A:$AN,MATCH(yoy!$I$1,Data!$A$1:$AN$1,),)=0,"#N/A",(VLOOKUP(B42,Data!$A:$AN,MATCH(yoy!$I$1,Data!$A$1:$AN$1,),)-VLOOKUP(A42,Data!$A:$AN,MATCH(yoy!$I$1,Data!$A$1:$AN$1,),))/VLOOKUP(A42,Data!$A:$AN,MATCH(yoy!$I$1,Data!$A$1:$AN$1,),))</f>
        <v/>
      </c>
      <c r="J42" s="14">
        <f>IF(VLOOKUP(B42,Data!$A:$AN,MATCH(yoy!$J$1,Data!$A$1:$AN$1,),)=0,"#N/A",(VLOOKUP(B42,Data!$A:$AN,MATCH(yoy!$J$1,Data!$A$1:$AN$1,),)-VLOOKUP(A42,Data!$A:$AN,MATCH(yoy!$J$1,Data!$A$1:$AN$1,),))/VLOOKUP(A42,Data!$A:$AN,MATCH(yoy!$J$1,Data!$A$1:$AN$1,),))</f>
        <v/>
      </c>
      <c r="K42" s="14">
        <f>IF(VLOOKUP(B42,Data!$A:$AN,MATCH(yoy!$K$1,Data!$A$1:$AN$1,),)=0,"#N/A",(VLOOKUP(B42,Data!$A:$AN,MATCH(yoy!$K$1,Data!$A$1:$AN$1,),)-VLOOKUP(A42,Data!$A:$AN,MATCH(yoy!$K$1,Data!$A$1:$AN$1,),))/VLOOKUP(A42,Data!$A:$AN,MATCH(yoy!$K$1,Data!$A$1:$AN$1,),))</f>
        <v/>
      </c>
      <c r="L42" s="14">
        <f>IF(VLOOKUP(B42,Data!$A:$AN,MATCH(yoy!$L$1,Data!$A$1:$AN$1,),)=0,"#N/A",(VLOOKUP(B42,Data!$A:$AN,MATCH(yoy!$L$1,Data!$A$1:$AN$1,),)-VLOOKUP(A42,Data!$A:$AN,MATCH(yoy!$L$1,Data!$A$1:$AN$1,),))/VLOOKUP(A42,Data!$A:$AN,MATCH(yoy!$L$1,Data!$A$1:$AN$1,),))</f>
        <v/>
      </c>
      <c r="M42" s="14">
        <f>IF(VLOOKUP(B42,Data!$A:$AN,MATCH(yoy!$M$1,Data!$A$1:$AN$1,),)=0,"#N/A",(VLOOKUP(B42,Data!$A:$AN,MATCH(yoy!$M$1,Data!$A$1:$AN$1,),)-VLOOKUP(A42,Data!$A:$AN,MATCH(yoy!$M$1,Data!$A$1:$AN$1,),))/VLOOKUP(A42,Data!$A:$AN,MATCH(yoy!$M$1,Data!$A$1:$AN$1,),))</f>
        <v/>
      </c>
      <c r="N42" s="14">
        <f>IF(VLOOKUP(B42,Data!$A:$AN,MATCH(yoy!$N$1,Data!$A$1:$AN$1,),)=0,"#N/A",(VLOOKUP(B42,Data!$A:$AN,MATCH(yoy!$N$1,Data!$A$1:$AN$1,),)-VLOOKUP(A42,Data!$A:$AN,MATCH(yoy!$N$1,Data!$A$1:$AN$1,),))/VLOOKUP(A42,Data!$A:$AN,MATCH(yoy!$N$1,Data!$A$1:$AN$1,),))</f>
        <v/>
      </c>
      <c r="O42" s="14">
        <f>IF(VLOOKUP(B42,Data!$A:$AN,MATCH(yoy!$O$1,Data!$A$1:$AN$1,),)=0,"#N/A",(VLOOKUP(B42,Data!$A:$AN,MATCH(yoy!$O$1,Data!$A$1:$AN$1,),)-VLOOKUP(A42,Data!$A:$AN,MATCH(yoy!$O$1,Data!$A$1:$AN$1,),))/VLOOKUP(A42,Data!$A:$AN,MATCH(yoy!$O$1,Data!$A$1:$AN$1,),))</f>
        <v/>
      </c>
      <c r="P42" s="14">
        <f>IF(VLOOKUP(B42,Data!$A:$AN,MATCH(yoy!$P$1,Data!$A$1:$AN$1,),)=0,"#N/A",(VLOOKUP(B42,Data!$A:$AN,MATCH(yoy!$P$1,Data!$A$1:$AN$1,),)-VLOOKUP(A42,Data!$A:$AN,MATCH(yoy!$P$1,Data!$A$1:$AN$1,),))/VLOOKUP(A42,Data!$A:$AN,MATCH(yoy!$P$1,Data!$A$1:$AN$1,),))</f>
        <v/>
      </c>
      <c r="Q42" s="14">
        <f>IF(VLOOKUP(B42,Data!$A:$AN,MATCH(yoy!$Q$1,Data!$A$1:$AN$1,),)=0,"#N/A",(VLOOKUP(B42,Data!$A:$AN,MATCH(yoy!$Q$1,Data!$A$1:$AN$1,),)-VLOOKUP(A42,Data!$A:$AN,MATCH(yoy!$Q$1,Data!$A$1:$AN$1,),))/VLOOKUP(A42,Data!$A:$AN,MATCH(yoy!$Q$1,Data!$A$1:$AN$1,),))</f>
        <v/>
      </c>
      <c r="R42" s="14">
        <f>IF(VLOOKUP(B42,Data!$A:$AN,MATCH(yoy!$R$1,Data!$A$1:$AN$1,),)=0,"#N/A",(VLOOKUP(B42,Data!$A:$AN,MATCH(yoy!$R$1,Data!$A$1:$AN$1,),)-VLOOKUP(A42,Data!$A:$AN,MATCH(yoy!$R$1,Data!$A$1:$AN$1,),))/VLOOKUP(A42,Data!$A:$AN,MATCH(yoy!$R$1,Data!$A$1:$AN$1,),))</f>
        <v/>
      </c>
      <c r="S42" s="14">
        <f>IF(VLOOKUP(B42,Data!$A:$AN,MATCH(yoy!$S$1,Data!$A$1:$AN$1,),)=0,"#N/A",(VLOOKUP(B42,Data!$A:$AN,MATCH(yoy!$S$1,Data!$A$1:$AN$1,),)-VLOOKUP(A42,Data!$A:$AN,MATCH(yoy!$S$1,Data!$A$1:$AN$1,),))/VLOOKUP(A42,Data!$A:$AN,MATCH(yoy!$S$1,Data!$A$1:$AN$1,),))</f>
        <v/>
      </c>
      <c r="T42" s="14">
        <f>IF(VLOOKUP(B42,Data!$A:$AN,MATCH(yoy!$T$1,Data!$A$1:$AN$1,),)=0,"#N/A",(VLOOKUP(B42,Data!$A:$AN,MATCH(yoy!$T$1,Data!$A$1:$AN$1,),)-VLOOKUP(A42,Data!$A:$AN,MATCH(yoy!$T$1,Data!$A$1:$AN$1,),))/VLOOKUP(A42,Data!$A:$AN,MATCH(yoy!$T$1,Data!$A$1:$AN$1,),))</f>
        <v/>
      </c>
      <c r="U42" s="14">
        <f>IF(VLOOKUP(B42,Data!$A:$AN,MATCH(yoy!$U$1,Data!$A$1:$AN$1,),)=0,"#N/A",(VLOOKUP(B42,Data!$A:$AN,MATCH(yoy!$U$1,Data!$A$1:$AN$1,),)-VLOOKUP(A42,Data!$A:$AN,MATCH(yoy!$U$1,Data!$A$1:$AN$1,),))/VLOOKUP(A42,Data!$A:$AN,MATCH(yoy!$U$1,Data!$A$1:$AN$1,),))</f>
        <v/>
      </c>
      <c r="V42" s="14">
        <f>IF(VLOOKUP(B42,Data!$A:$AN,MATCH(yoy!$V$1,Data!$A$1:$AN$1,),)=0,"#N/A",(VLOOKUP(B42,Data!$A:$AN,MATCH(yoy!$V$1,Data!$A$1:$AN$1,),)-VLOOKUP(A42,Data!$A:$AN,MATCH(yoy!$V$1,Data!$A$1:$AN$1,),))/VLOOKUP(A42,Data!$A:$AN,MATCH(yoy!$V$1,Data!$A$1:$AN$1,),))</f>
        <v/>
      </c>
      <c r="W42" s="14">
        <f>IF(VLOOKUP(B42,Data!$A:$AN,MATCH(yoy!$W$1,Data!$A$1:$AN$1,),)=0,"#N/A",(VLOOKUP(B42,Data!$A:$AN,MATCH(yoy!$W$1,Data!$A$1:$AN$1,),)-VLOOKUP(A42,Data!$A:$AN,MATCH(yoy!$W$1,Data!$A$1:$AN$1,),))/VLOOKUP(A42,Data!$A:$AN,MATCH(yoy!$W$1,Data!$A$1:$AN$1,),))</f>
        <v/>
      </c>
      <c r="X42" s="14">
        <f>IF(VLOOKUP(B42,Data!$A:$AN,MATCH(yoy!$X$1,Data!$A$1:$AN$1,),)=0,"#N/A",(VLOOKUP(B42,Data!$A:$AN,MATCH(yoy!$X$1,Data!$A$1:$AN$1,),)-VLOOKUP(A42,Data!$A:$AN,MATCH(yoy!$X$1,Data!$A$1:$AN$1,),))/VLOOKUP(A42,Data!$A:$AN,MATCH(yoy!$X$1,Data!$A$1:$AN$1,),))</f>
        <v/>
      </c>
      <c r="Y42" s="14">
        <f>IF(VLOOKUP(B42,Data!$A:$AN,MATCH(yoy!$Y$1,Data!$A$1:$AN$1,),)=0,"#N/A",(VLOOKUP(B42,Data!$A:$AN,MATCH(yoy!$Y$1,Data!$A$1:$AN$1,),)-VLOOKUP(A42,Data!$A:$AN,MATCH(yoy!$Y$1,Data!$A$1:$AN$1,),))/VLOOKUP(A42,Data!$A:$AN,MATCH(yoy!$Y$1,Data!$A$1:$AN$1,),))</f>
        <v/>
      </c>
      <c r="Z42" s="14">
        <f>IF(VLOOKUP(B42,Data!$A:$AN,MATCH(yoy!$Z$1,Data!$A$1:$AN$1,),)=0,"#N/A",(VLOOKUP(B42,Data!$A:$AN,MATCH(yoy!$Z$1,Data!$A$1:$AN$1,),)-VLOOKUP(A42,Data!$A:$AN,MATCH(yoy!$Z$1,Data!$A$1:$AN$1,),))/VLOOKUP(A42,Data!$A:$AN,MATCH(yoy!$Z$1,Data!$A$1:$AN$1,),))</f>
        <v/>
      </c>
      <c r="AA42" s="14">
        <f>IF(VLOOKUP(B42,Data!$A:$AN,MATCH(yoy!$AA$1,Data!$A$1:$AN$1,),)=0,"#N/A",(VLOOKUP(B42,Data!$A:$AN,MATCH(yoy!$AA$1,Data!$A$1:$AN$1,),)-VLOOKUP(A42,Data!$A:$AN,MATCH(yoy!$AA$1,Data!$A$1:$AN$1,),))/VLOOKUP(A42,Data!$A:$AN,MATCH(yoy!$AA$1,Data!$A$1:$AN$1,),))</f>
        <v/>
      </c>
    </row>
    <row r="43">
      <c r="A43" s="20">
        <f>DATE(YEAR(B43)-1,MONTH(B43),DAY(B43))</f>
        <v/>
      </c>
      <c r="B43" s="12" t="n">
        <v>43160</v>
      </c>
      <c r="C43" s="14">
        <f>IF(VLOOKUP(B43,Data!$A:$AN,MATCH(yoy!$C$1,Data!$A$1:$AN$1,),)=0,"#N/A",(VLOOKUP(B43,Data!$A:$AN,MATCH(yoy!$C$1,Data!$A$1:$AN$1,),)-VLOOKUP(A43,Data!$A:$AN,MATCH(yoy!$C$1,Data!$A$1:$AN$1,),))/VLOOKUP(A43,Data!$A:$AN,MATCH(yoy!$C$1,Data!$A$1:$AN$1,),))</f>
        <v/>
      </c>
      <c r="D43" s="14">
        <f>IF(VLOOKUP(B43,Data!$A:$AN,MATCH(yoy!$D$1,Data!$A$1:$AN$1,),)=0,"#N/A",(VLOOKUP(B43,Data!$A:$AN,MATCH(yoy!$D$1,Data!$A$1:$AN$1,),)-VLOOKUP(A43,Data!$A:$AN,MATCH(yoy!$D$1,Data!$A$1:$AN$1,),))/VLOOKUP(A43,Data!$A:$AN,MATCH(yoy!$D$1,Data!$A$1:$AN$1,),))</f>
        <v/>
      </c>
      <c r="E43" s="14">
        <f>IF(VLOOKUP(B43,Data!$A:$AN,MATCH(yoy!$E$1,Data!$A$1:$AN$1,),)=0,"#N/A",(VLOOKUP(B43,Data!$A:$AN,MATCH(yoy!$E$1,Data!$A$1:$AN$1,),)-VLOOKUP(A43,Data!$A:$AN,MATCH(yoy!$E$1,Data!$A$1:$AN$1,),))/VLOOKUP(A43,Data!$A:$AN,MATCH(yoy!$E$1,Data!$A$1:$AN$1,),))</f>
        <v/>
      </c>
      <c r="F43" s="14">
        <f>IF(VLOOKUP(B43,Data!$A:$AN,MATCH(yoy!$F$1,Data!$A$1:$AN$1,),)=0,"#N/A",(VLOOKUP(B43,Data!$A:$AN,MATCH(yoy!$F$1,Data!$A$1:$AN$1,),)-VLOOKUP(A43,Data!$A:$AN,MATCH(yoy!$F$1,Data!$A$1:$AN$1,),))/VLOOKUP(A43,Data!$A:$AN,MATCH(yoy!$F$1,Data!$A$1:$AN$1,),))</f>
        <v/>
      </c>
      <c r="G43" s="14">
        <f>IF(VLOOKUP(B43,Data!$A:$AN,MATCH(yoy!$G$1,Data!$A$1:$AN$1,),)=0,"#N/A",(VLOOKUP(B43,Data!$A:$AN,MATCH(yoy!$G$1,Data!$A$1:$AN$1,),)-VLOOKUP(A43,Data!$A:$AN,MATCH(yoy!$G$1,Data!$A$1:$AN$1,),))/VLOOKUP(A43,Data!$A:$AN,MATCH(yoy!$G$1,Data!$A$1:$AN$1,),))</f>
        <v/>
      </c>
      <c r="H43" s="14">
        <f>IF(VLOOKUP(B43,Data!$A:$AN,MATCH(yoy!$H$1,Data!$A$1:$AN$1,),)=0,"#N/A",(VLOOKUP(B43,Data!$A:$AN,MATCH(yoy!$H$1,Data!$A$1:$AN$1,),)-VLOOKUP(A43,Data!$A:$AN,MATCH(yoy!$H$1,Data!$A$1:$AN$1,),))/VLOOKUP(A43,Data!$A:$AN,MATCH(yoy!$H$1,Data!$A$1:$AN$1,),))</f>
        <v/>
      </c>
      <c r="I43" s="14">
        <f>IF(VLOOKUP(B43,Data!$A:$AN,MATCH(yoy!$I$1,Data!$A$1:$AN$1,),)=0,"#N/A",(VLOOKUP(B43,Data!$A:$AN,MATCH(yoy!$I$1,Data!$A$1:$AN$1,),)-VLOOKUP(A43,Data!$A:$AN,MATCH(yoy!$I$1,Data!$A$1:$AN$1,),))/VLOOKUP(A43,Data!$A:$AN,MATCH(yoy!$I$1,Data!$A$1:$AN$1,),))</f>
        <v/>
      </c>
      <c r="J43" s="14">
        <f>IF(VLOOKUP(B43,Data!$A:$AN,MATCH(yoy!$J$1,Data!$A$1:$AN$1,),)=0,"#N/A",(VLOOKUP(B43,Data!$A:$AN,MATCH(yoy!$J$1,Data!$A$1:$AN$1,),)-VLOOKUP(A43,Data!$A:$AN,MATCH(yoy!$J$1,Data!$A$1:$AN$1,),))/VLOOKUP(A43,Data!$A:$AN,MATCH(yoy!$J$1,Data!$A$1:$AN$1,),))</f>
        <v/>
      </c>
      <c r="K43" s="14">
        <f>IF(VLOOKUP(B43,Data!$A:$AN,MATCH(yoy!$K$1,Data!$A$1:$AN$1,),)=0,"#N/A",(VLOOKUP(B43,Data!$A:$AN,MATCH(yoy!$K$1,Data!$A$1:$AN$1,),)-VLOOKUP(A43,Data!$A:$AN,MATCH(yoy!$K$1,Data!$A$1:$AN$1,),))/VLOOKUP(A43,Data!$A:$AN,MATCH(yoy!$K$1,Data!$A$1:$AN$1,),))</f>
        <v/>
      </c>
      <c r="L43" s="14">
        <f>IF(VLOOKUP(B43,Data!$A:$AN,MATCH(yoy!$L$1,Data!$A$1:$AN$1,),)=0,"#N/A",(VLOOKUP(B43,Data!$A:$AN,MATCH(yoy!$L$1,Data!$A$1:$AN$1,),)-VLOOKUP(A43,Data!$A:$AN,MATCH(yoy!$L$1,Data!$A$1:$AN$1,),))/VLOOKUP(A43,Data!$A:$AN,MATCH(yoy!$L$1,Data!$A$1:$AN$1,),))</f>
        <v/>
      </c>
      <c r="M43" s="14">
        <f>IF(VLOOKUP(B43,Data!$A:$AN,MATCH(yoy!$M$1,Data!$A$1:$AN$1,),)=0,"#N/A",(VLOOKUP(B43,Data!$A:$AN,MATCH(yoy!$M$1,Data!$A$1:$AN$1,),)-VLOOKUP(A43,Data!$A:$AN,MATCH(yoy!$M$1,Data!$A$1:$AN$1,),))/VLOOKUP(A43,Data!$A:$AN,MATCH(yoy!$M$1,Data!$A$1:$AN$1,),))</f>
        <v/>
      </c>
      <c r="N43" s="14">
        <f>IF(VLOOKUP(B43,Data!$A:$AN,MATCH(yoy!$N$1,Data!$A$1:$AN$1,),)=0,"#N/A",(VLOOKUP(B43,Data!$A:$AN,MATCH(yoy!$N$1,Data!$A$1:$AN$1,),)-VLOOKUP(A43,Data!$A:$AN,MATCH(yoy!$N$1,Data!$A$1:$AN$1,),))/VLOOKUP(A43,Data!$A:$AN,MATCH(yoy!$N$1,Data!$A$1:$AN$1,),))</f>
        <v/>
      </c>
      <c r="O43" s="14">
        <f>IF(VLOOKUP(B43,Data!$A:$AN,MATCH(yoy!$O$1,Data!$A$1:$AN$1,),)=0,"#N/A",(VLOOKUP(B43,Data!$A:$AN,MATCH(yoy!$O$1,Data!$A$1:$AN$1,),)-VLOOKUP(A43,Data!$A:$AN,MATCH(yoy!$O$1,Data!$A$1:$AN$1,),))/VLOOKUP(A43,Data!$A:$AN,MATCH(yoy!$O$1,Data!$A$1:$AN$1,),))</f>
        <v/>
      </c>
      <c r="P43" s="14">
        <f>IF(VLOOKUP(B43,Data!$A:$AN,MATCH(yoy!$P$1,Data!$A$1:$AN$1,),)=0,"#N/A",(VLOOKUP(B43,Data!$A:$AN,MATCH(yoy!$P$1,Data!$A$1:$AN$1,),)-VLOOKUP(A43,Data!$A:$AN,MATCH(yoy!$P$1,Data!$A$1:$AN$1,),))/VLOOKUP(A43,Data!$A:$AN,MATCH(yoy!$P$1,Data!$A$1:$AN$1,),))</f>
        <v/>
      </c>
      <c r="Q43" s="14">
        <f>IF(VLOOKUP(B43,Data!$A:$AN,MATCH(yoy!$Q$1,Data!$A$1:$AN$1,),)=0,"#N/A",(VLOOKUP(B43,Data!$A:$AN,MATCH(yoy!$Q$1,Data!$A$1:$AN$1,),)-VLOOKUP(A43,Data!$A:$AN,MATCH(yoy!$Q$1,Data!$A$1:$AN$1,),))/VLOOKUP(A43,Data!$A:$AN,MATCH(yoy!$Q$1,Data!$A$1:$AN$1,),))</f>
        <v/>
      </c>
      <c r="R43" s="14">
        <f>IF(VLOOKUP(B43,Data!$A:$AN,MATCH(yoy!$R$1,Data!$A$1:$AN$1,),)=0,"#N/A",(VLOOKUP(B43,Data!$A:$AN,MATCH(yoy!$R$1,Data!$A$1:$AN$1,),)-VLOOKUP(A43,Data!$A:$AN,MATCH(yoy!$R$1,Data!$A$1:$AN$1,),))/VLOOKUP(A43,Data!$A:$AN,MATCH(yoy!$R$1,Data!$A$1:$AN$1,),))</f>
        <v/>
      </c>
      <c r="S43" s="14">
        <f>IF(VLOOKUP(B43,Data!$A:$AN,MATCH(yoy!$S$1,Data!$A$1:$AN$1,),)=0,"#N/A",(VLOOKUP(B43,Data!$A:$AN,MATCH(yoy!$S$1,Data!$A$1:$AN$1,),)-VLOOKUP(A43,Data!$A:$AN,MATCH(yoy!$S$1,Data!$A$1:$AN$1,),))/VLOOKUP(A43,Data!$A:$AN,MATCH(yoy!$S$1,Data!$A$1:$AN$1,),))</f>
        <v/>
      </c>
      <c r="T43" s="14">
        <f>IF(VLOOKUP(B43,Data!$A:$AN,MATCH(yoy!$T$1,Data!$A$1:$AN$1,),)=0,"#N/A",(VLOOKUP(B43,Data!$A:$AN,MATCH(yoy!$T$1,Data!$A$1:$AN$1,),)-VLOOKUP(A43,Data!$A:$AN,MATCH(yoy!$T$1,Data!$A$1:$AN$1,),))/VLOOKUP(A43,Data!$A:$AN,MATCH(yoy!$T$1,Data!$A$1:$AN$1,),))</f>
        <v/>
      </c>
      <c r="U43" s="14">
        <f>IF(VLOOKUP(B43,Data!$A:$AN,MATCH(yoy!$U$1,Data!$A$1:$AN$1,),)=0,"#N/A",(VLOOKUP(B43,Data!$A:$AN,MATCH(yoy!$U$1,Data!$A$1:$AN$1,),)-VLOOKUP(A43,Data!$A:$AN,MATCH(yoy!$U$1,Data!$A$1:$AN$1,),))/VLOOKUP(A43,Data!$A:$AN,MATCH(yoy!$U$1,Data!$A$1:$AN$1,),))</f>
        <v/>
      </c>
      <c r="V43" s="14">
        <f>IF(VLOOKUP(B43,Data!$A:$AN,MATCH(yoy!$V$1,Data!$A$1:$AN$1,),)=0,"#N/A",(VLOOKUP(B43,Data!$A:$AN,MATCH(yoy!$V$1,Data!$A$1:$AN$1,),)-VLOOKUP(A43,Data!$A:$AN,MATCH(yoy!$V$1,Data!$A$1:$AN$1,),))/VLOOKUP(A43,Data!$A:$AN,MATCH(yoy!$V$1,Data!$A$1:$AN$1,),))</f>
        <v/>
      </c>
      <c r="W43" s="14">
        <f>IF(VLOOKUP(B43,Data!$A:$AN,MATCH(yoy!$W$1,Data!$A$1:$AN$1,),)=0,"#N/A",(VLOOKUP(B43,Data!$A:$AN,MATCH(yoy!$W$1,Data!$A$1:$AN$1,),)-VLOOKUP(A43,Data!$A:$AN,MATCH(yoy!$W$1,Data!$A$1:$AN$1,),))/VLOOKUP(A43,Data!$A:$AN,MATCH(yoy!$W$1,Data!$A$1:$AN$1,),))</f>
        <v/>
      </c>
      <c r="X43" s="14">
        <f>IF(VLOOKUP(B43,Data!$A:$AN,MATCH(yoy!$X$1,Data!$A$1:$AN$1,),)=0,"#N/A",(VLOOKUP(B43,Data!$A:$AN,MATCH(yoy!$X$1,Data!$A$1:$AN$1,),)-VLOOKUP(A43,Data!$A:$AN,MATCH(yoy!$X$1,Data!$A$1:$AN$1,),))/VLOOKUP(A43,Data!$A:$AN,MATCH(yoy!$X$1,Data!$A$1:$AN$1,),))</f>
        <v/>
      </c>
      <c r="Y43" s="14">
        <f>IF(VLOOKUP(B43,Data!$A:$AN,MATCH(yoy!$Y$1,Data!$A$1:$AN$1,),)=0,"#N/A",(VLOOKUP(B43,Data!$A:$AN,MATCH(yoy!$Y$1,Data!$A$1:$AN$1,),)-VLOOKUP(A43,Data!$A:$AN,MATCH(yoy!$Y$1,Data!$A$1:$AN$1,),))/VLOOKUP(A43,Data!$A:$AN,MATCH(yoy!$Y$1,Data!$A$1:$AN$1,),))</f>
        <v/>
      </c>
      <c r="Z43" s="14">
        <f>IF(VLOOKUP(B43,Data!$A:$AN,MATCH(yoy!$Z$1,Data!$A$1:$AN$1,),)=0,"#N/A",(VLOOKUP(B43,Data!$A:$AN,MATCH(yoy!$Z$1,Data!$A$1:$AN$1,),)-VLOOKUP(A43,Data!$A:$AN,MATCH(yoy!$Z$1,Data!$A$1:$AN$1,),))/VLOOKUP(A43,Data!$A:$AN,MATCH(yoy!$Z$1,Data!$A$1:$AN$1,),))</f>
        <v/>
      </c>
      <c r="AA43" s="14">
        <f>IF(VLOOKUP(B43,Data!$A:$AN,MATCH(yoy!$AA$1,Data!$A$1:$AN$1,),)=0,"#N/A",(VLOOKUP(B43,Data!$A:$AN,MATCH(yoy!$AA$1,Data!$A$1:$AN$1,),)-VLOOKUP(A43,Data!$A:$AN,MATCH(yoy!$AA$1,Data!$A$1:$AN$1,),))/VLOOKUP(A43,Data!$A:$AN,MATCH(yoy!$AA$1,Data!$A$1:$AN$1,),))</f>
        <v/>
      </c>
    </row>
    <row r="44">
      <c r="A44" s="20">
        <f>DATE(YEAR(B44)-1,MONTH(B44),DAY(B44))</f>
        <v/>
      </c>
      <c r="B44" s="12" t="n">
        <v>43191</v>
      </c>
      <c r="C44" s="14">
        <f>IF(VLOOKUP(B44,Data!$A:$AN,MATCH(yoy!$C$1,Data!$A$1:$AN$1,),)=0,"#N/A",(VLOOKUP(B44,Data!$A:$AN,MATCH(yoy!$C$1,Data!$A$1:$AN$1,),)-VLOOKUP(A44,Data!$A:$AN,MATCH(yoy!$C$1,Data!$A$1:$AN$1,),))/VLOOKUP(A44,Data!$A:$AN,MATCH(yoy!$C$1,Data!$A$1:$AN$1,),))</f>
        <v/>
      </c>
      <c r="D44" s="14">
        <f>IF(VLOOKUP(B44,Data!$A:$AN,MATCH(yoy!$D$1,Data!$A$1:$AN$1,),)=0,"#N/A",(VLOOKUP(B44,Data!$A:$AN,MATCH(yoy!$D$1,Data!$A$1:$AN$1,),)-VLOOKUP(A44,Data!$A:$AN,MATCH(yoy!$D$1,Data!$A$1:$AN$1,),))/VLOOKUP(A44,Data!$A:$AN,MATCH(yoy!$D$1,Data!$A$1:$AN$1,),))</f>
        <v/>
      </c>
      <c r="E44" s="14">
        <f>IF(VLOOKUP(B44,Data!$A:$AN,MATCH(yoy!$E$1,Data!$A$1:$AN$1,),)=0,"#N/A",(VLOOKUP(B44,Data!$A:$AN,MATCH(yoy!$E$1,Data!$A$1:$AN$1,),)-VLOOKUP(A44,Data!$A:$AN,MATCH(yoy!$E$1,Data!$A$1:$AN$1,),))/VLOOKUP(A44,Data!$A:$AN,MATCH(yoy!$E$1,Data!$A$1:$AN$1,),))</f>
        <v/>
      </c>
      <c r="F44" s="14">
        <f>IF(VLOOKUP(B44,Data!$A:$AN,MATCH(yoy!$F$1,Data!$A$1:$AN$1,),)=0,"#N/A",(VLOOKUP(B44,Data!$A:$AN,MATCH(yoy!$F$1,Data!$A$1:$AN$1,),)-VLOOKUP(A44,Data!$A:$AN,MATCH(yoy!$F$1,Data!$A$1:$AN$1,),))/VLOOKUP(A44,Data!$A:$AN,MATCH(yoy!$F$1,Data!$A$1:$AN$1,),))</f>
        <v/>
      </c>
      <c r="G44" s="14">
        <f>IF(VLOOKUP(B44,Data!$A:$AN,MATCH(yoy!$G$1,Data!$A$1:$AN$1,),)=0,"#N/A",(VLOOKUP(B44,Data!$A:$AN,MATCH(yoy!$G$1,Data!$A$1:$AN$1,),)-VLOOKUP(A44,Data!$A:$AN,MATCH(yoy!$G$1,Data!$A$1:$AN$1,),))/VLOOKUP(A44,Data!$A:$AN,MATCH(yoy!$G$1,Data!$A$1:$AN$1,),))</f>
        <v/>
      </c>
      <c r="H44" s="14">
        <f>IF(VLOOKUP(B44,Data!$A:$AN,MATCH(yoy!$H$1,Data!$A$1:$AN$1,),)=0,"#N/A",(VLOOKUP(B44,Data!$A:$AN,MATCH(yoy!$H$1,Data!$A$1:$AN$1,),)-VLOOKUP(A44,Data!$A:$AN,MATCH(yoy!$H$1,Data!$A$1:$AN$1,),))/VLOOKUP(A44,Data!$A:$AN,MATCH(yoy!$H$1,Data!$A$1:$AN$1,),))</f>
        <v/>
      </c>
      <c r="I44" s="14">
        <f>IF(VLOOKUP(B44,Data!$A:$AN,MATCH(yoy!$I$1,Data!$A$1:$AN$1,),)=0,"#N/A",(VLOOKUP(B44,Data!$A:$AN,MATCH(yoy!$I$1,Data!$A$1:$AN$1,),)-VLOOKUP(A44,Data!$A:$AN,MATCH(yoy!$I$1,Data!$A$1:$AN$1,),))/VLOOKUP(A44,Data!$A:$AN,MATCH(yoy!$I$1,Data!$A$1:$AN$1,),))</f>
        <v/>
      </c>
      <c r="J44" s="14">
        <f>IF(VLOOKUP(B44,Data!$A:$AN,MATCH(yoy!$J$1,Data!$A$1:$AN$1,),)=0,"#N/A",(VLOOKUP(B44,Data!$A:$AN,MATCH(yoy!$J$1,Data!$A$1:$AN$1,),)-VLOOKUP(A44,Data!$A:$AN,MATCH(yoy!$J$1,Data!$A$1:$AN$1,),))/VLOOKUP(A44,Data!$A:$AN,MATCH(yoy!$J$1,Data!$A$1:$AN$1,),))</f>
        <v/>
      </c>
      <c r="K44" s="14">
        <f>IF(VLOOKUP(B44,Data!$A:$AN,MATCH(yoy!$K$1,Data!$A$1:$AN$1,),)=0,"#N/A",(VLOOKUP(B44,Data!$A:$AN,MATCH(yoy!$K$1,Data!$A$1:$AN$1,),)-VLOOKUP(A44,Data!$A:$AN,MATCH(yoy!$K$1,Data!$A$1:$AN$1,),))/VLOOKUP(A44,Data!$A:$AN,MATCH(yoy!$K$1,Data!$A$1:$AN$1,),))</f>
        <v/>
      </c>
      <c r="L44" s="14">
        <f>IF(VLOOKUP(B44,Data!$A:$AN,MATCH(yoy!$L$1,Data!$A$1:$AN$1,),)=0,"#N/A",(VLOOKUP(B44,Data!$A:$AN,MATCH(yoy!$L$1,Data!$A$1:$AN$1,),)-VLOOKUP(A44,Data!$A:$AN,MATCH(yoy!$L$1,Data!$A$1:$AN$1,),))/VLOOKUP(A44,Data!$A:$AN,MATCH(yoy!$L$1,Data!$A$1:$AN$1,),))</f>
        <v/>
      </c>
      <c r="M44" s="14">
        <f>IF(VLOOKUP(B44,Data!$A:$AN,MATCH(yoy!$M$1,Data!$A$1:$AN$1,),)=0,"#N/A",(VLOOKUP(B44,Data!$A:$AN,MATCH(yoy!$M$1,Data!$A$1:$AN$1,),)-VLOOKUP(A44,Data!$A:$AN,MATCH(yoy!$M$1,Data!$A$1:$AN$1,),))/VLOOKUP(A44,Data!$A:$AN,MATCH(yoy!$M$1,Data!$A$1:$AN$1,),))</f>
        <v/>
      </c>
      <c r="N44" s="14">
        <f>IF(VLOOKUP(B44,Data!$A:$AN,MATCH(yoy!$N$1,Data!$A$1:$AN$1,),)=0,"#N/A",(VLOOKUP(B44,Data!$A:$AN,MATCH(yoy!$N$1,Data!$A$1:$AN$1,),)-VLOOKUP(A44,Data!$A:$AN,MATCH(yoy!$N$1,Data!$A$1:$AN$1,),))/VLOOKUP(A44,Data!$A:$AN,MATCH(yoy!$N$1,Data!$A$1:$AN$1,),))</f>
        <v/>
      </c>
      <c r="O44" s="14">
        <f>IF(VLOOKUP(B44,Data!$A:$AN,MATCH(yoy!$O$1,Data!$A$1:$AN$1,),)=0,"#N/A",(VLOOKUP(B44,Data!$A:$AN,MATCH(yoy!$O$1,Data!$A$1:$AN$1,),)-VLOOKUP(A44,Data!$A:$AN,MATCH(yoy!$O$1,Data!$A$1:$AN$1,),))/VLOOKUP(A44,Data!$A:$AN,MATCH(yoy!$O$1,Data!$A$1:$AN$1,),))</f>
        <v/>
      </c>
      <c r="P44" s="14">
        <f>IF(VLOOKUP(B44,Data!$A:$AN,MATCH(yoy!$P$1,Data!$A$1:$AN$1,),)=0,"#N/A",(VLOOKUP(B44,Data!$A:$AN,MATCH(yoy!$P$1,Data!$A$1:$AN$1,),)-VLOOKUP(A44,Data!$A:$AN,MATCH(yoy!$P$1,Data!$A$1:$AN$1,),))/VLOOKUP(A44,Data!$A:$AN,MATCH(yoy!$P$1,Data!$A$1:$AN$1,),))</f>
        <v/>
      </c>
      <c r="Q44" s="14">
        <f>IF(VLOOKUP(B44,Data!$A:$AN,MATCH(yoy!$Q$1,Data!$A$1:$AN$1,),)=0,"#N/A",(VLOOKUP(B44,Data!$A:$AN,MATCH(yoy!$Q$1,Data!$A$1:$AN$1,),)-VLOOKUP(A44,Data!$A:$AN,MATCH(yoy!$Q$1,Data!$A$1:$AN$1,),))/VLOOKUP(A44,Data!$A:$AN,MATCH(yoy!$Q$1,Data!$A$1:$AN$1,),))</f>
        <v/>
      </c>
      <c r="R44" s="14">
        <f>IF(VLOOKUP(B44,Data!$A:$AN,MATCH(yoy!$R$1,Data!$A$1:$AN$1,),)=0,"#N/A",(VLOOKUP(B44,Data!$A:$AN,MATCH(yoy!$R$1,Data!$A$1:$AN$1,),)-VLOOKUP(A44,Data!$A:$AN,MATCH(yoy!$R$1,Data!$A$1:$AN$1,),))/VLOOKUP(A44,Data!$A:$AN,MATCH(yoy!$R$1,Data!$A$1:$AN$1,),))</f>
        <v/>
      </c>
      <c r="S44" s="14">
        <f>IF(VLOOKUP(B44,Data!$A:$AN,MATCH(yoy!$S$1,Data!$A$1:$AN$1,),)=0,"#N/A",(VLOOKUP(B44,Data!$A:$AN,MATCH(yoy!$S$1,Data!$A$1:$AN$1,),)-VLOOKUP(A44,Data!$A:$AN,MATCH(yoy!$S$1,Data!$A$1:$AN$1,),))/VLOOKUP(A44,Data!$A:$AN,MATCH(yoy!$S$1,Data!$A$1:$AN$1,),))</f>
        <v/>
      </c>
      <c r="T44" s="14">
        <f>IF(VLOOKUP(B44,Data!$A:$AN,MATCH(yoy!$T$1,Data!$A$1:$AN$1,),)=0,"#N/A",(VLOOKUP(B44,Data!$A:$AN,MATCH(yoy!$T$1,Data!$A$1:$AN$1,),)-VLOOKUP(A44,Data!$A:$AN,MATCH(yoy!$T$1,Data!$A$1:$AN$1,),))/VLOOKUP(A44,Data!$A:$AN,MATCH(yoy!$T$1,Data!$A$1:$AN$1,),))</f>
        <v/>
      </c>
      <c r="U44" s="14">
        <f>IF(VLOOKUP(B44,Data!$A:$AN,MATCH(yoy!$U$1,Data!$A$1:$AN$1,),)=0,"#N/A",(VLOOKUP(B44,Data!$A:$AN,MATCH(yoy!$U$1,Data!$A$1:$AN$1,),)-VLOOKUP(A44,Data!$A:$AN,MATCH(yoy!$U$1,Data!$A$1:$AN$1,),))/VLOOKUP(A44,Data!$A:$AN,MATCH(yoy!$U$1,Data!$A$1:$AN$1,),))</f>
        <v/>
      </c>
      <c r="V44" s="14">
        <f>IF(VLOOKUP(B44,Data!$A:$AN,MATCH(yoy!$V$1,Data!$A$1:$AN$1,),)=0,"#N/A",(VLOOKUP(B44,Data!$A:$AN,MATCH(yoy!$V$1,Data!$A$1:$AN$1,),)-VLOOKUP(A44,Data!$A:$AN,MATCH(yoy!$V$1,Data!$A$1:$AN$1,),))/VLOOKUP(A44,Data!$A:$AN,MATCH(yoy!$V$1,Data!$A$1:$AN$1,),))</f>
        <v/>
      </c>
      <c r="W44" s="14">
        <f>IF(VLOOKUP(B44,Data!$A:$AN,MATCH(yoy!$W$1,Data!$A$1:$AN$1,),)=0,"#N/A",(VLOOKUP(B44,Data!$A:$AN,MATCH(yoy!$W$1,Data!$A$1:$AN$1,),)-VLOOKUP(A44,Data!$A:$AN,MATCH(yoy!$W$1,Data!$A$1:$AN$1,),))/VLOOKUP(A44,Data!$A:$AN,MATCH(yoy!$W$1,Data!$A$1:$AN$1,),))</f>
        <v/>
      </c>
      <c r="X44" s="14">
        <f>IF(VLOOKUP(B44,Data!$A:$AN,MATCH(yoy!$X$1,Data!$A$1:$AN$1,),)=0,"#N/A",(VLOOKUP(B44,Data!$A:$AN,MATCH(yoy!$X$1,Data!$A$1:$AN$1,),)-VLOOKUP(A44,Data!$A:$AN,MATCH(yoy!$X$1,Data!$A$1:$AN$1,),))/VLOOKUP(A44,Data!$A:$AN,MATCH(yoy!$X$1,Data!$A$1:$AN$1,),))</f>
        <v/>
      </c>
      <c r="Y44" s="14">
        <f>IF(VLOOKUP(B44,Data!$A:$AN,MATCH(yoy!$Y$1,Data!$A$1:$AN$1,),)=0,"#N/A",(VLOOKUP(B44,Data!$A:$AN,MATCH(yoy!$Y$1,Data!$A$1:$AN$1,),)-VLOOKUP(A44,Data!$A:$AN,MATCH(yoy!$Y$1,Data!$A$1:$AN$1,),))/VLOOKUP(A44,Data!$A:$AN,MATCH(yoy!$Y$1,Data!$A$1:$AN$1,),))</f>
        <v/>
      </c>
      <c r="Z44" s="14">
        <f>IF(VLOOKUP(B44,Data!$A:$AN,MATCH(yoy!$Z$1,Data!$A$1:$AN$1,),)=0,"#N/A",(VLOOKUP(B44,Data!$A:$AN,MATCH(yoy!$Z$1,Data!$A$1:$AN$1,),)-VLOOKUP(A44,Data!$A:$AN,MATCH(yoy!$Z$1,Data!$A$1:$AN$1,),))/VLOOKUP(A44,Data!$A:$AN,MATCH(yoy!$Z$1,Data!$A$1:$AN$1,),))</f>
        <v/>
      </c>
      <c r="AA44" s="14">
        <f>IF(VLOOKUP(B44,Data!$A:$AN,MATCH(yoy!$AA$1,Data!$A$1:$AN$1,),)=0,"#N/A",(VLOOKUP(B44,Data!$A:$AN,MATCH(yoy!$AA$1,Data!$A$1:$AN$1,),)-VLOOKUP(A44,Data!$A:$AN,MATCH(yoy!$AA$1,Data!$A$1:$AN$1,),))/VLOOKUP(A44,Data!$A:$AN,MATCH(yoy!$AA$1,Data!$A$1:$AN$1,),))</f>
        <v/>
      </c>
    </row>
    <row r="45" customFormat="1" s="77">
      <c r="A45" s="20">
        <f>DATE(YEAR(B45)-1,MONTH(B45),DAY(B45))</f>
        <v/>
      </c>
      <c r="B45" s="12" t="n">
        <v>43221</v>
      </c>
      <c r="C45" s="14">
        <f>IF(VLOOKUP(B45,Data!$A:$AN,MATCH(yoy!$C$1,Data!$A$1:$AN$1,),)=0,"#N/A",(VLOOKUP(B45,Data!$A:$AN,MATCH(yoy!$C$1,Data!$A$1:$AN$1,),)-VLOOKUP(A45,Data!$A:$AN,MATCH(yoy!$C$1,Data!$A$1:$AN$1,),))/VLOOKUP(A45,Data!$A:$AN,MATCH(yoy!$C$1,Data!$A$1:$AN$1,),))</f>
        <v/>
      </c>
      <c r="D45" s="14">
        <f>IF(VLOOKUP(B45,Data!$A:$AN,MATCH(yoy!$D$1,Data!$A$1:$AN$1,),)=0,"#N/A",(VLOOKUP(B45,Data!$A:$AN,MATCH(yoy!$D$1,Data!$A$1:$AN$1,),)-VLOOKUP(A45,Data!$A:$AN,MATCH(yoy!$D$1,Data!$A$1:$AN$1,),))/VLOOKUP(A45,Data!$A:$AN,MATCH(yoy!$D$1,Data!$A$1:$AN$1,),))</f>
        <v/>
      </c>
      <c r="E45" s="14">
        <f>IF(VLOOKUP(B45,Data!$A:$AN,MATCH(yoy!$E$1,Data!$A$1:$AN$1,),)=0,"#N/A",(VLOOKUP(B45,Data!$A:$AN,MATCH(yoy!$E$1,Data!$A$1:$AN$1,),)-VLOOKUP(A45,Data!$A:$AN,MATCH(yoy!$E$1,Data!$A$1:$AN$1,),))/VLOOKUP(A45,Data!$A:$AN,MATCH(yoy!$E$1,Data!$A$1:$AN$1,),))</f>
        <v/>
      </c>
      <c r="F45" s="14">
        <f>IF(VLOOKUP(B45,Data!$A:$AN,MATCH(yoy!$F$1,Data!$A$1:$AN$1,),)=0,"#N/A",(VLOOKUP(B45,Data!$A:$AN,MATCH(yoy!$F$1,Data!$A$1:$AN$1,),)-VLOOKUP(A45,Data!$A:$AN,MATCH(yoy!$F$1,Data!$A$1:$AN$1,),))/VLOOKUP(A45,Data!$A:$AN,MATCH(yoy!$F$1,Data!$A$1:$AN$1,),))</f>
        <v/>
      </c>
      <c r="G45" s="14">
        <f>IF(VLOOKUP(B45,Data!$A:$AN,MATCH(yoy!$G$1,Data!$A$1:$AN$1,),)=0,"#N/A",(VLOOKUP(B45,Data!$A:$AN,MATCH(yoy!$G$1,Data!$A$1:$AN$1,),)-VLOOKUP(A45,Data!$A:$AN,MATCH(yoy!$G$1,Data!$A$1:$AN$1,),))/VLOOKUP(A45,Data!$A:$AN,MATCH(yoy!$G$1,Data!$A$1:$AN$1,),))</f>
        <v/>
      </c>
      <c r="H45" s="14">
        <f>IF(VLOOKUP(B45,Data!$A:$AN,MATCH(yoy!$H$1,Data!$A$1:$AN$1,),)=0,"#N/A",(VLOOKUP(B45,Data!$A:$AN,MATCH(yoy!$H$1,Data!$A$1:$AN$1,),)-VLOOKUP(A45,Data!$A:$AN,MATCH(yoy!$H$1,Data!$A$1:$AN$1,),))/VLOOKUP(A45,Data!$A:$AN,MATCH(yoy!$H$1,Data!$A$1:$AN$1,),))</f>
        <v/>
      </c>
      <c r="I45" s="14">
        <f>IF(VLOOKUP(B45,Data!$A:$AN,MATCH(yoy!$I$1,Data!$A$1:$AN$1,),)=0,"#N/A",(VLOOKUP(B45,Data!$A:$AN,MATCH(yoy!$I$1,Data!$A$1:$AN$1,),)-VLOOKUP(A45,Data!$A:$AN,MATCH(yoy!$I$1,Data!$A$1:$AN$1,),))/VLOOKUP(A45,Data!$A:$AN,MATCH(yoy!$I$1,Data!$A$1:$AN$1,),))</f>
        <v/>
      </c>
      <c r="J45" s="14">
        <f>IF(VLOOKUP(B45,Data!$A:$AN,MATCH(yoy!$J$1,Data!$A$1:$AN$1,),)=0,"#N/A",(VLOOKUP(B45,Data!$A:$AN,MATCH(yoy!$J$1,Data!$A$1:$AN$1,),)-VLOOKUP(A45,Data!$A:$AN,MATCH(yoy!$J$1,Data!$A$1:$AN$1,),))/VLOOKUP(A45,Data!$A:$AN,MATCH(yoy!$J$1,Data!$A$1:$AN$1,),))</f>
        <v/>
      </c>
      <c r="K45" s="14">
        <f>IF(VLOOKUP(B45,Data!$A:$AN,MATCH(yoy!$K$1,Data!$A$1:$AN$1,),)=0,"#N/A",(VLOOKUP(B45,Data!$A:$AN,MATCH(yoy!$K$1,Data!$A$1:$AN$1,),)-VLOOKUP(A45,Data!$A:$AN,MATCH(yoy!$K$1,Data!$A$1:$AN$1,),))/VLOOKUP(A45,Data!$A:$AN,MATCH(yoy!$K$1,Data!$A$1:$AN$1,),))</f>
        <v/>
      </c>
      <c r="L45" s="14">
        <f>IF(VLOOKUP(B45,Data!$A:$AN,MATCH(yoy!$L$1,Data!$A$1:$AN$1,),)=0,"#N/A",(VLOOKUP(B45,Data!$A:$AN,MATCH(yoy!$L$1,Data!$A$1:$AN$1,),)-VLOOKUP(A45,Data!$A:$AN,MATCH(yoy!$L$1,Data!$A$1:$AN$1,),))/VLOOKUP(A45,Data!$A:$AN,MATCH(yoy!$L$1,Data!$A$1:$AN$1,),))</f>
        <v/>
      </c>
      <c r="M45" s="14">
        <f>IF(VLOOKUP(B45,Data!$A:$AN,MATCH(yoy!$M$1,Data!$A$1:$AN$1,),)=0,"#N/A",(VLOOKUP(B45,Data!$A:$AN,MATCH(yoy!$M$1,Data!$A$1:$AN$1,),)-VLOOKUP(A45,Data!$A:$AN,MATCH(yoy!$M$1,Data!$A$1:$AN$1,),))/VLOOKUP(A45,Data!$A:$AN,MATCH(yoy!$M$1,Data!$A$1:$AN$1,),))</f>
        <v/>
      </c>
      <c r="N45" s="14">
        <f>IF(VLOOKUP(B45,Data!$A:$AN,MATCH(yoy!$N$1,Data!$A$1:$AN$1,),)=0,"#N/A",(VLOOKUP(B45,Data!$A:$AN,MATCH(yoy!$N$1,Data!$A$1:$AN$1,),)-VLOOKUP(A45,Data!$A:$AN,MATCH(yoy!$N$1,Data!$A$1:$AN$1,),))/VLOOKUP(A45,Data!$A:$AN,MATCH(yoy!$N$1,Data!$A$1:$AN$1,),))</f>
        <v/>
      </c>
      <c r="O45" s="14">
        <f>IF(VLOOKUP(B45,Data!$A:$AN,MATCH(yoy!$O$1,Data!$A$1:$AN$1,),)=0,"#N/A",(VLOOKUP(B45,Data!$A:$AN,MATCH(yoy!$O$1,Data!$A$1:$AN$1,),)-VLOOKUP(A45,Data!$A:$AN,MATCH(yoy!$O$1,Data!$A$1:$AN$1,),))/VLOOKUP(A45,Data!$A:$AN,MATCH(yoy!$O$1,Data!$A$1:$AN$1,),))</f>
        <v/>
      </c>
      <c r="P45" s="14">
        <f>IF(VLOOKUP(B45,Data!$A:$AN,MATCH(yoy!$P$1,Data!$A$1:$AN$1,),)=0,"#N/A",(VLOOKUP(B45,Data!$A:$AN,MATCH(yoy!$P$1,Data!$A$1:$AN$1,),)-VLOOKUP(A45,Data!$A:$AN,MATCH(yoy!$P$1,Data!$A$1:$AN$1,),))/VLOOKUP(A45,Data!$A:$AN,MATCH(yoy!$P$1,Data!$A$1:$AN$1,),))</f>
        <v/>
      </c>
      <c r="Q45" s="14">
        <f>IF(VLOOKUP(B45,Data!$A:$AN,MATCH(yoy!$Q$1,Data!$A$1:$AN$1,),)=0,"#N/A",(VLOOKUP(B45,Data!$A:$AN,MATCH(yoy!$Q$1,Data!$A$1:$AN$1,),)-VLOOKUP(A45,Data!$A:$AN,MATCH(yoy!$Q$1,Data!$A$1:$AN$1,),))/VLOOKUP(A45,Data!$A:$AN,MATCH(yoy!$Q$1,Data!$A$1:$AN$1,),))</f>
        <v/>
      </c>
      <c r="R45" s="14">
        <f>IF(VLOOKUP(B45,Data!$A:$AN,MATCH(yoy!$R$1,Data!$A$1:$AN$1,),)=0,"#N/A",(VLOOKUP(B45,Data!$A:$AN,MATCH(yoy!$R$1,Data!$A$1:$AN$1,),)-VLOOKUP(A45,Data!$A:$AN,MATCH(yoy!$R$1,Data!$A$1:$AN$1,),))/VLOOKUP(A45,Data!$A:$AN,MATCH(yoy!$R$1,Data!$A$1:$AN$1,),))</f>
        <v/>
      </c>
      <c r="S45" s="14">
        <f>IF(VLOOKUP(B45,Data!$A:$AN,MATCH(yoy!$S$1,Data!$A$1:$AN$1,),)=0,"#N/A",(VLOOKUP(B45,Data!$A:$AN,MATCH(yoy!$S$1,Data!$A$1:$AN$1,),)-VLOOKUP(A45,Data!$A:$AN,MATCH(yoy!$S$1,Data!$A$1:$AN$1,),))/VLOOKUP(A45,Data!$A:$AN,MATCH(yoy!$S$1,Data!$A$1:$AN$1,),))</f>
        <v/>
      </c>
      <c r="T45" s="14">
        <f>IF(VLOOKUP(B45,Data!$A:$AN,MATCH(yoy!$T$1,Data!$A$1:$AN$1,),)=0,"#N/A",(VLOOKUP(B45,Data!$A:$AN,MATCH(yoy!$T$1,Data!$A$1:$AN$1,),)-VLOOKUP(A45,Data!$A:$AN,MATCH(yoy!$T$1,Data!$A$1:$AN$1,),))/VLOOKUP(A45,Data!$A:$AN,MATCH(yoy!$T$1,Data!$A$1:$AN$1,),))</f>
        <v/>
      </c>
      <c r="U45" s="14">
        <f>IF(VLOOKUP(B45,Data!$A:$AN,MATCH(yoy!$U$1,Data!$A$1:$AN$1,),)=0,"#N/A",(VLOOKUP(B45,Data!$A:$AN,MATCH(yoy!$U$1,Data!$A$1:$AN$1,),)-VLOOKUP(A45,Data!$A:$AN,MATCH(yoy!$U$1,Data!$A$1:$AN$1,),))/VLOOKUP(A45,Data!$A:$AN,MATCH(yoy!$U$1,Data!$A$1:$AN$1,),))</f>
        <v/>
      </c>
      <c r="V45" s="14">
        <f>IF(VLOOKUP(B45,Data!$A:$AN,MATCH(yoy!$V$1,Data!$A$1:$AN$1,),)=0,"#N/A",(VLOOKUP(B45,Data!$A:$AN,MATCH(yoy!$V$1,Data!$A$1:$AN$1,),)-VLOOKUP(A45,Data!$A:$AN,MATCH(yoy!$V$1,Data!$A$1:$AN$1,),))/VLOOKUP(A45,Data!$A:$AN,MATCH(yoy!$V$1,Data!$A$1:$AN$1,),))</f>
        <v/>
      </c>
      <c r="W45" s="14">
        <f>IF(VLOOKUP(B45,Data!$A:$AN,MATCH(yoy!$W$1,Data!$A$1:$AN$1,),)=0,"#N/A",(VLOOKUP(B45,Data!$A:$AN,MATCH(yoy!$W$1,Data!$A$1:$AN$1,),)-VLOOKUP(A45,Data!$A:$AN,MATCH(yoy!$W$1,Data!$A$1:$AN$1,),))/VLOOKUP(A45,Data!$A:$AN,MATCH(yoy!$W$1,Data!$A$1:$AN$1,),))</f>
        <v/>
      </c>
      <c r="X45" s="14">
        <f>IF(VLOOKUP(B45,Data!$A:$AN,MATCH(yoy!$X$1,Data!$A$1:$AN$1,),)=0,"#N/A",(VLOOKUP(B45,Data!$A:$AN,MATCH(yoy!$X$1,Data!$A$1:$AN$1,),)-VLOOKUP(A45,Data!$A:$AN,MATCH(yoy!$X$1,Data!$A$1:$AN$1,),))/VLOOKUP(A45,Data!$A:$AN,MATCH(yoy!$X$1,Data!$A$1:$AN$1,),))</f>
        <v/>
      </c>
      <c r="Y45" s="14">
        <f>IF(VLOOKUP(B45,Data!$A:$AN,MATCH(yoy!$Y$1,Data!$A$1:$AN$1,),)=0,"#N/A",(VLOOKUP(B45,Data!$A:$AN,MATCH(yoy!$Y$1,Data!$A$1:$AN$1,),)-VLOOKUP(A45,Data!$A:$AN,MATCH(yoy!$Y$1,Data!$A$1:$AN$1,),))/VLOOKUP(A45,Data!$A:$AN,MATCH(yoy!$Y$1,Data!$A$1:$AN$1,),))</f>
        <v/>
      </c>
      <c r="Z45" s="14">
        <f>IF(VLOOKUP(B45,Data!$A:$AN,MATCH(yoy!$Z$1,Data!$A$1:$AN$1,),)=0,"#N/A",(VLOOKUP(B45,Data!$A:$AN,MATCH(yoy!$Z$1,Data!$A$1:$AN$1,),)-VLOOKUP(A45,Data!$A:$AN,MATCH(yoy!$Z$1,Data!$A$1:$AN$1,),))/VLOOKUP(A45,Data!$A:$AN,MATCH(yoy!$Z$1,Data!$A$1:$AN$1,),))</f>
        <v/>
      </c>
      <c r="AA45" s="14">
        <f>IF(VLOOKUP(B45,Data!$A:$AN,MATCH(yoy!$AA$1,Data!$A$1:$AN$1,),)=0,"#N/A",(VLOOKUP(B45,Data!$A:$AN,MATCH(yoy!$AA$1,Data!$A$1:$AN$1,),)-VLOOKUP(A45,Data!$A:$AN,MATCH(yoy!$AA$1,Data!$A$1:$AN$1,),))/VLOOKUP(A45,Data!$A:$AN,MATCH(yoy!$AA$1,Data!$A$1:$AN$1,),))</f>
        <v/>
      </c>
    </row>
    <row r="46" customFormat="1" s="77">
      <c r="A46" s="20">
        <f>DATE(YEAR(B46)-1,MONTH(B46),DAY(B46))</f>
        <v/>
      </c>
      <c r="B46" s="12" t="n">
        <v>43252</v>
      </c>
      <c r="C46" s="14">
        <f>IF(VLOOKUP(B46,Data!$A:$AN,MATCH(yoy!$C$1,Data!$A$1:$AN$1,),)=0,"#N/A",(VLOOKUP(B46,Data!$A:$AN,MATCH(yoy!$C$1,Data!$A$1:$AN$1,),)-VLOOKUP(A46,Data!$A:$AN,MATCH(yoy!$C$1,Data!$A$1:$AN$1,),))/VLOOKUP(A46,Data!$A:$AN,MATCH(yoy!$C$1,Data!$A$1:$AN$1,),))</f>
        <v/>
      </c>
      <c r="D46" s="14">
        <f>IF(VLOOKUP(B46,Data!$A:$AN,MATCH(yoy!$D$1,Data!$A$1:$AN$1,),)=0,"#N/A",(VLOOKUP(B46,Data!$A:$AN,MATCH(yoy!$D$1,Data!$A$1:$AN$1,),)-VLOOKUP(A46,Data!$A:$AN,MATCH(yoy!$D$1,Data!$A$1:$AN$1,),))/VLOOKUP(A46,Data!$A:$AN,MATCH(yoy!$D$1,Data!$A$1:$AN$1,),))</f>
        <v/>
      </c>
      <c r="E46" s="14">
        <f>IF(VLOOKUP(B46,Data!$A:$AN,MATCH(yoy!$E$1,Data!$A$1:$AN$1,),)=0,"#N/A",(VLOOKUP(B46,Data!$A:$AN,MATCH(yoy!$E$1,Data!$A$1:$AN$1,),)-VLOOKUP(A46,Data!$A:$AN,MATCH(yoy!$E$1,Data!$A$1:$AN$1,),))/VLOOKUP(A46,Data!$A:$AN,MATCH(yoy!$E$1,Data!$A$1:$AN$1,),))</f>
        <v/>
      </c>
      <c r="F46" s="14">
        <f>IF(VLOOKUP(B46,Data!$A:$AN,MATCH(yoy!$F$1,Data!$A$1:$AN$1,),)=0,"#N/A",(VLOOKUP(B46,Data!$A:$AN,MATCH(yoy!$F$1,Data!$A$1:$AN$1,),)-VLOOKUP(A46,Data!$A:$AN,MATCH(yoy!$F$1,Data!$A$1:$AN$1,),))/VLOOKUP(A46,Data!$A:$AN,MATCH(yoy!$F$1,Data!$A$1:$AN$1,),))</f>
        <v/>
      </c>
      <c r="G46" s="14">
        <f>IF(VLOOKUP(B46,Data!$A:$AN,MATCH(yoy!$G$1,Data!$A$1:$AN$1,),)=0,"#N/A",(VLOOKUP(B46,Data!$A:$AN,MATCH(yoy!$G$1,Data!$A$1:$AN$1,),)-VLOOKUP(A46,Data!$A:$AN,MATCH(yoy!$G$1,Data!$A$1:$AN$1,),))/VLOOKUP(A46,Data!$A:$AN,MATCH(yoy!$G$1,Data!$A$1:$AN$1,),))</f>
        <v/>
      </c>
      <c r="H46" s="14">
        <f>IF(VLOOKUP(B46,Data!$A:$AN,MATCH(yoy!$H$1,Data!$A$1:$AN$1,),)=0,"#N/A",(VLOOKUP(B46,Data!$A:$AN,MATCH(yoy!$H$1,Data!$A$1:$AN$1,),)-VLOOKUP(A46,Data!$A:$AN,MATCH(yoy!$H$1,Data!$A$1:$AN$1,),))/VLOOKUP(A46,Data!$A:$AN,MATCH(yoy!$H$1,Data!$A$1:$AN$1,),))</f>
        <v/>
      </c>
      <c r="I46" s="14">
        <f>IF(VLOOKUP(B46,Data!$A:$AN,MATCH(yoy!$I$1,Data!$A$1:$AN$1,),)=0,"#N/A",(VLOOKUP(B46,Data!$A:$AN,MATCH(yoy!$I$1,Data!$A$1:$AN$1,),)-VLOOKUP(A46,Data!$A:$AN,MATCH(yoy!$I$1,Data!$A$1:$AN$1,),))/VLOOKUP(A46,Data!$A:$AN,MATCH(yoy!$I$1,Data!$A$1:$AN$1,),))</f>
        <v/>
      </c>
      <c r="J46" s="14">
        <f>IF(VLOOKUP(B46,Data!$A:$AN,MATCH(yoy!$J$1,Data!$A$1:$AN$1,),)=0,"#N/A",(VLOOKUP(B46,Data!$A:$AN,MATCH(yoy!$J$1,Data!$A$1:$AN$1,),)-VLOOKUP(A46,Data!$A:$AN,MATCH(yoy!$J$1,Data!$A$1:$AN$1,),))/VLOOKUP(A46,Data!$A:$AN,MATCH(yoy!$J$1,Data!$A$1:$AN$1,),))</f>
        <v/>
      </c>
      <c r="K46" s="14">
        <f>IF(VLOOKUP(B46,Data!$A:$AN,MATCH(yoy!$K$1,Data!$A$1:$AN$1,),)=0,"#N/A",(VLOOKUP(B46,Data!$A:$AN,MATCH(yoy!$K$1,Data!$A$1:$AN$1,),)-VLOOKUP(A46,Data!$A:$AN,MATCH(yoy!$K$1,Data!$A$1:$AN$1,),))/VLOOKUP(A46,Data!$A:$AN,MATCH(yoy!$K$1,Data!$A$1:$AN$1,),))</f>
        <v/>
      </c>
      <c r="L46" s="14">
        <f>IF(VLOOKUP(B46,Data!$A:$AN,MATCH(yoy!$L$1,Data!$A$1:$AN$1,),)=0,"#N/A",(VLOOKUP(B46,Data!$A:$AN,MATCH(yoy!$L$1,Data!$A$1:$AN$1,),)-VLOOKUP(A46,Data!$A:$AN,MATCH(yoy!$L$1,Data!$A$1:$AN$1,),))/VLOOKUP(A46,Data!$A:$AN,MATCH(yoy!$L$1,Data!$A$1:$AN$1,),))</f>
        <v/>
      </c>
      <c r="M46" s="14">
        <f>IF(VLOOKUP(B46,Data!$A:$AN,MATCH(yoy!$M$1,Data!$A$1:$AN$1,),)=0,"#N/A",(VLOOKUP(B46,Data!$A:$AN,MATCH(yoy!$M$1,Data!$A$1:$AN$1,),)-VLOOKUP(A46,Data!$A:$AN,MATCH(yoy!$M$1,Data!$A$1:$AN$1,),))/VLOOKUP(A46,Data!$A:$AN,MATCH(yoy!$M$1,Data!$A$1:$AN$1,),))</f>
        <v/>
      </c>
      <c r="N46" s="14">
        <f>IF(VLOOKUP(B46,Data!$A:$AN,MATCH(yoy!$N$1,Data!$A$1:$AN$1,),)=0,"#N/A",(VLOOKUP(B46,Data!$A:$AN,MATCH(yoy!$N$1,Data!$A$1:$AN$1,),)-VLOOKUP(A46,Data!$A:$AN,MATCH(yoy!$N$1,Data!$A$1:$AN$1,),))/VLOOKUP(A46,Data!$A:$AN,MATCH(yoy!$N$1,Data!$A$1:$AN$1,),))</f>
        <v/>
      </c>
      <c r="O46" s="14">
        <f>IF(VLOOKUP(B46,Data!$A:$AN,MATCH(yoy!$O$1,Data!$A$1:$AN$1,),)=0,"#N/A",(VLOOKUP(B46,Data!$A:$AN,MATCH(yoy!$O$1,Data!$A$1:$AN$1,),)-VLOOKUP(A46,Data!$A:$AN,MATCH(yoy!$O$1,Data!$A$1:$AN$1,),))/VLOOKUP(A46,Data!$A:$AN,MATCH(yoy!$O$1,Data!$A$1:$AN$1,),))</f>
        <v/>
      </c>
      <c r="P46" s="14">
        <f>IF(VLOOKUP(B46,Data!$A:$AN,MATCH(yoy!$P$1,Data!$A$1:$AN$1,),)=0,"#N/A",(VLOOKUP(B46,Data!$A:$AN,MATCH(yoy!$P$1,Data!$A$1:$AN$1,),)-VLOOKUP(A46,Data!$A:$AN,MATCH(yoy!$P$1,Data!$A$1:$AN$1,),))/VLOOKUP(A46,Data!$A:$AN,MATCH(yoy!$P$1,Data!$A$1:$AN$1,),))</f>
        <v/>
      </c>
      <c r="Q46" s="14">
        <f>IF(VLOOKUP(B46,Data!$A:$AN,MATCH(yoy!$Q$1,Data!$A$1:$AN$1,),)=0,"#N/A",(VLOOKUP(B46,Data!$A:$AN,MATCH(yoy!$Q$1,Data!$A$1:$AN$1,),)-VLOOKUP(A46,Data!$A:$AN,MATCH(yoy!$Q$1,Data!$A$1:$AN$1,),))/VLOOKUP(A46,Data!$A:$AN,MATCH(yoy!$Q$1,Data!$A$1:$AN$1,),))</f>
        <v/>
      </c>
      <c r="R46" s="14">
        <f>IF(VLOOKUP(B46,Data!$A:$AN,MATCH(yoy!$R$1,Data!$A$1:$AN$1,),)=0,"#N/A",(VLOOKUP(B46,Data!$A:$AN,MATCH(yoy!$R$1,Data!$A$1:$AN$1,),)-VLOOKUP(A46,Data!$A:$AN,MATCH(yoy!$R$1,Data!$A$1:$AN$1,),))/VLOOKUP(A46,Data!$A:$AN,MATCH(yoy!$R$1,Data!$A$1:$AN$1,),))</f>
        <v/>
      </c>
      <c r="S46" s="14">
        <f>IF(VLOOKUP(B46,Data!$A:$AN,MATCH(yoy!$S$1,Data!$A$1:$AN$1,),)=0,"#N/A",(VLOOKUP(B46,Data!$A:$AN,MATCH(yoy!$S$1,Data!$A$1:$AN$1,),)-VLOOKUP(A46,Data!$A:$AN,MATCH(yoy!$S$1,Data!$A$1:$AN$1,),))/VLOOKUP(A46,Data!$A:$AN,MATCH(yoy!$S$1,Data!$A$1:$AN$1,),))</f>
        <v/>
      </c>
      <c r="T46" s="14">
        <f>IF(VLOOKUP(B46,Data!$A:$AN,MATCH(yoy!$T$1,Data!$A$1:$AN$1,),)=0,"#N/A",(VLOOKUP(B46,Data!$A:$AN,MATCH(yoy!$T$1,Data!$A$1:$AN$1,),)-VLOOKUP(A46,Data!$A:$AN,MATCH(yoy!$T$1,Data!$A$1:$AN$1,),))/VLOOKUP(A46,Data!$A:$AN,MATCH(yoy!$T$1,Data!$A$1:$AN$1,),))</f>
        <v/>
      </c>
      <c r="U46" s="14">
        <f>IF(VLOOKUP(B46,Data!$A:$AN,MATCH(yoy!$U$1,Data!$A$1:$AN$1,),)=0,"#N/A",(VLOOKUP(B46,Data!$A:$AN,MATCH(yoy!$U$1,Data!$A$1:$AN$1,),)-VLOOKUP(A46,Data!$A:$AN,MATCH(yoy!$U$1,Data!$A$1:$AN$1,),))/VLOOKUP(A46,Data!$A:$AN,MATCH(yoy!$U$1,Data!$A$1:$AN$1,),))</f>
        <v/>
      </c>
      <c r="V46" s="14">
        <f>IF(VLOOKUP(B46,Data!$A:$AN,MATCH(yoy!$V$1,Data!$A$1:$AN$1,),)=0,"#N/A",(VLOOKUP(B46,Data!$A:$AN,MATCH(yoy!$V$1,Data!$A$1:$AN$1,),)-VLOOKUP(A46,Data!$A:$AN,MATCH(yoy!$V$1,Data!$A$1:$AN$1,),))/VLOOKUP(A46,Data!$A:$AN,MATCH(yoy!$V$1,Data!$A$1:$AN$1,),))</f>
        <v/>
      </c>
      <c r="W46" s="14">
        <f>IF(VLOOKUP(B46,Data!$A:$AN,MATCH(yoy!$W$1,Data!$A$1:$AN$1,),)=0,"#N/A",(VLOOKUP(B46,Data!$A:$AN,MATCH(yoy!$W$1,Data!$A$1:$AN$1,),)-VLOOKUP(A46,Data!$A:$AN,MATCH(yoy!$W$1,Data!$A$1:$AN$1,),))/VLOOKUP(A46,Data!$A:$AN,MATCH(yoy!$W$1,Data!$A$1:$AN$1,),))</f>
        <v/>
      </c>
      <c r="X46" s="14">
        <f>IF(VLOOKUP(B46,Data!$A:$AN,MATCH(yoy!$X$1,Data!$A$1:$AN$1,),)=0,"#N/A",(VLOOKUP(B46,Data!$A:$AN,MATCH(yoy!$X$1,Data!$A$1:$AN$1,),)-VLOOKUP(A46,Data!$A:$AN,MATCH(yoy!$X$1,Data!$A$1:$AN$1,),))/VLOOKUP(A46,Data!$A:$AN,MATCH(yoy!$X$1,Data!$A$1:$AN$1,),))</f>
        <v/>
      </c>
      <c r="Y46" s="14">
        <f>IF(VLOOKUP(B46,Data!$A:$AN,MATCH(yoy!$Y$1,Data!$A$1:$AN$1,),)=0,"#N/A",(VLOOKUP(B46,Data!$A:$AN,MATCH(yoy!$Y$1,Data!$A$1:$AN$1,),)-VLOOKUP(A46,Data!$A:$AN,MATCH(yoy!$Y$1,Data!$A$1:$AN$1,),))/VLOOKUP(A46,Data!$A:$AN,MATCH(yoy!$Y$1,Data!$A$1:$AN$1,),))</f>
        <v/>
      </c>
      <c r="Z46" s="14">
        <f>IF(VLOOKUP(B46,Data!$A:$AN,MATCH(yoy!$Z$1,Data!$A$1:$AN$1,),)=0,"#N/A",(VLOOKUP(B46,Data!$A:$AN,MATCH(yoy!$Z$1,Data!$A$1:$AN$1,),)-VLOOKUP(A46,Data!$A:$AN,MATCH(yoy!$Z$1,Data!$A$1:$AN$1,),))/VLOOKUP(A46,Data!$A:$AN,MATCH(yoy!$Z$1,Data!$A$1:$AN$1,),))</f>
        <v/>
      </c>
      <c r="AA46" s="14">
        <f>IF(VLOOKUP(B46,Data!$A:$AN,MATCH(yoy!$AA$1,Data!$A$1:$AN$1,),)=0,"#N/A",(VLOOKUP(B46,Data!$A:$AN,MATCH(yoy!$AA$1,Data!$A$1:$AN$1,),)-VLOOKUP(A46,Data!$A:$AN,MATCH(yoy!$AA$1,Data!$A$1:$AN$1,),))/VLOOKUP(A46,Data!$A:$AN,MATCH(yoy!$AA$1,Data!$A$1:$AN$1,),))</f>
        <v/>
      </c>
    </row>
    <row r="47" customFormat="1" s="77">
      <c r="A47" s="20">
        <f>DATE(YEAR(B47)-1,MONTH(B47),DAY(B47))</f>
        <v/>
      </c>
      <c r="B47" s="12" t="n">
        <v>43282</v>
      </c>
      <c r="C47" s="14">
        <f>IF(VLOOKUP(B47,Data!$A:$AN,MATCH(yoy!$C$1,Data!$A$1:$AN$1,),)=0,"#N/A",(VLOOKUP(B47,Data!$A:$AN,MATCH(yoy!$C$1,Data!$A$1:$AN$1,),)-VLOOKUP(A47,Data!$A:$AN,MATCH(yoy!$C$1,Data!$A$1:$AN$1,),))/VLOOKUP(A47,Data!$A:$AN,MATCH(yoy!$C$1,Data!$A$1:$AN$1,),))</f>
        <v/>
      </c>
      <c r="D47" s="14">
        <f>IF(VLOOKUP(B47,Data!$A:$AN,MATCH(yoy!$D$1,Data!$A$1:$AN$1,),)=0,"#N/A",(VLOOKUP(B47,Data!$A:$AN,MATCH(yoy!$D$1,Data!$A$1:$AN$1,),)-VLOOKUP(A47,Data!$A:$AN,MATCH(yoy!$D$1,Data!$A$1:$AN$1,),))/VLOOKUP(A47,Data!$A:$AN,MATCH(yoy!$D$1,Data!$A$1:$AN$1,),))</f>
        <v/>
      </c>
      <c r="E47" s="14">
        <f>IF(VLOOKUP(B47,Data!$A:$AN,MATCH(yoy!$E$1,Data!$A$1:$AN$1,),)=0,"#N/A",(VLOOKUP(B47,Data!$A:$AN,MATCH(yoy!$E$1,Data!$A$1:$AN$1,),)-VLOOKUP(A47,Data!$A:$AN,MATCH(yoy!$E$1,Data!$A$1:$AN$1,),))/VLOOKUP(A47,Data!$A:$AN,MATCH(yoy!$E$1,Data!$A$1:$AN$1,),))</f>
        <v/>
      </c>
      <c r="F47" s="14">
        <f>IF(VLOOKUP(B47,Data!$A:$AN,MATCH(yoy!$F$1,Data!$A$1:$AN$1,),)=0,"#N/A",(VLOOKUP(B47,Data!$A:$AN,MATCH(yoy!$F$1,Data!$A$1:$AN$1,),)-VLOOKUP(A47,Data!$A:$AN,MATCH(yoy!$F$1,Data!$A$1:$AN$1,),))/VLOOKUP(A47,Data!$A:$AN,MATCH(yoy!$F$1,Data!$A$1:$AN$1,),))</f>
        <v/>
      </c>
      <c r="G47" s="14">
        <f>IF(VLOOKUP(B47,Data!$A:$AN,MATCH(yoy!$G$1,Data!$A$1:$AN$1,),)=0,"#N/A",(VLOOKUP(B47,Data!$A:$AN,MATCH(yoy!$G$1,Data!$A$1:$AN$1,),)-VLOOKUP(A47,Data!$A:$AN,MATCH(yoy!$G$1,Data!$A$1:$AN$1,),))/VLOOKUP(A47,Data!$A:$AN,MATCH(yoy!$G$1,Data!$A$1:$AN$1,),))</f>
        <v/>
      </c>
      <c r="H47" s="14">
        <f>IF(VLOOKUP(B47,Data!$A:$AN,MATCH(yoy!$H$1,Data!$A$1:$AN$1,),)=0,"#N/A",(VLOOKUP(B47,Data!$A:$AN,MATCH(yoy!$H$1,Data!$A$1:$AN$1,),)-VLOOKUP(A47,Data!$A:$AN,MATCH(yoy!$H$1,Data!$A$1:$AN$1,),))/VLOOKUP(A47,Data!$A:$AN,MATCH(yoy!$H$1,Data!$A$1:$AN$1,),))</f>
        <v/>
      </c>
      <c r="I47" s="14">
        <f>IF(VLOOKUP(B47,Data!$A:$AN,MATCH(yoy!$I$1,Data!$A$1:$AN$1,),)=0,"#N/A",(VLOOKUP(B47,Data!$A:$AN,MATCH(yoy!$I$1,Data!$A$1:$AN$1,),)-VLOOKUP(A47,Data!$A:$AN,MATCH(yoy!$I$1,Data!$A$1:$AN$1,),))/VLOOKUP(A47,Data!$A:$AN,MATCH(yoy!$I$1,Data!$A$1:$AN$1,),))</f>
        <v/>
      </c>
      <c r="J47" s="14">
        <f>IF(VLOOKUP(B47,Data!$A:$AN,MATCH(yoy!$J$1,Data!$A$1:$AN$1,),)=0,"#N/A",(VLOOKUP(B47,Data!$A:$AN,MATCH(yoy!$J$1,Data!$A$1:$AN$1,),)-VLOOKUP(A47,Data!$A:$AN,MATCH(yoy!$J$1,Data!$A$1:$AN$1,),))/VLOOKUP(A47,Data!$A:$AN,MATCH(yoy!$J$1,Data!$A$1:$AN$1,),))</f>
        <v/>
      </c>
      <c r="K47" s="14">
        <f>IF(VLOOKUP(B47,Data!$A:$AN,MATCH(yoy!$K$1,Data!$A$1:$AN$1,),)=0,"#N/A",(VLOOKUP(B47,Data!$A:$AN,MATCH(yoy!$K$1,Data!$A$1:$AN$1,),)-VLOOKUP(A47,Data!$A:$AN,MATCH(yoy!$K$1,Data!$A$1:$AN$1,),))/VLOOKUP(A47,Data!$A:$AN,MATCH(yoy!$K$1,Data!$A$1:$AN$1,),))</f>
        <v/>
      </c>
      <c r="L47" s="14">
        <f>IF(VLOOKUP(B47,Data!$A:$AN,MATCH(yoy!$L$1,Data!$A$1:$AN$1,),)=0,"#N/A",(VLOOKUP(B47,Data!$A:$AN,MATCH(yoy!$L$1,Data!$A$1:$AN$1,),)-VLOOKUP(A47,Data!$A:$AN,MATCH(yoy!$L$1,Data!$A$1:$AN$1,),))/VLOOKUP(A47,Data!$A:$AN,MATCH(yoy!$L$1,Data!$A$1:$AN$1,),))</f>
        <v/>
      </c>
      <c r="M47" s="14">
        <f>IF(VLOOKUP(B47,Data!$A:$AN,MATCH(yoy!$M$1,Data!$A$1:$AN$1,),)=0,"#N/A",(VLOOKUP(B47,Data!$A:$AN,MATCH(yoy!$M$1,Data!$A$1:$AN$1,),)-VLOOKUP(A47,Data!$A:$AN,MATCH(yoy!$M$1,Data!$A$1:$AN$1,),))/VLOOKUP(A47,Data!$A:$AN,MATCH(yoy!$M$1,Data!$A$1:$AN$1,),))</f>
        <v/>
      </c>
      <c r="N47" s="14">
        <f>IF(VLOOKUP(B47,Data!$A:$AN,MATCH(yoy!$N$1,Data!$A$1:$AN$1,),)=0,"#N/A",(VLOOKUP(B47,Data!$A:$AN,MATCH(yoy!$N$1,Data!$A$1:$AN$1,),)-VLOOKUP(A47,Data!$A:$AN,MATCH(yoy!$N$1,Data!$A$1:$AN$1,),))/VLOOKUP(A47,Data!$A:$AN,MATCH(yoy!$N$1,Data!$A$1:$AN$1,),))</f>
        <v/>
      </c>
      <c r="O47" s="14">
        <f>IF(VLOOKUP(B47,Data!$A:$AN,MATCH(yoy!$O$1,Data!$A$1:$AN$1,),)=0,"#N/A",(VLOOKUP(B47,Data!$A:$AN,MATCH(yoy!$O$1,Data!$A$1:$AN$1,),)-VLOOKUP(A47,Data!$A:$AN,MATCH(yoy!$O$1,Data!$A$1:$AN$1,),))/VLOOKUP(A47,Data!$A:$AN,MATCH(yoy!$O$1,Data!$A$1:$AN$1,),))</f>
        <v/>
      </c>
      <c r="P47" s="14">
        <f>IF(VLOOKUP(B47,Data!$A:$AN,MATCH(yoy!$P$1,Data!$A$1:$AN$1,),)=0,"#N/A",(VLOOKUP(B47,Data!$A:$AN,MATCH(yoy!$P$1,Data!$A$1:$AN$1,),)-VLOOKUP(A47,Data!$A:$AN,MATCH(yoy!$P$1,Data!$A$1:$AN$1,),))/VLOOKUP(A47,Data!$A:$AN,MATCH(yoy!$P$1,Data!$A$1:$AN$1,),))</f>
        <v/>
      </c>
      <c r="Q47" s="14">
        <f>IF(VLOOKUP(B47,Data!$A:$AN,MATCH(yoy!$Q$1,Data!$A$1:$AN$1,),)=0,"#N/A",(VLOOKUP(B47,Data!$A:$AN,MATCH(yoy!$Q$1,Data!$A$1:$AN$1,),)-VLOOKUP(A47,Data!$A:$AN,MATCH(yoy!$Q$1,Data!$A$1:$AN$1,),))/VLOOKUP(A47,Data!$A:$AN,MATCH(yoy!$Q$1,Data!$A$1:$AN$1,),))</f>
        <v/>
      </c>
      <c r="R47" s="14">
        <f>IF(VLOOKUP(B47,Data!$A:$AN,MATCH(yoy!$R$1,Data!$A$1:$AN$1,),)=0,"#N/A",(VLOOKUP(B47,Data!$A:$AN,MATCH(yoy!$R$1,Data!$A$1:$AN$1,),)-VLOOKUP(A47,Data!$A:$AN,MATCH(yoy!$R$1,Data!$A$1:$AN$1,),))/VLOOKUP(A47,Data!$A:$AN,MATCH(yoy!$R$1,Data!$A$1:$AN$1,),))</f>
        <v/>
      </c>
      <c r="S47" s="14">
        <f>IF(VLOOKUP(B47,Data!$A:$AN,MATCH(yoy!$S$1,Data!$A$1:$AN$1,),)=0,"#N/A",(VLOOKUP(B47,Data!$A:$AN,MATCH(yoy!$S$1,Data!$A$1:$AN$1,),)-VLOOKUP(A47,Data!$A:$AN,MATCH(yoy!$S$1,Data!$A$1:$AN$1,),))/VLOOKUP(A47,Data!$A:$AN,MATCH(yoy!$S$1,Data!$A$1:$AN$1,),))</f>
        <v/>
      </c>
      <c r="T47" s="14">
        <f>IF(VLOOKUP(B47,Data!$A:$AN,MATCH(yoy!$T$1,Data!$A$1:$AN$1,),)=0,"#N/A",(VLOOKUP(B47,Data!$A:$AN,MATCH(yoy!$T$1,Data!$A$1:$AN$1,),)-VLOOKUP(A47,Data!$A:$AN,MATCH(yoy!$T$1,Data!$A$1:$AN$1,),))/VLOOKUP(A47,Data!$A:$AN,MATCH(yoy!$T$1,Data!$A$1:$AN$1,),))</f>
        <v/>
      </c>
      <c r="U47" s="14">
        <f>IF(VLOOKUP(B47,Data!$A:$AN,MATCH(yoy!$U$1,Data!$A$1:$AN$1,),)=0,"#N/A",(VLOOKUP(B47,Data!$A:$AN,MATCH(yoy!$U$1,Data!$A$1:$AN$1,),)-VLOOKUP(A47,Data!$A:$AN,MATCH(yoy!$U$1,Data!$A$1:$AN$1,),))/VLOOKUP(A47,Data!$A:$AN,MATCH(yoy!$U$1,Data!$A$1:$AN$1,),))</f>
        <v/>
      </c>
      <c r="V47" s="14">
        <f>IF(VLOOKUP(B47,Data!$A:$AN,MATCH(yoy!$V$1,Data!$A$1:$AN$1,),)=0,"#N/A",(VLOOKUP(B47,Data!$A:$AN,MATCH(yoy!$V$1,Data!$A$1:$AN$1,),)-VLOOKUP(A47,Data!$A:$AN,MATCH(yoy!$V$1,Data!$A$1:$AN$1,),))/VLOOKUP(A47,Data!$A:$AN,MATCH(yoy!$V$1,Data!$A$1:$AN$1,),))</f>
        <v/>
      </c>
      <c r="W47" s="14">
        <f>IF(VLOOKUP(B47,Data!$A:$AN,MATCH(yoy!$W$1,Data!$A$1:$AN$1,),)=0,"#N/A",(VLOOKUP(B47,Data!$A:$AN,MATCH(yoy!$W$1,Data!$A$1:$AN$1,),)-VLOOKUP(A47,Data!$A:$AN,MATCH(yoy!$W$1,Data!$A$1:$AN$1,),))/VLOOKUP(A47,Data!$A:$AN,MATCH(yoy!$W$1,Data!$A$1:$AN$1,),))</f>
        <v/>
      </c>
      <c r="X47" s="14">
        <f>IF(VLOOKUP(B47,Data!$A:$AN,MATCH(yoy!$X$1,Data!$A$1:$AN$1,),)=0,"#N/A",(VLOOKUP(B47,Data!$A:$AN,MATCH(yoy!$X$1,Data!$A$1:$AN$1,),)-VLOOKUP(A47,Data!$A:$AN,MATCH(yoy!$X$1,Data!$A$1:$AN$1,),))/VLOOKUP(A47,Data!$A:$AN,MATCH(yoy!$X$1,Data!$A$1:$AN$1,),))</f>
        <v/>
      </c>
      <c r="Y47" s="14">
        <f>IF(VLOOKUP(B47,Data!$A:$AN,MATCH(yoy!$Y$1,Data!$A$1:$AN$1,),)=0,"#N/A",(VLOOKUP(B47,Data!$A:$AN,MATCH(yoy!$Y$1,Data!$A$1:$AN$1,),)-VLOOKUP(A47,Data!$A:$AN,MATCH(yoy!$Y$1,Data!$A$1:$AN$1,),))/VLOOKUP(A47,Data!$A:$AN,MATCH(yoy!$Y$1,Data!$A$1:$AN$1,),))</f>
        <v/>
      </c>
      <c r="Z47" s="14">
        <f>IF(VLOOKUP(B47,Data!$A:$AN,MATCH(yoy!$Z$1,Data!$A$1:$AN$1,),)=0,"#N/A",(VLOOKUP(B47,Data!$A:$AN,MATCH(yoy!$Z$1,Data!$A$1:$AN$1,),)-VLOOKUP(A47,Data!$A:$AN,MATCH(yoy!$Z$1,Data!$A$1:$AN$1,),))/VLOOKUP(A47,Data!$A:$AN,MATCH(yoy!$Z$1,Data!$A$1:$AN$1,),))</f>
        <v/>
      </c>
      <c r="AA47" s="14">
        <f>IF(VLOOKUP(B47,Data!$A:$AN,MATCH(yoy!$AA$1,Data!$A$1:$AN$1,),)=0,"#N/A",(VLOOKUP(B47,Data!$A:$AN,MATCH(yoy!$AA$1,Data!$A$1:$AN$1,),)-VLOOKUP(A47,Data!$A:$AN,MATCH(yoy!$AA$1,Data!$A$1:$AN$1,),))/VLOOKUP(A47,Data!$A:$AN,MATCH(yoy!$AA$1,Data!$A$1:$AN$1,),))</f>
        <v/>
      </c>
    </row>
    <row r="48" customFormat="1" s="77">
      <c r="A48" s="20">
        <f>DATE(YEAR(B48)-1,MONTH(B48),DAY(B48))</f>
        <v/>
      </c>
      <c r="B48" s="12" t="n">
        <v>43313</v>
      </c>
      <c r="C48" s="14">
        <f>IF(VLOOKUP(B48,Data!$A:$AN,MATCH(yoy!$C$1,Data!$A$1:$AN$1,),)=0,"#N/A",(VLOOKUP(B48,Data!$A:$AN,MATCH(yoy!$C$1,Data!$A$1:$AN$1,),)-VLOOKUP(A48,Data!$A:$AN,MATCH(yoy!$C$1,Data!$A$1:$AN$1,),))/VLOOKUP(A48,Data!$A:$AN,MATCH(yoy!$C$1,Data!$A$1:$AN$1,),))</f>
        <v/>
      </c>
      <c r="D48" s="14">
        <f>IF(VLOOKUP(B48,Data!$A:$AN,MATCH(yoy!$D$1,Data!$A$1:$AN$1,),)=0,"#N/A",(VLOOKUP(B48,Data!$A:$AN,MATCH(yoy!$D$1,Data!$A$1:$AN$1,),)-VLOOKUP(A48,Data!$A:$AN,MATCH(yoy!$D$1,Data!$A$1:$AN$1,),))/VLOOKUP(A48,Data!$A:$AN,MATCH(yoy!$D$1,Data!$A$1:$AN$1,),))</f>
        <v/>
      </c>
      <c r="E48" s="14">
        <f>IF(VLOOKUP(B48,Data!$A:$AN,MATCH(yoy!$E$1,Data!$A$1:$AN$1,),)=0,"#N/A",(VLOOKUP(B48,Data!$A:$AN,MATCH(yoy!$E$1,Data!$A$1:$AN$1,),)-VLOOKUP(A48,Data!$A:$AN,MATCH(yoy!$E$1,Data!$A$1:$AN$1,),))/VLOOKUP(A48,Data!$A:$AN,MATCH(yoy!$E$1,Data!$A$1:$AN$1,),))</f>
        <v/>
      </c>
      <c r="F48" s="14">
        <f>IF(VLOOKUP(B48,Data!$A:$AN,MATCH(yoy!$F$1,Data!$A$1:$AN$1,),)=0,"#N/A",(VLOOKUP(B48,Data!$A:$AN,MATCH(yoy!$F$1,Data!$A$1:$AN$1,),)-VLOOKUP(A48,Data!$A:$AN,MATCH(yoy!$F$1,Data!$A$1:$AN$1,),))/VLOOKUP(A48,Data!$A:$AN,MATCH(yoy!$F$1,Data!$A$1:$AN$1,),))</f>
        <v/>
      </c>
      <c r="G48" s="14">
        <f>IF(VLOOKUP(B48,Data!$A:$AN,MATCH(yoy!$G$1,Data!$A$1:$AN$1,),)=0,"#N/A",(VLOOKUP(B48,Data!$A:$AN,MATCH(yoy!$G$1,Data!$A$1:$AN$1,),)-VLOOKUP(A48,Data!$A:$AN,MATCH(yoy!$G$1,Data!$A$1:$AN$1,),))/VLOOKUP(A48,Data!$A:$AN,MATCH(yoy!$G$1,Data!$A$1:$AN$1,),))</f>
        <v/>
      </c>
      <c r="H48" s="14">
        <f>IF(VLOOKUP(B48,Data!$A:$AN,MATCH(yoy!$H$1,Data!$A$1:$AN$1,),)=0,"#N/A",(VLOOKUP(B48,Data!$A:$AN,MATCH(yoy!$H$1,Data!$A$1:$AN$1,),)-VLOOKUP(A48,Data!$A:$AN,MATCH(yoy!$H$1,Data!$A$1:$AN$1,),))/VLOOKUP(A48,Data!$A:$AN,MATCH(yoy!$H$1,Data!$A$1:$AN$1,),))</f>
        <v/>
      </c>
      <c r="I48" s="14">
        <f>IF(VLOOKUP(B48,Data!$A:$AN,MATCH(yoy!$I$1,Data!$A$1:$AN$1,),)=0,"#N/A",(VLOOKUP(B48,Data!$A:$AN,MATCH(yoy!$I$1,Data!$A$1:$AN$1,),)-VLOOKUP(A48,Data!$A:$AN,MATCH(yoy!$I$1,Data!$A$1:$AN$1,),))/VLOOKUP(A48,Data!$A:$AN,MATCH(yoy!$I$1,Data!$A$1:$AN$1,),))</f>
        <v/>
      </c>
      <c r="J48" s="14">
        <f>IF(VLOOKUP(B48,Data!$A:$AN,MATCH(yoy!$J$1,Data!$A$1:$AN$1,),)=0,"#N/A",(VLOOKUP(B48,Data!$A:$AN,MATCH(yoy!$J$1,Data!$A$1:$AN$1,),)-VLOOKUP(A48,Data!$A:$AN,MATCH(yoy!$J$1,Data!$A$1:$AN$1,),))/VLOOKUP(A48,Data!$A:$AN,MATCH(yoy!$J$1,Data!$A$1:$AN$1,),))</f>
        <v/>
      </c>
      <c r="K48" s="14">
        <f>IF(VLOOKUP(B48,Data!$A:$AN,MATCH(yoy!$K$1,Data!$A$1:$AN$1,),)=0,"#N/A",(VLOOKUP(B48,Data!$A:$AN,MATCH(yoy!$K$1,Data!$A$1:$AN$1,),)-VLOOKUP(A48,Data!$A:$AN,MATCH(yoy!$K$1,Data!$A$1:$AN$1,),))/VLOOKUP(A48,Data!$A:$AN,MATCH(yoy!$K$1,Data!$A$1:$AN$1,),))</f>
        <v/>
      </c>
      <c r="L48" s="14">
        <f>IF(VLOOKUP(B48,Data!$A:$AN,MATCH(yoy!$L$1,Data!$A$1:$AN$1,),)=0,"#N/A",(VLOOKUP(B48,Data!$A:$AN,MATCH(yoy!$L$1,Data!$A$1:$AN$1,),)-VLOOKUP(A48,Data!$A:$AN,MATCH(yoy!$L$1,Data!$A$1:$AN$1,),))/VLOOKUP(A48,Data!$A:$AN,MATCH(yoy!$L$1,Data!$A$1:$AN$1,),))</f>
        <v/>
      </c>
      <c r="M48" s="14">
        <f>IF(VLOOKUP(B48,Data!$A:$AN,MATCH(yoy!$M$1,Data!$A$1:$AN$1,),)=0,"#N/A",(VLOOKUP(B48,Data!$A:$AN,MATCH(yoy!$M$1,Data!$A$1:$AN$1,),)-VLOOKUP(A48,Data!$A:$AN,MATCH(yoy!$M$1,Data!$A$1:$AN$1,),))/VLOOKUP(A48,Data!$A:$AN,MATCH(yoy!$M$1,Data!$A$1:$AN$1,),))</f>
        <v/>
      </c>
      <c r="N48" s="14">
        <f>IF(VLOOKUP(B48,Data!$A:$AN,MATCH(yoy!$N$1,Data!$A$1:$AN$1,),)=0,"#N/A",(VLOOKUP(B48,Data!$A:$AN,MATCH(yoy!$N$1,Data!$A$1:$AN$1,),)-VLOOKUP(A48,Data!$A:$AN,MATCH(yoy!$N$1,Data!$A$1:$AN$1,),))/VLOOKUP(A48,Data!$A:$AN,MATCH(yoy!$N$1,Data!$A$1:$AN$1,),))</f>
        <v/>
      </c>
      <c r="O48" s="14">
        <f>IF(VLOOKUP(B48,Data!$A:$AN,MATCH(yoy!$O$1,Data!$A$1:$AN$1,),)=0,"#N/A",(VLOOKUP(B48,Data!$A:$AN,MATCH(yoy!$O$1,Data!$A$1:$AN$1,),)-VLOOKUP(A48,Data!$A:$AN,MATCH(yoy!$O$1,Data!$A$1:$AN$1,),))/VLOOKUP(A48,Data!$A:$AN,MATCH(yoy!$O$1,Data!$A$1:$AN$1,),))</f>
        <v/>
      </c>
      <c r="P48" s="14">
        <f>IF(VLOOKUP(B48,Data!$A:$AN,MATCH(yoy!$P$1,Data!$A$1:$AN$1,),)=0,"#N/A",(VLOOKUP(B48,Data!$A:$AN,MATCH(yoy!$P$1,Data!$A$1:$AN$1,),)-VLOOKUP(A48,Data!$A:$AN,MATCH(yoy!$P$1,Data!$A$1:$AN$1,),))/VLOOKUP(A48,Data!$A:$AN,MATCH(yoy!$P$1,Data!$A$1:$AN$1,),))</f>
        <v/>
      </c>
      <c r="Q48" s="14">
        <f>IF(VLOOKUP(B48,Data!$A:$AN,MATCH(yoy!$Q$1,Data!$A$1:$AN$1,),)=0,"#N/A",(VLOOKUP(B48,Data!$A:$AN,MATCH(yoy!$Q$1,Data!$A$1:$AN$1,),)-VLOOKUP(A48,Data!$A:$AN,MATCH(yoy!$Q$1,Data!$A$1:$AN$1,),))/VLOOKUP(A48,Data!$A:$AN,MATCH(yoy!$Q$1,Data!$A$1:$AN$1,),))</f>
        <v/>
      </c>
      <c r="R48" s="14">
        <f>IF(VLOOKUP(B48,Data!$A:$AN,MATCH(yoy!$R$1,Data!$A$1:$AN$1,),)=0,"#N/A",(VLOOKUP(B48,Data!$A:$AN,MATCH(yoy!$R$1,Data!$A$1:$AN$1,),)-VLOOKUP(A48,Data!$A:$AN,MATCH(yoy!$R$1,Data!$A$1:$AN$1,),))/VLOOKUP(A48,Data!$A:$AN,MATCH(yoy!$R$1,Data!$A$1:$AN$1,),))</f>
        <v/>
      </c>
      <c r="S48" s="14">
        <f>IF(VLOOKUP(B48,Data!$A:$AN,MATCH(yoy!$S$1,Data!$A$1:$AN$1,),)=0,"#N/A",(VLOOKUP(B48,Data!$A:$AN,MATCH(yoy!$S$1,Data!$A$1:$AN$1,),)-VLOOKUP(A48,Data!$A:$AN,MATCH(yoy!$S$1,Data!$A$1:$AN$1,),))/VLOOKUP(A48,Data!$A:$AN,MATCH(yoy!$S$1,Data!$A$1:$AN$1,),))</f>
        <v/>
      </c>
      <c r="T48" s="14">
        <f>IF(VLOOKUP(B48,Data!$A:$AN,MATCH(yoy!$T$1,Data!$A$1:$AN$1,),)=0,"#N/A",(VLOOKUP(B48,Data!$A:$AN,MATCH(yoy!$T$1,Data!$A$1:$AN$1,),)-VLOOKUP(A48,Data!$A:$AN,MATCH(yoy!$T$1,Data!$A$1:$AN$1,),))/VLOOKUP(A48,Data!$A:$AN,MATCH(yoy!$T$1,Data!$A$1:$AN$1,),))</f>
        <v/>
      </c>
      <c r="U48" s="14">
        <f>IF(VLOOKUP(B48,Data!$A:$AN,MATCH(yoy!$U$1,Data!$A$1:$AN$1,),)=0,"#N/A",(VLOOKUP(B48,Data!$A:$AN,MATCH(yoy!$U$1,Data!$A$1:$AN$1,),)-VLOOKUP(A48,Data!$A:$AN,MATCH(yoy!$U$1,Data!$A$1:$AN$1,),))/VLOOKUP(A48,Data!$A:$AN,MATCH(yoy!$U$1,Data!$A$1:$AN$1,),))</f>
        <v/>
      </c>
      <c r="V48" s="14">
        <f>IF(VLOOKUP(B48,Data!$A:$AN,MATCH(yoy!$V$1,Data!$A$1:$AN$1,),)=0,"#N/A",(VLOOKUP(B48,Data!$A:$AN,MATCH(yoy!$V$1,Data!$A$1:$AN$1,),)-VLOOKUP(A48,Data!$A:$AN,MATCH(yoy!$V$1,Data!$A$1:$AN$1,),))/VLOOKUP(A48,Data!$A:$AN,MATCH(yoy!$V$1,Data!$A$1:$AN$1,),))</f>
        <v/>
      </c>
      <c r="W48" s="14">
        <f>IF(VLOOKUP(B48,Data!$A:$AN,MATCH(yoy!$W$1,Data!$A$1:$AN$1,),)=0,"#N/A",(VLOOKUP(B48,Data!$A:$AN,MATCH(yoy!$W$1,Data!$A$1:$AN$1,),)-VLOOKUP(A48,Data!$A:$AN,MATCH(yoy!$W$1,Data!$A$1:$AN$1,),))/VLOOKUP(A48,Data!$A:$AN,MATCH(yoy!$W$1,Data!$A$1:$AN$1,),))</f>
        <v/>
      </c>
      <c r="X48" s="14">
        <f>IF(VLOOKUP(B48,Data!$A:$AN,MATCH(yoy!$X$1,Data!$A$1:$AN$1,),)=0,"#N/A",(VLOOKUP(B48,Data!$A:$AN,MATCH(yoy!$X$1,Data!$A$1:$AN$1,),)-VLOOKUP(A48,Data!$A:$AN,MATCH(yoy!$X$1,Data!$A$1:$AN$1,),))/VLOOKUP(A48,Data!$A:$AN,MATCH(yoy!$X$1,Data!$A$1:$AN$1,),))</f>
        <v/>
      </c>
      <c r="Y48" s="14">
        <f>IF(VLOOKUP(B48,Data!$A:$AN,MATCH(yoy!$Y$1,Data!$A$1:$AN$1,),)=0,"#N/A",(VLOOKUP(B48,Data!$A:$AN,MATCH(yoy!$Y$1,Data!$A$1:$AN$1,),)-VLOOKUP(A48,Data!$A:$AN,MATCH(yoy!$Y$1,Data!$A$1:$AN$1,),))/VLOOKUP(A48,Data!$A:$AN,MATCH(yoy!$Y$1,Data!$A$1:$AN$1,),))</f>
        <v/>
      </c>
      <c r="Z48" s="14">
        <f>IF(VLOOKUP(B48,Data!$A:$AN,MATCH(yoy!$Z$1,Data!$A$1:$AN$1,),)=0,"#N/A",(VLOOKUP(B48,Data!$A:$AN,MATCH(yoy!$Z$1,Data!$A$1:$AN$1,),)-VLOOKUP(A48,Data!$A:$AN,MATCH(yoy!$Z$1,Data!$A$1:$AN$1,),))/VLOOKUP(A48,Data!$A:$AN,MATCH(yoy!$Z$1,Data!$A$1:$AN$1,),))</f>
        <v/>
      </c>
      <c r="AA48" s="14">
        <f>IF(VLOOKUP(B48,Data!$A:$AN,MATCH(yoy!$AA$1,Data!$A$1:$AN$1,),)=0,"#N/A",(VLOOKUP(B48,Data!$A:$AN,MATCH(yoy!$AA$1,Data!$A$1:$AN$1,),)-VLOOKUP(A48,Data!$A:$AN,MATCH(yoy!$AA$1,Data!$A$1:$AN$1,),))/VLOOKUP(A48,Data!$A:$AN,MATCH(yoy!$AA$1,Data!$A$1:$AN$1,),))</f>
        <v/>
      </c>
    </row>
    <row r="49" customFormat="1" s="77">
      <c r="A49" s="20">
        <f>DATE(YEAR(B49)-1,MONTH(B49),DAY(B49))</f>
        <v/>
      </c>
      <c r="B49" s="12" t="n">
        <v>43344</v>
      </c>
      <c r="C49" s="14">
        <f>IF(VLOOKUP(B49,Data!$A:$AN,MATCH(yoy!$C$1,Data!$A$1:$AN$1,),)=0,"#N/A",(VLOOKUP(B49,Data!$A:$AN,MATCH(yoy!$C$1,Data!$A$1:$AN$1,),)-VLOOKUP(A49,Data!$A:$AN,MATCH(yoy!$C$1,Data!$A$1:$AN$1,),))/VLOOKUP(A49,Data!$A:$AN,MATCH(yoy!$C$1,Data!$A$1:$AN$1,),))</f>
        <v/>
      </c>
      <c r="D49" s="14">
        <f>IF(VLOOKUP(B49,Data!$A:$AN,MATCH(yoy!$D$1,Data!$A$1:$AN$1,),)=0,"#N/A",(VLOOKUP(B49,Data!$A:$AN,MATCH(yoy!$D$1,Data!$A$1:$AN$1,),)-VLOOKUP(A49,Data!$A:$AN,MATCH(yoy!$D$1,Data!$A$1:$AN$1,),))/VLOOKUP(A49,Data!$A:$AN,MATCH(yoy!$D$1,Data!$A$1:$AN$1,),))</f>
        <v/>
      </c>
      <c r="E49" s="14">
        <f>IF(VLOOKUP(B49,Data!$A:$AN,MATCH(yoy!$E$1,Data!$A$1:$AN$1,),)=0,"#N/A",(VLOOKUP(B49,Data!$A:$AN,MATCH(yoy!$E$1,Data!$A$1:$AN$1,),)-VLOOKUP(A49,Data!$A:$AN,MATCH(yoy!$E$1,Data!$A$1:$AN$1,),))/VLOOKUP(A49,Data!$A:$AN,MATCH(yoy!$E$1,Data!$A$1:$AN$1,),))</f>
        <v/>
      </c>
      <c r="F49" s="14">
        <f>IF(VLOOKUP(B49,Data!$A:$AN,MATCH(yoy!$F$1,Data!$A$1:$AN$1,),)=0,"#N/A",(VLOOKUP(B49,Data!$A:$AN,MATCH(yoy!$F$1,Data!$A$1:$AN$1,),)-VLOOKUP(A49,Data!$A:$AN,MATCH(yoy!$F$1,Data!$A$1:$AN$1,),))/VLOOKUP(A49,Data!$A:$AN,MATCH(yoy!$F$1,Data!$A$1:$AN$1,),))</f>
        <v/>
      </c>
      <c r="G49" s="14">
        <f>IF(VLOOKUP(B49,Data!$A:$AN,MATCH(yoy!$G$1,Data!$A$1:$AN$1,),)=0,"#N/A",(VLOOKUP(B49,Data!$A:$AN,MATCH(yoy!$G$1,Data!$A$1:$AN$1,),)-VLOOKUP(A49,Data!$A:$AN,MATCH(yoy!$G$1,Data!$A$1:$AN$1,),))/VLOOKUP(A49,Data!$A:$AN,MATCH(yoy!$G$1,Data!$A$1:$AN$1,),))</f>
        <v/>
      </c>
      <c r="H49" s="14">
        <f>IF(VLOOKUP(B49,Data!$A:$AN,MATCH(yoy!$H$1,Data!$A$1:$AN$1,),)=0,"#N/A",(VLOOKUP(B49,Data!$A:$AN,MATCH(yoy!$H$1,Data!$A$1:$AN$1,),)-VLOOKUP(A49,Data!$A:$AN,MATCH(yoy!$H$1,Data!$A$1:$AN$1,),))/VLOOKUP(A49,Data!$A:$AN,MATCH(yoy!$H$1,Data!$A$1:$AN$1,),))</f>
        <v/>
      </c>
      <c r="I49" s="14">
        <f>IF(VLOOKUP(B49,Data!$A:$AN,MATCH(yoy!$I$1,Data!$A$1:$AN$1,),)=0,"#N/A",(VLOOKUP(B49,Data!$A:$AN,MATCH(yoy!$I$1,Data!$A$1:$AN$1,),)-VLOOKUP(A49,Data!$A:$AN,MATCH(yoy!$I$1,Data!$A$1:$AN$1,),))/VLOOKUP(A49,Data!$A:$AN,MATCH(yoy!$I$1,Data!$A$1:$AN$1,),))</f>
        <v/>
      </c>
      <c r="J49" s="14">
        <f>IF(VLOOKUP(B49,Data!$A:$AN,MATCH(yoy!$J$1,Data!$A$1:$AN$1,),)=0,"#N/A",(VLOOKUP(B49,Data!$A:$AN,MATCH(yoy!$J$1,Data!$A$1:$AN$1,),)-VLOOKUP(A49,Data!$A:$AN,MATCH(yoy!$J$1,Data!$A$1:$AN$1,),))/VLOOKUP(A49,Data!$A:$AN,MATCH(yoy!$J$1,Data!$A$1:$AN$1,),))</f>
        <v/>
      </c>
      <c r="K49" s="14">
        <f>IF(VLOOKUP(B49,Data!$A:$AN,MATCH(yoy!$K$1,Data!$A$1:$AN$1,),)=0,"#N/A",(VLOOKUP(B49,Data!$A:$AN,MATCH(yoy!$K$1,Data!$A$1:$AN$1,),)-VLOOKUP(A49,Data!$A:$AN,MATCH(yoy!$K$1,Data!$A$1:$AN$1,),))/VLOOKUP(A49,Data!$A:$AN,MATCH(yoy!$K$1,Data!$A$1:$AN$1,),))</f>
        <v/>
      </c>
      <c r="L49" s="14">
        <f>IF(VLOOKUP(B49,Data!$A:$AN,MATCH(yoy!$L$1,Data!$A$1:$AN$1,),)=0,"#N/A",(VLOOKUP(B49,Data!$A:$AN,MATCH(yoy!$L$1,Data!$A$1:$AN$1,),)-VLOOKUP(A49,Data!$A:$AN,MATCH(yoy!$L$1,Data!$A$1:$AN$1,),))/VLOOKUP(A49,Data!$A:$AN,MATCH(yoy!$L$1,Data!$A$1:$AN$1,),))</f>
        <v/>
      </c>
      <c r="M49" s="14">
        <f>IF(VLOOKUP(B49,Data!$A:$AN,MATCH(yoy!$M$1,Data!$A$1:$AN$1,),)=0,"#N/A",(VLOOKUP(B49,Data!$A:$AN,MATCH(yoy!$M$1,Data!$A$1:$AN$1,),)-VLOOKUP(A49,Data!$A:$AN,MATCH(yoy!$M$1,Data!$A$1:$AN$1,),))/VLOOKUP(A49,Data!$A:$AN,MATCH(yoy!$M$1,Data!$A$1:$AN$1,),))</f>
        <v/>
      </c>
      <c r="N49" s="14">
        <f>IF(VLOOKUP(B49,Data!$A:$AN,MATCH(yoy!$N$1,Data!$A$1:$AN$1,),)=0,"#N/A",(VLOOKUP(B49,Data!$A:$AN,MATCH(yoy!$N$1,Data!$A$1:$AN$1,),)-VLOOKUP(A49,Data!$A:$AN,MATCH(yoy!$N$1,Data!$A$1:$AN$1,),))/VLOOKUP(A49,Data!$A:$AN,MATCH(yoy!$N$1,Data!$A$1:$AN$1,),))</f>
        <v/>
      </c>
      <c r="O49" s="14">
        <f>IF(VLOOKUP(B49,Data!$A:$AN,MATCH(yoy!$O$1,Data!$A$1:$AN$1,),)=0,"#N/A",(VLOOKUP(B49,Data!$A:$AN,MATCH(yoy!$O$1,Data!$A$1:$AN$1,),)-VLOOKUP(A49,Data!$A:$AN,MATCH(yoy!$O$1,Data!$A$1:$AN$1,),))/VLOOKUP(A49,Data!$A:$AN,MATCH(yoy!$O$1,Data!$A$1:$AN$1,),))</f>
        <v/>
      </c>
      <c r="P49" s="14">
        <f>IF(VLOOKUP(B49,Data!$A:$AN,MATCH(yoy!$P$1,Data!$A$1:$AN$1,),)=0,"#N/A",(VLOOKUP(B49,Data!$A:$AN,MATCH(yoy!$P$1,Data!$A$1:$AN$1,),)-VLOOKUP(A49,Data!$A:$AN,MATCH(yoy!$P$1,Data!$A$1:$AN$1,),))/VLOOKUP(A49,Data!$A:$AN,MATCH(yoy!$P$1,Data!$A$1:$AN$1,),))</f>
        <v/>
      </c>
      <c r="Q49" s="14">
        <f>IF(VLOOKUP(B49,Data!$A:$AN,MATCH(yoy!$Q$1,Data!$A$1:$AN$1,),)=0,"#N/A",(VLOOKUP(B49,Data!$A:$AN,MATCH(yoy!$Q$1,Data!$A$1:$AN$1,),)-VLOOKUP(A49,Data!$A:$AN,MATCH(yoy!$Q$1,Data!$A$1:$AN$1,),))/VLOOKUP(A49,Data!$A:$AN,MATCH(yoy!$Q$1,Data!$A$1:$AN$1,),))</f>
        <v/>
      </c>
      <c r="R49" s="14">
        <f>IF(VLOOKUP(B49,Data!$A:$AN,MATCH(yoy!$R$1,Data!$A$1:$AN$1,),)=0,"#N/A",(VLOOKUP(B49,Data!$A:$AN,MATCH(yoy!$R$1,Data!$A$1:$AN$1,),)-VLOOKUP(A49,Data!$A:$AN,MATCH(yoy!$R$1,Data!$A$1:$AN$1,),))/VLOOKUP(A49,Data!$A:$AN,MATCH(yoy!$R$1,Data!$A$1:$AN$1,),))</f>
        <v/>
      </c>
      <c r="S49" s="14">
        <f>IF(VLOOKUP(B49,Data!$A:$AN,MATCH(yoy!$S$1,Data!$A$1:$AN$1,),)=0,"#N/A",(VLOOKUP(B49,Data!$A:$AN,MATCH(yoy!$S$1,Data!$A$1:$AN$1,),)-VLOOKUP(A49,Data!$A:$AN,MATCH(yoy!$S$1,Data!$A$1:$AN$1,),))/VLOOKUP(A49,Data!$A:$AN,MATCH(yoy!$S$1,Data!$A$1:$AN$1,),))</f>
        <v/>
      </c>
      <c r="T49" s="14">
        <f>IF(VLOOKUP(B49,Data!$A:$AN,MATCH(yoy!$T$1,Data!$A$1:$AN$1,),)=0,"#N/A",(VLOOKUP(B49,Data!$A:$AN,MATCH(yoy!$T$1,Data!$A$1:$AN$1,),)-VLOOKUP(A49,Data!$A:$AN,MATCH(yoy!$T$1,Data!$A$1:$AN$1,),))/VLOOKUP(A49,Data!$A:$AN,MATCH(yoy!$T$1,Data!$A$1:$AN$1,),))</f>
        <v/>
      </c>
      <c r="U49" s="14">
        <f>IF(VLOOKUP(B49,Data!$A:$AN,MATCH(yoy!$U$1,Data!$A$1:$AN$1,),)=0,"#N/A",(VLOOKUP(B49,Data!$A:$AN,MATCH(yoy!$U$1,Data!$A$1:$AN$1,),)-VLOOKUP(A49,Data!$A:$AN,MATCH(yoy!$U$1,Data!$A$1:$AN$1,),))/VLOOKUP(A49,Data!$A:$AN,MATCH(yoy!$U$1,Data!$A$1:$AN$1,),))</f>
        <v/>
      </c>
      <c r="V49" s="14">
        <f>IF(VLOOKUP(B49,Data!$A:$AN,MATCH(yoy!$V$1,Data!$A$1:$AN$1,),)=0,"#N/A",(VLOOKUP(B49,Data!$A:$AN,MATCH(yoy!$V$1,Data!$A$1:$AN$1,),)-VLOOKUP(A49,Data!$A:$AN,MATCH(yoy!$V$1,Data!$A$1:$AN$1,),))/VLOOKUP(A49,Data!$A:$AN,MATCH(yoy!$V$1,Data!$A$1:$AN$1,),))</f>
        <v/>
      </c>
      <c r="W49" s="14">
        <f>IF(VLOOKUP(B49,Data!$A:$AN,MATCH(yoy!$W$1,Data!$A$1:$AN$1,),)=0,"#N/A",(VLOOKUP(B49,Data!$A:$AN,MATCH(yoy!$W$1,Data!$A$1:$AN$1,),)-VLOOKUP(A49,Data!$A:$AN,MATCH(yoy!$W$1,Data!$A$1:$AN$1,),))/VLOOKUP(A49,Data!$A:$AN,MATCH(yoy!$W$1,Data!$A$1:$AN$1,),))</f>
        <v/>
      </c>
      <c r="X49" s="14">
        <f>IF(VLOOKUP(B49,Data!$A:$AN,MATCH(yoy!$X$1,Data!$A$1:$AN$1,),)=0,"#N/A",(VLOOKUP(B49,Data!$A:$AN,MATCH(yoy!$X$1,Data!$A$1:$AN$1,),)-VLOOKUP(A49,Data!$A:$AN,MATCH(yoy!$X$1,Data!$A$1:$AN$1,),))/VLOOKUP(A49,Data!$A:$AN,MATCH(yoy!$X$1,Data!$A$1:$AN$1,),))</f>
        <v/>
      </c>
      <c r="Y49" s="14">
        <f>IF(VLOOKUP(B49,Data!$A:$AN,MATCH(yoy!$Y$1,Data!$A$1:$AN$1,),)=0,"#N/A",(VLOOKUP(B49,Data!$A:$AN,MATCH(yoy!$Y$1,Data!$A$1:$AN$1,),)-VLOOKUP(A49,Data!$A:$AN,MATCH(yoy!$Y$1,Data!$A$1:$AN$1,),))/VLOOKUP(A49,Data!$A:$AN,MATCH(yoy!$Y$1,Data!$A$1:$AN$1,),))</f>
        <v/>
      </c>
      <c r="Z49" s="14">
        <f>IF(VLOOKUP(B49,Data!$A:$AN,MATCH(yoy!$Z$1,Data!$A$1:$AN$1,),)=0,"#N/A",(VLOOKUP(B49,Data!$A:$AN,MATCH(yoy!$Z$1,Data!$A$1:$AN$1,),)-VLOOKUP(A49,Data!$A:$AN,MATCH(yoy!$Z$1,Data!$A$1:$AN$1,),))/VLOOKUP(A49,Data!$A:$AN,MATCH(yoy!$Z$1,Data!$A$1:$AN$1,),))</f>
        <v/>
      </c>
      <c r="AA49" s="14">
        <f>IF(VLOOKUP(B49,Data!$A:$AN,MATCH(yoy!$AA$1,Data!$A$1:$AN$1,),)=0,"#N/A",(VLOOKUP(B49,Data!$A:$AN,MATCH(yoy!$AA$1,Data!$A$1:$AN$1,),)-VLOOKUP(A49,Data!$A:$AN,MATCH(yoy!$AA$1,Data!$A$1:$AN$1,),))/VLOOKUP(A49,Data!$A:$AN,MATCH(yoy!$AA$1,Data!$A$1:$AN$1,),))</f>
        <v/>
      </c>
    </row>
    <row r="50" customFormat="1" s="77">
      <c r="A50" s="20">
        <f>DATE(YEAR(B50)-1,MONTH(B50),DAY(B50))</f>
        <v/>
      </c>
      <c r="B50" s="12" t="n">
        <v>43374</v>
      </c>
      <c r="C50" s="14">
        <f>IF(VLOOKUP(B50,Data!$A:$AN,MATCH(yoy!$C$1,Data!$A$1:$AN$1,),)=0,"#N/A",(VLOOKUP(B50,Data!$A:$AN,MATCH(yoy!$C$1,Data!$A$1:$AN$1,),)-VLOOKUP(A50,Data!$A:$AN,MATCH(yoy!$C$1,Data!$A$1:$AN$1,),))/VLOOKUP(A50,Data!$A:$AN,MATCH(yoy!$C$1,Data!$A$1:$AN$1,),))</f>
        <v/>
      </c>
      <c r="D50" s="14">
        <f>IF(VLOOKUP(B50,Data!$A:$AN,MATCH(yoy!$D$1,Data!$A$1:$AN$1,),)=0,"#N/A",(VLOOKUP(B50,Data!$A:$AN,MATCH(yoy!$D$1,Data!$A$1:$AN$1,),)-VLOOKUP(A50,Data!$A:$AN,MATCH(yoy!$D$1,Data!$A$1:$AN$1,),))/VLOOKUP(A50,Data!$A:$AN,MATCH(yoy!$D$1,Data!$A$1:$AN$1,),))</f>
        <v/>
      </c>
      <c r="E50" s="14">
        <f>IF(VLOOKUP(B50,Data!$A:$AN,MATCH(yoy!$E$1,Data!$A$1:$AN$1,),)=0,"#N/A",(VLOOKUP(B50,Data!$A:$AN,MATCH(yoy!$E$1,Data!$A$1:$AN$1,),)-VLOOKUP(A50,Data!$A:$AN,MATCH(yoy!$E$1,Data!$A$1:$AN$1,),))/VLOOKUP(A50,Data!$A:$AN,MATCH(yoy!$E$1,Data!$A$1:$AN$1,),))</f>
        <v/>
      </c>
      <c r="F50" s="14">
        <f>IF(VLOOKUP(B50,Data!$A:$AN,MATCH(yoy!$F$1,Data!$A$1:$AN$1,),)=0,"#N/A",(VLOOKUP(B50,Data!$A:$AN,MATCH(yoy!$F$1,Data!$A$1:$AN$1,),)-VLOOKUP(A50,Data!$A:$AN,MATCH(yoy!$F$1,Data!$A$1:$AN$1,),))/VLOOKUP(A50,Data!$A:$AN,MATCH(yoy!$F$1,Data!$A$1:$AN$1,),))</f>
        <v/>
      </c>
      <c r="G50" s="14">
        <f>IF(VLOOKUP(B50,Data!$A:$AN,MATCH(yoy!$G$1,Data!$A$1:$AN$1,),)=0,"#N/A",(VLOOKUP(B50,Data!$A:$AN,MATCH(yoy!$G$1,Data!$A$1:$AN$1,),)-VLOOKUP(A50,Data!$A:$AN,MATCH(yoy!$G$1,Data!$A$1:$AN$1,),))/VLOOKUP(A50,Data!$A:$AN,MATCH(yoy!$G$1,Data!$A$1:$AN$1,),))</f>
        <v/>
      </c>
      <c r="H50" s="14">
        <f>IF(VLOOKUP(B50,Data!$A:$AN,MATCH(yoy!$H$1,Data!$A$1:$AN$1,),)=0,"#N/A",(VLOOKUP(B50,Data!$A:$AN,MATCH(yoy!$H$1,Data!$A$1:$AN$1,),)-VLOOKUP(A50,Data!$A:$AN,MATCH(yoy!$H$1,Data!$A$1:$AN$1,),))/VLOOKUP(A50,Data!$A:$AN,MATCH(yoy!$H$1,Data!$A$1:$AN$1,),))</f>
        <v/>
      </c>
      <c r="I50" s="14">
        <f>IF(VLOOKUP(B50,Data!$A:$AN,MATCH(yoy!$I$1,Data!$A$1:$AN$1,),)=0,"#N/A",(VLOOKUP(B50,Data!$A:$AN,MATCH(yoy!$I$1,Data!$A$1:$AN$1,),)-VLOOKUP(A50,Data!$A:$AN,MATCH(yoy!$I$1,Data!$A$1:$AN$1,),))/VLOOKUP(A50,Data!$A:$AN,MATCH(yoy!$I$1,Data!$A$1:$AN$1,),))</f>
        <v/>
      </c>
      <c r="J50" s="14">
        <f>IF(VLOOKUP(B50,Data!$A:$AN,MATCH(yoy!$J$1,Data!$A$1:$AN$1,),)=0,"#N/A",(VLOOKUP(B50,Data!$A:$AN,MATCH(yoy!$J$1,Data!$A$1:$AN$1,),)-VLOOKUP(A50,Data!$A:$AN,MATCH(yoy!$J$1,Data!$A$1:$AN$1,),))/VLOOKUP(A50,Data!$A:$AN,MATCH(yoy!$J$1,Data!$A$1:$AN$1,),))</f>
        <v/>
      </c>
      <c r="K50" s="14">
        <f>IF(VLOOKUP(B50,Data!$A:$AN,MATCH(yoy!$K$1,Data!$A$1:$AN$1,),)=0,"#N/A",(VLOOKUP(B50,Data!$A:$AN,MATCH(yoy!$K$1,Data!$A$1:$AN$1,),)-VLOOKUP(A50,Data!$A:$AN,MATCH(yoy!$K$1,Data!$A$1:$AN$1,),))/VLOOKUP(A50,Data!$A:$AN,MATCH(yoy!$K$1,Data!$A$1:$AN$1,),))</f>
        <v/>
      </c>
      <c r="L50" s="14">
        <f>IF(VLOOKUP(B50,Data!$A:$AN,MATCH(yoy!$L$1,Data!$A$1:$AN$1,),)=0,"#N/A",(VLOOKUP(B50,Data!$A:$AN,MATCH(yoy!$L$1,Data!$A$1:$AN$1,),)-VLOOKUP(A50,Data!$A:$AN,MATCH(yoy!$L$1,Data!$A$1:$AN$1,),))/VLOOKUP(A50,Data!$A:$AN,MATCH(yoy!$L$1,Data!$A$1:$AN$1,),))</f>
        <v/>
      </c>
      <c r="M50" s="14">
        <f>IF(VLOOKUP(B50,Data!$A:$AN,MATCH(yoy!$M$1,Data!$A$1:$AN$1,),)=0,"#N/A",(VLOOKUP(B50,Data!$A:$AN,MATCH(yoy!$M$1,Data!$A$1:$AN$1,),)-VLOOKUP(A50,Data!$A:$AN,MATCH(yoy!$M$1,Data!$A$1:$AN$1,),))/VLOOKUP(A50,Data!$A:$AN,MATCH(yoy!$M$1,Data!$A$1:$AN$1,),))</f>
        <v/>
      </c>
      <c r="N50" s="14">
        <f>IF(VLOOKUP(B50,Data!$A:$AN,MATCH(yoy!$N$1,Data!$A$1:$AN$1,),)=0,"#N/A",(VLOOKUP(B50,Data!$A:$AN,MATCH(yoy!$N$1,Data!$A$1:$AN$1,),)-VLOOKUP(A50,Data!$A:$AN,MATCH(yoy!$N$1,Data!$A$1:$AN$1,),))/VLOOKUP(A50,Data!$A:$AN,MATCH(yoy!$N$1,Data!$A$1:$AN$1,),))</f>
        <v/>
      </c>
      <c r="O50" s="14">
        <f>IF(VLOOKUP(B50,Data!$A:$AN,MATCH(yoy!$O$1,Data!$A$1:$AN$1,),)=0,"#N/A",(VLOOKUP(B50,Data!$A:$AN,MATCH(yoy!$O$1,Data!$A$1:$AN$1,),)-VLOOKUP(A50,Data!$A:$AN,MATCH(yoy!$O$1,Data!$A$1:$AN$1,),))/VLOOKUP(A50,Data!$A:$AN,MATCH(yoy!$O$1,Data!$A$1:$AN$1,),))</f>
        <v/>
      </c>
      <c r="P50" s="14">
        <f>IF(VLOOKUP(B50,Data!$A:$AN,MATCH(yoy!$P$1,Data!$A$1:$AN$1,),)=0,"#N/A",(VLOOKUP(B50,Data!$A:$AN,MATCH(yoy!$P$1,Data!$A$1:$AN$1,),)-VLOOKUP(A50,Data!$A:$AN,MATCH(yoy!$P$1,Data!$A$1:$AN$1,),))/VLOOKUP(A50,Data!$A:$AN,MATCH(yoy!$P$1,Data!$A$1:$AN$1,),))</f>
        <v/>
      </c>
      <c r="Q50" s="14">
        <f>IF(VLOOKUP(B50,Data!$A:$AN,MATCH(yoy!$Q$1,Data!$A$1:$AN$1,),)=0,"#N/A",(VLOOKUP(B50,Data!$A:$AN,MATCH(yoy!$Q$1,Data!$A$1:$AN$1,),)-VLOOKUP(A50,Data!$A:$AN,MATCH(yoy!$Q$1,Data!$A$1:$AN$1,),))/VLOOKUP(A50,Data!$A:$AN,MATCH(yoy!$Q$1,Data!$A$1:$AN$1,),))</f>
        <v/>
      </c>
      <c r="R50" s="14">
        <f>IF(VLOOKUP(B50,Data!$A:$AN,MATCH(yoy!$R$1,Data!$A$1:$AN$1,),)=0,"#N/A",(VLOOKUP(B50,Data!$A:$AN,MATCH(yoy!$R$1,Data!$A$1:$AN$1,),)-VLOOKUP(A50,Data!$A:$AN,MATCH(yoy!$R$1,Data!$A$1:$AN$1,),))/VLOOKUP(A50,Data!$A:$AN,MATCH(yoy!$R$1,Data!$A$1:$AN$1,),))</f>
        <v/>
      </c>
      <c r="S50" s="14">
        <f>IF(VLOOKUP(B50,Data!$A:$AN,MATCH(yoy!$S$1,Data!$A$1:$AN$1,),)=0,"#N/A",(VLOOKUP(B50,Data!$A:$AN,MATCH(yoy!$S$1,Data!$A$1:$AN$1,),)-VLOOKUP(A50,Data!$A:$AN,MATCH(yoy!$S$1,Data!$A$1:$AN$1,),))/VLOOKUP(A50,Data!$A:$AN,MATCH(yoy!$S$1,Data!$A$1:$AN$1,),))</f>
        <v/>
      </c>
      <c r="T50" s="14">
        <f>IF(VLOOKUP(B50,Data!$A:$AN,MATCH(yoy!$T$1,Data!$A$1:$AN$1,),)=0,"#N/A",(VLOOKUP(B50,Data!$A:$AN,MATCH(yoy!$T$1,Data!$A$1:$AN$1,),)-VLOOKUP(A50,Data!$A:$AN,MATCH(yoy!$T$1,Data!$A$1:$AN$1,),))/VLOOKUP(A50,Data!$A:$AN,MATCH(yoy!$T$1,Data!$A$1:$AN$1,),))</f>
        <v/>
      </c>
      <c r="U50" s="14">
        <f>IF(VLOOKUP(B50,Data!$A:$AN,MATCH(yoy!$U$1,Data!$A$1:$AN$1,),)=0,"#N/A",(VLOOKUP(B50,Data!$A:$AN,MATCH(yoy!$U$1,Data!$A$1:$AN$1,),)-VLOOKUP(A50,Data!$A:$AN,MATCH(yoy!$U$1,Data!$A$1:$AN$1,),))/VLOOKUP(A50,Data!$A:$AN,MATCH(yoy!$U$1,Data!$A$1:$AN$1,),))</f>
        <v/>
      </c>
      <c r="V50" s="14">
        <f>IF(VLOOKUP(B50,Data!$A:$AN,MATCH(yoy!$V$1,Data!$A$1:$AN$1,),)=0,"#N/A",(VLOOKUP(B50,Data!$A:$AN,MATCH(yoy!$V$1,Data!$A$1:$AN$1,),)-VLOOKUP(A50,Data!$A:$AN,MATCH(yoy!$V$1,Data!$A$1:$AN$1,),))/VLOOKUP(A50,Data!$A:$AN,MATCH(yoy!$V$1,Data!$A$1:$AN$1,),))</f>
        <v/>
      </c>
      <c r="W50" s="14">
        <f>IF(VLOOKUP(B50,Data!$A:$AN,MATCH(yoy!$W$1,Data!$A$1:$AN$1,),)=0,"#N/A",(VLOOKUP(B50,Data!$A:$AN,MATCH(yoy!$W$1,Data!$A$1:$AN$1,),)-VLOOKUP(A50,Data!$A:$AN,MATCH(yoy!$W$1,Data!$A$1:$AN$1,),))/VLOOKUP(A50,Data!$A:$AN,MATCH(yoy!$W$1,Data!$A$1:$AN$1,),))</f>
        <v/>
      </c>
      <c r="X50" s="14">
        <f>IF(VLOOKUP(B50,Data!$A:$AN,MATCH(yoy!$X$1,Data!$A$1:$AN$1,),)=0,"#N/A",(VLOOKUP(B50,Data!$A:$AN,MATCH(yoy!$X$1,Data!$A$1:$AN$1,),)-VLOOKUP(A50,Data!$A:$AN,MATCH(yoy!$X$1,Data!$A$1:$AN$1,),))/VLOOKUP(A50,Data!$A:$AN,MATCH(yoy!$X$1,Data!$A$1:$AN$1,),))</f>
        <v/>
      </c>
      <c r="Y50" s="14">
        <f>IF(VLOOKUP(B50,Data!$A:$AN,MATCH(yoy!$Y$1,Data!$A$1:$AN$1,),)=0,"#N/A",(VLOOKUP(B50,Data!$A:$AN,MATCH(yoy!$Y$1,Data!$A$1:$AN$1,),)-VLOOKUP(A50,Data!$A:$AN,MATCH(yoy!$Y$1,Data!$A$1:$AN$1,),))/VLOOKUP(A50,Data!$A:$AN,MATCH(yoy!$Y$1,Data!$A$1:$AN$1,),))</f>
        <v/>
      </c>
      <c r="Z50" s="14">
        <f>IF(VLOOKUP(B50,Data!$A:$AN,MATCH(yoy!$Z$1,Data!$A$1:$AN$1,),)=0,"#N/A",(VLOOKUP(B50,Data!$A:$AN,MATCH(yoy!$Z$1,Data!$A$1:$AN$1,),)-VLOOKUP(A50,Data!$A:$AN,MATCH(yoy!$Z$1,Data!$A$1:$AN$1,),))/VLOOKUP(A50,Data!$A:$AN,MATCH(yoy!$Z$1,Data!$A$1:$AN$1,),))</f>
        <v/>
      </c>
      <c r="AA50" s="14">
        <f>IF(VLOOKUP(B50,Data!$A:$AN,MATCH(yoy!$AA$1,Data!$A$1:$AN$1,),)=0,"#N/A",(VLOOKUP(B50,Data!$A:$AN,MATCH(yoy!$AA$1,Data!$A$1:$AN$1,),)-VLOOKUP(A50,Data!$A:$AN,MATCH(yoy!$AA$1,Data!$A$1:$AN$1,),))/VLOOKUP(A50,Data!$A:$AN,MATCH(yoy!$AA$1,Data!$A$1:$AN$1,),))</f>
        <v/>
      </c>
    </row>
    <row r="51" customFormat="1" s="77">
      <c r="A51" s="20">
        <f>DATE(YEAR(B51)-1,MONTH(B51),DAY(B51))</f>
        <v/>
      </c>
      <c r="B51" s="12" t="n">
        <v>43405</v>
      </c>
      <c r="C51" s="14">
        <f>IF(VLOOKUP(B51,Data!$A:$AN,MATCH(yoy!$C$1,Data!$A$1:$AN$1,),)=0,"#N/A",(VLOOKUP(B51,Data!$A:$AN,MATCH(yoy!$C$1,Data!$A$1:$AN$1,),)-VLOOKUP(A51,Data!$A:$AN,MATCH(yoy!$C$1,Data!$A$1:$AN$1,),))/VLOOKUP(A51,Data!$A:$AN,MATCH(yoy!$C$1,Data!$A$1:$AN$1,),))</f>
        <v/>
      </c>
      <c r="D51" s="14">
        <f>IF(VLOOKUP(B51,Data!$A:$AN,MATCH(yoy!$D$1,Data!$A$1:$AN$1,),)=0,"#N/A",(VLOOKUP(B51,Data!$A:$AN,MATCH(yoy!$D$1,Data!$A$1:$AN$1,),)-VLOOKUP(A51,Data!$A:$AN,MATCH(yoy!$D$1,Data!$A$1:$AN$1,),))/VLOOKUP(A51,Data!$A:$AN,MATCH(yoy!$D$1,Data!$A$1:$AN$1,),))</f>
        <v/>
      </c>
      <c r="E51" s="14">
        <f>IF(VLOOKUP(B51,Data!$A:$AN,MATCH(yoy!$E$1,Data!$A$1:$AN$1,),)=0,"#N/A",(VLOOKUP(B51,Data!$A:$AN,MATCH(yoy!$E$1,Data!$A$1:$AN$1,),)-VLOOKUP(A51,Data!$A:$AN,MATCH(yoy!$E$1,Data!$A$1:$AN$1,),))/VLOOKUP(A51,Data!$A:$AN,MATCH(yoy!$E$1,Data!$A$1:$AN$1,),))</f>
        <v/>
      </c>
      <c r="F51" s="14">
        <f>IF(VLOOKUP(B51,Data!$A:$AN,MATCH(yoy!$F$1,Data!$A$1:$AN$1,),)=0,"#N/A",(VLOOKUP(B51,Data!$A:$AN,MATCH(yoy!$F$1,Data!$A$1:$AN$1,),)-VLOOKUP(A51,Data!$A:$AN,MATCH(yoy!$F$1,Data!$A$1:$AN$1,),))/VLOOKUP(A51,Data!$A:$AN,MATCH(yoy!$F$1,Data!$A$1:$AN$1,),))</f>
        <v/>
      </c>
      <c r="G51" s="14">
        <f>IF(VLOOKUP(B51,Data!$A:$AN,MATCH(yoy!$G$1,Data!$A$1:$AN$1,),)=0,"#N/A",(VLOOKUP(B51,Data!$A:$AN,MATCH(yoy!$G$1,Data!$A$1:$AN$1,),)-VLOOKUP(A51,Data!$A:$AN,MATCH(yoy!$G$1,Data!$A$1:$AN$1,),))/VLOOKUP(A51,Data!$A:$AN,MATCH(yoy!$G$1,Data!$A$1:$AN$1,),))</f>
        <v/>
      </c>
      <c r="H51" s="14">
        <f>IF(VLOOKUP(B51,Data!$A:$AN,MATCH(yoy!$H$1,Data!$A$1:$AN$1,),)=0,"#N/A",(VLOOKUP(B51,Data!$A:$AN,MATCH(yoy!$H$1,Data!$A$1:$AN$1,),)-VLOOKUP(A51,Data!$A:$AN,MATCH(yoy!$H$1,Data!$A$1:$AN$1,),))/VLOOKUP(A51,Data!$A:$AN,MATCH(yoy!$H$1,Data!$A$1:$AN$1,),))</f>
        <v/>
      </c>
      <c r="I51" s="14">
        <f>IF(VLOOKUP(B51,Data!$A:$AN,MATCH(yoy!$I$1,Data!$A$1:$AN$1,),)=0,"#N/A",(VLOOKUP(B51,Data!$A:$AN,MATCH(yoy!$I$1,Data!$A$1:$AN$1,),)-VLOOKUP(A51,Data!$A:$AN,MATCH(yoy!$I$1,Data!$A$1:$AN$1,),))/VLOOKUP(A51,Data!$A:$AN,MATCH(yoy!$I$1,Data!$A$1:$AN$1,),))</f>
        <v/>
      </c>
      <c r="J51" s="14">
        <f>IF(VLOOKUP(B51,Data!$A:$AN,MATCH(yoy!$J$1,Data!$A$1:$AN$1,),)=0,"#N/A",(VLOOKUP(B51,Data!$A:$AN,MATCH(yoy!$J$1,Data!$A$1:$AN$1,),)-VLOOKUP(A51,Data!$A:$AN,MATCH(yoy!$J$1,Data!$A$1:$AN$1,),))/VLOOKUP(A51,Data!$A:$AN,MATCH(yoy!$J$1,Data!$A$1:$AN$1,),))</f>
        <v/>
      </c>
      <c r="K51" s="14">
        <f>IF(VLOOKUP(B51,Data!$A:$AN,MATCH(yoy!$K$1,Data!$A$1:$AN$1,),)=0,"#N/A",(VLOOKUP(B51,Data!$A:$AN,MATCH(yoy!$K$1,Data!$A$1:$AN$1,),)-VLOOKUP(A51,Data!$A:$AN,MATCH(yoy!$K$1,Data!$A$1:$AN$1,),))/VLOOKUP(A51,Data!$A:$AN,MATCH(yoy!$K$1,Data!$A$1:$AN$1,),))</f>
        <v/>
      </c>
      <c r="L51" s="14">
        <f>IF(VLOOKUP(B51,Data!$A:$AN,MATCH(yoy!$L$1,Data!$A$1:$AN$1,),)=0,"#N/A",(VLOOKUP(B51,Data!$A:$AN,MATCH(yoy!$L$1,Data!$A$1:$AN$1,),)-VLOOKUP(A51,Data!$A:$AN,MATCH(yoy!$L$1,Data!$A$1:$AN$1,),))/VLOOKUP(A51,Data!$A:$AN,MATCH(yoy!$L$1,Data!$A$1:$AN$1,),))</f>
        <v/>
      </c>
      <c r="M51" s="14">
        <f>IF(VLOOKUP(B51,Data!$A:$AN,MATCH(yoy!$M$1,Data!$A$1:$AN$1,),)=0,"#N/A",(VLOOKUP(B51,Data!$A:$AN,MATCH(yoy!$M$1,Data!$A$1:$AN$1,),)-VLOOKUP(A51,Data!$A:$AN,MATCH(yoy!$M$1,Data!$A$1:$AN$1,),))/VLOOKUP(A51,Data!$A:$AN,MATCH(yoy!$M$1,Data!$A$1:$AN$1,),))</f>
        <v/>
      </c>
      <c r="N51" s="14">
        <f>IF(VLOOKUP(B51,Data!$A:$AN,MATCH(yoy!$N$1,Data!$A$1:$AN$1,),)=0,"#N/A",(VLOOKUP(B51,Data!$A:$AN,MATCH(yoy!$N$1,Data!$A$1:$AN$1,),)-VLOOKUP(A51,Data!$A:$AN,MATCH(yoy!$N$1,Data!$A$1:$AN$1,),))/VLOOKUP(A51,Data!$A:$AN,MATCH(yoy!$N$1,Data!$A$1:$AN$1,),))</f>
        <v/>
      </c>
      <c r="O51" s="14">
        <f>IF(VLOOKUP(B51,Data!$A:$AN,MATCH(yoy!$O$1,Data!$A$1:$AN$1,),)=0,"#N/A",(VLOOKUP(B51,Data!$A:$AN,MATCH(yoy!$O$1,Data!$A$1:$AN$1,),)-VLOOKUP(A51,Data!$A:$AN,MATCH(yoy!$O$1,Data!$A$1:$AN$1,),))/VLOOKUP(A51,Data!$A:$AN,MATCH(yoy!$O$1,Data!$A$1:$AN$1,),))</f>
        <v/>
      </c>
      <c r="P51" s="14">
        <f>IF(VLOOKUP(B51,Data!$A:$AN,MATCH(yoy!$P$1,Data!$A$1:$AN$1,),)=0,"#N/A",(VLOOKUP(B51,Data!$A:$AN,MATCH(yoy!$P$1,Data!$A$1:$AN$1,),)-VLOOKUP(A51,Data!$A:$AN,MATCH(yoy!$P$1,Data!$A$1:$AN$1,),))/VLOOKUP(A51,Data!$A:$AN,MATCH(yoy!$P$1,Data!$A$1:$AN$1,),))</f>
        <v/>
      </c>
      <c r="Q51" s="14">
        <f>IF(VLOOKUP(B51,Data!$A:$AN,MATCH(yoy!$Q$1,Data!$A$1:$AN$1,),)=0,"#N/A",(VLOOKUP(B51,Data!$A:$AN,MATCH(yoy!$Q$1,Data!$A$1:$AN$1,),)-VLOOKUP(A51,Data!$A:$AN,MATCH(yoy!$Q$1,Data!$A$1:$AN$1,),))/VLOOKUP(A51,Data!$A:$AN,MATCH(yoy!$Q$1,Data!$A$1:$AN$1,),))</f>
        <v/>
      </c>
      <c r="R51" s="14">
        <f>IF(VLOOKUP(B51,Data!$A:$AN,MATCH(yoy!$R$1,Data!$A$1:$AN$1,),)=0,"#N/A",(VLOOKUP(B51,Data!$A:$AN,MATCH(yoy!$R$1,Data!$A$1:$AN$1,),)-VLOOKUP(A51,Data!$A:$AN,MATCH(yoy!$R$1,Data!$A$1:$AN$1,),))/VLOOKUP(A51,Data!$A:$AN,MATCH(yoy!$R$1,Data!$A$1:$AN$1,),))</f>
        <v/>
      </c>
      <c r="S51" s="14">
        <f>IF(VLOOKUP(B51,Data!$A:$AN,MATCH(yoy!$S$1,Data!$A$1:$AN$1,),)=0,"#N/A",(VLOOKUP(B51,Data!$A:$AN,MATCH(yoy!$S$1,Data!$A$1:$AN$1,),)-VLOOKUP(A51,Data!$A:$AN,MATCH(yoy!$S$1,Data!$A$1:$AN$1,),))/VLOOKUP(A51,Data!$A:$AN,MATCH(yoy!$S$1,Data!$A$1:$AN$1,),))</f>
        <v/>
      </c>
      <c r="T51" s="14">
        <f>IF(VLOOKUP(B51,Data!$A:$AN,MATCH(yoy!$T$1,Data!$A$1:$AN$1,),)=0,"#N/A",(VLOOKUP(B51,Data!$A:$AN,MATCH(yoy!$T$1,Data!$A$1:$AN$1,),)-VLOOKUP(A51,Data!$A:$AN,MATCH(yoy!$T$1,Data!$A$1:$AN$1,),))/VLOOKUP(A51,Data!$A:$AN,MATCH(yoy!$T$1,Data!$A$1:$AN$1,),))</f>
        <v/>
      </c>
      <c r="U51" s="14">
        <f>IF(VLOOKUP(B51,Data!$A:$AN,MATCH(yoy!$U$1,Data!$A$1:$AN$1,),)=0,"#N/A",(VLOOKUP(B51,Data!$A:$AN,MATCH(yoy!$U$1,Data!$A$1:$AN$1,),)-VLOOKUP(A51,Data!$A:$AN,MATCH(yoy!$U$1,Data!$A$1:$AN$1,),))/VLOOKUP(A51,Data!$A:$AN,MATCH(yoy!$U$1,Data!$A$1:$AN$1,),))</f>
        <v/>
      </c>
      <c r="V51" s="14">
        <f>IF(VLOOKUP(B51,Data!$A:$AN,MATCH(yoy!$V$1,Data!$A$1:$AN$1,),)=0,"#N/A",(VLOOKUP(B51,Data!$A:$AN,MATCH(yoy!$V$1,Data!$A$1:$AN$1,),)-VLOOKUP(A51,Data!$A:$AN,MATCH(yoy!$V$1,Data!$A$1:$AN$1,),))/VLOOKUP(A51,Data!$A:$AN,MATCH(yoy!$V$1,Data!$A$1:$AN$1,),))</f>
        <v/>
      </c>
      <c r="W51" s="14">
        <f>IF(VLOOKUP(B51,Data!$A:$AN,MATCH(yoy!$W$1,Data!$A$1:$AN$1,),)=0,"#N/A",(VLOOKUP(B51,Data!$A:$AN,MATCH(yoy!$W$1,Data!$A$1:$AN$1,),)-VLOOKUP(A51,Data!$A:$AN,MATCH(yoy!$W$1,Data!$A$1:$AN$1,),))/VLOOKUP(A51,Data!$A:$AN,MATCH(yoy!$W$1,Data!$A$1:$AN$1,),))</f>
        <v/>
      </c>
      <c r="X51" s="14">
        <f>IF(VLOOKUP(B51,Data!$A:$AN,MATCH(yoy!$X$1,Data!$A$1:$AN$1,),)=0,"#N/A",(VLOOKUP(B51,Data!$A:$AN,MATCH(yoy!$X$1,Data!$A$1:$AN$1,),)-VLOOKUP(A51,Data!$A:$AN,MATCH(yoy!$X$1,Data!$A$1:$AN$1,),))/VLOOKUP(A51,Data!$A:$AN,MATCH(yoy!$X$1,Data!$A$1:$AN$1,),))</f>
        <v/>
      </c>
      <c r="Y51" s="14">
        <f>IF(VLOOKUP(B51,Data!$A:$AN,MATCH(yoy!$Y$1,Data!$A$1:$AN$1,),)=0,"#N/A",(VLOOKUP(B51,Data!$A:$AN,MATCH(yoy!$Y$1,Data!$A$1:$AN$1,),)-VLOOKUP(A51,Data!$A:$AN,MATCH(yoy!$Y$1,Data!$A$1:$AN$1,),))/VLOOKUP(A51,Data!$A:$AN,MATCH(yoy!$Y$1,Data!$A$1:$AN$1,),))</f>
        <v/>
      </c>
      <c r="Z51" s="14">
        <f>IF(VLOOKUP(B51,Data!$A:$AN,MATCH(yoy!$Z$1,Data!$A$1:$AN$1,),)=0,"#N/A",(VLOOKUP(B51,Data!$A:$AN,MATCH(yoy!$Z$1,Data!$A$1:$AN$1,),)-VLOOKUP(A51,Data!$A:$AN,MATCH(yoy!$Z$1,Data!$A$1:$AN$1,),))/VLOOKUP(A51,Data!$A:$AN,MATCH(yoy!$Z$1,Data!$A$1:$AN$1,),))</f>
        <v/>
      </c>
      <c r="AA51" s="14">
        <f>IF(VLOOKUP(B51,Data!$A:$AN,MATCH(yoy!$AA$1,Data!$A$1:$AN$1,),)=0,"#N/A",(VLOOKUP(B51,Data!$A:$AN,MATCH(yoy!$AA$1,Data!$A$1:$AN$1,),)-VLOOKUP(A51,Data!$A:$AN,MATCH(yoy!$AA$1,Data!$A$1:$AN$1,),))/VLOOKUP(A51,Data!$A:$AN,MATCH(yoy!$AA$1,Data!$A$1:$AN$1,),))</f>
        <v/>
      </c>
    </row>
    <row r="52" customFormat="1" s="77">
      <c r="A52" s="20">
        <f>DATE(YEAR(B52)-1,MONTH(B52),DAY(B52))</f>
        <v/>
      </c>
      <c r="B52" s="12" t="n">
        <v>43435</v>
      </c>
      <c r="C52" s="14">
        <f>IF(VLOOKUP(B52,Data!$A:$AN,MATCH(yoy!$C$1,Data!$A$1:$AN$1,),)=0,"#N/A",(VLOOKUP(B52,Data!$A:$AN,MATCH(yoy!$C$1,Data!$A$1:$AN$1,),)-VLOOKUP(A52,Data!$A:$AN,MATCH(yoy!$C$1,Data!$A$1:$AN$1,),))/VLOOKUP(A52,Data!$A:$AN,MATCH(yoy!$C$1,Data!$A$1:$AN$1,),))</f>
        <v/>
      </c>
      <c r="D52" s="14">
        <f>IF(VLOOKUP(B52,Data!$A:$AN,MATCH(yoy!$D$1,Data!$A$1:$AN$1,),)=0,"#N/A",(VLOOKUP(B52,Data!$A:$AN,MATCH(yoy!$D$1,Data!$A$1:$AN$1,),)-VLOOKUP(A52,Data!$A:$AN,MATCH(yoy!$D$1,Data!$A$1:$AN$1,),))/VLOOKUP(A52,Data!$A:$AN,MATCH(yoy!$D$1,Data!$A$1:$AN$1,),))</f>
        <v/>
      </c>
      <c r="E52" s="14">
        <f>IF(VLOOKUP(B52,Data!$A:$AN,MATCH(yoy!$E$1,Data!$A$1:$AN$1,),)=0,"#N/A",(VLOOKUP(B52,Data!$A:$AN,MATCH(yoy!$E$1,Data!$A$1:$AN$1,),)-VLOOKUP(A52,Data!$A:$AN,MATCH(yoy!$E$1,Data!$A$1:$AN$1,),))/VLOOKUP(A52,Data!$A:$AN,MATCH(yoy!$E$1,Data!$A$1:$AN$1,),))</f>
        <v/>
      </c>
      <c r="F52" s="14">
        <f>IF(VLOOKUP(B52,Data!$A:$AN,MATCH(yoy!$F$1,Data!$A$1:$AN$1,),)=0,"#N/A",(VLOOKUP(B52,Data!$A:$AN,MATCH(yoy!$F$1,Data!$A$1:$AN$1,),)-VLOOKUP(A52,Data!$A:$AN,MATCH(yoy!$F$1,Data!$A$1:$AN$1,),))/VLOOKUP(A52,Data!$A:$AN,MATCH(yoy!$F$1,Data!$A$1:$AN$1,),))</f>
        <v/>
      </c>
      <c r="G52" s="14">
        <f>IF(VLOOKUP(B52,Data!$A:$AN,MATCH(yoy!$G$1,Data!$A$1:$AN$1,),)=0,"#N/A",(VLOOKUP(B52,Data!$A:$AN,MATCH(yoy!$G$1,Data!$A$1:$AN$1,),)-VLOOKUP(A52,Data!$A:$AN,MATCH(yoy!$G$1,Data!$A$1:$AN$1,),))/VLOOKUP(A52,Data!$A:$AN,MATCH(yoy!$G$1,Data!$A$1:$AN$1,),))</f>
        <v/>
      </c>
      <c r="H52" s="14">
        <f>IF(VLOOKUP(B52,Data!$A:$AN,MATCH(yoy!$H$1,Data!$A$1:$AN$1,),)=0,"#N/A",(VLOOKUP(B52,Data!$A:$AN,MATCH(yoy!$H$1,Data!$A$1:$AN$1,),)-VLOOKUP(A52,Data!$A:$AN,MATCH(yoy!$H$1,Data!$A$1:$AN$1,),))/VLOOKUP(A52,Data!$A:$AN,MATCH(yoy!$H$1,Data!$A$1:$AN$1,),))</f>
        <v/>
      </c>
      <c r="I52" s="14">
        <f>IF(VLOOKUP(B52,Data!$A:$AN,MATCH(yoy!$I$1,Data!$A$1:$AN$1,),)=0,"#N/A",(VLOOKUP(B52,Data!$A:$AN,MATCH(yoy!$I$1,Data!$A$1:$AN$1,),)-VLOOKUP(A52,Data!$A:$AN,MATCH(yoy!$I$1,Data!$A$1:$AN$1,),))/VLOOKUP(A52,Data!$A:$AN,MATCH(yoy!$I$1,Data!$A$1:$AN$1,),))</f>
        <v/>
      </c>
      <c r="J52" s="14">
        <f>IF(VLOOKUP(B52,Data!$A:$AN,MATCH(yoy!$J$1,Data!$A$1:$AN$1,),)=0,"#N/A",(VLOOKUP(B52,Data!$A:$AN,MATCH(yoy!$J$1,Data!$A$1:$AN$1,),)-VLOOKUP(A52,Data!$A:$AN,MATCH(yoy!$J$1,Data!$A$1:$AN$1,),))/VLOOKUP(A52,Data!$A:$AN,MATCH(yoy!$J$1,Data!$A$1:$AN$1,),))</f>
        <v/>
      </c>
      <c r="K52" s="14">
        <f>IF(VLOOKUP(B52,Data!$A:$AN,MATCH(yoy!$K$1,Data!$A$1:$AN$1,),)=0,"#N/A",(VLOOKUP(B52,Data!$A:$AN,MATCH(yoy!$K$1,Data!$A$1:$AN$1,),)-VLOOKUP(A52,Data!$A:$AN,MATCH(yoy!$K$1,Data!$A$1:$AN$1,),))/VLOOKUP(A52,Data!$A:$AN,MATCH(yoy!$K$1,Data!$A$1:$AN$1,),))</f>
        <v/>
      </c>
      <c r="L52" s="14">
        <f>IF(VLOOKUP(B52,Data!$A:$AN,MATCH(yoy!$L$1,Data!$A$1:$AN$1,),)=0,"#N/A",(VLOOKUP(B52,Data!$A:$AN,MATCH(yoy!$L$1,Data!$A$1:$AN$1,),)-VLOOKUP(A52,Data!$A:$AN,MATCH(yoy!$L$1,Data!$A$1:$AN$1,),))/VLOOKUP(A52,Data!$A:$AN,MATCH(yoy!$L$1,Data!$A$1:$AN$1,),))</f>
        <v/>
      </c>
      <c r="M52" s="14">
        <f>IF(VLOOKUP(B52,Data!$A:$AN,MATCH(yoy!$M$1,Data!$A$1:$AN$1,),)=0,"#N/A",(VLOOKUP(B52,Data!$A:$AN,MATCH(yoy!$M$1,Data!$A$1:$AN$1,),)-VLOOKUP(A52,Data!$A:$AN,MATCH(yoy!$M$1,Data!$A$1:$AN$1,),))/VLOOKUP(A52,Data!$A:$AN,MATCH(yoy!$M$1,Data!$A$1:$AN$1,),))</f>
        <v/>
      </c>
      <c r="N52" s="14">
        <f>IF(VLOOKUP(B52,Data!$A:$AN,MATCH(yoy!$N$1,Data!$A$1:$AN$1,),)=0,"#N/A",(VLOOKUP(B52,Data!$A:$AN,MATCH(yoy!$N$1,Data!$A$1:$AN$1,),)-VLOOKUP(A52,Data!$A:$AN,MATCH(yoy!$N$1,Data!$A$1:$AN$1,),))/VLOOKUP(A52,Data!$A:$AN,MATCH(yoy!$N$1,Data!$A$1:$AN$1,),))</f>
        <v/>
      </c>
      <c r="O52" s="14">
        <f>IF(VLOOKUP(B52,Data!$A:$AN,MATCH(yoy!$O$1,Data!$A$1:$AN$1,),)=0,"#N/A",(VLOOKUP(B52,Data!$A:$AN,MATCH(yoy!$O$1,Data!$A$1:$AN$1,),)-VLOOKUP(A52,Data!$A:$AN,MATCH(yoy!$O$1,Data!$A$1:$AN$1,),))/VLOOKUP(A52,Data!$A:$AN,MATCH(yoy!$O$1,Data!$A$1:$AN$1,),))</f>
        <v/>
      </c>
      <c r="P52" s="14">
        <f>IF(VLOOKUP(B52,Data!$A:$AN,MATCH(yoy!$P$1,Data!$A$1:$AN$1,),)=0,"#N/A",(VLOOKUP(B52,Data!$A:$AN,MATCH(yoy!$P$1,Data!$A$1:$AN$1,),)-VLOOKUP(A52,Data!$A:$AN,MATCH(yoy!$P$1,Data!$A$1:$AN$1,),))/VLOOKUP(A52,Data!$A:$AN,MATCH(yoy!$P$1,Data!$A$1:$AN$1,),))</f>
        <v/>
      </c>
      <c r="Q52" s="14">
        <f>IF(VLOOKUP(B52,Data!$A:$AN,MATCH(yoy!$Q$1,Data!$A$1:$AN$1,),)=0,"#N/A",(VLOOKUP(B52,Data!$A:$AN,MATCH(yoy!$Q$1,Data!$A$1:$AN$1,),)-VLOOKUP(A52,Data!$A:$AN,MATCH(yoy!$Q$1,Data!$A$1:$AN$1,),))/VLOOKUP(A52,Data!$A:$AN,MATCH(yoy!$Q$1,Data!$A$1:$AN$1,),))</f>
        <v/>
      </c>
      <c r="R52" s="14">
        <f>IF(VLOOKUP(B52,Data!$A:$AN,MATCH(yoy!$R$1,Data!$A$1:$AN$1,),)=0,"#N/A",(VLOOKUP(B52,Data!$A:$AN,MATCH(yoy!$R$1,Data!$A$1:$AN$1,),)-VLOOKUP(A52,Data!$A:$AN,MATCH(yoy!$R$1,Data!$A$1:$AN$1,),))/VLOOKUP(A52,Data!$A:$AN,MATCH(yoy!$R$1,Data!$A$1:$AN$1,),))</f>
        <v/>
      </c>
      <c r="S52" s="14">
        <f>IF(VLOOKUP(B52,Data!$A:$AN,MATCH(yoy!$S$1,Data!$A$1:$AN$1,),)=0,"#N/A",(VLOOKUP(B52,Data!$A:$AN,MATCH(yoy!$S$1,Data!$A$1:$AN$1,),)-VLOOKUP(A52,Data!$A:$AN,MATCH(yoy!$S$1,Data!$A$1:$AN$1,),))/VLOOKUP(A52,Data!$A:$AN,MATCH(yoy!$S$1,Data!$A$1:$AN$1,),))</f>
        <v/>
      </c>
      <c r="T52" s="14">
        <f>IF(VLOOKUP(B52,Data!$A:$AN,MATCH(yoy!$T$1,Data!$A$1:$AN$1,),)=0,"#N/A",(VLOOKUP(B52,Data!$A:$AN,MATCH(yoy!$T$1,Data!$A$1:$AN$1,),)-VLOOKUP(A52,Data!$A:$AN,MATCH(yoy!$T$1,Data!$A$1:$AN$1,),))/VLOOKUP(A52,Data!$A:$AN,MATCH(yoy!$T$1,Data!$A$1:$AN$1,),))</f>
        <v/>
      </c>
      <c r="U52" s="14">
        <f>IF(VLOOKUP(B52,Data!$A:$AN,MATCH(yoy!$U$1,Data!$A$1:$AN$1,),)=0,"#N/A",(VLOOKUP(B52,Data!$A:$AN,MATCH(yoy!$U$1,Data!$A$1:$AN$1,),)-VLOOKUP(A52,Data!$A:$AN,MATCH(yoy!$U$1,Data!$A$1:$AN$1,),))/VLOOKUP(A52,Data!$A:$AN,MATCH(yoy!$U$1,Data!$A$1:$AN$1,),))</f>
        <v/>
      </c>
      <c r="V52" s="14">
        <f>IF(VLOOKUP(B52,Data!$A:$AN,MATCH(yoy!$V$1,Data!$A$1:$AN$1,),)=0,"#N/A",(VLOOKUP(B52,Data!$A:$AN,MATCH(yoy!$V$1,Data!$A$1:$AN$1,),)-VLOOKUP(A52,Data!$A:$AN,MATCH(yoy!$V$1,Data!$A$1:$AN$1,),))/VLOOKUP(A52,Data!$A:$AN,MATCH(yoy!$V$1,Data!$A$1:$AN$1,),))</f>
        <v/>
      </c>
      <c r="W52" s="14">
        <f>IF(VLOOKUP(B52,Data!$A:$AN,MATCH(yoy!$W$1,Data!$A$1:$AN$1,),)=0,"#N/A",(VLOOKUP(B52,Data!$A:$AN,MATCH(yoy!$W$1,Data!$A$1:$AN$1,),)-VLOOKUP(A52,Data!$A:$AN,MATCH(yoy!$W$1,Data!$A$1:$AN$1,),))/VLOOKUP(A52,Data!$A:$AN,MATCH(yoy!$W$1,Data!$A$1:$AN$1,),))</f>
        <v/>
      </c>
      <c r="X52" s="14">
        <f>IF(VLOOKUP(B52,Data!$A:$AN,MATCH(yoy!$X$1,Data!$A$1:$AN$1,),)=0,"#N/A",(VLOOKUP(B52,Data!$A:$AN,MATCH(yoy!$X$1,Data!$A$1:$AN$1,),)-VLOOKUP(A52,Data!$A:$AN,MATCH(yoy!$X$1,Data!$A$1:$AN$1,),))/VLOOKUP(A52,Data!$A:$AN,MATCH(yoy!$X$1,Data!$A$1:$AN$1,),))</f>
        <v/>
      </c>
      <c r="Y52" s="14">
        <f>IF(VLOOKUP(B52,Data!$A:$AN,MATCH(yoy!$Y$1,Data!$A$1:$AN$1,),)=0,"#N/A",(VLOOKUP(B52,Data!$A:$AN,MATCH(yoy!$Y$1,Data!$A$1:$AN$1,),)-VLOOKUP(A52,Data!$A:$AN,MATCH(yoy!$Y$1,Data!$A$1:$AN$1,),))/VLOOKUP(A52,Data!$A:$AN,MATCH(yoy!$Y$1,Data!$A$1:$AN$1,),))</f>
        <v/>
      </c>
      <c r="Z52" s="14">
        <f>IF(VLOOKUP(B52,Data!$A:$AN,MATCH(yoy!$Z$1,Data!$A$1:$AN$1,),)=0,"#N/A",(VLOOKUP(B52,Data!$A:$AN,MATCH(yoy!$Z$1,Data!$A$1:$AN$1,),)-VLOOKUP(A52,Data!$A:$AN,MATCH(yoy!$Z$1,Data!$A$1:$AN$1,),))/VLOOKUP(A52,Data!$A:$AN,MATCH(yoy!$Z$1,Data!$A$1:$AN$1,),))</f>
        <v/>
      </c>
      <c r="AA52" s="14">
        <f>IF(VLOOKUP(B52,Data!$A:$AN,MATCH(yoy!$AA$1,Data!$A$1:$AN$1,),)=0,"#N/A",(VLOOKUP(B52,Data!$A:$AN,MATCH(yoy!$AA$1,Data!$A$1:$AN$1,),)-VLOOKUP(A52,Data!$A:$AN,MATCH(yoy!$AA$1,Data!$A$1:$AN$1,),))/VLOOKUP(A52,Data!$A:$AN,MATCH(yoy!$AA$1,Data!$A$1:$AN$1,),))</f>
        <v/>
      </c>
    </row>
    <row r="53" customFormat="1" s="77">
      <c r="A53" s="20">
        <f>DATE(YEAR(B53)-1,MONTH(B53),DAY(B53))</f>
        <v/>
      </c>
      <c r="B53" s="12" t="n">
        <v>43466</v>
      </c>
      <c r="C53" s="14">
        <f>IF(VLOOKUP(B53,Data!$A:$AN,MATCH(yoy!$C$1,Data!$A$1:$AN$1,),)=0,"#N/A",(VLOOKUP(B53,Data!$A:$AN,MATCH(yoy!$C$1,Data!$A$1:$AN$1,),)-VLOOKUP(A53,Data!$A:$AN,MATCH(yoy!$C$1,Data!$A$1:$AN$1,),))/VLOOKUP(A53,Data!$A:$AN,MATCH(yoy!$C$1,Data!$A$1:$AN$1,),))</f>
        <v/>
      </c>
      <c r="D53" s="14">
        <f>IF(VLOOKUP(B53,Data!$A:$AN,MATCH(yoy!$D$1,Data!$A$1:$AN$1,),)=0,"#N/A",(VLOOKUP(B53,Data!$A:$AN,MATCH(yoy!$D$1,Data!$A$1:$AN$1,),)-VLOOKUP(A53,Data!$A:$AN,MATCH(yoy!$D$1,Data!$A$1:$AN$1,),))/VLOOKUP(A53,Data!$A:$AN,MATCH(yoy!$D$1,Data!$A$1:$AN$1,),))</f>
        <v/>
      </c>
      <c r="E53" s="14">
        <f>IF(VLOOKUP(B53,Data!$A:$AN,MATCH(yoy!$E$1,Data!$A$1:$AN$1,),)=0,"#N/A",(VLOOKUP(B53,Data!$A:$AN,MATCH(yoy!$E$1,Data!$A$1:$AN$1,),)-VLOOKUP(A53,Data!$A:$AN,MATCH(yoy!$E$1,Data!$A$1:$AN$1,),))/VLOOKUP(A53,Data!$A:$AN,MATCH(yoy!$E$1,Data!$A$1:$AN$1,),))</f>
        <v/>
      </c>
      <c r="F53" s="14">
        <f>IF(VLOOKUP(B53,Data!$A:$AN,MATCH(yoy!$F$1,Data!$A$1:$AN$1,),)=0,"#N/A",(VLOOKUP(B53,Data!$A:$AN,MATCH(yoy!$F$1,Data!$A$1:$AN$1,),)-VLOOKUP(A53,Data!$A:$AN,MATCH(yoy!$F$1,Data!$A$1:$AN$1,),))/VLOOKUP(A53,Data!$A:$AN,MATCH(yoy!$F$1,Data!$A$1:$AN$1,),))</f>
        <v/>
      </c>
      <c r="G53" s="14">
        <f>IF(VLOOKUP(B53,Data!$A:$AN,MATCH(yoy!$G$1,Data!$A$1:$AN$1,),)=0,"#N/A",(VLOOKUP(B53,Data!$A:$AN,MATCH(yoy!$G$1,Data!$A$1:$AN$1,),)-VLOOKUP(A53,Data!$A:$AN,MATCH(yoy!$G$1,Data!$A$1:$AN$1,),))/VLOOKUP(A53,Data!$A:$AN,MATCH(yoy!$G$1,Data!$A$1:$AN$1,),))</f>
        <v/>
      </c>
      <c r="H53" s="14">
        <f>IF(VLOOKUP(B53,Data!$A:$AN,MATCH(yoy!$H$1,Data!$A$1:$AN$1,),)=0,"#N/A",(VLOOKUP(B53,Data!$A:$AN,MATCH(yoy!$H$1,Data!$A$1:$AN$1,),)-VLOOKUP(A53,Data!$A:$AN,MATCH(yoy!$H$1,Data!$A$1:$AN$1,),))/VLOOKUP(A53,Data!$A:$AN,MATCH(yoy!$H$1,Data!$A$1:$AN$1,),))</f>
        <v/>
      </c>
      <c r="I53" s="14">
        <f>IF(VLOOKUP(B53,Data!$A:$AN,MATCH(yoy!$I$1,Data!$A$1:$AN$1,),)=0,"#N/A",(VLOOKUP(B53,Data!$A:$AN,MATCH(yoy!$I$1,Data!$A$1:$AN$1,),)-VLOOKUP(A53,Data!$A:$AN,MATCH(yoy!$I$1,Data!$A$1:$AN$1,),))/VLOOKUP(A53,Data!$A:$AN,MATCH(yoy!$I$1,Data!$A$1:$AN$1,),))</f>
        <v/>
      </c>
      <c r="J53" s="14">
        <f>IF(VLOOKUP(B53,Data!$A:$AN,MATCH(yoy!$J$1,Data!$A$1:$AN$1,),)=0,"#N/A",(VLOOKUP(B53,Data!$A:$AN,MATCH(yoy!$J$1,Data!$A$1:$AN$1,),)-VLOOKUP(A53,Data!$A:$AN,MATCH(yoy!$J$1,Data!$A$1:$AN$1,),))/VLOOKUP(A53,Data!$A:$AN,MATCH(yoy!$J$1,Data!$A$1:$AN$1,),))</f>
        <v/>
      </c>
      <c r="K53" s="14">
        <f>IF(VLOOKUP(B53,Data!$A:$AN,MATCH(yoy!$K$1,Data!$A$1:$AN$1,),)=0,"#N/A",(VLOOKUP(B53,Data!$A:$AN,MATCH(yoy!$K$1,Data!$A$1:$AN$1,),)-VLOOKUP(A53,Data!$A:$AN,MATCH(yoy!$K$1,Data!$A$1:$AN$1,),))/VLOOKUP(A53,Data!$A:$AN,MATCH(yoy!$K$1,Data!$A$1:$AN$1,),))</f>
        <v/>
      </c>
      <c r="L53" s="14">
        <f>IF(VLOOKUP(B53,Data!$A:$AN,MATCH(yoy!$L$1,Data!$A$1:$AN$1,),)=0,"#N/A",(VLOOKUP(B53,Data!$A:$AN,MATCH(yoy!$L$1,Data!$A$1:$AN$1,),)-VLOOKUP(A53,Data!$A:$AN,MATCH(yoy!$L$1,Data!$A$1:$AN$1,),))/VLOOKUP(A53,Data!$A:$AN,MATCH(yoy!$L$1,Data!$A$1:$AN$1,),))</f>
        <v/>
      </c>
      <c r="M53" s="14">
        <f>IF(VLOOKUP(B53,Data!$A:$AN,MATCH(yoy!$M$1,Data!$A$1:$AN$1,),)=0,"#N/A",(VLOOKUP(B53,Data!$A:$AN,MATCH(yoy!$M$1,Data!$A$1:$AN$1,),)-VLOOKUP(A53,Data!$A:$AN,MATCH(yoy!$M$1,Data!$A$1:$AN$1,),))/VLOOKUP(A53,Data!$A:$AN,MATCH(yoy!$M$1,Data!$A$1:$AN$1,),))</f>
        <v/>
      </c>
      <c r="N53" s="14">
        <f>IF(VLOOKUP(B53,Data!$A:$AN,MATCH(yoy!$N$1,Data!$A$1:$AN$1,),)=0,"#N/A",(VLOOKUP(B53,Data!$A:$AN,MATCH(yoy!$N$1,Data!$A$1:$AN$1,),)-VLOOKUP(A53,Data!$A:$AN,MATCH(yoy!$N$1,Data!$A$1:$AN$1,),))/VLOOKUP(A53,Data!$A:$AN,MATCH(yoy!$N$1,Data!$A$1:$AN$1,),))</f>
        <v/>
      </c>
      <c r="O53" s="14">
        <f>IF(VLOOKUP(B53,Data!$A:$AN,MATCH(yoy!$O$1,Data!$A$1:$AN$1,),)=0,"#N/A",(VLOOKUP(B53,Data!$A:$AN,MATCH(yoy!$O$1,Data!$A$1:$AN$1,),)-VLOOKUP(A53,Data!$A:$AN,MATCH(yoy!$O$1,Data!$A$1:$AN$1,),))/VLOOKUP(A53,Data!$A:$AN,MATCH(yoy!$O$1,Data!$A$1:$AN$1,),))</f>
        <v/>
      </c>
      <c r="P53" s="14">
        <f>IF(VLOOKUP(B53,Data!$A:$AN,MATCH(yoy!$P$1,Data!$A$1:$AN$1,),)=0,"#N/A",(VLOOKUP(B53,Data!$A:$AN,MATCH(yoy!$P$1,Data!$A$1:$AN$1,),)-VLOOKUP(A53,Data!$A:$AN,MATCH(yoy!$P$1,Data!$A$1:$AN$1,),))/VLOOKUP(A53,Data!$A:$AN,MATCH(yoy!$P$1,Data!$A$1:$AN$1,),))</f>
        <v/>
      </c>
      <c r="Q53" s="14">
        <f>IF(VLOOKUP(B53,Data!$A:$AN,MATCH(yoy!$Q$1,Data!$A$1:$AN$1,),)=0,"#N/A",(VLOOKUP(B53,Data!$A:$AN,MATCH(yoy!$Q$1,Data!$A$1:$AN$1,),)-VLOOKUP(A53,Data!$A:$AN,MATCH(yoy!$Q$1,Data!$A$1:$AN$1,),))/VLOOKUP(A53,Data!$A:$AN,MATCH(yoy!$Q$1,Data!$A$1:$AN$1,),))</f>
        <v/>
      </c>
      <c r="R53" s="14">
        <f>IF(VLOOKUP(B53,Data!$A:$AN,MATCH(yoy!$R$1,Data!$A$1:$AN$1,),)=0,"#N/A",(VLOOKUP(B53,Data!$A:$AN,MATCH(yoy!$R$1,Data!$A$1:$AN$1,),)-VLOOKUP(A53,Data!$A:$AN,MATCH(yoy!$R$1,Data!$A$1:$AN$1,),))/VLOOKUP(A53,Data!$A:$AN,MATCH(yoy!$R$1,Data!$A$1:$AN$1,),))</f>
        <v/>
      </c>
      <c r="S53" s="14">
        <f>IF(VLOOKUP(B53,Data!$A:$AN,MATCH(yoy!$S$1,Data!$A$1:$AN$1,),)=0,"#N/A",(VLOOKUP(B53,Data!$A:$AN,MATCH(yoy!$S$1,Data!$A$1:$AN$1,),)-VLOOKUP(A53,Data!$A:$AN,MATCH(yoy!$S$1,Data!$A$1:$AN$1,),))/VLOOKUP(A53,Data!$A:$AN,MATCH(yoy!$S$1,Data!$A$1:$AN$1,),))</f>
        <v/>
      </c>
      <c r="T53" s="14">
        <f>IF(VLOOKUP(B53,Data!$A:$AN,MATCH(yoy!$T$1,Data!$A$1:$AN$1,),)=0,"#N/A",(VLOOKUP(B53,Data!$A:$AN,MATCH(yoy!$T$1,Data!$A$1:$AN$1,),)-VLOOKUP(A53,Data!$A:$AN,MATCH(yoy!$T$1,Data!$A$1:$AN$1,),))/VLOOKUP(A53,Data!$A:$AN,MATCH(yoy!$T$1,Data!$A$1:$AN$1,),))</f>
        <v/>
      </c>
      <c r="U53" s="14">
        <f>IF(VLOOKUP(B53,Data!$A:$AN,MATCH(yoy!$U$1,Data!$A$1:$AN$1,),)=0,"#N/A",(VLOOKUP(B53,Data!$A:$AN,MATCH(yoy!$U$1,Data!$A$1:$AN$1,),)-VLOOKUP(A53,Data!$A:$AN,MATCH(yoy!$U$1,Data!$A$1:$AN$1,),))/VLOOKUP(A53,Data!$A:$AN,MATCH(yoy!$U$1,Data!$A$1:$AN$1,),))</f>
        <v/>
      </c>
      <c r="V53" s="14">
        <f>IF(VLOOKUP(B53,Data!$A:$AN,MATCH(yoy!$V$1,Data!$A$1:$AN$1,),)=0,"#N/A",(VLOOKUP(B53,Data!$A:$AN,MATCH(yoy!$V$1,Data!$A$1:$AN$1,),)-VLOOKUP(A53,Data!$A:$AN,MATCH(yoy!$V$1,Data!$A$1:$AN$1,),))/VLOOKUP(A53,Data!$A:$AN,MATCH(yoy!$V$1,Data!$A$1:$AN$1,),))</f>
        <v/>
      </c>
      <c r="W53" s="14">
        <f>IF(VLOOKUP(B53,Data!$A:$AN,MATCH(yoy!$W$1,Data!$A$1:$AN$1,),)=0,"#N/A",(VLOOKUP(B53,Data!$A:$AN,MATCH(yoy!$W$1,Data!$A$1:$AN$1,),)-VLOOKUP(A53,Data!$A:$AN,MATCH(yoy!$W$1,Data!$A$1:$AN$1,),))/VLOOKUP(A53,Data!$A:$AN,MATCH(yoy!$W$1,Data!$A$1:$AN$1,),))</f>
        <v/>
      </c>
      <c r="X53" s="14">
        <f>IF(VLOOKUP(B53,Data!$A:$AN,MATCH(yoy!$X$1,Data!$A$1:$AN$1,),)=0,"#N/A",(VLOOKUP(B53,Data!$A:$AN,MATCH(yoy!$X$1,Data!$A$1:$AN$1,),)-VLOOKUP(A53,Data!$A:$AN,MATCH(yoy!$X$1,Data!$A$1:$AN$1,),))/VLOOKUP(A53,Data!$A:$AN,MATCH(yoy!$X$1,Data!$A$1:$AN$1,),))</f>
        <v/>
      </c>
      <c r="Y53" s="14">
        <f>IF(VLOOKUP(B53,Data!$A:$AN,MATCH(yoy!$Y$1,Data!$A$1:$AN$1,),)=0,"#N/A",(VLOOKUP(B53,Data!$A:$AN,MATCH(yoy!$Y$1,Data!$A$1:$AN$1,),)-VLOOKUP(A53,Data!$A:$AN,MATCH(yoy!$Y$1,Data!$A$1:$AN$1,),))/VLOOKUP(A53,Data!$A:$AN,MATCH(yoy!$Y$1,Data!$A$1:$AN$1,),))</f>
        <v/>
      </c>
      <c r="Z53" s="14">
        <f>IF(VLOOKUP(B53,Data!$A:$AN,MATCH(yoy!$Z$1,Data!$A$1:$AN$1,),)=0,"#N/A",(VLOOKUP(B53,Data!$A:$AN,MATCH(yoy!$Z$1,Data!$A$1:$AN$1,),)-VLOOKUP(A53,Data!$A:$AN,MATCH(yoy!$Z$1,Data!$A$1:$AN$1,),))/VLOOKUP(A53,Data!$A:$AN,MATCH(yoy!$Z$1,Data!$A$1:$AN$1,),))</f>
        <v/>
      </c>
      <c r="AA53" s="14">
        <f>IF(VLOOKUP(B53,Data!$A:$AN,MATCH(yoy!$AA$1,Data!$A$1:$AN$1,),)=0,"#N/A",(VLOOKUP(B53,Data!$A:$AN,MATCH(yoy!$AA$1,Data!$A$1:$AN$1,),)-VLOOKUP(A53,Data!$A:$AN,MATCH(yoy!$AA$1,Data!$A$1:$AN$1,),))/VLOOKUP(A53,Data!$A:$AN,MATCH(yoy!$AA$1,Data!$A$1:$AN$1,),))</f>
        <v/>
      </c>
    </row>
    <row r="54" customFormat="1" s="77">
      <c r="A54" s="20">
        <f>DATE(YEAR(B54)-1,MONTH(B54),DAY(B54))</f>
        <v/>
      </c>
      <c r="B54" s="12" t="n">
        <v>43497</v>
      </c>
      <c r="C54" s="14">
        <f>IF(VLOOKUP(B54,Data!$A:$AN,MATCH(yoy!$C$1,Data!$A$1:$AN$1,),)=0,"#N/A",(VLOOKUP(B54,Data!$A:$AN,MATCH(yoy!$C$1,Data!$A$1:$AN$1,),)-VLOOKUP(A54,Data!$A:$AN,MATCH(yoy!$C$1,Data!$A$1:$AN$1,),))/VLOOKUP(A54,Data!$A:$AN,MATCH(yoy!$C$1,Data!$A$1:$AN$1,),))</f>
        <v/>
      </c>
      <c r="D54" s="14">
        <f>IF(VLOOKUP(B54,Data!$A:$AN,MATCH(yoy!$D$1,Data!$A$1:$AN$1,),)=0,"#N/A",(VLOOKUP(B54,Data!$A:$AN,MATCH(yoy!$D$1,Data!$A$1:$AN$1,),)-VLOOKUP(A54,Data!$A:$AN,MATCH(yoy!$D$1,Data!$A$1:$AN$1,),))/VLOOKUP(A54,Data!$A:$AN,MATCH(yoy!$D$1,Data!$A$1:$AN$1,),))</f>
        <v/>
      </c>
      <c r="E54" s="14">
        <f>IF(VLOOKUP(B54,Data!$A:$AN,MATCH(yoy!$E$1,Data!$A$1:$AN$1,),)=0,"#N/A",(VLOOKUP(B54,Data!$A:$AN,MATCH(yoy!$E$1,Data!$A$1:$AN$1,),)-VLOOKUP(A54,Data!$A:$AN,MATCH(yoy!$E$1,Data!$A$1:$AN$1,),))/VLOOKUP(A54,Data!$A:$AN,MATCH(yoy!$E$1,Data!$A$1:$AN$1,),))</f>
        <v/>
      </c>
      <c r="F54" s="14">
        <f>IF(VLOOKUP(B54,Data!$A:$AN,MATCH(yoy!$F$1,Data!$A$1:$AN$1,),)=0,"#N/A",(VLOOKUP(B54,Data!$A:$AN,MATCH(yoy!$F$1,Data!$A$1:$AN$1,),)-VLOOKUP(A54,Data!$A:$AN,MATCH(yoy!$F$1,Data!$A$1:$AN$1,),))/VLOOKUP(A54,Data!$A:$AN,MATCH(yoy!$F$1,Data!$A$1:$AN$1,),))</f>
        <v/>
      </c>
      <c r="G54" s="14">
        <f>IF(VLOOKUP(B54,Data!$A:$AN,MATCH(yoy!$G$1,Data!$A$1:$AN$1,),)=0,"#N/A",(VLOOKUP(B54,Data!$A:$AN,MATCH(yoy!$G$1,Data!$A$1:$AN$1,),)-VLOOKUP(A54,Data!$A:$AN,MATCH(yoy!$G$1,Data!$A$1:$AN$1,),))/VLOOKUP(A54,Data!$A:$AN,MATCH(yoy!$G$1,Data!$A$1:$AN$1,),))</f>
        <v/>
      </c>
      <c r="H54" s="14">
        <f>IF(VLOOKUP(B54,Data!$A:$AN,MATCH(yoy!$H$1,Data!$A$1:$AN$1,),)=0,"#N/A",(VLOOKUP(B54,Data!$A:$AN,MATCH(yoy!$H$1,Data!$A$1:$AN$1,),)-VLOOKUP(A54,Data!$A:$AN,MATCH(yoy!$H$1,Data!$A$1:$AN$1,),))/VLOOKUP(A54,Data!$A:$AN,MATCH(yoy!$H$1,Data!$A$1:$AN$1,),))</f>
        <v/>
      </c>
      <c r="I54" s="14">
        <f>IF(VLOOKUP(B54,Data!$A:$AN,MATCH(yoy!$I$1,Data!$A$1:$AN$1,),)=0,"#N/A",(VLOOKUP(B54,Data!$A:$AN,MATCH(yoy!$I$1,Data!$A$1:$AN$1,),)-VLOOKUP(A54,Data!$A:$AN,MATCH(yoy!$I$1,Data!$A$1:$AN$1,),))/VLOOKUP(A54,Data!$A:$AN,MATCH(yoy!$I$1,Data!$A$1:$AN$1,),))</f>
        <v/>
      </c>
      <c r="J54" s="14">
        <f>IF(VLOOKUP(B54,Data!$A:$AN,MATCH(yoy!$J$1,Data!$A$1:$AN$1,),)=0,"#N/A",(VLOOKUP(B54,Data!$A:$AN,MATCH(yoy!$J$1,Data!$A$1:$AN$1,),)-VLOOKUP(A54,Data!$A:$AN,MATCH(yoy!$J$1,Data!$A$1:$AN$1,),))/VLOOKUP(A54,Data!$A:$AN,MATCH(yoy!$J$1,Data!$A$1:$AN$1,),))</f>
        <v/>
      </c>
      <c r="K54" s="14">
        <f>IF(VLOOKUP(B54,Data!$A:$AN,MATCH(yoy!$K$1,Data!$A$1:$AN$1,),)=0,"#N/A",(VLOOKUP(B54,Data!$A:$AN,MATCH(yoy!$K$1,Data!$A$1:$AN$1,),)-VLOOKUP(A54,Data!$A:$AN,MATCH(yoy!$K$1,Data!$A$1:$AN$1,),))/VLOOKUP(A54,Data!$A:$AN,MATCH(yoy!$K$1,Data!$A$1:$AN$1,),))</f>
        <v/>
      </c>
      <c r="L54" s="14">
        <f>IF(VLOOKUP(B54,Data!$A:$AN,MATCH(yoy!$L$1,Data!$A$1:$AN$1,),)=0,"#N/A",(VLOOKUP(B54,Data!$A:$AN,MATCH(yoy!$L$1,Data!$A$1:$AN$1,),)-VLOOKUP(A54,Data!$A:$AN,MATCH(yoy!$L$1,Data!$A$1:$AN$1,),))/VLOOKUP(A54,Data!$A:$AN,MATCH(yoy!$L$1,Data!$A$1:$AN$1,),))</f>
        <v/>
      </c>
      <c r="M54" s="14">
        <f>IF(VLOOKUP(B54,Data!$A:$AN,MATCH(yoy!$M$1,Data!$A$1:$AN$1,),)=0,"#N/A",(VLOOKUP(B54,Data!$A:$AN,MATCH(yoy!$M$1,Data!$A$1:$AN$1,),)-VLOOKUP(A54,Data!$A:$AN,MATCH(yoy!$M$1,Data!$A$1:$AN$1,),))/VLOOKUP(A54,Data!$A:$AN,MATCH(yoy!$M$1,Data!$A$1:$AN$1,),))</f>
        <v/>
      </c>
      <c r="N54" s="14">
        <f>IF(VLOOKUP(B54,Data!$A:$AN,MATCH(yoy!$N$1,Data!$A$1:$AN$1,),)=0,"#N/A",(VLOOKUP(B54,Data!$A:$AN,MATCH(yoy!$N$1,Data!$A$1:$AN$1,),)-VLOOKUP(A54,Data!$A:$AN,MATCH(yoy!$N$1,Data!$A$1:$AN$1,),))/VLOOKUP(A54,Data!$A:$AN,MATCH(yoy!$N$1,Data!$A$1:$AN$1,),))</f>
        <v/>
      </c>
      <c r="O54" s="14">
        <f>IF(VLOOKUP(B54,Data!$A:$AN,MATCH(yoy!$O$1,Data!$A$1:$AN$1,),)=0,"#N/A",(VLOOKUP(B54,Data!$A:$AN,MATCH(yoy!$O$1,Data!$A$1:$AN$1,),)-VLOOKUP(A54,Data!$A:$AN,MATCH(yoy!$O$1,Data!$A$1:$AN$1,),))/VLOOKUP(A54,Data!$A:$AN,MATCH(yoy!$O$1,Data!$A$1:$AN$1,),))</f>
        <v/>
      </c>
      <c r="P54" s="14">
        <f>IF(VLOOKUP(B54,Data!$A:$AN,MATCH(yoy!$P$1,Data!$A$1:$AN$1,),)=0,"#N/A",(VLOOKUP(B54,Data!$A:$AN,MATCH(yoy!$P$1,Data!$A$1:$AN$1,),)-VLOOKUP(A54,Data!$A:$AN,MATCH(yoy!$P$1,Data!$A$1:$AN$1,),))/VLOOKUP(A54,Data!$A:$AN,MATCH(yoy!$P$1,Data!$A$1:$AN$1,),))</f>
        <v/>
      </c>
      <c r="Q54" s="14">
        <f>IF(VLOOKUP(B54,Data!$A:$AN,MATCH(yoy!$Q$1,Data!$A$1:$AN$1,),)=0,"#N/A",(VLOOKUP(B54,Data!$A:$AN,MATCH(yoy!$Q$1,Data!$A$1:$AN$1,),)-VLOOKUP(A54,Data!$A:$AN,MATCH(yoy!$Q$1,Data!$A$1:$AN$1,),))/VLOOKUP(A54,Data!$A:$AN,MATCH(yoy!$Q$1,Data!$A$1:$AN$1,),))</f>
        <v/>
      </c>
      <c r="R54" s="14">
        <f>IF(VLOOKUP(B54,Data!$A:$AN,MATCH(yoy!$R$1,Data!$A$1:$AN$1,),)=0,"#N/A",(VLOOKUP(B54,Data!$A:$AN,MATCH(yoy!$R$1,Data!$A$1:$AN$1,),)-VLOOKUP(A54,Data!$A:$AN,MATCH(yoy!$R$1,Data!$A$1:$AN$1,),))/VLOOKUP(A54,Data!$A:$AN,MATCH(yoy!$R$1,Data!$A$1:$AN$1,),))</f>
        <v/>
      </c>
      <c r="S54" s="14">
        <f>IF(VLOOKUP(B54,Data!$A:$AN,MATCH(yoy!$S$1,Data!$A$1:$AN$1,),)=0,"#N/A",(VLOOKUP(B54,Data!$A:$AN,MATCH(yoy!$S$1,Data!$A$1:$AN$1,),)-VLOOKUP(A54,Data!$A:$AN,MATCH(yoy!$S$1,Data!$A$1:$AN$1,),))/VLOOKUP(A54,Data!$A:$AN,MATCH(yoy!$S$1,Data!$A$1:$AN$1,),))</f>
        <v/>
      </c>
      <c r="T54" s="14">
        <f>IF(VLOOKUP(B54,Data!$A:$AN,MATCH(yoy!$T$1,Data!$A$1:$AN$1,),)=0,"#N/A",(VLOOKUP(B54,Data!$A:$AN,MATCH(yoy!$T$1,Data!$A$1:$AN$1,),)-VLOOKUP(A54,Data!$A:$AN,MATCH(yoy!$T$1,Data!$A$1:$AN$1,),))/VLOOKUP(A54,Data!$A:$AN,MATCH(yoy!$T$1,Data!$A$1:$AN$1,),))</f>
        <v/>
      </c>
      <c r="U54" s="14">
        <f>IF(VLOOKUP(B54,Data!$A:$AN,MATCH(yoy!$U$1,Data!$A$1:$AN$1,),)=0,"#N/A",(VLOOKUP(B54,Data!$A:$AN,MATCH(yoy!$U$1,Data!$A$1:$AN$1,),)-VLOOKUP(A54,Data!$A:$AN,MATCH(yoy!$U$1,Data!$A$1:$AN$1,),))/VLOOKUP(A54,Data!$A:$AN,MATCH(yoy!$U$1,Data!$A$1:$AN$1,),))</f>
        <v/>
      </c>
      <c r="V54" s="14">
        <f>IF(VLOOKUP(B54,Data!$A:$AN,MATCH(yoy!$V$1,Data!$A$1:$AN$1,),)=0,"#N/A",(VLOOKUP(B54,Data!$A:$AN,MATCH(yoy!$V$1,Data!$A$1:$AN$1,),)-VLOOKUP(A54,Data!$A:$AN,MATCH(yoy!$V$1,Data!$A$1:$AN$1,),))/VLOOKUP(A54,Data!$A:$AN,MATCH(yoy!$V$1,Data!$A$1:$AN$1,),))</f>
        <v/>
      </c>
      <c r="W54" s="14">
        <f>IF(VLOOKUP(B54,Data!$A:$AN,MATCH(yoy!$W$1,Data!$A$1:$AN$1,),)=0,"#N/A",(VLOOKUP(B54,Data!$A:$AN,MATCH(yoy!$W$1,Data!$A$1:$AN$1,),)-VLOOKUP(A54,Data!$A:$AN,MATCH(yoy!$W$1,Data!$A$1:$AN$1,),))/VLOOKUP(A54,Data!$A:$AN,MATCH(yoy!$W$1,Data!$A$1:$AN$1,),))</f>
        <v/>
      </c>
      <c r="X54" s="14">
        <f>IF(VLOOKUP(B54,Data!$A:$AN,MATCH(yoy!$X$1,Data!$A$1:$AN$1,),)=0,"#N/A",(VLOOKUP(B54,Data!$A:$AN,MATCH(yoy!$X$1,Data!$A$1:$AN$1,),)-VLOOKUP(A54,Data!$A:$AN,MATCH(yoy!$X$1,Data!$A$1:$AN$1,),))/VLOOKUP(A54,Data!$A:$AN,MATCH(yoy!$X$1,Data!$A$1:$AN$1,),))</f>
        <v/>
      </c>
      <c r="Y54" s="14">
        <f>IF(VLOOKUP(B54,Data!$A:$AN,MATCH(yoy!$Y$1,Data!$A$1:$AN$1,),)=0,"#N/A",(VLOOKUP(B54,Data!$A:$AN,MATCH(yoy!$Y$1,Data!$A$1:$AN$1,),)-VLOOKUP(A54,Data!$A:$AN,MATCH(yoy!$Y$1,Data!$A$1:$AN$1,),))/VLOOKUP(A54,Data!$A:$AN,MATCH(yoy!$Y$1,Data!$A$1:$AN$1,),))</f>
        <v/>
      </c>
      <c r="Z54" s="14">
        <f>IF(VLOOKUP(B54,Data!$A:$AN,MATCH(yoy!$Z$1,Data!$A$1:$AN$1,),)=0,"#N/A",(VLOOKUP(B54,Data!$A:$AN,MATCH(yoy!$Z$1,Data!$A$1:$AN$1,),)-VLOOKUP(A54,Data!$A:$AN,MATCH(yoy!$Z$1,Data!$A$1:$AN$1,),))/VLOOKUP(A54,Data!$A:$AN,MATCH(yoy!$Z$1,Data!$A$1:$AN$1,),))</f>
        <v/>
      </c>
      <c r="AA54" s="14">
        <f>IF(VLOOKUP(B54,Data!$A:$AN,MATCH(yoy!$AA$1,Data!$A$1:$AN$1,),)=0,"#N/A",(VLOOKUP(B54,Data!$A:$AN,MATCH(yoy!$AA$1,Data!$A$1:$AN$1,),)-VLOOKUP(A54,Data!$A:$AN,MATCH(yoy!$AA$1,Data!$A$1:$AN$1,),))/VLOOKUP(A54,Data!$A:$AN,MATCH(yoy!$AA$1,Data!$A$1:$AN$1,),))</f>
        <v/>
      </c>
    </row>
    <row r="55" customFormat="1" s="77">
      <c r="A55" s="20">
        <f>DATE(YEAR(B55)-1,MONTH(B55),DAY(B55))</f>
        <v/>
      </c>
      <c r="B55" s="12" t="n">
        <v>43525</v>
      </c>
      <c r="C55" s="14">
        <f>IF(VLOOKUP(B55,Data!$A:$AN,MATCH(yoy!$C$1,Data!$A$1:$AN$1,),)=0,"#N/A",(VLOOKUP(B55,Data!$A:$AN,MATCH(yoy!$C$1,Data!$A$1:$AN$1,),)-VLOOKUP(A55,Data!$A:$AN,MATCH(yoy!$C$1,Data!$A$1:$AN$1,),))/VLOOKUP(A55,Data!$A:$AN,MATCH(yoy!$C$1,Data!$A$1:$AN$1,),))</f>
        <v/>
      </c>
      <c r="D55" s="14">
        <f>IF(VLOOKUP(B55,Data!$A:$AN,MATCH(yoy!$D$1,Data!$A$1:$AN$1,),)=0,"#N/A",(VLOOKUP(B55,Data!$A:$AN,MATCH(yoy!$D$1,Data!$A$1:$AN$1,),)-VLOOKUP(A55,Data!$A:$AN,MATCH(yoy!$D$1,Data!$A$1:$AN$1,),))/VLOOKUP(A55,Data!$A:$AN,MATCH(yoy!$D$1,Data!$A$1:$AN$1,),))</f>
        <v/>
      </c>
      <c r="E55" s="14">
        <f>IF(VLOOKUP(B55,Data!$A:$AN,MATCH(yoy!$E$1,Data!$A$1:$AN$1,),)=0,"#N/A",(VLOOKUP(B55,Data!$A:$AN,MATCH(yoy!$E$1,Data!$A$1:$AN$1,),)-VLOOKUP(A55,Data!$A:$AN,MATCH(yoy!$E$1,Data!$A$1:$AN$1,),))/VLOOKUP(A55,Data!$A:$AN,MATCH(yoy!$E$1,Data!$A$1:$AN$1,),))</f>
        <v/>
      </c>
      <c r="F55" s="14">
        <f>IF(VLOOKUP(B55,Data!$A:$AN,MATCH(yoy!$F$1,Data!$A$1:$AN$1,),)=0,"#N/A",(VLOOKUP(B55,Data!$A:$AN,MATCH(yoy!$F$1,Data!$A$1:$AN$1,),)-VLOOKUP(A55,Data!$A:$AN,MATCH(yoy!$F$1,Data!$A$1:$AN$1,),))/VLOOKUP(A55,Data!$A:$AN,MATCH(yoy!$F$1,Data!$A$1:$AN$1,),))</f>
        <v/>
      </c>
      <c r="G55" s="14">
        <f>IF(VLOOKUP(B55,Data!$A:$AN,MATCH(yoy!$G$1,Data!$A$1:$AN$1,),)=0,"#N/A",(VLOOKUP(B55,Data!$A:$AN,MATCH(yoy!$G$1,Data!$A$1:$AN$1,),)-VLOOKUP(A55,Data!$A:$AN,MATCH(yoy!$G$1,Data!$A$1:$AN$1,),))/VLOOKUP(A55,Data!$A:$AN,MATCH(yoy!$G$1,Data!$A$1:$AN$1,),))</f>
        <v/>
      </c>
      <c r="H55" s="14">
        <f>IF(VLOOKUP(B55,Data!$A:$AN,MATCH(yoy!$H$1,Data!$A$1:$AN$1,),)=0,"#N/A",(VLOOKUP(B55,Data!$A:$AN,MATCH(yoy!$H$1,Data!$A$1:$AN$1,),)-VLOOKUP(A55,Data!$A:$AN,MATCH(yoy!$H$1,Data!$A$1:$AN$1,),))/VLOOKUP(A55,Data!$A:$AN,MATCH(yoy!$H$1,Data!$A$1:$AN$1,),))</f>
        <v/>
      </c>
      <c r="I55" s="14">
        <f>IF(VLOOKUP(B55,Data!$A:$AN,MATCH(yoy!$I$1,Data!$A$1:$AN$1,),)=0,"#N/A",(VLOOKUP(B55,Data!$A:$AN,MATCH(yoy!$I$1,Data!$A$1:$AN$1,),)-VLOOKUP(A55,Data!$A:$AN,MATCH(yoy!$I$1,Data!$A$1:$AN$1,),))/VLOOKUP(A55,Data!$A:$AN,MATCH(yoy!$I$1,Data!$A$1:$AN$1,),))</f>
        <v/>
      </c>
      <c r="J55" s="14">
        <f>IF(VLOOKUP(B55,Data!$A:$AN,MATCH(yoy!$J$1,Data!$A$1:$AN$1,),)=0,"#N/A",(VLOOKUP(B55,Data!$A:$AN,MATCH(yoy!$J$1,Data!$A$1:$AN$1,),)-VLOOKUP(A55,Data!$A:$AN,MATCH(yoy!$J$1,Data!$A$1:$AN$1,),))/VLOOKUP(A55,Data!$A:$AN,MATCH(yoy!$J$1,Data!$A$1:$AN$1,),))</f>
        <v/>
      </c>
      <c r="K55" s="14">
        <f>IF(VLOOKUP(B55,Data!$A:$AN,MATCH(yoy!$K$1,Data!$A$1:$AN$1,),)=0,"#N/A",(VLOOKUP(B55,Data!$A:$AN,MATCH(yoy!$K$1,Data!$A$1:$AN$1,),)-VLOOKUP(A55,Data!$A:$AN,MATCH(yoy!$K$1,Data!$A$1:$AN$1,),))/VLOOKUP(A55,Data!$A:$AN,MATCH(yoy!$K$1,Data!$A$1:$AN$1,),))</f>
        <v/>
      </c>
      <c r="L55" s="14">
        <f>IF(VLOOKUP(B55,Data!$A:$AN,MATCH(yoy!$L$1,Data!$A$1:$AN$1,),)=0,"#N/A",(VLOOKUP(B55,Data!$A:$AN,MATCH(yoy!$L$1,Data!$A$1:$AN$1,),)-VLOOKUP(A55,Data!$A:$AN,MATCH(yoy!$L$1,Data!$A$1:$AN$1,),))/VLOOKUP(A55,Data!$A:$AN,MATCH(yoy!$L$1,Data!$A$1:$AN$1,),))</f>
        <v/>
      </c>
      <c r="M55" s="14">
        <f>IF(VLOOKUP(B55,Data!$A:$AN,MATCH(yoy!$M$1,Data!$A$1:$AN$1,),)=0,"#N/A",(VLOOKUP(B55,Data!$A:$AN,MATCH(yoy!$M$1,Data!$A$1:$AN$1,),)-VLOOKUP(A55,Data!$A:$AN,MATCH(yoy!$M$1,Data!$A$1:$AN$1,),))/VLOOKUP(A55,Data!$A:$AN,MATCH(yoy!$M$1,Data!$A$1:$AN$1,),))</f>
        <v/>
      </c>
      <c r="N55" s="14">
        <f>IF(VLOOKUP(B55,Data!$A:$AN,MATCH(yoy!$N$1,Data!$A$1:$AN$1,),)=0,"#N/A",(VLOOKUP(B55,Data!$A:$AN,MATCH(yoy!$N$1,Data!$A$1:$AN$1,),)-VLOOKUP(A55,Data!$A:$AN,MATCH(yoy!$N$1,Data!$A$1:$AN$1,),))/VLOOKUP(A55,Data!$A:$AN,MATCH(yoy!$N$1,Data!$A$1:$AN$1,),))</f>
        <v/>
      </c>
      <c r="O55" s="14">
        <f>IF(VLOOKUP(B55,Data!$A:$AN,MATCH(yoy!$O$1,Data!$A$1:$AN$1,),)=0,"#N/A",(VLOOKUP(B55,Data!$A:$AN,MATCH(yoy!$O$1,Data!$A$1:$AN$1,),)-VLOOKUP(A55,Data!$A:$AN,MATCH(yoy!$O$1,Data!$A$1:$AN$1,),))/VLOOKUP(A55,Data!$A:$AN,MATCH(yoy!$O$1,Data!$A$1:$AN$1,),))</f>
        <v/>
      </c>
      <c r="P55" s="14">
        <f>IF(VLOOKUP(B55,Data!$A:$AN,MATCH(yoy!$P$1,Data!$A$1:$AN$1,),)=0,"#N/A",(VLOOKUP(B55,Data!$A:$AN,MATCH(yoy!$P$1,Data!$A$1:$AN$1,),)-VLOOKUP(A55,Data!$A:$AN,MATCH(yoy!$P$1,Data!$A$1:$AN$1,),))/VLOOKUP(A55,Data!$A:$AN,MATCH(yoy!$P$1,Data!$A$1:$AN$1,),))</f>
        <v/>
      </c>
      <c r="Q55" s="14">
        <f>IF(VLOOKUP(B55,Data!$A:$AN,MATCH(yoy!$Q$1,Data!$A$1:$AN$1,),)=0,"#N/A",(VLOOKUP(B55,Data!$A:$AN,MATCH(yoy!$Q$1,Data!$A$1:$AN$1,),)-VLOOKUP(A55,Data!$A:$AN,MATCH(yoy!$Q$1,Data!$A$1:$AN$1,),))/VLOOKUP(A55,Data!$A:$AN,MATCH(yoy!$Q$1,Data!$A$1:$AN$1,),))</f>
        <v/>
      </c>
      <c r="R55" s="14">
        <f>IF(VLOOKUP(B55,Data!$A:$AN,MATCH(yoy!$R$1,Data!$A$1:$AN$1,),)=0,"#N/A",(VLOOKUP(B55,Data!$A:$AN,MATCH(yoy!$R$1,Data!$A$1:$AN$1,),)-VLOOKUP(A55,Data!$A:$AN,MATCH(yoy!$R$1,Data!$A$1:$AN$1,),))/VLOOKUP(A55,Data!$A:$AN,MATCH(yoy!$R$1,Data!$A$1:$AN$1,),))</f>
        <v/>
      </c>
      <c r="S55" s="14">
        <f>IF(VLOOKUP(B55,Data!$A:$AN,MATCH(yoy!$S$1,Data!$A$1:$AN$1,),)=0,"#N/A",(VLOOKUP(B55,Data!$A:$AN,MATCH(yoy!$S$1,Data!$A$1:$AN$1,),)-VLOOKUP(A55,Data!$A:$AN,MATCH(yoy!$S$1,Data!$A$1:$AN$1,),))/VLOOKUP(A55,Data!$A:$AN,MATCH(yoy!$S$1,Data!$A$1:$AN$1,),))</f>
        <v/>
      </c>
      <c r="T55" s="14">
        <f>IF(VLOOKUP(B55,Data!$A:$AN,MATCH(yoy!$T$1,Data!$A$1:$AN$1,),)=0,"#N/A",(VLOOKUP(B55,Data!$A:$AN,MATCH(yoy!$T$1,Data!$A$1:$AN$1,),)-VLOOKUP(A55,Data!$A:$AN,MATCH(yoy!$T$1,Data!$A$1:$AN$1,),))/VLOOKUP(A55,Data!$A:$AN,MATCH(yoy!$T$1,Data!$A$1:$AN$1,),))</f>
        <v/>
      </c>
      <c r="U55" s="14">
        <f>IF(VLOOKUP(B55,Data!$A:$AN,MATCH(yoy!$U$1,Data!$A$1:$AN$1,),)=0,"#N/A",(VLOOKUP(B55,Data!$A:$AN,MATCH(yoy!$U$1,Data!$A$1:$AN$1,),)-VLOOKUP(A55,Data!$A:$AN,MATCH(yoy!$U$1,Data!$A$1:$AN$1,),))/VLOOKUP(A55,Data!$A:$AN,MATCH(yoy!$U$1,Data!$A$1:$AN$1,),))</f>
        <v/>
      </c>
      <c r="V55" s="14">
        <f>IF(VLOOKUP(B55,Data!$A:$AN,MATCH(yoy!$V$1,Data!$A$1:$AN$1,),)=0,"#N/A",(VLOOKUP(B55,Data!$A:$AN,MATCH(yoy!$V$1,Data!$A$1:$AN$1,),)-VLOOKUP(A55,Data!$A:$AN,MATCH(yoy!$V$1,Data!$A$1:$AN$1,),))/VLOOKUP(A55,Data!$A:$AN,MATCH(yoy!$V$1,Data!$A$1:$AN$1,),))</f>
        <v/>
      </c>
      <c r="W55" s="14">
        <f>IF(VLOOKUP(B55,Data!$A:$AN,MATCH(yoy!$W$1,Data!$A$1:$AN$1,),)=0,"#N/A",(VLOOKUP(B55,Data!$A:$AN,MATCH(yoy!$W$1,Data!$A$1:$AN$1,),)-VLOOKUP(A55,Data!$A:$AN,MATCH(yoy!$W$1,Data!$A$1:$AN$1,),))/VLOOKUP(A55,Data!$A:$AN,MATCH(yoy!$W$1,Data!$A$1:$AN$1,),))</f>
        <v/>
      </c>
      <c r="X55" s="14">
        <f>IF(VLOOKUP(B55,Data!$A:$AN,MATCH(yoy!$X$1,Data!$A$1:$AN$1,),)=0,"#N/A",(VLOOKUP(B55,Data!$A:$AN,MATCH(yoy!$X$1,Data!$A$1:$AN$1,),)-VLOOKUP(A55,Data!$A:$AN,MATCH(yoy!$X$1,Data!$A$1:$AN$1,),))/VLOOKUP(A55,Data!$A:$AN,MATCH(yoy!$X$1,Data!$A$1:$AN$1,),))</f>
        <v/>
      </c>
      <c r="Y55" s="14">
        <f>IF(VLOOKUP(B55,Data!$A:$AN,MATCH(yoy!$Y$1,Data!$A$1:$AN$1,),)=0,"#N/A",(VLOOKUP(B55,Data!$A:$AN,MATCH(yoy!$Y$1,Data!$A$1:$AN$1,),)-VLOOKUP(A55,Data!$A:$AN,MATCH(yoy!$Y$1,Data!$A$1:$AN$1,),))/VLOOKUP(A55,Data!$A:$AN,MATCH(yoy!$Y$1,Data!$A$1:$AN$1,),))</f>
        <v/>
      </c>
      <c r="Z55" s="14">
        <f>IF(VLOOKUP(B55,Data!$A:$AN,MATCH(yoy!$Z$1,Data!$A$1:$AN$1,),)=0,"#N/A",(VLOOKUP(B55,Data!$A:$AN,MATCH(yoy!$Z$1,Data!$A$1:$AN$1,),)-VLOOKUP(A55,Data!$A:$AN,MATCH(yoy!$Z$1,Data!$A$1:$AN$1,),))/VLOOKUP(A55,Data!$A:$AN,MATCH(yoy!$Z$1,Data!$A$1:$AN$1,),))</f>
        <v/>
      </c>
      <c r="AA55" s="14">
        <f>IF(VLOOKUP(B55,Data!$A:$AN,MATCH(yoy!$AA$1,Data!$A$1:$AN$1,),)=0,"#N/A",(VLOOKUP(B55,Data!$A:$AN,MATCH(yoy!$AA$1,Data!$A$1:$AN$1,),)-VLOOKUP(A55,Data!$A:$AN,MATCH(yoy!$AA$1,Data!$A$1:$AN$1,),))/VLOOKUP(A55,Data!$A:$AN,MATCH(yoy!$AA$1,Data!$A$1:$AN$1,),))</f>
        <v/>
      </c>
    </row>
    <row r="56" customFormat="1" s="77">
      <c r="A56" s="20">
        <f>DATE(YEAR(B56)-1,MONTH(B56),DAY(B56))</f>
        <v/>
      </c>
      <c r="B56" s="12" t="n">
        <v>43556</v>
      </c>
      <c r="C56" s="14">
        <f>IF(VLOOKUP(B56,Data!$A:$AN,MATCH(yoy!$C$1,Data!$A$1:$AN$1,),)=0,"#N/A",(VLOOKUP(B56,Data!$A:$AN,MATCH(yoy!$C$1,Data!$A$1:$AN$1,),)-VLOOKUP(A56,Data!$A:$AN,MATCH(yoy!$C$1,Data!$A$1:$AN$1,),))/VLOOKUP(A56,Data!$A:$AN,MATCH(yoy!$C$1,Data!$A$1:$AN$1,),))</f>
        <v/>
      </c>
      <c r="D56" s="14">
        <f>IF(VLOOKUP(B56,Data!$A:$AN,MATCH(yoy!$D$1,Data!$A$1:$AN$1,),)=0,"#N/A",(VLOOKUP(B56,Data!$A:$AN,MATCH(yoy!$D$1,Data!$A$1:$AN$1,),)-VLOOKUP(A56,Data!$A:$AN,MATCH(yoy!$D$1,Data!$A$1:$AN$1,),))/VLOOKUP(A56,Data!$A:$AN,MATCH(yoy!$D$1,Data!$A$1:$AN$1,),))</f>
        <v/>
      </c>
      <c r="E56" s="14">
        <f>IF(VLOOKUP(B56,Data!$A:$AN,MATCH(yoy!$E$1,Data!$A$1:$AN$1,),)=0,"#N/A",(VLOOKUP(B56,Data!$A:$AN,MATCH(yoy!$E$1,Data!$A$1:$AN$1,),)-VLOOKUP(A56,Data!$A:$AN,MATCH(yoy!$E$1,Data!$A$1:$AN$1,),))/VLOOKUP(A56,Data!$A:$AN,MATCH(yoy!$E$1,Data!$A$1:$AN$1,),))</f>
        <v/>
      </c>
      <c r="F56" s="14">
        <f>IF(VLOOKUP(B56,Data!$A:$AN,MATCH(yoy!$F$1,Data!$A$1:$AN$1,),)=0,"#N/A",(VLOOKUP(B56,Data!$A:$AN,MATCH(yoy!$F$1,Data!$A$1:$AN$1,),)-VLOOKUP(A56,Data!$A:$AN,MATCH(yoy!$F$1,Data!$A$1:$AN$1,),))/VLOOKUP(A56,Data!$A:$AN,MATCH(yoy!$F$1,Data!$A$1:$AN$1,),))</f>
        <v/>
      </c>
      <c r="G56" s="14">
        <f>IF(VLOOKUP(B56,Data!$A:$AN,MATCH(yoy!$G$1,Data!$A$1:$AN$1,),)=0,"#N/A",(VLOOKUP(B56,Data!$A:$AN,MATCH(yoy!$G$1,Data!$A$1:$AN$1,),)-VLOOKUP(A56,Data!$A:$AN,MATCH(yoy!$G$1,Data!$A$1:$AN$1,),))/VLOOKUP(A56,Data!$A:$AN,MATCH(yoy!$G$1,Data!$A$1:$AN$1,),))</f>
        <v/>
      </c>
      <c r="H56" s="14">
        <f>IF(VLOOKUP(B56,Data!$A:$AN,MATCH(yoy!$H$1,Data!$A$1:$AN$1,),)=0,"#N/A",(VLOOKUP(B56,Data!$A:$AN,MATCH(yoy!$H$1,Data!$A$1:$AN$1,),)-VLOOKUP(A56,Data!$A:$AN,MATCH(yoy!$H$1,Data!$A$1:$AN$1,),))/VLOOKUP(A56,Data!$A:$AN,MATCH(yoy!$H$1,Data!$A$1:$AN$1,),))</f>
        <v/>
      </c>
      <c r="I56" s="14">
        <f>IF(VLOOKUP(B56,Data!$A:$AN,MATCH(yoy!$I$1,Data!$A$1:$AN$1,),)=0,"#N/A",(VLOOKUP(B56,Data!$A:$AN,MATCH(yoy!$I$1,Data!$A$1:$AN$1,),)-VLOOKUP(A56,Data!$A:$AN,MATCH(yoy!$I$1,Data!$A$1:$AN$1,),))/VLOOKUP(A56,Data!$A:$AN,MATCH(yoy!$I$1,Data!$A$1:$AN$1,),))</f>
        <v/>
      </c>
      <c r="J56" s="14">
        <f>IF(VLOOKUP(B56,Data!$A:$AN,MATCH(yoy!$J$1,Data!$A$1:$AN$1,),)=0,"#N/A",(VLOOKUP(B56,Data!$A:$AN,MATCH(yoy!$J$1,Data!$A$1:$AN$1,),)-VLOOKUP(A56,Data!$A:$AN,MATCH(yoy!$J$1,Data!$A$1:$AN$1,),))/VLOOKUP(A56,Data!$A:$AN,MATCH(yoy!$J$1,Data!$A$1:$AN$1,),))</f>
        <v/>
      </c>
      <c r="K56" s="14">
        <f>IF(VLOOKUP(B56,Data!$A:$AN,MATCH(yoy!$K$1,Data!$A$1:$AN$1,),)=0,"#N/A",(VLOOKUP(B56,Data!$A:$AN,MATCH(yoy!$K$1,Data!$A$1:$AN$1,),)-VLOOKUP(A56,Data!$A:$AN,MATCH(yoy!$K$1,Data!$A$1:$AN$1,),))/VLOOKUP(A56,Data!$A:$AN,MATCH(yoy!$K$1,Data!$A$1:$AN$1,),))</f>
        <v/>
      </c>
      <c r="L56" s="14">
        <f>IF(VLOOKUP(B56,Data!$A:$AN,MATCH(yoy!$L$1,Data!$A$1:$AN$1,),)=0,"#N/A",(VLOOKUP(B56,Data!$A:$AN,MATCH(yoy!$L$1,Data!$A$1:$AN$1,),)-VLOOKUP(A56,Data!$A:$AN,MATCH(yoy!$L$1,Data!$A$1:$AN$1,),))/VLOOKUP(A56,Data!$A:$AN,MATCH(yoy!$L$1,Data!$A$1:$AN$1,),))</f>
        <v/>
      </c>
      <c r="M56" s="14">
        <f>IF(VLOOKUP(B56,Data!$A:$AN,MATCH(yoy!$M$1,Data!$A$1:$AN$1,),)=0,"#N/A",(VLOOKUP(B56,Data!$A:$AN,MATCH(yoy!$M$1,Data!$A$1:$AN$1,),)-VLOOKUP(A56,Data!$A:$AN,MATCH(yoy!$M$1,Data!$A$1:$AN$1,),))/VLOOKUP(A56,Data!$A:$AN,MATCH(yoy!$M$1,Data!$A$1:$AN$1,),))</f>
        <v/>
      </c>
      <c r="N56" s="14">
        <f>IF(VLOOKUP(B56,Data!$A:$AN,MATCH(yoy!$N$1,Data!$A$1:$AN$1,),)=0,"#N/A",(VLOOKUP(B56,Data!$A:$AN,MATCH(yoy!$N$1,Data!$A$1:$AN$1,),)-VLOOKUP(A56,Data!$A:$AN,MATCH(yoy!$N$1,Data!$A$1:$AN$1,),))/VLOOKUP(A56,Data!$A:$AN,MATCH(yoy!$N$1,Data!$A$1:$AN$1,),))</f>
        <v/>
      </c>
      <c r="O56" s="14">
        <f>IF(VLOOKUP(B56,Data!$A:$AN,MATCH(yoy!$O$1,Data!$A$1:$AN$1,),)=0,"#N/A",(VLOOKUP(B56,Data!$A:$AN,MATCH(yoy!$O$1,Data!$A$1:$AN$1,),)-VLOOKUP(A56,Data!$A:$AN,MATCH(yoy!$O$1,Data!$A$1:$AN$1,),))/VLOOKUP(A56,Data!$A:$AN,MATCH(yoy!$O$1,Data!$A$1:$AN$1,),))</f>
        <v/>
      </c>
      <c r="P56" s="14">
        <f>IF(VLOOKUP(B56,Data!$A:$AN,MATCH(yoy!$P$1,Data!$A$1:$AN$1,),)=0,"#N/A",(VLOOKUP(B56,Data!$A:$AN,MATCH(yoy!$P$1,Data!$A$1:$AN$1,),)-VLOOKUP(A56,Data!$A:$AN,MATCH(yoy!$P$1,Data!$A$1:$AN$1,),))/VLOOKUP(A56,Data!$A:$AN,MATCH(yoy!$P$1,Data!$A$1:$AN$1,),))</f>
        <v/>
      </c>
      <c r="Q56" s="14">
        <f>IF(VLOOKUP(B56,Data!$A:$AN,MATCH(yoy!$Q$1,Data!$A$1:$AN$1,),)=0,"#N/A",(VLOOKUP(B56,Data!$A:$AN,MATCH(yoy!$Q$1,Data!$A$1:$AN$1,),)-VLOOKUP(A56,Data!$A:$AN,MATCH(yoy!$Q$1,Data!$A$1:$AN$1,),))/VLOOKUP(A56,Data!$A:$AN,MATCH(yoy!$Q$1,Data!$A$1:$AN$1,),))</f>
        <v/>
      </c>
      <c r="R56" s="14">
        <f>IF(VLOOKUP(B56,Data!$A:$AN,MATCH(yoy!$R$1,Data!$A$1:$AN$1,),)=0,"#N/A",(VLOOKUP(B56,Data!$A:$AN,MATCH(yoy!$R$1,Data!$A$1:$AN$1,),)-VLOOKUP(A56,Data!$A:$AN,MATCH(yoy!$R$1,Data!$A$1:$AN$1,),))/VLOOKUP(A56,Data!$A:$AN,MATCH(yoy!$R$1,Data!$A$1:$AN$1,),))</f>
        <v/>
      </c>
      <c r="S56" s="14">
        <f>IF(VLOOKUP(B56,Data!$A:$AN,MATCH(yoy!$S$1,Data!$A$1:$AN$1,),)=0,"#N/A",(VLOOKUP(B56,Data!$A:$AN,MATCH(yoy!$S$1,Data!$A$1:$AN$1,),)-VLOOKUP(A56,Data!$A:$AN,MATCH(yoy!$S$1,Data!$A$1:$AN$1,),))/VLOOKUP(A56,Data!$A:$AN,MATCH(yoy!$S$1,Data!$A$1:$AN$1,),))</f>
        <v/>
      </c>
      <c r="T56" s="14">
        <f>IF(VLOOKUP(B56,Data!$A:$AN,MATCH(yoy!$T$1,Data!$A$1:$AN$1,),)=0,"#N/A",(VLOOKUP(B56,Data!$A:$AN,MATCH(yoy!$T$1,Data!$A$1:$AN$1,),)-VLOOKUP(A56,Data!$A:$AN,MATCH(yoy!$T$1,Data!$A$1:$AN$1,),))/VLOOKUP(A56,Data!$A:$AN,MATCH(yoy!$T$1,Data!$A$1:$AN$1,),))</f>
        <v/>
      </c>
      <c r="U56" s="14">
        <f>IF(VLOOKUP(B56,Data!$A:$AN,MATCH(yoy!$U$1,Data!$A$1:$AN$1,),)=0,"#N/A",(VLOOKUP(B56,Data!$A:$AN,MATCH(yoy!$U$1,Data!$A$1:$AN$1,),)-VLOOKUP(A56,Data!$A:$AN,MATCH(yoy!$U$1,Data!$A$1:$AN$1,),))/VLOOKUP(A56,Data!$A:$AN,MATCH(yoy!$U$1,Data!$A$1:$AN$1,),))</f>
        <v/>
      </c>
      <c r="V56" s="14">
        <f>IF(VLOOKUP(B56,Data!$A:$AN,MATCH(yoy!$V$1,Data!$A$1:$AN$1,),)=0,"#N/A",(VLOOKUP(B56,Data!$A:$AN,MATCH(yoy!$V$1,Data!$A$1:$AN$1,),)-VLOOKUP(A56,Data!$A:$AN,MATCH(yoy!$V$1,Data!$A$1:$AN$1,),))/VLOOKUP(A56,Data!$A:$AN,MATCH(yoy!$V$1,Data!$A$1:$AN$1,),))</f>
        <v/>
      </c>
      <c r="W56" s="14">
        <f>IF(VLOOKUP(B56,Data!$A:$AN,MATCH(yoy!$W$1,Data!$A$1:$AN$1,),)=0,"#N/A",(VLOOKUP(B56,Data!$A:$AN,MATCH(yoy!$W$1,Data!$A$1:$AN$1,),)-VLOOKUP(A56,Data!$A:$AN,MATCH(yoy!$W$1,Data!$A$1:$AN$1,),))/VLOOKUP(A56,Data!$A:$AN,MATCH(yoy!$W$1,Data!$A$1:$AN$1,),))</f>
        <v/>
      </c>
      <c r="X56" s="14">
        <f>IF(VLOOKUP(B56,Data!$A:$AN,MATCH(yoy!$X$1,Data!$A$1:$AN$1,),)=0,"#N/A",(VLOOKUP(B56,Data!$A:$AN,MATCH(yoy!$X$1,Data!$A$1:$AN$1,),)-VLOOKUP(A56,Data!$A:$AN,MATCH(yoy!$X$1,Data!$A$1:$AN$1,),))/VLOOKUP(A56,Data!$A:$AN,MATCH(yoy!$X$1,Data!$A$1:$AN$1,),))</f>
        <v/>
      </c>
      <c r="Y56" s="14">
        <f>IF(VLOOKUP(B56,Data!$A:$AN,MATCH(yoy!$Y$1,Data!$A$1:$AN$1,),)=0,"#N/A",(VLOOKUP(B56,Data!$A:$AN,MATCH(yoy!$Y$1,Data!$A$1:$AN$1,),)-VLOOKUP(A56,Data!$A:$AN,MATCH(yoy!$Y$1,Data!$A$1:$AN$1,),))/VLOOKUP(A56,Data!$A:$AN,MATCH(yoy!$Y$1,Data!$A$1:$AN$1,),))</f>
        <v/>
      </c>
      <c r="Z56" s="14">
        <f>IF(VLOOKUP(B56,Data!$A:$AN,MATCH(yoy!$Z$1,Data!$A$1:$AN$1,),)=0,"#N/A",(VLOOKUP(B56,Data!$A:$AN,MATCH(yoy!$Z$1,Data!$A$1:$AN$1,),)-VLOOKUP(A56,Data!$A:$AN,MATCH(yoy!$Z$1,Data!$A$1:$AN$1,),))/VLOOKUP(A56,Data!$A:$AN,MATCH(yoy!$Z$1,Data!$A$1:$AN$1,),))</f>
        <v/>
      </c>
      <c r="AA56" s="14">
        <f>IF(VLOOKUP(B56,Data!$A:$AN,MATCH(yoy!$AA$1,Data!$A$1:$AN$1,),)=0,"#N/A",(VLOOKUP(B56,Data!$A:$AN,MATCH(yoy!$AA$1,Data!$A$1:$AN$1,),)-VLOOKUP(A56,Data!$A:$AN,MATCH(yoy!$AA$1,Data!$A$1:$AN$1,),))/VLOOKUP(A56,Data!$A:$AN,MATCH(yoy!$AA$1,Data!$A$1:$AN$1,),))</f>
        <v/>
      </c>
    </row>
    <row r="57" customFormat="1" s="77">
      <c r="A57" s="20">
        <f>DATE(YEAR(B57)-1,MONTH(B57),DAY(B57))</f>
        <v/>
      </c>
      <c r="B57" s="12" t="n">
        <v>43586</v>
      </c>
      <c r="C57" s="14">
        <f>IF(VLOOKUP(B57,Data!$A:$AN,MATCH(yoy!$C$1,Data!$A$1:$AN$1,),)=0,"#N/A",(VLOOKUP(B57,Data!$A:$AN,MATCH(yoy!$C$1,Data!$A$1:$AN$1,),)-VLOOKUP(A57,Data!$A:$AN,MATCH(yoy!$C$1,Data!$A$1:$AN$1,),))/VLOOKUP(A57,Data!$A:$AN,MATCH(yoy!$C$1,Data!$A$1:$AN$1,),))</f>
        <v/>
      </c>
      <c r="D57" s="14">
        <f>IF(VLOOKUP(B57,Data!$A:$AN,MATCH(yoy!$D$1,Data!$A$1:$AN$1,),)=0,"#N/A",(VLOOKUP(B57,Data!$A:$AN,MATCH(yoy!$D$1,Data!$A$1:$AN$1,),)-VLOOKUP(A57,Data!$A:$AN,MATCH(yoy!$D$1,Data!$A$1:$AN$1,),))/VLOOKUP(A57,Data!$A:$AN,MATCH(yoy!$D$1,Data!$A$1:$AN$1,),))</f>
        <v/>
      </c>
      <c r="E57" s="14">
        <f>IF(VLOOKUP(B57,Data!$A:$AN,MATCH(yoy!$E$1,Data!$A$1:$AN$1,),)=0,"#N/A",(VLOOKUP(B57,Data!$A:$AN,MATCH(yoy!$E$1,Data!$A$1:$AN$1,),)-VLOOKUP(A57,Data!$A:$AN,MATCH(yoy!$E$1,Data!$A$1:$AN$1,),))/VLOOKUP(A57,Data!$A:$AN,MATCH(yoy!$E$1,Data!$A$1:$AN$1,),))</f>
        <v/>
      </c>
      <c r="F57" s="14">
        <f>IF(VLOOKUP(B57,Data!$A:$AN,MATCH(yoy!$F$1,Data!$A$1:$AN$1,),)=0,"#N/A",(VLOOKUP(B57,Data!$A:$AN,MATCH(yoy!$F$1,Data!$A$1:$AN$1,),)-VLOOKUP(A57,Data!$A:$AN,MATCH(yoy!$F$1,Data!$A$1:$AN$1,),))/VLOOKUP(A57,Data!$A:$AN,MATCH(yoy!$F$1,Data!$A$1:$AN$1,),))</f>
        <v/>
      </c>
      <c r="G57" s="14">
        <f>IF(VLOOKUP(B57,Data!$A:$AN,MATCH(yoy!$G$1,Data!$A$1:$AN$1,),)=0,"#N/A",(VLOOKUP(B57,Data!$A:$AN,MATCH(yoy!$G$1,Data!$A$1:$AN$1,),)-VLOOKUP(A57,Data!$A:$AN,MATCH(yoy!$G$1,Data!$A$1:$AN$1,),))/VLOOKUP(A57,Data!$A:$AN,MATCH(yoy!$G$1,Data!$A$1:$AN$1,),))</f>
        <v/>
      </c>
      <c r="H57" s="14">
        <f>IF(VLOOKUP(B57,Data!$A:$AN,MATCH(yoy!$H$1,Data!$A$1:$AN$1,),)=0,"#N/A",(VLOOKUP(B57,Data!$A:$AN,MATCH(yoy!$H$1,Data!$A$1:$AN$1,),)-VLOOKUP(A57,Data!$A:$AN,MATCH(yoy!$H$1,Data!$A$1:$AN$1,),))/VLOOKUP(A57,Data!$A:$AN,MATCH(yoy!$H$1,Data!$A$1:$AN$1,),))</f>
        <v/>
      </c>
      <c r="I57" s="14">
        <f>IF(VLOOKUP(B57,Data!$A:$AN,MATCH(yoy!$I$1,Data!$A$1:$AN$1,),)=0,"#N/A",(VLOOKUP(B57,Data!$A:$AN,MATCH(yoy!$I$1,Data!$A$1:$AN$1,),)-VLOOKUP(A57,Data!$A:$AN,MATCH(yoy!$I$1,Data!$A$1:$AN$1,),))/VLOOKUP(A57,Data!$A:$AN,MATCH(yoy!$I$1,Data!$A$1:$AN$1,),))</f>
        <v/>
      </c>
      <c r="J57" s="14">
        <f>IF(VLOOKUP(B57,Data!$A:$AN,MATCH(yoy!$J$1,Data!$A$1:$AN$1,),)=0,"#N/A",(VLOOKUP(B57,Data!$A:$AN,MATCH(yoy!$J$1,Data!$A$1:$AN$1,),)-VLOOKUP(A57,Data!$A:$AN,MATCH(yoy!$J$1,Data!$A$1:$AN$1,),))/VLOOKUP(A57,Data!$A:$AN,MATCH(yoy!$J$1,Data!$A$1:$AN$1,),))</f>
        <v/>
      </c>
      <c r="K57" s="14">
        <f>IF(VLOOKUP(B57,Data!$A:$AN,MATCH(yoy!$K$1,Data!$A$1:$AN$1,),)=0,"#N/A",(VLOOKUP(B57,Data!$A:$AN,MATCH(yoy!$K$1,Data!$A$1:$AN$1,),)-VLOOKUP(A57,Data!$A:$AN,MATCH(yoy!$K$1,Data!$A$1:$AN$1,),))/VLOOKUP(A57,Data!$A:$AN,MATCH(yoy!$K$1,Data!$A$1:$AN$1,),))</f>
        <v/>
      </c>
      <c r="L57" s="14">
        <f>IF(VLOOKUP(B57,Data!$A:$AN,MATCH(yoy!$L$1,Data!$A$1:$AN$1,),)=0,"#N/A",(VLOOKUP(B57,Data!$A:$AN,MATCH(yoy!$L$1,Data!$A$1:$AN$1,),)-VLOOKUP(A57,Data!$A:$AN,MATCH(yoy!$L$1,Data!$A$1:$AN$1,),))/VLOOKUP(A57,Data!$A:$AN,MATCH(yoy!$L$1,Data!$A$1:$AN$1,),))</f>
        <v/>
      </c>
      <c r="M57" s="14">
        <f>IF(VLOOKUP(B57,Data!$A:$AN,MATCH(yoy!$M$1,Data!$A$1:$AN$1,),)=0,"#N/A",(VLOOKUP(B57,Data!$A:$AN,MATCH(yoy!$M$1,Data!$A$1:$AN$1,),)-VLOOKUP(A57,Data!$A:$AN,MATCH(yoy!$M$1,Data!$A$1:$AN$1,),))/VLOOKUP(A57,Data!$A:$AN,MATCH(yoy!$M$1,Data!$A$1:$AN$1,),))</f>
        <v/>
      </c>
      <c r="N57" s="14">
        <f>IF(VLOOKUP(B57,Data!$A:$AN,MATCH(yoy!$N$1,Data!$A$1:$AN$1,),)=0,"#N/A",(VLOOKUP(B57,Data!$A:$AN,MATCH(yoy!$N$1,Data!$A$1:$AN$1,),)-VLOOKUP(A57,Data!$A:$AN,MATCH(yoy!$N$1,Data!$A$1:$AN$1,),))/VLOOKUP(A57,Data!$A:$AN,MATCH(yoy!$N$1,Data!$A$1:$AN$1,),))</f>
        <v/>
      </c>
      <c r="O57" s="14">
        <f>IF(VLOOKUP(B57,Data!$A:$AN,MATCH(yoy!$O$1,Data!$A$1:$AN$1,),)=0,"#N/A",(VLOOKUP(B57,Data!$A:$AN,MATCH(yoy!$O$1,Data!$A$1:$AN$1,),)-VLOOKUP(A57,Data!$A:$AN,MATCH(yoy!$O$1,Data!$A$1:$AN$1,),))/VLOOKUP(A57,Data!$A:$AN,MATCH(yoy!$O$1,Data!$A$1:$AN$1,),))</f>
        <v/>
      </c>
      <c r="P57" s="14">
        <f>IF(VLOOKUP(B57,Data!$A:$AN,MATCH(yoy!$P$1,Data!$A$1:$AN$1,),)=0,"#N/A",(VLOOKUP(B57,Data!$A:$AN,MATCH(yoy!$P$1,Data!$A$1:$AN$1,),)-VLOOKUP(A57,Data!$A:$AN,MATCH(yoy!$P$1,Data!$A$1:$AN$1,),))/VLOOKUP(A57,Data!$A:$AN,MATCH(yoy!$P$1,Data!$A$1:$AN$1,),))</f>
        <v/>
      </c>
      <c r="Q57" s="14">
        <f>IF(VLOOKUP(B57,Data!$A:$AN,MATCH(yoy!$Q$1,Data!$A$1:$AN$1,),)=0,"#N/A",(VLOOKUP(B57,Data!$A:$AN,MATCH(yoy!$Q$1,Data!$A$1:$AN$1,),)-VLOOKUP(A57,Data!$A:$AN,MATCH(yoy!$Q$1,Data!$A$1:$AN$1,),))/VLOOKUP(A57,Data!$A:$AN,MATCH(yoy!$Q$1,Data!$A$1:$AN$1,),))</f>
        <v/>
      </c>
      <c r="R57" s="14">
        <f>IF(VLOOKUP(B57,Data!$A:$AN,MATCH(yoy!$R$1,Data!$A$1:$AN$1,),)=0,"#N/A",(VLOOKUP(B57,Data!$A:$AN,MATCH(yoy!$R$1,Data!$A$1:$AN$1,),)-VLOOKUP(A57,Data!$A:$AN,MATCH(yoy!$R$1,Data!$A$1:$AN$1,),))/VLOOKUP(A57,Data!$A:$AN,MATCH(yoy!$R$1,Data!$A$1:$AN$1,),))</f>
        <v/>
      </c>
      <c r="S57" s="14">
        <f>IF(VLOOKUP(B57,Data!$A:$AN,MATCH(yoy!$S$1,Data!$A$1:$AN$1,),)=0,"#N/A",(VLOOKUP(B57,Data!$A:$AN,MATCH(yoy!$S$1,Data!$A$1:$AN$1,),)-VLOOKUP(A57,Data!$A:$AN,MATCH(yoy!$S$1,Data!$A$1:$AN$1,),))/VLOOKUP(A57,Data!$A:$AN,MATCH(yoy!$S$1,Data!$A$1:$AN$1,),))</f>
        <v/>
      </c>
      <c r="T57" s="14">
        <f>IF(VLOOKUP(B57,Data!$A:$AN,MATCH(yoy!$T$1,Data!$A$1:$AN$1,),)=0,"#N/A",(VLOOKUP(B57,Data!$A:$AN,MATCH(yoy!$T$1,Data!$A$1:$AN$1,),)-VLOOKUP(A57,Data!$A:$AN,MATCH(yoy!$T$1,Data!$A$1:$AN$1,),))/VLOOKUP(A57,Data!$A:$AN,MATCH(yoy!$T$1,Data!$A$1:$AN$1,),))</f>
        <v/>
      </c>
      <c r="U57" s="14">
        <f>IF(VLOOKUP(B57,Data!$A:$AN,MATCH(yoy!$U$1,Data!$A$1:$AN$1,),)=0,"#N/A",(VLOOKUP(B57,Data!$A:$AN,MATCH(yoy!$U$1,Data!$A$1:$AN$1,),)-VLOOKUP(A57,Data!$A:$AN,MATCH(yoy!$U$1,Data!$A$1:$AN$1,),))/VLOOKUP(A57,Data!$A:$AN,MATCH(yoy!$U$1,Data!$A$1:$AN$1,),))</f>
        <v/>
      </c>
      <c r="V57" s="14">
        <f>IF(VLOOKUP(B57,Data!$A:$AN,MATCH(yoy!$V$1,Data!$A$1:$AN$1,),)=0,"#N/A",(VLOOKUP(B57,Data!$A:$AN,MATCH(yoy!$V$1,Data!$A$1:$AN$1,),)-VLOOKUP(A57,Data!$A:$AN,MATCH(yoy!$V$1,Data!$A$1:$AN$1,),))/VLOOKUP(A57,Data!$A:$AN,MATCH(yoy!$V$1,Data!$A$1:$AN$1,),))</f>
        <v/>
      </c>
      <c r="W57" s="14">
        <f>IF(VLOOKUP(B57,Data!$A:$AN,MATCH(yoy!$W$1,Data!$A$1:$AN$1,),)=0,"#N/A",(VLOOKUP(B57,Data!$A:$AN,MATCH(yoy!$W$1,Data!$A$1:$AN$1,),)-VLOOKUP(A57,Data!$A:$AN,MATCH(yoy!$W$1,Data!$A$1:$AN$1,),))/VLOOKUP(A57,Data!$A:$AN,MATCH(yoy!$W$1,Data!$A$1:$AN$1,),))</f>
        <v/>
      </c>
      <c r="X57" s="14">
        <f>IF(VLOOKUP(B57,Data!$A:$AN,MATCH(yoy!$X$1,Data!$A$1:$AN$1,),)=0,"#N/A",(VLOOKUP(B57,Data!$A:$AN,MATCH(yoy!$X$1,Data!$A$1:$AN$1,),)-VLOOKUP(A57,Data!$A:$AN,MATCH(yoy!$X$1,Data!$A$1:$AN$1,),))/VLOOKUP(A57,Data!$A:$AN,MATCH(yoy!$X$1,Data!$A$1:$AN$1,),))</f>
        <v/>
      </c>
      <c r="Y57" s="14">
        <f>IF(VLOOKUP(B57,Data!$A:$AN,MATCH(yoy!$Y$1,Data!$A$1:$AN$1,),)=0,"#N/A",(VLOOKUP(B57,Data!$A:$AN,MATCH(yoy!$Y$1,Data!$A$1:$AN$1,),)-VLOOKUP(A57,Data!$A:$AN,MATCH(yoy!$Y$1,Data!$A$1:$AN$1,),))/VLOOKUP(A57,Data!$A:$AN,MATCH(yoy!$Y$1,Data!$A$1:$AN$1,),))</f>
        <v/>
      </c>
      <c r="Z57" s="14">
        <f>IF(VLOOKUP(B57,Data!$A:$AN,MATCH(yoy!$Z$1,Data!$A$1:$AN$1,),)=0,"#N/A",(VLOOKUP(B57,Data!$A:$AN,MATCH(yoy!$Z$1,Data!$A$1:$AN$1,),)-VLOOKUP(A57,Data!$A:$AN,MATCH(yoy!$Z$1,Data!$A$1:$AN$1,),))/VLOOKUP(A57,Data!$A:$AN,MATCH(yoy!$Z$1,Data!$A$1:$AN$1,),))</f>
        <v/>
      </c>
      <c r="AA57" s="14">
        <f>IF(VLOOKUP(B57,Data!$A:$AN,MATCH(yoy!$AA$1,Data!$A$1:$AN$1,),)=0,"#N/A",(VLOOKUP(B57,Data!$A:$AN,MATCH(yoy!$AA$1,Data!$A$1:$AN$1,),)-VLOOKUP(A57,Data!$A:$AN,MATCH(yoy!$AA$1,Data!$A$1:$AN$1,),))/VLOOKUP(A57,Data!$A:$AN,MATCH(yoy!$AA$1,Data!$A$1:$AN$1,),))</f>
        <v/>
      </c>
    </row>
    <row r="58" customFormat="1" s="77">
      <c r="A58" s="20">
        <f>DATE(YEAR(B58)-1,MONTH(B58),DAY(B58))</f>
        <v/>
      </c>
      <c r="B58" s="12" t="n">
        <v>43617</v>
      </c>
      <c r="C58" s="14">
        <f>IF(VLOOKUP(B58,Data!$A:$AN,MATCH(yoy!$C$1,Data!$A$1:$AN$1,),)=0,"#N/A",(VLOOKUP(B58,Data!$A:$AN,MATCH(yoy!$C$1,Data!$A$1:$AN$1,),)-VLOOKUP(A58,Data!$A:$AN,MATCH(yoy!$C$1,Data!$A$1:$AN$1,),))/VLOOKUP(A58,Data!$A:$AN,MATCH(yoy!$C$1,Data!$A$1:$AN$1,),))</f>
        <v/>
      </c>
      <c r="D58" s="14">
        <f>IF(VLOOKUP(B58,Data!$A:$AN,MATCH(yoy!$D$1,Data!$A$1:$AN$1,),)=0,"#N/A",(VLOOKUP(B58,Data!$A:$AN,MATCH(yoy!$D$1,Data!$A$1:$AN$1,),)-VLOOKUP(A58,Data!$A:$AN,MATCH(yoy!$D$1,Data!$A$1:$AN$1,),))/VLOOKUP(A58,Data!$A:$AN,MATCH(yoy!$D$1,Data!$A$1:$AN$1,),))</f>
        <v/>
      </c>
      <c r="E58" s="14">
        <f>IF(VLOOKUP(B58,Data!$A:$AN,MATCH(yoy!$E$1,Data!$A$1:$AN$1,),)=0,"#N/A",(VLOOKUP(B58,Data!$A:$AN,MATCH(yoy!$E$1,Data!$A$1:$AN$1,),)-VLOOKUP(A58,Data!$A:$AN,MATCH(yoy!$E$1,Data!$A$1:$AN$1,),))/VLOOKUP(A58,Data!$A:$AN,MATCH(yoy!$E$1,Data!$A$1:$AN$1,),))</f>
        <v/>
      </c>
      <c r="F58" s="14">
        <f>IF(VLOOKUP(B58,Data!$A:$AN,MATCH(yoy!$F$1,Data!$A$1:$AN$1,),)=0,"#N/A",(VLOOKUP(B58,Data!$A:$AN,MATCH(yoy!$F$1,Data!$A$1:$AN$1,),)-VLOOKUP(A58,Data!$A:$AN,MATCH(yoy!$F$1,Data!$A$1:$AN$1,),))/VLOOKUP(A58,Data!$A:$AN,MATCH(yoy!$F$1,Data!$A$1:$AN$1,),))</f>
        <v/>
      </c>
      <c r="G58" s="14">
        <f>IF(VLOOKUP(B58,Data!$A:$AN,MATCH(yoy!$G$1,Data!$A$1:$AN$1,),)=0,"#N/A",(VLOOKUP(B58,Data!$A:$AN,MATCH(yoy!$G$1,Data!$A$1:$AN$1,),)-VLOOKUP(A58,Data!$A:$AN,MATCH(yoy!$G$1,Data!$A$1:$AN$1,),))/VLOOKUP(A58,Data!$A:$AN,MATCH(yoy!$G$1,Data!$A$1:$AN$1,),))</f>
        <v/>
      </c>
      <c r="H58" s="14">
        <f>IF(VLOOKUP(B58,Data!$A:$AN,MATCH(yoy!$H$1,Data!$A$1:$AN$1,),)=0,"#N/A",(VLOOKUP(B58,Data!$A:$AN,MATCH(yoy!$H$1,Data!$A$1:$AN$1,),)-VLOOKUP(A58,Data!$A:$AN,MATCH(yoy!$H$1,Data!$A$1:$AN$1,),))/VLOOKUP(A58,Data!$A:$AN,MATCH(yoy!$H$1,Data!$A$1:$AN$1,),))</f>
        <v/>
      </c>
      <c r="I58" s="14">
        <f>IF(VLOOKUP(B58,Data!$A:$AN,MATCH(yoy!$I$1,Data!$A$1:$AN$1,),)=0,"#N/A",(VLOOKUP(B58,Data!$A:$AN,MATCH(yoy!$I$1,Data!$A$1:$AN$1,),)-VLOOKUP(A58,Data!$A:$AN,MATCH(yoy!$I$1,Data!$A$1:$AN$1,),))/VLOOKUP(A58,Data!$A:$AN,MATCH(yoy!$I$1,Data!$A$1:$AN$1,),))</f>
        <v/>
      </c>
      <c r="J58" s="14">
        <f>IF(VLOOKUP(B58,Data!$A:$AN,MATCH(yoy!$J$1,Data!$A$1:$AN$1,),)=0,"#N/A",(VLOOKUP(B58,Data!$A:$AN,MATCH(yoy!$J$1,Data!$A$1:$AN$1,),)-VLOOKUP(A58,Data!$A:$AN,MATCH(yoy!$J$1,Data!$A$1:$AN$1,),))/VLOOKUP(A58,Data!$A:$AN,MATCH(yoy!$J$1,Data!$A$1:$AN$1,),))</f>
        <v/>
      </c>
      <c r="K58" s="14">
        <f>IF(VLOOKUP(B58,Data!$A:$AN,MATCH(yoy!$K$1,Data!$A$1:$AN$1,),)=0,"#N/A",(VLOOKUP(B58,Data!$A:$AN,MATCH(yoy!$K$1,Data!$A$1:$AN$1,),)-VLOOKUP(A58,Data!$A:$AN,MATCH(yoy!$K$1,Data!$A$1:$AN$1,),))/VLOOKUP(A58,Data!$A:$AN,MATCH(yoy!$K$1,Data!$A$1:$AN$1,),))</f>
        <v/>
      </c>
      <c r="L58" s="14">
        <f>IF(VLOOKUP(B58,Data!$A:$AN,MATCH(yoy!$L$1,Data!$A$1:$AN$1,),)=0,"#N/A",(VLOOKUP(B58,Data!$A:$AN,MATCH(yoy!$L$1,Data!$A$1:$AN$1,),)-VLOOKUP(A58,Data!$A:$AN,MATCH(yoy!$L$1,Data!$A$1:$AN$1,),))/VLOOKUP(A58,Data!$A:$AN,MATCH(yoy!$L$1,Data!$A$1:$AN$1,),))</f>
        <v/>
      </c>
      <c r="M58" s="14">
        <f>IF(VLOOKUP(B58,Data!$A:$AN,MATCH(yoy!$M$1,Data!$A$1:$AN$1,),)=0,"#N/A",(VLOOKUP(B58,Data!$A:$AN,MATCH(yoy!$M$1,Data!$A$1:$AN$1,),)-VLOOKUP(A58,Data!$A:$AN,MATCH(yoy!$M$1,Data!$A$1:$AN$1,),))/VLOOKUP(A58,Data!$A:$AN,MATCH(yoy!$M$1,Data!$A$1:$AN$1,),))</f>
        <v/>
      </c>
      <c r="N58" s="14">
        <f>IF(VLOOKUP(B58,Data!$A:$AN,MATCH(yoy!$N$1,Data!$A$1:$AN$1,),)=0,"#N/A",(VLOOKUP(B58,Data!$A:$AN,MATCH(yoy!$N$1,Data!$A$1:$AN$1,),)-VLOOKUP(A58,Data!$A:$AN,MATCH(yoy!$N$1,Data!$A$1:$AN$1,),))/VLOOKUP(A58,Data!$A:$AN,MATCH(yoy!$N$1,Data!$A$1:$AN$1,),))</f>
        <v/>
      </c>
      <c r="O58" s="14">
        <f>IF(VLOOKUP(B58,Data!$A:$AN,MATCH(yoy!$O$1,Data!$A$1:$AN$1,),)=0,"#N/A",(VLOOKUP(B58,Data!$A:$AN,MATCH(yoy!$O$1,Data!$A$1:$AN$1,),)-VLOOKUP(A58,Data!$A:$AN,MATCH(yoy!$O$1,Data!$A$1:$AN$1,),))/VLOOKUP(A58,Data!$A:$AN,MATCH(yoy!$O$1,Data!$A$1:$AN$1,),))</f>
        <v/>
      </c>
      <c r="P58" s="14">
        <f>IF(VLOOKUP(B58,Data!$A:$AN,MATCH(yoy!$P$1,Data!$A$1:$AN$1,),)=0,"#N/A",(VLOOKUP(B58,Data!$A:$AN,MATCH(yoy!$P$1,Data!$A$1:$AN$1,),)-VLOOKUP(A58,Data!$A:$AN,MATCH(yoy!$P$1,Data!$A$1:$AN$1,),))/VLOOKUP(A58,Data!$A:$AN,MATCH(yoy!$P$1,Data!$A$1:$AN$1,),))</f>
        <v/>
      </c>
      <c r="Q58" s="14">
        <f>IF(VLOOKUP(B58,Data!$A:$AN,MATCH(yoy!$Q$1,Data!$A$1:$AN$1,),)=0,"#N/A",(VLOOKUP(B58,Data!$A:$AN,MATCH(yoy!$Q$1,Data!$A$1:$AN$1,),)-VLOOKUP(A58,Data!$A:$AN,MATCH(yoy!$Q$1,Data!$A$1:$AN$1,),))/VLOOKUP(A58,Data!$A:$AN,MATCH(yoy!$Q$1,Data!$A$1:$AN$1,),))</f>
        <v/>
      </c>
      <c r="R58" s="14">
        <f>IF(VLOOKUP(B58,Data!$A:$AN,MATCH(yoy!$R$1,Data!$A$1:$AN$1,),)=0,"#N/A",(VLOOKUP(B58,Data!$A:$AN,MATCH(yoy!$R$1,Data!$A$1:$AN$1,),)-VLOOKUP(A58,Data!$A:$AN,MATCH(yoy!$R$1,Data!$A$1:$AN$1,),))/VLOOKUP(A58,Data!$A:$AN,MATCH(yoy!$R$1,Data!$A$1:$AN$1,),))</f>
        <v/>
      </c>
      <c r="S58" s="14">
        <f>IF(VLOOKUP(B58,Data!$A:$AN,MATCH(yoy!$S$1,Data!$A$1:$AN$1,),)=0,"#N/A",(VLOOKUP(B58,Data!$A:$AN,MATCH(yoy!$S$1,Data!$A$1:$AN$1,),)-VLOOKUP(A58,Data!$A:$AN,MATCH(yoy!$S$1,Data!$A$1:$AN$1,),))/VLOOKUP(A58,Data!$A:$AN,MATCH(yoy!$S$1,Data!$A$1:$AN$1,),))</f>
        <v/>
      </c>
      <c r="T58" s="14">
        <f>IF(VLOOKUP(B58,Data!$A:$AN,MATCH(yoy!$T$1,Data!$A$1:$AN$1,),)=0,"#N/A",(VLOOKUP(B58,Data!$A:$AN,MATCH(yoy!$T$1,Data!$A$1:$AN$1,),)-VLOOKUP(A58,Data!$A:$AN,MATCH(yoy!$T$1,Data!$A$1:$AN$1,),))/VLOOKUP(A58,Data!$A:$AN,MATCH(yoy!$T$1,Data!$A$1:$AN$1,),))</f>
        <v/>
      </c>
      <c r="U58" s="14">
        <f>IF(VLOOKUP(B58,Data!$A:$AN,MATCH(yoy!$U$1,Data!$A$1:$AN$1,),)=0,"#N/A",(VLOOKUP(B58,Data!$A:$AN,MATCH(yoy!$U$1,Data!$A$1:$AN$1,),)-VLOOKUP(A58,Data!$A:$AN,MATCH(yoy!$U$1,Data!$A$1:$AN$1,),))/VLOOKUP(A58,Data!$A:$AN,MATCH(yoy!$U$1,Data!$A$1:$AN$1,),))</f>
        <v/>
      </c>
      <c r="V58" s="14">
        <f>IF(VLOOKUP(B58,Data!$A:$AN,MATCH(yoy!$V$1,Data!$A$1:$AN$1,),)=0,"#N/A",(VLOOKUP(B58,Data!$A:$AN,MATCH(yoy!$V$1,Data!$A$1:$AN$1,),)-VLOOKUP(A58,Data!$A:$AN,MATCH(yoy!$V$1,Data!$A$1:$AN$1,),))/VLOOKUP(A58,Data!$A:$AN,MATCH(yoy!$V$1,Data!$A$1:$AN$1,),))</f>
        <v/>
      </c>
      <c r="W58" s="14">
        <f>IF(VLOOKUP(B58,Data!$A:$AN,MATCH(yoy!$W$1,Data!$A$1:$AN$1,),)=0,"#N/A",(VLOOKUP(B58,Data!$A:$AN,MATCH(yoy!$W$1,Data!$A$1:$AN$1,),)-VLOOKUP(A58,Data!$A:$AN,MATCH(yoy!$W$1,Data!$A$1:$AN$1,),))/VLOOKUP(A58,Data!$A:$AN,MATCH(yoy!$W$1,Data!$A$1:$AN$1,),))</f>
        <v/>
      </c>
      <c r="X58" s="14">
        <f>IF(VLOOKUP(B58,Data!$A:$AN,MATCH(yoy!$X$1,Data!$A$1:$AN$1,),)=0,"#N/A",(VLOOKUP(B58,Data!$A:$AN,MATCH(yoy!$X$1,Data!$A$1:$AN$1,),)-VLOOKUP(A58,Data!$A:$AN,MATCH(yoy!$X$1,Data!$A$1:$AN$1,),))/VLOOKUP(A58,Data!$A:$AN,MATCH(yoy!$X$1,Data!$A$1:$AN$1,),))</f>
        <v/>
      </c>
      <c r="Y58" s="14">
        <f>IF(VLOOKUP(B58,Data!$A:$AN,MATCH(yoy!$Y$1,Data!$A$1:$AN$1,),)=0,"#N/A",(VLOOKUP(B58,Data!$A:$AN,MATCH(yoy!$Y$1,Data!$A$1:$AN$1,),)-VLOOKUP(A58,Data!$A:$AN,MATCH(yoy!$Y$1,Data!$A$1:$AN$1,),))/VLOOKUP(A58,Data!$A:$AN,MATCH(yoy!$Y$1,Data!$A$1:$AN$1,),))</f>
        <v/>
      </c>
      <c r="Z58" s="14">
        <f>IF(VLOOKUP(B58,Data!$A:$AN,MATCH(yoy!$Z$1,Data!$A$1:$AN$1,),)=0,"#N/A",(VLOOKUP(B58,Data!$A:$AN,MATCH(yoy!$Z$1,Data!$A$1:$AN$1,),)-VLOOKUP(A58,Data!$A:$AN,MATCH(yoy!$Z$1,Data!$A$1:$AN$1,),))/VLOOKUP(A58,Data!$A:$AN,MATCH(yoy!$Z$1,Data!$A$1:$AN$1,),))</f>
        <v/>
      </c>
      <c r="AA58" s="14">
        <f>IF(VLOOKUP(B58,Data!$A:$AN,MATCH(yoy!$AA$1,Data!$A$1:$AN$1,),)=0,"#N/A",(VLOOKUP(B58,Data!$A:$AN,MATCH(yoy!$AA$1,Data!$A$1:$AN$1,),)-VLOOKUP(A58,Data!$A:$AN,MATCH(yoy!$AA$1,Data!$A$1:$AN$1,),))/VLOOKUP(A58,Data!$A:$AN,MATCH(yoy!$AA$1,Data!$A$1:$AN$1,),))</f>
        <v/>
      </c>
    </row>
    <row r="59" customFormat="1" s="77">
      <c r="A59" s="20">
        <f>DATE(YEAR(B59)-1,MONTH(B59),DAY(B59))</f>
        <v/>
      </c>
      <c r="B59" s="12" t="n">
        <v>43647</v>
      </c>
      <c r="C59" s="14">
        <f>IF(VLOOKUP(B59,Data!$A:$AN,MATCH(yoy!$C$1,Data!$A$1:$AN$1,),)=0,"#N/A",(VLOOKUP(B59,Data!$A:$AN,MATCH(yoy!$C$1,Data!$A$1:$AN$1,),)-VLOOKUP(A59,Data!$A:$AN,MATCH(yoy!$C$1,Data!$A$1:$AN$1,),))/VLOOKUP(A59,Data!$A:$AN,MATCH(yoy!$C$1,Data!$A$1:$AN$1,),))</f>
        <v/>
      </c>
      <c r="D59" s="14">
        <f>IF(VLOOKUP(B59,Data!$A:$AN,MATCH(yoy!$D$1,Data!$A$1:$AN$1,),)=0,"#N/A",(VLOOKUP(B59,Data!$A:$AN,MATCH(yoy!$D$1,Data!$A$1:$AN$1,),)-VLOOKUP(A59,Data!$A:$AN,MATCH(yoy!$D$1,Data!$A$1:$AN$1,),))/VLOOKUP(A59,Data!$A:$AN,MATCH(yoy!$D$1,Data!$A$1:$AN$1,),))</f>
        <v/>
      </c>
      <c r="E59" s="14">
        <f>IF(VLOOKUP(B59,Data!$A:$AN,MATCH(yoy!$E$1,Data!$A$1:$AN$1,),)=0,"#N/A",(VLOOKUP(B59,Data!$A:$AN,MATCH(yoy!$E$1,Data!$A$1:$AN$1,),)-VLOOKUP(A59,Data!$A:$AN,MATCH(yoy!$E$1,Data!$A$1:$AN$1,),))/VLOOKUP(A59,Data!$A:$AN,MATCH(yoy!$E$1,Data!$A$1:$AN$1,),))</f>
        <v/>
      </c>
      <c r="F59" s="14">
        <f>IF(VLOOKUP(B59,Data!$A:$AN,MATCH(yoy!$F$1,Data!$A$1:$AN$1,),)=0,"#N/A",(VLOOKUP(B59,Data!$A:$AN,MATCH(yoy!$F$1,Data!$A$1:$AN$1,),)-VLOOKUP(A59,Data!$A:$AN,MATCH(yoy!$F$1,Data!$A$1:$AN$1,),))/VLOOKUP(A59,Data!$A:$AN,MATCH(yoy!$F$1,Data!$A$1:$AN$1,),))</f>
        <v/>
      </c>
      <c r="G59" s="14">
        <f>IF(VLOOKUP(B59,Data!$A:$AN,MATCH(yoy!$G$1,Data!$A$1:$AN$1,),)=0,"#N/A",(VLOOKUP(B59,Data!$A:$AN,MATCH(yoy!$G$1,Data!$A$1:$AN$1,),)-VLOOKUP(A59,Data!$A:$AN,MATCH(yoy!$G$1,Data!$A$1:$AN$1,),))/VLOOKUP(A59,Data!$A:$AN,MATCH(yoy!$G$1,Data!$A$1:$AN$1,),))</f>
        <v/>
      </c>
      <c r="H59" s="14">
        <f>IF(VLOOKUP(B59,Data!$A:$AN,MATCH(yoy!$H$1,Data!$A$1:$AN$1,),)=0,"#N/A",(VLOOKUP(B59,Data!$A:$AN,MATCH(yoy!$H$1,Data!$A$1:$AN$1,),)-VLOOKUP(A59,Data!$A:$AN,MATCH(yoy!$H$1,Data!$A$1:$AN$1,),))/VLOOKUP(A59,Data!$A:$AN,MATCH(yoy!$H$1,Data!$A$1:$AN$1,),))</f>
        <v/>
      </c>
      <c r="I59" s="14">
        <f>IF(VLOOKUP(B59,Data!$A:$AN,MATCH(yoy!$I$1,Data!$A$1:$AN$1,),)=0,"#N/A",(VLOOKUP(B59,Data!$A:$AN,MATCH(yoy!$I$1,Data!$A$1:$AN$1,),)-VLOOKUP(A59,Data!$A:$AN,MATCH(yoy!$I$1,Data!$A$1:$AN$1,),))/VLOOKUP(A59,Data!$A:$AN,MATCH(yoy!$I$1,Data!$A$1:$AN$1,),))</f>
        <v/>
      </c>
      <c r="J59" s="14">
        <f>IF(VLOOKUP(B59,Data!$A:$AN,MATCH(yoy!$J$1,Data!$A$1:$AN$1,),)=0,"#N/A",(VLOOKUP(B59,Data!$A:$AN,MATCH(yoy!$J$1,Data!$A$1:$AN$1,),)-VLOOKUP(A59,Data!$A:$AN,MATCH(yoy!$J$1,Data!$A$1:$AN$1,),))/VLOOKUP(A59,Data!$A:$AN,MATCH(yoy!$J$1,Data!$A$1:$AN$1,),))</f>
        <v/>
      </c>
      <c r="K59" s="14">
        <f>IF(VLOOKUP(B59,Data!$A:$AN,MATCH(yoy!$K$1,Data!$A$1:$AN$1,),)=0,"#N/A",(VLOOKUP(B59,Data!$A:$AN,MATCH(yoy!$K$1,Data!$A$1:$AN$1,),)-VLOOKUP(A59,Data!$A:$AN,MATCH(yoy!$K$1,Data!$A$1:$AN$1,),))/VLOOKUP(A59,Data!$A:$AN,MATCH(yoy!$K$1,Data!$A$1:$AN$1,),))</f>
        <v/>
      </c>
      <c r="L59" s="14">
        <f>IF(VLOOKUP(B59,Data!$A:$AN,MATCH(yoy!$L$1,Data!$A$1:$AN$1,),)=0,"#N/A",(VLOOKUP(B59,Data!$A:$AN,MATCH(yoy!$L$1,Data!$A$1:$AN$1,),)-VLOOKUP(A59,Data!$A:$AN,MATCH(yoy!$L$1,Data!$A$1:$AN$1,),))/VLOOKUP(A59,Data!$A:$AN,MATCH(yoy!$L$1,Data!$A$1:$AN$1,),))</f>
        <v/>
      </c>
      <c r="M59" s="14">
        <f>IF(VLOOKUP(B59,Data!$A:$AN,MATCH(yoy!$M$1,Data!$A$1:$AN$1,),)=0,"#N/A",(VLOOKUP(B59,Data!$A:$AN,MATCH(yoy!$M$1,Data!$A$1:$AN$1,),)-VLOOKUP(A59,Data!$A:$AN,MATCH(yoy!$M$1,Data!$A$1:$AN$1,),))/VLOOKUP(A59,Data!$A:$AN,MATCH(yoy!$M$1,Data!$A$1:$AN$1,),))</f>
        <v/>
      </c>
      <c r="N59" s="14">
        <f>IF(VLOOKUP(B59,Data!$A:$AN,MATCH(yoy!$N$1,Data!$A$1:$AN$1,),)=0,"#N/A",(VLOOKUP(B59,Data!$A:$AN,MATCH(yoy!$N$1,Data!$A$1:$AN$1,),)-VLOOKUP(A59,Data!$A:$AN,MATCH(yoy!$N$1,Data!$A$1:$AN$1,),))/VLOOKUP(A59,Data!$A:$AN,MATCH(yoy!$N$1,Data!$A$1:$AN$1,),))</f>
        <v/>
      </c>
      <c r="O59" s="14">
        <f>IF(VLOOKUP(B59,Data!$A:$AN,MATCH(yoy!$O$1,Data!$A$1:$AN$1,),)=0,"#N/A",(VLOOKUP(B59,Data!$A:$AN,MATCH(yoy!$O$1,Data!$A$1:$AN$1,),)-VLOOKUP(A59,Data!$A:$AN,MATCH(yoy!$O$1,Data!$A$1:$AN$1,),))/VLOOKUP(A59,Data!$A:$AN,MATCH(yoy!$O$1,Data!$A$1:$AN$1,),))</f>
        <v/>
      </c>
      <c r="P59" s="14">
        <f>IF(VLOOKUP(B59,Data!$A:$AN,MATCH(yoy!$P$1,Data!$A$1:$AN$1,),)=0,"#N/A",(VLOOKUP(B59,Data!$A:$AN,MATCH(yoy!$P$1,Data!$A$1:$AN$1,),)-VLOOKUP(A59,Data!$A:$AN,MATCH(yoy!$P$1,Data!$A$1:$AN$1,),))/VLOOKUP(A59,Data!$A:$AN,MATCH(yoy!$P$1,Data!$A$1:$AN$1,),))</f>
        <v/>
      </c>
      <c r="Q59" s="14">
        <f>IF(VLOOKUP(B59,Data!$A:$AN,MATCH(yoy!$Q$1,Data!$A$1:$AN$1,),)=0,"#N/A",(VLOOKUP(B59,Data!$A:$AN,MATCH(yoy!$Q$1,Data!$A$1:$AN$1,),)-VLOOKUP(A59,Data!$A:$AN,MATCH(yoy!$Q$1,Data!$A$1:$AN$1,),))/VLOOKUP(A59,Data!$A:$AN,MATCH(yoy!$Q$1,Data!$A$1:$AN$1,),))</f>
        <v/>
      </c>
      <c r="R59" s="14">
        <f>IF(VLOOKUP(B59,Data!$A:$AN,MATCH(yoy!$R$1,Data!$A$1:$AN$1,),)=0,"#N/A",(VLOOKUP(B59,Data!$A:$AN,MATCH(yoy!$R$1,Data!$A$1:$AN$1,),)-VLOOKUP(A59,Data!$A:$AN,MATCH(yoy!$R$1,Data!$A$1:$AN$1,),))/VLOOKUP(A59,Data!$A:$AN,MATCH(yoy!$R$1,Data!$A$1:$AN$1,),))</f>
        <v/>
      </c>
      <c r="S59" s="14">
        <f>IF(VLOOKUP(B59,Data!$A:$AN,MATCH(yoy!$S$1,Data!$A$1:$AN$1,),)=0,"#N/A",(VLOOKUP(B59,Data!$A:$AN,MATCH(yoy!$S$1,Data!$A$1:$AN$1,),)-VLOOKUP(A59,Data!$A:$AN,MATCH(yoy!$S$1,Data!$A$1:$AN$1,),))/VLOOKUP(A59,Data!$A:$AN,MATCH(yoy!$S$1,Data!$A$1:$AN$1,),))</f>
        <v/>
      </c>
      <c r="T59" s="14">
        <f>IF(VLOOKUP(B59,Data!$A:$AN,MATCH(yoy!$T$1,Data!$A$1:$AN$1,),)=0,"#N/A",(VLOOKUP(B59,Data!$A:$AN,MATCH(yoy!$T$1,Data!$A$1:$AN$1,),)-VLOOKUP(A59,Data!$A:$AN,MATCH(yoy!$T$1,Data!$A$1:$AN$1,),))/VLOOKUP(A59,Data!$A:$AN,MATCH(yoy!$T$1,Data!$A$1:$AN$1,),))</f>
        <v/>
      </c>
      <c r="U59" s="14">
        <f>IF(VLOOKUP(B59,Data!$A:$AN,MATCH(yoy!$U$1,Data!$A$1:$AN$1,),)=0,"#N/A",(VLOOKUP(B59,Data!$A:$AN,MATCH(yoy!$U$1,Data!$A$1:$AN$1,),)-VLOOKUP(A59,Data!$A:$AN,MATCH(yoy!$U$1,Data!$A$1:$AN$1,),))/VLOOKUP(A59,Data!$A:$AN,MATCH(yoy!$U$1,Data!$A$1:$AN$1,),))</f>
        <v/>
      </c>
      <c r="V59" s="14">
        <f>IF(VLOOKUP(B59,Data!$A:$AN,MATCH(yoy!$V$1,Data!$A$1:$AN$1,),)=0,"#N/A",(VLOOKUP(B59,Data!$A:$AN,MATCH(yoy!$V$1,Data!$A$1:$AN$1,),)-VLOOKUP(A59,Data!$A:$AN,MATCH(yoy!$V$1,Data!$A$1:$AN$1,),))/VLOOKUP(A59,Data!$A:$AN,MATCH(yoy!$V$1,Data!$A$1:$AN$1,),))</f>
        <v/>
      </c>
      <c r="W59" s="14">
        <f>IF(VLOOKUP(B59,Data!$A:$AN,MATCH(yoy!$W$1,Data!$A$1:$AN$1,),)=0,"#N/A",(VLOOKUP(B59,Data!$A:$AN,MATCH(yoy!$W$1,Data!$A$1:$AN$1,),)-VLOOKUP(A59,Data!$A:$AN,MATCH(yoy!$W$1,Data!$A$1:$AN$1,),))/VLOOKUP(A59,Data!$A:$AN,MATCH(yoy!$W$1,Data!$A$1:$AN$1,),))</f>
        <v/>
      </c>
      <c r="X59" s="14">
        <f>IF(VLOOKUP(B59,Data!$A:$AN,MATCH(yoy!$X$1,Data!$A$1:$AN$1,),)=0,"#N/A",(VLOOKUP(B59,Data!$A:$AN,MATCH(yoy!$X$1,Data!$A$1:$AN$1,),)-VLOOKUP(A59,Data!$A:$AN,MATCH(yoy!$X$1,Data!$A$1:$AN$1,),))/VLOOKUP(A59,Data!$A:$AN,MATCH(yoy!$X$1,Data!$A$1:$AN$1,),))</f>
        <v/>
      </c>
      <c r="Y59" s="14">
        <f>IF(VLOOKUP(B59,Data!$A:$AN,MATCH(yoy!$Y$1,Data!$A$1:$AN$1,),)=0,"#N/A",(VLOOKUP(B59,Data!$A:$AN,MATCH(yoy!$Y$1,Data!$A$1:$AN$1,),)-VLOOKUP(A59,Data!$A:$AN,MATCH(yoy!$Y$1,Data!$A$1:$AN$1,),))/VLOOKUP(A59,Data!$A:$AN,MATCH(yoy!$Y$1,Data!$A$1:$AN$1,),))</f>
        <v/>
      </c>
      <c r="Z59" s="14">
        <f>IF(VLOOKUP(B59,Data!$A:$AN,MATCH(yoy!$Z$1,Data!$A$1:$AN$1,),)=0,"#N/A",(VLOOKUP(B59,Data!$A:$AN,MATCH(yoy!$Z$1,Data!$A$1:$AN$1,),)-VLOOKUP(A59,Data!$A:$AN,MATCH(yoy!$Z$1,Data!$A$1:$AN$1,),))/VLOOKUP(A59,Data!$A:$AN,MATCH(yoy!$Z$1,Data!$A$1:$AN$1,),))</f>
        <v/>
      </c>
      <c r="AA59" s="14">
        <f>IF(VLOOKUP(B59,Data!$A:$AN,MATCH(yoy!$AA$1,Data!$A$1:$AN$1,),)=0,"#N/A",(VLOOKUP(B59,Data!$A:$AN,MATCH(yoy!$AA$1,Data!$A$1:$AN$1,),)-VLOOKUP(A59,Data!$A:$AN,MATCH(yoy!$AA$1,Data!$A$1:$AN$1,),))/VLOOKUP(A59,Data!$A:$AN,MATCH(yoy!$AA$1,Data!$A$1:$AN$1,),))</f>
        <v/>
      </c>
    </row>
    <row r="60" customFormat="1" s="77">
      <c r="A60" s="20">
        <f>DATE(YEAR(B60)-1,MONTH(B60),DAY(B60))</f>
        <v/>
      </c>
      <c r="B60" s="12" t="n">
        <v>43678</v>
      </c>
      <c r="C60" s="14">
        <f>IF(VLOOKUP(B60,Data!$A:$AN,MATCH(yoy!$C$1,Data!$A$1:$AN$1,),)=0,"#N/A",(VLOOKUP(B60,Data!$A:$AN,MATCH(yoy!$C$1,Data!$A$1:$AN$1,),)-VLOOKUP(A60,Data!$A:$AN,MATCH(yoy!$C$1,Data!$A$1:$AN$1,),))/VLOOKUP(A60,Data!$A:$AN,MATCH(yoy!$C$1,Data!$A$1:$AN$1,),))</f>
        <v/>
      </c>
      <c r="D60" s="14">
        <f>IF(VLOOKUP(B60,Data!$A:$AN,MATCH(yoy!$D$1,Data!$A$1:$AN$1,),)=0,"#N/A",(VLOOKUP(B60,Data!$A:$AN,MATCH(yoy!$D$1,Data!$A$1:$AN$1,),)-VLOOKUP(A60,Data!$A:$AN,MATCH(yoy!$D$1,Data!$A$1:$AN$1,),))/VLOOKUP(A60,Data!$A:$AN,MATCH(yoy!$D$1,Data!$A$1:$AN$1,),))</f>
        <v/>
      </c>
      <c r="E60" s="14">
        <f>IF(VLOOKUP(B60,Data!$A:$AN,MATCH(yoy!$E$1,Data!$A$1:$AN$1,),)=0,"#N/A",(VLOOKUP(B60,Data!$A:$AN,MATCH(yoy!$E$1,Data!$A$1:$AN$1,),)-VLOOKUP(A60,Data!$A:$AN,MATCH(yoy!$E$1,Data!$A$1:$AN$1,),))/VLOOKUP(A60,Data!$A:$AN,MATCH(yoy!$E$1,Data!$A$1:$AN$1,),))</f>
        <v/>
      </c>
      <c r="F60" s="14">
        <f>IF(VLOOKUP(B60,Data!$A:$AN,MATCH(yoy!$F$1,Data!$A$1:$AN$1,),)=0,"#N/A",(VLOOKUP(B60,Data!$A:$AN,MATCH(yoy!$F$1,Data!$A$1:$AN$1,),)-VLOOKUP(A60,Data!$A:$AN,MATCH(yoy!$F$1,Data!$A$1:$AN$1,),))/VLOOKUP(A60,Data!$A:$AN,MATCH(yoy!$F$1,Data!$A$1:$AN$1,),))</f>
        <v/>
      </c>
      <c r="G60" s="14">
        <f>IF(VLOOKUP(B60,Data!$A:$AN,MATCH(yoy!$G$1,Data!$A$1:$AN$1,),)=0,"#N/A",(VLOOKUP(B60,Data!$A:$AN,MATCH(yoy!$G$1,Data!$A$1:$AN$1,),)-VLOOKUP(A60,Data!$A:$AN,MATCH(yoy!$G$1,Data!$A$1:$AN$1,),))/VLOOKUP(A60,Data!$A:$AN,MATCH(yoy!$G$1,Data!$A$1:$AN$1,),))</f>
        <v/>
      </c>
      <c r="H60" s="14">
        <f>IF(VLOOKUP(B60,Data!$A:$AN,MATCH(yoy!$H$1,Data!$A$1:$AN$1,),)=0,"#N/A",(VLOOKUP(B60,Data!$A:$AN,MATCH(yoy!$H$1,Data!$A$1:$AN$1,),)-VLOOKUP(A60,Data!$A:$AN,MATCH(yoy!$H$1,Data!$A$1:$AN$1,),))/VLOOKUP(A60,Data!$A:$AN,MATCH(yoy!$H$1,Data!$A$1:$AN$1,),))</f>
        <v/>
      </c>
      <c r="I60" s="14">
        <f>IF(VLOOKUP(B60,Data!$A:$AN,MATCH(yoy!$I$1,Data!$A$1:$AN$1,),)=0,"#N/A",(VLOOKUP(B60,Data!$A:$AN,MATCH(yoy!$I$1,Data!$A$1:$AN$1,),)-VLOOKUP(A60,Data!$A:$AN,MATCH(yoy!$I$1,Data!$A$1:$AN$1,),))/VLOOKUP(A60,Data!$A:$AN,MATCH(yoy!$I$1,Data!$A$1:$AN$1,),))</f>
        <v/>
      </c>
      <c r="J60" s="14">
        <f>IF(VLOOKUP(B60,Data!$A:$AN,MATCH(yoy!$J$1,Data!$A$1:$AN$1,),)=0,"#N/A",(VLOOKUP(B60,Data!$A:$AN,MATCH(yoy!$J$1,Data!$A$1:$AN$1,),)-VLOOKUP(A60,Data!$A:$AN,MATCH(yoy!$J$1,Data!$A$1:$AN$1,),))/VLOOKUP(A60,Data!$A:$AN,MATCH(yoy!$J$1,Data!$A$1:$AN$1,),))</f>
        <v/>
      </c>
      <c r="K60" s="14">
        <f>IF(VLOOKUP(B60,Data!$A:$AN,MATCH(yoy!$K$1,Data!$A$1:$AN$1,),)=0,"#N/A",(VLOOKUP(B60,Data!$A:$AN,MATCH(yoy!$K$1,Data!$A$1:$AN$1,),)-VLOOKUP(A60,Data!$A:$AN,MATCH(yoy!$K$1,Data!$A$1:$AN$1,),))/VLOOKUP(A60,Data!$A:$AN,MATCH(yoy!$K$1,Data!$A$1:$AN$1,),))</f>
        <v/>
      </c>
      <c r="L60" s="14">
        <f>IF(VLOOKUP(B60,Data!$A:$AN,MATCH(yoy!$L$1,Data!$A$1:$AN$1,),)=0,"#N/A",(VLOOKUP(B60,Data!$A:$AN,MATCH(yoy!$L$1,Data!$A$1:$AN$1,),)-VLOOKUP(A60,Data!$A:$AN,MATCH(yoy!$L$1,Data!$A$1:$AN$1,),))/VLOOKUP(A60,Data!$A:$AN,MATCH(yoy!$L$1,Data!$A$1:$AN$1,),))</f>
        <v/>
      </c>
      <c r="M60" s="14">
        <f>IF(VLOOKUP(B60,Data!$A:$AN,MATCH(yoy!$M$1,Data!$A$1:$AN$1,),)=0,"#N/A",(VLOOKUP(B60,Data!$A:$AN,MATCH(yoy!$M$1,Data!$A$1:$AN$1,),)-VLOOKUP(A60,Data!$A:$AN,MATCH(yoy!$M$1,Data!$A$1:$AN$1,),))/VLOOKUP(A60,Data!$A:$AN,MATCH(yoy!$M$1,Data!$A$1:$AN$1,),))</f>
        <v/>
      </c>
      <c r="N60" s="14">
        <f>IF(VLOOKUP(B60,Data!$A:$AN,MATCH(yoy!$N$1,Data!$A$1:$AN$1,),)=0,"#N/A",(VLOOKUP(B60,Data!$A:$AN,MATCH(yoy!$N$1,Data!$A$1:$AN$1,),)-VLOOKUP(A60,Data!$A:$AN,MATCH(yoy!$N$1,Data!$A$1:$AN$1,),))/VLOOKUP(A60,Data!$A:$AN,MATCH(yoy!$N$1,Data!$A$1:$AN$1,),))</f>
        <v/>
      </c>
      <c r="O60" s="14">
        <f>IF(VLOOKUP(B60,Data!$A:$AN,MATCH(yoy!$O$1,Data!$A$1:$AN$1,),)=0,"#N/A",(VLOOKUP(B60,Data!$A:$AN,MATCH(yoy!$O$1,Data!$A$1:$AN$1,),)-VLOOKUP(A60,Data!$A:$AN,MATCH(yoy!$O$1,Data!$A$1:$AN$1,),))/VLOOKUP(A60,Data!$A:$AN,MATCH(yoy!$O$1,Data!$A$1:$AN$1,),))</f>
        <v/>
      </c>
      <c r="P60" s="14">
        <f>IF(VLOOKUP(B60,Data!$A:$AN,MATCH(yoy!$P$1,Data!$A$1:$AN$1,),)=0,"#N/A",(VLOOKUP(B60,Data!$A:$AN,MATCH(yoy!$P$1,Data!$A$1:$AN$1,),)-VLOOKUP(A60,Data!$A:$AN,MATCH(yoy!$P$1,Data!$A$1:$AN$1,),))/VLOOKUP(A60,Data!$A:$AN,MATCH(yoy!$P$1,Data!$A$1:$AN$1,),))</f>
        <v/>
      </c>
      <c r="Q60" s="14">
        <f>IF(VLOOKUP(B60,Data!$A:$AN,MATCH(yoy!$Q$1,Data!$A$1:$AN$1,),)=0,"#N/A",(VLOOKUP(B60,Data!$A:$AN,MATCH(yoy!$Q$1,Data!$A$1:$AN$1,),)-VLOOKUP(A60,Data!$A:$AN,MATCH(yoy!$Q$1,Data!$A$1:$AN$1,),))/VLOOKUP(A60,Data!$A:$AN,MATCH(yoy!$Q$1,Data!$A$1:$AN$1,),))</f>
        <v/>
      </c>
      <c r="R60" s="14">
        <f>IF(VLOOKUP(B60,Data!$A:$AN,MATCH(yoy!$R$1,Data!$A$1:$AN$1,),)=0,"#N/A",(VLOOKUP(B60,Data!$A:$AN,MATCH(yoy!$R$1,Data!$A$1:$AN$1,),)-VLOOKUP(A60,Data!$A:$AN,MATCH(yoy!$R$1,Data!$A$1:$AN$1,),))/VLOOKUP(A60,Data!$A:$AN,MATCH(yoy!$R$1,Data!$A$1:$AN$1,),))</f>
        <v/>
      </c>
      <c r="S60" s="14">
        <f>IF(VLOOKUP(B60,Data!$A:$AN,MATCH(yoy!$S$1,Data!$A$1:$AN$1,),)=0,"#N/A",(VLOOKUP(B60,Data!$A:$AN,MATCH(yoy!$S$1,Data!$A$1:$AN$1,),)-VLOOKUP(A60,Data!$A:$AN,MATCH(yoy!$S$1,Data!$A$1:$AN$1,),))/VLOOKUP(A60,Data!$A:$AN,MATCH(yoy!$S$1,Data!$A$1:$AN$1,),))</f>
        <v/>
      </c>
      <c r="T60" s="14">
        <f>IF(VLOOKUP(B60,Data!$A:$AN,MATCH(yoy!$T$1,Data!$A$1:$AN$1,),)=0,"#N/A",(VLOOKUP(B60,Data!$A:$AN,MATCH(yoy!$T$1,Data!$A$1:$AN$1,),)-VLOOKUP(A60,Data!$A:$AN,MATCH(yoy!$T$1,Data!$A$1:$AN$1,),))/VLOOKUP(A60,Data!$A:$AN,MATCH(yoy!$T$1,Data!$A$1:$AN$1,),))</f>
        <v/>
      </c>
      <c r="U60" s="14">
        <f>IF(VLOOKUP(B60,Data!$A:$AN,MATCH(yoy!$U$1,Data!$A$1:$AN$1,),)=0,"#N/A",(VLOOKUP(B60,Data!$A:$AN,MATCH(yoy!$U$1,Data!$A$1:$AN$1,),)-VLOOKUP(A60,Data!$A:$AN,MATCH(yoy!$U$1,Data!$A$1:$AN$1,),))/VLOOKUP(A60,Data!$A:$AN,MATCH(yoy!$U$1,Data!$A$1:$AN$1,),))</f>
        <v/>
      </c>
      <c r="V60" s="14">
        <f>IF(VLOOKUP(B60,Data!$A:$AN,MATCH(yoy!$V$1,Data!$A$1:$AN$1,),)=0,"#N/A",(VLOOKUP(B60,Data!$A:$AN,MATCH(yoy!$V$1,Data!$A$1:$AN$1,),)-VLOOKUP(A60,Data!$A:$AN,MATCH(yoy!$V$1,Data!$A$1:$AN$1,),))/VLOOKUP(A60,Data!$A:$AN,MATCH(yoy!$V$1,Data!$A$1:$AN$1,),))</f>
        <v/>
      </c>
      <c r="W60" s="14">
        <f>IF(VLOOKUP(B60,Data!$A:$AN,MATCH(yoy!$W$1,Data!$A$1:$AN$1,),)=0,"#N/A",(VLOOKUP(B60,Data!$A:$AN,MATCH(yoy!$W$1,Data!$A$1:$AN$1,),)-VLOOKUP(A60,Data!$A:$AN,MATCH(yoy!$W$1,Data!$A$1:$AN$1,),))/VLOOKUP(A60,Data!$A:$AN,MATCH(yoy!$W$1,Data!$A$1:$AN$1,),))</f>
        <v/>
      </c>
      <c r="X60" s="14">
        <f>IF(VLOOKUP(B60,Data!$A:$AN,MATCH(yoy!$X$1,Data!$A$1:$AN$1,),)=0,"#N/A",(VLOOKUP(B60,Data!$A:$AN,MATCH(yoy!$X$1,Data!$A$1:$AN$1,),)-VLOOKUP(A60,Data!$A:$AN,MATCH(yoy!$X$1,Data!$A$1:$AN$1,),))/VLOOKUP(A60,Data!$A:$AN,MATCH(yoy!$X$1,Data!$A$1:$AN$1,),))</f>
        <v/>
      </c>
      <c r="Y60" s="14">
        <f>IF(VLOOKUP(B60,Data!$A:$AN,MATCH(yoy!$Y$1,Data!$A$1:$AN$1,),)=0,"#N/A",(VLOOKUP(B60,Data!$A:$AN,MATCH(yoy!$Y$1,Data!$A$1:$AN$1,),)-VLOOKUP(A60,Data!$A:$AN,MATCH(yoy!$Y$1,Data!$A$1:$AN$1,),))/VLOOKUP(A60,Data!$A:$AN,MATCH(yoy!$Y$1,Data!$A$1:$AN$1,),))</f>
        <v/>
      </c>
      <c r="Z60" s="14">
        <f>IF(VLOOKUP(B60,Data!$A:$AN,MATCH(yoy!$Z$1,Data!$A$1:$AN$1,),)=0,"#N/A",(VLOOKUP(B60,Data!$A:$AN,MATCH(yoy!$Z$1,Data!$A$1:$AN$1,),)-VLOOKUP(A60,Data!$A:$AN,MATCH(yoy!$Z$1,Data!$A$1:$AN$1,),))/VLOOKUP(A60,Data!$A:$AN,MATCH(yoy!$Z$1,Data!$A$1:$AN$1,),))</f>
        <v/>
      </c>
      <c r="AA60" s="14">
        <f>IF(VLOOKUP(B60,Data!$A:$AN,MATCH(yoy!$AA$1,Data!$A$1:$AN$1,),)=0,"#N/A",(VLOOKUP(B60,Data!$A:$AN,MATCH(yoy!$AA$1,Data!$A$1:$AN$1,),)-VLOOKUP(A60,Data!$A:$AN,MATCH(yoy!$AA$1,Data!$A$1:$AN$1,),))/VLOOKUP(A60,Data!$A:$AN,MATCH(yoy!$AA$1,Data!$A$1:$AN$1,),))</f>
        <v/>
      </c>
    </row>
    <row r="61" customFormat="1" s="77">
      <c r="A61" s="20">
        <f>DATE(YEAR(B61)-1,MONTH(B61),DAY(B61))</f>
        <v/>
      </c>
      <c r="B61" s="12" t="n">
        <v>43709</v>
      </c>
      <c r="C61" s="14">
        <f>IF(VLOOKUP(B61,Data!$A:$AN,MATCH(yoy!$C$1,Data!$A$1:$AN$1,),)=0,"#N/A",(VLOOKUP(B61,Data!$A:$AN,MATCH(yoy!$C$1,Data!$A$1:$AN$1,),)-VLOOKUP(A61,Data!$A:$AN,MATCH(yoy!$C$1,Data!$A$1:$AN$1,),))/VLOOKUP(A61,Data!$A:$AN,MATCH(yoy!$C$1,Data!$A$1:$AN$1,),))</f>
        <v/>
      </c>
      <c r="D61" s="14">
        <f>IF(VLOOKUP(B61,Data!$A:$AN,MATCH(yoy!$D$1,Data!$A$1:$AN$1,),)=0,"#N/A",(VLOOKUP(B61,Data!$A:$AN,MATCH(yoy!$D$1,Data!$A$1:$AN$1,),)-VLOOKUP(A61,Data!$A:$AN,MATCH(yoy!$D$1,Data!$A$1:$AN$1,),))/VLOOKUP(A61,Data!$A:$AN,MATCH(yoy!$D$1,Data!$A$1:$AN$1,),))</f>
        <v/>
      </c>
      <c r="E61" s="14">
        <f>IF(VLOOKUP(B61,Data!$A:$AN,MATCH(yoy!$E$1,Data!$A$1:$AN$1,),)=0,"#N/A",(VLOOKUP(B61,Data!$A:$AN,MATCH(yoy!$E$1,Data!$A$1:$AN$1,),)-VLOOKUP(A61,Data!$A:$AN,MATCH(yoy!$E$1,Data!$A$1:$AN$1,),))/VLOOKUP(A61,Data!$A:$AN,MATCH(yoy!$E$1,Data!$A$1:$AN$1,),))</f>
        <v/>
      </c>
      <c r="F61" s="14">
        <f>IF(VLOOKUP(B61,Data!$A:$AN,MATCH(yoy!$F$1,Data!$A$1:$AN$1,),)=0,"#N/A",(VLOOKUP(B61,Data!$A:$AN,MATCH(yoy!$F$1,Data!$A$1:$AN$1,),)-VLOOKUP(A61,Data!$A:$AN,MATCH(yoy!$F$1,Data!$A$1:$AN$1,),))/VLOOKUP(A61,Data!$A:$AN,MATCH(yoy!$F$1,Data!$A$1:$AN$1,),))</f>
        <v/>
      </c>
      <c r="G61" s="14">
        <f>IF(VLOOKUP(B61,Data!$A:$AN,MATCH(yoy!$G$1,Data!$A$1:$AN$1,),)=0,"#N/A",(VLOOKUP(B61,Data!$A:$AN,MATCH(yoy!$G$1,Data!$A$1:$AN$1,),)-VLOOKUP(A61,Data!$A:$AN,MATCH(yoy!$G$1,Data!$A$1:$AN$1,),))/VLOOKUP(A61,Data!$A:$AN,MATCH(yoy!$G$1,Data!$A$1:$AN$1,),))</f>
        <v/>
      </c>
      <c r="H61" s="14">
        <f>IF(VLOOKUP(B61,Data!$A:$AN,MATCH(yoy!$H$1,Data!$A$1:$AN$1,),)=0,"#N/A",(VLOOKUP(B61,Data!$A:$AN,MATCH(yoy!$H$1,Data!$A$1:$AN$1,),)-VLOOKUP(A61,Data!$A:$AN,MATCH(yoy!$H$1,Data!$A$1:$AN$1,),))/VLOOKUP(A61,Data!$A:$AN,MATCH(yoy!$H$1,Data!$A$1:$AN$1,),))</f>
        <v/>
      </c>
      <c r="I61" s="14">
        <f>IF(VLOOKUP(B61,Data!$A:$AN,MATCH(yoy!$I$1,Data!$A$1:$AN$1,),)=0,"#N/A",(VLOOKUP(B61,Data!$A:$AN,MATCH(yoy!$I$1,Data!$A$1:$AN$1,),)-VLOOKUP(A61,Data!$A:$AN,MATCH(yoy!$I$1,Data!$A$1:$AN$1,),))/VLOOKUP(A61,Data!$A:$AN,MATCH(yoy!$I$1,Data!$A$1:$AN$1,),))</f>
        <v/>
      </c>
      <c r="J61" s="14">
        <f>IF(VLOOKUP(B61,Data!$A:$AN,MATCH(yoy!$J$1,Data!$A$1:$AN$1,),)=0,"#N/A",(VLOOKUP(B61,Data!$A:$AN,MATCH(yoy!$J$1,Data!$A$1:$AN$1,),)-VLOOKUP(A61,Data!$A:$AN,MATCH(yoy!$J$1,Data!$A$1:$AN$1,),))/VLOOKUP(A61,Data!$A:$AN,MATCH(yoy!$J$1,Data!$A$1:$AN$1,),))</f>
        <v/>
      </c>
      <c r="K61" s="14">
        <f>IF(VLOOKUP(B61,Data!$A:$AN,MATCH(yoy!$K$1,Data!$A$1:$AN$1,),)=0,"#N/A",(VLOOKUP(B61,Data!$A:$AN,MATCH(yoy!$K$1,Data!$A$1:$AN$1,),)-VLOOKUP(A61,Data!$A:$AN,MATCH(yoy!$K$1,Data!$A$1:$AN$1,),))/VLOOKUP(A61,Data!$A:$AN,MATCH(yoy!$K$1,Data!$A$1:$AN$1,),))</f>
        <v/>
      </c>
      <c r="L61" s="14">
        <f>IF(VLOOKUP(B61,Data!$A:$AN,MATCH(yoy!$L$1,Data!$A$1:$AN$1,),)=0,"#N/A",(VLOOKUP(B61,Data!$A:$AN,MATCH(yoy!$L$1,Data!$A$1:$AN$1,),)-VLOOKUP(A61,Data!$A:$AN,MATCH(yoy!$L$1,Data!$A$1:$AN$1,),))/VLOOKUP(A61,Data!$A:$AN,MATCH(yoy!$L$1,Data!$A$1:$AN$1,),))</f>
        <v/>
      </c>
      <c r="M61" s="14">
        <f>IF(VLOOKUP(B61,Data!$A:$AN,MATCH(yoy!$M$1,Data!$A$1:$AN$1,),)=0,"#N/A",(VLOOKUP(B61,Data!$A:$AN,MATCH(yoy!$M$1,Data!$A$1:$AN$1,),)-VLOOKUP(A61,Data!$A:$AN,MATCH(yoy!$M$1,Data!$A$1:$AN$1,),))/VLOOKUP(A61,Data!$A:$AN,MATCH(yoy!$M$1,Data!$A$1:$AN$1,),))</f>
        <v/>
      </c>
      <c r="N61" s="14">
        <f>IF(VLOOKUP(B61,Data!$A:$AN,MATCH(yoy!$N$1,Data!$A$1:$AN$1,),)=0,"#N/A",(VLOOKUP(B61,Data!$A:$AN,MATCH(yoy!$N$1,Data!$A$1:$AN$1,),)-VLOOKUP(A61,Data!$A:$AN,MATCH(yoy!$N$1,Data!$A$1:$AN$1,),))/VLOOKUP(A61,Data!$A:$AN,MATCH(yoy!$N$1,Data!$A$1:$AN$1,),))</f>
        <v/>
      </c>
      <c r="O61" s="14">
        <f>IF(VLOOKUP(B61,Data!$A:$AN,MATCH(yoy!$O$1,Data!$A$1:$AN$1,),)=0,"#N/A",(VLOOKUP(B61,Data!$A:$AN,MATCH(yoy!$O$1,Data!$A$1:$AN$1,),)-VLOOKUP(A61,Data!$A:$AN,MATCH(yoy!$O$1,Data!$A$1:$AN$1,),))/VLOOKUP(A61,Data!$A:$AN,MATCH(yoy!$O$1,Data!$A$1:$AN$1,),))</f>
        <v/>
      </c>
      <c r="P61" s="14">
        <f>IF(VLOOKUP(B61,Data!$A:$AN,MATCH(yoy!$P$1,Data!$A$1:$AN$1,),)=0,"#N/A",(VLOOKUP(B61,Data!$A:$AN,MATCH(yoy!$P$1,Data!$A$1:$AN$1,),)-VLOOKUP(A61,Data!$A:$AN,MATCH(yoy!$P$1,Data!$A$1:$AN$1,),))/VLOOKUP(A61,Data!$A:$AN,MATCH(yoy!$P$1,Data!$A$1:$AN$1,),))</f>
        <v/>
      </c>
      <c r="Q61" s="14">
        <f>IF(VLOOKUP(B61,Data!$A:$AN,MATCH(yoy!$Q$1,Data!$A$1:$AN$1,),)=0,"#N/A",(VLOOKUP(B61,Data!$A:$AN,MATCH(yoy!$Q$1,Data!$A$1:$AN$1,),)-VLOOKUP(A61,Data!$A:$AN,MATCH(yoy!$Q$1,Data!$A$1:$AN$1,),))/VLOOKUP(A61,Data!$A:$AN,MATCH(yoy!$Q$1,Data!$A$1:$AN$1,),))</f>
        <v/>
      </c>
      <c r="R61" s="14">
        <f>IF(VLOOKUP(B61,Data!$A:$AN,MATCH(yoy!$R$1,Data!$A$1:$AN$1,),)=0,"#N/A",(VLOOKUP(B61,Data!$A:$AN,MATCH(yoy!$R$1,Data!$A$1:$AN$1,),)-VLOOKUP(A61,Data!$A:$AN,MATCH(yoy!$R$1,Data!$A$1:$AN$1,),))/VLOOKUP(A61,Data!$A:$AN,MATCH(yoy!$R$1,Data!$A$1:$AN$1,),))</f>
        <v/>
      </c>
      <c r="S61" s="14">
        <f>IF(VLOOKUP(B61,Data!$A:$AN,MATCH(yoy!$S$1,Data!$A$1:$AN$1,),)=0,"#N/A",(VLOOKUP(B61,Data!$A:$AN,MATCH(yoy!$S$1,Data!$A$1:$AN$1,),)-VLOOKUP(A61,Data!$A:$AN,MATCH(yoy!$S$1,Data!$A$1:$AN$1,),))/VLOOKUP(A61,Data!$A:$AN,MATCH(yoy!$S$1,Data!$A$1:$AN$1,),))</f>
        <v/>
      </c>
      <c r="T61" s="14">
        <f>IF(VLOOKUP(B61,Data!$A:$AN,MATCH(yoy!$T$1,Data!$A$1:$AN$1,),)=0,"#N/A",(VLOOKUP(B61,Data!$A:$AN,MATCH(yoy!$T$1,Data!$A$1:$AN$1,),)-VLOOKUP(A61,Data!$A:$AN,MATCH(yoy!$T$1,Data!$A$1:$AN$1,),))/VLOOKUP(A61,Data!$A:$AN,MATCH(yoy!$T$1,Data!$A$1:$AN$1,),))</f>
        <v/>
      </c>
      <c r="U61" s="14">
        <f>IF(VLOOKUP(B61,Data!$A:$AN,MATCH(yoy!$U$1,Data!$A$1:$AN$1,),)=0,"#N/A",(VLOOKUP(B61,Data!$A:$AN,MATCH(yoy!$U$1,Data!$A$1:$AN$1,),)-VLOOKUP(A61,Data!$A:$AN,MATCH(yoy!$U$1,Data!$A$1:$AN$1,),))/VLOOKUP(A61,Data!$A:$AN,MATCH(yoy!$U$1,Data!$A$1:$AN$1,),))</f>
        <v/>
      </c>
      <c r="V61" s="14">
        <f>IF(VLOOKUP(B61,Data!$A:$AN,MATCH(yoy!$V$1,Data!$A$1:$AN$1,),)=0,"#N/A",(VLOOKUP(B61,Data!$A:$AN,MATCH(yoy!$V$1,Data!$A$1:$AN$1,),)-VLOOKUP(A61,Data!$A:$AN,MATCH(yoy!$V$1,Data!$A$1:$AN$1,),))/VLOOKUP(A61,Data!$A:$AN,MATCH(yoy!$V$1,Data!$A$1:$AN$1,),))</f>
        <v/>
      </c>
      <c r="W61" s="14">
        <f>IF(VLOOKUP(B61,Data!$A:$AN,MATCH(yoy!$W$1,Data!$A$1:$AN$1,),)=0,"#N/A",(VLOOKUP(B61,Data!$A:$AN,MATCH(yoy!$W$1,Data!$A$1:$AN$1,),)-VLOOKUP(A61,Data!$A:$AN,MATCH(yoy!$W$1,Data!$A$1:$AN$1,),))/VLOOKUP(A61,Data!$A:$AN,MATCH(yoy!$W$1,Data!$A$1:$AN$1,),))</f>
        <v/>
      </c>
      <c r="X61" s="14">
        <f>IF(VLOOKUP(B61,Data!$A:$AN,MATCH(yoy!$X$1,Data!$A$1:$AN$1,),)=0,"#N/A",(VLOOKUP(B61,Data!$A:$AN,MATCH(yoy!$X$1,Data!$A$1:$AN$1,),)-VLOOKUP(A61,Data!$A:$AN,MATCH(yoy!$X$1,Data!$A$1:$AN$1,),))/VLOOKUP(A61,Data!$A:$AN,MATCH(yoy!$X$1,Data!$A$1:$AN$1,),))</f>
        <v/>
      </c>
      <c r="Y61" s="14">
        <f>IF(VLOOKUP(B61,Data!$A:$AN,MATCH(yoy!$Y$1,Data!$A$1:$AN$1,),)=0,"#N/A",(VLOOKUP(B61,Data!$A:$AN,MATCH(yoy!$Y$1,Data!$A$1:$AN$1,),)-VLOOKUP(A61,Data!$A:$AN,MATCH(yoy!$Y$1,Data!$A$1:$AN$1,),))/VLOOKUP(A61,Data!$A:$AN,MATCH(yoy!$Y$1,Data!$A$1:$AN$1,),))</f>
        <v/>
      </c>
      <c r="Z61" s="14">
        <f>IF(VLOOKUP(B61,Data!$A:$AN,MATCH(yoy!$Z$1,Data!$A$1:$AN$1,),)=0,"#N/A",(VLOOKUP(B61,Data!$A:$AN,MATCH(yoy!$Z$1,Data!$A$1:$AN$1,),)-VLOOKUP(A61,Data!$A:$AN,MATCH(yoy!$Z$1,Data!$A$1:$AN$1,),))/VLOOKUP(A61,Data!$A:$AN,MATCH(yoy!$Z$1,Data!$A$1:$AN$1,),))</f>
        <v/>
      </c>
      <c r="AA61" s="14">
        <f>IF(VLOOKUP(B61,Data!$A:$AN,MATCH(yoy!$AA$1,Data!$A$1:$AN$1,),)=0,"#N/A",(VLOOKUP(B61,Data!$A:$AN,MATCH(yoy!$AA$1,Data!$A$1:$AN$1,),)-VLOOKUP(A61,Data!$A:$AN,MATCH(yoy!$AA$1,Data!$A$1:$AN$1,),))/VLOOKUP(A61,Data!$A:$AN,MATCH(yoy!$AA$1,Data!$A$1:$AN$1,),))</f>
        <v/>
      </c>
    </row>
    <row r="62" customFormat="1" s="77">
      <c r="A62" s="20">
        <f>DATE(YEAR(B62)-1,MONTH(B62),DAY(B62))</f>
        <v/>
      </c>
      <c r="B62" s="12" t="n">
        <v>43739</v>
      </c>
      <c r="C62" s="14">
        <f>IF(VLOOKUP(B62,Data!$A:$AN,MATCH(yoy!$C$1,Data!$A$1:$AN$1,),)=0,"#N/A",(VLOOKUP(B62,Data!$A:$AN,MATCH(yoy!$C$1,Data!$A$1:$AN$1,),)-VLOOKUP(A62,Data!$A:$AN,MATCH(yoy!$C$1,Data!$A$1:$AN$1,),))/VLOOKUP(A62,Data!$A:$AN,MATCH(yoy!$C$1,Data!$A$1:$AN$1,),))</f>
        <v/>
      </c>
      <c r="D62" s="14">
        <f>IF(VLOOKUP(B62,Data!$A:$AN,MATCH(yoy!$D$1,Data!$A$1:$AN$1,),)=0,"#N/A",(VLOOKUP(B62,Data!$A:$AN,MATCH(yoy!$D$1,Data!$A$1:$AN$1,),)-VLOOKUP(A62,Data!$A:$AN,MATCH(yoy!$D$1,Data!$A$1:$AN$1,),))/VLOOKUP(A62,Data!$A:$AN,MATCH(yoy!$D$1,Data!$A$1:$AN$1,),))</f>
        <v/>
      </c>
      <c r="E62" s="14">
        <f>IF(VLOOKUP(B62,Data!$A:$AN,MATCH(yoy!$E$1,Data!$A$1:$AN$1,),)=0,"#N/A",(VLOOKUP(B62,Data!$A:$AN,MATCH(yoy!$E$1,Data!$A$1:$AN$1,),)-VLOOKUP(A62,Data!$A:$AN,MATCH(yoy!$E$1,Data!$A$1:$AN$1,),))/VLOOKUP(A62,Data!$A:$AN,MATCH(yoy!$E$1,Data!$A$1:$AN$1,),))</f>
        <v/>
      </c>
      <c r="F62" s="14">
        <f>IF(VLOOKUP(B62,Data!$A:$AN,MATCH(yoy!$F$1,Data!$A$1:$AN$1,),)=0,"#N/A",(VLOOKUP(B62,Data!$A:$AN,MATCH(yoy!$F$1,Data!$A$1:$AN$1,),)-VLOOKUP(A62,Data!$A:$AN,MATCH(yoy!$F$1,Data!$A$1:$AN$1,),))/VLOOKUP(A62,Data!$A:$AN,MATCH(yoy!$F$1,Data!$A$1:$AN$1,),))</f>
        <v/>
      </c>
      <c r="G62" s="14">
        <f>IF(VLOOKUP(B62,Data!$A:$AN,MATCH(yoy!$G$1,Data!$A$1:$AN$1,),)=0,"#N/A",(VLOOKUP(B62,Data!$A:$AN,MATCH(yoy!$G$1,Data!$A$1:$AN$1,),)-VLOOKUP(A62,Data!$A:$AN,MATCH(yoy!$G$1,Data!$A$1:$AN$1,),))/VLOOKUP(A62,Data!$A:$AN,MATCH(yoy!$G$1,Data!$A$1:$AN$1,),))</f>
        <v/>
      </c>
      <c r="H62" s="14">
        <f>IF(VLOOKUP(B62,Data!$A:$AN,MATCH(yoy!$H$1,Data!$A$1:$AN$1,),)=0,"#N/A",(VLOOKUP(B62,Data!$A:$AN,MATCH(yoy!$H$1,Data!$A$1:$AN$1,),)-VLOOKUP(A62,Data!$A:$AN,MATCH(yoy!$H$1,Data!$A$1:$AN$1,),))/VLOOKUP(A62,Data!$A:$AN,MATCH(yoy!$H$1,Data!$A$1:$AN$1,),))</f>
        <v/>
      </c>
      <c r="I62" s="14">
        <f>IF(VLOOKUP(B62,Data!$A:$AN,MATCH(yoy!$I$1,Data!$A$1:$AN$1,),)=0,"#N/A",(VLOOKUP(B62,Data!$A:$AN,MATCH(yoy!$I$1,Data!$A$1:$AN$1,),)-VLOOKUP(A62,Data!$A:$AN,MATCH(yoy!$I$1,Data!$A$1:$AN$1,),))/VLOOKUP(A62,Data!$A:$AN,MATCH(yoy!$I$1,Data!$A$1:$AN$1,),))</f>
        <v/>
      </c>
      <c r="J62" s="14">
        <f>IF(VLOOKUP(B62,Data!$A:$AN,MATCH(yoy!$J$1,Data!$A$1:$AN$1,),)=0,"#N/A",(VLOOKUP(B62,Data!$A:$AN,MATCH(yoy!$J$1,Data!$A$1:$AN$1,),)-VLOOKUP(A62,Data!$A:$AN,MATCH(yoy!$J$1,Data!$A$1:$AN$1,),))/VLOOKUP(A62,Data!$A:$AN,MATCH(yoy!$J$1,Data!$A$1:$AN$1,),))</f>
        <v/>
      </c>
      <c r="K62" s="14">
        <f>IF(VLOOKUP(B62,Data!$A:$AN,MATCH(yoy!$K$1,Data!$A$1:$AN$1,),)=0,"#N/A",(VLOOKUP(B62,Data!$A:$AN,MATCH(yoy!$K$1,Data!$A$1:$AN$1,),)-VLOOKUP(A62,Data!$A:$AN,MATCH(yoy!$K$1,Data!$A$1:$AN$1,),))/VLOOKUP(A62,Data!$A:$AN,MATCH(yoy!$K$1,Data!$A$1:$AN$1,),))</f>
        <v/>
      </c>
      <c r="L62" s="14">
        <f>IF(VLOOKUP(B62,Data!$A:$AN,MATCH(yoy!$L$1,Data!$A$1:$AN$1,),)=0,"#N/A",(VLOOKUP(B62,Data!$A:$AN,MATCH(yoy!$L$1,Data!$A$1:$AN$1,),)-VLOOKUP(A62,Data!$A:$AN,MATCH(yoy!$L$1,Data!$A$1:$AN$1,),))/VLOOKUP(A62,Data!$A:$AN,MATCH(yoy!$L$1,Data!$A$1:$AN$1,),))</f>
        <v/>
      </c>
      <c r="M62" s="14">
        <f>IF(VLOOKUP(B62,Data!$A:$AN,MATCH(yoy!$M$1,Data!$A$1:$AN$1,),)=0,"#N/A",(VLOOKUP(B62,Data!$A:$AN,MATCH(yoy!$M$1,Data!$A$1:$AN$1,),)-VLOOKUP(A62,Data!$A:$AN,MATCH(yoy!$M$1,Data!$A$1:$AN$1,),))/VLOOKUP(A62,Data!$A:$AN,MATCH(yoy!$M$1,Data!$A$1:$AN$1,),))</f>
        <v/>
      </c>
      <c r="N62" s="14">
        <f>IF(VLOOKUP(B62,Data!$A:$AN,MATCH(yoy!$N$1,Data!$A$1:$AN$1,),)=0,"#N/A",(VLOOKUP(B62,Data!$A:$AN,MATCH(yoy!$N$1,Data!$A$1:$AN$1,),)-VLOOKUP(A62,Data!$A:$AN,MATCH(yoy!$N$1,Data!$A$1:$AN$1,),))/VLOOKUP(A62,Data!$A:$AN,MATCH(yoy!$N$1,Data!$A$1:$AN$1,),))</f>
        <v/>
      </c>
      <c r="O62" s="14">
        <f>IF(VLOOKUP(B62,Data!$A:$AN,MATCH(yoy!$O$1,Data!$A$1:$AN$1,),)=0,"#N/A",(VLOOKUP(B62,Data!$A:$AN,MATCH(yoy!$O$1,Data!$A$1:$AN$1,),)-VLOOKUP(A62,Data!$A:$AN,MATCH(yoy!$O$1,Data!$A$1:$AN$1,),))/VLOOKUP(A62,Data!$A:$AN,MATCH(yoy!$O$1,Data!$A$1:$AN$1,),))</f>
        <v/>
      </c>
      <c r="P62" s="14">
        <f>IF(VLOOKUP(B62,Data!$A:$AN,MATCH(yoy!$P$1,Data!$A$1:$AN$1,),)=0,"#N/A",(VLOOKUP(B62,Data!$A:$AN,MATCH(yoy!$P$1,Data!$A$1:$AN$1,),)-VLOOKUP(A62,Data!$A:$AN,MATCH(yoy!$P$1,Data!$A$1:$AN$1,),))/VLOOKUP(A62,Data!$A:$AN,MATCH(yoy!$P$1,Data!$A$1:$AN$1,),))</f>
        <v/>
      </c>
      <c r="Q62" s="14">
        <f>IF(VLOOKUP(B62,Data!$A:$AN,MATCH(yoy!$Q$1,Data!$A$1:$AN$1,),)=0,"#N/A",(VLOOKUP(B62,Data!$A:$AN,MATCH(yoy!$Q$1,Data!$A$1:$AN$1,),)-VLOOKUP(A62,Data!$A:$AN,MATCH(yoy!$Q$1,Data!$A$1:$AN$1,),))/VLOOKUP(A62,Data!$A:$AN,MATCH(yoy!$Q$1,Data!$A$1:$AN$1,),))</f>
        <v/>
      </c>
      <c r="R62" s="14">
        <f>IF(VLOOKUP(B62,Data!$A:$AN,MATCH(yoy!$R$1,Data!$A$1:$AN$1,),)=0,"#N/A",(VLOOKUP(B62,Data!$A:$AN,MATCH(yoy!$R$1,Data!$A$1:$AN$1,),)-VLOOKUP(A62,Data!$A:$AN,MATCH(yoy!$R$1,Data!$A$1:$AN$1,),))/VLOOKUP(A62,Data!$A:$AN,MATCH(yoy!$R$1,Data!$A$1:$AN$1,),))</f>
        <v/>
      </c>
      <c r="S62" s="14">
        <f>IF(VLOOKUP(B62,Data!$A:$AN,MATCH(yoy!$S$1,Data!$A$1:$AN$1,),)=0,"#N/A",(VLOOKUP(B62,Data!$A:$AN,MATCH(yoy!$S$1,Data!$A$1:$AN$1,),)-VLOOKUP(A62,Data!$A:$AN,MATCH(yoy!$S$1,Data!$A$1:$AN$1,),))/VLOOKUP(A62,Data!$A:$AN,MATCH(yoy!$S$1,Data!$A$1:$AN$1,),))</f>
        <v/>
      </c>
      <c r="T62" s="14">
        <f>IF(VLOOKUP(B62,Data!$A:$AN,MATCH(yoy!$T$1,Data!$A$1:$AN$1,),)=0,"#N/A",(VLOOKUP(B62,Data!$A:$AN,MATCH(yoy!$T$1,Data!$A$1:$AN$1,),)-VLOOKUP(A62,Data!$A:$AN,MATCH(yoy!$T$1,Data!$A$1:$AN$1,),))/VLOOKUP(A62,Data!$A:$AN,MATCH(yoy!$T$1,Data!$A$1:$AN$1,),))</f>
        <v/>
      </c>
      <c r="U62" s="14">
        <f>IF(VLOOKUP(B62,Data!$A:$AN,MATCH(yoy!$U$1,Data!$A$1:$AN$1,),)=0,"#N/A",(VLOOKUP(B62,Data!$A:$AN,MATCH(yoy!$U$1,Data!$A$1:$AN$1,),)-VLOOKUP(A62,Data!$A:$AN,MATCH(yoy!$U$1,Data!$A$1:$AN$1,),))/VLOOKUP(A62,Data!$A:$AN,MATCH(yoy!$U$1,Data!$A$1:$AN$1,),))</f>
        <v/>
      </c>
      <c r="V62" s="14">
        <f>IF(VLOOKUP(B62,Data!$A:$AN,MATCH(yoy!$V$1,Data!$A$1:$AN$1,),)=0,"#N/A",(VLOOKUP(B62,Data!$A:$AN,MATCH(yoy!$V$1,Data!$A$1:$AN$1,),)-VLOOKUP(A62,Data!$A:$AN,MATCH(yoy!$V$1,Data!$A$1:$AN$1,),))/VLOOKUP(A62,Data!$A:$AN,MATCH(yoy!$V$1,Data!$A$1:$AN$1,),))</f>
        <v/>
      </c>
      <c r="W62" s="14">
        <f>IF(VLOOKUP(B62,Data!$A:$AN,MATCH(yoy!$W$1,Data!$A$1:$AN$1,),)=0,"#N/A",(VLOOKUP(B62,Data!$A:$AN,MATCH(yoy!$W$1,Data!$A$1:$AN$1,),)-VLOOKUP(A62,Data!$A:$AN,MATCH(yoy!$W$1,Data!$A$1:$AN$1,),))/VLOOKUP(A62,Data!$A:$AN,MATCH(yoy!$W$1,Data!$A$1:$AN$1,),))</f>
        <v/>
      </c>
      <c r="X62" s="14">
        <f>IF(VLOOKUP(B62,Data!$A:$AN,MATCH(yoy!$X$1,Data!$A$1:$AN$1,),)=0,"#N/A",(VLOOKUP(B62,Data!$A:$AN,MATCH(yoy!$X$1,Data!$A$1:$AN$1,),)-VLOOKUP(A62,Data!$A:$AN,MATCH(yoy!$X$1,Data!$A$1:$AN$1,),))/VLOOKUP(A62,Data!$A:$AN,MATCH(yoy!$X$1,Data!$A$1:$AN$1,),))</f>
        <v/>
      </c>
      <c r="Y62" s="14">
        <f>IF(VLOOKUP(B62,Data!$A:$AN,MATCH(yoy!$Y$1,Data!$A$1:$AN$1,),)=0,"#N/A",(VLOOKUP(B62,Data!$A:$AN,MATCH(yoy!$Y$1,Data!$A$1:$AN$1,),)-VLOOKUP(A62,Data!$A:$AN,MATCH(yoy!$Y$1,Data!$A$1:$AN$1,),))/VLOOKUP(A62,Data!$A:$AN,MATCH(yoy!$Y$1,Data!$A$1:$AN$1,),))</f>
        <v/>
      </c>
      <c r="Z62" s="14">
        <f>IF(VLOOKUP(B62,Data!$A:$AN,MATCH(yoy!$Z$1,Data!$A$1:$AN$1,),)=0,"#N/A",(VLOOKUP(B62,Data!$A:$AN,MATCH(yoy!$Z$1,Data!$A$1:$AN$1,),)-VLOOKUP(A62,Data!$A:$AN,MATCH(yoy!$Z$1,Data!$A$1:$AN$1,),))/VLOOKUP(A62,Data!$A:$AN,MATCH(yoy!$Z$1,Data!$A$1:$AN$1,),))</f>
        <v/>
      </c>
      <c r="AA62" s="14">
        <f>IF(VLOOKUP(B62,Data!$A:$AN,MATCH(yoy!$AA$1,Data!$A$1:$AN$1,),)=0,"#N/A",(VLOOKUP(B62,Data!$A:$AN,MATCH(yoy!$AA$1,Data!$A$1:$AN$1,),)-VLOOKUP(A62,Data!$A:$AN,MATCH(yoy!$AA$1,Data!$A$1:$AN$1,),))/VLOOKUP(A62,Data!$A:$AN,MATCH(yoy!$AA$1,Data!$A$1:$AN$1,),))</f>
        <v/>
      </c>
    </row>
    <row r="63" customFormat="1" s="77">
      <c r="A63" s="20">
        <f>DATE(YEAR(B63)-1,MONTH(B63),DAY(B63))</f>
        <v/>
      </c>
      <c r="B63" s="12" t="n">
        <v>43770</v>
      </c>
      <c r="C63" s="14">
        <f>IF(VLOOKUP(B63,Data!$A:$AN,MATCH(yoy!$C$1,Data!$A$1:$AN$1,),)=0,"#N/A",(VLOOKUP(B63,Data!$A:$AN,MATCH(yoy!$C$1,Data!$A$1:$AN$1,),)-VLOOKUP(A63,Data!$A:$AN,MATCH(yoy!$C$1,Data!$A$1:$AN$1,),))/VLOOKUP(A63,Data!$A:$AN,MATCH(yoy!$C$1,Data!$A$1:$AN$1,),))</f>
        <v/>
      </c>
      <c r="D63" s="14">
        <f>IF(VLOOKUP(B63,Data!$A:$AN,MATCH(yoy!$D$1,Data!$A$1:$AN$1,),)=0,"#N/A",(VLOOKUP(B63,Data!$A:$AN,MATCH(yoy!$D$1,Data!$A$1:$AN$1,),)-VLOOKUP(A63,Data!$A:$AN,MATCH(yoy!$D$1,Data!$A$1:$AN$1,),))/VLOOKUP(A63,Data!$A:$AN,MATCH(yoy!$D$1,Data!$A$1:$AN$1,),))</f>
        <v/>
      </c>
      <c r="E63" s="14">
        <f>IF(VLOOKUP(B63,Data!$A:$AN,MATCH(yoy!$E$1,Data!$A$1:$AN$1,),)=0,"#N/A",(VLOOKUP(B63,Data!$A:$AN,MATCH(yoy!$E$1,Data!$A$1:$AN$1,),)-VLOOKUP(A63,Data!$A:$AN,MATCH(yoy!$E$1,Data!$A$1:$AN$1,),))/VLOOKUP(A63,Data!$A:$AN,MATCH(yoy!$E$1,Data!$A$1:$AN$1,),))</f>
        <v/>
      </c>
      <c r="F63" s="14">
        <f>IF(VLOOKUP(B63,Data!$A:$AN,MATCH(yoy!$F$1,Data!$A$1:$AN$1,),)=0,"#N/A",(VLOOKUP(B63,Data!$A:$AN,MATCH(yoy!$F$1,Data!$A$1:$AN$1,),)-VLOOKUP(A63,Data!$A:$AN,MATCH(yoy!$F$1,Data!$A$1:$AN$1,),))/VLOOKUP(A63,Data!$A:$AN,MATCH(yoy!$F$1,Data!$A$1:$AN$1,),))</f>
        <v/>
      </c>
      <c r="G63" s="14">
        <f>IF(VLOOKUP(B63,Data!$A:$AN,MATCH(yoy!$G$1,Data!$A$1:$AN$1,),)=0,"#N/A",(VLOOKUP(B63,Data!$A:$AN,MATCH(yoy!$G$1,Data!$A$1:$AN$1,),)-VLOOKUP(A63,Data!$A:$AN,MATCH(yoy!$G$1,Data!$A$1:$AN$1,),))/VLOOKUP(A63,Data!$A:$AN,MATCH(yoy!$G$1,Data!$A$1:$AN$1,),))</f>
        <v/>
      </c>
      <c r="H63" s="14">
        <f>IF(VLOOKUP(B63,Data!$A:$AN,MATCH(yoy!$H$1,Data!$A$1:$AN$1,),)=0,"#N/A",(VLOOKUP(B63,Data!$A:$AN,MATCH(yoy!$H$1,Data!$A$1:$AN$1,),)-VLOOKUP(A63,Data!$A:$AN,MATCH(yoy!$H$1,Data!$A$1:$AN$1,),))/VLOOKUP(A63,Data!$A:$AN,MATCH(yoy!$H$1,Data!$A$1:$AN$1,),))</f>
        <v/>
      </c>
      <c r="I63" s="14">
        <f>IF(VLOOKUP(B63,Data!$A:$AN,MATCH(yoy!$I$1,Data!$A$1:$AN$1,),)=0,"#N/A",(VLOOKUP(B63,Data!$A:$AN,MATCH(yoy!$I$1,Data!$A$1:$AN$1,),)-VLOOKUP(A63,Data!$A:$AN,MATCH(yoy!$I$1,Data!$A$1:$AN$1,),))/VLOOKUP(A63,Data!$A:$AN,MATCH(yoy!$I$1,Data!$A$1:$AN$1,),))</f>
        <v/>
      </c>
      <c r="J63" s="14">
        <f>IF(VLOOKUP(B63,Data!$A:$AN,MATCH(yoy!$J$1,Data!$A$1:$AN$1,),)=0,"#N/A",(VLOOKUP(B63,Data!$A:$AN,MATCH(yoy!$J$1,Data!$A$1:$AN$1,),)-VLOOKUP(A63,Data!$A:$AN,MATCH(yoy!$J$1,Data!$A$1:$AN$1,),))/VLOOKUP(A63,Data!$A:$AN,MATCH(yoy!$J$1,Data!$A$1:$AN$1,),))</f>
        <v/>
      </c>
      <c r="K63" s="14">
        <f>IF(VLOOKUP(B63,Data!$A:$AN,MATCH(yoy!$K$1,Data!$A$1:$AN$1,),)=0,"#N/A",(VLOOKUP(B63,Data!$A:$AN,MATCH(yoy!$K$1,Data!$A$1:$AN$1,),)-VLOOKUP(A63,Data!$A:$AN,MATCH(yoy!$K$1,Data!$A$1:$AN$1,),))/VLOOKUP(A63,Data!$A:$AN,MATCH(yoy!$K$1,Data!$A$1:$AN$1,),))</f>
        <v/>
      </c>
      <c r="L63" s="14">
        <f>IF(VLOOKUP(B63,Data!$A:$AN,MATCH(yoy!$L$1,Data!$A$1:$AN$1,),)=0,"#N/A",(VLOOKUP(B63,Data!$A:$AN,MATCH(yoy!$L$1,Data!$A$1:$AN$1,),)-VLOOKUP(A63,Data!$A:$AN,MATCH(yoy!$L$1,Data!$A$1:$AN$1,),))/VLOOKUP(A63,Data!$A:$AN,MATCH(yoy!$L$1,Data!$A$1:$AN$1,),))</f>
        <v/>
      </c>
      <c r="M63" s="14">
        <f>IF(VLOOKUP(B63,Data!$A:$AN,MATCH(yoy!$M$1,Data!$A$1:$AN$1,),)=0,"#N/A",(VLOOKUP(B63,Data!$A:$AN,MATCH(yoy!$M$1,Data!$A$1:$AN$1,),)-VLOOKUP(A63,Data!$A:$AN,MATCH(yoy!$M$1,Data!$A$1:$AN$1,),))/VLOOKUP(A63,Data!$A:$AN,MATCH(yoy!$M$1,Data!$A$1:$AN$1,),))</f>
        <v/>
      </c>
      <c r="N63" s="14">
        <f>IF(VLOOKUP(B63,Data!$A:$AN,MATCH(yoy!$N$1,Data!$A$1:$AN$1,),)=0,"#N/A",(VLOOKUP(B63,Data!$A:$AN,MATCH(yoy!$N$1,Data!$A$1:$AN$1,),)-VLOOKUP(A63,Data!$A:$AN,MATCH(yoy!$N$1,Data!$A$1:$AN$1,),))/VLOOKUP(A63,Data!$A:$AN,MATCH(yoy!$N$1,Data!$A$1:$AN$1,),))</f>
        <v/>
      </c>
      <c r="O63" s="14">
        <f>IF(VLOOKUP(B63,Data!$A:$AN,MATCH(yoy!$O$1,Data!$A$1:$AN$1,),)=0,"#N/A",(VLOOKUP(B63,Data!$A:$AN,MATCH(yoy!$O$1,Data!$A$1:$AN$1,),)-VLOOKUP(A63,Data!$A:$AN,MATCH(yoy!$O$1,Data!$A$1:$AN$1,),))/VLOOKUP(A63,Data!$A:$AN,MATCH(yoy!$O$1,Data!$A$1:$AN$1,),))</f>
        <v/>
      </c>
      <c r="P63" s="14">
        <f>IF(VLOOKUP(B63,Data!$A:$AN,MATCH(yoy!$P$1,Data!$A$1:$AN$1,),)=0,"#N/A",(VLOOKUP(B63,Data!$A:$AN,MATCH(yoy!$P$1,Data!$A$1:$AN$1,),)-VLOOKUP(A63,Data!$A:$AN,MATCH(yoy!$P$1,Data!$A$1:$AN$1,),))/VLOOKUP(A63,Data!$A:$AN,MATCH(yoy!$P$1,Data!$A$1:$AN$1,),))</f>
        <v/>
      </c>
      <c r="Q63" s="14">
        <f>IF(VLOOKUP(B63,Data!$A:$AN,MATCH(yoy!$Q$1,Data!$A$1:$AN$1,),)=0,"#N/A",(VLOOKUP(B63,Data!$A:$AN,MATCH(yoy!$Q$1,Data!$A$1:$AN$1,),)-VLOOKUP(A63,Data!$A:$AN,MATCH(yoy!$Q$1,Data!$A$1:$AN$1,),))/VLOOKUP(A63,Data!$A:$AN,MATCH(yoy!$Q$1,Data!$A$1:$AN$1,),))</f>
        <v/>
      </c>
      <c r="R63" s="14">
        <f>IF(VLOOKUP(B63,Data!$A:$AN,MATCH(yoy!$R$1,Data!$A$1:$AN$1,),)=0,"#N/A",(VLOOKUP(B63,Data!$A:$AN,MATCH(yoy!$R$1,Data!$A$1:$AN$1,),)-VLOOKUP(A63,Data!$A:$AN,MATCH(yoy!$R$1,Data!$A$1:$AN$1,),))/VLOOKUP(A63,Data!$A:$AN,MATCH(yoy!$R$1,Data!$A$1:$AN$1,),))</f>
        <v/>
      </c>
      <c r="S63" s="14">
        <f>IF(VLOOKUP(B63,Data!$A:$AN,MATCH(yoy!$S$1,Data!$A$1:$AN$1,),)=0,"#N/A",(VLOOKUP(B63,Data!$A:$AN,MATCH(yoy!$S$1,Data!$A$1:$AN$1,),)-VLOOKUP(A63,Data!$A:$AN,MATCH(yoy!$S$1,Data!$A$1:$AN$1,),))/VLOOKUP(A63,Data!$A:$AN,MATCH(yoy!$S$1,Data!$A$1:$AN$1,),))</f>
        <v/>
      </c>
      <c r="T63" s="14">
        <f>IF(VLOOKUP(B63,Data!$A:$AN,MATCH(yoy!$T$1,Data!$A$1:$AN$1,),)=0,"#N/A",(VLOOKUP(B63,Data!$A:$AN,MATCH(yoy!$T$1,Data!$A$1:$AN$1,),)-VLOOKUP(A63,Data!$A:$AN,MATCH(yoy!$T$1,Data!$A$1:$AN$1,),))/VLOOKUP(A63,Data!$A:$AN,MATCH(yoy!$T$1,Data!$A$1:$AN$1,),))</f>
        <v/>
      </c>
      <c r="U63" s="14">
        <f>IF(VLOOKUP(B63,Data!$A:$AN,MATCH(yoy!$U$1,Data!$A$1:$AN$1,),)=0,"#N/A",(VLOOKUP(B63,Data!$A:$AN,MATCH(yoy!$U$1,Data!$A$1:$AN$1,),)-VLOOKUP(A63,Data!$A:$AN,MATCH(yoy!$U$1,Data!$A$1:$AN$1,),))/VLOOKUP(A63,Data!$A:$AN,MATCH(yoy!$U$1,Data!$A$1:$AN$1,),))</f>
        <v/>
      </c>
      <c r="V63" s="14">
        <f>IF(VLOOKUP(B63,Data!$A:$AN,MATCH(yoy!$V$1,Data!$A$1:$AN$1,),)=0,"#N/A",(VLOOKUP(B63,Data!$A:$AN,MATCH(yoy!$V$1,Data!$A$1:$AN$1,),)-VLOOKUP(A63,Data!$A:$AN,MATCH(yoy!$V$1,Data!$A$1:$AN$1,),))/VLOOKUP(A63,Data!$A:$AN,MATCH(yoy!$V$1,Data!$A$1:$AN$1,),))</f>
        <v/>
      </c>
      <c r="W63" s="14">
        <f>IF(VLOOKUP(B63,Data!$A:$AN,MATCH(yoy!$W$1,Data!$A$1:$AN$1,),)=0,"#N/A",(VLOOKUP(B63,Data!$A:$AN,MATCH(yoy!$W$1,Data!$A$1:$AN$1,),)-VLOOKUP(A63,Data!$A:$AN,MATCH(yoy!$W$1,Data!$A$1:$AN$1,),))/VLOOKUP(A63,Data!$A:$AN,MATCH(yoy!$W$1,Data!$A$1:$AN$1,),))</f>
        <v/>
      </c>
      <c r="X63" s="14">
        <f>IF(VLOOKUP(B63,Data!$A:$AN,MATCH(yoy!$X$1,Data!$A$1:$AN$1,),)=0,"#N/A",(VLOOKUP(B63,Data!$A:$AN,MATCH(yoy!$X$1,Data!$A$1:$AN$1,),)-VLOOKUP(A63,Data!$A:$AN,MATCH(yoy!$X$1,Data!$A$1:$AN$1,),))/VLOOKUP(A63,Data!$A:$AN,MATCH(yoy!$X$1,Data!$A$1:$AN$1,),))</f>
        <v/>
      </c>
      <c r="Y63" s="14">
        <f>IF(VLOOKUP(B63,Data!$A:$AN,MATCH(yoy!$Y$1,Data!$A$1:$AN$1,),)=0,"#N/A",(VLOOKUP(B63,Data!$A:$AN,MATCH(yoy!$Y$1,Data!$A$1:$AN$1,),)-VLOOKUP(A63,Data!$A:$AN,MATCH(yoy!$Y$1,Data!$A$1:$AN$1,),))/VLOOKUP(A63,Data!$A:$AN,MATCH(yoy!$Y$1,Data!$A$1:$AN$1,),))</f>
        <v/>
      </c>
      <c r="Z63" s="14">
        <f>IF(VLOOKUP(B63,Data!$A:$AN,MATCH(yoy!$Z$1,Data!$A$1:$AN$1,),)=0,"#N/A",(VLOOKUP(B63,Data!$A:$AN,MATCH(yoy!$Z$1,Data!$A$1:$AN$1,),)-VLOOKUP(A63,Data!$A:$AN,MATCH(yoy!$Z$1,Data!$A$1:$AN$1,),))/VLOOKUP(A63,Data!$A:$AN,MATCH(yoy!$Z$1,Data!$A$1:$AN$1,),))</f>
        <v/>
      </c>
      <c r="AA63" s="14">
        <f>IF(VLOOKUP(B63,Data!$A:$AN,MATCH(yoy!$AA$1,Data!$A$1:$AN$1,),)=0,"#N/A",(VLOOKUP(B63,Data!$A:$AN,MATCH(yoy!$AA$1,Data!$A$1:$AN$1,),)-VLOOKUP(A63,Data!$A:$AN,MATCH(yoy!$AA$1,Data!$A$1:$AN$1,),))/VLOOKUP(A63,Data!$A:$AN,MATCH(yoy!$AA$1,Data!$A$1:$AN$1,),))</f>
        <v/>
      </c>
    </row>
    <row r="64" customFormat="1" s="77">
      <c r="A64" s="20">
        <f>DATE(YEAR(B64)-1,MONTH(B64),DAY(B64))</f>
        <v/>
      </c>
      <c r="B64" s="12" t="n">
        <v>43800</v>
      </c>
      <c r="C64" s="14">
        <f>IF(VLOOKUP(B64,Data!$A:$AN,MATCH(yoy!$C$1,Data!$A$1:$AN$1,),)=0,"#N/A",(VLOOKUP(B64,Data!$A:$AN,MATCH(yoy!$C$1,Data!$A$1:$AN$1,),)-VLOOKUP(A64,Data!$A:$AN,MATCH(yoy!$C$1,Data!$A$1:$AN$1,),))/VLOOKUP(A64,Data!$A:$AN,MATCH(yoy!$C$1,Data!$A$1:$AN$1,),))</f>
        <v/>
      </c>
      <c r="D64" s="14">
        <f>IF(VLOOKUP(B64,Data!$A:$AN,MATCH(yoy!$D$1,Data!$A$1:$AN$1,),)=0,"#N/A",(VLOOKUP(B64,Data!$A:$AN,MATCH(yoy!$D$1,Data!$A$1:$AN$1,),)-VLOOKUP(A64,Data!$A:$AN,MATCH(yoy!$D$1,Data!$A$1:$AN$1,),))/VLOOKUP(A64,Data!$A:$AN,MATCH(yoy!$D$1,Data!$A$1:$AN$1,),))</f>
        <v/>
      </c>
      <c r="E64" s="14">
        <f>IF(VLOOKUP(B64,Data!$A:$AN,MATCH(yoy!$E$1,Data!$A$1:$AN$1,),)=0,"#N/A",(VLOOKUP(B64,Data!$A:$AN,MATCH(yoy!$E$1,Data!$A$1:$AN$1,),)-VLOOKUP(A64,Data!$A:$AN,MATCH(yoy!$E$1,Data!$A$1:$AN$1,),))/VLOOKUP(A64,Data!$A:$AN,MATCH(yoy!$E$1,Data!$A$1:$AN$1,),))</f>
        <v/>
      </c>
      <c r="F64" s="14">
        <f>IF(VLOOKUP(B64,Data!$A:$AN,MATCH(yoy!$F$1,Data!$A$1:$AN$1,),)=0,"#N/A",(VLOOKUP(B64,Data!$A:$AN,MATCH(yoy!$F$1,Data!$A$1:$AN$1,),)-VLOOKUP(A64,Data!$A:$AN,MATCH(yoy!$F$1,Data!$A$1:$AN$1,),))/VLOOKUP(A64,Data!$A:$AN,MATCH(yoy!$F$1,Data!$A$1:$AN$1,),))</f>
        <v/>
      </c>
      <c r="G64" s="14">
        <f>IF(VLOOKUP(B64,Data!$A:$AN,MATCH(yoy!$G$1,Data!$A$1:$AN$1,),)=0,"#N/A",(VLOOKUP(B64,Data!$A:$AN,MATCH(yoy!$G$1,Data!$A$1:$AN$1,),)-VLOOKUP(A64,Data!$A:$AN,MATCH(yoy!$G$1,Data!$A$1:$AN$1,),))/VLOOKUP(A64,Data!$A:$AN,MATCH(yoy!$G$1,Data!$A$1:$AN$1,),))</f>
        <v/>
      </c>
      <c r="H64" s="14">
        <f>IF(VLOOKUP(B64,Data!$A:$AN,MATCH(yoy!$H$1,Data!$A$1:$AN$1,),)=0,"#N/A",(VLOOKUP(B64,Data!$A:$AN,MATCH(yoy!$H$1,Data!$A$1:$AN$1,),)-VLOOKUP(A64,Data!$A:$AN,MATCH(yoy!$H$1,Data!$A$1:$AN$1,),))/VLOOKUP(A64,Data!$A:$AN,MATCH(yoy!$H$1,Data!$A$1:$AN$1,),))</f>
        <v/>
      </c>
      <c r="I64" s="14">
        <f>IF(VLOOKUP(B64,Data!$A:$AN,MATCH(yoy!$I$1,Data!$A$1:$AN$1,),)=0,"#N/A",(VLOOKUP(B64,Data!$A:$AN,MATCH(yoy!$I$1,Data!$A$1:$AN$1,),)-VLOOKUP(A64,Data!$A:$AN,MATCH(yoy!$I$1,Data!$A$1:$AN$1,),))/VLOOKUP(A64,Data!$A:$AN,MATCH(yoy!$I$1,Data!$A$1:$AN$1,),))</f>
        <v/>
      </c>
      <c r="J64" s="14">
        <f>IF(VLOOKUP(B64,Data!$A:$AN,MATCH(yoy!$J$1,Data!$A$1:$AN$1,),)=0,"#N/A",(VLOOKUP(B64,Data!$A:$AN,MATCH(yoy!$J$1,Data!$A$1:$AN$1,),)-VLOOKUP(A64,Data!$A:$AN,MATCH(yoy!$J$1,Data!$A$1:$AN$1,),))/VLOOKUP(A64,Data!$A:$AN,MATCH(yoy!$J$1,Data!$A$1:$AN$1,),))</f>
        <v/>
      </c>
      <c r="K64" s="14">
        <f>IF(VLOOKUP(B64,Data!$A:$AN,MATCH(yoy!$K$1,Data!$A$1:$AN$1,),)=0,"#N/A",(VLOOKUP(B64,Data!$A:$AN,MATCH(yoy!$K$1,Data!$A$1:$AN$1,),)-VLOOKUP(A64,Data!$A:$AN,MATCH(yoy!$K$1,Data!$A$1:$AN$1,),))/VLOOKUP(A64,Data!$A:$AN,MATCH(yoy!$K$1,Data!$A$1:$AN$1,),))</f>
        <v/>
      </c>
      <c r="L64" s="14">
        <f>IF(VLOOKUP(B64,Data!$A:$AN,MATCH(yoy!$L$1,Data!$A$1:$AN$1,),)=0,"#N/A",(VLOOKUP(B64,Data!$A:$AN,MATCH(yoy!$L$1,Data!$A$1:$AN$1,),)-VLOOKUP(A64,Data!$A:$AN,MATCH(yoy!$L$1,Data!$A$1:$AN$1,),))/VLOOKUP(A64,Data!$A:$AN,MATCH(yoy!$L$1,Data!$A$1:$AN$1,),))</f>
        <v/>
      </c>
      <c r="M64" s="14">
        <f>IF(VLOOKUP(B64,Data!$A:$AN,MATCH(yoy!$M$1,Data!$A$1:$AN$1,),)=0,"#N/A",(VLOOKUP(B64,Data!$A:$AN,MATCH(yoy!$M$1,Data!$A$1:$AN$1,),)-VLOOKUP(A64,Data!$A:$AN,MATCH(yoy!$M$1,Data!$A$1:$AN$1,),))/VLOOKUP(A64,Data!$A:$AN,MATCH(yoy!$M$1,Data!$A$1:$AN$1,),))</f>
        <v/>
      </c>
      <c r="N64" s="14">
        <f>IF(VLOOKUP(B64,Data!$A:$AN,MATCH(yoy!$N$1,Data!$A$1:$AN$1,),)=0,"#N/A",(VLOOKUP(B64,Data!$A:$AN,MATCH(yoy!$N$1,Data!$A$1:$AN$1,),)-VLOOKUP(A64,Data!$A:$AN,MATCH(yoy!$N$1,Data!$A$1:$AN$1,),))/VLOOKUP(A64,Data!$A:$AN,MATCH(yoy!$N$1,Data!$A$1:$AN$1,),))</f>
        <v/>
      </c>
      <c r="O64" s="14">
        <f>IF(VLOOKUP(B64,Data!$A:$AN,MATCH(yoy!$O$1,Data!$A$1:$AN$1,),)=0,"#N/A",(VLOOKUP(B64,Data!$A:$AN,MATCH(yoy!$O$1,Data!$A$1:$AN$1,),)-VLOOKUP(A64,Data!$A:$AN,MATCH(yoy!$O$1,Data!$A$1:$AN$1,),))/VLOOKUP(A64,Data!$A:$AN,MATCH(yoy!$O$1,Data!$A$1:$AN$1,),))</f>
        <v/>
      </c>
      <c r="P64" s="14">
        <f>IF(VLOOKUP(B64,Data!$A:$AN,MATCH(yoy!$P$1,Data!$A$1:$AN$1,),)=0,"#N/A",(VLOOKUP(B64,Data!$A:$AN,MATCH(yoy!$P$1,Data!$A$1:$AN$1,),)-VLOOKUP(A64,Data!$A:$AN,MATCH(yoy!$P$1,Data!$A$1:$AN$1,),))/VLOOKUP(A64,Data!$A:$AN,MATCH(yoy!$P$1,Data!$A$1:$AN$1,),))</f>
        <v/>
      </c>
      <c r="Q64" s="14">
        <f>IF(VLOOKUP(B64,Data!$A:$AN,MATCH(yoy!$Q$1,Data!$A$1:$AN$1,),)=0,"#N/A",(VLOOKUP(B64,Data!$A:$AN,MATCH(yoy!$Q$1,Data!$A$1:$AN$1,),)-VLOOKUP(A64,Data!$A:$AN,MATCH(yoy!$Q$1,Data!$A$1:$AN$1,),))/VLOOKUP(A64,Data!$A:$AN,MATCH(yoy!$Q$1,Data!$A$1:$AN$1,),))</f>
        <v/>
      </c>
      <c r="R64" s="14">
        <f>IF(VLOOKUP(B64,Data!$A:$AN,MATCH(yoy!$R$1,Data!$A$1:$AN$1,),)=0,"#N/A",(VLOOKUP(B64,Data!$A:$AN,MATCH(yoy!$R$1,Data!$A$1:$AN$1,),)-VLOOKUP(A64,Data!$A:$AN,MATCH(yoy!$R$1,Data!$A$1:$AN$1,),))/VLOOKUP(A64,Data!$A:$AN,MATCH(yoy!$R$1,Data!$A$1:$AN$1,),))</f>
        <v/>
      </c>
      <c r="S64" s="14">
        <f>IF(VLOOKUP(B64,Data!$A:$AN,MATCH(yoy!$S$1,Data!$A$1:$AN$1,),)=0,"#N/A",(VLOOKUP(B64,Data!$A:$AN,MATCH(yoy!$S$1,Data!$A$1:$AN$1,),)-VLOOKUP(A64,Data!$A:$AN,MATCH(yoy!$S$1,Data!$A$1:$AN$1,),))/VLOOKUP(A64,Data!$A:$AN,MATCH(yoy!$S$1,Data!$A$1:$AN$1,),))</f>
        <v/>
      </c>
      <c r="T64" s="14">
        <f>IF(VLOOKUP(B64,Data!$A:$AN,MATCH(yoy!$T$1,Data!$A$1:$AN$1,),)=0,"#N/A",(VLOOKUP(B64,Data!$A:$AN,MATCH(yoy!$T$1,Data!$A$1:$AN$1,),)-VLOOKUP(A64,Data!$A:$AN,MATCH(yoy!$T$1,Data!$A$1:$AN$1,),))/VLOOKUP(A64,Data!$A:$AN,MATCH(yoy!$T$1,Data!$A$1:$AN$1,),))</f>
        <v/>
      </c>
      <c r="U64" s="14">
        <f>IF(VLOOKUP(B64,Data!$A:$AN,MATCH(yoy!$U$1,Data!$A$1:$AN$1,),)=0,"#N/A",(VLOOKUP(B64,Data!$A:$AN,MATCH(yoy!$U$1,Data!$A$1:$AN$1,),)-VLOOKUP(A64,Data!$A:$AN,MATCH(yoy!$U$1,Data!$A$1:$AN$1,),))/VLOOKUP(A64,Data!$A:$AN,MATCH(yoy!$U$1,Data!$A$1:$AN$1,),))</f>
        <v/>
      </c>
      <c r="V64" s="14">
        <f>IF(VLOOKUP(B64,Data!$A:$AN,MATCH(yoy!$V$1,Data!$A$1:$AN$1,),)=0,"#N/A",(VLOOKUP(B64,Data!$A:$AN,MATCH(yoy!$V$1,Data!$A$1:$AN$1,),)-VLOOKUP(A64,Data!$A:$AN,MATCH(yoy!$V$1,Data!$A$1:$AN$1,),))/VLOOKUP(A64,Data!$A:$AN,MATCH(yoy!$V$1,Data!$A$1:$AN$1,),))</f>
        <v/>
      </c>
      <c r="W64" s="14">
        <f>IF(VLOOKUP(B64,Data!$A:$AN,MATCH(yoy!$W$1,Data!$A$1:$AN$1,),)=0,"#N/A",(VLOOKUP(B64,Data!$A:$AN,MATCH(yoy!$W$1,Data!$A$1:$AN$1,),)-VLOOKUP(A64,Data!$A:$AN,MATCH(yoy!$W$1,Data!$A$1:$AN$1,),))/VLOOKUP(A64,Data!$A:$AN,MATCH(yoy!$W$1,Data!$A$1:$AN$1,),))</f>
        <v/>
      </c>
      <c r="X64" s="14">
        <f>IF(VLOOKUP(B64,Data!$A:$AN,MATCH(yoy!$X$1,Data!$A$1:$AN$1,),)=0,"#N/A",(VLOOKUP(B64,Data!$A:$AN,MATCH(yoy!$X$1,Data!$A$1:$AN$1,),)-VLOOKUP(A64,Data!$A:$AN,MATCH(yoy!$X$1,Data!$A$1:$AN$1,),))/VLOOKUP(A64,Data!$A:$AN,MATCH(yoy!$X$1,Data!$A$1:$AN$1,),))</f>
        <v/>
      </c>
      <c r="Y64" s="14">
        <f>IF(VLOOKUP(B64,Data!$A:$AN,MATCH(yoy!$Y$1,Data!$A$1:$AN$1,),)=0,"#N/A",(VLOOKUP(B64,Data!$A:$AN,MATCH(yoy!$Y$1,Data!$A$1:$AN$1,),)-VLOOKUP(A64,Data!$A:$AN,MATCH(yoy!$Y$1,Data!$A$1:$AN$1,),))/VLOOKUP(A64,Data!$A:$AN,MATCH(yoy!$Y$1,Data!$A$1:$AN$1,),))</f>
        <v/>
      </c>
      <c r="Z64" s="14">
        <f>IF(VLOOKUP(B64,Data!$A:$AN,MATCH(yoy!$Z$1,Data!$A$1:$AN$1,),)=0,"#N/A",(VLOOKUP(B64,Data!$A:$AN,MATCH(yoy!$Z$1,Data!$A$1:$AN$1,),)-VLOOKUP(A64,Data!$A:$AN,MATCH(yoy!$Z$1,Data!$A$1:$AN$1,),))/VLOOKUP(A64,Data!$A:$AN,MATCH(yoy!$Z$1,Data!$A$1:$AN$1,),))</f>
        <v/>
      </c>
      <c r="AA64" s="14">
        <f>IF(VLOOKUP(B64,Data!$A:$AN,MATCH(yoy!$AA$1,Data!$A$1:$AN$1,),)=0,"#N/A",(VLOOKUP(B64,Data!$A:$AN,MATCH(yoy!$AA$1,Data!$A$1:$AN$1,),)-VLOOKUP(A64,Data!$A:$AN,MATCH(yoy!$AA$1,Data!$A$1:$AN$1,),))/VLOOKUP(A64,Data!$A:$AN,MATCH(yoy!$AA$1,Data!$A$1:$AN$1,),))</f>
        <v/>
      </c>
    </row>
    <row r="65" customFormat="1" s="77">
      <c r="A65" s="20">
        <f>DATE(YEAR(B65)-1,MONTH(B65),DAY(B65))</f>
        <v/>
      </c>
      <c r="B65" s="12" t="n">
        <v>43831</v>
      </c>
      <c r="C65" s="14">
        <f>IF(VLOOKUP(B65,Data!$A:$AN,MATCH(yoy!$C$1,Data!$A$1:$AN$1,),)=0,"#N/A",(VLOOKUP(B65,Data!$A:$AN,MATCH(yoy!$C$1,Data!$A$1:$AN$1,),)-VLOOKUP(A65,Data!$A:$AN,MATCH(yoy!$C$1,Data!$A$1:$AN$1,),))/VLOOKUP(A65,Data!$A:$AN,MATCH(yoy!$C$1,Data!$A$1:$AN$1,),))</f>
        <v/>
      </c>
      <c r="D65" s="14">
        <f>IF(VLOOKUP(B65,Data!$A:$AN,MATCH(yoy!$D$1,Data!$A$1:$AN$1,),)=0,"#N/A",(VLOOKUP(B65,Data!$A:$AN,MATCH(yoy!$D$1,Data!$A$1:$AN$1,),)-VLOOKUP(A65,Data!$A:$AN,MATCH(yoy!$D$1,Data!$A$1:$AN$1,),))/VLOOKUP(A65,Data!$A:$AN,MATCH(yoy!$D$1,Data!$A$1:$AN$1,),))</f>
        <v/>
      </c>
      <c r="E65" s="14">
        <f>IF(VLOOKUP(B65,Data!$A:$AN,MATCH(yoy!$E$1,Data!$A$1:$AN$1,),)=0,"#N/A",(VLOOKUP(B65,Data!$A:$AN,MATCH(yoy!$E$1,Data!$A$1:$AN$1,),)-VLOOKUP(A65,Data!$A:$AN,MATCH(yoy!$E$1,Data!$A$1:$AN$1,),))/VLOOKUP(A65,Data!$A:$AN,MATCH(yoy!$E$1,Data!$A$1:$AN$1,),))</f>
        <v/>
      </c>
      <c r="F65" s="14">
        <f>IF(VLOOKUP(B65,Data!$A:$AN,MATCH(yoy!$F$1,Data!$A$1:$AN$1,),)=0,"#N/A",(VLOOKUP(B65,Data!$A:$AN,MATCH(yoy!$F$1,Data!$A$1:$AN$1,),)-VLOOKUP(A65,Data!$A:$AN,MATCH(yoy!$F$1,Data!$A$1:$AN$1,),))/VLOOKUP(A65,Data!$A:$AN,MATCH(yoy!$F$1,Data!$A$1:$AN$1,),))</f>
        <v/>
      </c>
      <c r="G65" s="14">
        <f>IF(VLOOKUP(B65,Data!$A:$AN,MATCH(yoy!$G$1,Data!$A$1:$AN$1,),)=0,"#N/A",(VLOOKUP(B65,Data!$A:$AN,MATCH(yoy!$G$1,Data!$A$1:$AN$1,),)-VLOOKUP(A65,Data!$A:$AN,MATCH(yoy!$G$1,Data!$A$1:$AN$1,),))/VLOOKUP(A65,Data!$A:$AN,MATCH(yoy!$G$1,Data!$A$1:$AN$1,),))</f>
        <v/>
      </c>
      <c r="H65" s="14">
        <f>IF(VLOOKUP(B65,Data!$A:$AN,MATCH(yoy!$H$1,Data!$A$1:$AN$1,),)=0,"#N/A",(VLOOKUP(B65,Data!$A:$AN,MATCH(yoy!$H$1,Data!$A$1:$AN$1,),)-VLOOKUP(A65,Data!$A:$AN,MATCH(yoy!$H$1,Data!$A$1:$AN$1,),))/VLOOKUP(A65,Data!$A:$AN,MATCH(yoy!$H$1,Data!$A$1:$AN$1,),))</f>
        <v/>
      </c>
      <c r="I65" s="14">
        <f>IF(VLOOKUP(B65,Data!$A:$AN,MATCH(yoy!$I$1,Data!$A$1:$AN$1,),)=0,"#N/A",(VLOOKUP(B65,Data!$A:$AN,MATCH(yoy!$I$1,Data!$A$1:$AN$1,),)-VLOOKUP(A65,Data!$A:$AN,MATCH(yoy!$I$1,Data!$A$1:$AN$1,),))/VLOOKUP(A65,Data!$A:$AN,MATCH(yoy!$I$1,Data!$A$1:$AN$1,),))</f>
        <v/>
      </c>
      <c r="J65" s="14">
        <f>IF(VLOOKUP(B65,Data!$A:$AN,MATCH(yoy!$J$1,Data!$A$1:$AN$1,),)=0,"#N/A",(VLOOKUP(B65,Data!$A:$AN,MATCH(yoy!$J$1,Data!$A$1:$AN$1,),)-VLOOKUP(A65,Data!$A:$AN,MATCH(yoy!$J$1,Data!$A$1:$AN$1,),))/VLOOKUP(A65,Data!$A:$AN,MATCH(yoy!$J$1,Data!$A$1:$AN$1,),))</f>
        <v/>
      </c>
      <c r="K65" s="14">
        <f>IF(VLOOKUP(B65,Data!$A:$AN,MATCH(yoy!$K$1,Data!$A$1:$AN$1,),)=0,"#N/A",(VLOOKUP(B65,Data!$A:$AN,MATCH(yoy!$K$1,Data!$A$1:$AN$1,),)-VLOOKUP(A65,Data!$A:$AN,MATCH(yoy!$K$1,Data!$A$1:$AN$1,),))/VLOOKUP(A65,Data!$A:$AN,MATCH(yoy!$K$1,Data!$A$1:$AN$1,),))</f>
        <v/>
      </c>
      <c r="L65" s="14">
        <f>IF(VLOOKUP(B65,Data!$A:$AN,MATCH(yoy!$L$1,Data!$A$1:$AN$1,),)=0,"#N/A",(VLOOKUP(B65,Data!$A:$AN,MATCH(yoy!$L$1,Data!$A$1:$AN$1,),)-VLOOKUP(A65,Data!$A:$AN,MATCH(yoy!$L$1,Data!$A$1:$AN$1,),))/VLOOKUP(A65,Data!$A:$AN,MATCH(yoy!$L$1,Data!$A$1:$AN$1,),))</f>
        <v/>
      </c>
      <c r="M65" s="14">
        <f>IF(VLOOKUP(B65,Data!$A:$AN,MATCH(yoy!$M$1,Data!$A$1:$AN$1,),)=0,"#N/A",(VLOOKUP(B65,Data!$A:$AN,MATCH(yoy!$M$1,Data!$A$1:$AN$1,),)-VLOOKUP(A65,Data!$A:$AN,MATCH(yoy!$M$1,Data!$A$1:$AN$1,),))/VLOOKUP(A65,Data!$A:$AN,MATCH(yoy!$M$1,Data!$A$1:$AN$1,),))</f>
        <v/>
      </c>
      <c r="N65" s="14">
        <f>IF(VLOOKUP(B65,Data!$A:$AN,MATCH(yoy!$N$1,Data!$A$1:$AN$1,),)=0,"#N/A",(VLOOKUP(B65,Data!$A:$AN,MATCH(yoy!$N$1,Data!$A$1:$AN$1,),)-VLOOKUP(A65,Data!$A:$AN,MATCH(yoy!$N$1,Data!$A$1:$AN$1,),))/VLOOKUP(A65,Data!$A:$AN,MATCH(yoy!$N$1,Data!$A$1:$AN$1,),))</f>
        <v/>
      </c>
      <c r="O65" s="14">
        <f>IF(VLOOKUP(B65,Data!$A:$AN,MATCH(yoy!$O$1,Data!$A$1:$AN$1,),)=0,"#N/A",(VLOOKUP(B65,Data!$A:$AN,MATCH(yoy!$O$1,Data!$A$1:$AN$1,),)-VLOOKUP(A65,Data!$A:$AN,MATCH(yoy!$O$1,Data!$A$1:$AN$1,),))/VLOOKUP(A65,Data!$A:$AN,MATCH(yoy!$O$1,Data!$A$1:$AN$1,),))</f>
        <v/>
      </c>
      <c r="P65" s="14">
        <f>IF(VLOOKUP(B65,Data!$A:$AN,MATCH(yoy!$P$1,Data!$A$1:$AN$1,),)=0,"#N/A",(VLOOKUP(B65,Data!$A:$AN,MATCH(yoy!$P$1,Data!$A$1:$AN$1,),)-VLOOKUP(A65,Data!$A:$AN,MATCH(yoy!$P$1,Data!$A$1:$AN$1,),))/VLOOKUP(A65,Data!$A:$AN,MATCH(yoy!$P$1,Data!$A$1:$AN$1,),))</f>
        <v/>
      </c>
      <c r="Q65" s="14">
        <f>IF(VLOOKUP(B65,Data!$A:$AN,MATCH(yoy!$Q$1,Data!$A$1:$AN$1,),)=0,"#N/A",(VLOOKUP(B65,Data!$A:$AN,MATCH(yoy!$Q$1,Data!$A$1:$AN$1,),)-VLOOKUP(A65,Data!$A:$AN,MATCH(yoy!$Q$1,Data!$A$1:$AN$1,),))/VLOOKUP(A65,Data!$A:$AN,MATCH(yoy!$Q$1,Data!$A$1:$AN$1,),))</f>
        <v/>
      </c>
      <c r="R65" s="14">
        <f>IF(VLOOKUP(B65,Data!$A:$AN,MATCH(yoy!$R$1,Data!$A$1:$AN$1,),)=0,"#N/A",(VLOOKUP(B65,Data!$A:$AN,MATCH(yoy!$R$1,Data!$A$1:$AN$1,),)-VLOOKUP(A65,Data!$A:$AN,MATCH(yoy!$R$1,Data!$A$1:$AN$1,),))/VLOOKUP(A65,Data!$A:$AN,MATCH(yoy!$R$1,Data!$A$1:$AN$1,),))</f>
        <v/>
      </c>
      <c r="S65" s="14">
        <f>IF(VLOOKUP(B65,Data!$A:$AN,MATCH(yoy!$S$1,Data!$A$1:$AN$1,),)=0,"#N/A",(VLOOKUP(B65,Data!$A:$AN,MATCH(yoy!$S$1,Data!$A$1:$AN$1,),)-VLOOKUP(A65,Data!$A:$AN,MATCH(yoy!$S$1,Data!$A$1:$AN$1,),))/VLOOKUP(A65,Data!$A:$AN,MATCH(yoy!$S$1,Data!$A$1:$AN$1,),))</f>
        <v/>
      </c>
      <c r="T65" s="14">
        <f>IF(VLOOKUP(B65,Data!$A:$AN,MATCH(yoy!$T$1,Data!$A$1:$AN$1,),)=0,"#N/A",(VLOOKUP(B65,Data!$A:$AN,MATCH(yoy!$T$1,Data!$A$1:$AN$1,),)-VLOOKUP(A65,Data!$A:$AN,MATCH(yoy!$T$1,Data!$A$1:$AN$1,),))/VLOOKUP(A65,Data!$A:$AN,MATCH(yoy!$T$1,Data!$A$1:$AN$1,),))</f>
        <v/>
      </c>
      <c r="U65" s="14">
        <f>IF(VLOOKUP(B65,Data!$A:$AN,MATCH(yoy!$U$1,Data!$A$1:$AN$1,),)=0,"#N/A",(VLOOKUP(B65,Data!$A:$AN,MATCH(yoy!$U$1,Data!$A$1:$AN$1,),)-VLOOKUP(A65,Data!$A:$AN,MATCH(yoy!$U$1,Data!$A$1:$AN$1,),))/VLOOKUP(A65,Data!$A:$AN,MATCH(yoy!$U$1,Data!$A$1:$AN$1,),))</f>
        <v/>
      </c>
      <c r="V65" s="14">
        <f>IF(VLOOKUP(B65,Data!$A:$AN,MATCH(yoy!$V$1,Data!$A$1:$AN$1,),)=0,"#N/A",(VLOOKUP(B65,Data!$A:$AN,MATCH(yoy!$V$1,Data!$A$1:$AN$1,),)-VLOOKUP(A65,Data!$A:$AN,MATCH(yoy!$V$1,Data!$A$1:$AN$1,),))/VLOOKUP(A65,Data!$A:$AN,MATCH(yoy!$V$1,Data!$A$1:$AN$1,),))</f>
        <v/>
      </c>
      <c r="W65" s="14">
        <f>IF(VLOOKUP(B65,Data!$A:$AN,MATCH(yoy!$W$1,Data!$A$1:$AN$1,),)=0,"#N/A",(VLOOKUP(B65,Data!$A:$AN,MATCH(yoy!$W$1,Data!$A$1:$AN$1,),)-VLOOKUP(A65,Data!$A:$AN,MATCH(yoy!$W$1,Data!$A$1:$AN$1,),))/VLOOKUP(A65,Data!$A:$AN,MATCH(yoy!$W$1,Data!$A$1:$AN$1,),))</f>
        <v/>
      </c>
      <c r="X65" s="14">
        <f>IF(VLOOKUP(B65,Data!$A:$AN,MATCH(yoy!$X$1,Data!$A$1:$AN$1,),)=0,"#N/A",(VLOOKUP(B65,Data!$A:$AN,MATCH(yoy!$X$1,Data!$A$1:$AN$1,),)-VLOOKUP(A65,Data!$A:$AN,MATCH(yoy!$X$1,Data!$A$1:$AN$1,),))/VLOOKUP(A65,Data!$A:$AN,MATCH(yoy!$X$1,Data!$A$1:$AN$1,),))</f>
        <v/>
      </c>
      <c r="Y65" s="14">
        <f>IF(VLOOKUP(B65,Data!$A:$AN,MATCH(yoy!$Y$1,Data!$A$1:$AN$1,),)=0,"#N/A",(VLOOKUP(B65,Data!$A:$AN,MATCH(yoy!$Y$1,Data!$A$1:$AN$1,),)-VLOOKUP(A65,Data!$A:$AN,MATCH(yoy!$Y$1,Data!$A$1:$AN$1,),))/VLOOKUP(A65,Data!$A:$AN,MATCH(yoy!$Y$1,Data!$A$1:$AN$1,),))</f>
        <v/>
      </c>
      <c r="Z65" s="14">
        <f>IF(VLOOKUP(B65,Data!$A:$AN,MATCH(yoy!$Z$1,Data!$A$1:$AN$1,),)=0,"#N/A",(VLOOKUP(B65,Data!$A:$AN,MATCH(yoy!$Z$1,Data!$A$1:$AN$1,),)-VLOOKUP(A65,Data!$A:$AN,MATCH(yoy!$Z$1,Data!$A$1:$AN$1,),))/VLOOKUP(A65,Data!$A:$AN,MATCH(yoy!$Z$1,Data!$A$1:$AN$1,),))</f>
        <v/>
      </c>
      <c r="AA65" s="14">
        <f>IF(VLOOKUP(B65,Data!$A:$AN,MATCH(yoy!$AA$1,Data!$A$1:$AN$1,),)=0,"#N/A",(VLOOKUP(B65,Data!$A:$AN,MATCH(yoy!$AA$1,Data!$A$1:$AN$1,),)-VLOOKUP(A65,Data!$A:$AN,MATCH(yoy!$AA$1,Data!$A$1:$AN$1,),))/VLOOKUP(A65,Data!$A:$AN,MATCH(yoy!$AA$1,Data!$A$1:$AN$1,),))</f>
        <v/>
      </c>
    </row>
    <row r="66" customFormat="1" s="77">
      <c r="A66" s="20">
        <f>DATE(YEAR(B66)-1,MONTH(B66),DAY(B66))</f>
        <v/>
      </c>
      <c r="B66" s="12" t="n">
        <v>43862</v>
      </c>
      <c r="C66" s="14">
        <f>IF(VLOOKUP(B66,Data!$A:$AN,MATCH(yoy!$C$1,Data!$A$1:$AN$1,),)=0,"#N/A",(VLOOKUP(B66,Data!$A:$AN,MATCH(yoy!$C$1,Data!$A$1:$AN$1,),)-VLOOKUP(A66,Data!$A:$AN,MATCH(yoy!$C$1,Data!$A$1:$AN$1,),))/VLOOKUP(A66,Data!$A:$AN,MATCH(yoy!$C$1,Data!$A$1:$AN$1,),))</f>
        <v/>
      </c>
      <c r="D66" s="14">
        <f>IF(VLOOKUP(B66,Data!$A:$AN,MATCH(yoy!$D$1,Data!$A$1:$AN$1,),)=0,"#N/A",(VLOOKUP(B66,Data!$A:$AN,MATCH(yoy!$D$1,Data!$A$1:$AN$1,),)-VLOOKUP(A66,Data!$A:$AN,MATCH(yoy!$D$1,Data!$A$1:$AN$1,),))/VLOOKUP(A66,Data!$A:$AN,MATCH(yoy!$D$1,Data!$A$1:$AN$1,),))</f>
        <v/>
      </c>
      <c r="E66" s="14">
        <f>IF(VLOOKUP(B66,Data!$A:$AN,MATCH(yoy!$E$1,Data!$A$1:$AN$1,),)=0,"#N/A",(VLOOKUP(B66,Data!$A:$AN,MATCH(yoy!$E$1,Data!$A$1:$AN$1,),)-VLOOKUP(A66,Data!$A:$AN,MATCH(yoy!$E$1,Data!$A$1:$AN$1,),))/VLOOKUP(A66,Data!$A:$AN,MATCH(yoy!$E$1,Data!$A$1:$AN$1,),))</f>
        <v/>
      </c>
      <c r="F66" s="14">
        <f>IF(VLOOKUP(B66,Data!$A:$AN,MATCH(yoy!$F$1,Data!$A$1:$AN$1,),)=0,"#N/A",(VLOOKUP(B66,Data!$A:$AN,MATCH(yoy!$F$1,Data!$A$1:$AN$1,),)-VLOOKUP(A66,Data!$A:$AN,MATCH(yoy!$F$1,Data!$A$1:$AN$1,),))/VLOOKUP(A66,Data!$A:$AN,MATCH(yoy!$F$1,Data!$A$1:$AN$1,),))</f>
        <v/>
      </c>
      <c r="G66" s="14">
        <f>IF(VLOOKUP(B66,Data!$A:$AN,MATCH(yoy!$G$1,Data!$A$1:$AN$1,),)=0,"#N/A",(VLOOKUP(B66,Data!$A:$AN,MATCH(yoy!$G$1,Data!$A$1:$AN$1,),)-VLOOKUP(A66,Data!$A:$AN,MATCH(yoy!$G$1,Data!$A$1:$AN$1,),))/VLOOKUP(A66,Data!$A:$AN,MATCH(yoy!$G$1,Data!$A$1:$AN$1,),))</f>
        <v/>
      </c>
      <c r="H66" s="14">
        <f>IF(VLOOKUP(B66,Data!$A:$AN,MATCH(yoy!$H$1,Data!$A$1:$AN$1,),)=0,"#N/A",(VLOOKUP(B66,Data!$A:$AN,MATCH(yoy!$H$1,Data!$A$1:$AN$1,),)-VLOOKUP(A66,Data!$A:$AN,MATCH(yoy!$H$1,Data!$A$1:$AN$1,),))/VLOOKUP(A66,Data!$A:$AN,MATCH(yoy!$H$1,Data!$A$1:$AN$1,),))</f>
        <v/>
      </c>
      <c r="I66" s="14">
        <f>IF(VLOOKUP(B66,Data!$A:$AN,MATCH(yoy!$I$1,Data!$A$1:$AN$1,),)=0,"#N/A",(VLOOKUP(B66,Data!$A:$AN,MATCH(yoy!$I$1,Data!$A$1:$AN$1,),)-VLOOKUP(A66,Data!$A:$AN,MATCH(yoy!$I$1,Data!$A$1:$AN$1,),))/VLOOKUP(A66,Data!$A:$AN,MATCH(yoy!$I$1,Data!$A$1:$AN$1,),))</f>
        <v/>
      </c>
      <c r="J66" s="14">
        <f>IF(VLOOKUP(B66,Data!$A:$AN,MATCH(yoy!$J$1,Data!$A$1:$AN$1,),)=0,"#N/A",(VLOOKUP(B66,Data!$A:$AN,MATCH(yoy!$J$1,Data!$A$1:$AN$1,),)-VLOOKUP(A66,Data!$A:$AN,MATCH(yoy!$J$1,Data!$A$1:$AN$1,),))/VLOOKUP(A66,Data!$A:$AN,MATCH(yoy!$J$1,Data!$A$1:$AN$1,),))</f>
        <v/>
      </c>
      <c r="K66" s="14">
        <f>IF(VLOOKUP(B66,Data!$A:$AN,MATCH(yoy!$K$1,Data!$A$1:$AN$1,),)=0,"#N/A",(VLOOKUP(B66,Data!$A:$AN,MATCH(yoy!$K$1,Data!$A$1:$AN$1,),)-VLOOKUP(A66,Data!$A:$AN,MATCH(yoy!$K$1,Data!$A$1:$AN$1,),))/VLOOKUP(A66,Data!$A:$AN,MATCH(yoy!$K$1,Data!$A$1:$AN$1,),))</f>
        <v/>
      </c>
      <c r="L66" s="14">
        <f>IF(VLOOKUP(B66,Data!$A:$AN,MATCH(yoy!$L$1,Data!$A$1:$AN$1,),)=0,"#N/A",(VLOOKUP(B66,Data!$A:$AN,MATCH(yoy!$L$1,Data!$A$1:$AN$1,),)-VLOOKUP(A66,Data!$A:$AN,MATCH(yoy!$L$1,Data!$A$1:$AN$1,),))/VLOOKUP(A66,Data!$A:$AN,MATCH(yoy!$L$1,Data!$A$1:$AN$1,),))</f>
        <v/>
      </c>
      <c r="M66" s="14">
        <f>IF(VLOOKUP(B66,Data!$A:$AN,MATCH(yoy!$M$1,Data!$A$1:$AN$1,),)=0,"#N/A",(VLOOKUP(B66,Data!$A:$AN,MATCH(yoy!$M$1,Data!$A$1:$AN$1,),)-VLOOKUP(A66,Data!$A:$AN,MATCH(yoy!$M$1,Data!$A$1:$AN$1,),))/VLOOKUP(A66,Data!$A:$AN,MATCH(yoy!$M$1,Data!$A$1:$AN$1,),))</f>
        <v/>
      </c>
      <c r="N66" s="14">
        <f>IF(VLOOKUP(B66,Data!$A:$AN,MATCH(yoy!$N$1,Data!$A$1:$AN$1,),)=0,"#N/A",(VLOOKUP(B66,Data!$A:$AN,MATCH(yoy!$N$1,Data!$A$1:$AN$1,),)-VLOOKUP(A66,Data!$A:$AN,MATCH(yoy!$N$1,Data!$A$1:$AN$1,),))/VLOOKUP(A66,Data!$A:$AN,MATCH(yoy!$N$1,Data!$A$1:$AN$1,),))</f>
        <v/>
      </c>
      <c r="O66" s="14">
        <f>IF(VLOOKUP(B66,Data!$A:$AN,MATCH(yoy!$O$1,Data!$A$1:$AN$1,),)=0,"#N/A",(VLOOKUP(B66,Data!$A:$AN,MATCH(yoy!$O$1,Data!$A$1:$AN$1,),)-VLOOKUP(A66,Data!$A:$AN,MATCH(yoy!$O$1,Data!$A$1:$AN$1,),))/VLOOKUP(A66,Data!$A:$AN,MATCH(yoy!$O$1,Data!$A$1:$AN$1,),))</f>
        <v/>
      </c>
      <c r="P66" s="14">
        <f>IF(VLOOKUP(B66,Data!$A:$AN,MATCH(yoy!$P$1,Data!$A$1:$AN$1,),)=0,"#N/A",(VLOOKUP(B66,Data!$A:$AN,MATCH(yoy!$P$1,Data!$A$1:$AN$1,),)-VLOOKUP(A66,Data!$A:$AN,MATCH(yoy!$P$1,Data!$A$1:$AN$1,),))/VLOOKUP(A66,Data!$A:$AN,MATCH(yoy!$P$1,Data!$A$1:$AN$1,),))</f>
        <v/>
      </c>
      <c r="Q66" s="14">
        <f>IF(VLOOKUP(B66,Data!$A:$AN,MATCH(yoy!$Q$1,Data!$A$1:$AN$1,),)=0,"#N/A",(VLOOKUP(B66,Data!$A:$AN,MATCH(yoy!$Q$1,Data!$A$1:$AN$1,),)-VLOOKUP(A66,Data!$A:$AN,MATCH(yoy!$Q$1,Data!$A$1:$AN$1,),))/VLOOKUP(A66,Data!$A:$AN,MATCH(yoy!$Q$1,Data!$A$1:$AN$1,),))</f>
        <v/>
      </c>
      <c r="R66" s="14">
        <f>IF(VLOOKUP(B66,Data!$A:$AN,MATCH(yoy!$R$1,Data!$A$1:$AN$1,),)=0,"#N/A",(VLOOKUP(B66,Data!$A:$AN,MATCH(yoy!$R$1,Data!$A$1:$AN$1,),)-VLOOKUP(A66,Data!$A:$AN,MATCH(yoy!$R$1,Data!$A$1:$AN$1,),))/VLOOKUP(A66,Data!$A:$AN,MATCH(yoy!$R$1,Data!$A$1:$AN$1,),))</f>
        <v/>
      </c>
      <c r="S66" s="14">
        <f>IF(VLOOKUP(B66,Data!$A:$AN,MATCH(yoy!$S$1,Data!$A$1:$AN$1,),)=0,"#N/A",(VLOOKUP(B66,Data!$A:$AN,MATCH(yoy!$S$1,Data!$A$1:$AN$1,),)-VLOOKUP(A66,Data!$A:$AN,MATCH(yoy!$S$1,Data!$A$1:$AN$1,),))/VLOOKUP(A66,Data!$A:$AN,MATCH(yoy!$S$1,Data!$A$1:$AN$1,),))</f>
        <v/>
      </c>
      <c r="T66" s="14">
        <f>IF(VLOOKUP(B66,Data!$A:$AN,MATCH(yoy!$T$1,Data!$A$1:$AN$1,),)=0,"#N/A",(VLOOKUP(B66,Data!$A:$AN,MATCH(yoy!$T$1,Data!$A$1:$AN$1,),)-VLOOKUP(A66,Data!$A:$AN,MATCH(yoy!$T$1,Data!$A$1:$AN$1,),))/VLOOKUP(A66,Data!$A:$AN,MATCH(yoy!$T$1,Data!$A$1:$AN$1,),))</f>
        <v/>
      </c>
      <c r="U66" s="14">
        <f>IF(VLOOKUP(B66,Data!$A:$AN,MATCH(yoy!$U$1,Data!$A$1:$AN$1,),)=0,"#N/A",(VLOOKUP(B66,Data!$A:$AN,MATCH(yoy!$U$1,Data!$A$1:$AN$1,),)-VLOOKUP(A66,Data!$A:$AN,MATCH(yoy!$U$1,Data!$A$1:$AN$1,),))/VLOOKUP(A66,Data!$A:$AN,MATCH(yoy!$U$1,Data!$A$1:$AN$1,),))</f>
        <v/>
      </c>
      <c r="V66" s="14">
        <f>IF(VLOOKUP(B66,Data!$A:$AN,MATCH(yoy!$V$1,Data!$A$1:$AN$1,),)=0,"#N/A",(VLOOKUP(B66,Data!$A:$AN,MATCH(yoy!$V$1,Data!$A$1:$AN$1,),)-VLOOKUP(A66,Data!$A:$AN,MATCH(yoy!$V$1,Data!$A$1:$AN$1,),))/VLOOKUP(A66,Data!$A:$AN,MATCH(yoy!$V$1,Data!$A$1:$AN$1,),))</f>
        <v/>
      </c>
      <c r="W66" s="14">
        <f>IF(VLOOKUP(B66,Data!$A:$AN,MATCH(yoy!$W$1,Data!$A$1:$AN$1,),)=0,"#N/A",(VLOOKUP(B66,Data!$A:$AN,MATCH(yoy!$W$1,Data!$A$1:$AN$1,),)-VLOOKUP(A66,Data!$A:$AN,MATCH(yoy!$W$1,Data!$A$1:$AN$1,),))/VLOOKUP(A66,Data!$A:$AN,MATCH(yoy!$W$1,Data!$A$1:$AN$1,),))</f>
        <v/>
      </c>
      <c r="X66" s="14">
        <f>IF(VLOOKUP(B66,Data!$A:$AN,MATCH(yoy!$X$1,Data!$A$1:$AN$1,),)=0,"#N/A",(VLOOKUP(B66,Data!$A:$AN,MATCH(yoy!$X$1,Data!$A$1:$AN$1,),)-VLOOKUP(A66,Data!$A:$AN,MATCH(yoy!$X$1,Data!$A$1:$AN$1,),))/VLOOKUP(A66,Data!$A:$AN,MATCH(yoy!$X$1,Data!$A$1:$AN$1,),))</f>
        <v/>
      </c>
      <c r="Y66" s="14">
        <f>IF(VLOOKUP(B66,Data!$A:$AN,MATCH(yoy!$Y$1,Data!$A$1:$AN$1,),)=0,"#N/A",(VLOOKUP(B66,Data!$A:$AN,MATCH(yoy!$Y$1,Data!$A$1:$AN$1,),)-VLOOKUP(A66,Data!$A:$AN,MATCH(yoy!$Y$1,Data!$A$1:$AN$1,),))/VLOOKUP(A66,Data!$A:$AN,MATCH(yoy!$Y$1,Data!$A$1:$AN$1,),))</f>
        <v/>
      </c>
      <c r="Z66" s="14">
        <f>IF(VLOOKUP(B66,Data!$A:$AN,MATCH(yoy!$Z$1,Data!$A$1:$AN$1,),)=0,"#N/A",(VLOOKUP(B66,Data!$A:$AN,MATCH(yoy!$Z$1,Data!$A$1:$AN$1,),)-VLOOKUP(A66,Data!$A:$AN,MATCH(yoy!$Z$1,Data!$A$1:$AN$1,),))/VLOOKUP(A66,Data!$A:$AN,MATCH(yoy!$Z$1,Data!$A$1:$AN$1,),))</f>
        <v/>
      </c>
      <c r="AA66" s="14">
        <f>IF(VLOOKUP(B66,Data!$A:$AN,MATCH(yoy!$AA$1,Data!$A$1:$AN$1,),)=0,"#N/A",(VLOOKUP(B66,Data!$A:$AN,MATCH(yoy!$AA$1,Data!$A$1:$AN$1,),)-VLOOKUP(A66,Data!$A:$AN,MATCH(yoy!$AA$1,Data!$A$1:$AN$1,),))/VLOOKUP(A66,Data!$A:$AN,MATCH(yoy!$AA$1,Data!$A$1:$AN$1,),))</f>
        <v/>
      </c>
    </row>
    <row r="67" customFormat="1" s="77">
      <c r="A67" s="20">
        <f>DATE(YEAR(B67)-1,MONTH(B67),DAY(B67))</f>
        <v/>
      </c>
      <c r="B67" s="12" t="n">
        <v>43891</v>
      </c>
      <c r="C67" s="14">
        <f>IF(VLOOKUP(B67,Data!$A:$AN,MATCH(yoy!$C$1,Data!$A$1:$AN$1,),)=0,"#N/A",(VLOOKUP(B67,Data!$A:$AN,MATCH(yoy!$C$1,Data!$A$1:$AN$1,),)-VLOOKUP(A67,Data!$A:$AN,MATCH(yoy!$C$1,Data!$A$1:$AN$1,),))/VLOOKUP(A67,Data!$A:$AN,MATCH(yoy!$C$1,Data!$A$1:$AN$1,),))</f>
        <v/>
      </c>
      <c r="D67" s="14">
        <f>IF(VLOOKUP(B67,Data!$A:$AN,MATCH(yoy!$D$1,Data!$A$1:$AN$1,),)=0,"#N/A",(VLOOKUP(B67,Data!$A:$AN,MATCH(yoy!$D$1,Data!$A$1:$AN$1,),)-VLOOKUP(A67,Data!$A:$AN,MATCH(yoy!$D$1,Data!$A$1:$AN$1,),))/VLOOKUP(A67,Data!$A:$AN,MATCH(yoy!$D$1,Data!$A$1:$AN$1,),))</f>
        <v/>
      </c>
      <c r="E67" s="14">
        <f>IF(VLOOKUP(B67,Data!$A:$AN,MATCH(yoy!$E$1,Data!$A$1:$AN$1,),)=0,"#N/A",(VLOOKUP(B67,Data!$A:$AN,MATCH(yoy!$E$1,Data!$A$1:$AN$1,),)-VLOOKUP(A67,Data!$A:$AN,MATCH(yoy!$E$1,Data!$A$1:$AN$1,),))/VLOOKUP(A67,Data!$A:$AN,MATCH(yoy!$E$1,Data!$A$1:$AN$1,),))</f>
        <v/>
      </c>
      <c r="F67" s="14">
        <f>IF(VLOOKUP(B67,Data!$A:$AN,MATCH(yoy!$F$1,Data!$A$1:$AN$1,),)=0,"#N/A",(VLOOKUP(B67,Data!$A:$AN,MATCH(yoy!$F$1,Data!$A$1:$AN$1,),)-VLOOKUP(A67,Data!$A:$AN,MATCH(yoy!$F$1,Data!$A$1:$AN$1,),))/VLOOKUP(A67,Data!$A:$AN,MATCH(yoy!$F$1,Data!$A$1:$AN$1,),))</f>
        <v/>
      </c>
      <c r="G67" s="14">
        <f>IF(VLOOKUP(B67,Data!$A:$AN,MATCH(yoy!$G$1,Data!$A$1:$AN$1,),)=0,"#N/A",(VLOOKUP(B67,Data!$A:$AN,MATCH(yoy!$G$1,Data!$A$1:$AN$1,),)-VLOOKUP(A67,Data!$A:$AN,MATCH(yoy!$G$1,Data!$A$1:$AN$1,),))/VLOOKUP(A67,Data!$A:$AN,MATCH(yoy!$G$1,Data!$A$1:$AN$1,),))</f>
        <v/>
      </c>
      <c r="H67" s="14">
        <f>IF(VLOOKUP(B67,Data!$A:$AN,MATCH(yoy!$H$1,Data!$A$1:$AN$1,),)=0,"#N/A",(VLOOKUP(B67,Data!$A:$AN,MATCH(yoy!$H$1,Data!$A$1:$AN$1,),)-VLOOKUP(A67,Data!$A:$AN,MATCH(yoy!$H$1,Data!$A$1:$AN$1,),))/VLOOKUP(A67,Data!$A:$AN,MATCH(yoy!$H$1,Data!$A$1:$AN$1,),))</f>
        <v/>
      </c>
      <c r="I67" s="14">
        <f>IF(VLOOKUP(B67,Data!$A:$AN,MATCH(yoy!$I$1,Data!$A$1:$AN$1,),)=0,"#N/A",(VLOOKUP(B67,Data!$A:$AN,MATCH(yoy!$I$1,Data!$A$1:$AN$1,),)-VLOOKUP(A67,Data!$A:$AN,MATCH(yoy!$I$1,Data!$A$1:$AN$1,),))/VLOOKUP(A67,Data!$A:$AN,MATCH(yoy!$I$1,Data!$A$1:$AN$1,),))</f>
        <v/>
      </c>
      <c r="J67" s="14">
        <f>IF(VLOOKUP(B67,Data!$A:$AN,MATCH(yoy!$J$1,Data!$A$1:$AN$1,),)=0,"#N/A",(VLOOKUP(B67,Data!$A:$AN,MATCH(yoy!$J$1,Data!$A$1:$AN$1,),)-VLOOKUP(A67,Data!$A:$AN,MATCH(yoy!$J$1,Data!$A$1:$AN$1,),))/VLOOKUP(A67,Data!$A:$AN,MATCH(yoy!$J$1,Data!$A$1:$AN$1,),))</f>
        <v/>
      </c>
      <c r="K67" s="14">
        <f>IF(VLOOKUP(B67,Data!$A:$AN,MATCH(yoy!$K$1,Data!$A$1:$AN$1,),)=0,"#N/A",(VLOOKUP(B67,Data!$A:$AN,MATCH(yoy!$K$1,Data!$A$1:$AN$1,),)-VLOOKUP(A67,Data!$A:$AN,MATCH(yoy!$K$1,Data!$A$1:$AN$1,),))/VLOOKUP(A67,Data!$A:$AN,MATCH(yoy!$K$1,Data!$A$1:$AN$1,),))</f>
        <v/>
      </c>
      <c r="L67" s="14">
        <f>IF(VLOOKUP(B67,Data!$A:$AN,MATCH(yoy!$L$1,Data!$A$1:$AN$1,),)=0,"#N/A",(VLOOKUP(B67,Data!$A:$AN,MATCH(yoy!$L$1,Data!$A$1:$AN$1,),)-VLOOKUP(A67,Data!$A:$AN,MATCH(yoy!$L$1,Data!$A$1:$AN$1,),))/VLOOKUP(A67,Data!$A:$AN,MATCH(yoy!$L$1,Data!$A$1:$AN$1,),))</f>
        <v/>
      </c>
      <c r="M67" s="14">
        <f>IF(VLOOKUP(B67,Data!$A:$AN,MATCH(yoy!$M$1,Data!$A$1:$AN$1,),)=0,"#N/A",(VLOOKUP(B67,Data!$A:$AN,MATCH(yoy!$M$1,Data!$A$1:$AN$1,),)-VLOOKUP(A67,Data!$A:$AN,MATCH(yoy!$M$1,Data!$A$1:$AN$1,),))/VLOOKUP(A67,Data!$A:$AN,MATCH(yoy!$M$1,Data!$A$1:$AN$1,),))</f>
        <v/>
      </c>
      <c r="N67" s="14">
        <f>IF(VLOOKUP(B67,Data!$A:$AN,MATCH(yoy!$N$1,Data!$A$1:$AN$1,),)=0,"#N/A",(VLOOKUP(B67,Data!$A:$AN,MATCH(yoy!$N$1,Data!$A$1:$AN$1,),)-VLOOKUP(A67,Data!$A:$AN,MATCH(yoy!$N$1,Data!$A$1:$AN$1,),))/VLOOKUP(A67,Data!$A:$AN,MATCH(yoy!$N$1,Data!$A$1:$AN$1,),))</f>
        <v/>
      </c>
      <c r="O67" s="14">
        <f>IF(VLOOKUP(B67,Data!$A:$AN,MATCH(yoy!$O$1,Data!$A$1:$AN$1,),)=0,"#N/A",(VLOOKUP(B67,Data!$A:$AN,MATCH(yoy!$O$1,Data!$A$1:$AN$1,),)-VLOOKUP(A67,Data!$A:$AN,MATCH(yoy!$O$1,Data!$A$1:$AN$1,),))/VLOOKUP(A67,Data!$A:$AN,MATCH(yoy!$O$1,Data!$A$1:$AN$1,),))</f>
        <v/>
      </c>
      <c r="P67" s="14">
        <f>IF(VLOOKUP(B67,Data!$A:$AN,MATCH(yoy!$P$1,Data!$A$1:$AN$1,),)=0,"#N/A",(VLOOKUP(B67,Data!$A:$AN,MATCH(yoy!$P$1,Data!$A$1:$AN$1,),)-VLOOKUP(A67,Data!$A:$AN,MATCH(yoy!$P$1,Data!$A$1:$AN$1,),))/VLOOKUP(A67,Data!$A:$AN,MATCH(yoy!$P$1,Data!$A$1:$AN$1,),))</f>
        <v/>
      </c>
      <c r="Q67" s="14">
        <f>IF(VLOOKUP(B67,Data!$A:$AN,MATCH(yoy!$Q$1,Data!$A$1:$AN$1,),)=0,"#N/A",(VLOOKUP(B67,Data!$A:$AN,MATCH(yoy!$Q$1,Data!$A$1:$AN$1,),)-VLOOKUP(A67,Data!$A:$AN,MATCH(yoy!$Q$1,Data!$A$1:$AN$1,),))/VLOOKUP(A67,Data!$A:$AN,MATCH(yoy!$Q$1,Data!$A$1:$AN$1,),))</f>
        <v/>
      </c>
      <c r="R67" s="14">
        <f>IF(VLOOKUP(B67,Data!$A:$AN,MATCH(yoy!$R$1,Data!$A$1:$AN$1,),)=0,"#N/A",(VLOOKUP(B67,Data!$A:$AN,MATCH(yoy!$R$1,Data!$A$1:$AN$1,),)-VLOOKUP(A67,Data!$A:$AN,MATCH(yoy!$R$1,Data!$A$1:$AN$1,),))/VLOOKUP(A67,Data!$A:$AN,MATCH(yoy!$R$1,Data!$A$1:$AN$1,),))</f>
        <v/>
      </c>
      <c r="S67" s="14">
        <f>IF(VLOOKUP(B67,Data!$A:$AN,MATCH(yoy!$S$1,Data!$A$1:$AN$1,),)=0,"#N/A",(VLOOKUP(B67,Data!$A:$AN,MATCH(yoy!$S$1,Data!$A$1:$AN$1,),)-VLOOKUP(A67,Data!$A:$AN,MATCH(yoy!$S$1,Data!$A$1:$AN$1,),))/VLOOKUP(A67,Data!$A:$AN,MATCH(yoy!$S$1,Data!$A$1:$AN$1,),))</f>
        <v/>
      </c>
      <c r="T67" s="14">
        <f>IF(VLOOKUP(B67,Data!$A:$AN,MATCH(yoy!$T$1,Data!$A$1:$AN$1,),)=0,"#N/A",(VLOOKUP(B67,Data!$A:$AN,MATCH(yoy!$T$1,Data!$A$1:$AN$1,),)-VLOOKUP(A67,Data!$A:$AN,MATCH(yoy!$T$1,Data!$A$1:$AN$1,),))/VLOOKUP(A67,Data!$A:$AN,MATCH(yoy!$T$1,Data!$A$1:$AN$1,),))</f>
        <v/>
      </c>
      <c r="U67" s="14">
        <f>IF(VLOOKUP(B67,Data!$A:$AN,MATCH(yoy!$U$1,Data!$A$1:$AN$1,),)=0,"#N/A",(VLOOKUP(B67,Data!$A:$AN,MATCH(yoy!$U$1,Data!$A$1:$AN$1,),)-VLOOKUP(A67,Data!$A:$AN,MATCH(yoy!$U$1,Data!$A$1:$AN$1,),))/VLOOKUP(A67,Data!$A:$AN,MATCH(yoy!$U$1,Data!$A$1:$AN$1,),))</f>
        <v/>
      </c>
      <c r="V67" s="14">
        <f>IF(VLOOKUP(B67,Data!$A:$AN,MATCH(yoy!$V$1,Data!$A$1:$AN$1,),)=0,"#N/A",(VLOOKUP(B67,Data!$A:$AN,MATCH(yoy!$V$1,Data!$A$1:$AN$1,),)-VLOOKUP(A67,Data!$A:$AN,MATCH(yoy!$V$1,Data!$A$1:$AN$1,),))/VLOOKUP(A67,Data!$A:$AN,MATCH(yoy!$V$1,Data!$A$1:$AN$1,),))</f>
        <v/>
      </c>
      <c r="W67" s="14">
        <f>IF(VLOOKUP(B67,Data!$A:$AN,MATCH(yoy!$W$1,Data!$A$1:$AN$1,),)=0,"#N/A",(VLOOKUP(B67,Data!$A:$AN,MATCH(yoy!$W$1,Data!$A$1:$AN$1,),)-VLOOKUP(A67,Data!$A:$AN,MATCH(yoy!$W$1,Data!$A$1:$AN$1,),))/VLOOKUP(A67,Data!$A:$AN,MATCH(yoy!$W$1,Data!$A$1:$AN$1,),))</f>
        <v/>
      </c>
      <c r="X67" s="14">
        <f>IF(VLOOKUP(B67,Data!$A:$AN,MATCH(yoy!$X$1,Data!$A$1:$AN$1,),)=0,"#N/A",(VLOOKUP(B67,Data!$A:$AN,MATCH(yoy!$X$1,Data!$A$1:$AN$1,),)-VLOOKUP(A67,Data!$A:$AN,MATCH(yoy!$X$1,Data!$A$1:$AN$1,),))/VLOOKUP(A67,Data!$A:$AN,MATCH(yoy!$X$1,Data!$A$1:$AN$1,),))</f>
        <v/>
      </c>
      <c r="Y67" s="14">
        <f>IF(VLOOKUP(B67,Data!$A:$AN,MATCH(yoy!$Y$1,Data!$A$1:$AN$1,),)=0,"#N/A",(VLOOKUP(B67,Data!$A:$AN,MATCH(yoy!$Y$1,Data!$A$1:$AN$1,),)-VLOOKUP(A67,Data!$A:$AN,MATCH(yoy!$Y$1,Data!$A$1:$AN$1,),))/VLOOKUP(A67,Data!$A:$AN,MATCH(yoy!$Y$1,Data!$A$1:$AN$1,),))</f>
        <v/>
      </c>
      <c r="Z67" s="14">
        <f>IF(VLOOKUP(B67,Data!$A:$AN,MATCH(yoy!$Z$1,Data!$A$1:$AN$1,),)=0,"#N/A",(VLOOKUP(B67,Data!$A:$AN,MATCH(yoy!$Z$1,Data!$A$1:$AN$1,),)-VLOOKUP(A67,Data!$A:$AN,MATCH(yoy!$Z$1,Data!$A$1:$AN$1,),))/VLOOKUP(A67,Data!$A:$AN,MATCH(yoy!$Z$1,Data!$A$1:$AN$1,),))</f>
        <v/>
      </c>
      <c r="AA67" s="14">
        <f>IF(VLOOKUP(B67,Data!$A:$AN,MATCH(yoy!$AA$1,Data!$A$1:$AN$1,),)=0,"#N/A",(VLOOKUP(B67,Data!$A:$AN,MATCH(yoy!$AA$1,Data!$A$1:$AN$1,),)-VLOOKUP(A67,Data!$A:$AN,MATCH(yoy!$AA$1,Data!$A$1:$AN$1,),))/VLOOKUP(A67,Data!$A:$AN,MATCH(yoy!$AA$1,Data!$A$1:$AN$1,),))</f>
        <v/>
      </c>
    </row>
    <row r="68" customFormat="1" s="77">
      <c r="A68" s="20">
        <f>DATE(YEAR(B68)-1,MONTH(B68),DAY(B68))</f>
        <v/>
      </c>
      <c r="B68" s="12" t="n">
        <v>43922</v>
      </c>
      <c r="C68" s="14">
        <f>IF(VLOOKUP(B68,Data!$A:$AN,MATCH(yoy!$C$1,Data!$A$1:$AN$1,),)=0,"#N/A",(VLOOKUP(B68,Data!$A:$AN,MATCH(yoy!$C$1,Data!$A$1:$AN$1,),)-VLOOKUP(A68,Data!$A:$AN,MATCH(yoy!$C$1,Data!$A$1:$AN$1,),))/VLOOKUP(A68,Data!$A:$AN,MATCH(yoy!$C$1,Data!$A$1:$AN$1,),))</f>
        <v/>
      </c>
      <c r="D68" s="14">
        <f>IF(VLOOKUP(B68,Data!$A:$AN,MATCH(yoy!$D$1,Data!$A$1:$AN$1,),)=0,"#N/A",(VLOOKUP(B68,Data!$A:$AN,MATCH(yoy!$D$1,Data!$A$1:$AN$1,),)-VLOOKUP(A68,Data!$A:$AN,MATCH(yoy!$D$1,Data!$A$1:$AN$1,),))/VLOOKUP(A68,Data!$A:$AN,MATCH(yoy!$D$1,Data!$A$1:$AN$1,),))</f>
        <v/>
      </c>
      <c r="E68" s="14">
        <f>IF(VLOOKUP(B68,Data!$A:$AN,MATCH(yoy!$E$1,Data!$A$1:$AN$1,),)=0,"#N/A",(VLOOKUP(B68,Data!$A:$AN,MATCH(yoy!$E$1,Data!$A$1:$AN$1,),)-VLOOKUP(A68,Data!$A:$AN,MATCH(yoy!$E$1,Data!$A$1:$AN$1,),))/VLOOKUP(A68,Data!$A:$AN,MATCH(yoy!$E$1,Data!$A$1:$AN$1,),))</f>
        <v/>
      </c>
      <c r="F68" s="14">
        <f>IF(VLOOKUP(B68,Data!$A:$AN,MATCH(yoy!$F$1,Data!$A$1:$AN$1,),)=0,"#N/A",(VLOOKUP(B68,Data!$A:$AN,MATCH(yoy!$F$1,Data!$A$1:$AN$1,),)-VLOOKUP(A68,Data!$A:$AN,MATCH(yoy!$F$1,Data!$A$1:$AN$1,),))/VLOOKUP(A68,Data!$A:$AN,MATCH(yoy!$F$1,Data!$A$1:$AN$1,),))</f>
        <v/>
      </c>
      <c r="G68" s="14">
        <f>IF(VLOOKUP(B68,Data!$A:$AN,MATCH(yoy!$G$1,Data!$A$1:$AN$1,),)=0,"#N/A",(VLOOKUP(B68,Data!$A:$AN,MATCH(yoy!$G$1,Data!$A$1:$AN$1,),)-VLOOKUP(A68,Data!$A:$AN,MATCH(yoy!$G$1,Data!$A$1:$AN$1,),))/VLOOKUP(A68,Data!$A:$AN,MATCH(yoy!$G$1,Data!$A$1:$AN$1,),))</f>
        <v/>
      </c>
      <c r="H68" s="14">
        <f>IF(VLOOKUP(B68,Data!$A:$AN,MATCH(yoy!$H$1,Data!$A$1:$AN$1,),)=0,"#N/A",(VLOOKUP(B68,Data!$A:$AN,MATCH(yoy!$H$1,Data!$A$1:$AN$1,),)-VLOOKUP(A68,Data!$A:$AN,MATCH(yoy!$H$1,Data!$A$1:$AN$1,),))/VLOOKUP(A68,Data!$A:$AN,MATCH(yoy!$H$1,Data!$A$1:$AN$1,),))</f>
        <v/>
      </c>
      <c r="I68" s="14">
        <f>IF(VLOOKUP(B68,Data!$A:$AN,MATCH(yoy!$I$1,Data!$A$1:$AN$1,),)=0,"#N/A",(VLOOKUP(B68,Data!$A:$AN,MATCH(yoy!$I$1,Data!$A$1:$AN$1,),)-VLOOKUP(A68,Data!$A:$AN,MATCH(yoy!$I$1,Data!$A$1:$AN$1,),))/VLOOKUP(A68,Data!$A:$AN,MATCH(yoy!$I$1,Data!$A$1:$AN$1,),))</f>
        <v/>
      </c>
      <c r="J68" s="14">
        <f>IF(VLOOKUP(B68,Data!$A:$AN,MATCH(yoy!$J$1,Data!$A$1:$AN$1,),)=0,"#N/A",(VLOOKUP(B68,Data!$A:$AN,MATCH(yoy!$J$1,Data!$A$1:$AN$1,),)-VLOOKUP(A68,Data!$A:$AN,MATCH(yoy!$J$1,Data!$A$1:$AN$1,),))/VLOOKUP(A68,Data!$A:$AN,MATCH(yoy!$J$1,Data!$A$1:$AN$1,),))</f>
        <v/>
      </c>
      <c r="K68" s="14">
        <f>IF(VLOOKUP(B68,Data!$A:$AN,MATCH(yoy!$K$1,Data!$A$1:$AN$1,),)=0,"#N/A",(VLOOKUP(B68,Data!$A:$AN,MATCH(yoy!$K$1,Data!$A$1:$AN$1,),)-VLOOKUP(A68,Data!$A:$AN,MATCH(yoy!$K$1,Data!$A$1:$AN$1,),))/VLOOKUP(A68,Data!$A:$AN,MATCH(yoy!$K$1,Data!$A$1:$AN$1,),))</f>
        <v/>
      </c>
      <c r="L68" s="14">
        <f>IF(VLOOKUP(B68,Data!$A:$AN,MATCH(yoy!$L$1,Data!$A$1:$AN$1,),)=0,"#N/A",(VLOOKUP(B68,Data!$A:$AN,MATCH(yoy!$L$1,Data!$A$1:$AN$1,),)-VLOOKUP(A68,Data!$A:$AN,MATCH(yoy!$L$1,Data!$A$1:$AN$1,),))/VLOOKUP(A68,Data!$A:$AN,MATCH(yoy!$L$1,Data!$A$1:$AN$1,),))</f>
        <v/>
      </c>
      <c r="M68" s="14">
        <f>IF(VLOOKUP(B68,Data!$A:$AN,MATCH(yoy!$M$1,Data!$A$1:$AN$1,),)=0,"#N/A",(VLOOKUP(B68,Data!$A:$AN,MATCH(yoy!$M$1,Data!$A$1:$AN$1,),)-VLOOKUP(A68,Data!$A:$AN,MATCH(yoy!$M$1,Data!$A$1:$AN$1,),))/VLOOKUP(A68,Data!$A:$AN,MATCH(yoy!$M$1,Data!$A$1:$AN$1,),))</f>
        <v/>
      </c>
      <c r="N68" s="14">
        <f>IF(VLOOKUP(B68,Data!$A:$AN,MATCH(yoy!$N$1,Data!$A$1:$AN$1,),)=0,"#N/A",(VLOOKUP(B68,Data!$A:$AN,MATCH(yoy!$N$1,Data!$A$1:$AN$1,),)-VLOOKUP(A68,Data!$A:$AN,MATCH(yoy!$N$1,Data!$A$1:$AN$1,),))/VLOOKUP(A68,Data!$A:$AN,MATCH(yoy!$N$1,Data!$A$1:$AN$1,),))</f>
        <v/>
      </c>
      <c r="O68" s="14">
        <f>IF(VLOOKUP(B68,Data!$A:$AN,MATCH(yoy!$O$1,Data!$A$1:$AN$1,),)=0,"#N/A",(VLOOKUP(B68,Data!$A:$AN,MATCH(yoy!$O$1,Data!$A$1:$AN$1,),)-VLOOKUP(A68,Data!$A:$AN,MATCH(yoy!$O$1,Data!$A$1:$AN$1,),))/VLOOKUP(A68,Data!$A:$AN,MATCH(yoy!$O$1,Data!$A$1:$AN$1,),))</f>
        <v/>
      </c>
      <c r="P68" s="14">
        <f>IF(VLOOKUP(B68,Data!$A:$AN,MATCH(yoy!$P$1,Data!$A$1:$AN$1,),)=0,"#N/A",(VLOOKUP(B68,Data!$A:$AN,MATCH(yoy!$P$1,Data!$A$1:$AN$1,),)-VLOOKUP(A68,Data!$A:$AN,MATCH(yoy!$P$1,Data!$A$1:$AN$1,),))/VLOOKUP(A68,Data!$A:$AN,MATCH(yoy!$P$1,Data!$A$1:$AN$1,),))</f>
        <v/>
      </c>
      <c r="Q68" s="14">
        <f>IF(VLOOKUP(B68,Data!$A:$AN,MATCH(yoy!$Q$1,Data!$A$1:$AN$1,),)=0,"#N/A",(VLOOKUP(B68,Data!$A:$AN,MATCH(yoy!$Q$1,Data!$A$1:$AN$1,),)-VLOOKUP(A68,Data!$A:$AN,MATCH(yoy!$Q$1,Data!$A$1:$AN$1,),))/VLOOKUP(A68,Data!$A:$AN,MATCH(yoy!$Q$1,Data!$A$1:$AN$1,),))</f>
        <v/>
      </c>
      <c r="R68" s="14">
        <f>IF(VLOOKUP(B68,Data!$A:$AN,MATCH(yoy!$R$1,Data!$A$1:$AN$1,),)=0,"#N/A",(VLOOKUP(B68,Data!$A:$AN,MATCH(yoy!$R$1,Data!$A$1:$AN$1,),)-VLOOKUP(A68,Data!$A:$AN,MATCH(yoy!$R$1,Data!$A$1:$AN$1,),))/VLOOKUP(A68,Data!$A:$AN,MATCH(yoy!$R$1,Data!$A$1:$AN$1,),))</f>
        <v/>
      </c>
      <c r="S68" s="14">
        <f>IF(VLOOKUP(B68,Data!$A:$AN,MATCH(yoy!$S$1,Data!$A$1:$AN$1,),)=0,"#N/A",(VLOOKUP(B68,Data!$A:$AN,MATCH(yoy!$S$1,Data!$A$1:$AN$1,),)-VLOOKUP(A68,Data!$A:$AN,MATCH(yoy!$S$1,Data!$A$1:$AN$1,),))/VLOOKUP(A68,Data!$A:$AN,MATCH(yoy!$S$1,Data!$A$1:$AN$1,),))</f>
        <v/>
      </c>
      <c r="T68" s="14">
        <f>IF(VLOOKUP(B68,Data!$A:$AN,MATCH(yoy!$T$1,Data!$A$1:$AN$1,),)=0,"#N/A",(VLOOKUP(B68,Data!$A:$AN,MATCH(yoy!$T$1,Data!$A$1:$AN$1,),)-VLOOKUP(A68,Data!$A:$AN,MATCH(yoy!$T$1,Data!$A$1:$AN$1,),))/VLOOKUP(A68,Data!$A:$AN,MATCH(yoy!$T$1,Data!$A$1:$AN$1,),))</f>
        <v/>
      </c>
      <c r="U68" s="14">
        <f>IF(VLOOKUP(B68,Data!$A:$AN,MATCH(yoy!$U$1,Data!$A$1:$AN$1,),)=0,"#N/A",(VLOOKUP(B68,Data!$A:$AN,MATCH(yoy!$U$1,Data!$A$1:$AN$1,),)-VLOOKUP(A68,Data!$A:$AN,MATCH(yoy!$U$1,Data!$A$1:$AN$1,),))/VLOOKUP(A68,Data!$A:$AN,MATCH(yoy!$U$1,Data!$A$1:$AN$1,),))</f>
        <v/>
      </c>
      <c r="V68" s="14">
        <f>IF(VLOOKUP(B68,Data!$A:$AN,MATCH(yoy!$V$1,Data!$A$1:$AN$1,),)=0,"#N/A",(VLOOKUP(B68,Data!$A:$AN,MATCH(yoy!$V$1,Data!$A$1:$AN$1,),)-VLOOKUP(A68,Data!$A:$AN,MATCH(yoy!$V$1,Data!$A$1:$AN$1,),))/VLOOKUP(A68,Data!$A:$AN,MATCH(yoy!$V$1,Data!$A$1:$AN$1,),))</f>
        <v/>
      </c>
      <c r="W68" s="14">
        <f>IF(VLOOKUP(B68,Data!$A:$AN,MATCH(yoy!$W$1,Data!$A$1:$AN$1,),)=0,"#N/A",(VLOOKUP(B68,Data!$A:$AN,MATCH(yoy!$W$1,Data!$A$1:$AN$1,),)-VLOOKUP(A68,Data!$A:$AN,MATCH(yoy!$W$1,Data!$A$1:$AN$1,),))/VLOOKUP(A68,Data!$A:$AN,MATCH(yoy!$W$1,Data!$A$1:$AN$1,),))</f>
        <v/>
      </c>
      <c r="X68" s="14">
        <f>IF(VLOOKUP(B68,Data!$A:$AN,MATCH(yoy!$X$1,Data!$A$1:$AN$1,),)=0,"#N/A",(VLOOKUP(B68,Data!$A:$AN,MATCH(yoy!$X$1,Data!$A$1:$AN$1,),)-VLOOKUP(A68,Data!$A:$AN,MATCH(yoy!$X$1,Data!$A$1:$AN$1,),))/VLOOKUP(A68,Data!$A:$AN,MATCH(yoy!$X$1,Data!$A$1:$AN$1,),))</f>
        <v/>
      </c>
      <c r="Y68" s="14">
        <f>IF(VLOOKUP(B68,Data!$A:$AN,MATCH(yoy!$Y$1,Data!$A$1:$AN$1,),)=0,"#N/A",(VLOOKUP(B68,Data!$A:$AN,MATCH(yoy!$Y$1,Data!$A$1:$AN$1,),)-VLOOKUP(A68,Data!$A:$AN,MATCH(yoy!$Y$1,Data!$A$1:$AN$1,),))/VLOOKUP(A68,Data!$A:$AN,MATCH(yoy!$Y$1,Data!$A$1:$AN$1,),))</f>
        <v/>
      </c>
      <c r="Z68" s="14">
        <f>IF(VLOOKUP(B68,Data!$A:$AN,MATCH(yoy!$Z$1,Data!$A$1:$AN$1,),)=0,"#N/A",(VLOOKUP(B68,Data!$A:$AN,MATCH(yoy!$Z$1,Data!$A$1:$AN$1,),)-VLOOKUP(A68,Data!$A:$AN,MATCH(yoy!$Z$1,Data!$A$1:$AN$1,),))/VLOOKUP(A68,Data!$A:$AN,MATCH(yoy!$Z$1,Data!$A$1:$AN$1,),))</f>
        <v/>
      </c>
      <c r="AA68" s="14">
        <f>IF(VLOOKUP(B68,Data!$A:$AN,MATCH(yoy!$AA$1,Data!$A$1:$AN$1,),)=0,"#N/A",(VLOOKUP(B68,Data!$A:$AN,MATCH(yoy!$AA$1,Data!$A$1:$AN$1,),)-VLOOKUP(A68,Data!$A:$AN,MATCH(yoy!$AA$1,Data!$A$1:$AN$1,),))/VLOOKUP(A68,Data!$A:$AN,MATCH(yoy!$AA$1,Data!$A$1:$AN$1,),))</f>
        <v/>
      </c>
    </row>
    <row r="69" customFormat="1" s="77">
      <c r="A69" s="20">
        <f>DATE(YEAR(B69)-1,MONTH(B69),DAY(B69))</f>
        <v/>
      </c>
      <c r="B69" s="12" t="n">
        <v>43952</v>
      </c>
      <c r="C69" s="14">
        <f>IF(VLOOKUP(B69,Data!$A:$AN,MATCH(yoy!$C$1,Data!$A$1:$AN$1,),)=0,"#N/A",(VLOOKUP(B69,Data!$A:$AN,MATCH(yoy!$C$1,Data!$A$1:$AN$1,),)-VLOOKUP(A69,Data!$A:$AN,MATCH(yoy!$C$1,Data!$A$1:$AN$1,),))/VLOOKUP(A69,Data!$A:$AN,MATCH(yoy!$C$1,Data!$A$1:$AN$1,),))</f>
        <v/>
      </c>
      <c r="D69" s="14">
        <f>IF(VLOOKUP(B69,Data!$A:$AN,MATCH(yoy!$D$1,Data!$A$1:$AN$1,),)=0,"#N/A",(VLOOKUP(B69,Data!$A:$AN,MATCH(yoy!$D$1,Data!$A$1:$AN$1,),)-VLOOKUP(A69,Data!$A:$AN,MATCH(yoy!$D$1,Data!$A$1:$AN$1,),))/VLOOKUP(A69,Data!$A:$AN,MATCH(yoy!$D$1,Data!$A$1:$AN$1,),))</f>
        <v/>
      </c>
      <c r="E69" s="14">
        <f>IF(VLOOKUP(B69,Data!$A:$AN,MATCH(yoy!$E$1,Data!$A$1:$AN$1,),)=0,"#N/A",(VLOOKUP(B69,Data!$A:$AN,MATCH(yoy!$E$1,Data!$A$1:$AN$1,),)-VLOOKUP(A69,Data!$A:$AN,MATCH(yoy!$E$1,Data!$A$1:$AN$1,),))/VLOOKUP(A69,Data!$A:$AN,MATCH(yoy!$E$1,Data!$A$1:$AN$1,),))</f>
        <v/>
      </c>
      <c r="F69" s="14">
        <f>IF(VLOOKUP(B69,Data!$A:$AN,MATCH(yoy!$F$1,Data!$A$1:$AN$1,),)=0,"#N/A",(VLOOKUP(B69,Data!$A:$AN,MATCH(yoy!$F$1,Data!$A$1:$AN$1,),)-VLOOKUP(A69,Data!$A:$AN,MATCH(yoy!$F$1,Data!$A$1:$AN$1,),))/VLOOKUP(A69,Data!$A:$AN,MATCH(yoy!$F$1,Data!$A$1:$AN$1,),))</f>
        <v/>
      </c>
      <c r="G69" s="14">
        <f>IF(VLOOKUP(B69,Data!$A:$AN,MATCH(yoy!$G$1,Data!$A$1:$AN$1,),)=0,"#N/A",(VLOOKUP(B69,Data!$A:$AN,MATCH(yoy!$G$1,Data!$A$1:$AN$1,),)-VLOOKUP(A69,Data!$A:$AN,MATCH(yoy!$G$1,Data!$A$1:$AN$1,),))/VLOOKUP(A69,Data!$A:$AN,MATCH(yoy!$G$1,Data!$A$1:$AN$1,),))</f>
        <v/>
      </c>
      <c r="H69" s="14">
        <f>IF(VLOOKUP(B69,Data!$A:$AN,MATCH(yoy!$H$1,Data!$A$1:$AN$1,),)=0,"#N/A",(VLOOKUP(B69,Data!$A:$AN,MATCH(yoy!$H$1,Data!$A$1:$AN$1,),)-VLOOKUP(A69,Data!$A:$AN,MATCH(yoy!$H$1,Data!$A$1:$AN$1,),))/VLOOKUP(A69,Data!$A:$AN,MATCH(yoy!$H$1,Data!$A$1:$AN$1,),))</f>
        <v/>
      </c>
      <c r="I69" s="14">
        <f>IF(VLOOKUP(B69,Data!$A:$AN,MATCH(yoy!$I$1,Data!$A$1:$AN$1,),)=0,"#N/A",(VLOOKUP(B69,Data!$A:$AN,MATCH(yoy!$I$1,Data!$A$1:$AN$1,),)-VLOOKUP(A69,Data!$A:$AN,MATCH(yoy!$I$1,Data!$A$1:$AN$1,),))/VLOOKUP(A69,Data!$A:$AN,MATCH(yoy!$I$1,Data!$A$1:$AN$1,),))</f>
        <v/>
      </c>
      <c r="J69" s="14">
        <f>IF(VLOOKUP(B69,Data!$A:$AN,MATCH(yoy!$J$1,Data!$A$1:$AN$1,),)=0,"#N/A",(VLOOKUP(B69,Data!$A:$AN,MATCH(yoy!$J$1,Data!$A$1:$AN$1,),)-VLOOKUP(A69,Data!$A:$AN,MATCH(yoy!$J$1,Data!$A$1:$AN$1,),))/VLOOKUP(A69,Data!$A:$AN,MATCH(yoy!$J$1,Data!$A$1:$AN$1,),))</f>
        <v/>
      </c>
      <c r="K69" s="14">
        <f>IF(VLOOKUP(B69,Data!$A:$AN,MATCH(yoy!$K$1,Data!$A$1:$AN$1,),)=0,"#N/A",(VLOOKUP(B69,Data!$A:$AN,MATCH(yoy!$K$1,Data!$A$1:$AN$1,),)-VLOOKUP(A69,Data!$A:$AN,MATCH(yoy!$K$1,Data!$A$1:$AN$1,),))/VLOOKUP(A69,Data!$A:$AN,MATCH(yoy!$K$1,Data!$A$1:$AN$1,),))</f>
        <v/>
      </c>
      <c r="L69" s="14">
        <f>IF(VLOOKUP(B69,Data!$A:$AN,MATCH(yoy!$L$1,Data!$A$1:$AN$1,),)=0,"#N/A",(VLOOKUP(B69,Data!$A:$AN,MATCH(yoy!$L$1,Data!$A$1:$AN$1,),)-VLOOKUP(A69,Data!$A:$AN,MATCH(yoy!$L$1,Data!$A$1:$AN$1,),))/VLOOKUP(A69,Data!$A:$AN,MATCH(yoy!$L$1,Data!$A$1:$AN$1,),))</f>
        <v/>
      </c>
      <c r="M69" s="14">
        <f>IF(VLOOKUP(B69,Data!$A:$AN,MATCH(yoy!$M$1,Data!$A$1:$AN$1,),)=0,"#N/A",(VLOOKUP(B69,Data!$A:$AN,MATCH(yoy!$M$1,Data!$A$1:$AN$1,),)-VLOOKUP(A69,Data!$A:$AN,MATCH(yoy!$M$1,Data!$A$1:$AN$1,),))/VLOOKUP(A69,Data!$A:$AN,MATCH(yoy!$M$1,Data!$A$1:$AN$1,),))</f>
        <v/>
      </c>
      <c r="N69" s="14">
        <f>IF(VLOOKUP(B69,Data!$A:$AN,MATCH(yoy!$N$1,Data!$A$1:$AN$1,),)=0,"#N/A",(VLOOKUP(B69,Data!$A:$AN,MATCH(yoy!$N$1,Data!$A$1:$AN$1,),)-VLOOKUP(A69,Data!$A:$AN,MATCH(yoy!$N$1,Data!$A$1:$AN$1,),))/VLOOKUP(A69,Data!$A:$AN,MATCH(yoy!$N$1,Data!$A$1:$AN$1,),))</f>
        <v/>
      </c>
      <c r="O69" s="14">
        <f>IF(VLOOKUP(B69,Data!$A:$AN,MATCH(yoy!$O$1,Data!$A$1:$AN$1,),)=0,"#N/A",(VLOOKUP(B69,Data!$A:$AN,MATCH(yoy!$O$1,Data!$A$1:$AN$1,),)-VLOOKUP(A69,Data!$A:$AN,MATCH(yoy!$O$1,Data!$A$1:$AN$1,),))/VLOOKUP(A69,Data!$A:$AN,MATCH(yoy!$O$1,Data!$A$1:$AN$1,),))</f>
        <v/>
      </c>
      <c r="P69" s="14">
        <f>IF(VLOOKUP(B69,Data!$A:$AN,MATCH(yoy!$P$1,Data!$A$1:$AN$1,),)=0,"#N/A",(VLOOKUP(B69,Data!$A:$AN,MATCH(yoy!$P$1,Data!$A$1:$AN$1,),)-VLOOKUP(A69,Data!$A:$AN,MATCH(yoy!$P$1,Data!$A$1:$AN$1,),))/VLOOKUP(A69,Data!$A:$AN,MATCH(yoy!$P$1,Data!$A$1:$AN$1,),))</f>
        <v/>
      </c>
      <c r="Q69" s="14">
        <f>IF(VLOOKUP(B69,Data!$A:$AN,MATCH(yoy!$Q$1,Data!$A$1:$AN$1,),)=0,"#N/A",(VLOOKUP(B69,Data!$A:$AN,MATCH(yoy!$Q$1,Data!$A$1:$AN$1,),)-VLOOKUP(A69,Data!$A:$AN,MATCH(yoy!$Q$1,Data!$A$1:$AN$1,),))/VLOOKUP(A69,Data!$A:$AN,MATCH(yoy!$Q$1,Data!$A$1:$AN$1,),))</f>
        <v/>
      </c>
      <c r="R69" s="14">
        <f>IF(VLOOKUP(B69,Data!$A:$AN,MATCH(yoy!$R$1,Data!$A$1:$AN$1,),)=0,"#N/A",(VLOOKUP(B69,Data!$A:$AN,MATCH(yoy!$R$1,Data!$A$1:$AN$1,),)-VLOOKUP(A69,Data!$A:$AN,MATCH(yoy!$R$1,Data!$A$1:$AN$1,),))/VLOOKUP(A69,Data!$A:$AN,MATCH(yoy!$R$1,Data!$A$1:$AN$1,),))</f>
        <v/>
      </c>
      <c r="S69" s="14">
        <f>IF(VLOOKUP(B69,Data!$A:$AN,MATCH(yoy!$S$1,Data!$A$1:$AN$1,),)=0,"#N/A",(VLOOKUP(B69,Data!$A:$AN,MATCH(yoy!$S$1,Data!$A$1:$AN$1,),)-VLOOKUP(A69,Data!$A:$AN,MATCH(yoy!$S$1,Data!$A$1:$AN$1,),))/VLOOKUP(A69,Data!$A:$AN,MATCH(yoy!$S$1,Data!$A$1:$AN$1,),))</f>
        <v/>
      </c>
      <c r="T69" s="14">
        <f>IF(VLOOKUP(B69,Data!$A:$AN,MATCH(yoy!$T$1,Data!$A$1:$AN$1,),)=0,"#N/A",(VLOOKUP(B69,Data!$A:$AN,MATCH(yoy!$T$1,Data!$A$1:$AN$1,),)-VLOOKUP(A69,Data!$A:$AN,MATCH(yoy!$T$1,Data!$A$1:$AN$1,),))/VLOOKUP(A69,Data!$A:$AN,MATCH(yoy!$T$1,Data!$A$1:$AN$1,),))</f>
        <v/>
      </c>
      <c r="U69" s="14">
        <f>IF(VLOOKUP(B69,Data!$A:$AN,MATCH(yoy!$U$1,Data!$A$1:$AN$1,),)=0,"#N/A",(VLOOKUP(B69,Data!$A:$AN,MATCH(yoy!$U$1,Data!$A$1:$AN$1,),)-VLOOKUP(A69,Data!$A:$AN,MATCH(yoy!$U$1,Data!$A$1:$AN$1,),))/VLOOKUP(A69,Data!$A:$AN,MATCH(yoy!$U$1,Data!$A$1:$AN$1,),))</f>
        <v/>
      </c>
      <c r="V69" s="14">
        <f>IF(VLOOKUP(B69,Data!$A:$AN,MATCH(yoy!$V$1,Data!$A$1:$AN$1,),)=0,"#N/A",(VLOOKUP(B69,Data!$A:$AN,MATCH(yoy!$V$1,Data!$A$1:$AN$1,),)-VLOOKUP(A69,Data!$A:$AN,MATCH(yoy!$V$1,Data!$A$1:$AN$1,),))/VLOOKUP(A69,Data!$A:$AN,MATCH(yoy!$V$1,Data!$A$1:$AN$1,),))</f>
        <v/>
      </c>
      <c r="W69" s="14">
        <f>IF(VLOOKUP(B69,Data!$A:$AN,MATCH(yoy!$W$1,Data!$A$1:$AN$1,),)=0,"#N/A",(VLOOKUP(B69,Data!$A:$AN,MATCH(yoy!$W$1,Data!$A$1:$AN$1,),)-VLOOKUP(A69,Data!$A:$AN,MATCH(yoy!$W$1,Data!$A$1:$AN$1,),))/VLOOKUP(A69,Data!$A:$AN,MATCH(yoy!$W$1,Data!$A$1:$AN$1,),))</f>
        <v/>
      </c>
      <c r="X69" s="14">
        <f>IF(VLOOKUP(B69,Data!$A:$AN,MATCH(yoy!$X$1,Data!$A$1:$AN$1,),)=0,"#N/A",(VLOOKUP(B69,Data!$A:$AN,MATCH(yoy!$X$1,Data!$A$1:$AN$1,),)-VLOOKUP(A69,Data!$A:$AN,MATCH(yoy!$X$1,Data!$A$1:$AN$1,),))/VLOOKUP(A69,Data!$A:$AN,MATCH(yoy!$X$1,Data!$A$1:$AN$1,),))</f>
        <v/>
      </c>
      <c r="Y69" s="14">
        <f>IF(VLOOKUP(B69,Data!$A:$AN,MATCH(yoy!$Y$1,Data!$A$1:$AN$1,),)=0,"#N/A",(VLOOKUP(B69,Data!$A:$AN,MATCH(yoy!$Y$1,Data!$A$1:$AN$1,),)-VLOOKUP(A69,Data!$A:$AN,MATCH(yoy!$Y$1,Data!$A$1:$AN$1,),))/VLOOKUP(A69,Data!$A:$AN,MATCH(yoy!$Y$1,Data!$A$1:$AN$1,),))</f>
        <v/>
      </c>
      <c r="Z69" s="14">
        <f>IF(VLOOKUP(B69,Data!$A:$AN,MATCH(yoy!$Z$1,Data!$A$1:$AN$1,),)=0,"#N/A",(VLOOKUP(B69,Data!$A:$AN,MATCH(yoy!$Z$1,Data!$A$1:$AN$1,),)-VLOOKUP(A69,Data!$A:$AN,MATCH(yoy!$Z$1,Data!$A$1:$AN$1,),))/VLOOKUP(A69,Data!$A:$AN,MATCH(yoy!$Z$1,Data!$A$1:$AN$1,),))</f>
        <v/>
      </c>
      <c r="AA69" s="14">
        <f>IF(VLOOKUP(B69,Data!$A:$AN,MATCH(yoy!$AA$1,Data!$A$1:$AN$1,),)=0,"#N/A",(VLOOKUP(B69,Data!$A:$AN,MATCH(yoy!$AA$1,Data!$A$1:$AN$1,),)-VLOOKUP(A69,Data!$A:$AN,MATCH(yoy!$AA$1,Data!$A$1:$AN$1,),))/VLOOKUP(A69,Data!$A:$AN,MATCH(yoy!$AA$1,Data!$A$1:$AN$1,),))</f>
        <v/>
      </c>
    </row>
    <row r="70" customFormat="1" s="77">
      <c r="A70" s="20">
        <f>DATE(YEAR(B70)-1,MONTH(B70),DAY(B70))</f>
        <v/>
      </c>
      <c r="B70" s="12" t="n">
        <v>43983</v>
      </c>
      <c r="C70" s="14">
        <f>IF(VLOOKUP(B70,Data!$A:$AN,MATCH(yoy!$C$1,Data!$A$1:$AN$1,),)=0,"#N/A",(VLOOKUP(B70,Data!$A:$AN,MATCH(yoy!$C$1,Data!$A$1:$AN$1,),)-VLOOKUP(A70,Data!$A:$AN,MATCH(yoy!$C$1,Data!$A$1:$AN$1,),))/VLOOKUP(A70,Data!$A:$AN,MATCH(yoy!$C$1,Data!$A$1:$AN$1,),))</f>
        <v/>
      </c>
      <c r="D70" s="14">
        <f>IF(VLOOKUP(B70,Data!$A:$AN,MATCH(yoy!$D$1,Data!$A$1:$AN$1,),)=0,"#N/A",(VLOOKUP(B70,Data!$A:$AN,MATCH(yoy!$D$1,Data!$A$1:$AN$1,),)-VLOOKUP(A70,Data!$A:$AN,MATCH(yoy!$D$1,Data!$A$1:$AN$1,),))/VLOOKUP(A70,Data!$A:$AN,MATCH(yoy!$D$1,Data!$A$1:$AN$1,),))</f>
        <v/>
      </c>
      <c r="E70" s="14">
        <f>IF(VLOOKUP(B70,Data!$A:$AN,MATCH(yoy!$E$1,Data!$A$1:$AN$1,),)=0,"#N/A",(VLOOKUP(B70,Data!$A:$AN,MATCH(yoy!$E$1,Data!$A$1:$AN$1,),)-VLOOKUP(A70,Data!$A:$AN,MATCH(yoy!$E$1,Data!$A$1:$AN$1,),))/VLOOKUP(A70,Data!$A:$AN,MATCH(yoy!$E$1,Data!$A$1:$AN$1,),))</f>
        <v/>
      </c>
      <c r="F70" s="14">
        <f>IF(VLOOKUP(B70,Data!$A:$AN,MATCH(yoy!$F$1,Data!$A$1:$AN$1,),)=0,"#N/A",(VLOOKUP(B70,Data!$A:$AN,MATCH(yoy!$F$1,Data!$A$1:$AN$1,),)-VLOOKUP(A70,Data!$A:$AN,MATCH(yoy!$F$1,Data!$A$1:$AN$1,),))/VLOOKUP(A70,Data!$A:$AN,MATCH(yoy!$F$1,Data!$A$1:$AN$1,),))</f>
        <v/>
      </c>
      <c r="G70" s="14">
        <f>IF(VLOOKUP(B70,Data!$A:$AN,MATCH(yoy!$G$1,Data!$A$1:$AN$1,),)=0,"#N/A",(VLOOKUP(B70,Data!$A:$AN,MATCH(yoy!$G$1,Data!$A$1:$AN$1,),)-VLOOKUP(A70,Data!$A:$AN,MATCH(yoy!$G$1,Data!$A$1:$AN$1,),))/VLOOKUP(A70,Data!$A:$AN,MATCH(yoy!$G$1,Data!$A$1:$AN$1,),))</f>
        <v/>
      </c>
      <c r="H70" s="14">
        <f>IF(VLOOKUP(B70,Data!$A:$AN,MATCH(yoy!$H$1,Data!$A$1:$AN$1,),)=0,"#N/A",(VLOOKUP(B70,Data!$A:$AN,MATCH(yoy!$H$1,Data!$A$1:$AN$1,),)-VLOOKUP(A70,Data!$A:$AN,MATCH(yoy!$H$1,Data!$A$1:$AN$1,),))/VLOOKUP(A70,Data!$A:$AN,MATCH(yoy!$H$1,Data!$A$1:$AN$1,),))</f>
        <v/>
      </c>
      <c r="I70" s="14">
        <f>IF(VLOOKUP(B70,Data!$A:$AN,MATCH(yoy!$I$1,Data!$A$1:$AN$1,),)=0,"#N/A",(VLOOKUP(B70,Data!$A:$AN,MATCH(yoy!$I$1,Data!$A$1:$AN$1,),)-VLOOKUP(A70,Data!$A:$AN,MATCH(yoy!$I$1,Data!$A$1:$AN$1,),))/VLOOKUP(A70,Data!$A:$AN,MATCH(yoy!$I$1,Data!$A$1:$AN$1,),))</f>
        <v/>
      </c>
      <c r="J70" s="14">
        <f>IF(VLOOKUP(B70,Data!$A:$AN,MATCH(yoy!$J$1,Data!$A$1:$AN$1,),)=0,"#N/A",(VLOOKUP(B70,Data!$A:$AN,MATCH(yoy!$J$1,Data!$A$1:$AN$1,),)-VLOOKUP(A70,Data!$A:$AN,MATCH(yoy!$J$1,Data!$A$1:$AN$1,),))/VLOOKUP(A70,Data!$A:$AN,MATCH(yoy!$J$1,Data!$A$1:$AN$1,),))</f>
        <v/>
      </c>
      <c r="K70" s="14">
        <f>IF(VLOOKUP(B70,Data!$A:$AN,MATCH(yoy!$K$1,Data!$A$1:$AN$1,),)=0,"#N/A",(VLOOKUP(B70,Data!$A:$AN,MATCH(yoy!$K$1,Data!$A$1:$AN$1,),)-VLOOKUP(A70,Data!$A:$AN,MATCH(yoy!$K$1,Data!$A$1:$AN$1,),))/VLOOKUP(A70,Data!$A:$AN,MATCH(yoy!$K$1,Data!$A$1:$AN$1,),))</f>
        <v/>
      </c>
      <c r="L70" s="14">
        <f>IF(VLOOKUP(B70,Data!$A:$AN,MATCH(yoy!$L$1,Data!$A$1:$AN$1,),)=0,"#N/A",(VLOOKUP(B70,Data!$A:$AN,MATCH(yoy!$L$1,Data!$A$1:$AN$1,),)-VLOOKUP(A70,Data!$A:$AN,MATCH(yoy!$L$1,Data!$A$1:$AN$1,),))/VLOOKUP(A70,Data!$A:$AN,MATCH(yoy!$L$1,Data!$A$1:$AN$1,),))</f>
        <v/>
      </c>
      <c r="M70" s="14">
        <f>IF(VLOOKUP(B70,Data!$A:$AN,MATCH(yoy!$M$1,Data!$A$1:$AN$1,),)=0,"#N/A",(VLOOKUP(B70,Data!$A:$AN,MATCH(yoy!$M$1,Data!$A$1:$AN$1,),)-VLOOKUP(A70,Data!$A:$AN,MATCH(yoy!$M$1,Data!$A$1:$AN$1,),))/VLOOKUP(A70,Data!$A:$AN,MATCH(yoy!$M$1,Data!$A$1:$AN$1,),))</f>
        <v/>
      </c>
      <c r="N70" s="14">
        <f>IF(VLOOKUP(B70,Data!$A:$AN,MATCH(yoy!$N$1,Data!$A$1:$AN$1,),)=0,"#N/A",(VLOOKUP(B70,Data!$A:$AN,MATCH(yoy!$N$1,Data!$A$1:$AN$1,),)-VLOOKUP(A70,Data!$A:$AN,MATCH(yoy!$N$1,Data!$A$1:$AN$1,),))/VLOOKUP(A70,Data!$A:$AN,MATCH(yoy!$N$1,Data!$A$1:$AN$1,),))</f>
        <v/>
      </c>
      <c r="O70" s="14">
        <f>IF(VLOOKUP(B70,Data!$A:$AN,MATCH(yoy!$O$1,Data!$A$1:$AN$1,),)=0,"#N/A",(VLOOKUP(B70,Data!$A:$AN,MATCH(yoy!$O$1,Data!$A$1:$AN$1,),)-VLOOKUP(A70,Data!$A:$AN,MATCH(yoy!$O$1,Data!$A$1:$AN$1,),))/VLOOKUP(A70,Data!$A:$AN,MATCH(yoy!$O$1,Data!$A$1:$AN$1,),))</f>
        <v/>
      </c>
      <c r="P70" s="14">
        <f>IF(VLOOKUP(B70,Data!$A:$AN,MATCH(yoy!$P$1,Data!$A$1:$AN$1,),)=0,"#N/A",(VLOOKUP(B70,Data!$A:$AN,MATCH(yoy!$P$1,Data!$A$1:$AN$1,),)-VLOOKUP(A70,Data!$A:$AN,MATCH(yoy!$P$1,Data!$A$1:$AN$1,),))/VLOOKUP(A70,Data!$A:$AN,MATCH(yoy!$P$1,Data!$A$1:$AN$1,),))</f>
        <v/>
      </c>
      <c r="Q70" s="14">
        <f>IF(VLOOKUP(B70,Data!$A:$AN,MATCH(yoy!$Q$1,Data!$A$1:$AN$1,),)=0,"#N/A",(VLOOKUP(B70,Data!$A:$AN,MATCH(yoy!$Q$1,Data!$A$1:$AN$1,),)-VLOOKUP(A70,Data!$A:$AN,MATCH(yoy!$Q$1,Data!$A$1:$AN$1,),))/VLOOKUP(A70,Data!$A:$AN,MATCH(yoy!$Q$1,Data!$A$1:$AN$1,),))</f>
        <v/>
      </c>
      <c r="R70" s="14">
        <f>IF(VLOOKUP(B70,Data!$A:$AN,MATCH(yoy!$R$1,Data!$A$1:$AN$1,),)=0,"#N/A",(VLOOKUP(B70,Data!$A:$AN,MATCH(yoy!$R$1,Data!$A$1:$AN$1,),)-VLOOKUP(A70,Data!$A:$AN,MATCH(yoy!$R$1,Data!$A$1:$AN$1,),))/VLOOKUP(A70,Data!$A:$AN,MATCH(yoy!$R$1,Data!$A$1:$AN$1,),))</f>
        <v/>
      </c>
      <c r="S70" s="14">
        <f>IF(VLOOKUP(B70,Data!$A:$AN,MATCH(yoy!$S$1,Data!$A$1:$AN$1,),)=0,"#N/A",(VLOOKUP(B70,Data!$A:$AN,MATCH(yoy!$S$1,Data!$A$1:$AN$1,),)-VLOOKUP(A70,Data!$A:$AN,MATCH(yoy!$S$1,Data!$A$1:$AN$1,),))/VLOOKUP(A70,Data!$A:$AN,MATCH(yoy!$S$1,Data!$A$1:$AN$1,),))</f>
        <v/>
      </c>
      <c r="T70" s="14">
        <f>IF(VLOOKUP(B70,Data!$A:$AN,MATCH(yoy!$T$1,Data!$A$1:$AN$1,),)=0,"#N/A",(VLOOKUP(B70,Data!$A:$AN,MATCH(yoy!$T$1,Data!$A$1:$AN$1,),)-VLOOKUP(A70,Data!$A:$AN,MATCH(yoy!$T$1,Data!$A$1:$AN$1,),))/VLOOKUP(A70,Data!$A:$AN,MATCH(yoy!$T$1,Data!$A$1:$AN$1,),))</f>
        <v/>
      </c>
      <c r="U70" s="14">
        <f>IF(VLOOKUP(B70,Data!$A:$AN,MATCH(yoy!$U$1,Data!$A$1:$AN$1,),)=0,"#N/A",(VLOOKUP(B70,Data!$A:$AN,MATCH(yoy!$U$1,Data!$A$1:$AN$1,),)-VLOOKUP(A70,Data!$A:$AN,MATCH(yoy!$U$1,Data!$A$1:$AN$1,),))/VLOOKUP(A70,Data!$A:$AN,MATCH(yoy!$U$1,Data!$A$1:$AN$1,),))</f>
        <v/>
      </c>
      <c r="V70" s="14">
        <f>IF(VLOOKUP(B70,Data!$A:$AN,MATCH(yoy!$V$1,Data!$A$1:$AN$1,),)=0,"#N/A",(VLOOKUP(B70,Data!$A:$AN,MATCH(yoy!$V$1,Data!$A$1:$AN$1,),)-VLOOKUP(A70,Data!$A:$AN,MATCH(yoy!$V$1,Data!$A$1:$AN$1,),))/VLOOKUP(A70,Data!$A:$AN,MATCH(yoy!$V$1,Data!$A$1:$AN$1,),))</f>
        <v/>
      </c>
      <c r="W70" s="14">
        <f>IF(VLOOKUP(B70,Data!$A:$AN,MATCH(yoy!$W$1,Data!$A$1:$AN$1,),)=0,"#N/A",(VLOOKUP(B70,Data!$A:$AN,MATCH(yoy!$W$1,Data!$A$1:$AN$1,),)-VLOOKUP(A70,Data!$A:$AN,MATCH(yoy!$W$1,Data!$A$1:$AN$1,),))/VLOOKUP(A70,Data!$A:$AN,MATCH(yoy!$W$1,Data!$A$1:$AN$1,),))</f>
        <v/>
      </c>
      <c r="X70" s="14">
        <f>IF(VLOOKUP(B70,Data!$A:$AN,MATCH(yoy!$X$1,Data!$A$1:$AN$1,),)=0,"#N/A",(VLOOKUP(B70,Data!$A:$AN,MATCH(yoy!$X$1,Data!$A$1:$AN$1,),)-VLOOKUP(A70,Data!$A:$AN,MATCH(yoy!$X$1,Data!$A$1:$AN$1,),))/VLOOKUP(A70,Data!$A:$AN,MATCH(yoy!$X$1,Data!$A$1:$AN$1,),))</f>
        <v/>
      </c>
      <c r="Y70" s="14">
        <f>IF(VLOOKUP(B70,Data!$A:$AN,MATCH(yoy!$Y$1,Data!$A$1:$AN$1,),)=0,"#N/A",(VLOOKUP(B70,Data!$A:$AN,MATCH(yoy!$Y$1,Data!$A$1:$AN$1,),)-VLOOKUP(A70,Data!$A:$AN,MATCH(yoy!$Y$1,Data!$A$1:$AN$1,),))/VLOOKUP(A70,Data!$A:$AN,MATCH(yoy!$Y$1,Data!$A$1:$AN$1,),))</f>
        <v/>
      </c>
      <c r="Z70" s="14">
        <f>IF(VLOOKUP(B70,Data!$A:$AN,MATCH(yoy!$Z$1,Data!$A$1:$AN$1,),)=0,"#N/A",(VLOOKUP(B70,Data!$A:$AN,MATCH(yoy!$Z$1,Data!$A$1:$AN$1,),)-VLOOKUP(A70,Data!$A:$AN,MATCH(yoy!$Z$1,Data!$A$1:$AN$1,),))/VLOOKUP(A70,Data!$A:$AN,MATCH(yoy!$Z$1,Data!$A$1:$AN$1,),))</f>
        <v/>
      </c>
      <c r="AA70" s="14">
        <f>IF(VLOOKUP(B70,Data!$A:$AN,MATCH(yoy!$AA$1,Data!$A$1:$AN$1,),)=0,"#N/A",(VLOOKUP(B70,Data!$A:$AN,MATCH(yoy!$AA$1,Data!$A$1:$AN$1,),)-VLOOKUP(A70,Data!$A:$AN,MATCH(yoy!$AA$1,Data!$A$1:$AN$1,),))/VLOOKUP(A70,Data!$A:$AN,MATCH(yoy!$AA$1,Data!$A$1:$AN$1,),))</f>
        <v/>
      </c>
    </row>
    <row r="71" customFormat="1" s="77">
      <c r="A71" s="20">
        <f>DATE(YEAR(B71)-1,MONTH(B71),DAY(B71))</f>
        <v/>
      </c>
      <c r="B71" s="12" t="n">
        <v>44013</v>
      </c>
      <c r="C71" s="14">
        <f>IF(VLOOKUP(B71,Data!$A:$AN,MATCH(yoy!$C$1,Data!$A$1:$AN$1,),)=0,"#N/A",(VLOOKUP(B71,Data!$A:$AN,MATCH(yoy!$C$1,Data!$A$1:$AN$1,),)-VLOOKUP(A71,Data!$A:$AN,MATCH(yoy!$C$1,Data!$A$1:$AN$1,),))/VLOOKUP(A71,Data!$A:$AN,MATCH(yoy!$C$1,Data!$A$1:$AN$1,),))</f>
        <v/>
      </c>
      <c r="D71" s="14">
        <f>IF(VLOOKUP(B71,Data!$A:$AN,MATCH(yoy!$D$1,Data!$A$1:$AN$1,),)=0,"#N/A",(VLOOKUP(B71,Data!$A:$AN,MATCH(yoy!$D$1,Data!$A$1:$AN$1,),)-VLOOKUP(A71,Data!$A:$AN,MATCH(yoy!$D$1,Data!$A$1:$AN$1,),))/VLOOKUP(A71,Data!$A:$AN,MATCH(yoy!$D$1,Data!$A$1:$AN$1,),))</f>
        <v/>
      </c>
      <c r="E71" s="14">
        <f>IF(VLOOKUP(B71,Data!$A:$AN,MATCH(yoy!$E$1,Data!$A$1:$AN$1,),)=0,"#N/A",(VLOOKUP(B71,Data!$A:$AN,MATCH(yoy!$E$1,Data!$A$1:$AN$1,),)-VLOOKUP(A71,Data!$A:$AN,MATCH(yoy!$E$1,Data!$A$1:$AN$1,),))/VLOOKUP(A71,Data!$A:$AN,MATCH(yoy!$E$1,Data!$A$1:$AN$1,),))</f>
        <v/>
      </c>
      <c r="F71" s="14">
        <f>IF(VLOOKUP(B71,Data!$A:$AN,MATCH(yoy!$F$1,Data!$A$1:$AN$1,),)=0,"#N/A",(VLOOKUP(B71,Data!$A:$AN,MATCH(yoy!$F$1,Data!$A$1:$AN$1,),)-VLOOKUP(A71,Data!$A:$AN,MATCH(yoy!$F$1,Data!$A$1:$AN$1,),))/VLOOKUP(A71,Data!$A:$AN,MATCH(yoy!$F$1,Data!$A$1:$AN$1,),))</f>
        <v/>
      </c>
      <c r="G71" s="14">
        <f>IF(VLOOKUP(B71,Data!$A:$AN,MATCH(yoy!$G$1,Data!$A$1:$AN$1,),)=0,"#N/A",(VLOOKUP(B71,Data!$A:$AN,MATCH(yoy!$G$1,Data!$A$1:$AN$1,),)-VLOOKUP(A71,Data!$A:$AN,MATCH(yoy!$G$1,Data!$A$1:$AN$1,),))/VLOOKUP(A71,Data!$A:$AN,MATCH(yoy!$G$1,Data!$A$1:$AN$1,),))</f>
        <v/>
      </c>
      <c r="H71" s="14">
        <f>IF(VLOOKUP(B71,Data!$A:$AN,MATCH(yoy!$H$1,Data!$A$1:$AN$1,),)=0,"#N/A",(VLOOKUP(B71,Data!$A:$AN,MATCH(yoy!$H$1,Data!$A$1:$AN$1,),)-VLOOKUP(A71,Data!$A:$AN,MATCH(yoy!$H$1,Data!$A$1:$AN$1,),))/VLOOKUP(A71,Data!$A:$AN,MATCH(yoy!$H$1,Data!$A$1:$AN$1,),))</f>
        <v/>
      </c>
      <c r="I71" s="14">
        <f>IF(VLOOKUP(B71,Data!$A:$AN,MATCH(yoy!$I$1,Data!$A$1:$AN$1,),)=0,"#N/A",(VLOOKUP(B71,Data!$A:$AN,MATCH(yoy!$I$1,Data!$A$1:$AN$1,),)-VLOOKUP(A71,Data!$A:$AN,MATCH(yoy!$I$1,Data!$A$1:$AN$1,),))/VLOOKUP(A71,Data!$A:$AN,MATCH(yoy!$I$1,Data!$A$1:$AN$1,),))</f>
        <v/>
      </c>
      <c r="J71" s="14">
        <f>IF(VLOOKUP(B71,Data!$A:$AN,MATCH(yoy!$J$1,Data!$A$1:$AN$1,),)=0,"#N/A",(VLOOKUP(B71,Data!$A:$AN,MATCH(yoy!$J$1,Data!$A$1:$AN$1,),)-VLOOKUP(A71,Data!$A:$AN,MATCH(yoy!$J$1,Data!$A$1:$AN$1,),))/VLOOKUP(A71,Data!$A:$AN,MATCH(yoy!$J$1,Data!$A$1:$AN$1,),))</f>
        <v/>
      </c>
      <c r="K71" s="14">
        <f>IF(VLOOKUP(B71,Data!$A:$AN,MATCH(yoy!$K$1,Data!$A$1:$AN$1,),)=0,"#N/A",(VLOOKUP(B71,Data!$A:$AN,MATCH(yoy!$K$1,Data!$A$1:$AN$1,),)-VLOOKUP(A71,Data!$A:$AN,MATCH(yoy!$K$1,Data!$A$1:$AN$1,),))/VLOOKUP(A71,Data!$A:$AN,MATCH(yoy!$K$1,Data!$A$1:$AN$1,),))</f>
        <v/>
      </c>
      <c r="L71" s="14">
        <f>IF(VLOOKUP(B71,Data!$A:$AN,MATCH(yoy!$L$1,Data!$A$1:$AN$1,),)=0,"#N/A",(VLOOKUP(B71,Data!$A:$AN,MATCH(yoy!$L$1,Data!$A$1:$AN$1,),)-VLOOKUP(A71,Data!$A:$AN,MATCH(yoy!$L$1,Data!$A$1:$AN$1,),))/VLOOKUP(A71,Data!$A:$AN,MATCH(yoy!$L$1,Data!$A$1:$AN$1,),))</f>
        <v/>
      </c>
      <c r="M71" s="14">
        <f>IF(VLOOKUP(B71,Data!$A:$AN,MATCH(yoy!$M$1,Data!$A$1:$AN$1,),)=0,"#N/A",(VLOOKUP(B71,Data!$A:$AN,MATCH(yoy!$M$1,Data!$A$1:$AN$1,),)-VLOOKUP(A71,Data!$A:$AN,MATCH(yoy!$M$1,Data!$A$1:$AN$1,),))/VLOOKUP(A71,Data!$A:$AN,MATCH(yoy!$M$1,Data!$A$1:$AN$1,),))</f>
        <v/>
      </c>
      <c r="N71" s="14">
        <f>IF(VLOOKUP(B71,Data!$A:$AN,MATCH(yoy!$N$1,Data!$A$1:$AN$1,),)=0,"#N/A",(VLOOKUP(B71,Data!$A:$AN,MATCH(yoy!$N$1,Data!$A$1:$AN$1,),)-VLOOKUP(A71,Data!$A:$AN,MATCH(yoy!$N$1,Data!$A$1:$AN$1,),))/VLOOKUP(A71,Data!$A:$AN,MATCH(yoy!$N$1,Data!$A$1:$AN$1,),))</f>
        <v/>
      </c>
      <c r="O71" s="14">
        <f>IF(VLOOKUP(B71,Data!$A:$AN,MATCH(yoy!$O$1,Data!$A$1:$AN$1,),)=0,"#N/A",(VLOOKUP(B71,Data!$A:$AN,MATCH(yoy!$O$1,Data!$A$1:$AN$1,),)-VLOOKUP(A71,Data!$A:$AN,MATCH(yoy!$O$1,Data!$A$1:$AN$1,),))/VLOOKUP(A71,Data!$A:$AN,MATCH(yoy!$O$1,Data!$A$1:$AN$1,),))</f>
        <v/>
      </c>
      <c r="P71" s="14">
        <f>IF(VLOOKUP(B71,Data!$A:$AN,MATCH(yoy!$P$1,Data!$A$1:$AN$1,),)=0,"#N/A",(VLOOKUP(B71,Data!$A:$AN,MATCH(yoy!$P$1,Data!$A$1:$AN$1,),)-VLOOKUP(A71,Data!$A:$AN,MATCH(yoy!$P$1,Data!$A$1:$AN$1,),))/VLOOKUP(A71,Data!$A:$AN,MATCH(yoy!$P$1,Data!$A$1:$AN$1,),))</f>
        <v/>
      </c>
      <c r="Q71" s="14">
        <f>IF(VLOOKUP(B71,Data!$A:$AN,MATCH(yoy!$Q$1,Data!$A$1:$AN$1,),)=0,"#N/A",(VLOOKUP(B71,Data!$A:$AN,MATCH(yoy!$Q$1,Data!$A$1:$AN$1,),)-VLOOKUP(A71,Data!$A:$AN,MATCH(yoy!$Q$1,Data!$A$1:$AN$1,),))/VLOOKUP(A71,Data!$A:$AN,MATCH(yoy!$Q$1,Data!$A$1:$AN$1,),))</f>
        <v/>
      </c>
      <c r="R71" s="14">
        <f>IF(VLOOKUP(B71,Data!$A:$AN,MATCH(yoy!$R$1,Data!$A$1:$AN$1,),)=0,"#N/A",(VLOOKUP(B71,Data!$A:$AN,MATCH(yoy!$R$1,Data!$A$1:$AN$1,),)-VLOOKUP(A71,Data!$A:$AN,MATCH(yoy!$R$1,Data!$A$1:$AN$1,),))/VLOOKUP(A71,Data!$A:$AN,MATCH(yoy!$R$1,Data!$A$1:$AN$1,),))</f>
        <v/>
      </c>
      <c r="S71" s="14">
        <f>IF(VLOOKUP(B71,Data!$A:$AN,MATCH(yoy!$S$1,Data!$A$1:$AN$1,),)=0,"#N/A",(VLOOKUP(B71,Data!$A:$AN,MATCH(yoy!$S$1,Data!$A$1:$AN$1,),)-VLOOKUP(A71,Data!$A:$AN,MATCH(yoy!$S$1,Data!$A$1:$AN$1,),))/VLOOKUP(A71,Data!$A:$AN,MATCH(yoy!$S$1,Data!$A$1:$AN$1,),))</f>
        <v/>
      </c>
      <c r="T71" s="14">
        <f>IF(VLOOKUP(B71,Data!$A:$AN,MATCH(yoy!$T$1,Data!$A$1:$AN$1,),)=0,"#N/A",(VLOOKUP(B71,Data!$A:$AN,MATCH(yoy!$T$1,Data!$A$1:$AN$1,),)-VLOOKUP(A71,Data!$A:$AN,MATCH(yoy!$T$1,Data!$A$1:$AN$1,),))/VLOOKUP(A71,Data!$A:$AN,MATCH(yoy!$T$1,Data!$A$1:$AN$1,),))</f>
        <v/>
      </c>
      <c r="U71" s="14">
        <f>IF(VLOOKUP(B71,Data!$A:$AN,MATCH(yoy!$U$1,Data!$A$1:$AN$1,),)=0,"#N/A",(VLOOKUP(B71,Data!$A:$AN,MATCH(yoy!$U$1,Data!$A$1:$AN$1,),)-VLOOKUP(A71,Data!$A:$AN,MATCH(yoy!$U$1,Data!$A$1:$AN$1,),))/VLOOKUP(A71,Data!$A:$AN,MATCH(yoy!$U$1,Data!$A$1:$AN$1,),))</f>
        <v/>
      </c>
      <c r="V71" s="14">
        <f>IF(VLOOKUP(B71,Data!$A:$AN,MATCH(yoy!$V$1,Data!$A$1:$AN$1,),)=0,"#N/A",(VLOOKUP(B71,Data!$A:$AN,MATCH(yoy!$V$1,Data!$A$1:$AN$1,),)-VLOOKUP(A71,Data!$A:$AN,MATCH(yoy!$V$1,Data!$A$1:$AN$1,),))/VLOOKUP(A71,Data!$A:$AN,MATCH(yoy!$V$1,Data!$A$1:$AN$1,),))</f>
        <v/>
      </c>
      <c r="W71" s="14">
        <f>IF(VLOOKUP(B71,Data!$A:$AN,MATCH(yoy!$W$1,Data!$A$1:$AN$1,),)=0,"#N/A",(VLOOKUP(B71,Data!$A:$AN,MATCH(yoy!$W$1,Data!$A$1:$AN$1,),)-VLOOKUP(A71,Data!$A:$AN,MATCH(yoy!$W$1,Data!$A$1:$AN$1,),))/VLOOKUP(A71,Data!$A:$AN,MATCH(yoy!$W$1,Data!$A$1:$AN$1,),))</f>
        <v/>
      </c>
      <c r="X71" s="14">
        <f>IF(VLOOKUP(B71,Data!$A:$AN,MATCH(yoy!$X$1,Data!$A$1:$AN$1,),)=0,"#N/A",(VLOOKUP(B71,Data!$A:$AN,MATCH(yoy!$X$1,Data!$A$1:$AN$1,),)-VLOOKUP(A71,Data!$A:$AN,MATCH(yoy!$X$1,Data!$A$1:$AN$1,),))/VLOOKUP(A71,Data!$A:$AN,MATCH(yoy!$X$1,Data!$A$1:$AN$1,),))</f>
        <v/>
      </c>
      <c r="Y71" s="14">
        <f>IF(VLOOKUP(B71,Data!$A:$AN,MATCH(yoy!$Y$1,Data!$A$1:$AN$1,),)=0,"#N/A",(VLOOKUP(B71,Data!$A:$AN,MATCH(yoy!$Y$1,Data!$A$1:$AN$1,),)-VLOOKUP(A71,Data!$A:$AN,MATCH(yoy!$Y$1,Data!$A$1:$AN$1,),))/VLOOKUP(A71,Data!$A:$AN,MATCH(yoy!$Y$1,Data!$A$1:$AN$1,),))</f>
        <v/>
      </c>
      <c r="Z71" s="14">
        <f>IF(VLOOKUP(B71,Data!$A:$AN,MATCH(yoy!$Z$1,Data!$A$1:$AN$1,),)=0,"#N/A",(VLOOKUP(B71,Data!$A:$AN,MATCH(yoy!$Z$1,Data!$A$1:$AN$1,),)-VLOOKUP(A71,Data!$A:$AN,MATCH(yoy!$Z$1,Data!$A$1:$AN$1,),))/VLOOKUP(A71,Data!$A:$AN,MATCH(yoy!$Z$1,Data!$A$1:$AN$1,),))</f>
        <v/>
      </c>
      <c r="AA71" s="14">
        <f>IF(VLOOKUP(B71,Data!$A:$AN,MATCH(yoy!$AA$1,Data!$A$1:$AN$1,),)=0,"#N/A",(VLOOKUP(B71,Data!$A:$AN,MATCH(yoy!$AA$1,Data!$A$1:$AN$1,),)-VLOOKUP(A71,Data!$A:$AN,MATCH(yoy!$AA$1,Data!$A$1:$AN$1,),))/VLOOKUP(A71,Data!$A:$AN,MATCH(yoy!$AA$1,Data!$A$1:$AN$1,),))</f>
        <v/>
      </c>
    </row>
    <row r="72" customFormat="1" s="77">
      <c r="A72" s="20">
        <f>DATE(YEAR(B72)-1,MONTH(B72),DAY(B72))</f>
        <v/>
      </c>
      <c r="B72" s="12" t="n">
        <v>44044</v>
      </c>
      <c r="C72" s="14">
        <f>IF(VLOOKUP(B72,Data!$A:$AN,MATCH(yoy!$C$1,Data!$A$1:$AN$1,),)=0,"#N/A",(VLOOKUP(B72,Data!$A:$AN,MATCH(yoy!$C$1,Data!$A$1:$AN$1,),)-VLOOKUP(A72,Data!$A:$AN,MATCH(yoy!$C$1,Data!$A$1:$AN$1,),))/VLOOKUP(A72,Data!$A:$AN,MATCH(yoy!$C$1,Data!$A$1:$AN$1,),))</f>
        <v/>
      </c>
      <c r="D72" s="14">
        <f>IF(VLOOKUP(B72,Data!$A:$AN,MATCH(yoy!$D$1,Data!$A$1:$AN$1,),)=0,"#N/A",(VLOOKUP(B72,Data!$A:$AN,MATCH(yoy!$D$1,Data!$A$1:$AN$1,),)-VLOOKUP(A72,Data!$A:$AN,MATCH(yoy!$D$1,Data!$A$1:$AN$1,),))/VLOOKUP(A72,Data!$A:$AN,MATCH(yoy!$D$1,Data!$A$1:$AN$1,),))</f>
        <v/>
      </c>
      <c r="E72" s="14">
        <f>IF(VLOOKUP(B72,Data!$A:$AN,MATCH(yoy!$E$1,Data!$A$1:$AN$1,),)=0,"#N/A",(VLOOKUP(B72,Data!$A:$AN,MATCH(yoy!$E$1,Data!$A$1:$AN$1,),)-VLOOKUP(A72,Data!$A:$AN,MATCH(yoy!$E$1,Data!$A$1:$AN$1,),))/VLOOKUP(A72,Data!$A:$AN,MATCH(yoy!$E$1,Data!$A$1:$AN$1,),))</f>
        <v/>
      </c>
      <c r="F72" s="14">
        <f>IF(VLOOKUP(B72,Data!$A:$AN,MATCH(yoy!$F$1,Data!$A$1:$AN$1,),)=0,"#N/A",(VLOOKUP(B72,Data!$A:$AN,MATCH(yoy!$F$1,Data!$A$1:$AN$1,),)-VLOOKUP(A72,Data!$A:$AN,MATCH(yoy!$F$1,Data!$A$1:$AN$1,),))/VLOOKUP(A72,Data!$A:$AN,MATCH(yoy!$F$1,Data!$A$1:$AN$1,),))</f>
        <v/>
      </c>
      <c r="G72" s="14">
        <f>IF(VLOOKUP(B72,Data!$A:$AN,MATCH(yoy!$G$1,Data!$A$1:$AN$1,),)=0,"#N/A",(VLOOKUP(B72,Data!$A:$AN,MATCH(yoy!$G$1,Data!$A$1:$AN$1,),)-VLOOKUP(A72,Data!$A:$AN,MATCH(yoy!$G$1,Data!$A$1:$AN$1,),))/VLOOKUP(A72,Data!$A:$AN,MATCH(yoy!$G$1,Data!$A$1:$AN$1,),))</f>
        <v/>
      </c>
      <c r="H72" s="14">
        <f>IF(VLOOKUP(B72,Data!$A:$AN,MATCH(yoy!$H$1,Data!$A$1:$AN$1,),)=0,"#N/A",(VLOOKUP(B72,Data!$A:$AN,MATCH(yoy!$H$1,Data!$A$1:$AN$1,),)-VLOOKUP(A72,Data!$A:$AN,MATCH(yoy!$H$1,Data!$A$1:$AN$1,),))/VLOOKUP(A72,Data!$A:$AN,MATCH(yoy!$H$1,Data!$A$1:$AN$1,),))</f>
        <v/>
      </c>
      <c r="I72" s="14">
        <f>IF(VLOOKUP(B72,Data!$A:$AN,MATCH(yoy!$I$1,Data!$A$1:$AN$1,),)=0,"#N/A",(VLOOKUP(B72,Data!$A:$AN,MATCH(yoy!$I$1,Data!$A$1:$AN$1,),)-VLOOKUP(A72,Data!$A:$AN,MATCH(yoy!$I$1,Data!$A$1:$AN$1,),))/VLOOKUP(A72,Data!$A:$AN,MATCH(yoy!$I$1,Data!$A$1:$AN$1,),))</f>
        <v/>
      </c>
      <c r="J72" s="14">
        <f>IF(VLOOKUP(B72,Data!$A:$AN,MATCH(yoy!$J$1,Data!$A$1:$AN$1,),)=0,"#N/A",(VLOOKUP(B72,Data!$A:$AN,MATCH(yoy!$J$1,Data!$A$1:$AN$1,),)-VLOOKUP(A72,Data!$A:$AN,MATCH(yoy!$J$1,Data!$A$1:$AN$1,),))/VLOOKUP(A72,Data!$A:$AN,MATCH(yoy!$J$1,Data!$A$1:$AN$1,),))</f>
        <v/>
      </c>
      <c r="K72" s="14">
        <f>IF(VLOOKUP(B72,Data!$A:$AN,MATCH(yoy!$K$1,Data!$A$1:$AN$1,),)=0,"#N/A",(VLOOKUP(B72,Data!$A:$AN,MATCH(yoy!$K$1,Data!$A$1:$AN$1,),)-VLOOKUP(A72,Data!$A:$AN,MATCH(yoy!$K$1,Data!$A$1:$AN$1,),))/VLOOKUP(A72,Data!$A:$AN,MATCH(yoy!$K$1,Data!$A$1:$AN$1,),))</f>
        <v/>
      </c>
      <c r="L72" s="14">
        <f>IF(VLOOKUP(B72,Data!$A:$AN,MATCH(yoy!$L$1,Data!$A$1:$AN$1,),)=0,"#N/A",(VLOOKUP(B72,Data!$A:$AN,MATCH(yoy!$L$1,Data!$A$1:$AN$1,),)-VLOOKUP(A72,Data!$A:$AN,MATCH(yoy!$L$1,Data!$A$1:$AN$1,),))/VLOOKUP(A72,Data!$A:$AN,MATCH(yoy!$L$1,Data!$A$1:$AN$1,),))</f>
        <v/>
      </c>
      <c r="M72" s="14">
        <f>IF(VLOOKUP(B72,Data!$A:$AN,MATCH(yoy!$M$1,Data!$A$1:$AN$1,),)=0,"#N/A",(VLOOKUP(B72,Data!$A:$AN,MATCH(yoy!$M$1,Data!$A$1:$AN$1,),)-VLOOKUP(A72,Data!$A:$AN,MATCH(yoy!$M$1,Data!$A$1:$AN$1,),))/VLOOKUP(A72,Data!$A:$AN,MATCH(yoy!$M$1,Data!$A$1:$AN$1,),))</f>
        <v/>
      </c>
      <c r="N72" s="14">
        <f>IF(VLOOKUP(B72,Data!$A:$AN,MATCH(yoy!$N$1,Data!$A$1:$AN$1,),)=0,"#N/A",(VLOOKUP(B72,Data!$A:$AN,MATCH(yoy!$N$1,Data!$A$1:$AN$1,),)-VLOOKUP(A72,Data!$A:$AN,MATCH(yoy!$N$1,Data!$A$1:$AN$1,),))/VLOOKUP(A72,Data!$A:$AN,MATCH(yoy!$N$1,Data!$A$1:$AN$1,),))</f>
        <v/>
      </c>
      <c r="O72" s="14">
        <f>IF(VLOOKUP(B72,Data!$A:$AN,MATCH(yoy!$O$1,Data!$A$1:$AN$1,),)=0,"#N/A",(VLOOKUP(B72,Data!$A:$AN,MATCH(yoy!$O$1,Data!$A$1:$AN$1,),)-VLOOKUP(A72,Data!$A:$AN,MATCH(yoy!$O$1,Data!$A$1:$AN$1,),))/VLOOKUP(A72,Data!$A:$AN,MATCH(yoy!$O$1,Data!$A$1:$AN$1,),))</f>
        <v/>
      </c>
      <c r="P72" s="14">
        <f>IF(VLOOKUP(B72,Data!$A:$AN,MATCH(yoy!$P$1,Data!$A$1:$AN$1,),)=0,"#N/A",(VLOOKUP(B72,Data!$A:$AN,MATCH(yoy!$P$1,Data!$A$1:$AN$1,),)-VLOOKUP(A72,Data!$A:$AN,MATCH(yoy!$P$1,Data!$A$1:$AN$1,),))/VLOOKUP(A72,Data!$A:$AN,MATCH(yoy!$P$1,Data!$A$1:$AN$1,),))</f>
        <v/>
      </c>
      <c r="Q72" s="14">
        <f>IF(VLOOKUP(B72,Data!$A:$AN,MATCH(yoy!$Q$1,Data!$A$1:$AN$1,),)=0,"#N/A",(VLOOKUP(B72,Data!$A:$AN,MATCH(yoy!$Q$1,Data!$A$1:$AN$1,),)-VLOOKUP(A72,Data!$A:$AN,MATCH(yoy!$Q$1,Data!$A$1:$AN$1,),))/VLOOKUP(A72,Data!$A:$AN,MATCH(yoy!$Q$1,Data!$A$1:$AN$1,),))</f>
        <v/>
      </c>
      <c r="R72" s="14">
        <f>IF(VLOOKUP(B72,Data!$A:$AN,MATCH(yoy!$R$1,Data!$A$1:$AN$1,),)=0,"#N/A",(VLOOKUP(B72,Data!$A:$AN,MATCH(yoy!$R$1,Data!$A$1:$AN$1,),)-VLOOKUP(A72,Data!$A:$AN,MATCH(yoy!$R$1,Data!$A$1:$AN$1,),))/VLOOKUP(A72,Data!$A:$AN,MATCH(yoy!$R$1,Data!$A$1:$AN$1,),))</f>
        <v/>
      </c>
      <c r="S72" s="14">
        <f>IF(VLOOKUP(B72,Data!$A:$AN,MATCH(yoy!$S$1,Data!$A$1:$AN$1,),)=0,"#N/A",(VLOOKUP(B72,Data!$A:$AN,MATCH(yoy!$S$1,Data!$A$1:$AN$1,),)-VLOOKUP(A72,Data!$A:$AN,MATCH(yoy!$S$1,Data!$A$1:$AN$1,),))/VLOOKUP(A72,Data!$A:$AN,MATCH(yoy!$S$1,Data!$A$1:$AN$1,),))</f>
        <v/>
      </c>
      <c r="T72" s="14">
        <f>IF(VLOOKUP(B72,Data!$A:$AN,MATCH(yoy!$T$1,Data!$A$1:$AN$1,),)=0,"#N/A",(VLOOKUP(B72,Data!$A:$AN,MATCH(yoy!$T$1,Data!$A$1:$AN$1,),)-VLOOKUP(A72,Data!$A:$AN,MATCH(yoy!$T$1,Data!$A$1:$AN$1,),))/VLOOKUP(A72,Data!$A:$AN,MATCH(yoy!$T$1,Data!$A$1:$AN$1,),))</f>
        <v/>
      </c>
      <c r="U72" s="14">
        <f>IF(VLOOKUP(B72,Data!$A:$AN,MATCH(yoy!$U$1,Data!$A$1:$AN$1,),)=0,"#N/A",(VLOOKUP(B72,Data!$A:$AN,MATCH(yoy!$U$1,Data!$A$1:$AN$1,),)-VLOOKUP(A72,Data!$A:$AN,MATCH(yoy!$U$1,Data!$A$1:$AN$1,),))/VLOOKUP(A72,Data!$A:$AN,MATCH(yoy!$U$1,Data!$A$1:$AN$1,),))</f>
        <v/>
      </c>
      <c r="V72" s="14">
        <f>IF(VLOOKUP(B72,Data!$A:$AN,MATCH(yoy!$V$1,Data!$A$1:$AN$1,),)=0,"#N/A",(VLOOKUP(B72,Data!$A:$AN,MATCH(yoy!$V$1,Data!$A$1:$AN$1,),)-VLOOKUP(A72,Data!$A:$AN,MATCH(yoy!$V$1,Data!$A$1:$AN$1,),))/VLOOKUP(A72,Data!$A:$AN,MATCH(yoy!$V$1,Data!$A$1:$AN$1,),))</f>
        <v/>
      </c>
      <c r="W72" s="14">
        <f>IF(VLOOKUP(B72,Data!$A:$AN,MATCH(yoy!$W$1,Data!$A$1:$AN$1,),)=0,"#N/A",(VLOOKUP(B72,Data!$A:$AN,MATCH(yoy!$W$1,Data!$A$1:$AN$1,),)-VLOOKUP(A72,Data!$A:$AN,MATCH(yoy!$W$1,Data!$A$1:$AN$1,),))/VLOOKUP(A72,Data!$A:$AN,MATCH(yoy!$W$1,Data!$A$1:$AN$1,),))</f>
        <v/>
      </c>
      <c r="X72" s="14">
        <f>IF(VLOOKUP(B72,Data!$A:$AN,MATCH(yoy!$X$1,Data!$A$1:$AN$1,),)=0,"#N/A",(VLOOKUP(B72,Data!$A:$AN,MATCH(yoy!$X$1,Data!$A$1:$AN$1,),)-VLOOKUP(A72,Data!$A:$AN,MATCH(yoy!$X$1,Data!$A$1:$AN$1,),))/VLOOKUP(A72,Data!$A:$AN,MATCH(yoy!$X$1,Data!$A$1:$AN$1,),))</f>
        <v/>
      </c>
      <c r="Y72" s="14">
        <f>IF(VLOOKUP(B72,Data!$A:$AN,MATCH(yoy!$Y$1,Data!$A$1:$AN$1,),)=0,"#N/A",(VLOOKUP(B72,Data!$A:$AN,MATCH(yoy!$Y$1,Data!$A$1:$AN$1,),)-VLOOKUP(A72,Data!$A:$AN,MATCH(yoy!$Y$1,Data!$A$1:$AN$1,),))/VLOOKUP(A72,Data!$A:$AN,MATCH(yoy!$Y$1,Data!$A$1:$AN$1,),))</f>
        <v/>
      </c>
      <c r="Z72" s="14">
        <f>IF(VLOOKUP(B72,Data!$A:$AN,MATCH(yoy!$Z$1,Data!$A$1:$AN$1,),)=0,"#N/A",(VLOOKUP(B72,Data!$A:$AN,MATCH(yoy!$Z$1,Data!$A$1:$AN$1,),)-VLOOKUP(A72,Data!$A:$AN,MATCH(yoy!$Z$1,Data!$A$1:$AN$1,),))/VLOOKUP(A72,Data!$A:$AN,MATCH(yoy!$Z$1,Data!$A$1:$AN$1,),))</f>
        <v/>
      </c>
      <c r="AA72" s="14">
        <f>IF(VLOOKUP(B72,Data!$A:$AN,MATCH(yoy!$AA$1,Data!$A$1:$AN$1,),)=0,"#N/A",(VLOOKUP(B72,Data!$A:$AN,MATCH(yoy!$AA$1,Data!$A$1:$AN$1,),)-VLOOKUP(A72,Data!$A:$AN,MATCH(yoy!$AA$1,Data!$A$1:$AN$1,),))/VLOOKUP(A72,Data!$A:$AN,MATCH(yoy!$AA$1,Data!$A$1:$AN$1,),))</f>
        <v/>
      </c>
    </row>
    <row r="73" customFormat="1" s="77">
      <c r="A73" s="20">
        <f>DATE(YEAR(B73)-1,MONTH(B73),DAY(B73))</f>
        <v/>
      </c>
      <c r="B73" s="12" t="n">
        <v>44075</v>
      </c>
      <c r="C73" s="14">
        <f>IF(VLOOKUP(B73,Data!$A:$AN,MATCH(yoy!$C$1,Data!$A$1:$AN$1,),)=0,"#N/A",(VLOOKUP(B73,Data!$A:$AN,MATCH(yoy!$C$1,Data!$A$1:$AN$1,),)-VLOOKUP(A73,Data!$A:$AN,MATCH(yoy!$C$1,Data!$A$1:$AN$1,),))/VLOOKUP(A73,Data!$A:$AN,MATCH(yoy!$C$1,Data!$A$1:$AN$1,),))</f>
        <v/>
      </c>
      <c r="D73" s="14">
        <f>IF(VLOOKUP(B73,Data!$A:$AN,MATCH(yoy!$D$1,Data!$A$1:$AN$1,),)=0,"#N/A",(VLOOKUP(B73,Data!$A:$AN,MATCH(yoy!$D$1,Data!$A$1:$AN$1,),)-VLOOKUP(A73,Data!$A:$AN,MATCH(yoy!$D$1,Data!$A$1:$AN$1,),))/VLOOKUP(A73,Data!$A:$AN,MATCH(yoy!$D$1,Data!$A$1:$AN$1,),))</f>
        <v/>
      </c>
      <c r="E73" s="14">
        <f>IF(VLOOKUP(B73,Data!$A:$AN,MATCH(yoy!$E$1,Data!$A$1:$AN$1,),)=0,"#N/A",(VLOOKUP(B73,Data!$A:$AN,MATCH(yoy!$E$1,Data!$A$1:$AN$1,),)-VLOOKUP(A73,Data!$A:$AN,MATCH(yoy!$E$1,Data!$A$1:$AN$1,),))/VLOOKUP(A73,Data!$A:$AN,MATCH(yoy!$E$1,Data!$A$1:$AN$1,),))</f>
        <v/>
      </c>
      <c r="F73" s="14">
        <f>IF(VLOOKUP(B73,Data!$A:$AN,MATCH(yoy!$F$1,Data!$A$1:$AN$1,),)=0,"#N/A",(VLOOKUP(B73,Data!$A:$AN,MATCH(yoy!$F$1,Data!$A$1:$AN$1,),)-VLOOKUP(A73,Data!$A:$AN,MATCH(yoy!$F$1,Data!$A$1:$AN$1,),))/VLOOKUP(A73,Data!$A:$AN,MATCH(yoy!$F$1,Data!$A$1:$AN$1,),))</f>
        <v/>
      </c>
      <c r="G73" s="14">
        <f>IF(VLOOKUP(B73,Data!$A:$AN,MATCH(yoy!$G$1,Data!$A$1:$AN$1,),)=0,"#N/A",(VLOOKUP(B73,Data!$A:$AN,MATCH(yoy!$G$1,Data!$A$1:$AN$1,),)-VLOOKUP(A73,Data!$A:$AN,MATCH(yoy!$G$1,Data!$A$1:$AN$1,),))/VLOOKUP(A73,Data!$A:$AN,MATCH(yoy!$G$1,Data!$A$1:$AN$1,),))</f>
        <v/>
      </c>
      <c r="H73" s="14">
        <f>IF(VLOOKUP(B73,Data!$A:$AN,MATCH(yoy!$H$1,Data!$A$1:$AN$1,),)=0,"#N/A",(VLOOKUP(B73,Data!$A:$AN,MATCH(yoy!$H$1,Data!$A$1:$AN$1,),)-VLOOKUP(A73,Data!$A:$AN,MATCH(yoy!$H$1,Data!$A$1:$AN$1,),))/VLOOKUP(A73,Data!$A:$AN,MATCH(yoy!$H$1,Data!$A$1:$AN$1,),))</f>
        <v/>
      </c>
      <c r="I73" s="14">
        <f>IF(VLOOKUP(B73,Data!$A:$AN,MATCH(yoy!$I$1,Data!$A$1:$AN$1,),)=0,"#N/A",(VLOOKUP(B73,Data!$A:$AN,MATCH(yoy!$I$1,Data!$A$1:$AN$1,),)-VLOOKUP(A73,Data!$A:$AN,MATCH(yoy!$I$1,Data!$A$1:$AN$1,),))/VLOOKUP(A73,Data!$A:$AN,MATCH(yoy!$I$1,Data!$A$1:$AN$1,),))</f>
        <v/>
      </c>
      <c r="J73" s="14">
        <f>IF(VLOOKUP(B73,Data!$A:$AN,MATCH(yoy!$J$1,Data!$A$1:$AN$1,),)=0,"#N/A",(VLOOKUP(B73,Data!$A:$AN,MATCH(yoy!$J$1,Data!$A$1:$AN$1,),)-VLOOKUP(A73,Data!$A:$AN,MATCH(yoy!$J$1,Data!$A$1:$AN$1,),))/VLOOKUP(A73,Data!$A:$AN,MATCH(yoy!$J$1,Data!$A$1:$AN$1,),))</f>
        <v/>
      </c>
      <c r="K73" s="14">
        <f>IF(VLOOKUP(B73,Data!$A:$AN,MATCH(yoy!$K$1,Data!$A$1:$AN$1,),)=0,"#N/A",(VLOOKUP(B73,Data!$A:$AN,MATCH(yoy!$K$1,Data!$A$1:$AN$1,),)-VLOOKUP(A73,Data!$A:$AN,MATCH(yoy!$K$1,Data!$A$1:$AN$1,),))/VLOOKUP(A73,Data!$A:$AN,MATCH(yoy!$K$1,Data!$A$1:$AN$1,),))</f>
        <v/>
      </c>
      <c r="L73" s="14">
        <f>IF(VLOOKUP(B73,Data!$A:$AN,MATCH(yoy!$L$1,Data!$A$1:$AN$1,),)=0,"#N/A",(VLOOKUP(B73,Data!$A:$AN,MATCH(yoy!$L$1,Data!$A$1:$AN$1,),)-VLOOKUP(A73,Data!$A:$AN,MATCH(yoy!$L$1,Data!$A$1:$AN$1,),))/VLOOKUP(A73,Data!$A:$AN,MATCH(yoy!$L$1,Data!$A$1:$AN$1,),))</f>
        <v/>
      </c>
      <c r="M73" s="14">
        <f>IF(VLOOKUP(B73,Data!$A:$AN,MATCH(yoy!$M$1,Data!$A$1:$AN$1,),)=0,"#N/A",(VLOOKUP(B73,Data!$A:$AN,MATCH(yoy!$M$1,Data!$A$1:$AN$1,),)-VLOOKUP(A73,Data!$A:$AN,MATCH(yoy!$M$1,Data!$A$1:$AN$1,),))/VLOOKUP(A73,Data!$A:$AN,MATCH(yoy!$M$1,Data!$A$1:$AN$1,),))</f>
        <v/>
      </c>
      <c r="N73" s="14">
        <f>IF(VLOOKUP(B73,Data!$A:$AN,MATCH(yoy!$N$1,Data!$A$1:$AN$1,),)=0,"#N/A",(VLOOKUP(B73,Data!$A:$AN,MATCH(yoy!$N$1,Data!$A$1:$AN$1,),)-VLOOKUP(A73,Data!$A:$AN,MATCH(yoy!$N$1,Data!$A$1:$AN$1,),))/VLOOKUP(A73,Data!$A:$AN,MATCH(yoy!$N$1,Data!$A$1:$AN$1,),))</f>
        <v/>
      </c>
      <c r="O73" s="14">
        <f>IF(VLOOKUP(B73,Data!$A:$AN,MATCH(yoy!$O$1,Data!$A$1:$AN$1,),)=0,"#N/A",(VLOOKUP(B73,Data!$A:$AN,MATCH(yoy!$O$1,Data!$A$1:$AN$1,),)-VLOOKUP(A73,Data!$A:$AN,MATCH(yoy!$O$1,Data!$A$1:$AN$1,),))/VLOOKUP(A73,Data!$A:$AN,MATCH(yoy!$O$1,Data!$A$1:$AN$1,),))</f>
        <v/>
      </c>
      <c r="P73" s="14">
        <f>IF(VLOOKUP(B73,Data!$A:$AN,MATCH(yoy!$P$1,Data!$A$1:$AN$1,),)=0,"#N/A",(VLOOKUP(B73,Data!$A:$AN,MATCH(yoy!$P$1,Data!$A$1:$AN$1,),)-VLOOKUP(A73,Data!$A:$AN,MATCH(yoy!$P$1,Data!$A$1:$AN$1,),))/VLOOKUP(A73,Data!$A:$AN,MATCH(yoy!$P$1,Data!$A$1:$AN$1,),))</f>
        <v/>
      </c>
      <c r="Q73" s="14">
        <f>IF(VLOOKUP(B73,Data!$A:$AN,MATCH(yoy!$Q$1,Data!$A$1:$AN$1,),)=0,"#N/A",(VLOOKUP(B73,Data!$A:$AN,MATCH(yoy!$Q$1,Data!$A$1:$AN$1,),)-VLOOKUP(A73,Data!$A:$AN,MATCH(yoy!$Q$1,Data!$A$1:$AN$1,),))/VLOOKUP(A73,Data!$A:$AN,MATCH(yoy!$Q$1,Data!$A$1:$AN$1,),))</f>
        <v/>
      </c>
      <c r="R73" s="14">
        <f>IF(VLOOKUP(B73,Data!$A:$AN,MATCH(yoy!$R$1,Data!$A$1:$AN$1,),)=0,"#N/A",(VLOOKUP(B73,Data!$A:$AN,MATCH(yoy!$R$1,Data!$A$1:$AN$1,),)-VLOOKUP(A73,Data!$A:$AN,MATCH(yoy!$R$1,Data!$A$1:$AN$1,),))/VLOOKUP(A73,Data!$A:$AN,MATCH(yoy!$R$1,Data!$A$1:$AN$1,),))</f>
        <v/>
      </c>
      <c r="S73" s="14">
        <f>IF(VLOOKUP(B73,Data!$A:$AN,MATCH(yoy!$S$1,Data!$A$1:$AN$1,),)=0,"#N/A",(VLOOKUP(B73,Data!$A:$AN,MATCH(yoy!$S$1,Data!$A$1:$AN$1,),)-VLOOKUP(A73,Data!$A:$AN,MATCH(yoy!$S$1,Data!$A$1:$AN$1,),))/VLOOKUP(A73,Data!$A:$AN,MATCH(yoy!$S$1,Data!$A$1:$AN$1,),))</f>
        <v/>
      </c>
      <c r="T73" s="14">
        <f>IF(VLOOKUP(B73,Data!$A:$AN,MATCH(yoy!$T$1,Data!$A$1:$AN$1,),)=0,"#N/A",(VLOOKUP(B73,Data!$A:$AN,MATCH(yoy!$T$1,Data!$A$1:$AN$1,),)-VLOOKUP(A73,Data!$A:$AN,MATCH(yoy!$T$1,Data!$A$1:$AN$1,),))/VLOOKUP(A73,Data!$A:$AN,MATCH(yoy!$T$1,Data!$A$1:$AN$1,),))</f>
        <v/>
      </c>
      <c r="U73" s="14">
        <f>IF(VLOOKUP(B73,Data!$A:$AN,MATCH(yoy!$U$1,Data!$A$1:$AN$1,),)=0,"#N/A",(VLOOKUP(B73,Data!$A:$AN,MATCH(yoy!$U$1,Data!$A$1:$AN$1,),)-VLOOKUP(A73,Data!$A:$AN,MATCH(yoy!$U$1,Data!$A$1:$AN$1,),))/VLOOKUP(A73,Data!$A:$AN,MATCH(yoy!$U$1,Data!$A$1:$AN$1,),))</f>
        <v/>
      </c>
      <c r="V73" s="14">
        <f>IF(VLOOKUP(B73,Data!$A:$AN,MATCH(yoy!$V$1,Data!$A$1:$AN$1,),)=0,"#N/A",(VLOOKUP(B73,Data!$A:$AN,MATCH(yoy!$V$1,Data!$A$1:$AN$1,),)-VLOOKUP(A73,Data!$A:$AN,MATCH(yoy!$V$1,Data!$A$1:$AN$1,),))/VLOOKUP(A73,Data!$A:$AN,MATCH(yoy!$V$1,Data!$A$1:$AN$1,),))</f>
        <v/>
      </c>
      <c r="W73" s="14">
        <f>IF(VLOOKUP(B73,Data!$A:$AN,MATCH(yoy!$W$1,Data!$A$1:$AN$1,),)=0,"#N/A",(VLOOKUP(B73,Data!$A:$AN,MATCH(yoy!$W$1,Data!$A$1:$AN$1,),)-VLOOKUP(A73,Data!$A:$AN,MATCH(yoy!$W$1,Data!$A$1:$AN$1,),))/VLOOKUP(A73,Data!$A:$AN,MATCH(yoy!$W$1,Data!$A$1:$AN$1,),))</f>
        <v/>
      </c>
      <c r="X73" s="14">
        <f>IF(VLOOKUP(B73,Data!$A:$AN,MATCH(yoy!$X$1,Data!$A$1:$AN$1,),)=0,"#N/A",(VLOOKUP(B73,Data!$A:$AN,MATCH(yoy!$X$1,Data!$A$1:$AN$1,),)-VLOOKUP(A73,Data!$A:$AN,MATCH(yoy!$X$1,Data!$A$1:$AN$1,),))/VLOOKUP(A73,Data!$A:$AN,MATCH(yoy!$X$1,Data!$A$1:$AN$1,),))</f>
        <v/>
      </c>
      <c r="Y73" s="14">
        <f>IF(VLOOKUP(B73,Data!$A:$AN,MATCH(yoy!$Y$1,Data!$A$1:$AN$1,),)=0,"#N/A",(VLOOKUP(B73,Data!$A:$AN,MATCH(yoy!$Y$1,Data!$A$1:$AN$1,),)-VLOOKUP(A73,Data!$A:$AN,MATCH(yoy!$Y$1,Data!$A$1:$AN$1,),))/VLOOKUP(A73,Data!$A:$AN,MATCH(yoy!$Y$1,Data!$A$1:$AN$1,),))</f>
        <v/>
      </c>
      <c r="Z73" s="14">
        <f>IF(VLOOKUP(B73,Data!$A:$AN,MATCH(yoy!$Z$1,Data!$A$1:$AN$1,),)=0,"#N/A",(VLOOKUP(B73,Data!$A:$AN,MATCH(yoy!$Z$1,Data!$A$1:$AN$1,),)-VLOOKUP(A73,Data!$A:$AN,MATCH(yoy!$Z$1,Data!$A$1:$AN$1,),))/VLOOKUP(A73,Data!$A:$AN,MATCH(yoy!$Z$1,Data!$A$1:$AN$1,),))</f>
        <v/>
      </c>
      <c r="AA73" s="14">
        <f>IF(VLOOKUP(B73,Data!$A:$AN,MATCH(yoy!$AA$1,Data!$A$1:$AN$1,),)=0,"#N/A",(VLOOKUP(B73,Data!$A:$AN,MATCH(yoy!$AA$1,Data!$A$1:$AN$1,),)-VLOOKUP(A73,Data!$A:$AN,MATCH(yoy!$AA$1,Data!$A$1:$AN$1,),))/VLOOKUP(A73,Data!$A:$AN,MATCH(yoy!$AA$1,Data!$A$1:$AN$1,),))</f>
        <v/>
      </c>
    </row>
    <row r="74" customFormat="1" s="77">
      <c r="A74" s="20">
        <f>DATE(YEAR(B74)-1,MONTH(B74),DAY(B74))</f>
        <v/>
      </c>
      <c r="B74" s="12" t="n">
        <v>44105</v>
      </c>
      <c r="C74" s="14">
        <f>IF(VLOOKUP(B74,Data!$A:$AN,MATCH(yoy!$C$1,Data!$A$1:$AN$1,),)=0,"#N/A",(VLOOKUP(B74,Data!$A:$AN,MATCH(yoy!$C$1,Data!$A$1:$AN$1,),)-VLOOKUP(A74,Data!$A:$AN,MATCH(yoy!$C$1,Data!$A$1:$AN$1,),))/VLOOKUP(A74,Data!$A:$AN,MATCH(yoy!$C$1,Data!$A$1:$AN$1,),))</f>
        <v/>
      </c>
      <c r="D74" s="14">
        <f>IF(VLOOKUP(B74,Data!$A:$AN,MATCH(yoy!$D$1,Data!$A$1:$AN$1,),)=0,"#N/A",(VLOOKUP(B74,Data!$A:$AN,MATCH(yoy!$D$1,Data!$A$1:$AN$1,),)-VLOOKUP(A74,Data!$A:$AN,MATCH(yoy!$D$1,Data!$A$1:$AN$1,),))/VLOOKUP(A74,Data!$A:$AN,MATCH(yoy!$D$1,Data!$A$1:$AN$1,),))</f>
        <v/>
      </c>
      <c r="E74" s="14">
        <f>IF(VLOOKUP(B74,Data!$A:$AN,MATCH(yoy!$E$1,Data!$A$1:$AN$1,),)=0,"#N/A",(VLOOKUP(B74,Data!$A:$AN,MATCH(yoy!$E$1,Data!$A$1:$AN$1,),)-VLOOKUP(A74,Data!$A:$AN,MATCH(yoy!$E$1,Data!$A$1:$AN$1,),))/VLOOKUP(A74,Data!$A:$AN,MATCH(yoy!$E$1,Data!$A$1:$AN$1,),))</f>
        <v/>
      </c>
      <c r="F74" s="14">
        <f>IF(VLOOKUP(B74,Data!$A:$AN,MATCH(yoy!$F$1,Data!$A$1:$AN$1,),)=0,"#N/A",(VLOOKUP(B74,Data!$A:$AN,MATCH(yoy!$F$1,Data!$A$1:$AN$1,),)-VLOOKUP(A74,Data!$A:$AN,MATCH(yoy!$F$1,Data!$A$1:$AN$1,),))/VLOOKUP(A74,Data!$A:$AN,MATCH(yoy!$F$1,Data!$A$1:$AN$1,),))</f>
        <v/>
      </c>
      <c r="G74" s="14">
        <f>IF(VLOOKUP(B74,Data!$A:$AN,MATCH(yoy!$G$1,Data!$A$1:$AN$1,),)=0,"#N/A",(VLOOKUP(B74,Data!$A:$AN,MATCH(yoy!$G$1,Data!$A$1:$AN$1,),)-VLOOKUP(A74,Data!$A:$AN,MATCH(yoy!$G$1,Data!$A$1:$AN$1,),))/VLOOKUP(A74,Data!$A:$AN,MATCH(yoy!$G$1,Data!$A$1:$AN$1,),))</f>
        <v/>
      </c>
      <c r="H74" s="14">
        <f>IF(VLOOKUP(B74,Data!$A:$AN,MATCH(yoy!$H$1,Data!$A$1:$AN$1,),)=0,"#N/A",(VLOOKUP(B74,Data!$A:$AN,MATCH(yoy!$H$1,Data!$A$1:$AN$1,),)-VLOOKUP(A74,Data!$A:$AN,MATCH(yoy!$H$1,Data!$A$1:$AN$1,),))/VLOOKUP(A74,Data!$A:$AN,MATCH(yoy!$H$1,Data!$A$1:$AN$1,),))</f>
        <v/>
      </c>
      <c r="I74" s="14">
        <f>IF(VLOOKUP(B74,Data!$A:$AN,MATCH(yoy!$I$1,Data!$A$1:$AN$1,),)=0,"#N/A",(VLOOKUP(B74,Data!$A:$AN,MATCH(yoy!$I$1,Data!$A$1:$AN$1,),)-VLOOKUP(A74,Data!$A:$AN,MATCH(yoy!$I$1,Data!$A$1:$AN$1,),))/VLOOKUP(A74,Data!$A:$AN,MATCH(yoy!$I$1,Data!$A$1:$AN$1,),))</f>
        <v/>
      </c>
      <c r="J74" s="14">
        <f>IF(VLOOKUP(B74,Data!$A:$AN,MATCH(yoy!$J$1,Data!$A$1:$AN$1,),)=0,"#N/A",(VLOOKUP(B74,Data!$A:$AN,MATCH(yoy!$J$1,Data!$A$1:$AN$1,),)-VLOOKUP(A74,Data!$A:$AN,MATCH(yoy!$J$1,Data!$A$1:$AN$1,),))/VLOOKUP(A74,Data!$A:$AN,MATCH(yoy!$J$1,Data!$A$1:$AN$1,),))</f>
        <v/>
      </c>
      <c r="K74" s="14">
        <f>IF(VLOOKUP(B74,Data!$A:$AN,MATCH(yoy!$K$1,Data!$A$1:$AN$1,),)=0,"#N/A",(VLOOKUP(B74,Data!$A:$AN,MATCH(yoy!$K$1,Data!$A$1:$AN$1,),)-VLOOKUP(A74,Data!$A:$AN,MATCH(yoy!$K$1,Data!$A$1:$AN$1,),))/VLOOKUP(A74,Data!$A:$AN,MATCH(yoy!$K$1,Data!$A$1:$AN$1,),))</f>
        <v/>
      </c>
      <c r="L74" s="14">
        <f>IF(VLOOKUP(B74,Data!$A:$AN,MATCH(yoy!$L$1,Data!$A$1:$AN$1,),)=0,"#N/A",(VLOOKUP(B74,Data!$A:$AN,MATCH(yoy!$L$1,Data!$A$1:$AN$1,),)-VLOOKUP(A74,Data!$A:$AN,MATCH(yoy!$L$1,Data!$A$1:$AN$1,),))/VLOOKUP(A74,Data!$A:$AN,MATCH(yoy!$L$1,Data!$A$1:$AN$1,),))</f>
        <v/>
      </c>
      <c r="M74" s="14">
        <f>IF(VLOOKUP(B74,Data!$A:$AN,MATCH(yoy!$M$1,Data!$A$1:$AN$1,),)=0,"#N/A",(VLOOKUP(B74,Data!$A:$AN,MATCH(yoy!$M$1,Data!$A$1:$AN$1,),)-VLOOKUP(A74,Data!$A:$AN,MATCH(yoy!$M$1,Data!$A$1:$AN$1,),))/VLOOKUP(A74,Data!$A:$AN,MATCH(yoy!$M$1,Data!$A$1:$AN$1,),))</f>
        <v/>
      </c>
      <c r="N74" s="14">
        <f>IF(VLOOKUP(B74,Data!$A:$AN,MATCH(yoy!$N$1,Data!$A$1:$AN$1,),)=0,"#N/A",(VLOOKUP(B74,Data!$A:$AN,MATCH(yoy!$N$1,Data!$A$1:$AN$1,),)-VLOOKUP(A74,Data!$A:$AN,MATCH(yoy!$N$1,Data!$A$1:$AN$1,),))/VLOOKUP(A74,Data!$A:$AN,MATCH(yoy!$N$1,Data!$A$1:$AN$1,),))</f>
        <v/>
      </c>
      <c r="O74" s="14">
        <f>IF(VLOOKUP(B74,Data!$A:$AN,MATCH(yoy!$O$1,Data!$A$1:$AN$1,),)=0,"#N/A",(VLOOKUP(B74,Data!$A:$AN,MATCH(yoy!$O$1,Data!$A$1:$AN$1,),)-VLOOKUP(A74,Data!$A:$AN,MATCH(yoy!$O$1,Data!$A$1:$AN$1,),))/VLOOKUP(A74,Data!$A:$AN,MATCH(yoy!$O$1,Data!$A$1:$AN$1,),))</f>
        <v/>
      </c>
      <c r="P74" s="14">
        <f>IF(VLOOKUP(B74,Data!$A:$AN,MATCH(yoy!$P$1,Data!$A$1:$AN$1,),)=0,"#N/A",(VLOOKUP(B74,Data!$A:$AN,MATCH(yoy!$P$1,Data!$A$1:$AN$1,),)-VLOOKUP(A74,Data!$A:$AN,MATCH(yoy!$P$1,Data!$A$1:$AN$1,),))/VLOOKUP(A74,Data!$A:$AN,MATCH(yoy!$P$1,Data!$A$1:$AN$1,),))</f>
        <v/>
      </c>
      <c r="Q74" s="14">
        <f>IF(VLOOKUP(B74,Data!$A:$AN,MATCH(yoy!$Q$1,Data!$A$1:$AN$1,),)=0,"#N/A",(VLOOKUP(B74,Data!$A:$AN,MATCH(yoy!$Q$1,Data!$A$1:$AN$1,),)-VLOOKUP(A74,Data!$A:$AN,MATCH(yoy!$Q$1,Data!$A$1:$AN$1,),))/VLOOKUP(A74,Data!$A:$AN,MATCH(yoy!$Q$1,Data!$A$1:$AN$1,),))</f>
        <v/>
      </c>
      <c r="R74" s="14">
        <f>IF(VLOOKUP(B74,Data!$A:$AN,MATCH(yoy!$R$1,Data!$A$1:$AN$1,),)=0,"#N/A",(VLOOKUP(B74,Data!$A:$AN,MATCH(yoy!$R$1,Data!$A$1:$AN$1,),)-VLOOKUP(A74,Data!$A:$AN,MATCH(yoy!$R$1,Data!$A$1:$AN$1,),))/VLOOKUP(A74,Data!$A:$AN,MATCH(yoy!$R$1,Data!$A$1:$AN$1,),))</f>
        <v/>
      </c>
      <c r="S74" s="14">
        <f>IF(VLOOKUP(B74,Data!$A:$AN,MATCH(yoy!$S$1,Data!$A$1:$AN$1,),)=0,"#N/A",(VLOOKUP(B74,Data!$A:$AN,MATCH(yoy!$S$1,Data!$A$1:$AN$1,),)-VLOOKUP(A74,Data!$A:$AN,MATCH(yoy!$S$1,Data!$A$1:$AN$1,),))/VLOOKUP(A74,Data!$A:$AN,MATCH(yoy!$S$1,Data!$A$1:$AN$1,),))</f>
        <v/>
      </c>
      <c r="T74" s="14">
        <f>IF(VLOOKUP(B74,Data!$A:$AN,MATCH(yoy!$T$1,Data!$A$1:$AN$1,),)=0,"#N/A",(VLOOKUP(B74,Data!$A:$AN,MATCH(yoy!$T$1,Data!$A$1:$AN$1,),)-VLOOKUP(A74,Data!$A:$AN,MATCH(yoy!$T$1,Data!$A$1:$AN$1,),))/VLOOKUP(A74,Data!$A:$AN,MATCH(yoy!$T$1,Data!$A$1:$AN$1,),))</f>
        <v/>
      </c>
      <c r="U74" s="14">
        <f>IF(VLOOKUP(B74,Data!$A:$AN,MATCH(yoy!$U$1,Data!$A$1:$AN$1,),)=0,"#N/A",(VLOOKUP(B74,Data!$A:$AN,MATCH(yoy!$U$1,Data!$A$1:$AN$1,),)-VLOOKUP(A74,Data!$A:$AN,MATCH(yoy!$U$1,Data!$A$1:$AN$1,),))/VLOOKUP(A74,Data!$A:$AN,MATCH(yoy!$U$1,Data!$A$1:$AN$1,),))</f>
        <v/>
      </c>
      <c r="V74" s="14">
        <f>IF(VLOOKUP(B74,Data!$A:$AN,MATCH(yoy!$V$1,Data!$A$1:$AN$1,),)=0,"#N/A",(VLOOKUP(B74,Data!$A:$AN,MATCH(yoy!$V$1,Data!$A$1:$AN$1,),)-VLOOKUP(A74,Data!$A:$AN,MATCH(yoy!$V$1,Data!$A$1:$AN$1,),))/VLOOKUP(A74,Data!$A:$AN,MATCH(yoy!$V$1,Data!$A$1:$AN$1,),))</f>
        <v/>
      </c>
      <c r="W74" s="14">
        <f>IF(VLOOKUP(B74,Data!$A:$AN,MATCH(yoy!$W$1,Data!$A$1:$AN$1,),)=0,"#N/A",(VLOOKUP(B74,Data!$A:$AN,MATCH(yoy!$W$1,Data!$A$1:$AN$1,),)-VLOOKUP(A74,Data!$A:$AN,MATCH(yoy!$W$1,Data!$A$1:$AN$1,),))/VLOOKUP(A74,Data!$A:$AN,MATCH(yoy!$W$1,Data!$A$1:$AN$1,),))</f>
        <v/>
      </c>
      <c r="X74" s="14">
        <f>IF(VLOOKUP(B74,Data!$A:$AN,MATCH(yoy!$X$1,Data!$A$1:$AN$1,),)=0,"#N/A",(VLOOKUP(B74,Data!$A:$AN,MATCH(yoy!$X$1,Data!$A$1:$AN$1,),)-VLOOKUP(A74,Data!$A:$AN,MATCH(yoy!$X$1,Data!$A$1:$AN$1,),))/VLOOKUP(A74,Data!$A:$AN,MATCH(yoy!$X$1,Data!$A$1:$AN$1,),))</f>
        <v/>
      </c>
      <c r="Y74" s="14">
        <f>IF(VLOOKUP(B74,Data!$A:$AN,MATCH(yoy!$Y$1,Data!$A$1:$AN$1,),)=0,"#N/A",(VLOOKUP(B74,Data!$A:$AN,MATCH(yoy!$Y$1,Data!$A$1:$AN$1,),)-VLOOKUP(A74,Data!$A:$AN,MATCH(yoy!$Y$1,Data!$A$1:$AN$1,),))/VLOOKUP(A74,Data!$A:$AN,MATCH(yoy!$Y$1,Data!$A$1:$AN$1,),))</f>
        <v/>
      </c>
      <c r="Z74" s="14">
        <f>IF(VLOOKUP(B74,Data!$A:$AN,MATCH(yoy!$Z$1,Data!$A$1:$AN$1,),)=0,"#N/A",(VLOOKUP(B74,Data!$A:$AN,MATCH(yoy!$Z$1,Data!$A$1:$AN$1,),)-VLOOKUP(A74,Data!$A:$AN,MATCH(yoy!$Z$1,Data!$A$1:$AN$1,),))/VLOOKUP(A74,Data!$A:$AN,MATCH(yoy!$Z$1,Data!$A$1:$AN$1,),))</f>
        <v/>
      </c>
      <c r="AA74" s="14">
        <f>IF(VLOOKUP(B74,Data!$A:$AN,MATCH(yoy!$AA$1,Data!$A$1:$AN$1,),)=0,"#N/A",(VLOOKUP(B74,Data!$A:$AN,MATCH(yoy!$AA$1,Data!$A$1:$AN$1,),)-VLOOKUP(A74,Data!$A:$AN,MATCH(yoy!$AA$1,Data!$A$1:$AN$1,),))/VLOOKUP(A74,Data!$A:$AN,MATCH(yoy!$AA$1,Data!$A$1:$AN$1,),))</f>
        <v/>
      </c>
    </row>
    <row r="75" customFormat="1" s="77">
      <c r="A75" s="20">
        <f>DATE(YEAR(B75)-1,MONTH(B75),DAY(B75))</f>
        <v/>
      </c>
      <c r="B75" s="12" t="n">
        <v>44136</v>
      </c>
      <c r="C75" s="14">
        <f>IF(VLOOKUP(B75,Data!$A:$AN,MATCH(yoy!$C$1,Data!$A$1:$AN$1,),)=0,"#N/A",(VLOOKUP(B75,Data!$A:$AN,MATCH(yoy!$C$1,Data!$A$1:$AN$1,),)-VLOOKUP(A75,Data!$A:$AN,MATCH(yoy!$C$1,Data!$A$1:$AN$1,),))/VLOOKUP(A75,Data!$A:$AN,MATCH(yoy!$C$1,Data!$A$1:$AN$1,),))</f>
        <v/>
      </c>
      <c r="D75" s="14">
        <f>IF(VLOOKUP(B75,Data!$A:$AN,MATCH(yoy!$D$1,Data!$A$1:$AN$1,),)=0,"#N/A",(VLOOKUP(B75,Data!$A:$AN,MATCH(yoy!$D$1,Data!$A$1:$AN$1,),)-VLOOKUP(A75,Data!$A:$AN,MATCH(yoy!$D$1,Data!$A$1:$AN$1,),))/VLOOKUP(A75,Data!$A:$AN,MATCH(yoy!$D$1,Data!$A$1:$AN$1,),))</f>
        <v/>
      </c>
      <c r="E75" s="14">
        <f>IF(VLOOKUP(B75,Data!$A:$AN,MATCH(yoy!$E$1,Data!$A$1:$AN$1,),)=0,"#N/A",(VLOOKUP(B75,Data!$A:$AN,MATCH(yoy!$E$1,Data!$A$1:$AN$1,),)-VLOOKUP(A75,Data!$A:$AN,MATCH(yoy!$E$1,Data!$A$1:$AN$1,),))/VLOOKUP(A75,Data!$A:$AN,MATCH(yoy!$E$1,Data!$A$1:$AN$1,),))</f>
        <v/>
      </c>
      <c r="F75" s="14">
        <f>IF(VLOOKUP(B75,Data!$A:$AN,MATCH(yoy!$F$1,Data!$A$1:$AN$1,),)=0,"#N/A",(VLOOKUP(B75,Data!$A:$AN,MATCH(yoy!$F$1,Data!$A$1:$AN$1,),)-VLOOKUP(A75,Data!$A:$AN,MATCH(yoy!$F$1,Data!$A$1:$AN$1,),))/VLOOKUP(A75,Data!$A:$AN,MATCH(yoy!$F$1,Data!$A$1:$AN$1,),))</f>
        <v/>
      </c>
      <c r="G75" s="14">
        <f>IF(VLOOKUP(B75,Data!$A:$AN,MATCH(yoy!$G$1,Data!$A$1:$AN$1,),)=0,"#N/A",(VLOOKUP(B75,Data!$A:$AN,MATCH(yoy!$G$1,Data!$A$1:$AN$1,),)-VLOOKUP(A75,Data!$A:$AN,MATCH(yoy!$G$1,Data!$A$1:$AN$1,),))/VLOOKUP(A75,Data!$A:$AN,MATCH(yoy!$G$1,Data!$A$1:$AN$1,),))</f>
        <v/>
      </c>
      <c r="H75" s="14">
        <f>IF(VLOOKUP(B75,Data!$A:$AN,MATCH(yoy!$H$1,Data!$A$1:$AN$1,),)=0,"#N/A",(VLOOKUP(B75,Data!$A:$AN,MATCH(yoy!$H$1,Data!$A$1:$AN$1,),)-VLOOKUP(A75,Data!$A:$AN,MATCH(yoy!$H$1,Data!$A$1:$AN$1,),))/VLOOKUP(A75,Data!$A:$AN,MATCH(yoy!$H$1,Data!$A$1:$AN$1,),))</f>
        <v/>
      </c>
      <c r="I75" s="14">
        <f>IF(VLOOKUP(B75,Data!$A:$AN,MATCH(yoy!$I$1,Data!$A$1:$AN$1,),)=0,"#N/A",(VLOOKUP(B75,Data!$A:$AN,MATCH(yoy!$I$1,Data!$A$1:$AN$1,),)-VLOOKUP(A75,Data!$A:$AN,MATCH(yoy!$I$1,Data!$A$1:$AN$1,),))/VLOOKUP(A75,Data!$A:$AN,MATCH(yoy!$I$1,Data!$A$1:$AN$1,),))</f>
        <v/>
      </c>
      <c r="J75" s="14">
        <f>IF(VLOOKUP(B75,Data!$A:$AN,MATCH(yoy!$J$1,Data!$A$1:$AN$1,),)=0,"#N/A",(VLOOKUP(B75,Data!$A:$AN,MATCH(yoy!$J$1,Data!$A$1:$AN$1,),)-VLOOKUP(A75,Data!$A:$AN,MATCH(yoy!$J$1,Data!$A$1:$AN$1,),))/VLOOKUP(A75,Data!$A:$AN,MATCH(yoy!$J$1,Data!$A$1:$AN$1,),))</f>
        <v/>
      </c>
      <c r="K75" s="14">
        <f>IF(VLOOKUP(B75,Data!$A:$AN,MATCH(yoy!$K$1,Data!$A$1:$AN$1,),)=0,"#N/A",(VLOOKUP(B75,Data!$A:$AN,MATCH(yoy!$K$1,Data!$A$1:$AN$1,),)-VLOOKUP(A75,Data!$A:$AN,MATCH(yoy!$K$1,Data!$A$1:$AN$1,),))/VLOOKUP(A75,Data!$A:$AN,MATCH(yoy!$K$1,Data!$A$1:$AN$1,),))</f>
        <v/>
      </c>
      <c r="L75" s="14">
        <f>IF(VLOOKUP(B75,Data!$A:$AN,MATCH(yoy!$L$1,Data!$A$1:$AN$1,),)=0,"#N/A",(VLOOKUP(B75,Data!$A:$AN,MATCH(yoy!$L$1,Data!$A$1:$AN$1,),)-VLOOKUP(A75,Data!$A:$AN,MATCH(yoy!$L$1,Data!$A$1:$AN$1,),))/VLOOKUP(A75,Data!$A:$AN,MATCH(yoy!$L$1,Data!$A$1:$AN$1,),))</f>
        <v/>
      </c>
      <c r="M75" s="14">
        <f>IF(VLOOKUP(B75,Data!$A:$AN,MATCH(yoy!$M$1,Data!$A$1:$AN$1,),)=0,"#N/A",(VLOOKUP(B75,Data!$A:$AN,MATCH(yoy!$M$1,Data!$A$1:$AN$1,),)-VLOOKUP(A75,Data!$A:$AN,MATCH(yoy!$M$1,Data!$A$1:$AN$1,),))/VLOOKUP(A75,Data!$A:$AN,MATCH(yoy!$M$1,Data!$A$1:$AN$1,),))</f>
        <v/>
      </c>
      <c r="N75" s="14">
        <f>IF(VLOOKUP(B75,Data!$A:$AN,MATCH(yoy!$N$1,Data!$A$1:$AN$1,),)=0,"#N/A",(VLOOKUP(B75,Data!$A:$AN,MATCH(yoy!$N$1,Data!$A$1:$AN$1,),)-VLOOKUP(A75,Data!$A:$AN,MATCH(yoy!$N$1,Data!$A$1:$AN$1,),))/VLOOKUP(A75,Data!$A:$AN,MATCH(yoy!$N$1,Data!$A$1:$AN$1,),))</f>
        <v/>
      </c>
      <c r="O75" s="14">
        <f>IF(VLOOKUP(B75,Data!$A:$AN,MATCH(yoy!$O$1,Data!$A$1:$AN$1,),)=0,"#N/A",(VLOOKUP(B75,Data!$A:$AN,MATCH(yoy!$O$1,Data!$A$1:$AN$1,),)-VLOOKUP(A75,Data!$A:$AN,MATCH(yoy!$O$1,Data!$A$1:$AN$1,),))/VLOOKUP(A75,Data!$A:$AN,MATCH(yoy!$O$1,Data!$A$1:$AN$1,),))</f>
        <v/>
      </c>
      <c r="P75" s="14">
        <f>IF(VLOOKUP(B75,Data!$A:$AN,MATCH(yoy!$P$1,Data!$A$1:$AN$1,),)=0,"#N/A",(VLOOKUP(B75,Data!$A:$AN,MATCH(yoy!$P$1,Data!$A$1:$AN$1,),)-VLOOKUP(A75,Data!$A:$AN,MATCH(yoy!$P$1,Data!$A$1:$AN$1,),))/VLOOKUP(A75,Data!$A:$AN,MATCH(yoy!$P$1,Data!$A$1:$AN$1,),))</f>
        <v/>
      </c>
      <c r="Q75" s="14">
        <f>IF(VLOOKUP(B75,Data!$A:$AN,MATCH(yoy!$Q$1,Data!$A$1:$AN$1,),)=0,"#N/A",(VLOOKUP(B75,Data!$A:$AN,MATCH(yoy!$Q$1,Data!$A$1:$AN$1,),)-VLOOKUP(A75,Data!$A:$AN,MATCH(yoy!$Q$1,Data!$A$1:$AN$1,),))/VLOOKUP(A75,Data!$A:$AN,MATCH(yoy!$Q$1,Data!$A$1:$AN$1,),))</f>
        <v/>
      </c>
      <c r="R75" s="14">
        <f>IF(VLOOKUP(B75,Data!$A:$AN,MATCH(yoy!$R$1,Data!$A$1:$AN$1,),)=0,"#N/A",(VLOOKUP(B75,Data!$A:$AN,MATCH(yoy!$R$1,Data!$A$1:$AN$1,),)-VLOOKUP(A75,Data!$A:$AN,MATCH(yoy!$R$1,Data!$A$1:$AN$1,),))/VLOOKUP(A75,Data!$A:$AN,MATCH(yoy!$R$1,Data!$A$1:$AN$1,),))</f>
        <v/>
      </c>
      <c r="S75" s="14">
        <f>IF(VLOOKUP(B75,Data!$A:$AN,MATCH(yoy!$S$1,Data!$A$1:$AN$1,),)=0,"#N/A",(VLOOKUP(B75,Data!$A:$AN,MATCH(yoy!$S$1,Data!$A$1:$AN$1,),)-VLOOKUP(A75,Data!$A:$AN,MATCH(yoy!$S$1,Data!$A$1:$AN$1,),))/VLOOKUP(A75,Data!$A:$AN,MATCH(yoy!$S$1,Data!$A$1:$AN$1,),))</f>
        <v/>
      </c>
      <c r="T75" s="14">
        <f>IF(VLOOKUP(B75,Data!$A:$AN,MATCH(yoy!$T$1,Data!$A$1:$AN$1,),)=0,"#N/A",(VLOOKUP(B75,Data!$A:$AN,MATCH(yoy!$T$1,Data!$A$1:$AN$1,),)-VLOOKUP(A75,Data!$A:$AN,MATCH(yoy!$T$1,Data!$A$1:$AN$1,),))/VLOOKUP(A75,Data!$A:$AN,MATCH(yoy!$T$1,Data!$A$1:$AN$1,),))</f>
        <v/>
      </c>
      <c r="U75" s="14">
        <f>IF(VLOOKUP(B75,Data!$A:$AN,MATCH(yoy!$U$1,Data!$A$1:$AN$1,),)=0,"#N/A",(VLOOKUP(B75,Data!$A:$AN,MATCH(yoy!$U$1,Data!$A$1:$AN$1,),)-VLOOKUP(A75,Data!$A:$AN,MATCH(yoy!$U$1,Data!$A$1:$AN$1,),))/VLOOKUP(A75,Data!$A:$AN,MATCH(yoy!$U$1,Data!$A$1:$AN$1,),))</f>
        <v/>
      </c>
      <c r="V75" s="14">
        <f>IF(VLOOKUP(B75,Data!$A:$AN,MATCH(yoy!$V$1,Data!$A$1:$AN$1,),)=0,"#N/A",(VLOOKUP(B75,Data!$A:$AN,MATCH(yoy!$V$1,Data!$A$1:$AN$1,),)-VLOOKUP(A75,Data!$A:$AN,MATCH(yoy!$V$1,Data!$A$1:$AN$1,),))/VLOOKUP(A75,Data!$A:$AN,MATCH(yoy!$V$1,Data!$A$1:$AN$1,),))</f>
        <v/>
      </c>
      <c r="W75" s="14">
        <f>IF(VLOOKUP(B75,Data!$A:$AN,MATCH(yoy!$W$1,Data!$A$1:$AN$1,),)=0,"#N/A",(VLOOKUP(B75,Data!$A:$AN,MATCH(yoy!$W$1,Data!$A$1:$AN$1,),)-VLOOKUP(A75,Data!$A:$AN,MATCH(yoy!$W$1,Data!$A$1:$AN$1,),))/VLOOKUP(A75,Data!$A:$AN,MATCH(yoy!$W$1,Data!$A$1:$AN$1,),))</f>
        <v/>
      </c>
      <c r="X75" s="14">
        <f>IF(VLOOKUP(B75,Data!$A:$AN,MATCH(yoy!$X$1,Data!$A$1:$AN$1,),)=0,"#N/A",(VLOOKUP(B75,Data!$A:$AN,MATCH(yoy!$X$1,Data!$A$1:$AN$1,),)-VLOOKUP(A75,Data!$A:$AN,MATCH(yoy!$X$1,Data!$A$1:$AN$1,),))/VLOOKUP(A75,Data!$A:$AN,MATCH(yoy!$X$1,Data!$A$1:$AN$1,),))</f>
        <v/>
      </c>
      <c r="Y75" s="14">
        <f>IF(VLOOKUP(B75,Data!$A:$AN,MATCH(yoy!$Y$1,Data!$A$1:$AN$1,),)=0,"#N/A",(VLOOKUP(B75,Data!$A:$AN,MATCH(yoy!$Y$1,Data!$A$1:$AN$1,),)-VLOOKUP(A75,Data!$A:$AN,MATCH(yoy!$Y$1,Data!$A$1:$AN$1,),))/VLOOKUP(A75,Data!$A:$AN,MATCH(yoy!$Y$1,Data!$A$1:$AN$1,),))</f>
        <v/>
      </c>
      <c r="Z75" s="14">
        <f>IF(VLOOKUP(B75,Data!$A:$AN,MATCH(yoy!$Z$1,Data!$A$1:$AN$1,),)=0,"#N/A",(VLOOKUP(B75,Data!$A:$AN,MATCH(yoy!$Z$1,Data!$A$1:$AN$1,),)-VLOOKUP(A75,Data!$A:$AN,MATCH(yoy!$Z$1,Data!$A$1:$AN$1,),))/VLOOKUP(A75,Data!$A:$AN,MATCH(yoy!$Z$1,Data!$A$1:$AN$1,),))</f>
        <v/>
      </c>
      <c r="AA75" s="14">
        <f>IF(VLOOKUP(B75,Data!$A:$AN,MATCH(yoy!$AA$1,Data!$A$1:$AN$1,),)=0,"#N/A",(VLOOKUP(B75,Data!$A:$AN,MATCH(yoy!$AA$1,Data!$A$1:$AN$1,),)-VLOOKUP(A75,Data!$A:$AN,MATCH(yoy!$AA$1,Data!$A$1:$AN$1,),))/VLOOKUP(A75,Data!$A:$AN,MATCH(yoy!$AA$1,Data!$A$1:$AN$1,),))</f>
        <v/>
      </c>
    </row>
    <row r="76" customFormat="1" s="77">
      <c r="A76" s="20">
        <f>DATE(YEAR(B76)-1,MONTH(B76),DAY(B76))</f>
        <v/>
      </c>
      <c r="B76" s="12" t="n">
        <v>44166</v>
      </c>
      <c r="C76" s="14">
        <f>IF(VLOOKUP(B76,Data!$A:$AN,MATCH(yoy!$C$1,Data!$A$1:$AN$1,),)=0,"#N/A",(VLOOKUP(B76,Data!$A:$AN,MATCH(yoy!$C$1,Data!$A$1:$AN$1,),)-VLOOKUP(A76,Data!$A:$AN,MATCH(yoy!$C$1,Data!$A$1:$AN$1,),))/VLOOKUP(A76,Data!$A:$AN,MATCH(yoy!$C$1,Data!$A$1:$AN$1,),))</f>
        <v/>
      </c>
      <c r="D76" s="14">
        <f>IF(VLOOKUP(B76,Data!$A:$AN,MATCH(yoy!$D$1,Data!$A$1:$AN$1,),)=0,"#N/A",(VLOOKUP(B76,Data!$A:$AN,MATCH(yoy!$D$1,Data!$A$1:$AN$1,),)-VLOOKUP(A76,Data!$A:$AN,MATCH(yoy!$D$1,Data!$A$1:$AN$1,),))/VLOOKUP(A76,Data!$A:$AN,MATCH(yoy!$D$1,Data!$A$1:$AN$1,),))</f>
        <v/>
      </c>
      <c r="E76" s="14">
        <f>IF(VLOOKUP(B76,Data!$A:$AN,MATCH(yoy!$E$1,Data!$A$1:$AN$1,),)=0,"#N/A",(VLOOKUP(B76,Data!$A:$AN,MATCH(yoy!$E$1,Data!$A$1:$AN$1,),)-VLOOKUP(A76,Data!$A:$AN,MATCH(yoy!$E$1,Data!$A$1:$AN$1,),))/VLOOKUP(A76,Data!$A:$AN,MATCH(yoy!$E$1,Data!$A$1:$AN$1,),))</f>
        <v/>
      </c>
      <c r="F76" s="14">
        <f>IF(VLOOKUP(B76,Data!$A:$AN,MATCH(yoy!$F$1,Data!$A$1:$AN$1,),)=0,"#N/A",(VLOOKUP(B76,Data!$A:$AN,MATCH(yoy!$F$1,Data!$A$1:$AN$1,),)-VLOOKUP(A76,Data!$A:$AN,MATCH(yoy!$F$1,Data!$A$1:$AN$1,),))/VLOOKUP(A76,Data!$A:$AN,MATCH(yoy!$F$1,Data!$A$1:$AN$1,),))</f>
        <v/>
      </c>
      <c r="G76" s="14">
        <f>IF(VLOOKUP(B76,Data!$A:$AN,MATCH(yoy!$G$1,Data!$A$1:$AN$1,),)=0,"#N/A",(VLOOKUP(B76,Data!$A:$AN,MATCH(yoy!$G$1,Data!$A$1:$AN$1,),)-VLOOKUP(A76,Data!$A:$AN,MATCH(yoy!$G$1,Data!$A$1:$AN$1,),))/VLOOKUP(A76,Data!$A:$AN,MATCH(yoy!$G$1,Data!$A$1:$AN$1,),))</f>
        <v/>
      </c>
      <c r="H76" s="14">
        <f>IF(VLOOKUP(B76,Data!$A:$AN,MATCH(yoy!$H$1,Data!$A$1:$AN$1,),)=0,"#N/A",(VLOOKUP(B76,Data!$A:$AN,MATCH(yoy!$H$1,Data!$A$1:$AN$1,),)-VLOOKUP(A76,Data!$A:$AN,MATCH(yoy!$H$1,Data!$A$1:$AN$1,),))/VLOOKUP(A76,Data!$A:$AN,MATCH(yoy!$H$1,Data!$A$1:$AN$1,),))</f>
        <v/>
      </c>
      <c r="I76" s="14">
        <f>IF(VLOOKUP(B76,Data!$A:$AN,MATCH(yoy!$I$1,Data!$A$1:$AN$1,),)=0,"#N/A",(VLOOKUP(B76,Data!$A:$AN,MATCH(yoy!$I$1,Data!$A$1:$AN$1,),)-VLOOKUP(A76,Data!$A:$AN,MATCH(yoy!$I$1,Data!$A$1:$AN$1,),))/VLOOKUP(A76,Data!$A:$AN,MATCH(yoy!$I$1,Data!$A$1:$AN$1,),))</f>
        <v/>
      </c>
      <c r="J76" s="14">
        <f>IF(VLOOKUP(B76,Data!$A:$AN,MATCH(yoy!$J$1,Data!$A$1:$AN$1,),)=0,"#N/A",(VLOOKUP(B76,Data!$A:$AN,MATCH(yoy!$J$1,Data!$A$1:$AN$1,),)-VLOOKUP(A76,Data!$A:$AN,MATCH(yoy!$J$1,Data!$A$1:$AN$1,),))/VLOOKUP(A76,Data!$A:$AN,MATCH(yoy!$J$1,Data!$A$1:$AN$1,),))</f>
        <v/>
      </c>
      <c r="K76" s="14">
        <f>IF(VLOOKUP(B76,Data!$A:$AN,MATCH(yoy!$K$1,Data!$A$1:$AN$1,),)=0,"#N/A",(VLOOKUP(B76,Data!$A:$AN,MATCH(yoy!$K$1,Data!$A$1:$AN$1,),)-VLOOKUP(A76,Data!$A:$AN,MATCH(yoy!$K$1,Data!$A$1:$AN$1,),))/VLOOKUP(A76,Data!$A:$AN,MATCH(yoy!$K$1,Data!$A$1:$AN$1,),))</f>
        <v/>
      </c>
      <c r="L76" s="14">
        <f>IF(VLOOKUP(B76,Data!$A:$AN,MATCH(yoy!$L$1,Data!$A$1:$AN$1,),)=0,"#N/A",(VLOOKUP(B76,Data!$A:$AN,MATCH(yoy!$L$1,Data!$A$1:$AN$1,),)-VLOOKUP(A76,Data!$A:$AN,MATCH(yoy!$L$1,Data!$A$1:$AN$1,),))/VLOOKUP(A76,Data!$A:$AN,MATCH(yoy!$L$1,Data!$A$1:$AN$1,),))</f>
        <v/>
      </c>
      <c r="M76" s="14">
        <f>IF(VLOOKUP(B76,Data!$A:$AN,MATCH(yoy!$M$1,Data!$A$1:$AN$1,),)=0,"#N/A",(VLOOKUP(B76,Data!$A:$AN,MATCH(yoy!$M$1,Data!$A$1:$AN$1,),)-VLOOKUP(A76,Data!$A:$AN,MATCH(yoy!$M$1,Data!$A$1:$AN$1,),))/VLOOKUP(A76,Data!$A:$AN,MATCH(yoy!$M$1,Data!$A$1:$AN$1,),))</f>
        <v/>
      </c>
      <c r="N76" s="14">
        <f>IF(VLOOKUP(B76,Data!$A:$AN,MATCH(yoy!$N$1,Data!$A$1:$AN$1,),)=0,"#N/A",(VLOOKUP(B76,Data!$A:$AN,MATCH(yoy!$N$1,Data!$A$1:$AN$1,),)-VLOOKUP(A76,Data!$A:$AN,MATCH(yoy!$N$1,Data!$A$1:$AN$1,),))/VLOOKUP(A76,Data!$A:$AN,MATCH(yoy!$N$1,Data!$A$1:$AN$1,),))</f>
        <v/>
      </c>
      <c r="O76" s="14">
        <f>IF(VLOOKUP(B76,Data!$A:$AN,MATCH(yoy!$O$1,Data!$A$1:$AN$1,),)=0,"#N/A",(VLOOKUP(B76,Data!$A:$AN,MATCH(yoy!$O$1,Data!$A$1:$AN$1,),)-VLOOKUP(A76,Data!$A:$AN,MATCH(yoy!$O$1,Data!$A$1:$AN$1,),))/VLOOKUP(A76,Data!$A:$AN,MATCH(yoy!$O$1,Data!$A$1:$AN$1,),))</f>
        <v/>
      </c>
      <c r="P76" s="14">
        <f>IF(VLOOKUP(B76,Data!$A:$AN,MATCH(yoy!$P$1,Data!$A$1:$AN$1,),)=0,"#N/A",(VLOOKUP(B76,Data!$A:$AN,MATCH(yoy!$P$1,Data!$A$1:$AN$1,),)-VLOOKUP(A76,Data!$A:$AN,MATCH(yoy!$P$1,Data!$A$1:$AN$1,),))/VLOOKUP(A76,Data!$A:$AN,MATCH(yoy!$P$1,Data!$A$1:$AN$1,),))</f>
        <v/>
      </c>
      <c r="Q76" s="14">
        <f>IF(VLOOKUP(B76,Data!$A:$AN,MATCH(yoy!$Q$1,Data!$A$1:$AN$1,),)=0,"#N/A",(VLOOKUP(B76,Data!$A:$AN,MATCH(yoy!$Q$1,Data!$A$1:$AN$1,),)-VLOOKUP(A76,Data!$A:$AN,MATCH(yoy!$Q$1,Data!$A$1:$AN$1,),))/VLOOKUP(A76,Data!$A:$AN,MATCH(yoy!$Q$1,Data!$A$1:$AN$1,),))</f>
        <v/>
      </c>
      <c r="R76" s="14">
        <f>IF(VLOOKUP(B76,Data!$A:$AN,MATCH(yoy!$R$1,Data!$A$1:$AN$1,),)=0,"#N/A",(VLOOKUP(B76,Data!$A:$AN,MATCH(yoy!$R$1,Data!$A$1:$AN$1,),)-VLOOKUP(A76,Data!$A:$AN,MATCH(yoy!$R$1,Data!$A$1:$AN$1,),))/VLOOKUP(A76,Data!$A:$AN,MATCH(yoy!$R$1,Data!$A$1:$AN$1,),))</f>
        <v/>
      </c>
      <c r="S76" s="14">
        <f>IF(VLOOKUP(B76,Data!$A:$AN,MATCH(yoy!$S$1,Data!$A$1:$AN$1,),)=0,"#N/A",(VLOOKUP(B76,Data!$A:$AN,MATCH(yoy!$S$1,Data!$A$1:$AN$1,),)-VLOOKUP(A76,Data!$A:$AN,MATCH(yoy!$S$1,Data!$A$1:$AN$1,),))/VLOOKUP(A76,Data!$A:$AN,MATCH(yoy!$S$1,Data!$A$1:$AN$1,),))</f>
        <v/>
      </c>
      <c r="T76" s="14">
        <f>IF(VLOOKUP(B76,Data!$A:$AN,MATCH(yoy!$T$1,Data!$A$1:$AN$1,),)=0,"#N/A",(VLOOKUP(B76,Data!$A:$AN,MATCH(yoy!$T$1,Data!$A$1:$AN$1,),)-VLOOKUP(A76,Data!$A:$AN,MATCH(yoy!$T$1,Data!$A$1:$AN$1,),))/VLOOKUP(A76,Data!$A:$AN,MATCH(yoy!$T$1,Data!$A$1:$AN$1,),))</f>
        <v/>
      </c>
      <c r="U76" s="14">
        <f>IF(VLOOKUP(B76,Data!$A:$AN,MATCH(yoy!$U$1,Data!$A$1:$AN$1,),)=0,"#N/A",(VLOOKUP(B76,Data!$A:$AN,MATCH(yoy!$U$1,Data!$A$1:$AN$1,),)-VLOOKUP(A76,Data!$A:$AN,MATCH(yoy!$U$1,Data!$A$1:$AN$1,),))/VLOOKUP(A76,Data!$A:$AN,MATCH(yoy!$U$1,Data!$A$1:$AN$1,),))</f>
        <v/>
      </c>
      <c r="V76" s="14">
        <f>IF(VLOOKUP(B76,Data!$A:$AN,MATCH(yoy!$V$1,Data!$A$1:$AN$1,),)=0,"#N/A",(VLOOKUP(B76,Data!$A:$AN,MATCH(yoy!$V$1,Data!$A$1:$AN$1,),)-VLOOKUP(A76,Data!$A:$AN,MATCH(yoy!$V$1,Data!$A$1:$AN$1,),))/VLOOKUP(A76,Data!$A:$AN,MATCH(yoy!$V$1,Data!$A$1:$AN$1,),))</f>
        <v/>
      </c>
      <c r="W76" s="14">
        <f>IF(VLOOKUP(B76,Data!$A:$AN,MATCH(yoy!$W$1,Data!$A$1:$AN$1,),)=0,"#N/A",(VLOOKUP(B76,Data!$A:$AN,MATCH(yoy!$W$1,Data!$A$1:$AN$1,),)-VLOOKUP(A76,Data!$A:$AN,MATCH(yoy!$W$1,Data!$A$1:$AN$1,),))/VLOOKUP(A76,Data!$A:$AN,MATCH(yoy!$W$1,Data!$A$1:$AN$1,),))</f>
        <v/>
      </c>
      <c r="X76" s="14">
        <f>IF(VLOOKUP(B76,Data!$A:$AN,MATCH(yoy!$X$1,Data!$A$1:$AN$1,),)=0,"#N/A",(VLOOKUP(B76,Data!$A:$AN,MATCH(yoy!$X$1,Data!$A$1:$AN$1,),)-VLOOKUP(A76,Data!$A:$AN,MATCH(yoy!$X$1,Data!$A$1:$AN$1,),))/VLOOKUP(A76,Data!$A:$AN,MATCH(yoy!$X$1,Data!$A$1:$AN$1,),))</f>
        <v/>
      </c>
      <c r="Y76" s="14">
        <f>IF(VLOOKUP(B76,Data!$A:$AN,MATCH(yoy!$Y$1,Data!$A$1:$AN$1,),)=0,"#N/A",(VLOOKUP(B76,Data!$A:$AN,MATCH(yoy!$Y$1,Data!$A$1:$AN$1,),)-VLOOKUP(A76,Data!$A:$AN,MATCH(yoy!$Y$1,Data!$A$1:$AN$1,),))/VLOOKUP(A76,Data!$A:$AN,MATCH(yoy!$Y$1,Data!$A$1:$AN$1,),))</f>
        <v/>
      </c>
      <c r="Z76" s="14">
        <f>IF(VLOOKUP(B76,Data!$A:$AN,MATCH(yoy!$Z$1,Data!$A$1:$AN$1,),)=0,"#N/A",(VLOOKUP(B76,Data!$A:$AN,MATCH(yoy!$Z$1,Data!$A$1:$AN$1,),)-VLOOKUP(A76,Data!$A:$AN,MATCH(yoy!$Z$1,Data!$A$1:$AN$1,),))/VLOOKUP(A76,Data!$A:$AN,MATCH(yoy!$Z$1,Data!$A$1:$AN$1,),))</f>
        <v/>
      </c>
      <c r="AA76" s="14">
        <f>IF(VLOOKUP(B76,Data!$A:$AN,MATCH(yoy!$AA$1,Data!$A$1:$AN$1,),)=0,"#N/A",(VLOOKUP(B76,Data!$A:$AN,MATCH(yoy!$AA$1,Data!$A$1:$AN$1,),)-VLOOKUP(A76,Data!$A:$AN,MATCH(yoy!$AA$1,Data!$A$1:$AN$1,),))/VLOOKUP(A76,Data!$A:$AN,MATCH(yoy!$AA$1,Data!$A$1:$AN$1,),))</f>
        <v/>
      </c>
    </row>
    <row r="77" customFormat="1" s="77">
      <c r="A77" s="20">
        <f>DATE(YEAR(B77)-1,MONTH(B77),DAY(B77))</f>
        <v/>
      </c>
      <c r="B77" s="12" t="n">
        <v>44197</v>
      </c>
      <c r="C77" s="14">
        <f>IF(VLOOKUP(B77,Data!$A:$AN,MATCH(yoy!$C$1,Data!$A$1:$AN$1,),)=0,"#N/A",(VLOOKUP(B77,Data!$A:$AN,MATCH(yoy!$C$1,Data!$A$1:$AN$1,),)-VLOOKUP(A77,Data!$A:$AN,MATCH(yoy!$C$1,Data!$A$1:$AN$1,),))/VLOOKUP(A77,Data!$A:$AN,MATCH(yoy!$C$1,Data!$A$1:$AN$1,),))</f>
        <v/>
      </c>
      <c r="D77" s="14">
        <f>IF(VLOOKUP(B77,Data!$A:$AN,MATCH(yoy!$D$1,Data!$A$1:$AN$1,),)=0,"#N/A",(VLOOKUP(B77,Data!$A:$AN,MATCH(yoy!$D$1,Data!$A$1:$AN$1,),)-VLOOKUP(A77,Data!$A:$AN,MATCH(yoy!$D$1,Data!$A$1:$AN$1,),))/VLOOKUP(A77,Data!$A:$AN,MATCH(yoy!$D$1,Data!$A$1:$AN$1,),))</f>
        <v/>
      </c>
      <c r="E77" s="14">
        <f>IF(VLOOKUP(B77,Data!$A:$AN,MATCH(yoy!$E$1,Data!$A$1:$AN$1,),)=0,"#N/A",(VLOOKUP(B77,Data!$A:$AN,MATCH(yoy!$E$1,Data!$A$1:$AN$1,),)-VLOOKUP(A77,Data!$A:$AN,MATCH(yoy!$E$1,Data!$A$1:$AN$1,),))/VLOOKUP(A77,Data!$A:$AN,MATCH(yoy!$E$1,Data!$A$1:$AN$1,),))</f>
        <v/>
      </c>
      <c r="F77" s="14">
        <f>IF(VLOOKUP(B77,Data!$A:$AN,MATCH(yoy!$F$1,Data!$A$1:$AN$1,),)=0,"#N/A",(VLOOKUP(B77,Data!$A:$AN,MATCH(yoy!$F$1,Data!$A$1:$AN$1,),)-VLOOKUP(A77,Data!$A:$AN,MATCH(yoy!$F$1,Data!$A$1:$AN$1,),))/VLOOKUP(A77,Data!$A:$AN,MATCH(yoy!$F$1,Data!$A$1:$AN$1,),))</f>
        <v/>
      </c>
      <c r="G77" s="14">
        <f>IF(VLOOKUP(B77,Data!$A:$AN,MATCH(yoy!$G$1,Data!$A$1:$AN$1,),)=0,"#N/A",(VLOOKUP(B77,Data!$A:$AN,MATCH(yoy!$G$1,Data!$A$1:$AN$1,),)-VLOOKUP(A77,Data!$A:$AN,MATCH(yoy!$G$1,Data!$A$1:$AN$1,),))/VLOOKUP(A77,Data!$A:$AN,MATCH(yoy!$G$1,Data!$A$1:$AN$1,),))</f>
        <v/>
      </c>
      <c r="H77" s="14">
        <f>IF(VLOOKUP(B77,Data!$A:$AN,MATCH(yoy!$H$1,Data!$A$1:$AN$1,),)=0,"#N/A",(VLOOKUP(B77,Data!$A:$AN,MATCH(yoy!$H$1,Data!$A$1:$AN$1,),)-VLOOKUP(A77,Data!$A:$AN,MATCH(yoy!$H$1,Data!$A$1:$AN$1,),))/VLOOKUP(A77,Data!$A:$AN,MATCH(yoy!$H$1,Data!$A$1:$AN$1,),))</f>
        <v/>
      </c>
      <c r="I77" s="14">
        <f>IF(VLOOKUP(B77,Data!$A:$AN,MATCH(yoy!$I$1,Data!$A$1:$AN$1,),)=0,"#N/A",(VLOOKUP(B77,Data!$A:$AN,MATCH(yoy!$I$1,Data!$A$1:$AN$1,),)-VLOOKUP(A77,Data!$A:$AN,MATCH(yoy!$I$1,Data!$A$1:$AN$1,),))/VLOOKUP(A77,Data!$A:$AN,MATCH(yoy!$I$1,Data!$A$1:$AN$1,),))</f>
        <v/>
      </c>
      <c r="J77" s="14">
        <f>IF(VLOOKUP(B77,Data!$A:$AN,MATCH(yoy!$J$1,Data!$A$1:$AN$1,),)=0,"#N/A",(VLOOKUP(B77,Data!$A:$AN,MATCH(yoy!$J$1,Data!$A$1:$AN$1,),)-VLOOKUP(A77,Data!$A:$AN,MATCH(yoy!$J$1,Data!$A$1:$AN$1,),))/VLOOKUP(A77,Data!$A:$AN,MATCH(yoy!$J$1,Data!$A$1:$AN$1,),))</f>
        <v/>
      </c>
      <c r="K77" s="14">
        <f>IF(VLOOKUP(B77,Data!$A:$AN,MATCH(yoy!$K$1,Data!$A$1:$AN$1,),)=0,"#N/A",(VLOOKUP(B77,Data!$A:$AN,MATCH(yoy!$K$1,Data!$A$1:$AN$1,),)-VLOOKUP(A77,Data!$A:$AN,MATCH(yoy!$K$1,Data!$A$1:$AN$1,),))/VLOOKUP(A77,Data!$A:$AN,MATCH(yoy!$K$1,Data!$A$1:$AN$1,),))</f>
        <v/>
      </c>
      <c r="L77" s="14">
        <f>IF(VLOOKUP(B77,Data!$A:$AN,MATCH(yoy!$L$1,Data!$A$1:$AN$1,),)=0,"#N/A",(VLOOKUP(B77,Data!$A:$AN,MATCH(yoy!$L$1,Data!$A$1:$AN$1,),)-VLOOKUP(A77,Data!$A:$AN,MATCH(yoy!$L$1,Data!$A$1:$AN$1,),))/VLOOKUP(A77,Data!$A:$AN,MATCH(yoy!$L$1,Data!$A$1:$AN$1,),))</f>
        <v/>
      </c>
      <c r="M77" s="14">
        <f>IF(VLOOKUP(B77,Data!$A:$AN,MATCH(yoy!$M$1,Data!$A$1:$AN$1,),)=0,"#N/A",(VLOOKUP(B77,Data!$A:$AN,MATCH(yoy!$M$1,Data!$A$1:$AN$1,),)-VLOOKUP(A77,Data!$A:$AN,MATCH(yoy!$M$1,Data!$A$1:$AN$1,),))/VLOOKUP(A77,Data!$A:$AN,MATCH(yoy!$M$1,Data!$A$1:$AN$1,),))</f>
        <v/>
      </c>
      <c r="N77" s="14">
        <f>IF(VLOOKUP(B77,Data!$A:$AN,MATCH(yoy!$N$1,Data!$A$1:$AN$1,),)=0,"#N/A",(VLOOKUP(B77,Data!$A:$AN,MATCH(yoy!$N$1,Data!$A$1:$AN$1,),)-VLOOKUP(A77,Data!$A:$AN,MATCH(yoy!$N$1,Data!$A$1:$AN$1,),))/VLOOKUP(A77,Data!$A:$AN,MATCH(yoy!$N$1,Data!$A$1:$AN$1,),))</f>
        <v/>
      </c>
      <c r="O77" s="14">
        <f>IF(VLOOKUP(B77,Data!$A:$AN,MATCH(yoy!$O$1,Data!$A$1:$AN$1,),)=0,"#N/A",(VLOOKUP(B77,Data!$A:$AN,MATCH(yoy!$O$1,Data!$A$1:$AN$1,),)-VLOOKUP(A77,Data!$A:$AN,MATCH(yoy!$O$1,Data!$A$1:$AN$1,),))/VLOOKUP(A77,Data!$A:$AN,MATCH(yoy!$O$1,Data!$A$1:$AN$1,),))</f>
        <v/>
      </c>
      <c r="P77" s="14">
        <f>IF(VLOOKUP(B77,Data!$A:$AN,MATCH(yoy!$P$1,Data!$A$1:$AN$1,),)=0,"#N/A",(VLOOKUP(B77,Data!$A:$AN,MATCH(yoy!$P$1,Data!$A$1:$AN$1,),)-VLOOKUP(A77,Data!$A:$AN,MATCH(yoy!$P$1,Data!$A$1:$AN$1,),))/VLOOKUP(A77,Data!$A:$AN,MATCH(yoy!$P$1,Data!$A$1:$AN$1,),))</f>
        <v/>
      </c>
      <c r="Q77" s="14">
        <f>IF(VLOOKUP(B77,Data!$A:$AN,MATCH(yoy!$Q$1,Data!$A$1:$AN$1,),)=0,"#N/A",(VLOOKUP(B77,Data!$A:$AN,MATCH(yoy!$Q$1,Data!$A$1:$AN$1,),)-VLOOKUP(A77,Data!$A:$AN,MATCH(yoy!$Q$1,Data!$A$1:$AN$1,),))/VLOOKUP(A77,Data!$A:$AN,MATCH(yoy!$Q$1,Data!$A$1:$AN$1,),))</f>
        <v/>
      </c>
      <c r="R77" s="14">
        <f>IF(VLOOKUP(B77,Data!$A:$AN,MATCH(yoy!$R$1,Data!$A$1:$AN$1,),)=0,"#N/A",(VLOOKUP(B77,Data!$A:$AN,MATCH(yoy!$R$1,Data!$A$1:$AN$1,),)-VLOOKUP(A77,Data!$A:$AN,MATCH(yoy!$R$1,Data!$A$1:$AN$1,),))/VLOOKUP(A77,Data!$A:$AN,MATCH(yoy!$R$1,Data!$A$1:$AN$1,),))</f>
        <v/>
      </c>
      <c r="S77" s="14">
        <f>IF(VLOOKUP(B77,Data!$A:$AN,MATCH(yoy!$S$1,Data!$A$1:$AN$1,),)=0,"#N/A",(VLOOKUP(B77,Data!$A:$AN,MATCH(yoy!$S$1,Data!$A$1:$AN$1,),)-VLOOKUP(A77,Data!$A:$AN,MATCH(yoy!$S$1,Data!$A$1:$AN$1,),))/VLOOKUP(A77,Data!$A:$AN,MATCH(yoy!$S$1,Data!$A$1:$AN$1,),))</f>
        <v/>
      </c>
      <c r="T77" s="14">
        <f>IF(VLOOKUP(B77,Data!$A:$AN,MATCH(yoy!$T$1,Data!$A$1:$AN$1,),)=0,"#N/A",(VLOOKUP(B77,Data!$A:$AN,MATCH(yoy!$T$1,Data!$A$1:$AN$1,),)-VLOOKUP(A77,Data!$A:$AN,MATCH(yoy!$T$1,Data!$A$1:$AN$1,),))/VLOOKUP(A77,Data!$A:$AN,MATCH(yoy!$T$1,Data!$A$1:$AN$1,),))</f>
        <v/>
      </c>
      <c r="U77" s="14">
        <f>IF(VLOOKUP(B77,Data!$A:$AN,MATCH(yoy!$U$1,Data!$A$1:$AN$1,),)=0,"#N/A",(VLOOKUP(B77,Data!$A:$AN,MATCH(yoy!$U$1,Data!$A$1:$AN$1,),)-VLOOKUP(A77,Data!$A:$AN,MATCH(yoy!$U$1,Data!$A$1:$AN$1,),))/VLOOKUP(A77,Data!$A:$AN,MATCH(yoy!$U$1,Data!$A$1:$AN$1,),))</f>
        <v/>
      </c>
      <c r="V77" s="14">
        <f>IF(VLOOKUP(B77,Data!$A:$AN,MATCH(yoy!$V$1,Data!$A$1:$AN$1,),)=0,"#N/A",(VLOOKUP(B77,Data!$A:$AN,MATCH(yoy!$V$1,Data!$A$1:$AN$1,),)-VLOOKUP(A77,Data!$A:$AN,MATCH(yoy!$V$1,Data!$A$1:$AN$1,),))/VLOOKUP(A77,Data!$A:$AN,MATCH(yoy!$V$1,Data!$A$1:$AN$1,),))</f>
        <v/>
      </c>
      <c r="W77" s="14">
        <f>IF(VLOOKUP(B77,Data!$A:$AN,MATCH(yoy!$W$1,Data!$A$1:$AN$1,),)=0,"#N/A",(VLOOKUP(B77,Data!$A:$AN,MATCH(yoy!$W$1,Data!$A$1:$AN$1,),)-VLOOKUP(A77,Data!$A:$AN,MATCH(yoy!$W$1,Data!$A$1:$AN$1,),))/VLOOKUP(A77,Data!$A:$AN,MATCH(yoy!$W$1,Data!$A$1:$AN$1,),))</f>
        <v/>
      </c>
      <c r="X77" s="14">
        <f>IF(VLOOKUP(B77,Data!$A:$AN,MATCH(yoy!$X$1,Data!$A$1:$AN$1,),)=0,"#N/A",(VLOOKUP(B77,Data!$A:$AN,MATCH(yoy!$X$1,Data!$A$1:$AN$1,),)-VLOOKUP(A77,Data!$A:$AN,MATCH(yoy!$X$1,Data!$A$1:$AN$1,),))/VLOOKUP(A77,Data!$A:$AN,MATCH(yoy!$X$1,Data!$A$1:$AN$1,),))</f>
        <v/>
      </c>
      <c r="Y77" s="14">
        <f>IF(VLOOKUP(B77,Data!$A:$AN,MATCH(yoy!$Y$1,Data!$A$1:$AN$1,),)=0,"#N/A",(VLOOKUP(B77,Data!$A:$AN,MATCH(yoy!$Y$1,Data!$A$1:$AN$1,),)-VLOOKUP(A77,Data!$A:$AN,MATCH(yoy!$Y$1,Data!$A$1:$AN$1,),))/VLOOKUP(A77,Data!$A:$AN,MATCH(yoy!$Y$1,Data!$A$1:$AN$1,),))</f>
        <v/>
      </c>
      <c r="Z77" s="14">
        <f>IF(VLOOKUP(B77,Data!$A:$AN,MATCH(yoy!$Z$1,Data!$A$1:$AN$1,),)=0,"#N/A",(VLOOKUP(B77,Data!$A:$AN,MATCH(yoy!$Z$1,Data!$A$1:$AN$1,),)-VLOOKUP(A77,Data!$A:$AN,MATCH(yoy!$Z$1,Data!$A$1:$AN$1,),))/VLOOKUP(A77,Data!$A:$AN,MATCH(yoy!$Z$1,Data!$A$1:$AN$1,),))</f>
        <v/>
      </c>
      <c r="AA77" s="14">
        <f>IF(VLOOKUP(B77,Data!$A:$AN,MATCH(yoy!$AA$1,Data!$A$1:$AN$1,),)=0,"#N/A",(VLOOKUP(B77,Data!$A:$AN,MATCH(yoy!$AA$1,Data!$A$1:$AN$1,),)-VLOOKUP(A77,Data!$A:$AN,MATCH(yoy!$AA$1,Data!$A$1:$AN$1,),))/VLOOKUP(A77,Data!$A:$AN,MATCH(yoy!$AA$1,Data!$A$1:$AN$1,),))</f>
        <v/>
      </c>
    </row>
    <row r="78" customFormat="1" s="77">
      <c r="A78" s="20">
        <f>DATE(YEAR(B78)-1,MONTH(B78),DAY(B78))</f>
        <v/>
      </c>
      <c r="B78" s="12" t="n">
        <v>44228</v>
      </c>
      <c r="C78" s="14">
        <f>IF(VLOOKUP(B78,Data!$A:$AN,MATCH(yoy!$C$1,Data!$A$1:$AN$1,),)=0,"#N/A",(VLOOKUP(B78,Data!$A:$AN,MATCH(yoy!$C$1,Data!$A$1:$AN$1,),)-VLOOKUP(A78,Data!$A:$AN,MATCH(yoy!$C$1,Data!$A$1:$AN$1,),))/VLOOKUP(A78,Data!$A:$AN,MATCH(yoy!$C$1,Data!$A$1:$AN$1,),))</f>
        <v/>
      </c>
      <c r="D78" s="14">
        <f>IF(VLOOKUP(B78,Data!$A:$AN,MATCH(yoy!$D$1,Data!$A$1:$AN$1,),)=0,"#N/A",(VLOOKUP(B78,Data!$A:$AN,MATCH(yoy!$D$1,Data!$A$1:$AN$1,),)-VLOOKUP(A78,Data!$A:$AN,MATCH(yoy!$D$1,Data!$A$1:$AN$1,),))/VLOOKUP(A78,Data!$A:$AN,MATCH(yoy!$D$1,Data!$A$1:$AN$1,),))</f>
        <v/>
      </c>
      <c r="E78" s="14">
        <f>IF(VLOOKUP(B78,Data!$A:$AN,MATCH(yoy!$E$1,Data!$A$1:$AN$1,),)=0,"#N/A",(VLOOKUP(B78,Data!$A:$AN,MATCH(yoy!$E$1,Data!$A$1:$AN$1,),)-VLOOKUP(A78,Data!$A:$AN,MATCH(yoy!$E$1,Data!$A$1:$AN$1,),))/VLOOKUP(A78,Data!$A:$AN,MATCH(yoy!$E$1,Data!$A$1:$AN$1,),))</f>
        <v/>
      </c>
      <c r="F78" s="14">
        <f>IF(VLOOKUP(B78,Data!$A:$AN,MATCH(yoy!$F$1,Data!$A$1:$AN$1,),)=0,"#N/A",(VLOOKUP(B78,Data!$A:$AN,MATCH(yoy!$F$1,Data!$A$1:$AN$1,),)-VLOOKUP(A78,Data!$A:$AN,MATCH(yoy!$F$1,Data!$A$1:$AN$1,),))/VLOOKUP(A78,Data!$A:$AN,MATCH(yoy!$F$1,Data!$A$1:$AN$1,),))</f>
        <v/>
      </c>
      <c r="G78" s="14">
        <f>IF(VLOOKUP(B78,Data!$A:$AN,MATCH(yoy!$G$1,Data!$A$1:$AN$1,),)=0,"#N/A",(VLOOKUP(B78,Data!$A:$AN,MATCH(yoy!$G$1,Data!$A$1:$AN$1,),)-VLOOKUP(A78,Data!$A:$AN,MATCH(yoy!$G$1,Data!$A$1:$AN$1,),))/VLOOKUP(A78,Data!$A:$AN,MATCH(yoy!$G$1,Data!$A$1:$AN$1,),))</f>
        <v/>
      </c>
      <c r="H78" s="14">
        <f>IF(VLOOKUP(B78,Data!$A:$AN,MATCH(yoy!$H$1,Data!$A$1:$AN$1,),)=0,"#N/A",(VLOOKUP(B78,Data!$A:$AN,MATCH(yoy!$H$1,Data!$A$1:$AN$1,),)-VLOOKUP(A78,Data!$A:$AN,MATCH(yoy!$H$1,Data!$A$1:$AN$1,),))/VLOOKUP(A78,Data!$A:$AN,MATCH(yoy!$H$1,Data!$A$1:$AN$1,),))</f>
        <v/>
      </c>
      <c r="I78" s="14">
        <f>IF(VLOOKUP(B78,Data!$A:$AN,MATCH(yoy!$I$1,Data!$A$1:$AN$1,),)=0,"#N/A",(VLOOKUP(B78,Data!$A:$AN,MATCH(yoy!$I$1,Data!$A$1:$AN$1,),)-VLOOKUP(A78,Data!$A:$AN,MATCH(yoy!$I$1,Data!$A$1:$AN$1,),))/VLOOKUP(A78,Data!$A:$AN,MATCH(yoy!$I$1,Data!$A$1:$AN$1,),))</f>
        <v/>
      </c>
      <c r="J78" s="14">
        <f>IF(VLOOKUP(B78,Data!$A:$AN,MATCH(yoy!$J$1,Data!$A$1:$AN$1,),)=0,"#N/A",(VLOOKUP(B78,Data!$A:$AN,MATCH(yoy!$J$1,Data!$A$1:$AN$1,),)-VLOOKUP(A78,Data!$A:$AN,MATCH(yoy!$J$1,Data!$A$1:$AN$1,),))/VLOOKUP(A78,Data!$A:$AN,MATCH(yoy!$J$1,Data!$A$1:$AN$1,),))</f>
        <v/>
      </c>
      <c r="K78" s="14">
        <f>IF(VLOOKUP(B78,Data!$A:$AN,MATCH(yoy!$K$1,Data!$A$1:$AN$1,),)=0,"#N/A",(VLOOKUP(B78,Data!$A:$AN,MATCH(yoy!$K$1,Data!$A$1:$AN$1,),)-VLOOKUP(A78,Data!$A:$AN,MATCH(yoy!$K$1,Data!$A$1:$AN$1,),))/VLOOKUP(A78,Data!$A:$AN,MATCH(yoy!$K$1,Data!$A$1:$AN$1,),))</f>
        <v/>
      </c>
      <c r="L78" s="14">
        <f>IF(VLOOKUP(B78,Data!$A:$AN,MATCH(yoy!$L$1,Data!$A$1:$AN$1,),)=0,"#N/A",(VLOOKUP(B78,Data!$A:$AN,MATCH(yoy!$L$1,Data!$A$1:$AN$1,),)-VLOOKUP(A78,Data!$A:$AN,MATCH(yoy!$L$1,Data!$A$1:$AN$1,),))/VLOOKUP(A78,Data!$A:$AN,MATCH(yoy!$L$1,Data!$A$1:$AN$1,),))</f>
        <v/>
      </c>
      <c r="M78" s="14">
        <f>IF(VLOOKUP(B78,Data!$A:$AN,MATCH(yoy!$M$1,Data!$A$1:$AN$1,),)=0,"#N/A",(VLOOKUP(B78,Data!$A:$AN,MATCH(yoy!$M$1,Data!$A$1:$AN$1,),)-VLOOKUP(A78,Data!$A:$AN,MATCH(yoy!$M$1,Data!$A$1:$AN$1,),))/VLOOKUP(A78,Data!$A:$AN,MATCH(yoy!$M$1,Data!$A$1:$AN$1,),))</f>
        <v/>
      </c>
      <c r="N78" s="14">
        <f>IF(VLOOKUP(B78,Data!$A:$AN,MATCH(yoy!$N$1,Data!$A$1:$AN$1,),)=0,"#N/A",(VLOOKUP(B78,Data!$A:$AN,MATCH(yoy!$N$1,Data!$A$1:$AN$1,),)-VLOOKUP(A78,Data!$A:$AN,MATCH(yoy!$N$1,Data!$A$1:$AN$1,),))/VLOOKUP(A78,Data!$A:$AN,MATCH(yoy!$N$1,Data!$A$1:$AN$1,),))</f>
        <v/>
      </c>
      <c r="O78" s="14">
        <f>IF(VLOOKUP(B78,Data!$A:$AN,MATCH(yoy!$O$1,Data!$A$1:$AN$1,),)=0,"#N/A",(VLOOKUP(B78,Data!$A:$AN,MATCH(yoy!$O$1,Data!$A$1:$AN$1,),)-VLOOKUP(A78,Data!$A:$AN,MATCH(yoy!$O$1,Data!$A$1:$AN$1,),))/VLOOKUP(A78,Data!$A:$AN,MATCH(yoy!$O$1,Data!$A$1:$AN$1,),))</f>
        <v/>
      </c>
      <c r="P78" s="14">
        <f>IF(VLOOKUP(B78,Data!$A:$AN,MATCH(yoy!$P$1,Data!$A$1:$AN$1,),)=0,"#N/A",(VLOOKUP(B78,Data!$A:$AN,MATCH(yoy!$P$1,Data!$A$1:$AN$1,),)-VLOOKUP(A78,Data!$A:$AN,MATCH(yoy!$P$1,Data!$A$1:$AN$1,),))/VLOOKUP(A78,Data!$A:$AN,MATCH(yoy!$P$1,Data!$A$1:$AN$1,),))</f>
        <v/>
      </c>
      <c r="Q78" s="14">
        <f>IF(VLOOKUP(B78,Data!$A:$AN,MATCH(yoy!$Q$1,Data!$A$1:$AN$1,),)=0,"#N/A",(VLOOKUP(B78,Data!$A:$AN,MATCH(yoy!$Q$1,Data!$A$1:$AN$1,),)-VLOOKUP(A78,Data!$A:$AN,MATCH(yoy!$Q$1,Data!$A$1:$AN$1,),))/VLOOKUP(A78,Data!$A:$AN,MATCH(yoy!$Q$1,Data!$A$1:$AN$1,),))</f>
        <v/>
      </c>
      <c r="R78" s="14">
        <f>IF(VLOOKUP(B78,Data!$A:$AN,MATCH(yoy!$R$1,Data!$A$1:$AN$1,),)=0,"#N/A",(VLOOKUP(B78,Data!$A:$AN,MATCH(yoy!$R$1,Data!$A$1:$AN$1,),)-VLOOKUP(A78,Data!$A:$AN,MATCH(yoy!$R$1,Data!$A$1:$AN$1,),))/VLOOKUP(A78,Data!$A:$AN,MATCH(yoy!$R$1,Data!$A$1:$AN$1,),))</f>
        <v/>
      </c>
      <c r="S78" s="14">
        <f>IF(VLOOKUP(B78,Data!$A:$AN,MATCH(yoy!$S$1,Data!$A$1:$AN$1,),)=0,"#N/A",(VLOOKUP(B78,Data!$A:$AN,MATCH(yoy!$S$1,Data!$A$1:$AN$1,),)-VLOOKUP(A78,Data!$A:$AN,MATCH(yoy!$S$1,Data!$A$1:$AN$1,),))/VLOOKUP(A78,Data!$A:$AN,MATCH(yoy!$S$1,Data!$A$1:$AN$1,),))</f>
        <v/>
      </c>
      <c r="T78" s="14">
        <f>IF(VLOOKUP(B78,Data!$A:$AN,MATCH(yoy!$T$1,Data!$A$1:$AN$1,),)=0,"#N/A",(VLOOKUP(B78,Data!$A:$AN,MATCH(yoy!$T$1,Data!$A$1:$AN$1,),)-VLOOKUP(A78,Data!$A:$AN,MATCH(yoy!$T$1,Data!$A$1:$AN$1,),))/VLOOKUP(A78,Data!$A:$AN,MATCH(yoy!$T$1,Data!$A$1:$AN$1,),))</f>
        <v/>
      </c>
      <c r="U78" s="14">
        <f>IF(VLOOKUP(B78,Data!$A:$AN,MATCH(yoy!$U$1,Data!$A$1:$AN$1,),)=0,"#N/A",(VLOOKUP(B78,Data!$A:$AN,MATCH(yoy!$U$1,Data!$A$1:$AN$1,),)-VLOOKUP(A78,Data!$A:$AN,MATCH(yoy!$U$1,Data!$A$1:$AN$1,),))/VLOOKUP(A78,Data!$A:$AN,MATCH(yoy!$U$1,Data!$A$1:$AN$1,),))</f>
        <v/>
      </c>
      <c r="V78" s="14">
        <f>IF(VLOOKUP(B78,Data!$A:$AN,MATCH(yoy!$V$1,Data!$A$1:$AN$1,),)=0,"#N/A",(VLOOKUP(B78,Data!$A:$AN,MATCH(yoy!$V$1,Data!$A$1:$AN$1,),)-VLOOKUP(A78,Data!$A:$AN,MATCH(yoy!$V$1,Data!$A$1:$AN$1,),))/VLOOKUP(A78,Data!$A:$AN,MATCH(yoy!$V$1,Data!$A$1:$AN$1,),))</f>
        <v/>
      </c>
      <c r="W78" s="14">
        <f>IF(VLOOKUP(B78,Data!$A:$AN,MATCH(yoy!$W$1,Data!$A$1:$AN$1,),)=0,"#N/A",(VLOOKUP(B78,Data!$A:$AN,MATCH(yoy!$W$1,Data!$A$1:$AN$1,),)-VLOOKUP(A78,Data!$A:$AN,MATCH(yoy!$W$1,Data!$A$1:$AN$1,),))/VLOOKUP(A78,Data!$A:$AN,MATCH(yoy!$W$1,Data!$A$1:$AN$1,),))</f>
        <v/>
      </c>
      <c r="X78" s="14">
        <f>IF(VLOOKUP(B78,Data!$A:$AN,MATCH(yoy!$X$1,Data!$A$1:$AN$1,),)=0,"#N/A",(VLOOKUP(B78,Data!$A:$AN,MATCH(yoy!$X$1,Data!$A$1:$AN$1,),)-VLOOKUP(A78,Data!$A:$AN,MATCH(yoy!$X$1,Data!$A$1:$AN$1,),))/VLOOKUP(A78,Data!$A:$AN,MATCH(yoy!$X$1,Data!$A$1:$AN$1,),))</f>
        <v/>
      </c>
      <c r="Y78" s="14">
        <f>IF(VLOOKUP(B78,Data!$A:$AN,MATCH(yoy!$Y$1,Data!$A$1:$AN$1,),)=0,"#N/A",(VLOOKUP(B78,Data!$A:$AN,MATCH(yoy!$Y$1,Data!$A$1:$AN$1,),)-VLOOKUP(A78,Data!$A:$AN,MATCH(yoy!$Y$1,Data!$A$1:$AN$1,),))/VLOOKUP(A78,Data!$A:$AN,MATCH(yoy!$Y$1,Data!$A$1:$AN$1,),))</f>
        <v/>
      </c>
      <c r="Z78" s="14">
        <f>IF(VLOOKUP(B78,Data!$A:$AN,MATCH(yoy!$Z$1,Data!$A$1:$AN$1,),)=0,"#N/A",(VLOOKUP(B78,Data!$A:$AN,MATCH(yoy!$Z$1,Data!$A$1:$AN$1,),)-VLOOKUP(A78,Data!$A:$AN,MATCH(yoy!$Z$1,Data!$A$1:$AN$1,),))/VLOOKUP(A78,Data!$A:$AN,MATCH(yoy!$Z$1,Data!$A$1:$AN$1,),))</f>
        <v/>
      </c>
      <c r="AA78" s="14">
        <f>IF(VLOOKUP(B78,Data!$A:$AN,MATCH(yoy!$AA$1,Data!$A$1:$AN$1,),)=0,"#N/A",(VLOOKUP(B78,Data!$A:$AN,MATCH(yoy!$AA$1,Data!$A$1:$AN$1,),)-VLOOKUP(A78,Data!$A:$AN,MATCH(yoy!$AA$1,Data!$A$1:$AN$1,),))/VLOOKUP(A78,Data!$A:$AN,MATCH(yoy!$AA$1,Data!$A$1:$AN$1,),))</f>
        <v/>
      </c>
    </row>
    <row r="79" customFormat="1" s="77">
      <c r="A79" s="20">
        <f>DATE(YEAR(B79)-1,MONTH(B79),DAY(B79))</f>
        <v/>
      </c>
      <c r="B79" s="12" t="n">
        <v>44256</v>
      </c>
      <c r="C79" s="14">
        <f>IF(VLOOKUP(B79,Data!$A:$AN,MATCH(yoy!$C$1,Data!$A$1:$AN$1,),)=0,"#N/A",(VLOOKUP(B79,Data!$A:$AN,MATCH(yoy!$C$1,Data!$A$1:$AN$1,),)-VLOOKUP(A79,Data!$A:$AN,MATCH(yoy!$C$1,Data!$A$1:$AN$1,),))/VLOOKUP(A79,Data!$A:$AN,MATCH(yoy!$C$1,Data!$A$1:$AN$1,),))</f>
        <v/>
      </c>
      <c r="D79" s="14">
        <f>IF(VLOOKUP(B79,Data!$A:$AN,MATCH(yoy!$D$1,Data!$A$1:$AN$1,),)=0,"#N/A",(VLOOKUP(B79,Data!$A:$AN,MATCH(yoy!$D$1,Data!$A$1:$AN$1,),)-VLOOKUP(A79,Data!$A:$AN,MATCH(yoy!$D$1,Data!$A$1:$AN$1,),))/VLOOKUP(A79,Data!$A:$AN,MATCH(yoy!$D$1,Data!$A$1:$AN$1,),))</f>
        <v/>
      </c>
      <c r="E79" s="14">
        <f>IF(VLOOKUP(B79,Data!$A:$AN,MATCH(yoy!$E$1,Data!$A$1:$AN$1,),)=0,"#N/A",(VLOOKUP(B79,Data!$A:$AN,MATCH(yoy!$E$1,Data!$A$1:$AN$1,),)-VLOOKUP(A79,Data!$A:$AN,MATCH(yoy!$E$1,Data!$A$1:$AN$1,),))/VLOOKUP(A79,Data!$A:$AN,MATCH(yoy!$E$1,Data!$A$1:$AN$1,),))</f>
        <v/>
      </c>
      <c r="F79" s="14">
        <f>IF(VLOOKUP(B79,Data!$A:$AN,MATCH(yoy!$F$1,Data!$A$1:$AN$1,),)=0,"#N/A",(VLOOKUP(B79,Data!$A:$AN,MATCH(yoy!$F$1,Data!$A$1:$AN$1,),)-VLOOKUP(A79,Data!$A:$AN,MATCH(yoy!$F$1,Data!$A$1:$AN$1,),))/VLOOKUP(A79,Data!$A:$AN,MATCH(yoy!$F$1,Data!$A$1:$AN$1,),))</f>
        <v/>
      </c>
      <c r="G79" s="14">
        <f>IF(VLOOKUP(B79,Data!$A:$AN,MATCH(yoy!$G$1,Data!$A$1:$AN$1,),)=0,"#N/A",(VLOOKUP(B79,Data!$A:$AN,MATCH(yoy!$G$1,Data!$A$1:$AN$1,),)-VLOOKUP(A79,Data!$A:$AN,MATCH(yoy!$G$1,Data!$A$1:$AN$1,),))/VLOOKUP(A79,Data!$A:$AN,MATCH(yoy!$G$1,Data!$A$1:$AN$1,),))</f>
        <v/>
      </c>
      <c r="H79" s="14">
        <f>IF(VLOOKUP(B79,Data!$A:$AN,MATCH(yoy!$H$1,Data!$A$1:$AN$1,),)=0,"#N/A",(VLOOKUP(B79,Data!$A:$AN,MATCH(yoy!$H$1,Data!$A$1:$AN$1,),)-VLOOKUP(A79,Data!$A:$AN,MATCH(yoy!$H$1,Data!$A$1:$AN$1,),))/VLOOKUP(A79,Data!$A:$AN,MATCH(yoy!$H$1,Data!$A$1:$AN$1,),))</f>
        <v/>
      </c>
      <c r="I79" s="14">
        <f>IF(VLOOKUP(B79,Data!$A:$AN,MATCH(yoy!$I$1,Data!$A$1:$AN$1,),)=0,"#N/A",(VLOOKUP(B79,Data!$A:$AN,MATCH(yoy!$I$1,Data!$A$1:$AN$1,),)-VLOOKUP(A79,Data!$A:$AN,MATCH(yoy!$I$1,Data!$A$1:$AN$1,),))/VLOOKUP(A79,Data!$A:$AN,MATCH(yoy!$I$1,Data!$A$1:$AN$1,),))</f>
        <v/>
      </c>
      <c r="J79" s="14">
        <f>IF(VLOOKUP(B79,Data!$A:$AN,MATCH(yoy!$J$1,Data!$A$1:$AN$1,),)=0,"#N/A",(VLOOKUP(B79,Data!$A:$AN,MATCH(yoy!$J$1,Data!$A$1:$AN$1,),)-VLOOKUP(A79,Data!$A:$AN,MATCH(yoy!$J$1,Data!$A$1:$AN$1,),))/VLOOKUP(A79,Data!$A:$AN,MATCH(yoy!$J$1,Data!$A$1:$AN$1,),))</f>
        <v/>
      </c>
      <c r="K79" s="14">
        <f>IF(VLOOKUP(B79,Data!$A:$AN,MATCH(yoy!$K$1,Data!$A$1:$AN$1,),)=0,"#N/A",(VLOOKUP(B79,Data!$A:$AN,MATCH(yoy!$K$1,Data!$A$1:$AN$1,),)-VLOOKUP(A79,Data!$A:$AN,MATCH(yoy!$K$1,Data!$A$1:$AN$1,),))/VLOOKUP(A79,Data!$A:$AN,MATCH(yoy!$K$1,Data!$A$1:$AN$1,),))</f>
        <v/>
      </c>
      <c r="L79" s="14">
        <f>IF(VLOOKUP(B79,Data!$A:$AN,MATCH(yoy!$L$1,Data!$A$1:$AN$1,),)=0,"#N/A",(VLOOKUP(B79,Data!$A:$AN,MATCH(yoy!$L$1,Data!$A$1:$AN$1,),)-VLOOKUP(A79,Data!$A:$AN,MATCH(yoy!$L$1,Data!$A$1:$AN$1,),))/VLOOKUP(A79,Data!$A:$AN,MATCH(yoy!$L$1,Data!$A$1:$AN$1,),))</f>
        <v/>
      </c>
      <c r="M79" s="14">
        <f>IF(VLOOKUP(B79,Data!$A:$AN,MATCH(yoy!$M$1,Data!$A$1:$AN$1,),)=0,"#N/A",(VLOOKUP(B79,Data!$A:$AN,MATCH(yoy!$M$1,Data!$A$1:$AN$1,),)-VLOOKUP(A79,Data!$A:$AN,MATCH(yoy!$M$1,Data!$A$1:$AN$1,),))/VLOOKUP(A79,Data!$A:$AN,MATCH(yoy!$M$1,Data!$A$1:$AN$1,),))</f>
        <v/>
      </c>
      <c r="N79" s="14">
        <f>IF(VLOOKUP(B79,Data!$A:$AN,MATCH(yoy!$N$1,Data!$A$1:$AN$1,),)=0,"#N/A",(VLOOKUP(B79,Data!$A:$AN,MATCH(yoy!$N$1,Data!$A$1:$AN$1,),)-VLOOKUP(A79,Data!$A:$AN,MATCH(yoy!$N$1,Data!$A$1:$AN$1,),))/VLOOKUP(A79,Data!$A:$AN,MATCH(yoy!$N$1,Data!$A$1:$AN$1,),))</f>
        <v/>
      </c>
      <c r="O79" s="14">
        <f>IF(VLOOKUP(B79,Data!$A:$AN,MATCH(yoy!$O$1,Data!$A$1:$AN$1,),)=0,"#N/A",(VLOOKUP(B79,Data!$A:$AN,MATCH(yoy!$O$1,Data!$A$1:$AN$1,),)-VLOOKUP(A79,Data!$A:$AN,MATCH(yoy!$O$1,Data!$A$1:$AN$1,),))/VLOOKUP(A79,Data!$A:$AN,MATCH(yoy!$O$1,Data!$A$1:$AN$1,),))</f>
        <v/>
      </c>
      <c r="P79" s="14">
        <f>IF(VLOOKUP(B79,Data!$A:$AN,MATCH(yoy!$P$1,Data!$A$1:$AN$1,),)=0,"#N/A",(VLOOKUP(B79,Data!$A:$AN,MATCH(yoy!$P$1,Data!$A$1:$AN$1,),)-VLOOKUP(A79,Data!$A:$AN,MATCH(yoy!$P$1,Data!$A$1:$AN$1,),))/VLOOKUP(A79,Data!$A:$AN,MATCH(yoy!$P$1,Data!$A$1:$AN$1,),))</f>
        <v/>
      </c>
      <c r="Q79" s="14">
        <f>IF(VLOOKUP(B79,Data!$A:$AN,MATCH(yoy!$Q$1,Data!$A$1:$AN$1,),)=0,"#N/A",(VLOOKUP(B79,Data!$A:$AN,MATCH(yoy!$Q$1,Data!$A$1:$AN$1,),)-VLOOKUP(A79,Data!$A:$AN,MATCH(yoy!$Q$1,Data!$A$1:$AN$1,),))/VLOOKUP(A79,Data!$A:$AN,MATCH(yoy!$Q$1,Data!$A$1:$AN$1,),))</f>
        <v/>
      </c>
      <c r="R79" s="14">
        <f>IF(VLOOKUP(B79,Data!$A:$AN,MATCH(yoy!$R$1,Data!$A$1:$AN$1,),)=0,"#N/A",(VLOOKUP(B79,Data!$A:$AN,MATCH(yoy!$R$1,Data!$A$1:$AN$1,),)-VLOOKUP(A79,Data!$A:$AN,MATCH(yoy!$R$1,Data!$A$1:$AN$1,),))/VLOOKUP(A79,Data!$A:$AN,MATCH(yoy!$R$1,Data!$A$1:$AN$1,),))</f>
        <v/>
      </c>
      <c r="S79" s="14">
        <f>IF(VLOOKUP(B79,Data!$A:$AN,MATCH(yoy!$S$1,Data!$A$1:$AN$1,),)=0,"#N/A",(VLOOKUP(B79,Data!$A:$AN,MATCH(yoy!$S$1,Data!$A$1:$AN$1,),)-VLOOKUP(A79,Data!$A:$AN,MATCH(yoy!$S$1,Data!$A$1:$AN$1,),))/VLOOKUP(A79,Data!$A:$AN,MATCH(yoy!$S$1,Data!$A$1:$AN$1,),))</f>
        <v/>
      </c>
      <c r="T79" s="14">
        <f>IF(VLOOKUP(B79,Data!$A:$AN,MATCH(yoy!$T$1,Data!$A$1:$AN$1,),)=0,"#N/A",(VLOOKUP(B79,Data!$A:$AN,MATCH(yoy!$T$1,Data!$A$1:$AN$1,),)-VLOOKUP(A79,Data!$A:$AN,MATCH(yoy!$T$1,Data!$A$1:$AN$1,),))/VLOOKUP(A79,Data!$A:$AN,MATCH(yoy!$T$1,Data!$A$1:$AN$1,),))</f>
        <v/>
      </c>
      <c r="U79" s="14">
        <f>IF(VLOOKUP(B79,Data!$A:$AN,MATCH(yoy!$U$1,Data!$A$1:$AN$1,),)=0,"#N/A",(VLOOKUP(B79,Data!$A:$AN,MATCH(yoy!$U$1,Data!$A$1:$AN$1,),)-VLOOKUP(A79,Data!$A:$AN,MATCH(yoy!$U$1,Data!$A$1:$AN$1,),))/VLOOKUP(A79,Data!$A:$AN,MATCH(yoy!$U$1,Data!$A$1:$AN$1,),))</f>
        <v/>
      </c>
      <c r="V79" s="14">
        <f>IF(VLOOKUP(B79,Data!$A:$AN,MATCH(yoy!$V$1,Data!$A$1:$AN$1,),)=0,"#N/A",(VLOOKUP(B79,Data!$A:$AN,MATCH(yoy!$V$1,Data!$A$1:$AN$1,),)-VLOOKUP(A79,Data!$A:$AN,MATCH(yoy!$V$1,Data!$A$1:$AN$1,),))/VLOOKUP(A79,Data!$A:$AN,MATCH(yoy!$V$1,Data!$A$1:$AN$1,),))</f>
        <v/>
      </c>
      <c r="W79" s="14">
        <f>IF(VLOOKUP(B79,Data!$A:$AN,MATCH(yoy!$W$1,Data!$A$1:$AN$1,),)=0,"#N/A",(VLOOKUP(B79,Data!$A:$AN,MATCH(yoy!$W$1,Data!$A$1:$AN$1,),)-VLOOKUP(A79,Data!$A:$AN,MATCH(yoy!$W$1,Data!$A$1:$AN$1,),))/VLOOKUP(A79,Data!$A:$AN,MATCH(yoy!$W$1,Data!$A$1:$AN$1,),))</f>
        <v/>
      </c>
      <c r="X79" s="14">
        <f>IF(VLOOKUP(B79,Data!$A:$AN,MATCH(yoy!$X$1,Data!$A$1:$AN$1,),)=0,"#N/A",(VLOOKUP(B79,Data!$A:$AN,MATCH(yoy!$X$1,Data!$A$1:$AN$1,),)-VLOOKUP(A79,Data!$A:$AN,MATCH(yoy!$X$1,Data!$A$1:$AN$1,),))/VLOOKUP(A79,Data!$A:$AN,MATCH(yoy!$X$1,Data!$A$1:$AN$1,),))</f>
        <v/>
      </c>
      <c r="Y79" s="14">
        <f>IF(VLOOKUP(B79,Data!$A:$AN,MATCH(yoy!$Y$1,Data!$A$1:$AN$1,),)=0,"#N/A",(VLOOKUP(B79,Data!$A:$AN,MATCH(yoy!$Y$1,Data!$A$1:$AN$1,),)-VLOOKUP(A79,Data!$A:$AN,MATCH(yoy!$Y$1,Data!$A$1:$AN$1,),))/VLOOKUP(A79,Data!$A:$AN,MATCH(yoy!$Y$1,Data!$A$1:$AN$1,),))</f>
        <v/>
      </c>
      <c r="Z79" s="14">
        <f>IF(VLOOKUP(B79,Data!$A:$AN,MATCH(yoy!$Z$1,Data!$A$1:$AN$1,),)=0,"#N/A",(VLOOKUP(B79,Data!$A:$AN,MATCH(yoy!$Z$1,Data!$A$1:$AN$1,),)-VLOOKUP(A79,Data!$A:$AN,MATCH(yoy!$Z$1,Data!$A$1:$AN$1,),))/VLOOKUP(A79,Data!$A:$AN,MATCH(yoy!$Z$1,Data!$A$1:$AN$1,),))</f>
        <v/>
      </c>
      <c r="AA79" s="14">
        <f>IF(VLOOKUP(B79,Data!$A:$AN,MATCH(yoy!$AA$1,Data!$A$1:$AN$1,),)=0,"#N/A",(VLOOKUP(B79,Data!$A:$AN,MATCH(yoy!$AA$1,Data!$A$1:$AN$1,),)-VLOOKUP(A79,Data!$A:$AN,MATCH(yoy!$AA$1,Data!$A$1:$AN$1,),))/VLOOKUP(A79,Data!$A:$AN,MATCH(yoy!$AA$1,Data!$A$1:$AN$1,),))</f>
        <v/>
      </c>
    </row>
    <row r="80" customFormat="1" s="77">
      <c r="A80" s="20">
        <f>DATE(YEAR(B80)-1,MONTH(B80),DAY(B80))</f>
        <v/>
      </c>
      <c r="B80" s="12" t="n">
        <v>44287</v>
      </c>
      <c r="C80" s="14">
        <f>IF(VLOOKUP(B80,Data!$A:$AN,MATCH(yoy!$C$1,Data!$A$1:$AN$1,),)=0,"#N/A",(VLOOKUP(B80,Data!$A:$AN,MATCH(yoy!$C$1,Data!$A$1:$AN$1,),)-VLOOKUP(A80,Data!$A:$AN,MATCH(yoy!$C$1,Data!$A$1:$AN$1,),))/VLOOKUP(A80,Data!$A:$AN,MATCH(yoy!$C$1,Data!$A$1:$AN$1,),))</f>
        <v/>
      </c>
      <c r="D80" s="14">
        <f>IF(VLOOKUP(B80,Data!$A:$AN,MATCH(yoy!$D$1,Data!$A$1:$AN$1,),)=0,"#N/A",(VLOOKUP(B80,Data!$A:$AN,MATCH(yoy!$D$1,Data!$A$1:$AN$1,),)-VLOOKUP(A80,Data!$A:$AN,MATCH(yoy!$D$1,Data!$A$1:$AN$1,),))/VLOOKUP(A80,Data!$A:$AN,MATCH(yoy!$D$1,Data!$A$1:$AN$1,),))</f>
        <v/>
      </c>
      <c r="E80" s="14">
        <f>IF(VLOOKUP(B80,Data!$A:$AN,MATCH(yoy!$E$1,Data!$A$1:$AN$1,),)=0,"#N/A",(VLOOKUP(B80,Data!$A:$AN,MATCH(yoy!$E$1,Data!$A$1:$AN$1,),)-VLOOKUP(A80,Data!$A:$AN,MATCH(yoy!$E$1,Data!$A$1:$AN$1,),))/VLOOKUP(A80,Data!$A:$AN,MATCH(yoy!$E$1,Data!$A$1:$AN$1,),))</f>
        <v/>
      </c>
      <c r="F80" s="14">
        <f>IF(VLOOKUP(B80,Data!$A:$AN,MATCH(yoy!$F$1,Data!$A$1:$AN$1,),)=0,"#N/A",(VLOOKUP(B80,Data!$A:$AN,MATCH(yoy!$F$1,Data!$A$1:$AN$1,),)-VLOOKUP(A80,Data!$A:$AN,MATCH(yoy!$F$1,Data!$A$1:$AN$1,),))/VLOOKUP(A80,Data!$A:$AN,MATCH(yoy!$F$1,Data!$A$1:$AN$1,),))</f>
        <v/>
      </c>
      <c r="G80" s="14">
        <f>IF(VLOOKUP(B80,Data!$A:$AN,MATCH(yoy!$G$1,Data!$A$1:$AN$1,),)=0,"#N/A",(VLOOKUP(B80,Data!$A:$AN,MATCH(yoy!$G$1,Data!$A$1:$AN$1,),)-VLOOKUP(A80,Data!$A:$AN,MATCH(yoy!$G$1,Data!$A$1:$AN$1,),))/VLOOKUP(A80,Data!$A:$AN,MATCH(yoy!$G$1,Data!$A$1:$AN$1,),))</f>
        <v/>
      </c>
      <c r="H80" s="14">
        <f>IF(VLOOKUP(B80,Data!$A:$AN,MATCH(yoy!$H$1,Data!$A$1:$AN$1,),)=0,"#N/A",(VLOOKUP(B80,Data!$A:$AN,MATCH(yoy!$H$1,Data!$A$1:$AN$1,),)-VLOOKUP(A80,Data!$A:$AN,MATCH(yoy!$H$1,Data!$A$1:$AN$1,),))/VLOOKUP(A80,Data!$A:$AN,MATCH(yoy!$H$1,Data!$A$1:$AN$1,),))</f>
        <v/>
      </c>
      <c r="I80" s="14">
        <f>IF(VLOOKUP(B80,Data!$A:$AN,MATCH(yoy!$I$1,Data!$A$1:$AN$1,),)=0,"#N/A",(VLOOKUP(B80,Data!$A:$AN,MATCH(yoy!$I$1,Data!$A$1:$AN$1,),)-VLOOKUP(A80,Data!$A:$AN,MATCH(yoy!$I$1,Data!$A$1:$AN$1,),))/VLOOKUP(A80,Data!$A:$AN,MATCH(yoy!$I$1,Data!$A$1:$AN$1,),))</f>
        <v/>
      </c>
      <c r="J80" s="14">
        <f>IF(VLOOKUP(B80,Data!$A:$AN,MATCH(yoy!$J$1,Data!$A$1:$AN$1,),)=0,"#N/A",(VLOOKUP(B80,Data!$A:$AN,MATCH(yoy!$J$1,Data!$A$1:$AN$1,),)-VLOOKUP(A80,Data!$A:$AN,MATCH(yoy!$J$1,Data!$A$1:$AN$1,),))/VLOOKUP(A80,Data!$A:$AN,MATCH(yoy!$J$1,Data!$A$1:$AN$1,),))</f>
        <v/>
      </c>
      <c r="K80" s="14">
        <f>IF(VLOOKUP(B80,Data!$A:$AN,MATCH(yoy!$K$1,Data!$A$1:$AN$1,),)=0,"#N/A",(VLOOKUP(B80,Data!$A:$AN,MATCH(yoy!$K$1,Data!$A$1:$AN$1,),)-VLOOKUP(A80,Data!$A:$AN,MATCH(yoy!$K$1,Data!$A$1:$AN$1,),))/VLOOKUP(A80,Data!$A:$AN,MATCH(yoy!$K$1,Data!$A$1:$AN$1,),))</f>
        <v/>
      </c>
      <c r="L80" s="14">
        <f>IF(VLOOKUP(B80,Data!$A:$AN,MATCH(yoy!$L$1,Data!$A$1:$AN$1,),)=0,"#N/A",(VLOOKUP(B80,Data!$A:$AN,MATCH(yoy!$L$1,Data!$A$1:$AN$1,),)-VLOOKUP(A80,Data!$A:$AN,MATCH(yoy!$L$1,Data!$A$1:$AN$1,),))/VLOOKUP(A80,Data!$A:$AN,MATCH(yoy!$L$1,Data!$A$1:$AN$1,),))</f>
        <v/>
      </c>
      <c r="M80" s="14">
        <f>IF(VLOOKUP(B80,Data!$A:$AN,MATCH(yoy!$M$1,Data!$A$1:$AN$1,),)=0,"#N/A",(VLOOKUP(B80,Data!$A:$AN,MATCH(yoy!$M$1,Data!$A$1:$AN$1,),)-VLOOKUP(A80,Data!$A:$AN,MATCH(yoy!$M$1,Data!$A$1:$AN$1,),))/VLOOKUP(A80,Data!$A:$AN,MATCH(yoy!$M$1,Data!$A$1:$AN$1,),))</f>
        <v/>
      </c>
      <c r="N80" s="14">
        <f>IF(VLOOKUP(B80,Data!$A:$AN,MATCH(yoy!$N$1,Data!$A$1:$AN$1,),)=0,"#N/A",(VLOOKUP(B80,Data!$A:$AN,MATCH(yoy!$N$1,Data!$A$1:$AN$1,),)-VLOOKUP(A80,Data!$A:$AN,MATCH(yoy!$N$1,Data!$A$1:$AN$1,),))/VLOOKUP(A80,Data!$A:$AN,MATCH(yoy!$N$1,Data!$A$1:$AN$1,),))</f>
        <v/>
      </c>
      <c r="O80" s="14">
        <f>IF(VLOOKUP(B80,Data!$A:$AN,MATCH(yoy!$O$1,Data!$A$1:$AN$1,),)=0,"#N/A",(VLOOKUP(B80,Data!$A:$AN,MATCH(yoy!$O$1,Data!$A$1:$AN$1,),)-VLOOKUP(A80,Data!$A:$AN,MATCH(yoy!$O$1,Data!$A$1:$AN$1,),))/VLOOKUP(A80,Data!$A:$AN,MATCH(yoy!$O$1,Data!$A$1:$AN$1,),))</f>
        <v/>
      </c>
      <c r="P80" s="14">
        <f>IF(VLOOKUP(B80,Data!$A:$AN,MATCH(yoy!$P$1,Data!$A$1:$AN$1,),)=0,"#N/A",(VLOOKUP(B80,Data!$A:$AN,MATCH(yoy!$P$1,Data!$A$1:$AN$1,),)-VLOOKUP(A80,Data!$A:$AN,MATCH(yoy!$P$1,Data!$A$1:$AN$1,),))/VLOOKUP(A80,Data!$A:$AN,MATCH(yoy!$P$1,Data!$A$1:$AN$1,),))</f>
        <v/>
      </c>
      <c r="Q80" s="14">
        <f>IF(VLOOKUP(B80,Data!$A:$AN,MATCH(yoy!$Q$1,Data!$A$1:$AN$1,),)=0,"#N/A",(VLOOKUP(B80,Data!$A:$AN,MATCH(yoy!$Q$1,Data!$A$1:$AN$1,),)-VLOOKUP(A80,Data!$A:$AN,MATCH(yoy!$Q$1,Data!$A$1:$AN$1,),))/VLOOKUP(A80,Data!$A:$AN,MATCH(yoy!$Q$1,Data!$A$1:$AN$1,),))</f>
        <v/>
      </c>
      <c r="R80" s="14">
        <f>IF(VLOOKUP(B80,Data!$A:$AN,MATCH(yoy!$R$1,Data!$A$1:$AN$1,),)=0,"#N/A",(VLOOKUP(B80,Data!$A:$AN,MATCH(yoy!$R$1,Data!$A$1:$AN$1,),)-VLOOKUP(A80,Data!$A:$AN,MATCH(yoy!$R$1,Data!$A$1:$AN$1,),))/VLOOKUP(A80,Data!$A:$AN,MATCH(yoy!$R$1,Data!$A$1:$AN$1,),))</f>
        <v/>
      </c>
      <c r="S80" s="14">
        <f>IF(VLOOKUP(B80,Data!$A:$AN,MATCH(yoy!$S$1,Data!$A$1:$AN$1,),)=0,"#N/A",(VLOOKUP(B80,Data!$A:$AN,MATCH(yoy!$S$1,Data!$A$1:$AN$1,),)-VLOOKUP(A80,Data!$A:$AN,MATCH(yoy!$S$1,Data!$A$1:$AN$1,),))/VLOOKUP(A80,Data!$A:$AN,MATCH(yoy!$S$1,Data!$A$1:$AN$1,),))</f>
        <v/>
      </c>
      <c r="T80" s="14">
        <f>IF(VLOOKUP(B80,Data!$A:$AN,MATCH(yoy!$T$1,Data!$A$1:$AN$1,),)=0,"#N/A",(VLOOKUP(B80,Data!$A:$AN,MATCH(yoy!$T$1,Data!$A$1:$AN$1,),)-VLOOKUP(A80,Data!$A:$AN,MATCH(yoy!$T$1,Data!$A$1:$AN$1,),))/VLOOKUP(A80,Data!$A:$AN,MATCH(yoy!$T$1,Data!$A$1:$AN$1,),))</f>
        <v/>
      </c>
      <c r="U80" s="14">
        <f>IF(VLOOKUP(B80,Data!$A:$AN,MATCH(yoy!$U$1,Data!$A$1:$AN$1,),)=0,"#N/A",(VLOOKUP(B80,Data!$A:$AN,MATCH(yoy!$U$1,Data!$A$1:$AN$1,),)-VLOOKUP(A80,Data!$A:$AN,MATCH(yoy!$U$1,Data!$A$1:$AN$1,),))/VLOOKUP(A80,Data!$A:$AN,MATCH(yoy!$U$1,Data!$A$1:$AN$1,),))</f>
        <v/>
      </c>
      <c r="V80" s="14">
        <f>IF(VLOOKUP(B80,Data!$A:$AN,MATCH(yoy!$V$1,Data!$A$1:$AN$1,),)=0,"#N/A",(VLOOKUP(B80,Data!$A:$AN,MATCH(yoy!$V$1,Data!$A$1:$AN$1,),)-VLOOKUP(A80,Data!$A:$AN,MATCH(yoy!$V$1,Data!$A$1:$AN$1,),))/VLOOKUP(A80,Data!$A:$AN,MATCH(yoy!$V$1,Data!$A$1:$AN$1,),))</f>
        <v/>
      </c>
      <c r="W80" s="14">
        <f>IF(VLOOKUP(B80,Data!$A:$AN,MATCH(yoy!$W$1,Data!$A$1:$AN$1,),)=0,"#N/A",(VLOOKUP(B80,Data!$A:$AN,MATCH(yoy!$W$1,Data!$A$1:$AN$1,),)-VLOOKUP(A80,Data!$A:$AN,MATCH(yoy!$W$1,Data!$A$1:$AN$1,),))/VLOOKUP(A80,Data!$A:$AN,MATCH(yoy!$W$1,Data!$A$1:$AN$1,),))</f>
        <v/>
      </c>
      <c r="X80" s="14">
        <f>IF(VLOOKUP(B80,Data!$A:$AN,MATCH(yoy!$X$1,Data!$A$1:$AN$1,),)=0,"#N/A",(VLOOKUP(B80,Data!$A:$AN,MATCH(yoy!$X$1,Data!$A$1:$AN$1,),)-VLOOKUP(A80,Data!$A:$AN,MATCH(yoy!$X$1,Data!$A$1:$AN$1,),))/VLOOKUP(A80,Data!$A:$AN,MATCH(yoy!$X$1,Data!$A$1:$AN$1,),))</f>
        <v/>
      </c>
      <c r="Y80" s="14">
        <f>IF(VLOOKUP(B80,Data!$A:$AN,MATCH(yoy!$Y$1,Data!$A$1:$AN$1,),)=0,"#N/A",(VLOOKUP(B80,Data!$A:$AN,MATCH(yoy!$Y$1,Data!$A$1:$AN$1,),)-VLOOKUP(A80,Data!$A:$AN,MATCH(yoy!$Y$1,Data!$A$1:$AN$1,),))/VLOOKUP(A80,Data!$A:$AN,MATCH(yoy!$Y$1,Data!$A$1:$AN$1,),))</f>
        <v/>
      </c>
      <c r="Z80" s="14">
        <f>IF(VLOOKUP(B80,Data!$A:$AN,MATCH(yoy!$Z$1,Data!$A$1:$AN$1,),)=0,"#N/A",(VLOOKUP(B80,Data!$A:$AN,MATCH(yoy!$Z$1,Data!$A$1:$AN$1,),)-VLOOKUP(A80,Data!$A:$AN,MATCH(yoy!$Z$1,Data!$A$1:$AN$1,),))/VLOOKUP(A80,Data!$A:$AN,MATCH(yoy!$Z$1,Data!$A$1:$AN$1,),))</f>
        <v/>
      </c>
      <c r="AA80" s="14">
        <f>IF(VLOOKUP(B80,Data!$A:$AN,MATCH(yoy!$AA$1,Data!$A$1:$AN$1,),)=0,"#N/A",(VLOOKUP(B80,Data!$A:$AN,MATCH(yoy!$AA$1,Data!$A$1:$AN$1,),)-VLOOKUP(A80,Data!$A:$AN,MATCH(yoy!$AA$1,Data!$A$1:$AN$1,),))/VLOOKUP(A80,Data!$A:$AN,MATCH(yoy!$AA$1,Data!$A$1:$AN$1,),))</f>
        <v/>
      </c>
    </row>
    <row r="81" customFormat="1" s="77">
      <c r="A81" s="20">
        <f>DATE(YEAR(B81)-1,MONTH(B81),DAY(B81))</f>
        <v/>
      </c>
      <c r="B81" s="12" t="n">
        <v>44317</v>
      </c>
      <c r="C81" s="14">
        <f>IF(VLOOKUP(B81,Data!$A:$AN,MATCH(yoy!$C$1,Data!$A$1:$AN$1,),)=0,"#N/A",(VLOOKUP(B81,Data!$A:$AN,MATCH(yoy!$C$1,Data!$A$1:$AN$1,),)-VLOOKUP(A81,Data!$A:$AN,MATCH(yoy!$C$1,Data!$A$1:$AN$1,),))/VLOOKUP(A81,Data!$A:$AN,MATCH(yoy!$C$1,Data!$A$1:$AN$1,),))</f>
        <v/>
      </c>
      <c r="D81" s="14">
        <f>IF(VLOOKUP(B81,Data!$A:$AN,MATCH(yoy!$D$1,Data!$A$1:$AN$1,),)=0,"#N/A",(VLOOKUP(B81,Data!$A:$AN,MATCH(yoy!$D$1,Data!$A$1:$AN$1,),)-VLOOKUP(A81,Data!$A:$AN,MATCH(yoy!$D$1,Data!$A$1:$AN$1,),))/VLOOKUP(A81,Data!$A:$AN,MATCH(yoy!$D$1,Data!$A$1:$AN$1,),))</f>
        <v/>
      </c>
      <c r="E81" s="14">
        <f>IF(VLOOKUP(B81,Data!$A:$AN,MATCH(yoy!$E$1,Data!$A$1:$AN$1,),)=0,"#N/A",(VLOOKUP(B81,Data!$A:$AN,MATCH(yoy!$E$1,Data!$A$1:$AN$1,),)-VLOOKUP(A81,Data!$A:$AN,MATCH(yoy!$E$1,Data!$A$1:$AN$1,),))/VLOOKUP(A81,Data!$A:$AN,MATCH(yoy!$E$1,Data!$A$1:$AN$1,),))</f>
        <v/>
      </c>
      <c r="F81" s="14">
        <f>IF(VLOOKUP(B81,Data!$A:$AN,MATCH(yoy!$F$1,Data!$A$1:$AN$1,),)=0,"#N/A",(VLOOKUP(B81,Data!$A:$AN,MATCH(yoy!$F$1,Data!$A$1:$AN$1,),)-VLOOKUP(A81,Data!$A:$AN,MATCH(yoy!$F$1,Data!$A$1:$AN$1,),))/VLOOKUP(A81,Data!$A:$AN,MATCH(yoy!$F$1,Data!$A$1:$AN$1,),))</f>
        <v/>
      </c>
      <c r="G81" s="14">
        <f>IF(VLOOKUP(B81,Data!$A:$AN,MATCH(yoy!$G$1,Data!$A$1:$AN$1,),)=0,"#N/A",(VLOOKUP(B81,Data!$A:$AN,MATCH(yoy!$G$1,Data!$A$1:$AN$1,),)-VLOOKUP(A81,Data!$A:$AN,MATCH(yoy!$G$1,Data!$A$1:$AN$1,),))/VLOOKUP(A81,Data!$A:$AN,MATCH(yoy!$G$1,Data!$A$1:$AN$1,),))</f>
        <v/>
      </c>
      <c r="H81" s="14">
        <f>IF(VLOOKUP(B81,Data!$A:$AN,MATCH(yoy!$H$1,Data!$A$1:$AN$1,),)=0,"#N/A",(VLOOKUP(B81,Data!$A:$AN,MATCH(yoy!$H$1,Data!$A$1:$AN$1,),)-VLOOKUP(A81,Data!$A:$AN,MATCH(yoy!$H$1,Data!$A$1:$AN$1,),))/VLOOKUP(A81,Data!$A:$AN,MATCH(yoy!$H$1,Data!$A$1:$AN$1,),))</f>
        <v/>
      </c>
      <c r="I81" s="14">
        <f>IF(VLOOKUP(B81,Data!$A:$AN,MATCH(yoy!$I$1,Data!$A$1:$AN$1,),)=0,"#N/A",(VLOOKUP(B81,Data!$A:$AN,MATCH(yoy!$I$1,Data!$A$1:$AN$1,),)-VLOOKUP(A81,Data!$A:$AN,MATCH(yoy!$I$1,Data!$A$1:$AN$1,),))/VLOOKUP(A81,Data!$A:$AN,MATCH(yoy!$I$1,Data!$A$1:$AN$1,),))</f>
        <v/>
      </c>
      <c r="J81" s="14">
        <f>IF(VLOOKUP(B81,Data!$A:$AN,MATCH(yoy!$J$1,Data!$A$1:$AN$1,),)=0,"#N/A",(VLOOKUP(B81,Data!$A:$AN,MATCH(yoy!$J$1,Data!$A$1:$AN$1,),)-VLOOKUP(A81,Data!$A:$AN,MATCH(yoy!$J$1,Data!$A$1:$AN$1,),))/VLOOKUP(A81,Data!$A:$AN,MATCH(yoy!$J$1,Data!$A$1:$AN$1,),))</f>
        <v/>
      </c>
      <c r="K81" s="14">
        <f>IF(VLOOKUP(B81,Data!$A:$AN,MATCH(yoy!$K$1,Data!$A$1:$AN$1,),)=0,"#N/A",(VLOOKUP(B81,Data!$A:$AN,MATCH(yoy!$K$1,Data!$A$1:$AN$1,),)-VLOOKUP(A81,Data!$A:$AN,MATCH(yoy!$K$1,Data!$A$1:$AN$1,),))/VLOOKUP(A81,Data!$A:$AN,MATCH(yoy!$K$1,Data!$A$1:$AN$1,),))</f>
        <v/>
      </c>
      <c r="L81" s="14">
        <f>IF(VLOOKUP(B81,Data!$A:$AN,MATCH(yoy!$L$1,Data!$A$1:$AN$1,),)=0,"#N/A",(VLOOKUP(B81,Data!$A:$AN,MATCH(yoy!$L$1,Data!$A$1:$AN$1,),)-VLOOKUP(A81,Data!$A:$AN,MATCH(yoy!$L$1,Data!$A$1:$AN$1,),))/VLOOKUP(A81,Data!$A:$AN,MATCH(yoy!$L$1,Data!$A$1:$AN$1,),))</f>
        <v/>
      </c>
      <c r="M81" s="14">
        <f>IF(VLOOKUP(B81,Data!$A:$AN,MATCH(yoy!$M$1,Data!$A$1:$AN$1,),)=0,"#N/A",(VLOOKUP(B81,Data!$A:$AN,MATCH(yoy!$M$1,Data!$A$1:$AN$1,),)-VLOOKUP(A81,Data!$A:$AN,MATCH(yoy!$M$1,Data!$A$1:$AN$1,),))/VLOOKUP(A81,Data!$A:$AN,MATCH(yoy!$M$1,Data!$A$1:$AN$1,),))</f>
        <v/>
      </c>
      <c r="N81" s="14">
        <f>IF(VLOOKUP(B81,Data!$A:$AN,MATCH(yoy!$N$1,Data!$A$1:$AN$1,),)=0,"#N/A",(VLOOKUP(B81,Data!$A:$AN,MATCH(yoy!$N$1,Data!$A$1:$AN$1,),)-VLOOKUP(A81,Data!$A:$AN,MATCH(yoy!$N$1,Data!$A$1:$AN$1,),))/VLOOKUP(A81,Data!$A:$AN,MATCH(yoy!$N$1,Data!$A$1:$AN$1,),))</f>
        <v/>
      </c>
      <c r="O81" s="14">
        <f>IF(VLOOKUP(B81,Data!$A:$AN,MATCH(yoy!$O$1,Data!$A$1:$AN$1,),)=0,"#N/A",(VLOOKUP(B81,Data!$A:$AN,MATCH(yoy!$O$1,Data!$A$1:$AN$1,),)-VLOOKUP(A81,Data!$A:$AN,MATCH(yoy!$O$1,Data!$A$1:$AN$1,),))/VLOOKUP(A81,Data!$A:$AN,MATCH(yoy!$O$1,Data!$A$1:$AN$1,),))</f>
        <v/>
      </c>
      <c r="P81" s="14">
        <f>IF(VLOOKUP(B81,Data!$A:$AN,MATCH(yoy!$P$1,Data!$A$1:$AN$1,),)=0,"#N/A",(VLOOKUP(B81,Data!$A:$AN,MATCH(yoy!$P$1,Data!$A$1:$AN$1,),)-VLOOKUP(A81,Data!$A:$AN,MATCH(yoy!$P$1,Data!$A$1:$AN$1,),))/VLOOKUP(A81,Data!$A:$AN,MATCH(yoy!$P$1,Data!$A$1:$AN$1,),))</f>
        <v/>
      </c>
      <c r="Q81" s="14">
        <f>IF(VLOOKUP(B81,Data!$A:$AN,MATCH(yoy!$Q$1,Data!$A$1:$AN$1,),)=0,"#N/A",(VLOOKUP(B81,Data!$A:$AN,MATCH(yoy!$Q$1,Data!$A$1:$AN$1,),)-VLOOKUP(A81,Data!$A:$AN,MATCH(yoy!$Q$1,Data!$A$1:$AN$1,),))/VLOOKUP(A81,Data!$A:$AN,MATCH(yoy!$Q$1,Data!$A$1:$AN$1,),))</f>
        <v/>
      </c>
      <c r="R81" s="14">
        <f>IF(VLOOKUP(B81,Data!$A:$AN,MATCH(yoy!$R$1,Data!$A$1:$AN$1,),)=0,"#N/A",(VLOOKUP(B81,Data!$A:$AN,MATCH(yoy!$R$1,Data!$A$1:$AN$1,),)-VLOOKUP(A81,Data!$A:$AN,MATCH(yoy!$R$1,Data!$A$1:$AN$1,),))/VLOOKUP(A81,Data!$A:$AN,MATCH(yoy!$R$1,Data!$A$1:$AN$1,),))</f>
        <v/>
      </c>
      <c r="S81" s="14">
        <f>IF(VLOOKUP(B81,Data!$A:$AN,MATCH(yoy!$S$1,Data!$A$1:$AN$1,),)=0,"#N/A",(VLOOKUP(B81,Data!$A:$AN,MATCH(yoy!$S$1,Data!$A$1:$AN$1,),)-VLOOKUP(A81,Data!$A:$AN,MATCH(yoy!$S$1,Data!$A$1:$AN$1,),))/VLOOKUP(A81,Data!$A:$AN,MATCH(yoy!$S$1,Data!$A$1:$AN$1,),))</f>
        <v/>
      </c>
      <c r="T81" s="14">
        <f>IF(VLOOKUP(B81,Data!$A:$AN,MATCH(yoy!$T$1,Data!$A$1:$AN$1,),)=0,"#N/A",(VLOOKUP(B81,Data!$A:$AN,MATCH(yoy!$T$1,Data!$A$1:$AN$1,),)-VLOOKUP(A81,Data!$A:$AN,MATCH(yoy!$T$1,Data!$A$1:$AN$1,),))/VLOOKUP(A81,Data!$A:$AN,MATCH(yoy!$T$1,Data!$A$1:$AN$1,),))</f>
        <v/>
      </c>
      <c r="U81" s="14">
        <f>IF(VLOOKUP(B81,Data!$A:$AN,MATCH(yoy!$U$1,Data!$A$1:$AN$1,),)=0,"#N/A",(VLOOKUP(B81,Data!$A:$AN,MATCH(yoy!$U$1,Data!$A$1:$AN$1,),)-VLOOKUP(A81,Data!$A:$AN,MATCH(yoy!$U$1,Data!$A$1:$AN$1,),))/VLOOKUP(A81,Data!$A:$AN,MATCH(yoy!$U$1,Data!$A$1:$AN$1,),))</f>
        <v/>
      </c>
      <c r="V81" s="14">
        <f>IF(VLOOKUP(B81,Data!$A:$AN,MATCH(yoy!$V$1,Data!$A$1:$AN$1,),)=0,"#N/A",(VLOOKUP(B81,Data!$A:$AN,MATCH(yoy!$V$1,Data!$A$1:$AN$1,),)-VLOOKUP(A81,Data!$A:$AN,MATCH(yoy!$V$1,Data!$A$1:$AN$1,),))/VLOOKUP(A81,Data!$A:$AN,MATCH(yoy!$V$1,Data!$A$1:$AN$1,),))</f>
        <v/>
      </c>
      <c r="W81" s="14">
        <f>IF(VLOOKUP(B81,Data!$A:$AN,MATCH(yoy!$W$1,Data!$A$1:$AN$1,),)=0,"#N/A",(VLOOKUP(B81,Data!$A:$AN,MATCH(yoy!$W$1,Data!$A$1:$AN$1,),)-VLOOKUP(A81,Data!$A:$AN,MATCH(yoy!$W$1,Data!$A$1:$AN$1,),))/VLOOKUP(A81,Data!$A:$AN,MATCH(yoy!$W$1,Data!$A$1:$AN$1,),))</f>
        <v/>
      </c>
      <c r="X81" s="14">
        <f>IF(VLOOKUP(B81,Data!$A:$AN,MATCH(yoy!$X$1,Data!$A$1:$AN$1,),)=0,"#N/A",(VLOOKUP(B81,Data!$A:$AN,MATCH(yoy!$X$1,Data!$A$1:$AN$1,),)-VLOOKUP(A81,Data!$A:$AN,MATCH(yoy!$X$1,Data!$A$1:$AN$1,),))/VLOOKUP(A81,Data!$A:$AN,MATCH(yoy!$X$1,Data!$A$1:$AN$1,),))</f>
        <v/>
      </c>
      <c r="Y81" s="14">
        <f>IF(VLOOKUP(B81,Data!$A:$AN,MATCH(yoy!$Y$1,Data!$A$1:$AN$1,),)=0,"#N/A",(VLOOKUP(B81,Data!$A:$AN,MATCH(yoy!$Y$1,Data!$A$1:$AN$1,),)-VLOOKUP(A81,Data!$A:$AN,MATCH(yoy!$Y$1,Data!$A$1:$AN$1,),))/VLOOKUP(A81,Data!$A:$AN,MATCH(yoy!$Y$1,Data!$A$1:$AN$1,),))</f>
        <v/>
      </c>
      <c r="Z81" s="14">
        <f>IF(VLOOKUP(B81,Data!$A:$AN,MATCH(yoy!$Z$1,Data!$A$1:$AN$1,),)=0,"#N/A",(VLOOKUP(B81,Data!$A:$AN,MATCH(yoy!$Z$1,Data!$A$1:$AN$1,),)-VLOOKUP(A81,Data!$A:$AN,MATCH(yoy!$Z$1,Data!$A$1:$AN$1,),))/VLOOKUP(A81,Data!$A:$AN,MATCH(yoy!$Z$1,Data!$A$1:$AN$1,),))</f>
        <v/>
      </c>
      <c r="AA81" s="14">
        <f>IF(VLOOKUP(B81,Data!$A:$AN,MATCH(yoy!$AA$1,Data!$A$1:$AN$1,),)=0,"#N/A",(VLOOKUP(B81,Data!$A:$AN,MATCH(yoy!$AA$1,Data!$A$1:$AN$1,),)-VLOOKUP(A81,Data!$A:$AN,MATCH(yoy!$AA$1,Data!$A$1:$AN$1,),))/VLOOKUP(A81,Data!$A:$AN,MATCH(yoy!$AA$1,Data!$A$1:$AN$1,),))</f>
        <v/>
      </c>
    </row>
    <row r="82" customFormat="1" s="77">
      <c r="A82" s="20">
        <f>DATE(YEAR(B82)-1,MONTH(B82),DAY(B82))</f>
        <v/>
      </c>
      <c r="B82" s="12" t="n">
        <v>44348</v>
      </c>
      <c r="C82" s="14">
        <f>IF(VLOOKUP(B82,Data!$A:$AN,MATCH(yoy!$C$1,Data!$A$1:$AN$1,),)=0,"#N/A",(VLOOKUP(B82,Data!$A:$AN,MATCH(yoy!$C$1,Data!$A$1:$AN$1,),)-VLOOKUP(A82,Data!$A:$AN,MATCH(yoy!$C$1,Data!$A$1:$AN$1,),))/VLOOKUP(A82,Data!$A:$AN,MATCH(yoy!$C$1,Data!$A$1:$AN$1,),))</f>
        <v/>
      </c>
      <c r="D82" s="14">
        <f>IF(VLOOKUP(B82,Data!$A:$AN,MATCH(yoy!$D$1,Data!$A$1:$AN$1,),)=0,"#N/A",(VLOOKUP(B82,Data!$A:$AN,MATCH(yoy!$D$1,Data!$A$1:$AN$1,),)-VLOOKUP(A82,Data!$A:$AN,MATCH(yoy!$D$1,Data!$A$1:$AN$1,),))/VLOOKUP(A82,Data!$A:$AN,MATCH(yoy!$D$1,Data!$A$1:$AN$1,),))</f>
        <v/>
      </c>
      <c r="E82" s="14">
        <f>IF(VLOOKUP(B82,Data!$A:$AN,MATCH(yoy!$E$1,Data!$A$1:$AN$1,),)=0,"#N/A",(VLOOKUP(B82,Data!$A:$AN,MATCH(yoy!$E$1,Data!$A$1:$AN$1,),)-VLOOKUP(A82,Data!$A:$AN,MATCH(yoy!$E$1,Data!$A$1:$AN$1,),))/VLOOKUP(A82,Data!$A:$AN,MATCH(yoy!$E$1,Data!$A$1:$AN$1,),))</f>
        <v/>
      </c>
      <c r="F82" s="14">
        <f>IF(VLOOKUP(B82,Data!$A:$AN,MATCH(yoy!$F$1,Data!$A$1:$AN$1,),)=0,"#N/A",(VLOOKUP(B82,Data!$A:$AN,MATCH(yoy!$F$1,Data!$A$1:$AN$1,),)-VLOOKUP(A82,Data!$A:$AN,MATCH(yoy!$F$1,Data!$A$1:$AN$1,),))/VLOOKUP(A82,Data!$A:$AN,MATCH(yoy!$F$1,Data!$A$1:$AN$1,),))</f>
        <v/>
      </c>
      <c r="G82" s="14">
        <f>IF(VLOOKUP(B82,Data!$A:$AN,MATCH(yoy!$G$1,Data!$A$1:$AN$1,),)=0,"#N/A",(VLOOKUP(B82,Data!$A:$AN,MATCH(yoy!$G$1,Data!$A$1:$AN$1,),)-VLOOKUP(A82,Data!$A:$AN,MATCH(yoy!$G$1,Data!$A$1:$AN$1,),))/VLOOKUP(A82,Data!$A:$AN,MATCH(yoy!$G$1,Data!$A$1:$AN$1,),))</f>
        <v/>
      </c>
      <c r="H82" s="14">
        <f>IF(VLOOKUP(B82,Data!$A:$AN,MATCH(yoy!$H$1,Data!$A$1:$AN$1,),)=0,"#N/A",(VLOOKUP(B82,Data!$A:$AN,MATCH(yoy!$H$1,Data!$A$1:$AN$1,),)-VLOOKUP(A82,Data!$A:$AN,MATCH(yoy!$H$1,Data!$A$1:$AN$1,),))/VLOOKUP(A82,Data!$A:$AN,MATCH(yoy!$H$1,Data!$A$1:$AN$1,),))</f>
        <v/>
      </c>
      <c r="I82" s="14">
        <f>IF(VLOOKUP(B82,Data!$A:$AN,MATCH(yoy!$I$1,Data!$A$1:$AN$1,),)=0,"#N/A",(VLOOKUP(B82,Data!$A:$AN,MATCH(yoy!$I$1,Data!$A$1:$AN$1,),)-VLOOKUP(A82,Data!$A:$AN,MATCH(yoy!$I$1,Data!$A$1:$AN$1,),))/VLOOKUP(A82,Data!$A:$AN,MATCH(yoy!$I$1,Data!$A$1:$AN$1,),))</f>
        <v/>
      </c>
      <c r="J82" s="14">
        <f>IF(VLOOKUP(B82,Data!$A:$AN,MATCH(yoy!$J$1,Data!$A$1:$AN$1,),)=0,"#N/A",(VLOOKUP(B82,Data!$A:$AN,MATCH(yoy!$J$1,Data!$A$1:$AN$1,),)-VLOOKUP(A82,Data!$A:$AN,MATCH(yoy!$J$1,Data!$A$1:$AN$1,),))/VLOOKUP(A82,Data!$A:$AN,MATCH(yoy!$J$1,Data!$A$1:$AN$1,),))</f>
        <v/>
      </c>
      <c r="K82" s="14">
        <f>IF(VLOOKUP(B82,Data!$A:$AN,MATCH(yoy!$K$1,Data!$A$1:$AN$1,),)=0,"#N/A",(VLOOKUP(B82,Data!$A:$AN,MATCH(yoy!$K$1,Data!$A$1:$AN$1,),)-VLOOKUP(A82,Data!$A:$AN,MATCH(yoy!$K$1,Data!$A$1:$AN$1,),))/VLOOKUP(A82,Data!$A:$AN,MATCH(yoy!$K$1,Data!$A$1:$AN$1,),))</f>
        <v/>
      </c>
      <c r="L82" s="14">
        <f>IF(VLOOKUP(B82,Data!$A:$AN,MATCH(yoy!$L$1,Data!$A$1:$AN$1,),)=0,"#N/A",(VLOOKUP(B82,Data!$A:$AN,MATCH(yoy!$L$1,Data!$A$1:$AN$1,),)-VLOOKUP(A82,Data!$A:$AN,MATCH(yoy!$L$1,Data!$A$1:$AN$1,),))/VLOOKUP(A82,Data!$A:$AN,MATCH(yoy!$L$1,Data!$A$1:$AN$1,),))</f>
        <v/>
      </c>
      <c r="M82" s="14">
        <f>IF(VLOOKUP(B82,Data!$A:$AN,MATCH(yoy!$M$1,Data!$A$1:$AN$1,),)=0,"#N/A",(VLOOKUP(B82,Data!$A:$AN,MATCH(yoy!$M$1,Data!$A$1:$AN$1,),)-VLOOKUP(A82,Data!$A:$AN,MATCH(yoy!$M$1,Data!$A$1:$AN$1,),))/VLOOKUP(A82,Data!$A:$AN,MATCH(yoy!$M$1,Data!$A$1:$AN$1,),))</f>
        <v/>
      </c>
      <c r="N82" s="14">
        <f>IF(VLOOKUP(B82,Data!$A:$AN,MATCH(yoy!$N$1,Data!$A$1:$AN$1,),)=0,"#N/A",(VLOOKUP(B82,Data!$A:$AN,MATCH(yoy!$N$1,Data!$A$1:$AN$1,),)-VLOOKUP(A82,Data!$A:$AN,MATCH(yoy!$N$1,Data!$A$1:$AN$1,),))/VLOOKUP(A82,Data!$A:$AN,MATCH(yoy!$N$1,Data!$A$1:$AN$1,),))</f>
        <v/>
      </c>
      <c r="O82" s="14">
        <f>IF(VLOOKUP(B82,Data!$A:$AN,MATCH(yoy!$O$1,Data!$A$1:$AN$1,),)=0,"#N/A",(VLOOKUP(B82,Data!$A:$AN,MATCH(yoy!$O$1,Data!$A$1:$AN$1,),)-VLOOKUP(A82,Data!$A:$AN,MATCH(yoy!$O$1,Data!$A$1:$AN$1,),))/VLOOKUP(A82,Data!$A:$AN,MATCH(yoy!$O$1,Data!$A$1:$AN$1,),))</f>
        <v/>
      </c>
      <c r="P82" s="14">
        <f>IF(VLOOKUP(B82,Data!$A:$AN,MATCH(yoy!$P$1,Data!$A$1:$AN$1,),)=0,"#N/A",(VLOOKUP(B82,Data!$A:$AN,MATCH(yoy!$P$1,Data!$A$1:$AN$1,),)-VLOOKUP(A82,Data!$A:$AN,MATCH(yoy!$P$1,Data!$A$1:$AN$1,),))/VLOOKUP(A82,Data!$A:$AN,MATCH(yoy!$P$1,Data!$A$1:$AN$1,),))</f>
        <v/>
      </c>
      <c r="Q82" s="14">
        <f>IF(VLOOKUP(B82,Data!$A:$AN,MATCH(yoy!$Q$1,Data!$A$1:$AN$1,),)=0,"#N/A",(VLOOKUP(B82,Data!$A:$AN,MATCH(yoy!$Q$1,Data!$A$1:$AN$1,),)-VLOOKUP(A82,Data!$A:$AN,MATCH(yoy!$Q$1,Data!$A$1:$AN$1,),))/VLOOKUP(A82,Data!$A:$AN,MATCH(yoy!$Q$1,Data!$A$1:$AN$1,),))</f>
        <v/>
      </c>
      <c r="R82" s="14">
        <f>IF(VLOOKUP(B82,Data!$A:$AN,MATCH(yoy!$R$1,Data!$A$1:$AN$1,),)=0,"#N/A",(VLOOKUP(B82,Data!$A:$AN,MATCH(yoy!$R$1,Data!$A$1:$AN$1,),)-VLOOKUP(A82,Data!$A:$AN,MATCH(yoy!$R$1,Data!$A$1:$AN$1,),))/VLOOKUP(A82,Data!$A:$AN,MATCH(yoy!$R$1,Data!$A$1:$AN$1,),))</f>
        <v/>
      </c>
      <c r="S82" s="14">
        <f>IF(VLOOKUP(B82,Data!$A:$AN,MATCH(yoy!$S$1,Data!$A$1:$AN$1,),)=0,"#N/A",(VLOOKUP(B82,Data!$A:$AN,MATCH(yoy!$S$1,Data!$A$1:$AN$1,),)-VLOOKUP(A82,Data!$A:$AN,MATCH(yoy!$S$1,Data!$A$1:$AN$1,),))/VLOOKUP(A82,Data!$A:$AN,MATCH(yoy!$S$1,Data!$A$1:$AN$1,),))</f>
        <v/>
      </c>
      <c r="T82" s="14">
        <f>IF(VLOOKUP(B82,Data!$A:$AN,MATCH(yoy!$T$1,Data!$A$1:$AN$1,),)=0,"#N/A",(VLOOKUP(B82,Data!$A:$AN,MATCH(yoy!$T$1,Data!$A$1:$AN$1,),)-VLOOKUP(A82,Data!$A:$AN,MATCH(yoy!$T$1,Data!$A$1:$AN$1,),))/VLOOKUP(A82,Data!$A:$AN,MATCH(yoy!$T$1,Data!$A$1:$AN$1,),))</f>
        <v/>
      </c>
      <c r="U82" s="14">
        <f>IF(VLOOKUP(B82,Data!$A:$AN,MATCH(yoy!$U$1,Data!$A$1:$AN$1,),)=0,"#N/A",(VLOOKUP(B82,Data!$A:$AN,MATCH(yoy!$U$1,Data!$A$1:$AN$1,),)-VLOOKUP(A82,Data!$A:$AN,MATCH(yoy!$U$1,Data!$A$1:$AN$1,),))/VLOOKUP(A82,Data!$A:$AN,MATCH(yoy!$U$1,Data!$A$1:$AN$1,),))</f>
        <v/>
      </c>
      <c r="V82" s="14">
        <f>IF(VLOOKUP(B82,Data!$A:$AN,MATCH(yoy!$V$1,Data!$A$1:$AN$1,),)=0,"#N/A",(VLOOKUP(B82,Data!$A:$AN,MATCH(yoy!$V$1,Data!$A$1:$AN$1,),)-VLOOKUP(A82,Data!$A:$AN,MATCH(yoy!$V$1,Data!$A$1:$AN$1,),))/VLOOKUP(A82,Data!$A:$AN,MATCH(yoy!$V$1,Data!$A$1:$AN$1,),))</f>
        <v/>
      </c>
      <c r="W82" s="14">
        <f>IF(VLOOKUP(B82,Data!$A:$AN,MATCH(yoy!$W$1,Data!$A$1:$AN$1,),)=0,"#N/A",(VLOOKUP(B82,Data!$A:$AN,MATCH(yoy!$W$1,Data!$A$1:$AN$1,),)-VLOOKUP(A82,Data!$A:$AN,MATCH(yoy!$W$1,Data!$A$1:$AN$1,),))/VLOOKUP(A82,Data!$A:$AN,MATCH(yoy!$W$1,Data!$A$1:$AN$1,),))</f>
        <v/>
      </c>
      <c r="X82" s="14">
        <f>IF(VLOOKUP(B82,Data!$A:$AN,MATCH(yoy!$X$1,Data!$A$1:$AN$1,),)=0,"#N/A",(VLOOKUP(B82,Data!$A:$AN,MATCH(yoy!$X$1,Data!$A$1:$AN$1,),)-VLOOKUP(A82,Data!$A:$AN,MATCH(yoy!$X$1,Data!$A$1:$AN$1,),))/VLOOKUP(A82,Data!$A:$AN,MATCH(yoy!$X$1,Data!$A$1:$AN$1,),))</f>
        <v/>
      </c>
      <c r="Y82" s="14">
        <f>IF(VLOOKUP(B82,Data!$A:$AN,MATCH(yoy!$Y$1,Data!$A$1:$AN$1,),)=0,"#N/A",(VLOOKUP(B82,Data!$A:$AN,MATCH(yoy!$Y$1,Data!$A$1:$AN$1,),)-VLOOKUP(A82,Data!$A:$AN,MATCH(yoy!$Y$1,Data!$A$1:$AN$1,),))/VLOOKUP(A82,Data!$A:$AN,MATCH(yoy!$Y$1,Data!$A$1:$AN$1,),))</f>
        <v/>
      </c>
      <c r="Z82" s="14">
        <f>IF(VLOOKUP(B82,Data!$A:$AN,MATCH(yoy!$Z$1,Data!$A$1:$AN$1,),)=0,"#N/A",(VLOOKUP(B82,Data!$A:$AN,MATCH(yoy!$Z$1,Data!$A$1:$AN$1,),)-VLOOKUP(A82,Data!$A:$AN,MATCH(yoy!$Z$1,Data!$A$1:$AN$1,),))/VLOOKUP(A82,Data!$A:$AN,MATCH(yoy!$Z$1,Data!$A$1:$AN$1,),))</f>
        <v/>
      </c>
      <c r="AA82" s="14">
        <f>IF(VLOOKUP(B82,Data!$A:$AN,MATCH(yoy!$AA$1,Data!$A$1:$AN$1,),)=0,"#N/A",(VLOOKUP(B82,Data!$A:$AN,MATCH(yoy!$AA$1,Data!$A$1:$AN$1,),)-VLOOKUP(A82,Data!$A:$AN,MATCH(yoy!$AA$1,Data!$A$1:$AN$1,),))/VLOOKUP(A82,Data!$A:$AN,MATCH(yoy!$AA$1,Data!$A$1:$AN$1,),))</f>
        <v/>
      </c>
    </row>
    <row r="83" customFormat="1" s="77">
      <c r="A83" s="20">
        <f>DATE(YEAR(B83)-1,MONTH(B83),DAY(B83))</f>
        <v/>
      </c>
      <c r="B83" s="12" t="n">
        <v>44378</v>
      </c>
      <c r="C83" s="14">
        <f>IF(VLOOKUP(B83,Data!$A:$AN,MATCH(yoy!$C$1,Data!$A$1:$AN$1,),)=0,"#N/A",(VLOOKUP(B83,Data!$A:$AN,MATCH(yoy!$C$1,Data!$A$1:$AN$1,),)-VLOOKUP(A83,Data!$A:$AN,MATCH(yoy!$C$1,Data!$A$1:$AN$1,),))/VLOOKUP(A83,Data!$A:$AN,MATCH(yoy!$C$1,Data!$A$1:$AN$1,),))</f>
        <v/>
      </c>
      <c r="D83" s="14">
        <f>IF(VLOOKUP(B83,Data!$A:$AN,MATCH(yoy!$D$1,Data!$A$1:$AN$1,),)=0,"#N/A",(VLOOKUP(B83,Data!$A:$AN,MATCH(yoy!$D$1,Data!$A$1:$AN$1,),)-VLOOKUP(A83,Data!$A:$AN,MATCH(yoy!$D$1,Data!$A$1:$AN$1,),))/VLOOKUP(A83,Data!$A:$AN,MATCH(yoy!$D$1,Data!$A$1:$AN$1,),))</f>
        <v/>
      </c>
      <c r="E83" s="14">
        <f>IF(VLOOKUP(B83,Data!$A:$AN,MATCH(yoy!$E$1,Data!$A$1:$AN$1,),)=0,"#N/A",(VLOOKUP(B83,Data!$A:$AN,MATCH(yoy!$E$1,Data!$A$1:$AN$1,),)-VLOOKUP(A83,Data!$A:$AN,MATCH(yoy!$E$1,Data!$A$1:$AN$1,),))/VLOOKUP(A83,Data!$A:$AN,MATCH(yoy!$E$1,Data!$A$1:$AN$1,),))</f>
        <v/>
      </c>
      <c r="F83" s="14">
        <f>IF(VLOOKUP(B83,Data!$A:$AN,MATCH(yoy!$F$1,Data!$A$1:$AN$1,),)=0,"#N/A",(VLOOKUP(B83,Data!$A:$AN,MATCH(yoy!$F$1,Data!$A$1:$AN$1,),)-VLOOKUP(A83,Data!$A:$AN,MATCH(yoy!$F$1,Data!$A$1:$AN$1,),))/VLOOKUP(A83,Data!$A:$AN,MATCH(yoy!$F$1,Data!$A$1:$AN$1,),))</f>
        <v/>
      </c>
      <c r="G83" s="14">
        <f>IF(VLOOKUP(B83,Data!$A:$AN,MATCH(yoy!$G$1,Data!$A$1:$AN$1,),)=0,"#N/A",(VLOOKUP(B83,Data!$A:$AN,MATCH(yoy!$G$1,Data!$A$1:$AN$1,),)-VLOOKUP(A83,Data!$A:$AN,MATCH(yoy!$G$1,Data!$A$1:$AN$1,),))/VLOOKUP(A83,Data!$A:$AN,MATCH(yoy!$G$1,Data!$A$1:$AN$1,),))</f>
        <v/>
      </c>
      <c r="H83" s="14">
        <f>IF(VLOOKUP(B83,Data!$A:$AN,MATCH(yoy!$H$1,Data!$A$1:$AN$1,),)=0,"#N/A",(VLOOKUP(B83,Data!$A:$AN,MATCH(yoy!$H$1,Data!$A$1:$AN$1,),)-VLOOKUP(A83,Data!$A:$AN,MATCH(yoy!$H$1,Data!$A$1:$AN$1,),))/VLOOKUP(A83,Data!$A:$AN,MATCH(yoy!$H$1,Data!$A$1:$AN$1,),))</f>
        <v/>
      </c>
      <c r="I83" s="14">
        <f>IF(VLOOKUP(B83,Data!$A:$AN,MATCH(yoy!$I$1,Data!$A$1:$AN$1,),)=0,"#N/A",(VLOOKUP(B83,Data!$A:$AN,MATCH(yoy!$I$1,Data!$A$1:$AN$1,),)-VLOOKUP(A83,Data!$A:$AN,MATCH(yoy!$I$1,Data!$A$1:$AN$1,),))/VLOOKUP(A83,Data!$A:$AN,MATCH(yoy!$I$1,Data!$A$1:$AN$1,),))</f>
        <v/>
      </c>
      <c r="J83" s="14">
        <f>IF(VLOOKUP(B83,Data!$A:$AN,MATCH(yoy!$J$1,Data!$A$1:$AN$1,),)=0,"#N/A",(VLOOKUP(B83,Data!$A:$AN,MATCH(yoy!$J$1,Data!$A$1:$AN$1,),)-VLOOKUP(A83,Data!$A:$AN,MATCH(yoy!$J$1,Data!$A$1:$AN$1,),))/VLOOKUP(A83,Data!$A:$AN,MATCH(yoy!$J$1,Data!$A$1:$AN$1,),))</f>
        <v/>
      </c>
      <c r="K83" s="14">
        <f>IF(VLOOKUP(B83,Data!$A:$AN,MATCH(yoy!$K$1,Data!$A$1:$AN$1,),)=0,"#N/A",(VLOOKUP(B83,Data!$A:$AN,MATCH(yoy!$K$1,Data!$A$1:$AN$1,),)-VLOOKUP(A83,Data!$A:$AN,MATCH(yoy!$K$1,Data!$A$1:$AN$1,),))/VLOOKUP(A83,Data!$A:$AN,MATCH(yoy!$K$1,Data!$A$1:$AN$1,),))</f>
        <v/>
      </c>
      <c r="L83" s="14">
        <f>IF(VLOOKUP(B83,Data!$A:$AN,MATCH(yoy!$L$1,Data!$A$1:$AN$1,),)=0,"#N/A",(VLOOKUP(B83,Data!$A:$AN,MATCH(yoy!$L$1,Data!$A$1:$AN$1,),)-VLOOKUP(A83,Data!$A:$AN,MATCH(yoy!$L$1,Data!$A$1:$AN$1,),))/VLOOKUP(A83,Data!$A:$AN,MATCH(yoy!$L$1,Data!$A$1:$AN$1,),))</f>
        <v/>
      </c>
      <c r="M83" s="14">
        <f>IF(VLOOKUP(B83,Data!$A:$AN,MATCH(yoy!$M$1,Data!$A$1:$AN$1,),)=0,"#N/A",(VLOOKUP(B83,Data!$A:$AN,MATCH(yoy!$M$1,Data!$A$1:$AN$1,),)-VLOOKUP(A83,Data!$A:$AN,MATCH(yoy!$M$1,Data!$A$1:$AN$1,),))/VLOOKUP(A83,Data!$A:$AN,MATCH(yoy!$M$1,Data!$A$1:$AN$1,),))</f>
        <v/>
      </c>
      <c r="N83" s="14">
        <f>IF(VLOOKUP(B83,Data!$A:$AN,MATCH(yoy!$N$1,Data!$A$1:$AN$1,),)=0,"#N/A",(VLOOKUP(B83,Data!$A:$AN,MATCH(yoy!$N$1,Data!$A$1:$AN$1,),)-VLOOKUP(A83,Data!$A:$AN,MATCH(yoy!$N$1,Data!$A$1:$AN$1,),))/VLOOKUP(A83,Data!$A:$AN,MATCH(yoy!$N$1,Data!$A$1:$AN$1,),))</f>
        <v/>
      </c>
      <c r="O83" s="14">
        <f>IF(VLOOKUP(B83,Data!$A:$AN,MATCH(yoy!$O$1,Data!$A$1:$AN$1,),)=0,"#N/A",(VLOOKUP(B83,Data!$A:$AN,MATCH(yoy!$O$1,Data!$A$1:$AN$1,),)-VLOOKUP(A83,Data!$A:$AN,MATCH(yoy!$O$1,Data!$A$1:$AN$1,),))/VLOOKUP(A83,Data!$A:$AN,MATCH(yoy!$O$1,Data!$A$1:$AN$1,),))</f>
        <v/>
      </c>
      <c r="P83" s="14">
        <f>IF(VLOOKUP(B83,Data!$A:$AN,MATCH(yoy!$P$1,Data!$A$1:$AN$1,),)=0,"#N/A",(VLOOKUP(B83,Data!$A:$AN,MATCH(yoy!$P$1,Data!$A$1:$AN$1,),)-VLOOKUP(A83,Data!$A:$AN,MATCH(yoy!$P$1,Data!$A$1:$AN$1,),))/VLOOKUP(A83,Data!$A:$AN,MATCH(yoy!$P$1,Data!$A$1:$AN$1,),))</f>
        <v/>
      </c>
      <c r="Q83" s="14">
        <f>IF(VLOOKUP(B83,Data!$A:$AN,MATCH(yoy!$Q$1,Data!$A$1:$AN$1,),)=0,"#N/A",(VLOOKUP(B83,Data!$A:$AN,MATCH(yoy!$Q$1,Data!$A$1:$AN$1,),)-VLOOKUP(A83,Data!$A:$AN,MATCH(yoy!$Q$1,Data!$A$1:$AN$1,),))/VLOOKUP(A83,Data!$A:$AN,MATCH(yoy!$Q$1,Data!$A$1:$AN$1,),))</f>
        <v/>
      </c>
      <c r="R83" s="14">
        <f>IF(VLOOKUP(B83,Data!$A:$AN,MATCH(yoy!$R$1,Data!$A$1:$AN$1,),)=0,"#N/A",(VLOOKUP(B83,Data!$A:$AN,MATCH(yoy!$R$1,Data!$A$1:$AN$1,),)-VLOOKUP(A83,Data!$A:$AN,MATCH(yoy!$R$1,Data!$A$1:$AN$1,),))/VLOOKUP(A83,Data!$A:$AN,MATCH(yoy!$R$1,Data!$A$1:$AN$1,),))</f>
        <v/>
      </c>
      <c r="S83" s="14">
        <f>IF(VLOOKUP(B83,Data!$A:$AN,MATCH(yoy!$S$1,Data!$A$1:$AN$1,),)=0,"#N/A",(VLOOKUP(B83,Data!$A:$AN,MATCH(yoy!$S$1,Data!$A$1:$AN$1,),)-VLOOKUP(A83,Data!$A:$AN,MATCH(yoy!$S$1,Data!$A$1:$AN$1,),))/VLOOKUP(A83,Data!$A:$AN,MATCH(yoy!$S$1,Data!$A$1:$AN$1,),))</f>
        <v/>
      </c>
      <c r="T83" s="14">
        <f>IF(VLOOKUP(B83,Data!$A:$AN,MATCH(yoy!$T$1,Data!$A$1:$AN$1,),)=0,"#N/A",(VLOOKUP(B83,Data!$A:$AN,MATCH(yoy!$T$1,Data!$A$1:$AN$1,),)-VLOOKUP(A83,Data!$A:$AN,MATCH(yoy!$T$1,Data!$A$1:$AN$1,),))/VLOOKUP(A83,Data!$A:$AN,MATCH(yoy!$T$1,Data!$A$1:$AN$1,),))</f>
        <v/>
      </c>
      <c r="U83" s="14">
        <f>IF(VLOOKUP(B83,Data!$A:$AN,MATCH(yoy!$U$1,Data!$A$1:$AN$1,),)=0,"#N/A",(VLOOKUP(B83,Data!$A:$AN,MATCH(yoy!$U$1,Data!$A$1:$AN$1,),)-VLOOKUP(A83,Data!$A:$AN,MATCH(yoy!$U$1,Data!$A$1:$AN$1,),))/VLOOKUP(A83,Data!$A:$AN,MATCH(yoy!$U$1,Data!$A$1:$AN$1,),))</f>
        <v/>
      </c>
      <c r="V83" s="14">
        <f>IF(VLOOKUP(B83,Data!$A:$AN,MATCH(yoy!$V$1,Data!$A$1:$AN$1,),)=0,"#N/A",(VLOOKUP(B83,Data!$A:$AN,MATCH(yoy!$V$1,Data!$A$1:$AN$1,),)-VLOOKUP(A83,Data!$A:$AN,MATCH(yoy!$V$1,Data!$A$1:$AN$1,),))/VLOOKUP(A83,Data!$A:$AN,MATCH(yoy!$V$1,Data!$A$1:$AN$1,),))</f>
        <v/>
      </c>
      <c r="W83" s="14">
        <f>IF(VLOOKUP(B83,Data!$A:$AN,MATCH(yoy!$W$1,Data!$A$1:$AN$1,),)=0,"#N/A",(VLOOKUP(B83,Data!$A:$AN,MATCH(yoy!$W$1,Data!$A$1:$AN$1,),)-VLOOKUP(A83,Data!$A:$AN,MATCH(yoy!$W$1,Data!$A$1:$AN$1,),))/VLOOKUP(A83,Data!$A:$AN,MATCH(yoy!$W$1,Data!$A$1:$AN$1,),))</f>
        <v/>
      </c>
      <c r="X83" s="14">
        <f>IF(VLOOKUP(B83,Data!$A:$AN,MATCH(yoy!$X$1,Data!$A$1:$AN$1,),)=0,"#N/A",(VLOOKUP(B83,Data!$A:$AN,MATCH(yoy!$X$1,Data!$A$1:$AN$1,),)-VLOOKUP(A83,Data!$A:$AN,MATCH(yoy!$X$1,Data!$A$1:$AN$1,),))/VLOOKUP(A83,Data!$A:$AN,MATCH(yoy!$X$1,Data!$A$1:$AN$1,),))</f>
        <v/>
      </c>
      <c r="Y83" s="14">
        <f>IF(VLOOKUP(B83,Data!$A:$AN,MATCH(yoy!$Y$1,Data!$A$1:$AN$1,),)=0,"#N/A",(VLOOKUP(B83,Data!$A:$AN,MATCH(yoy!$Y$1,Data!$A$1:$AN$1,),)-VLOOKUP(A83,Data!$A:$AN,MATCH(yoy!$Y$1,Data!$A$1:$AN$1,),))/VLOOKUP(A83,Data!$A:$AN,MATCH(yoy!$Y$1,Data!$A$1:$AN$1,),))</f>
        <v/>
      </c>
      <c r="Z83" s="14">
        <f>IF(VLOOKUP(B83,Data!$A:$AN,MATCH(yoy!$Z$1,Data!$A$1:$AN$1,),)=0,"#N/A",(VLOOKUP(B83,Data!$A:$AN,MATCH(yoy!$Z$1,Data!$A$1:$AN$1,),)-VLOOKUP(A83,Data!$A:$AN,MATCH(yoy!$Z$1,Data!$A$1:$AN$1,),))/VLOOKUP(A83,Data!$A:$AN,MATCH(yoy!$Z$1,Data!$A$1:$AN$1,),))</f>
        <v/>
      </c>
      <c r="AA83" s="14">
        <f>IF(VLOOKUP(B83,Data!$A:$AN,MATCH(yoy!$AA$1,Data!$A$1:$AN$1,),)=0,"#N/A",(VLOOKUP(B83,Data!$A:$AN,MATCH(yoy!$AA$1,Data!$A$1:$AN$1,),)-VLOOKUP(A83,Data!$A:$AN,MATCH(yoy!$AA$1,Data!$A$1:$AN$1,),))/VLOOKUP(A83,Data!$A:$AN,MATCH(yoy!$AA$1,Data!$A$1:$AN$1,),))</f>
        <v/>
      </c>
    </row>
    <row r="84" customFormat="1" s="77">
      <c r="A84" s="20">
        <f>DATE(YEAR(B84)-1,MONTH(B84),DAY(B84))</f>
        <v/>
      </c>
      <c r="B84" s="12" t="n">
        <v>44409</v>
      </c>
      <c r="C84" s="14">
        <f>IF(VLOOKUP(B84,Data!$A:$AN,MATCH(yoy!$C$1,Data!$A$1:$AN$1,),)=0,"#N/A",(VLOOKUP(B84,Data!$A:$AN,MATCH(yoy!$C$1,Data!$A$1:$AN$1,),)-VLOOKUP(A84,Data!$A:$AN,MATCH(yoy!$C$1,Data!$A$1:$AN$1,),))/VLOOKUP(A84,Data!$A:$AN,MATCH(yoy!$C$1,Data!$A$1:$AN$1,),))</f>
        <v/>
      </c>
      <c r="D84" s="14">
        <f>IF(VLOOKUP(B84,Data!$A:$AN,MATCH(yoy!$D$1,Data!$A$1:$AN$1,),)=0,"#N/A",(VLOOKUP(B84,Data!$A:$AN,MATCH(yoy!$D$1,Data!$A$1:$AN$1,),)-VLOOKUP(A84,Data!$A:$AN,MATCH(yoy!$D$1,Data!$A$1:$AN$1,),))/VLOOKUP(A84,Data!$A:$AN,MATCH(yoy!$D$1,Data!$A$1:$AN$1,),))</f>
        <v/>
      </c>
      <c r="E84" s="14">
        <f>IF(VLOOKUP(B84,Data!$A:$AN,MATCH(yoy!$E$1,Data!$A$1:$AN$1,),)=0,"#N/A",(VLOOKUP(B84,Data!$A:$AN,MATCH(yoy!$E$1,Data!$A$1:$AN$1,),)-VLOOKUP(A84,Data!$A:$AN,MATCH(yoy!$E$1,Data!$A$1:$AN$1,),))/VLOOKUP(A84,Data!$A:$AN,MATCH(yoy!$E$1,Data!$A$1:$AN$1,),))</f>
        <v/>
      </c>
      <c r="F84" s="14">
        <f>IF(VLOOKUP(B84,Data!$A:$AN,MATCH(yoy!$F$1,Data!$A$1:$AN$1,),)=0,"#N/A",(VLOOKUP(B84,Data!$A:$AN,MATCH(yoy!$F$1,Data!$A$1:$AN$1,),)-VLOOKUP(A84,Data!$A:$AN,MATCH(yoy!$F$1,Data!$A$1:$AN$1,),))/VLOOKUP(A84,Data!$A:$AN,MATCH(yoy!$F$1,Data!$A$1:$AN$1,),))</f>
        <v/>
      </c>
      <c r="G84" s="14">
        <f>IF(VLOOKUP(B84,Data!$A:$AN,MATCH(yoy!$G$1,Data!$A$1:$AN$1,),)=0,"#N/A",(VLOOKUP(B84,Data!$A:$AN,MATCH(yoy!$G$1,Data!$A$1:$AN$1,),)-VLOOKUP(A84,Data!$A:$AN,MATCH(yoy!$G$1,Data!$A$1:$AN$1,),))/VLOOKUP(A84,Data!$A:$AN,MATCH(yoy!$G$1,Data!$A$1:$AN$1,),))</f>
        <v/>
      </c>
      <c r="H84" s="14">
        <f>IF(VLOOKUP(B84,Data!$A:$AN,MATCH(yoy!$H$1,Data!$A$1:$AN$1,),)=0,"#N/A",(VLOOKUP(B84,Data!$A:$AN,MATCH(yoy!$H$1,Data!$A$1:$AN$1,),)-VLOOKUP(A84,Data!$A:$AN,MATCH(yoy!$H$1,Data!$A$1:$AN$1,),))/VLOOKUP(A84,Data!$A:$AN,MATCH(yoy!$H$1,Data!$A$1:$AN$1,),))</f>
        <v/>
      </c>
      <c r="I84" s="14">
        <f>IF(VLOOKUP(B84,Data!$A:$AN,MATCH(yoy!$I$1,Data!$A$1:$AN$1,),)=0,"#N/A",(VLOOKUP(B84,Data!$A:$AN,MATCH(yoy!$I$1,Data!$A$1:$AN$1,),)-VLOOKUP(A84,Data!$A:$AN,MATCH(yoy!$I$1,Data!$A$1:$AN$1,),))/VLOOKUP(A84,Data!$A:$AN,MATCH(yoy!$I$1,Data!$A$1:$AN$1,),))</f>
        <v/>
      </c>
      <c r="J84" s="14">
        <f>IF(VLOOKUP(B84,Data!$A:$AN,MATCH(yoy!$J$1,Data!$A$1:$AN$1,),)=0,"#N/A",(VLOOKUP(B84,Data!$A:$AN,MATCH(yoy!$J$1,Data!$A$1:$AN$1,),)-VLOOKUP(A84,Data!$A:$AN,MATCH(yoy!$J$1,Data!$A$1:$AN$1,),))/VLOOKUP(A84,Data!$A:$AN,MATCH(yoy!$J$1,Data!$A$1:$AN$1,),))</f>
        <v/>
      </c>
      <c r="K84" s="14">
        <f>IF(VLOOKUP(B84,Data!$A:$AN,MATCH(yoy!$K$1,Data!$A$1:$AN$1,),)=0,"#N/A",(VLOOKUP(B84,Data!$A:$AN,MATCH(yoy!$K$1,Data!$A$1:$AN$1,),)-VLOOKUP(A84,Data!$A:$AN,MATCH(yoy!$K$1,Data!$A$1:$AN$1,),))/VLOOKUP(A84,Data!$A:$AN,MATCH(yoy!$K$1,Data!$A$1:$AN$1,),))</f>
        <v/>
      </c>
      <c r="L84" s="14">
        <f>IF(VLOOKUP(B84,Data!$A:$AN,MATCH(yoy!$L$1,Data!$A$1:$AN$1,),)=0,"#N/A",(VLOOKUP(B84,Data!$A:$AN,MATCH(yoy!$L$1,Data!$A$1:$AN$1,),)-VLOOKUP(A84,Data!$A:$AN,MATCH(yoy!$L$1,Data!$A$1:$AN$1,),))/VLOOKUP(A84,Data!$A:$AN,MATCH(yoy!$L$1,Data!$A$1:$AN$1,),))</f>
        <v/>
      </c>
      <c r="M84" s="14">
        <f>IF(VLOOKUP(B84,Data!$A:$AN,MATCH(yoy!$M$1,Data!$A$1:$AN$1,),)=0,"#N/A",(VLOOKUP(B84,Data!$A:$AN,MATCH(yoy!$M$1,Data!$A$1:$AN$1,),)-VLOOKUP(A84,Data!$A:$AN,MATCH(yoy!$M$1,Data!$A$1:$AN$1,),))/VLOOKUP(A84,Data!$A:$AN,MATCH(yoy!$M$1,Data!$A$1:$AN$1,),))</f>
        <v/>
      </c>
      <c r="N84" s="14">
        <f>IF(VLOOKUP(B84,Data!$A:$AN,MATCH(yoy!$N$1,Data!$A$1:$AN$1,),)=0,"#N/A",(VLOOKUP(B84,Data!$A:$AN,MATCH(yoy!$N$1,Data!$A$1:$AN$1,),)-VLOOKUP(A84,Data!$A:$AN,MATCH(yoy!$N$1,Data!$A$1:$AN$1,),))/VLOOKUP(A84,Data!$A:$AN,MATCH(yoy!$N$1,Data!$A$1:$AN$1,),))</f>
        <v/>
      </c>
      <c r="O84" s="14">
        <f>IF(VLOOKUP(B84,Data!$A:$AN,MATCH(yoy!$O$1,Data!$A$1:$AN$1,),)=0,"#N/A",(VLOOKUP(B84,Data!$A:$AN,MATCH(yoy!$O$1,Data!$A$1:$AN$1,),)-VLOOKUP(A84,Data!$A:$AN,MATCH(yoy!$O$1,Data!$A$1:$AN$1,),))/VLOOKUP(A84,Data!$A:$AN,MATCH(yoy!$O$1,Data!$A$1:$AN$1,),))</f>
        <v/>
      </c>
      <c r="P84" s="14">
        <f>IF(VLOOKUP(B84,Data!$A:$AN,MATCH(yoy!$P$1,Data!$A$1:$AN$1,),)=0,"#N/A",(VLOOKUP(B84,Data!$A:$AN,MATCH(yoy!$P$1,Data!$A$1:$AN$1,),)-VLOOKUP(A84,Data!$A:$AN,MATCH(yoy!$P$1,Data!$A$1:$AN$1,),))/VLOOKUP(A84,Data!$A:$AN,MATCH(yoy!$P$1,Data!$A$1:$AN$1,),))</f>
        <v/>
      </c>
      <c r="Q84" s="14">
        <f>IF(VLOOKUP(B84,Data!$A:$AN,MATCH(yoy!$Q$1,Data!$A$1:$AN$1,),)=0,"#N/A",(VLOOKUP(B84,Data!$A:$AN,MATCH(yoy!$Q$1,Data!$A$1:$AN$1,),)-VLOOKUP(A84,Data!$A:$AN,MATCH(yoy!$Q$1,Data!$A$1:$AN$1,),))/VLOOKUP(A84,Data!$A:$AN,MATCH(yoy!$Q$1,Data!$A$1:$AN$1,),))</f>
        <v/>
      </c>
      <c r="R84" s="14">
        <f>IF(VLOOKUP(B84,Data!$A:$AN,MATCH(yoy!$R$1,Data!$A$1:$AN$1,),)=0,"#N/A",(VLOOKUP(B84,Data!$A:$AN,MATCH(yoy!$R$1,Data!$A$1:$AN$1,),)-VLOOKUP(A84,Data!$A:$AN,MATCH(yoy!$R$1,Data!$A$1:$AN$1,),))/VLOOKUP(A84,Data!$A:$AN,MATCH(yoy!$R$1,Data!$A$1:$AN$1,),))</f>
        <v/>
      </c>
      <c r="S84" s="14">
        <f>IF(VLOOKUP(B84,Data!$A:$AN,MATCH(yoy!$S$1,Data!$A$1:$AN$1,),)=0,"#N/A",(VLOOKUP(B84,Data!$A:$AN,MATCH(yoy!$S$1,Data!$A$1:$AN$1,),)-VLOOKUP(A84,Data!$A:$AN,MATCH(yoy!$S$1,Data!$A$1:$AN$1,),))/VLOOKUP(A84,Data!$A:$AN,MATCH(yoy!$S$1,Data!$A$1:$AN$1,),))</f>
        <v/>
      </c>
      <c r="T84" s="14">
        <f>IF(VLOOKUP(B84,Data!$A:$AN,MATCH(yoy!$T$1,Data!$A$1:$AN$1,),)=0,"#N/A",(VLOOKUP(B84,Data!$A:$AN,MATCH(yoy!$T$1,Data!$A$1:$AN$1,),)-VLOOKUP(A84,Data!$A:$AN,MATCH(yoy!$T$1,Data!$A$1:$AN$1,),))/VLOOKUP(A84,Data!$A:$AN,MATCH(yoy!$T$1,Data!$A$1:$AN$1,),))</f>
        <v/>
      </c>
      <c r="U84" s="14">
        <f>IF(VLOOKUP(B84,Data!$A:$AN,MATCH(yoy!$U$1,Data!$A$1:$AN$1,),)=0,"#N/A",(VLOOKUP(B84,Data!$A:$AN,MATCH(yoy!$U$1,Data!$A$1:$AN$1,),)-VLOOKUP(A84,Data!$A:$AN,MATCH(yoy!$U$1,Data!$A$1:$AN$1,),))/VLOOKUP(A84,Data!$A:$AN,MATCH(yoy!$U$1,Data!$A$1:$AN$1,),))</f>
        <v/>
      </c>
      <c r="V84" s="14">
        <f>IF(VLOOKUP(B84,Data!$A:$AN,MATCH(yoy!$V$1,Data!$A$1:$AN$1,),)=0,"#N/A",(VLOOKUP(B84,Data!$A:$AN,MATCH(yoy!$V$1,Data!$A$1:$AN$1,),)-VLOOKUP(A84,Data!$A:$AN,MATCH(yoy!$V$1,Data!$A$1:$AN$1,),))/VLOOKUP(A84,Data!$A:$AN,MATCH(yoy!$V$1,Data!$A$1:$AN$1,),))</f>
        <v/>
      </c>
      <c r="W84" s="14">
        <f>IF(VLOOKUP(B84,Data!$A:$AN,MATCH(yoy!$W$1,Data!$A$1:$AN$1,),)=0,"#N/A",(VLOOKUP(B84,Data!$A:$AN,MATCH(yoy!$W$1,Data!$A$1:$AN$1,),)-VLOOKUP(A84,Data!$A:$AN,MATCH(yoy!$W$1,Data!$A$1:$AN$1,),))/VLOOKUP(A84,Data!$A:$AN,MATCH(yoy!$W$1,Data!$A$1:$AN$1,),))</f>
        <v/>
      </c>
      <c r="X84" s="14">
        <f>IF(VLOOKUP(B84,Data!$A:$AN,MATCH(yoy!$X$1,Data!$A$1:$AN$1,),)=0,"#N/A",(VLOOKUP(B84,Data!$A:$AN,MATCH(yoy!$X$1,Data!$A$1:$AN$1,),)-VLOOKUP(A84,Data!$A:$AN,MATCH(yoy!$X$1,Data!$A$1:$AN$1,),))/VLOOKUP(A84,Data!$A:$AN,MATCH(yoy!$X$1,Data!$A$1:$AN$1,),))</f>
        <v/>
      </c>
      <c r="Y84" s="14">
        <f>IF(VLOOKUP(B84,Data!$A:$AN,MATCH(yoy!$Y$1,Data!$A$1:$AN$1,),)=0,"#N/A",(VLOOKUP(B84,Data!$A:$AN,MATCH(yoy!$Y$1,Data!$A$1:$AN$1,),)-VLOOKUP(A84,Data!$A:$AN,MATCH(yoy!$Y$1,Data!$A$1:$AN$1,),))/VLOOKUP(A84,Data!$A:$AN,MATCH(yoy!$Y$1,Data!$A$1:$AN$1,),))</f>
        <v/>
      </c>
      <c r="Z84" s="14">
        <f>IF(VLOOKUP(B84,Data!$A:$AN,MATCH(yoy!$Z$1,Data!$A$1:$AN$1,),)=0,"#N/A",(VLOOKUP(B84,Data!$A:$AN,MATCH(yoy!$Z$1,Data!$A$1:$AN$1,),)-VLOOKUP(A84,Data!$A:$AN,MATCH(yoy!$Z$1,Data!$A$1:$AN$1,),))/VLOOKUP(A84,Data!$A:$AN,MATCH(yoy!$Z$1,Data!$A$1:$AN$1,),))</f>
        <v/>
      </c>
      <c r="AA84" s="14">
        <f>IF(VLOOKUP(B84,Data!$A:$AN,MATCH(yoy!$AA$1,Data!$A$1:$AN$1,),)=0,"#N/A",(VLOOKUP(B84,Data!$A:$AN,MATCH(yoy!$AA$1,Data!$A$1:$AN$1,),)-VLOOKUP(A84,Data!$A:$AN,MATCH(yoy!$AA$1,Data!$A$1:$AN$1,),))/VLOOKUP(A84,Data!$A:$AN,MATCH(yoy!$AA$1,Data!$A$1:$AN$1,),))</f>
        <v/>
      </c>
    </row>
    <row r="85" customFormat="1" s="77">
      <c r="A85" s="20">
        <f>DATE(YEAR(B85)-1,MONTH(B85),DAY(B85))</f>
        <v/>
      </c>
      <c r="B85" s="12" t="n">
        <v>44440</v>
      </c>
      <c r="C85" s="14">
        <f>IF(VLOOKUP(B85,Data!$A:$AN,MATCH(yoy!$C$1,Data!$A$1:$AN$1,),)=0,"#N/A",(VLOOKUP(B85,Data!$A:$AN,MATCH(yoy!$C$1,Data!$A$1:$AN$1,),)-VLOOKUP(A85,Data!$A:$AN,MATCH(yoy!$C$1,Data!$A$1:$AN$1,),))/VLOOKUP(A85,Data!$A:$AN,MATCH(yoy!$C$1,Data!$A$1:$AN$1,),))</f>
        <v/>
      </c>
      <c r="D85" s="14">
        <f>IF(VLOOKUP(B85,Data!$A:$AN,MATCH(yoy!$D$1,Data!$A$1:$AN$1,),)=0,"#N/A",(VLOOKUP(B85,Data!$A:$AN,MATCH(yoy!$D$1,Data!$A$1:$AN$1,),)-VLOOKUP(A85,Data!$A:$AN,MATCH(yoy!$D$1,Data!$A$1:$AN$1,),))/VLOOKUP(A85,Data!$A:$AN,MATCH(yoy!$D$1,Data!$A$1:$AN$1,),))</f>
        <v/>
      </c>
      <c r="E85" s="14">
        <f>IF(VLOOKUP(B85,Data!$A:$AN,MATCH(yoy!$E$1,Data!$A$1:$AN$1,),)=0,"#N/A",(VLOOKUP(B85,Data!$A:$AN,MATCH(yoy!$E$1,Data!$A$1:$AN$1,),)-VLOOKUP(A85,Data!$A:$AN,MATCH(yoy!$E$1,Data!$A$1:$AN$1,),))/VLOOKUP(A85,Data!$A:$AN,MATCH(yoy!$E$1,Data!$A$1:$AN$1,),))</f>
        <v/>
      </c>
      <c r="F85" s="14">
        <f>IF(VLOOKUP(B85,Data!$A:$AN,MATCH(yoy!$F$1,Data!$A$1:$AN$1,),)=0,"#N/A",(VLOOKUP(B85,Data!$A:$AN,MATCH(yoy!$F$1,Data!$A$1:$AN$1,),)-VLOOKUP(A85,Data!$A:$AN,MATCH(yoy!$F$1,Data!$A$1:$AN$1,),))/VLOOKUP(A85,Data!$A:$AN,MATCH(yoy!$F$1,Data!$A$1:$AN$1,),))</f>
        <v/>
      </c>
      <c r="G85" s="14">
        <f>IF(VLOOKUP(B85,Data!$A:$AN,MATCH(yoy!$G$1,Data!$A$1:$AN$1,),)=0,"#N/A",(VLOOKUP(B85,Data!$A:$AN,MATCH(yoy!$G$1,Data!$A$1:$AN$1,),)-VLOOKUP(A85,Data!$A:$AN,MATCH(yoy!$G$1,Data!$A$1:$AN$1,),))/VLOOKUP(A85,Data!$A:$AN,MATCH(yoy!$G$1,Data!$A$1:$AN$1,),))</f>
        <v/>
      </c>
      <c r="H85" s="14">
        <f>IF(VLOOKUP(B85,Data!$A:$AN,MATCH(yoy!$H$1,Data!$A$1:$AN$1,),)=0,"#N/A",(VLOOKUP(B85,Data!$A:$AN,MATCH(yoy!$H$1,Data!$A$1:$AN$1,),)-VLOOKUP(A85,Data!$A:$AN,MATCH(yoy!$H$1,Data!$A$1:$AN$1,),))/VLOOKUP(A85,Data!$A:$AN,MATCH(yoy!$H$1,Data!$A$1:$AN$1,),))</f>
        <v/>
      </c>
      <c r="I85" s="14">
        <f>IF(VLOOKUP(B85,Data!$A:$AN,MATCH(yoy!$I$1,Data!$A$1:$AN$1,),)=0,"#N/A",(VLOOKUP(B85,Data!$A:$AN,MATCH(yoy!$I$1,Data!$A$1:$AN$1,),)-VLOOKUP(A85,Data!$A:$AN,MATCH(yoy!$I$1,Data!$A$1:$AN$1,),))/VLOOKUP(A85,Data!$A:$AN,MATCH(yoy!$I$1,Data!$A$1:$AN$1,),))</f>
        <v/>
      </c>
      <c r="J85" s="14">
        <f>IF(VLOOKUP(B85,Data!$A:$AN,MATCH(yoy!$J$1,Data!$A$1:$AN$1,),)=0,"#N/A",(VLOOKUP(B85,Data!$A:$AN,MATCH(yoy!$J$1,Data!$A$1:$AN$1,),)-VLOOKUP(A85,Data!$A:$AN,MATCH(yoy!$J$1,Data!$A$1:$AN$1,),))/VLOOKUP(A85,Data!$A:$AN,MATCH(yoy!$J$1,Data!$A$1:$AN$1,),))</f>
        <v/>
      </c>
      <c r="K85" s="14">
        <f>IF(VLOOKUP(B85,Data!$A:$AN,MATCH(yoy!$K$1,Data!$A$1:$AN$1,),)=0,"#N/A",(VLOOKUP(B85,Data!$A:$AN,MATCH(yoy!$K$1,Data!$A$1:$AN$1,),)-VLOOKUP(A85,Data!$A:$AN,MATCH(yoy!$K$1,Data!$A$1:$AN$1,),))/VLOOKUP(A85,Data!$A:$AN,MATCH(yoy!$K$1,Data!$A$1:$AN$1,),))</f>
        <v/>
      </c>
      <c r="L85" s="14">
        <f>IF(VLOOKUP(B85,Data!$A:$AN,MATCH(yoy!$L$1,Data!$A$1:$AN$1,),)=0,"#N/A",(VLOOKUP(B85,Data!$A:$AN,MATCH(yoy!$L$1,Data!$A$1:$AN$1,),)-VLOOKUP(A85,Data!$A:$AN,MATCH(yoy!$L$1,Data!$A$1:$AN$1,),))/VLOOKUP(A85,Data!$A:$AN,MATCH(yoy!$L$1,Data!$A$1:$AN$1,),))</f>
        <v/>
      </c>
      <c r="M85" s="14">
        <f>IF(VLOOKUP(B85,Data!$A:$AN,MATCH(yoy!$M$1,Data!$A$1:$AN$1,),)=0,"#N/A",(VLOOKUP(B85,Data!$A:$AN,MATCH(yoy!$M$1,Data!$A$1:$AN$1,),)-VLOOKUP(A85,Data!$A:$AN,MATCH(yoy!$M$1,Data!$A$1:$AN$1,),))/VLOOKUP(A85,Data!$A:$AN,MATCH(yoy!$M$1,Data!$A$1:$AN$1,),))</f>
        <v/>
      </c>
      <c r="N85" s="14">
        <f>IF(VLOOKUP(B85,Data!$A:$AN,MATCH(yoy!$N$1,Data!$A$1:$AN$1,),)=0,"#N/A",(VLOOKUP(B85,Data!$A:$AN,MATCH(yoy!$N$1,Data!$A$1:$AN$1,),)-VLOOKUP(A85,Data!$A:$AN,MATCH(yoy!$N$1,Data!$A$1:$AN$1,),))/VLOOKUP(A85,Data!$A:$AN,MATCH(yoy!$N$1,Data!$A$1:$AN$1,),))</f>
        <v/>
      </c>
      <c r="O85" s="14">
        <f>IF(VLOOKUP(B85,Data!$A:$AN,MATCH(yoy!$O$1,Data!$A$1:$AN$1,),)=0,"#N/A",(VLOOKUP(B85,Data!$A:$AN,MATCH(yoy!$O$1,Data!$A$1:$AN$1,),)-VLOOKUP(A85,Data!$A:$AN,MATCH(yoy!$O$1,Data!$A$1:$AN$1,),))/VLOOKUP(A85,Data!$A:$AN,MATCH(yoy!$O$1,Data!$A$1:$AN$1,),))</f>
        <v/>
      </c>
      <c r="P85" s="14">
        <f>IF(VLOOKUP(B85,Data!$A:$AN,MATCH(yoy!$P$1,Data!$A$1:$AN$1,),)=0,"#N/A",(VLOOKUP(B85,Data!$A:$AN,MATCH(yoy!$P$1,Data!$A$1:$AN$1,),)-VLOOKUP(A85,Data!$A:$AN,MATCH(yoy!$P$1,Data!$A$1:$AN$1,),))/VLOOKUP(A85,Data!$A:$AN,MATCH(yoy!$P$1,Data!$A$1:$AN$1,),))</f>
        <v/>
      </c>
      <c r="Q85" s="14">
        <f>IF(VLOOKUP(B85,Data!$A:$AN,MATCH(yoy!$Q$1,Data!$A$1:$AN$1,),)=0,"#N/A",(VLOOKUP(B85,Data!$A:$AN,MATCH(yoy!$Q$1,Data!$A$1:$AN$1,),)-VLOOKUP(A85,Data!$A:$AN,MATCH(yoy!$Q$1,Data!$A$1:$AN$1,),))/VLOOKUP(A85,Data!$A:$AN,MATCH(yoy!$Q$1,Data!$A$1:$AN$1,),))</f>
        <v/>
      </c>
      <c r="R85" s="14">
        <f>IF(VLOOKUP(B85,Data!$A:$AN,MATCH(yoy!$R$1,Data!$A$1:$AN$1,),)=0,"#N/A",(VLOOKUP(B85,Data!$A:$AN,MATCH(yoy!$R$1,Data!$A$1:$AN$1,),)-VLOOKUP(A85,Data!$A:$AN,MATCH(yoy!$R$1,Data!$A$1:$AN$1,),))/VLOOKUP(A85,Data!$A:$AN,MATCH(yoy!$R$1,Data!$A$1:$AN$1,),))</f>
        <v/>
      </c>
      <c r="S85" s="14">
        <f>IF(VLOOKUP(B85,Data!$A:$AN,MATCH(yoy!$S$1,Data!$A$1:$AN$1,),)=0,"#N/A",(VLOOKUP(B85,Data!$A:$AN,MATCH(yoy!$S$1,Data!$A$1:$AN$1,),)-VLOOKUP(A85,Data!$A:$AN,MATCH(yoy!$S$1,Data!$A$1:$AN$1,),))/VLOOKUP(A85,Data!$A:$AN,MATCH(yoy!$S$1,Data!$A$1:$AN$1,),))</f>
        <v/>
      </c>
      <c r="T85" s="14">
        <f>IF(VLOOKUP(B85,Data!$A:$AN,MATCH(yoy!$T$1,Data!$A$1:$AN$1,),)=0,"#N/A",(VLOOKUP(B85,Data!$A:$AN,MATCH(yoy!$T$1,Data!$A$1:$AN$1,),)-VLOOKUP(A85,Data!$A:$AN,MATCH(yoy!$T$1,Data!$A$1:$AN$1,),))/VLOOKUP(A85,Data!$A:$AN,MATCH(yoy!$T$1,Data!$A$1:$AN$1,),))</f>
        <v/>
      </c>
      <c r="U85" s="14">
        <f>IF(VLOOKUP(B85,Data!$A:$AN,MATCH(yoy!$U$1,Data!$A$1:$AN$1,),)=0,"#N/A",(VLOOKUP(B85,Data!$A:$AN,MATCH(yoy!$U$1,Data!$A$1:$AN$1,),)-VLOOKUP(A85,Data!$A:$AN,MATCH(yoy!$U$1,Data!$A$1:$AN$1,),))/VLOOKUP(A85,Data!$A:$AN,MATCH(yoy!$U$1,Data!$A$1:$AN$1,),))</f>
        <v/>
      </c>
      <c r="V85" s="14">
        <f>IF(VLOOKUP(B85,Data!$A:$AN,MATCH(yoy!$V$1,Data!$A$1:$AN$1,),)=0,"#N/A",(VLOOKUP(B85,Data!$A:$AN,MATCH(yoy!$V$1,Data!$A$1:$AN$1,),)-VLOOKUP(A85,Data!$A:$AN,MATCH(yoy!$V$1,Data!$A$1:$AN$1,),))/VLOOKUP(A85,Data!$A:$AN,MATCH(yoy!$V$1,Data!$A$1:$AN$1,),))</f>
        <v/>
      </c>
      <c r="W85" s="14">
        <f>IF(VLOOKUP(B85,Data!$A:$AN,MATCH(yoy!$W$1,Data!$A$1:$AN$1,),)=0,"#N/A",(VLOOKUP(B85,Data!$A:$AN,MATCH(yoy!$W$1,Data!$A$1:$AN$1,),)-VLOOKUP(A85,Data!$A:$AN,MATCH(yoy!$W$1,Data!$A$1:$AN$1,),))/VLOOKUP(A85,Data!$A:$AN,MATCH(yoy!$W$1,Data!$A$1:$AN$1,),))</f>
        <v/>
      </c>
      <c r="X85" s="14">
        <f>IF(VLOOKUP(B85,Data!$A:$AN,MATCH(yoy!$X$1,Data!$A$1:$AN$1,),)=0,"#N/A",(VLOOKUP(B85,Data!$A:$AN,MATCH(yoy!$X$1,Data!$A$1:$AN$1,),)-VLOOKUP(A85,Data!$A:$AN,MATCH(yoy!$X$1,Data!$A$1:$AN$1,),))/VLOOKUP(A85,Data!$A:$AN,MATCH(yoy!$X$1,Data!$A$1:$AN$1,),))</f>
        <v/>
      </c>
      <c r="Y85" s="14">
        <f>IF(VLOOKUP(B85,Data!$A:$AN,MATCH(yoy!$Y$1,Data!$A$1:$AN$1,),)=0,"#N/A",(VLOOKUP(B85,Data!$A:$AN,MATCH(yoy!$Y$1,Data!$A$1:$AN$1,),)-VLOOKUP(A85,Data!$A:$AN,MATCH(yoy!$Y$1,Data!$A$1:$AN$1,),))/VLOOKUP(A85,Data!$A:$AN,MATCH(yoy!$Y$1,Data!$A$1:$AN$1,),))</f>
        <v/>
      </c>
      <c r="Z85" s="14">
        <f>IF(VLOOKUP(B85,Data!$A:$AN,MATCH(yoy!$Z$1,Data!$A$1:$AN$1,),)=0,"#N/A",(VLOOKUP(B85,Data!$A:$AN,MATCH(yoy!$Z$1,Data!$A$1:$AN$1,),)-VLOOKUP(A85,Data!$A:$AN,MATCH(yoy!$Z$1,Data!$A$1:$AN$1,),))/VLOOKUP(A85,Data!$A:$AN,MATCH(yoy!$Z$1,Data!$A$1:$AN$1,),))</f>
        <v/>
      </c>
      <c r="AA85" s="14">
        <f>IF(VLOOKUP(B85,Data!$A:$AN,MATCH(yoy!$AA$1,Data!$A$1:$AN$1,),)=0,"#N/A",(VLOOKUP(B85,Data!$A:$AN,MATCH(yoy!$AA$1,Data!$A$1:$AN$1,),)-VLOOKUP(A85,Data!$A:$AN,MATCH(yoy!$AA$1,Data!$A$1:$AN$1,),))/VLOOKUP(A85,Data!$A:$AN,MATCH(yoy!$AA$1,Data!$A$1:$AN$1,),))</f>
        <v/>
      </c>
    </row>
    <row r="86" customFormat="1" s="77">
      <c r="A86" s="20">
        <f>DATE(YEAR(B86)-1,MONTH(B86),DAY(B86))</f>
        <v/>
      </c>
      <c r="B86" s="12" t="n">
        <v>44470</v>
      </c>
      <c r="C86" s="14">
        <f>IF(VLOOKUP(B86,Data!$A:$AN,MATCH(yoy!$C$1,Data!$A$1:$AN$1,),)=0,"#N/A",(VLOOKUP(B86,Data!$A:$AN,MATCH(yoy!$C$1,Data!$A$1:$AN$1,),)-VLOOKUP(A86,Data!$A:$AN,MATCH(yoy!$C$1,Data!$A$1:$AN$1,),))/VLOOKUP(A86,Data!$A:$AN,MATCH(yoy!$C$1,Data!$A$1:$AN$1,),))</f>
        <v/>
      </c>
      <c r="D86" s="14">
        <f>IF(VLOOKUP(B86,Data!$A:$AN,MATCH(yoy!$D$1,Data!$A$1:$AN$1,),)=0,"#N/A",(VLOOKUP(B86,Data!$A:$AN,MATCH(yoy!$D$1,Data!$A$1:$AN$1,),)-VLOOKUP(A86,Data!$A:$AN,MATCH(yoy!$D$1,Data!$A$1:$AN$1,),))/VLOOKUP(A86,Data!$A:$AN,MATCH(yoy!$D$1,Data!$A$1:$AN$1,),))</f>
        <v/>
      </c>
      <c r="E86" s="14">
        <f>IF(VLOOKUP(B86,Data!$A:$AN,MATCH(yoy!$E$1,Data!$A$1:$AN$1,),)=0,"#N/A",(VLOOKUP(B86,Data!$A:$AN,MATCH(yoy!$E$1,Data!$A$1:$AN$1,),)-VLOOKUP(A86,Data!$A:$AN,MATCH(yoy!$E$1,Data!$A$1:$AN$1,),))/VLOOKUP(A86,Data!$A:$AN,MATCH(yoy!$E$1,Data!$A$1:$AN$1,),))</f>
        <v/>
      </c>
      <c r="F86" s="14">
        <f>IF(VLOOKUP(B86,Data!$A:$AN,MATCH(yoy!$F$1,Data!$A$1:$AN$1,),)=0,"#N/A",(VLOOKUP(B86,Data!$A:$AN,MATCH(yoy!$F$1,Data!$A$1:$AN$1,),)-VLOOKUP(A86,Data!$A:$AN,MATCH(yoy!$F$1,Data!$A$1:$AN$1,),))/VLOOKUP(A86,Data!$A:$AN,MATCH(yoy!$F$1,Data!$A$1:$AN$1,),))</f>
        <v/>
      </c>
      <c r="G86" s="14">
        <f>IF(VLOOKUP(B86,Data!$A:$AN,MATCH(yoy!$G$1,Data!$A$1:$AN$1,),)=0,"#N/A",(VLOOKUP(B86,Data!$A:$AN,MATCH(yoy!$G$1,Data!$A$1:$AN$1,),)-VLOOKUP(A86,Data!$A:$AN,MATCH(yoy!$G$1,Data!$A$1:$AN$1,),))/VLOOKUP(A86,Data!$A:$AN,MATCH(yoy!$G$1,Data!$A$1:$AN$1,),))</f>
        <v/>
      </c>
      <c r="H86" s="14">
        <f>IF(VLOOKUP(B86,Data!$A:$AN,MATCH(yoy!$H$1,Data!$A$1:$AN$1,),)=0,"#N/A",(VLOOKUP(B86,Data!$A:$AN,MATCH(yoy!$H$1,Data!$A$1:$AN$1,),)-VLOOKUP(A86,Data!$A:$AN,MATCH(yoy!$H$1,Data!$A$1:$AN$1,),))/VLOOKUP(A86,Data!$A:$AN,MATCH(yoy!$H$1,Data!$A$1:$AN$1,),))</f>
        <v/>
      </c>
      <c r="I86" s="14">
        <f>IF(VLOOKUP(B86,Data!$A:$AN,MATCH(yoy!$I$1,Data!$A$1:$AN$1,),)=0,"#N/A",(VLOOKUP(B86,Data!$A:$AN,MATCH(yoy!$I$1,Data!$A$1:$AN$1,),)-VLOOKUP(A86,Data!$A:$AN,MATCH(yoy!$I$1,Data!$A$1:$AN$1,),))/VLOOKUP(A86,Data!$A:$AN,MATCH(yoy!$I$1,Data!$A$1:$AN$1,),))</f>
        <v/>
      </c>
      <c r="J86" s="14">
        <f>IF(VLOOKUP(B86,Data!$A:$AN,MATCH(yoy!$J$1,Data!$A$1:$AN$1,),)=0,"#N/A",(VLOOKUP(B86,Data!$A:$AN,MATCH(yoy!$J$1,Data!$A$1:$AN$1,),)-VLOOKUP(A86,Data!$A:$AN,MATCH(yoy!$J$1,Data!$A$1:$AN$1,),))/VLOOKUP(A86,Data!$A:$AN,MATCH(yoy!$J$1,Data!$A$1:$AN$1,),))</f>
        <v/>
      </c>
      <c r="K86" s="14">
        <f>IF(VLOOKUP(B86,Data!$A:$AN,MATCH(yoy!$K$1,Data!$A$1:$AN$1,),)=0,"#N/A",(VLOOKUP(B86,Data!$A:$AN,MATCH(yoy!$K$1,Data!$A$1:$AN$1,),)-VLOOKUP(A86,Data!$A:$AN,MATCH(yoy!$K$1,Data!$A$1:$AN$1,),))/VLOOKUP(A86,Data!$A:$AN,MATCH(yoy!$K$1,Data!$A$1:$AN$1,),))</f>
        <v/>
      </c>
      <c r="L86" s="14">
        <f>IF(VLOOKUP(B86,Data!$A:$AN,MATCH(yoy!$L$1,Data!$A$1:$AN$1,),)=0,"#N/A",(VLOOKUP(B86,Data!$A:$AN,MATCH(yoy!$L$1,Data!$A$1:$AN$1,),)-VLOOKUP(A86,Data!$A:$AN,MATCH(yoy!$L$1,Data!$A$1:$AN$1,),))/VLOOKUP(A86,Data!$A:$AN,MATCH(yoy!$L$1,Data!$A$1:$AN$1,),))</f>
        <v/>
      </c>
      <c r="M86" s="14">
        <f>IF(VLOOKUP(B86,Data!$A:$AN,MATCH(yoy!$M$1,Data!$A$1:$AN$1,),)=0,"#N/A",(VLOOKUP(B86,Data!$A:$AN,MATCH(yoy!$M$1,Data!$A$1:$AN$1,),)-VLOOKUP(A86,Data!$A:$AN,MATCH(yoy!$M$1,Data!$A$1:$AN$1,),))/VLOOKUP(A86,Data!$A:$AN,MATCH(yoy!$M$1,Data!$A$1:$AN$1,),))</f>
        <v/>
      </c>
      <c r="N86" s="14">
        <f>IF(VLOOKUP(B86,Data!$A:$AN,MATCH(yoy!$N$1,Data!$A$1:$AN$1,),)=0,"#N/A",(VLOOKUP(B86,Data!$A:$AN,MATCH(yoy!$N$1,Data!$A$1:$AN$1,),)-VLOOKUP(A86,Data!$A:$AN,MATCH(yoy!$N$1,Data!$A$1:$AN$1,),))/VLOOKUP(A86,Data!$A:$AN,MATCH(yoy!$N$1,Data!$A$1:$AN$1,),))</f>
        <v/>
      </c>
      <c r="O86" s="14">
        <f>IF(VLOOKUP(B86,Data!$A:$AN,MATCH(yoy!$O$1,Data!$A$1:$AN$1,),)=0,"#N/A",(VLOOKUP(B86,Data!$A:$AN,MATCH(yoy!$O$1,Data!$A$1:$AN$1,),)-VLOOKUP(A86,Data!$A:$AN,MATCH(yoy!$O$1,Data!$A$1:$AN$1,),))/VLOOKUP(A86,Data!$A:$AN,MATCH(yoy!$O$1,Data!$A$1:$AN$1,),))</f>
        <v/>
      </c>
      <c r="P86" s="14">
        <f>IF(VLOOKUP(B86,Data!$A:$AN,MATCH(yoy!$P$1,Data!$A$1:$AN$1,),)=0,"#N/A",(VLOOKUP(B86,Data!$A:$AN,MATCH(yoy!$P$1,Data!$A$1:$AN$1,),)-VLOOKUP(A86,Data!$A:$AN,MATCH(yoy!$P$1,Data!$A$1:$AN$1,),))/VLOOKUP(A86,Data!$A:$AN,MATCH(yoy!$P$1,Data!$A$1:$AN$1,),))</f>
        <v/>
      </c>
      <c r="Q86" s="14">
        <f>IF(VLOOKUP(B86,Data!$A:$AN,MATCH(yoy!$Q$1,Data!$A$1:$AN$1,),)=0,"#N/A",(VLOOKUP(B86,Data!$A:$AN,MATCH(yoy!$Q$1,Data!$A$1:$AN$1,),)-VLOOKUP(A86,Data!$A:$AN,MATCH(yoy!$Q$1,Data!$A$1:$AN$1,),))/VLOOKUP(A86,Data!$A:$AN,MATCH(yoy!$Q$1,Data!$A$1:$AN$1,),))</f>
        <v/>
      </c>
      <c r="R86" s="14">
        <f>IF(VLOOKUP(B86,Data!$A:$AN,MATCH(yoy!$R$1,Data!$A$1:$AN$1,),)=0,"#N/A",(VLOOKUP(B86,Data!$A:$AN,MATCH(yoy!$R$1,Data!$A$1:$AN$1,),)-VLOOKUP(A86,Data!$A:$AN,MATCH(yoy!$R$1,Data!$A$1:$AN$1,),))/VLOOKUP(A86,Data!$A:$AN,MATCH(yoy!$R$1,Data!$A$1:$AN$1,),))</f>
        <v/>
      </c>
      <c r="S86" s="14">
        <f>IF(VLOOKUP(B86,Data!$A:$AN,MATCH(yoy!$S$1,Data!$A$1:$AN$1,),)=0,"#N/A",(VLOOKUP(B86,Data!$A:$AN,MATCH(yoy!$S$1,Data!$A$1:$AN$1,),)-VLOOKUP(A86,Data!$A:$AN,MATCH(yoy!$S$1,Data!$A$1:$AN$1,),))/VLOOKUP(A86,Data!$A:$AN,MATCH(yoy!$S$1,Data!$A$1:$AN$1,),))</f>
        <v/>
      </c>
      <c r="T86" s="14">
        <f>IF(VLOOKUP(B86,Data!$A:$AN,MATCH(yoy!$T$1,Data!$A$1:$AN$1,),)=0,"#N/A",(VLOOKUP(B86,Data!$A:$AN,MATCH(yoy!$T$1,Data!$A$1:$AN$1,),)-VLOOKUP(A86,Data!$A:$AN,MATCH(yoy!$T$1,Data!$A$1:$AN$1,),))/VLOOKUP(A86,Data!$A:$AN,MATCH(yoy!$T$1,Data!$A$1:$AN$1,),))</f>
        <v/>
      </c>
      <c r="U86" s="14">
        <f>IF(VLOOKUP(B86,Data!$A:$AN,MATCH(yoy!$U$1,Data!$A$1:$AN$1,),)=0,"#N/A",(VLOOKUP(B86,Data!$A:$AN,MATCH(yoy!$U$1,Data!$A$1:$AN$1,),)-VLOOKUP(A86,Data!$A:$AN,MATCH(yoy!$U$1,Data!$A$1:$AN$1,),))/VLOOKUP(A86,Data!$A:$AN,MATCH(yoy!$U$1,Data!$A$1:$AN$1,),))</f>
        <v/>
      </c>
      <c r="V86" s="14">
        <f>IF(VLOOKUP(B86,Data!$A:$AN,MATCH(yoy!$V$1,Data!$A$1:$AN$1,),)=0,"#N/A",(VLOOKUP(B86,Data!$A:$AN,MATCH(yoy!$V$1,Data!$A$1:$AN$1,),)-VLOOKUP(A86,Data!$A:$AN,MATCH(yoy!$V$1,Data!$A$1:$AN$1,),))/VLOOKUP(A86,Data!$A:$AN,MATCH(yoy!$V$1,Data!$A$1:$AN$1,),))</f>
        <v/>
      </c>
      <c r="W86" s="14">
        <f>IF(VLOOKUP(B86,Data!$A:$AN,MATCH(yoy!$W$1,Data!$A$1:$AN$1,),)=0,"#N/A",(VLOOKUP(B86,Data!$A:$AN,MATCH(yoy!$W$1,Data!$A$1:$AN$1,),)-VLOOKUP(A86,Data!$A:$AN,MATCH(yoy!$W$1,Data!$A$1:$AN$1,),))/VLOOKUP(A86,Data!$A:$AN,MATCH(yoy!$W$1,Data!$A$1:$AN$1,),))</f>
        <v/>
      </c>
      <c r="X86" s="14">
        <f>IF(VLOOKUP(B86,Data!$A:$AN,MATCH(yoy!$X$1,Data!$A$1:$AN$1,),)=0,"#N/A",(VLOOKUP(B86,Data!$A:$AN,MATCH(yoy!$X$1,Data!$A$1:$AN$1,),)-VLOOKUP(A86,Data!$A:$AN,MATCH(yoy!$X$1,Data!$A$1:$AN$1,),))/VLOOKUP(A86,Data!$A:$AN,MATCH(yoy!$X$1,Data!$A$1:$AN$1,),))</f>
        <v/>
      </c>
      <c r="Y86" s="14">
        <f>IF(VLOOKUP(B86,Data!$A:$AN,MATCH(yoy!$Y$1,Data!$A$1:$AN$1,),)=0,"#N/A",(VLOOKUP(B86,Data!$A:$AN,MATCH(yoy!$Y$1,Data!$A$1:$AN$1,),)-VLOOKUP(A86,Data!$A:$AN,MATCH(yoy!$Y$1,Data!$A$1:$AN$1,),))/VLOOKUP(A86,Data!$A:$AN,MATCH(yoy!$Y$1,Data!$A$1:$AN$1,),))</f>
        <v/>
      </c>
      <c r="Z86" s="14">
        <f>IF(VLOOKUP(B86,Data!$A:$AN,MATCH(yoy!$Z$1,Data!$A$1:$AN$1,),)=0,"#N/A",(VLOOKUP(B86,Data!$A:$AN,MATCH(yoy!$Z$1,Data!$A$1:$AN$1,),)-VLOOKUP(A86,Data!$A:$AN,MATCH(yoy!$Z$1,Data!$A$1:$AN$1,),))/VLOOKUP(A86,Data!$A:$AN,MATCH(yoy!$Z$1,Data!$A$1:$AN$1,),))</f>
        <v/>
      </c>
      <c r="AA86" s="14">
        <f>IF(VLOOKUP(B86,Data!$A:$AN,MATCH(yoy!$AA$1,Data!$A$1:$AN$1,),)=0,"#N/A",(VLOOKUP(B86,Data!$A:$AN,MATCH(yoy!$AA$1,Data!$A$1:$AN$1,),)-VLOOKUP(A86,Data!$A:$AN,MATCH(yoy!$AA$1,Data!$A$1:$AN$1,),))/VLOOKUP(A86,Data!$A:$AN,MATCH(yoy!$AA$1,Data!$A$1:$AN$1,),))</f>
        <v/>
      </c>
    </row>
    <row r="87" customFormat="1" s="77">
      <c r="A87" s="20">
        <f>DATE(YEAR(B87)-1,MONTH(B87),DAY(B87))</f>
        <v/>
      </c>
      <c r="B87" s="12" t="n">
        <v>44501</v>
      </c>
      <c r="C87" s="14">
        <f>IF(VLOOKUP(B87,Data!$A:$AN,MATCH(yoy!$C$1,Data!$A$1:$AN$1,),)=0,"#N/A",(VLOOKUP(B87,Data!$A:$AN,MATCH(yoy!$C$1,Data!$A$1:$AN$1,),)-VLOOKUP(A87,Data!$A:$AN,MATCH(yoy!$C$1,Data!$A$1:$AN$1,),))/VLOOKUP(A87,Data!$A:$AN,MATCH(yoy!$C$1,Data!$A$1:$AN$1,),))</f>
        <v/>
      </c>
      <c r="D87" s="14">
        <f>IF(VLOOKUP(B87,Data!$A:$AN,MATCH(yoy!$D$1,Data!$A$1:$AN$1,),)=0,"#N/A",(VLOOKUP(B87,Data!$A:$AN,MATCH(yoy!$D$1,Data!$A$1:$AN$1,),)-VLOOKUP(A87,Data!$A:$AN,MATCH(yoy!$D$1,Data!$A$1:$AN$1,),))/VLOOKUP(A87,Data!$A:$AN,MATCH(yoy!$D$1,Data!$A$1:$AN$1,),))</f>
        <v/>
      </c>
      <c r="E87" s="14">
        <f>IF(VLOOKUP(B87,Data!$A:$AN,MATCH(yoy!$E$1,Data!$A$1:$AN$1,),)=0,"#N/A",(VLOOKUP(B87,Data!$A:$AN,MATCH(yoy!$E$1,Data!$A$1:$AN$1,),)-VLOOKUP(A87,Data!$A:$AN,MATCH(yoy!$E$1,Data!$A$1:$AN$1,),))/VLOOKUP(A87,Data!$A:$AN,MATCH(yoy!$E$1,Data!$A$1:$AN$1,),))</f>
        <v/>
      </c>
      <c r="F87" s="14">
        <f>IF(VLOOKUP(B87,Data!$A:$AN,MATCH(yoy!$F$1,Data!$A$1:$AN$1,),)=0,"#N/A",(VLOOKUP(B87,Data!$A:$AN,MATCH(yoy!$F$1,Data!$A$1:$AN$1,),)-VLOOKUP(A87,Data!$A:$AN,MATCH(yoy!$F$1,Data!$A$1:$AN$1,),))/VLOOKUP(A87,Data!$A:$AN,MATCH(yoy!$F$1,Data!$A$1:$AN$1,),))</f>
        <v/>
      </c>
      <c r="G87" s="14">
        <f>IF(VLOOKUP(B87,Data!$A:$AN,MATCH(yoy!$G$1,Data!$A$1:$AN$1,),)=0,"#N/A",(VLOOKUP(B87,Data!$A:$AN,MATCH(yoy!$G$1,Data!$A$1:$AN$1,),)-VLOOKUP(A87,Data!$A:$AN,MATCH(yoy!$G$1,Data!$A$1:$AN$1,),))/VLOOKUP(A87,Data!$A:$AN,MATCH(yoy!$G$1,Data!$A$1:$AN$1,),))</f>
        <v/>
      </c>
      <c r="H87" s="14">
        <f>IF(VLOOKUP(B87,Data!$A:$AN,MATCH(yoy!$H$1,Data!$A$1:$AN$1,),)=0,"#N/A",(VLOOKUP(B87,Data!$A:$AN,MATCH(yoy!$H$1,Data!$A$1:$AN$1,),)-VLOOKUP(A87,Data!$A:$AN,MATCH(yoy!$H$1,Data!$A$1:$AN$1,),))/VLOOKUP(A87,Data!$A:$AN,MATCH(yoy!$H$1,Data!$A$1:$AN$1,),))</f>
        <v/>
      </c>
      <c r="I87" s="14">
        <f>IF(VLOOKUP(B87,Data!$A:$AN,MATCH(yoy!$I$1,Data!$A$1:$AN$1,),)=0,"#N/A",(VLOOKUP(B87,Data!$A:$AN,MATCH(yoy!$I$1,Data!$A$1:$AN$1,),)-VLOOKUP(A87,Data!$A:$AN,MATCH(yoy!$I$1,Data!$A$1:$AN$1,),))/VLOOKUP(A87,Data!$A:$AN,MATCH(yoy!$I$1,Data!$A$1:$AN$1,),))</f>
        <v/>
      </c>
      <c r="J87" s="14">
        <f>IF(VLOOKUP(B87,Data!$A:$AN,MATCH(yoy!$J$1,Data!$A$1:$AN$1,),)=0,"#N/A",(VLOOKUP(B87,Data!$A:$AN,MATCH(yoy!$J$1,Data!$A$1:$AN$1,),)-VLOOKUP(A87,Data!$A:$AN,MATCH(yoy!$J$1,Data!$A$1:$AN$1,),))/VLOOKUP(A87,Data!$A:$AN,MATCH(yoy!$J$1,Data!$A$1:$AN$1,),))</f>
        <v/>
      </c>
      <c r="K87" s="14">
        <f>IF(VLOOKUP(B87,Data!$A:$AN,MATCH(yoy!$K$1,Data!$A$1:$AN$1,),)=0,"#N/A",(VLOOKUP(B87,Data!$A:$AN,MATCH(yoy!$K$1,Data!$A$1:$AN$1,),)-VLOOKUP(A87,Data!$A:$AN,MATCH(yoy!$K$1,Data!$A$1:$AN$1,),))/VLOOKUP(A87,Data!$A:$AN,MATCH(yoy!$K$1,Data!$A$1:$AN$1,),))</f>
        <v/>
      </c>
      <c r="L87" s="14">
        <f>IF(VLOOKUP(B87,Data!$A:$AN,MATCH(yoy!$L$1,Data!$A$1:$AN$1,),)=0,"#N/A",(VLOOKUP(B87,Data!$A:$AN,MATCH(yoy!$L$1,Data!$A$1:$AN$1,),)-VLOOKUP(A87,Data!$A:$AN,MATCH(yoy!$L$1,Data!$A$1:$AN$1,),))/VLOOKUP(A87,Data!$A:$AN,MATCH(yoy!$L$1,Data!$A$1:$AN$1,),))</f>
        <v/>
      </c>
      <c r="M87" s="14">
        <f>IF(VLOOKUP(B87,Data!$A:$AN,MATCH(yoy!$M$1,Data!$A$1:$AN$1,),)=0,"#N/A",(VLOOKUP(B87,Data!$A:$AN,MATCH(yoy!$M$1,Data!$A$1:$AN$1,),)-VLOOKUP(A87,Data!$A:$AN,MATCH(yoy!$M$1,Data!$A$1:$AN$1,),))/VLOOKUP(A87,Data!$A:$AN,MATCH(yoy!$M$1,Data!$A$1:$AN$1,),))</f>
        <v/>
      </c>
      <c r="N87" s="14">
        <f>IF(VLOOKUP(B87,Data!$A:$AN,MATCH(yoy!$N$1,Data!$A$1:$AN$1,),)=0,"#N/A",(VLOOKUP(B87,Data!$A:$AN,MATCH(yoy!$N$1,Data!$A$1:$AN$1,),)-VLOOKUP(A87,Data!$A:$AN,MATCH(yoy!$N$1,Data!$A$1:$AN$1,),))/VLOOKUP(A87,Data!$A:$AN,MATCH(yoy!$N$1,Data!$A$1:$AN$1,),))</f>
        <v/>
      </c>
      <c r="O87" s="14">
        <f>IF(VLOOKUP(B87,Data!$A:$AN,MATCH(yoy!$O$1,Data!$A$1:$AN$1,),)=0,"#N/A",(VLOOKUP(B87,Data!$A:$AN,MATCH(yoy!$O$1,Data!$A$1:$AN$1,),)-VLOOKUP(A87,Data!$A:$AN,MATCH(yoy!$O$1,Data!$A$1:$AN$1,),))/VLOOKUP(A87,Data!$A:$AN,MATCH(yoy!$O$1,Data!$A$1:$AN$1,),))</f>
        <v/>
      </c>
      <c r="P87" s="14">
        <f>IF(VLOOKUP(B87,Data!$A:$AN,MATCH(yoy!$P$1,Data!$A$1:$AN$1,),)=0,"#N/A",(VLOOKUP(B87,Data!$A:$AN,MATCH(yoy!$P$1,Data!$A$1:$AN$1,),)-VLOOKUP(A87,Data!$A:$AN,MATCH(yoy!$P$1,Data!$A$1:$AN$1,),))/VLOOKUP(A87,Data!$A:$AN,MATCH(yoy!$P$1,Data!$A$1:$AN$1,),))</f>
        <v/>
      </c>
      <c r="Q87" s="14">
        <f>IF(VLOOKUP(B87,Data!$A:$AN,MATCH(yoy!$Q$1,Data!$A$1:$AN$1,),)=0,"#N/A",(VLOOKUP(B87,Data!$A:$AN,MATCH(yoy!$Q$1,Data!$A$1:$AN$1,),)-VLOOKUP(A87,Data!$A:$AN,MATCH(yoy!$Q$1,Data!$A$1:$AN$1,),))/VLOOKUP(A87,Data!$A:$AN,MATCH(yoy!$Q$1,Data!$A$1:$AN$1,),))</f>
        <v/>
      </c>
      <c r="R87" s="14">
        <f>IF(VLOOKUP(B87,Data!$A:$AN,MATCH(yoy!$R$1,Data!$A$1:$AN$1,),)=0,"#N/A",(VLOOKUP(B87,Data!$A:$AN,MATCH(yoy!$R$1,Data!$A$1:$AN$1,),)-VLOOKUP(A87,Data!$A:$AN,MATCH(yoy!$R$1,Data!$A$1:$AN$1,),))/VLOOKUP(A87,Data!$A:$AN,MATCH(yoy!$R$1,Data!$A$1:$AN$1,),))</f>
        <v/>
      </c>
      <c r="S87" s="14">
        <f>IF(VLOOKUP(B87,Data!$A:$AN,MATCH(yoy!$S$1,Data!$A$1:$AN$1,),)=0,"#N/A",(VLOOKUP(B87,Data!$A:$AN,MATCH(yoy!$S$1,Data!$A$1:$AN$1,),)-VLOOKUP(A87,Data!$A:$AN,MATCH(yoy!$S$1,Data!$A$1:$AN$1,),))/VLOOKUP(A87,Data!$A:$AN,MATCH(yoy!$S$1,Data!$A$1:$AN$1,),))</f>
        <v/>
      </c>
      <c r="T87" s="14">
        <f>IF(VLOOKUP(B87,Data!$A:$AN,MATCH(yoy!$T$1,Data!$A$1:$AN$1,),)=0,"#N/A",(VLOOKUP(B87,Data!$A:$AN,MATCH(yoy!$T$1,Data!$A$1:$AN$1,),)-VLOOKUP(A87,Data!$A:$AN,MATCH(yoy!$T$1,Data!$A$1:$AN$1,),))/VLOOKUP(A87,Data!$A:$AN,MATCH(yoy!$T$1,Data!$A$1:$AN$1,),))</f>
        <v/>
      </c>
      <c r="U87" s="14">
        <f>IF(VLOOKUP(B87,Data!$A:$AN,MATCH(yoy!$U$1,Data!$A$1:$AN$1,),)=0,"#N/A",(VLOOKUP(B87,Data!$A:$AN,MATCH(yoy!$U$1,Data!$A$1:$AN$1,),)-VLOOKUP(A87,Data!$A:$AN,MATCH(yoy!$U$1,Data!$A$1:$AN$1,),))/VLOOKUP(A87,Data!$A:$AN,MATCH(yoy!$U$1,Data!$A$1:$AN$1,),))</f>
        <v/>
      </c>
      <c r="V87" s="14">
        <f>IF(VLOOKUP(B87,Data!$A:$AN,MATCH(yoy!$V$1,Data!$A$1:$AN$1,),)=0,"#N/A",(VLOOKUP(B87,Data!$A:$AN,MATCH(yoy!$V$1,Data!$A$1:$AN$1,),)-VLOOKUP(A87,Data!$A:$AN,MATCH(yoy!$V$1,Data!$A$1:$AN$1,),))/VLOOKUP(A87,Data!$A:$AN,MATCH(yoy!$V$1,Data!$A$1:$AN$1,),))</f>
        <v/>
      </c>
      <c r="W87" s="14">
        <f>IF(VLOOKUP(B87,Data!$A:$AN,MATCH(yoy!$W$1,Data!$A$1:$AN$1,),)=0,"#N/A",(VLOOKUP(B87,Data!$A:$AN,MATCH(yoy!$W$1,Data!$A$1:$AN$1,),)-VLOOKUP(A87,Data!$A:$AN,MATCH(yoy!$W$1,Data!$A$1:$AN$1,),))/VLOOKUP(A87,Data!$A:$AN,MATCH(yoy!$W$1,Data!$A$1:$AN$1,),))</f>
        <v/>
      </c>
      <c r="X87" s="14">
        <f>IF(VLOOKUP(B87,Data!$A:$AN,MATCH(yoy!$X$1,Data!$A$1:$AN$1,),)=0,"#N/A",(VLOOKUP(B87,Data!$A:$AN,MATCH(yoy!$X$1,Data!$A$1:$AN$1,),)-VLOOKUP(A87,Data!$A:$AN,MATCH(yoy!$X$1,Data!$A$1:$AN$1,),))/VLOOKUP(A87,Data!$A:$AN,MATCH(yoy!$X$1,Data!$A$1:$AN$1,),))</f>
        <v/>
      </c>
      <c r="Y87" s="14">
        <f>IF(VLOOKUP(B87,Data!$A:$AN,MATCH(yoy!$Y$1,Data!$A$1:$AN$1,),)=0,"#N/A",(VLOOKUP(B87,Data!$A:$AN,MATCH(yoy!$Y$1,Data!$A$1:$AN$1,),)-VLOOKUP(A87,Data!$A:$AN,MATCH(yoy!$Y$1,Data!$A$1:$AN$1,),))/VLOOKUP(A87,Data!$A:$AN,MATCH(yoy!$Y$1,Data!$A$1:$AN$1,),))</f>
        <v/>
      </c>
      <c r="Z87" s="14">
        <f>IF(VLOOKUP(B87,Data!$A:$AN,MATCH(yoy!$Z$1,Data!$A$1:$AN$1,),)=0,"#N/A",(VLOOKUP(B87,Data!$A:$AN,MATCH(yoy!$Z$1,Data!$A$1:$AN$1,),)-VLOOKUP(A87,Data!$A:$AN,MATCH(yoy!$Z$1,Data!$A$1:$AN$1,),))/VLOOKUP(A87,Data!$A:$AN,MATCH(yoy!$Z$1,Data!$A$1:$AN$1,),))</f>
        <v/>
      </c>
      <c r="AA87" s="14">
        <f>IF(VLOOKUP(B87,Data!$A:$AN,MATCH(yoy!$AA$1,Data!$A$1:$AN$1,),)=0,"#N/A",(VLOOKUP(B87,Data!$A:$AN,MATCH(yoy!$AA$1,Data!$A$1:$AN$1,),)-VLOOKUP(A87,Data!$A:$AN,MATCH(yoy!$AA$1,Data!$A$1:$AN$1,),))/VLOOKUP(A87,Data!$A:$AN,MATCH(yoy!$AA$1,Data!$A$1:$AN$1,),))</f>
        <v/>
      </c>
    </row>
    <row r="88" customFormat="1" s="77">
      <c r="A88" s="20">
        <f>DATE(YEAR(B88)-1,MONTH(B88),DAY(B88))</f>
        <v/>
      </c>
      <c r="B88" s="12" t="n">
        <v>44531</v>
      </c>
      <c r="C88" s="14">
        <f>IF(VLOOKUP(B88,Data!$A:$AN,MATCH(yoy!$C$1,Data!$A$1:$AN$1,),)=0,"#N/A",(VLOOKUP(B88,Data!$A:$AN,MATCH(yoy!$C$1,Data!$A$1:$AN$1,),)-VLOOKUP(A88,Data!$A:$AN,MATCH(yoy!$C$1,Data!$A$1:$AN$1,),))/VLOOKUP(A88,Data!$A:$AN,MATCH(yoy!$C$1,Data!$A$1:$AN$1,),))</f>
        <v/>
      </c>
      <c r="D88" s="14">
        <f>IF(VLOOKUP(B88,Data!$A:$AN,MATCH(yoy!$D$1,Data!$A$1:$AN$1,),)=0,"#N/A",(VLOOKUP(B88,Data!$A:$AN,MATCH(yoy!$D$1,Data!$A$1:$AN$1,),)-VLOOKUP(A88,Data!$A:$AN,MATCH(yoy!$D$1,Data!$A$1:$AN$1,),))/VLOOKUP(A88,Data!$A:$AN,MATCH(yoy!$D$1,Data!$A$1:$AN$1,),))</f>
        <v/>
      </c>
      <c r="E88" s="14">
        <f>IF(VLOOKUP(B88,Data!$A:$AN,MATCH(yoy!$E$1,Data!$A$1:$AN$1,),)=0,"#N/A",(VLOOKUP(B88,Data!$A:$AN,MATCH(yoy!$E$1,Data!$A$1:$AN$1,),)-VLOOKUP(A88,Data!$A:$AN,MATCH(yoy!$E$1,Data!$A$1:$AN$1,),))/VLOOKUP(A88,Data!$A:$AN,MATCH(yoy!$E$1,Data!$A$1:$AN$1,),))</f>
        <v/>
      </c>
      <c r="F88" s="14">
        <f>IF(VLOOKUP(B88,Data!$A:$AN,MATCH(yoy!$F$1,Data!$A$1:$AN$1,),)=0,"#N/A",(VLOOKUP(B88,Data!$A:$AN,MATCH(yoy!$F$1,Data!$A$1:$AN$1,),)-VLOOKUP(A88,Data!$A:$AN,MATCH(yoy!$F$1,Data!$A$1:$AN$1,),))/VLOOKUP(A88,Data!$A:$AN,MATCH(yoy!$F$1,Data!$A$1:$AN$1,),))</f>
        <v/>
      </c>
      <c r="G88" s="14">
        <f>IF(VLOOKUP(B88,Data!$A:$AN,MATCH(yoy!$G$1,Data!$A$1:$AN$1,),)=0,"#N/A",(VLOOKUP(B88,Data!$A:$AN,MATCH(yoy!$G$1,Data!$A$1:$AN$1,),)-VLOOKUP(A88,Data!$A:$AN,MATCH(yoy!$G$1,Data!$A$1:$AN$1,),))/VLOOKUP(A88,Data!$A:$AN,MATCH(yoy!$G$1,Data!$A$1:$AN$1,),))</f>
        <v/>
      </c>
      <c r="H88" s="14">
        <f>IF(VLOOKUP(B88,Data!$A:$AN,MATCH(yoy!$H$1,Data!$A$1:$AN$1,),)=0,"#N/A",(VLOOKUP(B88,Data!$A:$AN,MATCH(yoy!$H$1,Data!$A$1:$AN$1,),)-VLOOKUP(A88,Data!$A:$AN,MATCH(yoy!$H$1,Data!$A$1:$AN$1,),))/VLOOKUP(A88,Data!$A:$AN,MATCH(yoy!$H$1,Data!$A$1:$AN$1,),))</f>
        <v/>
      </c>
      <c r="I88" s="14">
        <f>IF(VLOOKUP(B88,Data!$A:$AN,MATCH(yoy!$I$1,Data!$A$1:$AN$1,),)=0,"#N/A",(VLOOKUP(B88,Data!$A:$AN,MATCH(yoy!$I$1,Data!$A$1:$AN$1,),)-VLOOKUP(A88,Data!$A:$AN,MATCH(yoy!$I$1,Data!$A$1:$AN$1,),))/VLOOKUP(A88,Data!$A:$AN,MATCH(yoy!$I$1,Data!$A$1:$AN$1,),))</f>
        <v/>
      </c>
      <c r="J88" s="14">
        <f>IF(VLOOKUP(B88,Data!$A:$AN,MATCH(yoy!$J$1,Data!$A$1:$AN$1,),)=0,"#N/A",(VLOOKUP(B88,Data!$A:$AN,MATCH(yoy!$J$1,Data!$A$1:$AN$1,),)-VLOOKUP(A88,Data!$A:$AN,MATCH(yoy!$J$1,Data!$A$1:$AN$1,),))/VLOOKUP(A88,Data!$A:$AN,MATCH(yoy!$J$1,Data!$A$1:$AN$1,),))</f>
        <v/>
      </c>
      <c r="K88" s="14">
        <f>IF(VLOOKUP(B88,Data!$A:$AN,MATCH(yoy!$K$1,Data!$A$1:$AN$1,),)=0,"#N/A",(VLOOKUP(B88,Data!$A:$AN,MATCH(yoy!$K$1,Data!$A$1:$AN$1,),)-VLOOKUP(A88,Data!$A:$AN,MATCH(yoy!$K$1,Data!$A$1:$AN$1,),))/VLOOKUP(A88,Data!$A:$AN,MATCH(yoy!$K$1,Data!$A$1:$AN$1,),))</f>
        <v/>
      </c>
      <c r="L88" s="14">
        <f>IF(VLOOKUP(B88,Data!$A:$AN,MATCH(yoy!$L$1,Data!$A$1:$AN$1,),)=0,"#N/A",(VLOOKUP(B88,Data!$A:$AN,MATCH(yoy!$L$1,Data!$A$1:$AN$1,),)-VLOOKUP(A88,Data!$A:$AN,MATCH(yoy!$L$1,Data!$A$1:$AN$1,),))/VLOOKUP(A88,Data!$A:$AN,MATCH(yoy!$L$1,Data!$A$1:$AN$1,),))</f>
        <v/>
      </c>
      <c r="M88" s="14">
        <f>IF(VLOOKUP(B88,Data!$A:$AN,MATCH(yoy!$M$1,Data!$A$1:$AN$1,),)=0,"#N/A",(VLOOKUP(B88,Data!$A:$AN,MATCH(yoy!$M$1,Data!$A$1:$AN$1,),)-VLOOKUP(A88,Data!$A:$AN,MATCH(yoy!$M$1,Data!$A$1:$AN$1,),))/VLOOKUP(A88,Data!$A:$AN,MATCH(yoy!$M$1,Data!$A$1:$AN$1,),))</f>
        <v/>
      </c>
      <c r="N88" s="14">
        <f>IF(VLOOKUP(B88,Data!$A:$AN,MATCH(yoy!$N$1,Data!$A$1:$AN$1,),)=0,"#N/A",(VLOOKUP(B88,Data!$A:$AN,MATCH(yoy!$N$1,Data!$A$1:$AN$1,),)-VLOOKUP(A88,Data!$A:$AN,MATCH(yoy!$N$1,Data!$A$1:$AN$1,),))/VLOOKUP(A88,Data!$A:$AN,MATCH(yoy!$N$1,Data!$A$1:$AN$1,),))</f>
        <v/>
      </c>
      <c r="O88" s="14">
        <f>IF(VLOOKUP(B88,Data!$A:$AN,MATCH(yoy!$O$1,Data!$A$1:$AN$1,),)=0,"#N/A",(VLOOKUP(B88,Data!$A:$AN,MATCH(yoy!$O$1,Data!$A$1:$AN$1,),)-VLOOKUP(A88,Data!$A:$AN,MATCH(yoy!$O$1,Data!$A$1:$AN$1,),))/VLOOKUP(A88,Data!$A:$AN,MATCH(yoy!$O$1,Data!$A$1:$AN$1,),))</f>
        <v/>
      </c>
      <c r="P88" s="14">
        <f>IF(VLOOKUP(B88,Data!$A:$AN,MATCH(yoy!$P$1,Data!$A$1:$AN$1,),)=0,"#N/A",(VLOOKUP(B88,Data!$A:$AN,MATCH(yoy!$P$1,Data!$A$1:$AN$1,),)-VLOOKUP(A88,Data!$A:$AN,MATCH(yoy!$P$1,Data!$A$1:$AN$1,),))/VLOOKUP(A88,Data!$A:$AN,MATCH(yoy!$P$1,Data!$A$1:$AN$1,),))</f>
        <v/>
      </c>
      <c r="Q88" s="14">
        <f>IF(VLOOKUP(B88,Data!$A:$AN,MATCH(yoy!$Q$1,Data!$A$1:$AN$1,),)=0,"#N/A",(VLOOKUP(B88,Data!$A:$AN,MATCH(yoy!$Q$1,Data!$A$1:$AN$1,),)-VLOOKUP(A88,Data!$A:$AN,MATCH(yoy!$Q$1,Data!$A$1:$AN$1,),))/VLOOKUP(A88,Data!$A:$AN,MATCH(yoy!$Q$1,Data!$A$1:$AN$1,),))</f>
        <v/>
      </c>
      <c r="R88" s="14">
        <f>IF(VLOOKUP(B88,Data!$A:$AN,MATCH(yoy!$R$1,Data!$A$1:$AN$1,),)=0,"#N/A",(VLOOKUP(B88,Data!$A:$AN,MATCH(yoy!$R$1,Data!$A$1:$AN$1,),)-VLOOKUP(A88,Data!$A:$AN,MATCH(yoy!$R$1,Data!$A$1:$AN$1,),))/VLOOKUP(A88,Data!$A:$AN,MATCH(yoy!$R$1,Data!$A$1:$AN$1,),))</f>
        <v/>
      </c>
      <c r="S88" s="14">
        <f>IF(VLOOKUP(B88,Data!$A:$AN,MATCH(yoy!$S$1,Data!$A$1:$AN$1,),)=0,"#N/A",(VLOOKUP(B88,Data!$A:$AN,MATCH(yoy!$S$1,Data!$A$1:$AN$1,),)-VLOOKUP(A88,Data!$A:$AN,MATCH(yoy!$S$1,Data!$A$1:$AN$1,),))/VLOOKUP(A88,Data!$A:$AN,MATCH(yoy!$S$1,Data!$A$1:$AN$1,),))</f>
        <v/>
      </c>
      <c r="T88" s="14">
        <f>IF(VLOOKUP(B88,Data!$A:$AN,MATCH(yoy!$T$1,Data!$A$1:$AN$1,),)=0,"#N/A",(VLOOKUP(B88,Data!$A:$AN,MATCH(yoy!$T$1,Data!$A$1:$AN$1,),)-VLOOKUP(A88,Data!$A:$AN,MATCH(yoy!$T$1,Data!$A$1:$AN$1,),))/VLOOKUP(A88,Data!$A:$AN,MATCH(yoy!$T$1,Data!$A$1:$AN$1,),))</f>
        <v/>
      </c>
      <c r="U88" s="14">
        <f>IF(VLOOKUP(B88,Data!$A:$AN,MATCH(yoy!$U$1,Data!$A$1:$AN$1,),)=0,"#N/A",(VLOOKUP(B88,Data!$A:$AN,MATCH(yoy!$U$1,Data!$A$1:$AN$1,),)-VLOOKUP(A88,Data!$A:$AN,MATCH(yoy!$U$1,Data!$A$1:$AN$1,),))/VLOOKUP(A88,Data!$A:$AN,MATCH(yoy!$U$1,Data!$A$1:$AN$1,),))</f>
        <v/>
      </c>
      <c r="V88" s="14">
        <f>IF(VLOOKUP(B88,Data!$A:$AN,MATCH(yoy!$V$1,Data!$A$1:$AN$1,),)=0,"#N/A",(VLOOKUP(B88,Data!$A:$AN,MATCH(yoy!$V$1,Data!$A$1:$AN$1,),)-VLOOKUP(A88,Data!$A:$AN,MATCH(yoy!$V$1,Data!$A$1:$AN$1,),))/VLOOKUP(A88,Data!$A:$AN,MATCH(yoy!$V$1,Data!$A$1:$AN$1,),))</f>
        <v/>
      </c>
      <c r="W88" s="14">
        <f>IF(VLOOKUP(B88,Data!$A:$AN,MATCH(yoy!$W$1,Data!$A$1:$AN$1,),)=0,"#N/A",(VLOOKUP(B88,Data!$A:$AN,MATCH(yoy!$W$1,Data!$A$1:$AN$1,),)-VLOOKUP(A88,Data!$A:$AN,MATCH(yoy!$W$1,Data!$A$1:$AN$1,),))/VLOOKUP(A88,Data!$A:$AN,MATCH(yoy!$W$1,Data!$A$1:$AN$1,),))</f>
        <v/>
      </c>
      <c r="X88" s="14">
        <f>IF(VLOOKUP(B88,Data!$A:$AN,MATCH(yoy!$X$1,Data!$A$1:$AN$1,),)=0,"#N/A",(VLOOKUP(B88,Data!$A:$AN,MATCH(yoy!$X$1,Data!$A$1:$AN$1,),)-VLOOKUP(A88,Data!$A:$AN,MATCH(yoy!$X$1,Data!$A$1:$AN$1,),))/VLOOKUP(A88,Data!$A:$AN,MATCH(yoy!$X$1,Data!$A$1:$AN$1,),))</f>
        <v/>
      </c>
      <c r="Y88" s="14">
        <f>IF(VLOOKUP(B88,Data!$A:$AN,MATCH(yoy!$Y$1,Data!$A$1:$AN$1,),)=0,"#N/A",(VLOOKUP(B88,Data!$A:$AN,MATCH(yoy!$Y$1,Data!$A$1:$AN$1,),)-VLOOKUP(A88,Data!$A:$AN,MATCH(yoy!$Y$1,Data!$A$1:$AN$1,),))/VLOOKUP(A88,Data!$A:$AN,MATCH(yoy!$Y$1,Data!$A$1:$AN$1,),))</f>
        <v/>
      </c>
      <c r="Z88" s="14">
        <f>IF(VLOOKUP(B88,Data!$A:$AN,MATCH(yoy!$Z$1,Data!$A$1:$AN$1,),)=0,"#N/A",(VLOOKUP(B88,Data!$A:$AN,MATCH(yoy!$Z$1,Data!$A$1:$AN$1,),)-VLOOKUP(A88,Data!$A:$AN,MATCH(yoy!$Z$1,Data!$A$1:$AN$1,),))/VLOOKUP(A88,Data!$A:$AN,MATCH(yoy!$Z$1,Data!$A$1:$AN$1,),))</f>
        <v/>
      </c>
      <c r="AA88" s="14">
        <f>IF(VLOOKUP(B88,Data!$A:$AN,MATCH(yoy!$AA$1,Data!$A$1:$AN$1,),)=0,"#N/A",(VLOOKUP(B88,Data!$A:$AN,MATCH(yoy!$AA$1,Data!$A$1:$AN$1,),)-VLOOKUP(A88,Data!$A:$AN,MATCH(yoy!$AA$1,Data!$A$1:$AN$1,),))/VLOOKUP(A88,Data!$A:$AN,MATCH(yoy!$AA$1,Data!$A$1:$AN$1,),))</f>
        <v/>
      </c>
    </row>
    <row r="89" customFormat="1" s="77">
      <c r="A89" s="20">
        <f>DATE(YEAR(B89)-1,MONTH(B89),DAY(B89))</f>
        <v/>
      </c>
      <c r="B89" s="12" t="n">
        <v>44562</v>
      </c>
      <c r="C89" s="14">
        <f>IF(VLOOKUP(B89,Data!$A:$AN,MATCH(yoy!$C$1,Data!$A$1:$AN$1,),)=0,"#N/A",(VLOOKUP(B89,Data!$A:$AN,MATCH(yoy!$C$1,Data!$A$1:$AN$1,),)-VLOOKUP(A89,Data!$A:$AN,MATCH(yoy!$C$1,Data!$A$1:$AN$1,),))/VLOOKUP(A89,Data!$A:$AN,MATCH(yoy!$C$1,Data!$A$1:$AN$1,),))</f>
        <v/>
      </c>
      <c r="D89" s="14">
        <f>IF(VLOOKUP(B89,Data!$A:$AN,MATCH(yoy!$D$1,Data!$A$1:$AN$1,),)=0,"#N/A",(VLOOKUP(B89,Data!$A:$AN,MATCH(yoy!$D$1,Data!$A$1:$AN$1,),)-VLOOKUP(A89,Data!$A:$AN,MATCH(yoy!$D$1,Data!$A$1:$AN$1,),))/VLOOKUP(A89,Data!$A:$AN,MATCH(yoy!$D$1,Data!$A$1:$AN$1,),))</f>
        <v/>
      </c>
      <c r="E89" s="14">
        <f>IF(VLOOKUP(B89,Data!$A:$AN,MATCH(yoy!$E$1,Data!$A$1:$AN$1,),)=0,"#N/A",(VLOOKUP(B89,Data!$A:$AN,MATCH(yoy!$E$1,Data!$A$1:$AN$1,),)-VLOOKUP(A89,Data!$A:$AN,MATCH(yoy!$E$1,Data!$A$1:$AN$1,),))/VLOOKUP(A89,Data!$A:$AN,MATCH(yoy!$E$1,Data!$A$1:$AN$1,),))</f>
        <v/>
      </c>
      <c r="F89" s="14">
        <f>IF(VLOOKUP(B89,Data!$A:$AN,MATCH(yoy!$F$1,Data!$A$1:$AN$1,),)=0,"#N/A",(VLOOKUP(B89,Data!$A:$AN,MATCH(yoy!$F$1,Data!$A$1:$AN$1,),)-VLOOKUP(A89,Data!$A:$AN,MATCH(yoy!$F$1,Data!$A$1:$AN$1,),))/VLOOKUP(A89,Data!$A:$AN,MATCH(yoy!$F$1,Data!$A$1:$AN$1,),))</f>
        <v/>
      </c>
      <c r="G89" s="14">
        <f>IF(VLOOKUP(B89,Data!$A:$AN,MATCH(yoy!$G$1,Data!$A$1:$AN$1,),)=0,"#N/A",(VLOOKUP(B89,Data!$A:$AN,MATCH(yoy!$G$1,Data!$A$1:$AN$1,),)-VLOOKUP(A89,Data!$A:$AN,MATCH(yoy!$G$1,Data!$A$1:$AN$1,),))/VLOOKUP(A89,Data!$A:$AN,MATCH(yoy!$G$1,Data!$A$1:$AN$1,),))</f>
        <v/>
      </c>
      <c r="H89" s="14">
        <f>IF(VLOOKUP(B89,Data!$A:$AN,MATCH(yoy!$H$1,Data!$A$1:$AN$1,),)=0,"#N/A",(VLOOKUP(B89,Data!$A:$AN,MATCH(yoy!$H$1,Data!$A$1:$AN$1,),)-VLOOKUP(A89,Data!$A:$AN,MATCH(yoy!$H$1,Data!$A$1:$AN$1,),))/VLOOKUP(A89,Data!$A:$AN,MATCH(yoy!$H$1,Data!$A$1:$AN$1,),))</f>
        <v/>
      </c>
      <c r="I89" s="14">
        <f>IF(VLOOKUP(B89,Data!$A:$AN,MATCH(yoy!$I$1,Data!$A$1:$AN$1,),)=0,"#N/A",(VLOOKUP(B89,Data!$A:$AN,MATCH(yoy!$I$1,Data!$A$1:$AN$1,),)-VLOOKUP(A89,Data!$A:$AN,MATCH(yoy!$I$1,Data!$A$1:$AN$1,),))/VLOOKUP(A89,Data!$A:$AN,MATCH(yoy!$I$1,Data!$A$1:$AN$1,),))</f>
        <v/>
      </c>
      <c r="J89" s="14">
        <f>IF(VLOOKUP(B89,Data!$A:$AN,MATCH(yoy!$J$1,Data!$A$1:$AN$1,),)=0,"#N/A",(VLOOKUP(B89,Data!$A:$AN,MATCH(yoy!$J$1,Data!$A$1:$AN$1,),)-VLOOKUP(A89,Data!$A:$AN,MATCH(yoy!$J$1,Data!$A$1:$AN$1,),))/VLOOKUP(A89,Data!$A:$AN,MATCH(yoy!$J$1,Data!$A$1:$AN$1,),))</f>
        <v/>
      </c>
      <c r="K89" s="14">
        <f>IF(VLOOKUP(B89,Data!$A:$AN,MATCH(yoy!$K$1,Data!$A$1:$AN$1,),)=0,"#N/A",(VLOOKUP(B89,Data!$A:$AN,MATCH(yoy!$K$1,Data!$A$1:$AN$1,),)-VLOOKUP(A89,Data!$A:$AN,MATCH(yoy!$K$1,Data!$A$1:$AN$1,),))/VLOOKUP(A89,Data!$A:$AN,MATCH(yoy!$K$1,Data!$A$1:$AN$1,),))</f>
        <v/>
      </c>
      <c r="L89" s="14">
        <f>IF(VLOOKUP(B89,Data!$A:$AN,MATCH(yoy!$L$1,Data!$A$1:$AN$1,),)=0,"#N/A",(VLOOKUP(B89,Data!$A:$AN,MATCH(yoy!$L$1,Data!$A$1:$AN$1,),)-VLOOKUP(A89,Data!$A:$AN,MATCH(yoy!$L$1,Data!$A$1:$AN$1,),))/VLOOKUP(A89,Data!$A:$AN,MATCH(yoy!$L$1,Data!$A$1:$AN$1,),))</f>
        <v/>
      </c>
      <c r="M89" s="14">
        <f>IF(VLOOKUP(B89,Data!$A:$AN,MATCH(yoy!$M$1,Data!$A$1:$AN$1,),)=0,"#N/A",(VLOOKUP(B89,Data!$A:$AN,MATCH(yoy!$M$1,Data!$A$1:$AN$1,),)-VLOOKUP(A89,Data!$A:$AN,MATCH(yoy!$M$1,Data!$A$1:$AN$1,),))/VLOOKUP(A89,Data!$A:$AN,MATCH(yoy!$M$1,Data!$A$1:$AN$1,),))</f>
        <v/>
      </c>
      <c r="N89" s="14">
        <f>IF(VLOOKUP(B89,Data!$A:$AN,MATCH(yoy!$N$1,Data!$A$1:$AN$1,),)=0,"#N/A",(VLOOKUP(B89,Data!$A:$AN,MATCH(yoy!$N$1,Data!$A$1:$AN$1,),)-VLOOKUP(A89,Data!$A:$AN,MATCH(yoy!$N$1,Data!$A$1:$AN$1,),))/VLOOKUP(A89,Data!$A:$AN,MATCH(yoy!$N$1,Data!$A$1:$AN$1,),))</f>
        <v/>
      </c>
      <c r="O89" s="14">
        <f>IF(VLOOKUP(B89,Data!$A:$AN,MATCH(yoy!$O$1,Data!$A$1:$AN$1,),)=0,"#N/A",(VLOOKUP(B89,Data!$A:$AN,MATCH(yoy!$O$1,Data!$A$1:$AN$1,),)-VLOOKUP(A89,Data!$A:$AN,MATCH(yoy!$O$1,Data!$A$1:$AN$1,),))/VLOOKUP(A89,Data!$A:$AN,MATCH(yoy!$O$1,Data!$A$1:$AN$1,),))</f>
        <v/>
      </c>
      <c r="P89" s="14">
        <f>IF(VLOOKUP(B89,Data!$A:$AN,MATCH(yoy!$P$1,Data!$A$1:$AN$1,),)=0,"#N/A",(VLOOKUP(B89,Data!$A:$AN,MATCH(yoy!$P$1,Data!$A$1:$AN$1,),)-VLOOKUP(A89,Data!$A:$AN,MATCH(yoy!$P$1,Data!$A$1:$AN$1,),))/VLOOKUP(A89,Data!$A:$AN,MATCH(yoy!$P$1,Data!$A$1:$AN$1,),))</f>
        <v/>
      </c>
      <c r="Q89" s="14">
        <f>IF(VLOOKUP(B89,Data!$A:$AN,MATCH(yoy!$Q$1,Data!$A$1:$AN$1,),)=0,"#N/A",(VLOOKUP(B89,Data!$A:$AN,MATCH(yoy!$Q$1,Data!$A$1:$AN$1,),)-VLOOKUP(A89,Data!$A:$AN,MATCH(yoy!$Q$1,Data!$A$1:$AN$1,),))/VLOOKUP(A89,Data!$A:$AN,MATCH(yoy!$Q$1,Data!$A$1:$AN$1,),))</f>
        <v/>
      </c>
      <c r="R89" s="14">
        <f>IF(VLOOKUP(B89,Data!$A:$AN,MATCH(yoy!$R$1,Data!$A$1:$AN$1,),)=0,"#N/A",(VLOOKUP(B89,Data!$A:$AN,MATCH(yoy!$R$1,Data!$A$1:$AN$1,),)-VLOOKUP(A89,Data!$A:$AN,MATCH(yoy!$R$1,Data!$A$1:$AN$1,),))/VLOOKUP(A89,Data!$A:$AN,MATCH(yoy!$R$1,Data!$A$1:$AN$1,),))</f>
        <v/>
      </c>
      <c r="S89" s="14">
        <f>IF(VLOOKUP(B89,Data!$A:$AN,MATCH(yoy!$S$1,Data!$A$1:$AN$1,),)=0,"#N/A",(VLOOKUP(B89,Data!$A:$AN,MATCH(yoy!$S$1,Data!$A$1:$AN$1,),)-VLOOKUP(A89,Data!$A:$AN,MATCH(yoy!$S$1,Data!$A$1:$AN$1,),))/VLOOKUP(A89,Data!$A:$AN,MATCH(yoy!$S$1,Data!$A$1:$AN$1,),))</f>
        <v/>
      </c>
      <c r="T89" s="14">
        <f>IF(VLOOKUP(B89,Data!$A:$AN,MATCH(yoy!$T$1,Data!$A$1:$AN$1,),)=0,"#N/A",(VLOOKUP(B89,Data!$A:$AN,MATCH(yoy!$T$1,Data!$A$1:$AN$1,),)-VLOOKUP(A89,Data!$A:$AN,MATCH(yoy!$T$1,Data!$A$1:$AN$1,),))/VLOOKUP(A89,Data!$A:$AN,MATCH(yoy!$T$1,Data!$A$1:$AN$1,),))</f>
        <v/>
      </c>
      <c r="U89" s="14">
        <f>IF(VLOOKUP(B89,Data!$A:$AN,MATCH(yoy!$U$1,Data!$A$1:$AN$1,),)=0,"#N/A",(VLOOKUP(B89,Data!$A:$AN,MATCH(yoy!$U$1,Data!$A$1:$AN$1,),)-VLOOKUP(A89,Data!$A:$AN,MATCH(yoy!$U$1,Data!$A$1:$AN$1,),))/VLOOKUP(A89,Data!$A:$AN,MATCH(yoy!$U$1,Data!$A$1:$AN$1,),))</f>
        <v/>
      </c>
      <c r="V89" s="14">
        <f>IF(VLOOKUP(B89,Data!$A:$AN,MATCH(yoy!$V$1,Data!$A$1:$AN$1,),)=0,"#N/A",(VLOOKUP(B89,Data!$A:$AN,MATCH(yoy!$V$1,Data!$A$1:$AN$1,),)-VLOOKUP(A89,Data!$A:$AN,MATCH(yoy!$V$1,Data!$A$1:$AN$1,),))/VLOOKUP(A89,Data!$A:$AN,MATCH(yoy!$V$1,Data!$A$1:$AN$1,),))</f>
        <v/>
      </c>
      <c r="W89" s="14">
        <f>IF(VLOOKUP(B89,Data!$A:$AN,MATCH(yoy!$W$1,Data!$A$1:$AN$1,),)=0,"#N/A",(VLOOKUP(B89,Data!$A:$AN,MATCH(yoy!$W$1,Data!$A$1:$AN$1,),)-VLOOKUP(A89,Data!$A:$AN,MATCH(yoy!$W$1,Data!$A$1:$AN$1,),))/VLOOKUP(A89,Data!$A:$AN,MATCH(yoy!$W$1,Data!$A$1:$AN$1,),))</f>
        <v/>
      </c>
      <c r="X89" s="14">
        <f>IF(VLOOKUP(B89,Data!$A:$AN,MATCH(yoy!$X$1,Data!$A$1:$AN$1,),)=0,"#N/A",(VLOOKUP(B89,Data!$A:$AN,MATCH(yoy!$X$1,Data!$A$1:$AN$1,),)-VLOOKUP(A89,Data!$A:$AN,MATCH(yoy!$X$1,Data!$A$1:$AN$1,),))/VLOOKUP(A89,Data!$A:$AN,MATCH(yoy!$X$1,Data!$A$1:$AN$1,),))</f>
        <v/>
      </c>
      <c r="Y89" s="14">
        <f>IF(VLOOKUP(B89,Data!$A:$AN,MATCH(yoy!$Y$1,Data!$A$1:$AN$1,),)=0,"#N/A",(VLOOKUP(B89,Data!$A:$AN,MATCH(yoy!$Y$1,Data!$A$1:$AN$1,),)-VLOOKUP(A89,Data!$A:$AN,MATCH(yoy!$Y$1,Data!$A$1:$AN$1,),))/VLOOKUP(A89,Data!$A:$AN,MATCH(yoy!$Y$1,Data!$A$1:$AN$1,),))</f>
        <v/>
      </c>
      <c r="Z89" s="14">
        <f>IF(VLOOKUP(B89,Data!$A:$AN,MATCH(yoy!$Z$1,Data!$A$1:$AN$1,),)=0,"#N/A",(VLOOKUP(B89,Data!$A:$AN,MATCH(yoy!$Z$1,Data!$A$1:$AN$1,),)-VLOOKUP(A89,Data!$A:$AN,MATCH(yoy!$Z$1,Data!$A$1:$AN$1,),))/VLOOKUP(A89,Data!$A:$AN,MATCH(yoy!$Z$1,Data!$A$1:$AN$1,),))</f>
        <v/>
      </c>
      <c r="AA89" s="14">
        <f>IF(VLOOKUP(B89,Data!$A:$AN,MATCH(yoy!$AA$1,Data!$A$1:$AN$1,),)=0,"#N/A",(VLOOKUP(B89,Data!$A:$AN,MATCH(yoy!$AA$1,Data!$A$1:$AN$1,),)-VLOOKUP(A89,Data!$A:$AN,MATCH(yoy!$AA$1,Data!$A$1:$AN$1,),))/VLOOKUP(A89,Data!$A:$AN,MATCH(yoy!$AA$1,Data!$A$1:$AN$1,),))</f>
        <v/>
      </c>
    </row>
    <row r="90" customFormat="1" s="77">
      <c r="A90" s="20">
        <f>DATE(YEAR(B90)-1,MONTH(B90),DAY(B90))</f>
        <v/>
      </c>
      <c r="B90" s="12" t="n">
        <v>44593</v>
      </c>
      <c r="C90" s="14">
        <f>IF(VLOOKUP(B90,Data!$A:$AN,MATCH(yoy!$C$1,Data!$A$1:$AN$1,),)=0,"#N/A",(VLOOKUP(B90,Data!$A:$AN,MATCH(yoy!$C$1,Data!$A$1:$AN$1,),)-VLOOKUP(A90,Data!$A:$AN,MATCH(yoy!$C$1,Data!$A$1:$AN$1,),))/VLOOKUP(A90,Data!$A:$AN,MATCH(yoy!$C$1,Data!$A$1:$AN$1,),))</f>
        <v/>
      </c>
      <c r="D90" s="14">
        <f>IF(VLOOKUP(B90,Data!$A:$AN,MATCH(yoy!$D$1,Data!$A$1:$AN$1,),)=0,"#N/A",(VLOOKUP(B90,Data!$A:$AN,MATCH(yoy!$D$1,Data!$A$1:$AN$1,),)-VLOOKUP(A90,Data!$A:$AN,MATCH(yoy!$D$1,Data!$A$1:$AN$1,),))/VLOOKUP(A90,Data!$A:$AN,MATCH(yoy!$D$1,Data!$A$1:$AN$1,),))</f>
        <v/>
      </c>
      <c r="E90" s="14">
        <f>IF(VLOOKUP(B90,Data!$A:$AN,MATCH(yoy!$E$1,Data!$A$1:$AN$1,),)=0,"#N/A",(VLOOKUP(B90,Data!$A:$AN,MATCH(yoy!$E$1,Data!$A$1:$AN$1,),)-VLOOKUP(A90,Data!$A:$AN,MATCH(yoy!$E$1,Data!$A$1:$AN$1,),))/VLOOKUP(A90,Data!$A:$AN,MATCH(yoy!$E$1,Data!$A$1:$AN$1,),))</f>
        <v/>
      </c>
      <c r="F90" s="14">
        <f>IF(VLOOKUP(B90,Data!$A:$AN,MATCH(yoy!$F$1,Data!$A$1:$AN$1,),)=0,"#N/A",(VLOOKUP(B90,Data!$A:$AN,MATCH(yoy!$F$1,Data!$A$1:$AN$1,),)-VLOOKUP(A90,Data!$A:$AN,MATCH(yoy!$F$1,Data!$A$1:$AN$1,),))/VLOOKUP(A90,Data!$A:$AN,MATCH(yoy!$F$1,Data!$A$1:$AN$1,),))</f>
        <v/>
      </c>
      <c r="G90" s="14">
        <f>IF(VLOOKUP(B90,Data!$A:$AN,MATCH(yoy!$G$1,Data!$A$1:$AN$1,),)=0,"#N/A",(VLOOKUP(B90,Data!$A:$AN,MATCH(yoy!$G$1,Data!$A$1:$AN$1,),)-VLOOKUP(A90,Data!$A:$AN,MATCH(yoy!$G$1,Data!$A$1:$AN$1,),))/VLOOKUP(A90,Data!$A:$AN,MATCH(yoy!$G$1,Data!$A$1:$AN$1,),))</f>
        <v/>
      </c>
      <c r="H90" s="14">
        <f>IF(VLOOKUP(B90,Data!$A:$AN,MATCH(yoy!$H$1,Data!$A$1:$AN$1,),)=0,"#N/A",(VLOOKUP(B90,Data!$A:$AN,MATCH(yoy!$H$1,Data!$A$1:$AN$1,),)-VLOOKUP(A90,Data!$A:$AN,MATCH(yoy!$H$1,Data!$A$1:$AN$1,),))/VLOOKUP(A90,Data!$A:$AN,MATCH(yoy!$H$1,Data!$A$1:$AN$1,),))</f>
        <v/>
      </c>
      <c r="I90" s="14">
        <f>IF(VLOOKUP(B90,Data!$A:$AN,MATCH(yoy!$I$1,Data!$A$1:$AN$1,),)=0,"#N/A",(VLOOKUP(B90,Data!$A:$AN,MATCH(yoy!$I$1,Data!$A$1:$AN$1,),)-VLOOKUP(A90,Data!$A:$AN,MATCH(yoy!$I$1,Data!$A$1:$AN$1,),))/VLOOKUP(A90,Data!$A:$AN,MATCH(yoy!$I$1,Data!$A$1:$AN$1,),))</f>
        <v/>
      </c>
      <c r="J90" s="14">
        <f>IF(VLOOKUP(B90,Data!$A:$AN,MATCH(yoy!$J$1,Data!$A$1:$AN$1,),)=0,"#N/A",(VLOOKUP(B90,Data!$A:$AN,MATCH(yoy!$J$1,Data!$A$1:$AN$1,),)-VLOOKUP(A90,Data!$A:$AN,MATCH(yoy!$J$1,Data!$A$1:$AN$1,),))/VLOOKUP(A90,Data!$A:$AN,MATCH(yoy!$J$1,Data!$A$1:$AN$1,),))</f>
        <v/>
      </c>
      <c r="K90" s="14">
        <f>IF(VLOOKUP(B90,Data!$A:$AN,MATCH(yoy!$K$1,Data!$A$1:$AN$1,),)=0,"#N/A",(VLOOKUP(B90,Data!$A:$AN,MATCH(yoy!$K$1,Data!$A$1:$AN$1,),)-VLOOKUP(A90,Data!$A:$AN,MATCH(yoy!$K$1,Data!$A$1:$AN$1,),))/VLOOKUP(A90,Data!$A:$AN,MATCH(yoy!$K$1,Data!$A$1:$AN$1,),))</f>
        <v/>
      </c>
      <c r="L90" s="14">
        <f>IF(VLOOKUP(B90,Data!$A:$AN,MATCH(yoy!$L$1,Data!$A$1:$AN$1,),)=0,"#N/A",(VLOOKUP(B90,Data!$A:$AN,MATCH(yoy!$L$1,Data!$A$1:$AN$1,),)-VLOOKUP(A90,Data!$A:$AN,MATCH(yoy!$L$1,Data!$A$1:$AN$1,),))/VLOOKUP(A90,Data!$A:$AN,MATCH(yoy!$L$1,Data!$A$1:$AN$1,),))</f>
        <v/>
      </c>
      <c r="M90" s="14">
        <f>IF(VLOOKUP(B90,Data!$A:$AN,MATCH(yoy!$M$1,Data!$A$1:$AN$1,),)=0,"#N/A",(VLOOKUP(B90,Data!$A:$AN,MATCH(yoy!$M$1,Data!$A$1:$AN$1,),)-VLOOKUP(A90,Data!$A:$AN,MATCH(yoy!$M$1,Data!$A$1:$AN$1,),))/VLOOKUP(A90,Data!$A:$AN,MATCH(yoy!$M$1,Data!$A$1:$AN$1,),))</f>
        <v/>
      </c>
      <c r="N90" s="14">
        <f>IF(VLOOKUP(B90,Data!$A:$AN,MATCH(yoy!$N$1,Data!$A$1:$AN$1,),)=0,"#N/A",(VLOOKUP(B90,Data!$A:$AN,MATCH(yoy!$N$1,Data!$A$1:$AN$1,),)-VLOOKUP(A90,Data!$A:$AN,MATCH(yoy!$N$1,Data!$A$1:$AN$1,),))/VLOOKUP(A90,Data!$A:$AN,MATCH(yoy!$N$1,Data!$A$1:$AN$1,),))</f>
        <v/>
      </c>
      <c r="O90" s="14">
        <f>IF(VLOOKUP(B90,Data!$A:$AN,MATCH(yoy!$O$1,Data!$A$1:$AN$1,),)=0,"#N/A",(VLOOKUP(B90,Data!$A:$AN,MATCH(yoy!$O$1,Data!$A$1:$AN$1,),)-VLOOKUP(A90,Data!$A:$AN,MATCH(yoy!$O$1,Data!$A$1:$AN$1,),))/VLOOKUP(A90,Data!$A:$AN,MATCH(yoy!$O$1,Data!$A$1:$AN$1,),))</f>
        <v/>
      </c>
      <c r="P90" s="14">
        <f>IF(VLOOKUP(B90,Data!$A:$AN,MATCH(yoy!$P$1,Data!$A$1:$AN$1,),)=0,"#N/A",(VLOOKUP(B90,Data!$A:$AN,MATCH(yoy!$P$1,Data!$A$1:$AN$1,),)-VLOOKUP(A90,Data!$A:$AN,MATCH(yoy!$P$1,Data!$A$1:$AN$1,),))/VLOOKUP(A90,Data!$A:$AN,MATCH(yoy!$P$1,Data!$A$1:$AN$1,),))</f>
        <v/>
      </c>
      <c r="Q90" s="14">
        <f>IF(VLOOKUP(B90,Data!$A:$AN,MATCH(yoy!$Q$1,Data!$A$1:$AN$1,),)=0,"#N/A",(VLOOKUP(B90,Data!$A:$AN,MATCH(yoy!$Q$1,Data!$A$1:$AN$1,),)-VLOOKUP(A90,Data!$A:$AN,MATCH(yoy!$Q$1,Data!$A$1:$AN$1,),))/VLOOKUP(A90,Data!$A:$AN,MATCH(yoy!$Q$1,Data!$A$1:$AN$1,),))</f>
        <v/>
      </c>
      <c r="R90" s="14">
        <f>IF(VLOOKUP(B90,Data!$A:$AN,MATCH(yoy!$R$1,Data!$A$1:$AN$1,),)=0,"#N/A",(VLOOKUP(B90,Data!$A:$AN,MATCH(yoy!$R$1,Data!$A$1:$AN$1,),)-VLOOKUP(A90,Data!$A:$AN,MATCH(yoy!$R$1,Data!$A$1:$AN$1,),))/VLOOKUP(A90,Data!$A:$AN,MATCH(yoy!$R$1,Data!$A$1:$AN$1,),))</f>
        <v/>
      </c>
      <c r="S90" s="14">
        <f>IF(VLOOKUP(B90,Data!$A:$AN,MATCH(yoy!$S$1,Data!$A$1:$AN$1,),)=0,"#N/A",(VLOOKUP(B90,Data!$A:$AN,MATCH(yoy!$S$1,Data!$A$1:$AN$1,),)-VLOOKUP(A90,Data!$A:$AN,MATCH(yoy!$S$1,Data!$A$1:$AN$1,),))/VLOOKUP(A90,Data!$A:$AN,MATCH(yoy!$S$1,Data!$A$1:$AN$1,),))</f>
        <v/>
      </c>
      <c r="T90" s="14">
        <f>IF(VLOOKUP(B90,Data!$A:$AN,MATCH(yoy!$T$1,Data!$A$1:$AN$1,),)=0,"#N/A",(VLOOKUP(B90,Data!$A:$AN,MATCH(yoy!$T$1,Data!$A$1:$AN$1,),)-VLOOKUP(A90,Data!$A:$AN,MATCH(yoy!$T$1,Data!$A$1:$AN$1,),))/VLOOKUP(A90,Data!$A:$AN,MATCH(yoy!$T$1,Data!$A$1:$AN$1,),))</f>
        <v/>
      </c>
      <c r="U90" s="14">
        <f>IF(VLOOKUP(B90,Data!$A:$AN,MATCH(yoy!$U$1,Data!$A$1:$AN$1,),)=0,"#N/A",(VLOOKUP(B90,Data!$A:$AN,MATCH(yoy!$U$1,Data!$A$1:$AN$1,),)-VLOOKUP(A90,Data!$A:$AN,MATCH(yoy!$U$1,Data!$A$1:$AN$1,),))/VLOOKUP(A90,Data!$A:$AN,MATCH(yoy!$U$1,Data!$A$1:$AN$1,),))</f>
        <v/>
      </c>
      <c r="V90" s="14">
        <f>IF(VLOOKUP(B90,Data!$A:$AN,MATCH(yoy!$V$1,Data!$A$1:$AN$1,),)=0,"#N/A",(VLOOKUP(B90,Data!$A:$AN,MATCH(yoy!$V$1,Data!$A$1:$AN$1,),)-VLOOKUP(A90,Data!$A:$AN,MATCH(yoy!$V$1,Data!$A$1:$AN$1,),))/VLOOKUP(A90,Data!$A:$AN,MATCH(yoy!$V$1,Data!$A$1:$AN$1,),))</f>
        <v/>
      </c>
      <c r="W90" s="14">
        <f>IF(VLOOKUP(B90,Data!$A:$AN,MATCH(yoy!$W$1,Data!$A$1:$AN$1,),)=0,"#N/A",(VLOOKUP(B90,Data!$A:$AN,MATCH(yoy!$W$1,Data!$A$1:$AN$1,),)-VLOOKUP(A90,Data!$A:$AN,MATCH(yoy!$W$1,Data!$A$1:$AN$1,),))/VLOOKUP(A90,Data!$A:$AN,MATCH(yoy!$W$1,Data!$A$1:$AN$1,),))</f>
        <v/>
      </c>
      <c r="X90" s="14">
        <f>IF(VLOOKUP(B90,Data!$A:$AN,MATCH(yoy!$X$1,Data!$A$1:$AN$1,),)=0,"#N/A",(VLOOKUP(B90,Data!$A:$AN,MATCH(yoy!$X$1,Data!$A$1:$AN$1,),)-VLOOKUP(A90,Data!$A:$AN,MATCH(yoy!$X$1,Data!$A$1:$AN$1,),))/VLOOKUP(A90,Data!$A:$AN,MATCH(yoy!$X$1,Data!$A$1:$AN$1,),))</f>
        <v/>
      </c>
      <c r="Y90" s="14">
        <f>IF(VLOOKUP(B90,Data!$A:$AN,MATCH(yoy!$Y$1,Data!$A$1:$AN$1,),)=0,"#N/A",(VLOOKUP(B90,Data!$A:$AN,MATCH(yoy!$Y$1,Data!$A$1:$AN$1,),)-VLOOKUP(A90,Data!$A:$AN,MATCH(yoy!$Y$1,Data!$A$1:$AN$1,),))/VLOOKUP(A90,Data!$A:$AN,MATCH(yoy!$Y$1,Data!$A$1:$AN$1,),))</f>
        <v/>
      </c>
      <c r="Z90" s="14">
        <f>IF(VLOOKUP(B90,Data!$A:$AN,MATCH(yoy!$Z$1,Data!$A$1:$AN$1,),)=0,"#N/A",(VLOOKUP(B90,Data!$A:$AN,MATCH(yoy!$Z$1,Data!$A$1:$AN$1,),)-VLOOKUP(A90,Data!$A:$AN,MATCH(yoy!$Z$1,Data!$A$1:$AN$1,),))/VLOOKUP(A90,Data!$A:$AN,MATCH(yoy!$Z$1,Data!$A$1:$AN$1,),))</f>
        <v/>
      </c>
      <c r="AA90" s="14">
        <f>IF(VLOOKUP(B90,Data!$A:$AN,MATCH(yoy!$AA$1,Data!$A$1:$AN$1,),)=0,"#N/A",(VLOOKUP(B90,Data!$A:$AN,MATCH(yoy!$AA$1,Data!$A$1:$AN$1,),)-VLOOKUP(A90,Data!$A:$AN,MATCH(yoy!$AA$1,Data!$A$1:$AN$1,),))/VLOOKUP(A90,Data!$A:$AN,MATCH(yoy!$AA$1,Data!$A$1:$AN$1,),))</f>
        <v/>
      </c>
    </row>
    <row r="91" customFormat="1" s="77">
      <c r="A91" s="20">
        <f>DATE(YEAR(B91)-1,MONTH(B91),DAY(B91))</f>
        <v/>
      </c>
      <c r="B91" s="12" t="n">
        <v>44621</v>
      </c>
      <c r="C91" s="14">
        <f>IF(VLOOKUP(B91,Data!$A:$AN,MATCH(yoy!$C$1,Data!$A$1:$AN$1,),)=0,"#N/A",(VLOOKUP(B91,Data!$A:$AN,MATCH(yoy!$C$1,Data!$A$1:$AN$1,),)-VLOOKUP(A91,Data!$A:$AN,MATCH(yoy!$C$1,Data!$A$1:$AN$1,),))/VLOOKUP(A91,Data!$A:$AN,MATCH(yoy!$C$1,Data!$A$1:$AN$1,),))</f>
        <v/>
      </c>
      <c r="D91" s="14">
        <f>IF(VLOOKUP(B91,Data!$A:$AN,MATCH(yoy!$D$1,Data!$A$1:$AN$1,),)=0,"#N/A",(VLOOKUP(B91,Data!$A:$AN,MATCH(yoy!$D$1,Data!$A$1:$AN$1,),)-VLOOKUP(A91,Data!$A:$AN,MATCH(yoy!$D$1,Data!$A$1:$AN$1,),))/VLOOKUP(A91,Data!$A:$AN,MATCH(yoy!$D$1,Data!$A$1:$AN$1,),))</f>
        <v/>
      </c>
      <c r="E91" s="14">
        <f>IF(VLOOKUP(B91,Data!$A:$AN,MATCH(yoy!$E$1,Data!$A$1:$AN$1,),)=0,"#N/A",(VLOOKUP(B91,Data!$A:$AN,MATCH(yoy!$E$1,Data!$A$1:$AN$1,),)-VLOOKUP(A91,Data!$A:$AN,MATCH(yoy!$E$1,Data!$A$1:$AN$1,),))/VLOOKUP(A91,Data!$A:$AN,MATCH(yoy!$E$1,Data!$A$1:$AN$1,),))</f>
        <v/>
      </c>
      <c r="F91" s="14">
        <f>IF(VLOOKUP(B91,Data!$A:$AN,MATCH(yoy!$F$1,Data!$A$1:$AN$1,),)=0,"#N/A",(VLOOKUP(B91,Data!$A:$AN,MATCH(yoy!$F$1,Data!$A$1:$AN$1,),)-VLOOKUP(A91,Data!$A:$AN,MATCH(yoy!$F$1,Data!$A$1:$AN$1,),))/VLOOKUP(A91,Data!$A:$AN,MATCH(yoy!$F$1,Data!$A$1:$AN$1,),))</f>
        <v/>
      </c>
      <c r="G91" s="14">
        <f>IF(VLOOKUP(B91,Data!$A:$AN,MATCH(yoy!$G$1,Data!$A$1:$AN$1,),)=0,"#N/A",(VLOOKUP(B91,Data!$A:$AN,MATCH(yoy!$G$1,Data!$A$1:$AN$1,),)-VLOOKUP(A91,Data!$A:$AN,MATCH(yoy!$G$1,Data!$A$1:$AN$1,),))/VLOOKUP(A91,Data!$A:$AN,MATCH(yoy!$G$1,Data!$A$1:$AN$1,),))</f>
        <v/>
      </c>
      <c r="H91" s="14">
        <f>IF(VLOOKUP(B91,Data!$A:$AN,MATCH(yoy!$H$1,Data!$A$1:$AN$1,),)=0,"#N/A",(VLOOKUP(B91,Data!$A:$AN,MATCH(yoy!$H$1,Data!$A$1:$AN$1,),)-VLOOKUP(A91,Data!$A:$AN,MATCH(yoy!$H$1,Data!$A$1:$AN$1,),))/VLOOKUP(A91,Data!$A:$AN,MATCH(yoy!$H$1,Data!$A$1:$AN$1,),))</f>
        <v/>
      </c>
      <c r="I91" s="14">
        <f>IF(VLOOKUP(B91,Data!$A:$AN,MATCH(yoy!$I$1,Data!$A$1:$AN$1,),)=0,"#N/A",(VLOOKUP(B91,Data!$A:$AN,MATCH(yoy!$I$1,Data!$A$1:$AN$1,),)-VLOOKUP(A91,Data!$A:$AN,MATCH(yoy!$I$1,Data!$A$1:$AN$1,),))/VLOOKUP(A91,Data!$A:$AN,MATCH(yoy!$I$1,Data!$A$1:$AN$1,),))</f>
        <v/>
      </c>
      <c r="J91" s="14">
        <f>IF(VLOOKUP(B91,Data!$A:$AN,MATCH(yoy!$J$1,Data!$A$1:$AN$1,),)=0,"#N/A",(VLOOKUP(B91,Data!$A:$AN,MATCH(yoy!$J$1,Data!$A$1:$AN$1,),)-VLOOKUP(A91,Data!$A:$AN,MATCH(yoy!$J$1,Data!$A$1:$AN$1,),))/VLOOKUP(A91,Data!$A:$AN,MATCH(yoy!$J$1,Data!$A$1:$AN$1,),))</f>
        <v/>
      </c>
      <c r="K91" s="14">
        <f>IF(VLOOKUP(B91,Data!$A:$AN,MATCH(yoy!$K$1,Data!$A$1:$AN$1,),)=0,"#N/A",(VLOOKUP(B91,Data!$A:$AN,MATCH(yoy!$K$1,Data!$A$1:$AN$1,),)-VLOOKUP(A91,Data!$A:$AN,MATCH(yoy!$K$1,Data!$A$1:$AN$1,),))/VLOOKUP(A91,Data!$A:$AN,MATCH(yoy!$K$1,Data!$A$1:$AN$1,),))</f>
        <v/>
      </c>
      <c r="L91" s="14">
        <f>IF(VLOOKUP(B91,Data!$A:$AN,MATCH(yoy!$L$1,Data!$A$1:$AN$1,),)=0,"#N/A",(VLOOKUP(B91,Data!$A:$AN,MATCH(yoy!$L$1,Data!$A$1:$AN$1,),)-VLOOKUP(A91,Data!$A:$AN,MATCH(yoy!$L$1,Data!$A$1:$AN$1,),))/VLOOKUP(A91,Data!$A:$AN,MATCH(yoy!$L$1,Data!$A$1:$AN$1,),))</f>
        <v/>
      </c>
      <c r="M91" s="14">
        <f>IF(VLOOKUP(B91,Data!$A:$AN,MATCH(yoy!$M$1,Data!$A$1:$AN$1,),)=0,"#N/A",(VLOOKUP(B91,Data!$A:$AN,MATCH(yoy!$M$1,Data!$A$1:$AN$1,),)-VLOOKUP(A91,Data!$A:$AN,MATCH(yoy!$M$1,Data!$A$1:$AN$1,),))/VLOOKUP(A91,Data!$A:$AN,MATCH(yoy!$M$1,Data!$A$1:$AN$1,),))</f>
        <v/>
      </c>
      <c r="N91" s="14">
        <f>IF(VLOOKUP(B91,Data!$A:$AN,MATCH(yoy!$N$1,Data!$A$1:$AN$1,),)=0,"#N/A",(VLOOKUP(B91,Data!$A:$AN,MATCH(yoy!$N$1,Data!$A$1:$AN$1,),)-VLOOKUP(A91,Data!$A:$AN,MATCH(yoy!$N$1,Data!$A$1:$AN$1,),))/VLOOKUP(A91,Data!$A:$AN,MATCH(yoy!$N$1,Data!$A$1:$AN$1,),))</f>
        <v/>
      </c>
      <c r="O91" s="14">
        <f>IF(VLOOKUP(B91,Data!$A:$AN,MATCH(yoy!$O$1,Data!$A$1:$AN$1,),)=0,"#N/A",(VLOOKUP(B91,Data!$A:$AN,MATCH(yoy!$O$1,Data!$A$1:$AN$1,),)-VLOOKUP(A91,Data!$A:$AN,MATCH(yoy!$O$1,Data!$A$1:$AN$1,),))/VLOOKUP(A91,Data!$A:$AN,MATCH(yoy!$O$1,Data!$A$1:$AN$1,),))</f>
        <v/>
      </c>
      <c r="P91" s="14">
        <f>IF(VLOOKUP(B91,Data!$A:$AN,MATCH(yoy!$P$1,Data!$A$1:$AN$1,),)=0,"#N/A",(VLOOKUP(B91,Data!$A:$AN,MATCH(yoy!$P$1,Data!$A$1:$AN$1,),)-VLOOKUP(A91,Data!$A:$AN,MATCH(yoy!$P$1,Data!$A$1:$AN$1,),))/VLOOKUP(A91,Data!$A:$AN,MATCH(yoy!$P$1,Data!$A$1:$AN$1,),))</f>
        <v/>
      </c>
      <c r="Q91" s="14">
        <f>IF(VLOOKUP(B91,Data!$A:$AN,MATCH(yoy!$Q$1,Data!$A$1:$AN$1,),)=0,"#N/A",(VLOOKUP(B91,Data!$A:$AN,MATCH(yoy!$Q$1,Data!$A$1:$AN$1,),)-VLOOKUP(A91,Data!$A:$AN,MATCH(yoy!$Q$1,Data!$A$1:$AN$1,),))/VLOOKUP(A91,Data!$A:$AN,MATCH(yoy!$Q$1,Data!$A$1:$AN$1,),))</f>
        <v/>
      </c>
      <c r="R91" s="14">
        <f>IF(VLOOKUP(B91,Data!$A:$AN,MATCH(yoy!$R$1,Data!$A$1:$AN$1,),)=0,"#N/A",(VLOOKUP(B91,Data!$A:$AN,MATCH(yoy!$R$1,Data!$A$1:$AN$1,),)-VLOOKUP(A91,Data!$A:$AN,MATCH(yoy!$R$1,Data!$A$1:$AN$1,),))/VLOOKUP(A91,Data!$A:$AN,MATCH(yoy!$R$1,Data!$A$1:$AN$1,),))</f>
        <v/>
      </c>
      <c r="S91" s="14">
        <f>IF(VLOOKUP(B91,Data!$A:$AN,MATCH(yoy!$S$1,Data!$A$1:$AN$1,),)=0,"#N/A",(VLOOKUP(B91,Data!$A:$AN,MATCH(yoy!$S$1,Data!$A$1:$AN$1,),)-VLOOKUP(A91,Data!$A:$AN,MATCH(yoy!$S$1,Data!$A$1:$AN$1,),))/VLOOKUP(A91,Data!$A:$AN,MATCH(yoy!$S$1,Data!$A$1:$AN$1,),))</f>
        <v/>
      </c>
      <c r="T91" s="14">
        <f>IF(VLOOKUP(B91,Data!$A:$AN,MATCH(yoy!$T$1,Data!$A$1:$AN$1,),)=0,"#N/A",(VLOOKUP(B91,Data!$A:$AN,MATCH(yoy!$T$1,Data!$A$1:$AN$1,),)-VLOOKUP(A91,Data!$A:$AN,MATCH(yoy!$T$1,Data!$A$1:$AN$1,),))/VLOOKUP(A91,Data!$A:$AN,MATCH(yoy!$T$1,Data!$A$1:$AN$1,),))</f>
        <v/>
      </c>
      <c r="U91" s="14">
        <f>IF(VLOOKUP(B91,Data!$A:$AN,MATCH(yoy!$U$1,Data!$A$1:$AN$1,),)=0,"#N/A",(VLOOKUP(B91,Data!$A:$AN,MATCH(yoy!$U$1,Data!$A$1:$AN$1,),)-VLOOKUP(A91,Data!$A:$AN,MATCH(yoy!$U$1,Data!$A$1:$AN$1,),))/VLOOKUP(A91,Data!$A:$AN,MATCH(yoy!$U$1,Data!$A$1:$AN$1,),))</f>
        <v/>
      </c>
      <c r="V91" s="14">
        <f>IF(VLOOKUP(B91,Data!$A:$AN,MATCH(yoy!$V$1,Data!$A$1:$AN$1,),)=0,"#N/A",(VLOOKUP(B91,Data!$A:$AN,MATCH(yoy!$V$1,Data!$A$1:$AN$1,),)-VLOOKUP(A91,Data!$A:$AN,MATCH(yoy!$V$1,Data!$A$1:$AN$1,),))/VLOOKUP(A91,Data!$A:$AN,MATCH(yoy!$V$1,Data!$A$1:$AN$1,),))</f>
        <v/>
      </c>
      <c r="W91" s="14">
        <f>IF(VLOOKUP(B91,Data!$A:$AN,MATCH(yoy!$W$1,Data!$A$1:$AN$1,),)=0,"#N/A",(VLOOKUP(B91,Data!$A:$AN,MATCH(yoy!$W$1,Data!$A$1:$AN$1,),)-VLOOKUP(A91,Data!$A:$AN,MATCH(yoy!$W$1,Data!$A$1:$AN$1,),))/VLOOKUP(A91,Data!$A:$AN,MATCH(yoy!$W$1,Data!$A$1:$AN$1,),))</f>
        <v/>
      </c>
      <c r="X91" s="14">
        <f>IF(VLOOKUP(B91,Data!$A:$AN,MATCH(yoy!$X$1,Data!$A$1:$AN$1,),)=0,"#N/A",(VLOOKUP(B91,Data!$A:$AN,MATCH(yoy!$X$1,Data!$A$1:$AN$1,),)-VLOOKUP(A91,Data!$A:$AN,MATCH(yoy!$X$1,Data!$A$1:$AN$1,),))/VLOOKUP(A91,Data!$A:$AN,MATCH(yoy!$X$1,Data!$A$1:$AN$1,),))</f>
        <v/>
      </c>
      <c r="Y91" s="14">
        <f>IF(VLOOKUP(B91,Data!$A:$AN,MATCH(yoy!$Y$1,Data!$A$1:$AN$1,),)=0,"#N/A",(VLOOKUP(B91,Data!$A:$AN,MATCH(yoy!$Y$1,Data!$A$1:$AN$1,),)-VLOOKUP(A91,Data!$A:$AN,MATCH(yoy!$Y$1,Data!$A$1:$AN$1,),))/VLOOKUP(A91,Data!$A:$AN,MATCH(yoy!$Y$1,Data!$A$1:$AN$1,),))</f>
        <v/>
      </c>
      <c r="Z91" s="14">
        <f>IF(VLOOKUP(B91,Data!$A:$AN,MATCH(yoy!$Z$1,Data!$A$1:$AN$1,),)=0,"#N/A",(VLOOKUP(B91,Data!$A:$AN,MATCH(yoy!$Z$1,Data!$A$1:$AN$1,),)-VLOOKUP(A91,Data!$A:$AN,MATCH(yoy!$Z$1,Data!$A$1:$AN$1,),))/VLOOKUP(A91,Data!$A:$AN,MATCH(yoy!$Z$1,Data!$A$1:$AN$1,),))</f>
        <v/>
      </c>
      <c r="AA91" s="14">
        <f>IF(VLOOKUP(B91,Data!$A:$AN,MATCH(yoy!$AA$1,Data!$A$1:$AN$1,),)=0,"#N/A",(VLOOKUP(B91,Data!$A:$AN,MATCH(yoy!$AA$1,Data!$A$1:$AN$1,),)-VLOOKUP(A91,Data!$A:$AN,MATCH(yoy!$AA$1,Data!$A$1:$AN$1,),))/VLOOKUP(A91,Data!$A:$AN,MATCH(yoy!$AA$1,Data!$A$1:$AN$1,),))</f>
        <v/>
      </c>
    </row>
    <row r="92" customFormat="1" s="77">
      <c r="A92" s="20">
        <f>DATE(YEAR(B92)-1,MONTH(B92),DAY(B92))</f>
        <v/>
      </c>
      <c r="B92" s="12" t="n">
        <v>44652</v>
      </c>
      <c r="C92" s="14">
        <f>IF(VLOOKUP(B92,Data!$A:$AN,MATCH(yoy!$C$1,Data!$A$1:$AN$1,),)=0,"#N/A",(VLOOKUP(B92,Data!$A:$AN,MATCH(yoy!$C$1,Data!$A$1:$AN$1,),)-VLOOKUP(A92,Data!$A:$AN,MATCH(yoy!$C$1,Data!$A$1:$AN$1,),))/VLOOKUP(A92,Data!$A:$AN,MATCH(yoy!$C$1,Data!$A$1:$AN$1,),))</f>
        <v/>
      </c>
      <c r="D92" s="14">
        <f>IF(VLOOKUP(B92,Data!$A:$AN,MATCH(yoy!$D$1,Data!$A$1:$AN$1,),)=0,"#N/A",(VLOOKUP(B92,Data!$A:$AN,MATCH(yoy!$D$1,Data!$A$1:$AN$1,),)-VLOOKUP(A92,Data!$A:$AN,MATCH(yoy!$D$1,Data!$A$1:$AN$1,),))/VLOOKUP(A92,Data!$A:$AN,MATCH(yoy!$D$1,Data!$A$1:$AN$1,),))</f>
        <v/>
      </c>
      <c r="E92" s="14">
        <f>IF(VLOOKUP(B92,Data!$A:$AN,MATCH(yoy!$E$1,Data!$A$1:$AN$1,),)=0,"#N/A",(VLOOKUP(B92,Data!$A:$AN,MATCH(yoy!$E$1,Data!$A$1:$AN$1,),)-VLOOKUP(A92,Data!$A:$AN,MATCH(yoy!$E$1,Data!$A$1:$AN$1,),))/VLOOKUP(A92,Data!$A:$AN,MATCH(yoy!$E$1,Data!$A$1:$AN$1,),))</f>
        <v/>
      </c>
      <c r="F92" s="14">
        <f>IF(VLOOKUP(B92,Data!$A:$AN,MATCH(yoy!$F$1,Data!$A$1:$AN$1,),)=0,"#N/A",(VLOOKUP(B92,Data!$A:$AN,MATCH(yoy!$F$1,Data!$A$1:$AN$1,),)-VLOOKUP(A92,Data!$A:$AN,MATCH(yoy!$F$1,Data!$A$1:$AN$1,),))/VLOOKUP(A92,Data!$A:$AN,MATCH(yoy!$F$1,Data!$A$1:$AN$1,),))</f>
        <v/>
      </c>
      <c r="G92" s="14">
        <f>IF(VLOOKUP(B92,Data!$A:$AN,MATCH(yoy!$G$1,Data!$A$1:$AN$1,),)=0,"#N/A",(VLOOKUP(B92,Data!$A:$AN,MATCH(yoy!$G$1,Data!$A$1:$AN$1,),)-VLOOKUP(A92,Data!$A:$AN,MATCH(yoy!$G$1,Data!$A$1:$AN$1,),))/VLOOKUP(A92,Data!$A:$AN,MATCH(yoy!$G$1,Data!$A$1:$AN$1,),))</f>
        <v/>
      </c>
      <c r="H92" s="14">
        <f>IF(VLOOKUP(B92,Data!$A:$AN,MATCH(yoy!$H$1,Data!$A$1:$AN$1,),)=0,"#N/A",(VLOOKUP(B92,Data!$A:$AN,MATCH(yoy!$H$1,Data!$A$1:$AN$1,),)-VLOOKUP(A92,Data!$A:$AN,MATCH(yoy!$H$1,Data!$A$1:$AN$1,),))/VLOOKUP(A92,Data!$A:$AN,MATCH(yoy!$H$1,Data!$A$1:$AN$1,),))</f>
        <v/>
      </c>
      <c r="I92" s="14">
        <f>IF(VLOOKUP(B92,Data!$A:$AN,MATCH(yoy!$I$1,Data!$A$1:$AN$1,),)=0,"#N/A",(VLOOKUP(B92,Data!$A:$AN,MATCH(yoy!$I$1,Data!$A$1:$AN$1,),)-VLOOKUP(A92,Data!$A:$AN,MATCH(yoy!$I$1,Data!$A$1:$AN$1,),))/VLOOKUP(A92,Data!$A:$AN,MATCH(yoy!$I$1,Data!$A$1:$AN$1,),))</f>
        <v/>
      </c>
      <c r="J92" s="14">
        <f>IF(VLOOKUP(B92,Data!$A:$AN,MATCH(yoy!$J$1,Data!$A$1:$AN$1,),)=0,"#N/A",(VLOOKUP(B92,Data!$A:$AN,MATCH(yoy!$J$1,Data!$A$1:$AN$1,),)-VLOOKUP(A92,Data!$A:$AN,MATCH(yoy!$J$1,Data!$A$1:$AN$1,),))/VLOOKUP(A92,Data!$A:$AN,MATCH(yoy!$J$1,Data!$A$1:$AN$1,),))</f>
        <v/>
      </c>
      <c r="K92" s="14">
        <f>IF(VLOOKUP(B92,Data!$A:$AN,MATCH(yoy!$K$1,Data!$A$1:$AN$1,),)=0,"#N/A",(VLOOKUP(B92,Data!$A:$AN,MATCH(yoy!$K$1,Data!$A$1:$AN$1,),)-VLOOKUP(A92,Data!$A:$AN,MATCH(yoy!$K$1,Data!$A$1:$AN$1,),))/VLOOKUP(A92,Data!$A:$AN,MATCH(yoy!$K$1,Data!$A$1:$AN$1,),))</f>
        <v/>
      </c>
      <c r="L92" s="14">
        <f>IF(VLOOKUP(B92,Data!$A:$AN,MATCH(yoy!$L$1,Data!$A$1:$AN$1,),)=0,"#N/A",(VLOOKUP(B92,Data!$A:$AN,MATCH(yoy!$L$1,Data!$A$1:$AN$1,),)-VLOOKUP(A92,Data!$A:$AN,MATCH(yoy!$L$1,Data!$A$1:$AN$1,),))/VLOOKUP(A92,Data!$A:$AN,MATCH(yoy!$L$1,Data!$A$1:$AN$1,),))</f>
        <v/>
      </c>
      <c r="M92" s="14">
        <f>IF(VLOOKUP(B92,Data!$A:$AN,MATCH(yoy!$M$1,Data!$A$1:$AN$1,),)=0,"#N/A",(VLOOKUP(B92,Data!$A:$AN,MATCH(yoy!$M$1,Data!$A$1:$AN$1,),)-VLOOKUP(A92,Data!$A:$AN,MATCH(yoy!$M$1,Data!$A$1:$AN$1,),))/VLOOKUP(A92,Data!$A:$AN,MATCH(yoy!$M$1,Data!$A$1:$AN$1,),))</f>
        <v/>
      </c>
      <c r="N92" s="14">
        <f>IF(VLOOKUP(B92,Data!$A:$AN,MATCH(yoy!$N$1,Data!$A$1:$AN$1,),)=0,"#N/A",(VLOOKUP(B92,Data!$A:$AN,MATCH(yoy!$N$1,Data!$A$1:$AN$1,),)-VLOOKUP(A92,Data!$A:$AN,MATCH(yoy!$N$1,Data!$A$1:$AN$1,),))/VLOOKUP(A92,Data!$A:$AN,MATCH(yoy!$N$1,Data!$A$1:$AN$1,),))</f>
        <v/>
      </c>
      <c r="O92" s="14">
        <f>IF(VLOOKUP(B92,Data!$A:$AN,MATCH(yoy!$O$1,Data!$A$1:$AN$1,),)=0,"#N/A",(VLOOKUP(B92,Data!$A:$AN,MATCH(yoy!$O$1,Data!$A$1:$AN$1,),)-VLOOKUP(A92,Data!$A:$AN,MATCH(yoy!$O$1,Data!$A$1:$AN$1,),))/VLOOKUP(A92,Data!$A:$AN,MATCH(yoy!$O$1,Data!$A$1:$AN$1,),))</f>
        <v/>
      </c>
      <c r="P92" s="14">
        <f>IF(VLOOKUP(B92,Data!$A:$AN,MATCH(yoy!$P$1,Data!$A$1:$AN$1,),)=0,"#N/A",(VLOOKUP(B92,Data!$A:$AN,MATCH(yoy!$P$1,Data!$A$1:$AN$1,),)-VLOOKUP(A92,Data!$A:$AN,MATCH(yoy!$P$1,Data!$A$1:$AN$1,),))/VLOOKUP(A92,Data!$A:$AN,MATCH(yoy!$P$1,Data!$A$1:$AN$1,),))</f>
        <v/>
      </c>
      <c r="Q92" s="14">
        <f>IF(VLOOKUP(B92,Data!$A:$AN,MATCH(yoy!$Q$1,Data!$A$1:$AN$1,),)=0,"#N/A",(VLOOKUP(B92,Data!$A:$AN,MATCH(yoy!$Q$1,Data!$A$1:$AN$1,),)-VLOOKUP(A92,Data!$A:$AN,MATCH(yoy!$Q$1,Data!$A$1:$AN$1,),))/VLOOKUP(A92,Data!$A:$AN,MATCH(yoy!$Q$1,Data!$A$1:$AN$1,),))</f>
        <v/>
      </c>
      <c r="R92" s="14">
        <f>IF(VLOOKUP(B92,Data!$A:$AN,MATCH(yoy!$R$1,Data!$A$1:$AN$1,),)=0,"#N/A",(VLOOKUP(B92,Data!$A:$AN,MATCH(yoy!$R$1,Data!$A$1:$AN$1,),)-VLOOKUP(A92,Data!$A:$AN,MATCH(yoy!$R$1,Data!$A$1:$AN$1,),))/VLOOKUP(A92,Data!$A:$AN,MATCH(yoy!$R$1,Data!$A$1:$AN$1,),))</f>
        <v/>
      </c>
      <c r="S92" s="14">
        <f>IF(VLOOKUP(B92,Data!$A:$AN,MATCH(yoy!$S$1,Data!$A$1:$AN$1,),)=0,"#N/A",(VLOOKUP(B92,Data!$A:$AN,MATCH(yoy!$S$1,Data!$A$1:$AN$1,),)-VLOOKUP(A92,Data!$A:$AN,MATCH(yoy!$S$1,Data!$A$1:$AN$1,),))/VLOOKUP(A92,Data!$A:$AN,MATCH(yoy!$S$1,Data!$A$1:$AN$1,),))</f>
        <v/>
      </c>
      <c r="T92" s="14">
        <f>IF(VLOOKUP(B92,Data!$A:$AN,MATCH(yoy!$T$1,Data!$A$1:$AN$1,),)=0,"#N/A",(VLOOKUP(B92,Data!$A:$AN,MATCH(yoy!$T$1,Data!$A$1:$AN$1,),)-VLOOKUP(A92,Data!$A:$AN,MATCH(yoy!$T$1,Data!$A$1:$AN$1,),))/VLOOKUP(A92,Data!$A:$AN,MATCH(yoy!$T$1,Data!$A$1:$AN$1,),))</f>
        <v/>
      </c>
      <c r="U92" s="14">
        <f>IF(VLOOKUP(B92,Data!$A:$AN,MATCH(yoy!$U$1,Data!$A$1:$AN$1,),)=0,"#N/A",(VLOOKUP(B92,Data!$A:$AN,MATCH(yoy!$U$1,Data!$A$1:$AN$1,),)-VLOOKUP(A92,Data!$A:$AN,MATCH(yoy!$U$1,Data!$A$1:$AN$1,),))/VLOOKUP(A92,Data!$A:$AN,MATCH(yoy!$U$1,Data!$A$1:$AN$1,),))</f>
        <v/>
      </c>
      <c r="V92" s="14">
        <f>IF(VLOOKUP(B92,Data!$A:$AN,MATCH(yoy!$V$1,Data!$A$1:$AN$1,),)=0,"#N/A",(VLOOKUP(B92,Data!$A:$AN,MATCH(yoy!$V$1,Data!$A$1:$AN$1,),)-VLOOKUP(A92,Data!$A:$AN,MATCH(yoy!$V$1,Data!$A$1:$AN$1,),))/VLOOKUP(A92,Data!$A:$AN,MATCH(yoy!$V$1,Data!$A$1:$AN$1,),))</f>
        <v/>
      </c>
      <c r="W92" s="14">
        <f>IF(VLOOKUP(B92,Data!$A:$AN,MATCH(yoy!$W$1,Data!$A$1:$AN$1,),)=0,"#N/A",(VLOOKUP(B92,Data!$A:$AN,MATCH(yoy!$W$1,Data!$A$1:$AN$1,),)-VLOOKUP(A92,Data!$A:$AN,MATCH(yoy!$W$1,Data!$A$1:$AN$1,),))/VLOOKUP(A92,Data!$A:$AN,MATCH(yoy!$W$1,Data!$A$1:$AN$1,),))</f>
        <v/>
      </c>
      <c r="X92" s="14">
        <f>IF(VLOOKUP(B92,Data!$A:$AN,MATCH(yoy!$X$1,Data!$A$1:$AN$1,),)=0,"#N/A",(VLOOKUP(B92,Data!$A:$AN,MATCH(yoy!$X$1,Data!$A$1:$AN$1,),)-VLOOKUP(A92,Data!$A:$AN,MATCH(yoy!$X$1,Data!$A$1:$AN$1,),))/VLOOKUP(A92,Data!$A:$AN,MATCH(yoy!$X$1,Data!$A$1:$AN$1,),))</f>
        <v/>
      </c>
      <c r="Y92" s="14">
        <f>IF(VLOOKUP(B92,Data!$A:$AN,MATCH(yoy!$Y$1,Data!$A$1:$AN$1,),)=0,"#N/A",(VLOOKUP(B92,Data!$A:$AN,MATCH(yoy!$Y$1,Data!$A$1:$AN$1,),)-VLOOKUP(A92,Data!$A:$AN,MATCH(yoy!$Y$1,Data!$A$1:$AN$1,),))/VLOOKUP(A92,Data!$A:$AN,MATCH(yoy!$Y$1,Data!$A$1:$AN$1,),))</f>
        <v/>
      </c>
      <c r="Z92" s="14">
        <f>IF(VLOOKUP(B92,Data!$A:$AN,MATCH(yoy!$Z$1,Data!$A$1:$AN$1,),)=0,"#N/A",(VLOOKUP(B92,Data!$A:$AN,MATCH(yoy!$Z$1,Data!$A$1:$AN$1,),)-VLOOKUP(A92,Data!$A:$AN,MATCH(yoy!$Z$1,Data!$A$1:$AN$1,),))/VLOOKUP(A92,Data!$A:$AN,MATCH(yoy!$Z$1,Data!$A$1:$AN$1,),))</f>
        <v/>
      </c>
      <c r="AA92" s="14">
        <f>IF(VLOOKUP(B92,Data!$A:$AN,MATCH(yoy!$AA$1,Data!$A$1:$AN$1,),)=0,"#N/A",(VLOOKUP(B92,Data!$A:$AN,MATCH(yoy!$AA$1,Data!$A$1:$AN$1,),)-VLOOKUP(A92,Data!$A:$AN,MATCH(yoy!$AA$1,Data!$A$1:$AN$1,),))/VLOOKUP(A92,Data!$A:$AN,MATCH(yoy!$AA$1,Data!$A$1:$AN$1,),))</f>
        <v/>
      </c>
    </row>
    <row r="93" customFormat="1" s="77">
      <c r="A93" s="20">
        <f>DATE(YEAR(B93)-1,MONTH(B93),DAY(B93))</f>
        <v/>
      </c>
      <c r="B93" s="12" t="n">
        <v>44682</v>
      </c>
      <c r="C93" s="14">
        <f>IF(VLOOKUP(B93,Data!$A:$AN,MATCH(yoy!$C$1,Data!$A$1:$AN$1,),)=0,"#N/A",(VLOOKUP(B93,Data!$A:$AN,MATCH(yoy!$C$1,Data!$A$1:$AN$1,),)-VLOOKUP(A93,Data!$A:$AN,MATCH(yoy!$C$1,Data!$A$1:$AN$1,),))/VLOOKUP(A93,Data!$A:$AN,MATCH(yoy!$C$1,Data!$A$1:$AN$1,),))</f>
        <v/>
      </c>
      <c r="D93" s="14">
        <f>IF(VLOOKUP(B93,Data!$A:$AN,MATCH(yoy!$D$1,Data!$A$1:$AN$1,),)=0,"#N/A",(VLOOKUP(B93,Data!$A:$AN,MATCH(yoy!$D$1,Data!$A$1:$AN$1,),)-VLOOKUP(A93,Data!$A:$AN,MATCH(yoy!$D$1,Data!$A$1:$AN$1,),))/VLOOKUP(A93,Data!$A:$AN,MATCH(yoy!$D$1,Data!$A$1:$AN$1,),))</f>
        <v/>
      </c>
      <c r="E93" s="14">
        <f>IF(VLOOKUP(B93,Data!$A:$AN,MATCH(yoy!$E$1,Data!$A$1:$AN$1,),)=0,"#N/A",(VLOOKUP(B93,Data!$A:$AN,MATCH(yoy!$E$1,Data!$A$1:$AN$1,),)-VLOOKUP(A93,Data!$A:$AN,MATCH(yoy!$E$1,Data!$A$1:$AN$1,),))/VLOOKUP(A93,Data!$A:$AN,MATCH(yoy!$E$1,Data!$A$1:$AN$1,),))</f>
        <v/>
      </c>
      <c r="F93" s="14">
        <f>IF(VLOOKUP(B93,Data!$A:$AN,MATCH(yoy!$F$1,Data!$A$1:$AN$1,),)=0,"#N/A",(VLOOKUP(B93,Data!$A:$AN,MATCH(yoy!$F$1,Data!$A$1:$AN$1,),)-VLOOKUP(A93,Data!$A:$AN,MATCH(yoy!$F$1,Data!$A$1:$AN$1,),))/VLOOKUP(A93,Data!$A:$AN,MATCH(yoy!$F$1,Data!$A$1:$AN$1,),))</f>
        <v/>
      </c>
      <c r="G93" s="14">
        <f>IF(VLOOKUP(B93,Data!$A:$AN,MATCH(yoy!$G$1,Data!$A$1:$AN$1,),)=0,"#N/A",(VLOOKUP(B93,Data!$A:$AN,MATCH(yoy!$G$1,Data!$A$1:$AN$1,),)-VLOOKUP(A93,Data!$A:$AN,MATCH(yoy!$G$1,Data!$A$1:$AN$1,),))/VLOOKUP(A93,Data!$A:$AN,MATCH(yoy!$G$1,Data!$A$1:$AN$1,),))</f>
        <v/>
      </c>
      <c r="H93" s="14">
        <f>IF(VLOOKUP(B93,Data!$A:$AN,MATCH(yoy!$H$1,Data!$A$1:$AN$1,),)=0,"#N/A",(VLOOKUP(B93,Data!$A:$AN,MATCH(yoy!$H$1,Data!$A$1:$AN$1,),)-VLOOKUP(A93,Data!$A:$AN,MATCH(yoy!$H$1,Data!$A$1:$AN$1,),))/VLOOKUP(A93,Data!$A:$AN,MATCH(yoy!$H$1,Data!$A$1:$AN$1,),))</f>
        <v/>
      </c>
      <c r="I93" s="14">
        <f>IF(VLOOKUP(B93,Data!$A:$AN,MATCH(yoy!$I$1,Data!$A$1:$AN$1,),)=0,"#N/A",(VLOOKUP(B93,Data!$A:$AN,MATCH(yoy!$I$1,Data!$A$1:$AN$1,),)-VLOOKUP(A93,Data!$A:$AN,MATCH(yoy!$I$1,Data!$A$1:$AN$1,),))/VLOOKUP(A93,Data!$A:$AN,MATCH(yoy!$I$1,Data!$A$1:$AN$1,),))</f>
        <v/>
      </c>
      <c r="J93" s="14">
        <f>IF(VLOOKUP(B93,Data!$A:$AN,MATCH(yoy!$J$1,Data!$A$1:$AN$1,),)=0,"#N/A",(VLOOKUP(B93,Data!$A:$AN,MATCH(yoy!$J$1,Data!$A$1:$AN$1,),)-VLOOKUP(A93,Data!$A:$AN,MATCH(yoy!$J$1,Data!$A$1:$AN$1,),))/VLOOKUP(A93,Data!$A:$AN,MATCH(yoy!$J$1,Data!$A$1:$AN$1,),))</f>
        <v/>
      </c>
      <c r="K93" s="14">
        <f>IF(VLOOKUP(B93,Data!$A:$AN,MATCH(yoy!$K$1,Data!$A$1:$AN$1,),)=0,"#N/A",(VLOOKUP(B93,Data!$A:$AN,MATCH(yoy!$K$1,Data!$A$1:$AN$1,),)-VLOOKUP(A93,Data!$A:$AN,MATCH(yoy!$K$1,Data!$A$1:$AN$1,),))/VLOOKUP(A93,Data!$A:$AN,MATCH(yoy!$K$1,Data!$A$1:$AN$1,),))</f>
        <v/>
      </c>
      <c r="L93" s="14">
        <f>IF(VLOOKUP(B93,Data!$A:$AN,MATCH(yoy!$L$1,Data!$A$1:$AN$1,),)=0,"#N/A",(VLOOKUP(B93,Data!$A:$AN,MATCH(yoy!$L$1,Data!$A$1:$AN$1,),)-VLOOKUP(A93,Data!$A:$AN,MATCH(yoy!$L$1,Data!$A$1:$AN$1,),))/VLOOKUP(A93,Data!$A:$AN,MATCH(yoy!$L$1,Data!$A$1:$AN$1,),))</f>
        <v/>
      </c>
      <c r="M93" s="14">
        <f>IF(VLOOKUP(B93,Data!$A:$AN,MATCH(yoy!$M$1,Data!$A$1:$AN$1,),)=0,"#N/A",(VLOOKUP(B93,Data!$A:$AN,MATCH(yoy!$M$1,Data!$A$1:$AN$1,),)-VLOOKUP(A93,Data!$A:$AN,MATCH(yoy!$M$1,Data!$A$1:$AN$1,),))/VLOOKUP(A93,Data!$A:$AN,MATCH(yoy!$M$1,Data!$A$1:$AN$1,),))</f>
        <v/>
      </c>
      <c r="N93" s="14">
        <f>IF(VLOOKUP(B93,Data!$A:$AN,MATCH(yoy!$N$1,Data!$A$1:$AN$1,),)=0,"#N/A",(VLOOKUP(B93,Data!$A:$AN,MATCH(yoy!$N$1,Data!$A$1:$AN$1,),)-VLOOKUP(A93,Data!$A:$AN,MATCH(yoy!$N$1,Data!$A$1:$AN$1,),))/VLOOKUP(A93,Data!$A:$AN,MATCH(yoy!$N$1,Data!$A$1:$AN$1,),))</f>
        <v/>
      </c>
      <c r="O93" s="14">
        <f>IF(VLOOKUP(B93,Data!$A:$AN,MATCH(yoy!$O$1,Data!$A$1:$AN$1,),)=0,"#N/A",(VLOOKUP(B93,Data!$A:$AN,MATCH(yoy!$O$1,Data!$A$1:$AN$1,),)-VLOOKUP(A93,Data!$A:$AN,MATCH(yoy!$O$1,Data!$A$1:$AN$1,),))/VLOOKUP(A93,Data!$A:$AN,MATCH(yoy!$O$1,Data!$A$1:$AN$1,),))</f>
        <v/>
      </c>
      <c r="P93" s="14">
        <f>IF(VLOOKUP(B93,Data!$A:$AN,MATCH(yoy!$P$1,Data!$A$1:$AN$1,),)=0,"#N/A",(VLOOKUP(B93,Data!$A:$AN,MATCH(yoy!$P$1,Data!$A$1:$AN$1,),)-VLOOKUP(A93,Data!$A:$AN,MATCH(yoy!$P$1,Data!$A$1:$AN$1,),))/VLOOKUP(A93,Data!$A:$AN,MATCH(yoy!$P$1,Data!$A$1:$AN$1,),))</f>
        <v/>
      </c>
      <c r="Q93" s="14">
        <f>IF(VLOOKUP(B93,Data!$A:$AN,MATCH(yoy!$Q$1,Data!$A$1:$AN$1,),)=0,"#N/A",(VLOOKUP(B93,Data!$A:$AN,MATCH(yoy!$Q$1,Data!$A$1:$AN$1,),)-VLOOKUP(A93,Data!$A:$AN,MATCH(yoy!$Q$1,Data!$A$1:$AN$1,),))/VLOOKUP(A93,Data!$A:$AN,MATCH(yoy!$Q$1,Data!$A$1:$AN$1,),))</f>
        <v/>
      </c>
      <c r="R93" s="14">
        <f>IF(VLOOKUP(B93,Data!$A:$AN,MATCH(yoy!$R$1,Data!$A$1:$AN$1,),)=0,"#N/A",(VLOOKUP(B93,Data!$A:$AN,MATCH(yoy!$R$1,Data!$A$1:$AN$1,),)-VLOOKUP(A93,Data!$A:$AN,MATCH(yoy!$R$1,Data!$A$1:$AN$1,),))/VLOOKUP(A93,Data!$A:$AN,MATCH(yoy!$R$1,Data!$A$1:$AN$1,),))</f>
        <v/>
      </c>
      <c r="S93" s="14">
        <f>IF(VLOOKUP(B93,Data!$A:$AN,MATCH(yoy!$S$1,Data!$A$1:$AN$1,),)=0,"#N/A",(VLOOKUP(B93,Data!$A:$AN,MATCH(yoy!$S$1,Data!$A$1:$AN$1,),)-VLOOKUP(A93,Data!$A:$AN,MATCH(yoy!$S$1,Data!$A$1:$AN$1,),))/VLOOKUP(A93,Data!$A:$AN,MATCH(yoy!$S$1,Data!$A$1:$AN$1,),))</f>
        <v/>
      </c>
      <c r="T93" s="14">
        <f>IF(VLOOKUP(B93,Data!$A:$AN,MATCH(yoy!$T$1,Data!$A$1:$AN$1,),)=0,"#N/A",(VLOOKUP(B93,Data!$A:$AN,MATCH(yoy!$T$1,Data!$A$1:$AN$1,),)-VLOOKUP(A93,Data!$A:$AN,MATCH(yoy!$T$1,Data!$A$1:$AN$1,),))/VLOOKUP(A93,Data!$A:$AN,MATCH(yoy!$T$1,Data!$A$1:$AN$1,),))</f>
        <v/>
      </c>
      <c r="U93" s="14">
        <f>IF(VLOOKUP(B93,Data!$A:$AN,MATCH(yoy!$U$1,Data!$A$1:$AN$1,),)=0,"#N/A",(VLOOKUP(B93,Data!$A:$AN,MATCH(yoy!$U$1,Data!$A$1:$AN$1,),)-VLOOKUP(A93,Data!$A:$AN,MATCH(yoy!$U$1,Data!$A$1:$AN$1,),))/VLOOKUP(A93,Data!$A:$AN,MATCH(yoy!$U$1,Data!$A$1:$AN$1,),))</f>
        <v/>
      </c>
      <c r="V93" s="14">
        <f>IF(VLOOKUP(B93,Data!$A:$AN,MATCH(yoy!$V$1,Data!$A$1:$AN$1,),)=0,"#N/A",(VLOOKUP(B93,Data!$A:$AN,MATCH(yoy!$V$1,Data!$A$1:$AN$1,),)-VLOOKUP(A93,Data!$A:$AN,MATCH(yoy!$V$1,Data!$A$1:$AN$1,),))/VLOOKUP(A93,Data!$A:$AN,MATCH(yoy!$V$1,Data!$A$1:$AN$1,),))</f>
        <v/>
      </c>
      <c r="W93" s="14">
        <f>IF(VLOOKUP(B93,Data!$A:$AN,MATCH(yoy!$W$1,Data!$A$1:$AN$1,),)=0,"#N/A",(VLOOKUP(B93,Data!$A:$AN,MATCH(yoy!$W$1,Data!$A$1:$AN$1,),)-VLOOKUP(A93,Data!$A:$AN,MATCH(yoy!$W$1,Data!$A$1:$AN$1,),))/VLOOKUP(A93,Data!$A:$AN,MATCH(yoy!$W$1,Data!$A$1:$AN$1,),))</f>
        <v/>
      </c>
      <c r="X93" s="14">
        <f>IF(VLOOKUP(B93,Data!$A:$AN,MATCH(yoy!$X$1,Data!$A$1:$AN$1,),)=0,"#N/A",(VLOOKUP(B93,Data!$A:$AN,MATCH(yoy!$X$1,Data!$A$1:$AN$1,),)-VLOOKUP(A93,Data!$A:$AN,MATCH(yoy!$X$1,Data!$A$1:$AN$1,),))/VLOOKUP(A93,Data!$A:$AN,MATCH(yoy!$X$1,Data!$A$1:$AN$1,),))</f>
        <v/>
      </c>
      <c r="Y93" s="14">
        <f>IF(VLOOKUP(B93,Data!$A:$AN,MATCH(yoy!$Y$1,Data!$A$1:$AN$1,),)=0,"#N/A",(VLOOKUP(B93,Data!$A:$AN,MATCH(yoy!$Y$1,Data!$A$1:$AN$1,),)-VLOOKUP(A93,Data!$A:$AN,MATCH(yoy!$Y$1,Data!$A$1:$AN$1,),))/VLOOKUP(A93,Data!$A:$AN,MATCH(yoy!$Y$1,Data!$A$1:$AN$1,),))</f>
        <v/>
      </c>
      <c r="Z93" s="14">
        <f>IF(VLOOKUP(B93,Data!$A:$AN,MATCH(yoy!$Z$1,Data!$A$1:$AN$1,),)=0,"#N/A",(VLOOKUP(B93,Data!$A:$AN,MATCH(yoy!$Z$1,Data!$A$1:$AN$1,),)-VLOOKUP(A93,Data!$A:$AN,MATCH(yoy!$Z$1,Data!$A$1:$AN$1,),))/VLOOKUP(A93,Data!$A:$AN,MATCH(yoy!$Z$1,Data!$A$1:$AN$1,),))</f>
        <v/>
      </c>
      <c r="AA93" s="14">
        <f>IF(VLOOKUP(B93,Data!$A:$AN,MATCH(yoy!$AA$1,Data!$A$1:$AN$1,),)=0,"#N/A",(VLOOKUP(B93,Data!$A:$AN,MATCH(yoy!$AA$1,Data!$A$1:$AN$1,),)-VLOOKUP(A93,Data!$A:$AN,MATCH(yoy!$AA$1,Data!$A$1:$AN$1,),))/VLOOKUP(A93,Data!$A:$AN,MATCH(yoy!$AA$1,Data!$A$1:$AN$1,),))</f>
        <v/>
      </c>
    </row>
    <row r="94" customFormat="1" s="77">
      <c r="A94" s="20">
        <f>DATE(YEAR(B94)-1,MONTH(B94),DAY(B94))</f>
        <v/>
      </c>
      <c r="B94" s="12" t="n">
        <v>44713</v>
      </c>
      <c r="C94" s="14">
        <f>IF(VLOOKUP(B94,Data!$A:$AN,MATCH(yoy!$C$1,Data!$A$1:$AN$1,),)=0,"#N/A",(VLOOKUP(B94,Data!$A:$AN,MATCH(yoy!$C$1,Data!$A$1:$AN$1,),)-VLOOKUP(A94,Data!$A:$AN,MATCH(yoy!$C$1,Data!$A$1:$AN$1,),))/VLOOKUP(A94,Data!$A:$AN,MATCH(yoy!$C$1,Data!$A$1:$AN$1,),))</f>
        <v/>
      </c>
      <c r="D94" s="14">
        <f>IF(VLOOKUP(B94,Data!$A:$AN,MATCH(yoy!$D$1,Data!$A$1:$AN$1,),)=0,"#N/A",(VLOOKUP(B94,Data!$A:$AN,MATCH(yoy!$D$1,Data!$A$1:$AN$1,),)-VLOOKUP(A94,Data!$A:$AN,MATCH(yoy!$D$1,Data!$A$1:$AN$1,),))/VLOOKUP(A94,Data!$A:$AN,MATCH(yoy!$D$1,Data!$A$1:$AN$1,),))</f>
        <v/>
      </c>
      <c r="E94" s="14">
        <f>IF(VLOOKUP(B94,Data!$A:$AN,MATCH(yoy!$E$1,Data!$A$1:$AN$1,),)=0,"#N/A",(VLOOKUP(B94,Data!$A:$AN,MATCH(yoy!$E$1,Data!$A$1:$AN$1,),)-VLOOKUP(A94,Data!$A:$AN,MATCH(yoy!$E$1,Data!$A$1:$AN$1,),))/VLOOKUP(A94,Data!$A:$AN,MATCH(yoy!$E$1,Data!$A$1:$AN$1,),))</f>
        <v/>
      </c>
      <c r="F94" s="14">
        <f>IF(VLOOKUP(B94,Data!$A:$AN,MATCH(yoy!$F$1,Data!$A$1:$AN$1,),)=0,"#N/A",(VLOOKUP(B94,Data!$A:$AN,MATCH(yoy!$F$1,Data!$A$1:$AN$1,),)-VLOOKUP(A94,Data!$A:$AN,MATCH(yoy!$F$1,Data!$A$1:$AN$1,),))/VLOOKUP(A94,Data!$A:$AN,MATCH(yoy!$F$1,Data!$A$1:$AN$1,),))</f>
        <v/>
      </c>
      <c r="G94" s="14">
        <f>IF(VLOOKUP(B94,Data!$A:$AN,MATCH(yoy!$G$1,Data!$A$1:$AN$1,),)=0,"#N/A",(VLOOKUP(B94,Data!$A:$AN,MATCH(yoy!$G$1,Data!$A$1:$AN$1,),)-VLOOKUP(A94,Data!$A:$AN,MATCH(yoy!$G$1,Data!$A$1:$AN$1,),))/VLOOKUP(A94,Data!$A:$AN,MATCH(yoy!$G$1,Data!$A$1:$AN$1,),))</f>
        <v/>
      </c>
      <c r="H94" s="14">
        <f>IF(VLOOKUP(B94,Data!$A:$AN,MATCH(yoy!$H$1,Data!$A$1:$AN$1,),)=0,"#N/A",(VLOOKUP(B94,Data!$A:$AN,MATCH(yoy!$H$1,Data!$A$1:$AN$1,),)-VLOOKUP(A94,Data!$A:$AN,MATCH(yoy!$H$1,Data!$A$1:$AN$1,),))/VLOOKUP(A94,Data!$A:$AN,MATCH(yoy!$H$1,Data!$A$1:$AN$1,),))</f>
        <v/>
      </c>
      <c r="I94" s="14">
        <f>IF(VLOOKUP(B94,Data!$A:$AN,MATCH(yoy!$I$1,Data!$A$1:$AN$1,),)=0,"#N/A",(VLOOKUP(B94,Data!$A:$AN,MATCH(yoy!$I$1,Data!$A$1:$AN$1,),)-VLOOKUP(A94,Data!$A:$AN,MATCH(yoy!$I$1,Data!$A$1:$AN$1,),))/VLOOKUP(A94,Data!$A:$AN,MATCH(yoy!$I$1,Data!$A$1:$AN$1,),))</f>
        <v/>
      </c>
      <c r="J94" s="14">
        <f>IF(VLOOKUP(B94,Data!$A:$AN,MATCH(yoy!$J$1,Data!$A$1:$AN$1,),)=0,"#N/A",(VLOOKUP(B94,Data!$A:$AN,MATCH(yoy!$J$1,Data!$A$1:$AN$1,),)-VLOOKUP(A94,Data!$A:$AN,MATCH(yoy!$J$1,Data!$A$1:$AN$1,),))/VLOOKUP(A94,Data!$A:$AN,MATCH(yoy!$J$1,Data!$A$1:$AN$1,),))</f>
        <v/>
      </c>
      <c r="K94" s="14">
        <f>IF(VLOOKUP(B94,Data!$A:$AN,MATCH(yoy!$K$1,Data!$A$1:$AN$1,),)=0,"#N/A",(VLOOKUP(B94,Data!$A:$AN,MATCH(yoy!$K$1,Data!$A$1:$AN$1,),)-VLOOKUP(A94,Data!$A:$AN,MATCH(yoy!$K$1,Data!$A$1:$AN$1,),))/VLOOKUP(A94,Data!$A:$AN,MATCH(yoy!$K$1,Data!$A$1:$AN$1,),))</f>
        <v/>
      </c>
      <c r="L94" s="14">
        <f>IF(VLOOKUP(B94,Data!$A:$AN,MATCH(yoy!$L$1,Data!$A$1:$AN$1,),)=0,"#N/A",(VLOOKUP(B94,Data!$A:$AN,MATCH(yoy!$L$1,Data!$A$1:$AN$1,),)-VLOOKUP(A94,Data!$A:$AN,MATCH(yoy!$L$1,Data!$A$1:$AN$1,),))/VLOOKUP(A94,Data!$A:$AN,MATCH(yoy!$L$1,Data!$A$1:$AN$1,),))</f>
        <v/>
      </c>
      <c r="M94" s="14">
        <f>IF(VLOOKUP(B94,Data!$A:$AN,MATCH(yoy!$M$1,Data!$A$1:$AN$1,),)=0,"#N/A",(VLOOKUP(B94,Data!$A:$AN,MATCH(yoy!$M$1,Data!$A$1:$AN$1,),)-VLOOKUP(A94,Data!$A:$AN,MATCH(yoy!$M$1,Data!$A$1:$AN$1,),))/VLOOKUP(A94,Data!$A:$AN,MATCH(yoy!$M$1,Data!$A$1:$AN$1,),))</f>
        <v/>
      </c>
      <c r="N94" s="14">
        <f>IF(VLOOKUP(B94,Data!$A:$AN,MATCH(yoy!$N$1,Data!$A$1:$AN$1,),)=0,"#N/A",(VLOOKUP(B94,Data!$A:$AN,MATCH(yoy!$N$1,Data!$A$1:$AN$1,),)-VLOOKUP(A94,Data!$A:$AN,MATCH(yoy!$N$1,Data!$A$1:$AN$1,),))/VLOOKUP(A94,Data!$A:$AN,MATCH(yoy!$N$1,Data!$A$1:$AN$1,),))</f>
        <v/>
      </c>
      <c r="O94" s="14">
        <f>IF(VLOOKUP(B94,Data!$A:$AN,MATCH(yoy!$O$1,Data!$A$1:$AN$1,),)=0,"#N/A",(VLOOKUP(B94,Data!$A:$AN,MATCH(yoy!$O$1,Data!$A$1:$AN$1,),)-VLOOKUP(A94,Data!$A:$AN,MATCH(yoy!$O$1,Data!$A$1:$AN$1,),))/VLOOKUP(A94,Data!$A:$AN,MATCH(yoy!$O$1,Data!$A$1:$AN$1,),))</f>
        <v/>
      </c>
      <c r="P94" s="14">
        <f>IF(VLOOKUP(B94,Data!$A:$AN,MATCH(yoy!$P$1,Data!$A$1:$AN$1,),)=0,"#N/A",(VLOOKUP(B94,Data!$A:$AN,MATCH(yoy!$P$1,Data!$A$1:$AN$1,),)-VLOOKUP(A94,Data!$A:$AN,MATCH(yoy!$P$1,Data!$A$1:$AN$1,),))/VLOOKUP(A94,Data!$A:$AN,MATCH(yoy!$P$1,Data!$A$1:$AN$1,),))</f>
        <v/>
      </c>
      <c r="Q94" s="14">
        <f>IF(VLOOKUP(B94,Data!$A:$AN,MATCH(yoy!$Q$1,Data!$A$1:$AN$1,),)=0,"#N/A",(VLOOKUP(B94,Data!$A:$AN,MATCH(yoy!$Q$1,Data!$A$1:$AN$1,),)-VLOOKUP(A94,Data!$A:$AN,MATCH(yoy!$Q$1,Data!$A$1:$AN$1,),))/VLOOKUP(A94,Data!$A:$AN,MATCH(yoy!$Q$1,Data!$A$1:$AN$1,),))</f>
        <v/>
      </c>
      <c r="R94" s="14">
        <f>IF(VLOOKUP(B94,Data!$A:$AN,MATCH(yoy!$R$1,Data!$A$1:$AN$1,),)=0,"#N/A",(VLOOKUP(B94,Data!$A:$AN,MATCH(yoy!$R$1,Data!$A$1:$AN$1,),)-VLOOKUP(A94,Data!$A:$AN,MATCH(yoy!$R$1,Data!$A$1:$AN$1,),))/VLOOKUP(A94,Data!$A:$AN,MATCH(yoy!$R$1,Data!$A$1:$AN$1,),))</f>
        <v/>
      </c>
      <c r="S94" s="14">
        <f>IF(VLOOKUP(B94,Data!$A:$AN,MATCH(yoy!$S$1,Data!$A$1:$AN$1,),)=0,"#N/A",(VLOOKUP(B94,Data!$A:$AN,MATCH(yoy!$S$1,Data!$A$1:$AN$1,),)-VLOOKUP(A94,Data!$A:$AN,MATCH(yoy!$S$1,Data!$A$1:$AN$1,),))/VLOOKUP(A94,Data!$A:$AN,MATCH(yoy!$S$1,Data!$A$1:$AN$1,),))</f>
        <v/>
      </c>
      <c r="T94" s="14">
        <f>IF(VLOOKUP(B94,Data!$A:$AN,MATCH(yoy!$T$1,Data!$A$1:$AN$1,),)=0,"#N/A",(VLOOKUP(B94,Data!$A:$AN,MATCH(yoy!$T$1,Data!$A$1:$AN$1,),)-VLOOKUP(A94,Data!$A:$AN,MATCH(yoy!$T$1,Data!$A$1:$AN$1,),))/VLOOKUP(A94,Data!$A:$AN,MATCH(yoy!$T$1,Data!$A$1:$AN$1,),))</f>
        <v/>
      </c>
      <c r="U94" s="14">
        <f>IF(VLOOKUP(B94,Data!$A:$AN,MATCH(yoy!$U$1,Data!$A$1:$AN$1,),)=0,"#N/A",(VLOOKUP(B94,Data!$A:$AN,MATCH(yoy!$U$1,Data!$A$1:$AN$1,),)-VLOOKUP(A94,Data!$A:$AN,MATCH(yoy!$U$1,Data!$A$1:$AN$1,),))/VLOOKUP(A94,Data!$A:$AN,MATCH(yoy!$U$1,Data!$A$1:$AN$1,),))</f>
        <v/>
      </c>
      <c r="V94" s="14">
        <f>IF(VLOOKUP(B94,Data!$A:$AN,MATCH(yoy!$V$1,Data!$A$1:$AN$1,),)=0,"#N/A",(VLOOKUP(B94,Data!$A:$AN,MATCH(yoy!$V$1,Data!$A$1:$AN$1,),)-VLOOKUP(A94,Data!$A:$AN,MATCH(yoy!$V$1,Data!$A$1:$AN$1,),))/VLOOKUP(A94,Data!$A:$AN,MATCH(yoy!$V$1,Data!$A$1:$AN$1,),))</f>
        <v/>
      </c>
      <c r="W94" s="14">
        <f>IF(VLOOKUP(B94,Data!$A:$AN,MATCH(yoy!$W$1,Data!$A$1:$AN$1,),)=0,"#N/A",(VLOOKUP(B94,Data!$A:$AN,MATCH(yoy!$W$1,Data!$A$1:$AN$1,),)-VLOOKUP(A94,Data!$A:$AN,MATCH(yoy!$W$1,Data!$A$1:$AN$1,),))/VLOOKUP(A94,Data!$A:$AN,MATCH(yoy!$W$1,Data!$A$1:$AN$1,),))</f>
        <v/>
      </c>
      <c r="X94" s="14">
        <f>IF(VLOOKUP(B94,Data!$A:$AN,MATCH(yoy!$X$1,Data!$A$1:$AN$1,),)=0,"#N/A",(VLOOKUP(B94,Data!$A:$AN,MATCH(yoy!$X$1,Data!$A$1:$AN$1,),)-VLOOKUP(A94,Data!$A:$AN,MATCH(yoy!$X$1,Data!$A$1:$AN$1,),))/VLOOKUP(A94,Data!$A:$AN,MATCH(yoy!$X$1,Data!$A$1:$AN$1,),))</f>
        <v/>
      </c>
      <c r="Y94" s="14">
        <f>IF(VLOOKUP(B94,Data!$A:$AN,MATCH(yoy!$Y$1,Data!$A$1:$AN$1,),)=0,"#N/A",(VLOOKUP(B94,Data!$A:$AN,MATCH(yoy!$Y$1,Data!$A$1:$AN$1,),)-VLOOKUP(A94,Data!$A:$AN,MATCH(yoy!$Y$1,Data!$A$1:$AN$1,),))/VLOOKUP(A94,Data!$A:$AN,MATCH(yoy!$Y$1,Data!$A$1:$AN$1,),))</f>
        <v/>
      </c>
      <c r="Z94" s="14">
        <f>IF(VLOOKUP(B94,Data!$A:$AN,MATCH(yoy!$Z$1,Data!$A$1:$AN$1,),)=0,"#N/A",(VLOOKUP(B94,Data!$A:$AN,MATCH(yoy!$Z$1,Data!$A$1:$AN$1,),)-VLOOKUP(A94,Data!$A:$AN,MATCH(yoy!$Z$1,Data!$A$1:$AN$1,),))/VLOOKUP(A94,Data!$A:$AN,MATCH(yoy!$Z$1,Data!$A$1:$AN$1,),))</f>
        <v/>
      </c>
      <c r="AA94" s="14">
        <f>IF(VLOOKUP(B94,Data!$A:$AN,MATCH(yoy!$AA$1,Data!$A$1:$AN$1,),)=0,"#N/A",(VLOOKUP(B94,Data!$A:$AN,MATCH(yoy!$AA$1,Data!$A$1:$AN$1,),)-VLOOKUP(A94,Data!$A:$AN,MATCH(yoy!$AA$1,Data!$A$1:$AN$1,),))/VLOOKUP(A94,Data!$A:$AN,MATCH(yoy!$AA$1,Data!$A$1:$AN$1,),))</f>
        <v/>
      </c>
    </row>
    <row r="95" customFormat="1" s="77">
      <c r="A95" s="20">
        <f>DATE(YEAR(B95)-1,MONTH(B95),DAY(B95))</f>
        <v/>
      </c>
      <c r="B95" s="12" t="n">
        <v>44743</v>
      </c>
      <c r="C95" s="14">
        <f>IF(VLOOKUP(B95,Data!$A:$AN,MATCH(yoy!$C$1,Data!$A$1:$AN$1,),)=0,"#N/A",(VLOOKUP(B95,Data!$A:$AN,MATCH(yoy!$C$1,Data!$A$1:$AN$1,),)-VLOOKUP(A95,Data!$A:$AN,MATCH(yoy!$C$1,Data!$A$1:$AN$1,),))/VLOOKUP(A95,Data!$A:$AN,MATCH(yoy!$C$1,Data!$A$1:$AN$1,),))</f>
        <v/>
      </c>
      <c r="D95" s="14">
        <f>IF(VLOOKUP(B95,Data!$A:$AN,MATCH(yoy!$D$1,Data!$A$1:$AN$1,),)=0,"#N/A",(VLOOKUP(B95,Data!$A:$AN,MATCH(yoy!$D$1,Data!$A$1:$AN$1,),)-VLOOKUP(A95,Data!$A:$AN,MATCH(yoy!$D$1,Data!$A$1:$AN$1,),))/VLOOKUP(A95,Data!$A:$AN,MATCH(yoy!$D$1,Data!$A$1:$AN$1,),))</f>
        <v/>
      </c>
      <c r="E95" s="14">
        <f>IF(VLOOKUP(B95,Data!$A:$AN,MATCH(yoy!$E$1,Data!$A$1:$AN$1,),)=0,"#N/A",(VLOOKUP(B95,Data!$A:$AN,MATCH(yoy!$E$1,Data!$A$1:$AN$1,),)-VLOOKUP(A95,Data!$A:$AN,MATCH(yoy!$E$1,Data!$A$1:$AN$1,),))/VLOOKUP(A95,Data!$A:$AN,MATCH(yoy!$E$1,Data!$A$1:$AN$1,),))</f>
        <v/>
      </c>
      <c r="F95" s="14">
        <f>IF(VLOOKUP(B95,Data!$A:$AN,MATCH(yoy!$F$1,Data!$A$1:$AN$1,),)=0,"#N/A",(VLOOKUP(B95,Data!$A:$AN,MATCH(yoy!$F$1,Data!$A$1:$AN$1,),)-VLOOKUP(A95,Data!$A:$AN,MATCH(yoy!$F$1,Data!$A$1:$AN$1,),))/VLOOKUP(A95,Data!$A:$AN,MATCH(yoy!$F$1,Data!$A$1:$AN$1,),))</f>
        <v/>
      </c>
      <c r="G95" s="14">
        <f>IF(VLOOKUP(B95,Data!$A:$AN,MATCH(yoy!$G$1,Data!$A$1:$AN$1,),)=0,"#N/A",(VLOOKUP(B95,Data!$A:$AN,MATCH(yoy!$G$1,Data!$A$1:$AN$1,),)-VLOOKUP(A95,Data!$A:$AN,MATCH(yoy!$G$1,Data!$A$1:$AN$1,),))/VLOOKUP(A95,Data!$A:$AN,MATCH(yoy!$G$1,Data!$A$1:$AN$1,),))</f>
        <v/>
      </c>
      <c r="H95" s="14">
        <f>IF(VLOOKUP(B95,Data!$A:$AN,MATCH(yoy!$H$1,Data!$A$1:$AN$1,),)=0,"#N/A",(VLOOKUP(B95,Data!$A:$AN,MATCH(yoy!$H$1,Data!$A$1:$AN$1,),)-VLOOKUP(A95,Data!$A:$AN,MATCH(yoy!$H$1,Data!$A$1:$AN$1,),))/VLOOKUP(A95,Data!$A:$AN,MATCH(yoy!$H$1,Data!$A$1:$AN$1,),))</f>
        <v/>
      </c>
      <c r="I95" s="14">
        <f>IF(VLOOKUP(B95,Data!$A:$AN,MATCH(yoy!$I$1,Data!$A$1:$AN$1,),)=0,"#N/A",(VLOOKUP(B95,Data!$A:$AN,MATCH(yoy!$I$1,Data!$A$1:$AN$1,),)-VLOOKUP(A95,Data!$A:$AN,MATCH(yoy!$I$1,Data!$A$1:$AN$1,),))/VLOOKUP(A95,Data!$A:$AN,MATCH(yoy!$I$1,Data!$A$1:$AN$1,),))</f>
        <v/>
      </c>
      <c r="J95" s="14">
        <f>IF(VLOOKUP(B95,Data!$A:$AN,MATCH(yoy!$J$1,Data!$A$1:$AN$1,),)=0,"#N/A",(VLOOKUP(B95,Data!$A:$AN,MATCH(yoy!$J$1,Data!$A$1:$AN$1,),)-VLOOKUP(A95,Data!$A:$AN,MATCH(yoy!$J$1,Data!$A$1:$AN$1,),))/VLOOKUP(A95,Data!$A:$AN,MATCH(yoy!$J$1,Data!$A$1:$AN$1,),))</f>
        <v/>
      </c>
      <c r="K95" s="14">
        <f>IF(VLOOKUP(B95,Data!$A:$AN,MATCH(yoy!$K$1,Data!$A$1:$AN$1,),)=0,"#N/A",(VLOOKUP(B95,Data!$A:$AN,MATCH(yoy!$K$1,Data!$A$1:$AN$1,),)-VLOOKUP(A95,Data!$A:$AN,MATCH(yoy!$K$1,Data!$A$1:$AN$1,),))/VLOOKUP(A95,Data!$A:$AN,MATCH(yoy!$K$1,Data!$A$1:$AN$1,),))</f>
        <v/>
      </c>
      <c r="L95" s="14">
        <f>IF(VLOOKUP(B95,Data!$A:$AN,MATCH(yoy!$L$1,Data!$A$1:$AN$1,),)=0,"#N/A",(VLOOKUP(B95,Data!$A:$AN,MATCH(yoy!$L$1,Data!$A$1:$AN$1,),)-VLOOKUP(A95,Data!$A:$AN,MATCH(yoy!$L$1,Data!$A$1:$AN$1,),))/VLOOKUP(A95,Data!$A:$AN,MATCH(yoy!$L$1,Data!$A$1:$AN$1,),))</f>
        <v/>
      </c>
      <c r="M95" s="14">
        <f>IF(VLOOKUP(B95,Data!$A:$AN,MATCH(yoy!$M$1,Data!$A$1:$AN$1,),)=0,"#N/A",(VLOOKUP(B95,Data!$A:$AN,MATCH(yoy!$M$1,Data!$A$1:$AN$1,),)-VLOOKUP(A95,Data!$A:$AN,MATCH(yoy!$M$1,Data!$A$1:$AN$1,),))/VLOOKUP(A95,Data!$A:$AN,MATCH(yoy!$M$1,Data!$A$1:$AN$1,),))</f>
        <v/>
      </c>
      <c r="N95" s="14">
        <f>IF(VLOOKUP(B95,Data!$A:$AN,MATCH(yoy!$N$1,Data!$A$1:$AN$1,),)=0,"#N/A",(VLOOKUP(B95,Data!$A:$AN,MATCH(yoy!$N$1,Data!$A$1:$AN$1,),)-VLOOKUP(A95,Data!$A:$AN,MATCH(yoy!$N$1,Data!$A$1:$AN$1,),))/VLOOKUP(A95,Data!$A:$AN,MATCH(yoy!$N$1,Data!$A$1:$AN$1,),))</f>
        <v/>
      </c>
      <c r="O95" s="14">
        <f>IF(VLOOKUP(B95,Data!$A:$AN,MATCH(yoy!$O$1,Data!$A$1:$AN$1,),)=0,"#N/A",(VLOOKUP(B95,Data!$A:$AN,MATCH(yoy!$O$1,Data!$A$1:$AN$1,),)-VLOOKUP(A95,Data!$A:$AN,MATCH(yoy!$O$1,Data!$A$1:$AN$1,),))/VLOOKUP(A95,Data!$A:$AN,MATCH(yoy!$O$1,Data!$A$1:$AN$1,),))</f>
        <v/>
      </c>
      <c r="P95" s="14">
        <f>IF(VLOOKUP(B95,Data!$A:$AN,MATCH(yoy!$P$1,Data!$A$1:$AN$1,),)=0,"#N/A",(VLOOKUP(B95,Data!$A:$AN,MATCH(yoy!$P$1,Data!$A$1:$AN$1,),)-VLOOKUP(A95,Data!$A:$AN,MATCH(yoy!$P$1,Data!$A$1:$AN$1,),))/VLOOKUP(A95,Data!$A:$AN,MATCH(yoy!$P$1,Data!$A$1:$AN$1,),))</f>
        <v/>
      </c>
      <c r="Q95" s="14">
        <f>IF(VLOOKUP(B95,Data!$A:$AN,MATCH(yoy!$Q$1,Data!$A$1:$AN$1,),)=0,"#N/A",(VLOOKUP(B95,Data!$A:$AN,MATCH(yoy!$Q$1,Data!$A$1:$AN$1,),)-VLOOKUP(A95,Data!$A:$AN,MATCH(yoy!$Q$1,Data!$A$1:$AN$1,),))/VLOOKUP(A95,Data!$A:$AN,MATCH(yoy!$Q$1,Data!$A$1:$AN$1,),))</f>
        <v/>
      </c>
      <c r="R95" s="14">
        <f>IF(VLOOKUP(B95,Data!$A:$AN,MATCH(yoy!$R$1,Data!$A$1:$AN$1,),)=0,"#N/A",(VLOOKUP(B95,Data!$A:$AN,MATCH(yoy!$R$1,Data!$A$1:$AN$1,),)-VLOOKUP(A95,Data!$A:$AN,MATCH(yoy!$R$1,Data!$A$1:$AN$1,),))/VLOOKUP(A95,Data!$A:$AN,MATCH(yoy!$R$1,Data!$A$1:$AN$1,),))</f>
        <v/>
      </c>
      <c r="S95" s="14">
        <f>IF(VLOOKUP(B95,Data!$A:$AN,MATCH(yoy!$S$1,Data!$A$1:$AN$1,),)=0,"#N/A",(VLOOKUP(B95,Data!$A:$AN,MATCH(yoy!$S$1,Data!$A$1:$AN$1,),)-VLOOKUP(A95,Data!$A:$AN,MATCH(yoy!$S$1,Data!$A$1:$AN$1,),))/VLOOKUP(A95,Data!$A:$AN,MATCH(yoy!$S$1,Data!$A$1:$AN$1,),))</f>
        <v/>
      </c>
      <c r="T95" s="14">
        <f>IF(VLOOKUP(B95,Data!$A:$AN,MATCH(yoy!$T$1,Data!$A$1:$AN$1,),)=0,"#N/A",(VLOOKUP(B95,Data!$A:$AN,MATCH(yoy!$T$1,Data!$A$1:$AN$1,),)-VLOOKUP(A95,Data!$A:$AN,MATCH(yoy!$T$1,Data!$A$1:$AN$1,),))/VLOOKUP(A95,Data!$A:$AN,MATCH(yoy!$T$1,Data!$A$1:$AN$1,),))</f>
        <v/>
      </c>
      <c r="U95" s="14">
        <f>IF(VLOOKUP(B95,Data!$A:$AN,MATCH(yoy!$U$1,Data!$A$1:$AN$1,),)=0,"#N/A",(VLOOKUP(B95,Data!$A:$AN,MATCH(yoy!$U$1,Data!$A$1:$AN$1,),)-VLOOKUP(A95,Data!$A:$AN,MATCH(yoy!$U$1,Data!$A$1:$AN$1,),))/VLOOKUP(A95,Data!$A:$AN,MATCH(yoy!$U$1,Data!$A$1:$AN$1,),))</f>
        <v/>
      </c>
      <c r="V95" s="14">
        <f>IF(VLOOKUP(B95,Data!$A:$AN,MATCH(yoy!$V$1,Data!$A$1:$AN$1,),)=0,"#N/A",(VLOOKUP(B95,Data!$A:$AN,MATCH(yoy!$V$1,Data!$A$1:$AN$1,),)-VLOOKUP(A95,Data!$A:$AN,MATCH(yoy!$V$1,Data!$A$1:$AN$1,),))/VLOOKUP(A95,Data!$A:$AN,MATCH(yoy!$V$1,Data!$A$1:$AN$1,),))</f>
        <v/>
      </c>
      <c r="W95" s="14">
        <f>IF(VLOOKUP(B95,Data!$A:$AN,MATCH(yoy!$W$1,Data!$A$1:$AN$1,),)=0,"#N/A",(VLOOKUP(B95,Data!$A:$AN,MATCH(yoy!$W$1,Data!$A$1:$AN$1,),)-VLOOKUP(A95,Data!$A:$AN,MATCH(yoy!$W$1,Data!$A$1:$AN$1,),))/VLOOKUP(A95,Data!$A:$AN,MATCH(yoy!$W$1,Data!$A$1:$AN$1,),))</f>
        <v/>
      </c>
      <c r="X95" s="14">
        <f>IF(VLOOKUP(B95,Data!$A:$AN,MATCH(yoy!$X$1,Data!$A$1:$AN$1,),)=0,"#N/A",(VLOOKUP(B95,Data!$A:$AN,MATCH(yoy!$X$1,Data!$A$1:$AN$1,),)-VLOOKUP(A95,Data!$A:$AN,MATCH(yoy!$X$1,Data!$A$1:$AN$1,),))/VLOOKUP(A95,Data!$A:$AN,MATCH(yoy!$X$1,Data!$A$1:$AN$1,),))</f>
        <v/>
      </c>
      <c r="Y95" s="14">
        <f>IF(VLOOKUP(B95,Data!$A:$AN,MATCH(yoy!$Y$1,Data!$A$1:$AN$1,),)=0,"#N/A",(VLOOKUP(B95,Data!$A:$AN,MATCH(yoy!$Y$1,Data!$A$1:$AN$1,),)-VLOOKUP(A95,Data!$A:$AN,MATCH(yoy!$Y$1,Data!$A$1:$AN$1,),))/VLOOKUP(A95,Data!$A:$AN,MATCH(yoy!$Y$1,Data!$A$1:$AN$1,),))</f>
        <v/>
      </c>
      <c r="Z95" s="14">
        <f>IF(VLOOKUP(B95,Data!$A:$AN,MATCH(yoy!$Z$1,Data!$A$1:$AN$1,),)=0,"#N/A",(VLOOKUP(B95,Data!$A:$AN,MATCH(yoy!$Z$1,Data!$A$1:$AN$1,),)-VLOOKUP(A95,Data!$A:$AN,MATCH(yoy!$Z$1,Data!$A$1:$AN$1,),))/VLOOKUP(A95,Data!$A:$AN,MATCH(yoy!$Z$1,Data!$A$1:$AN$1,),))</f>
        <v/>
      </c>
      <c r="AA95" s="14">
        <f>IF(VLOOKUP(B95,Data!$A:$AN,MATCH(yoy!$AA$1,Data!$A$1:$AN$1,),)=0,"#N/A",(VLOOKUP(B95,Data!$A:$AN,MATCH(yoy!$AA$1,Data!$A$1:$AN$1,),)-VLOOKUP(A95,Data!$A:$AN,MATCH(yoy!$AA$1,Data!$A$1:$AN$1,),))/VLOOKUP(A95,Data!$A:$AN,MATCH(yoy!$AA$1,Data!$A$1:$AN$1,),))</f>
        <v/>
      </c>
    </row>
    <row r="96" customFormat="1" s="77">
      <c r="A96" s="20">
        <f>DATE(YEAR(B96)-1,MONTH(B96),DAY(B96))</f>
        <v/>
      </c>
      <c r="B96" s="12" t="n">
        <v>44774</v>
      </c>
      <c r="C96" s="14">
        <f>IF(VLOOKUP(B96,Data!$A:$AN,MATCH(yoy!$C$1,Data!$A$1:$AN$1,),)=0,"#N/A",(VLOOKUP(B96,Data!$A:$AN,MATCH(yoy!$C$1,Data!$A$1:$AN$1,),)-VLOOKUP(A96,Data!$A:$AN,MATCH(yoy!$C$1,Data!$A$1:$AN$1,),))/VLOOKUP(A96,Data!$A:$AN,MATCH(yoy!$C$1,Data!$A$1:$AN$1,),))</f>
        <v/>
      </c>
      <c r="D96" s="14">
        <f>IF(VLOOKUP(B96,Data!$A:$AN,MATCH(yoy!$D$1,Data!$A$1:$AN$1,),)=0,"#N/A",(VLOOKUP(B96,Data!$A:$AN,MATCH(yoy!$D$1,Data!$A$1:$AN$1,),)-VLOOKUP(A96,Data!$A:$AN,MATCH(yoy!$D$1,Data!$A$1:$AN$1,),))/VLOOKUP(A96,Data!$A:$AN,MATCH(yoy!$D$1,Data!$A$1:$AN$1,),))</f>
        <v/>
      </c>
      <c r="E96" s="14">
        <f>IF(VLOOKUP(B96,Data!$A:$AN,MATCH(yoy!$E$1,Data!$A$1:$AN$1,),)=0,"#N/A",(VLOOKUP(B96,Data!$A:$AN,MATCH(yoy!$E$1,Data!$A$1:$AN$1,),)-VLOOKUP(A96,Data!$A:$AN,MATCH(yoy!$E$1,Data!$A$1:$AN$1,),))/VLOOKUP(A96,Data!$A:$AN,MATCH(yoy!$E$1,Data!$A$1:$AN$1,),))</f>
        <v/>
      </c>
      <c r="F96" s="14">
        <f>IF(VLOOKUP(B96,Data!$A:$AN,MATCH(yoy!$F$1,Data!$A$1:$AN$1,),)=0,"#N/A",(VLOOKUP(B96,Data!$A:$AN,MATCH(yoy!$F$1,Data!$A$1:$AN$1,),)-VLOOKUP(A96,Data!$A:$AN,MATCH(yoy!$F$1,Data!$A$1:$AN$1,),))/VLOOKUP(A96,Data!$A:$AN,MATCH(yoy!$F$1,Data!$A$1:$AN$1,),))</f>
        <v/>
      </c>
      <c r="G96" s="14">
        <f>IF(VLOOKUP(B96,Data!$A:$AN,MATCH(yoy!$G$1,Data!$A$1:$AN$1,),)=0,"#N/A",(VLOOKUP(B96,Data!$A:$AN,MATCH(yoy!$G$1,Data!$A$1:$AN$1,),)-VLOOKUP(A96,Data!$A:$AN,MATCH(yoy!$G$1,Data!$A$1:$AN$1,),))/VLOOKUP(A96,Data!$A:$AN,MATCH(yoy!$G$1,Data!$A$1:$AN$1,),))</f>
        <v/>
      </c>
      <c r="H96" s="14">
        <f>IF(VLOOKUP(B96,Data!$A:$AN,MATCH(yoy!$H$1,Data!$A$1:$AN$1,),)=0,"#N/A",(VLOOKUP(B96,Data!$A:$AN,MATCH(yoy!$H$1,Data!$A$1:$AN$1,),)-VLOOKUP(A96,Data!$A:$AN,MATCH(yoy!$H$1,Data!$A$1:$AN$1,),))/VLOOKUP(A96,Data!$A:$AN,MATCH(yoy!$H$1,Data!$A$1:$AN$1,),))</f>
        <v/>
      </c>
      <c r="I96" s="14">
        <f>IF(VLOOKUP(B96,Data!$A:$AN,MATCH(yoy!$I$1,Data!$A$1:$AN$1,),)=0,"#N/A",(VLOOKUP(B96,Data!$A:$AN,MATCH(yoy!$I$1,Data!$A$1:$AN$1,),)-VLOOKUP(A96,Data!$A:$AN,MATCH(yoy!$I$1,Data!$A$1:$AN$1,),))/VLOOKUP(A96,Data!$A:$AN,MATCH(yoy!$I$1,Data!$A$1:$AN$1,),))</f>
        <v/>
      </c>
      <c r="J96" s="14">
        <f>IF(VLOOKUP(B96,Data!$A:$AN,MATCH(yoy!$J$1,Data!$A$1:$AN$1,),)=0,"#N/A",(VLOOKUP(B96,Data!$A:$AN,MATCH(yoy!$J$1,Data!$A$1:$AN$1,),)-VLOOKUP(A96,Data!$A:$AN,MATCH(yoy!$J$1,Data!$A$1:$AN$1,),))/VLOOKUP(A96,Data!$A:$AN,MATCH(yoy!$J$1,Data!$A$1:$AN$1,),))</f>
        <v/>
      </c>
      <c r="K96" s="14">
        <f>IF(VLOOKUP(B96,Data!$A:$AN,MATCH(yoy!$K$1,Data!$A$1:$AN$1,),)=0,"#N/A",(VLOOKUP(B96,Data!$A:$AN,MATCH(yoy!$K$1,Data!$A$1:$AN$1,),)-VLOOKUP(A96,Data!$A:$AN,MATCH(yoy!$K$1,Data!$A$1:$AN$1,),))/VLOOKUP(A96,Data!$A:$AN,MATCH(yoy!$K$1,Data!$A$1:$AN$1,),))</f>
        <v/>
      </c>
      <c r="L96" s="14">
        <f>IF(VLOOKUP(B96,Data!$A:$AN,MATCH(yoy!$L$1,Data!$A$1:$AN$1,),)=0,"#N/A",(VLOOKUP(B96,Data!$A:$AN,MATCH(yoy!$L$1,Data!$A$1:$AN$1,),)-VLOOKUP(A96,Data!$A:$AN,MATCH(yoy!$L$1,Data!$A$1:$AN$1,),))/VLOOKUP(A96,Data!$A:$AN,MATCH(yoy!$L$1,Data!$A$1:$AN$1,),))</f>
        <v/>
      </c>
      <c r="M96" s="14">
        <f>IF(VLOOKUP(B96,Data!$A:$AN,MATCH(yoy!$M$1,Data!$A$1:$AN$1,),)=0,"#N/A",(VLOOKUP(B96,Data!$A:$AN,MATCH(yoy!$M$1,Data!$A$1:$AN$1,),)-VLOOKUP(A96,Data!$A:$AN,MATCH(yoy!$M$1,Data!$A$1:$AN$1,),))/VLOOKUP(A96,Data!$A:$AN,MATCH(yoy!$M$1,Data!$A$1:$AN$1,),))</f>
        <v/>
      </c>
      <c r="N96" s="14">
        <f>IF(VLOOKUP(B96,Data!$A:$AN,MATCH(yoy!$N$1,Data!$A$1:$AN$1,),)=0,"#N/A",(VLOOKUP(B96,Data!$A:$AN,MATCH(yoy!$N$1,Data!$A$1:$AN$1,),)-VLOOKUP(A96,Data!$A:$AN,MATCH(yoy!$N$1,Data!$A$1:$AN$1,),))/VLOOKUP(A96,Data!$A:$AN,MATCH(yoy!$N$1,Data!$A$1:$AN$1,),))</f>
        <v/>
      </c>
      <c r="O96" s="14">
        <f>IF(VLOOKUP(B96,Data!$A:$AN,MATCH(yoy!$O$1,Data!$A$1:$AN$1,),)=0,"#N/A",(VLOOKUP(B96,Data!$A:$AN,MATCH(yoy!$O$1,Data!$A$1:$AN$1,),)-VLOOKUP(A96,Data!$A:$AN,MATCH(yoy!$O$1,Data!$A$1:$AN$1,),))/VLOOKUP(A96,Data!$A:$AN,MATCH(yoy!$O$1,Data!$A$1:$AN$1,),))</f>
        <v/>
      </c>
      <c r="P96" s="14">
        <f>IF(VLOOKUP(B96,Data!$A:$AN,MATCH(yoy!$P$1,Data!$A$1:$AN$1,),)=0,"#N/A",(VLOOKUP(B96,Data!$A:$AN,MATCH(yoy!$P$1,Data!$A$1:$AN$1,),)-VLOOKUP(A96,Data!$A:$AN,MATCH(yoy!$P$1,Data!$A$1:$AN$1,),))/VLOOKUP(A96,Data!$A:$AN,MATCH(yoy!$P$1,Data!$A$1:$AN$1,),))</f>
        <v/>
      </c>
      <c r="Q96" s="14">
        <f>IF(VLOOKUP(B96,Data!$A:$AN,MATCH(yoy!$Q$1,Data!$A$1:$AN$1,),)=0,"#N/A",(VLOOKUP(B96,Data!$A:$AN,MATCH(yoy!$Q$1,Data!$A$1:$AN$1,),)-VLOOKUP(A96,Data!$A:$AN,MATCH(yoy!$Q$1,Data!$A$1:$AN$1,),))/VLOOKUP(A96,Data!$A:$AN,MATCH(yoy!$Q$1,Data!$A$1:$AN$1,),))</f>
        <v/>
      </c>
      <c r="R96" s="14">
        <f>IF(VLOOKUP(B96,Data!$A:$AN,MATCH(yoy!$R$1,Data!$A$1:$AN$1,),)=0,"#N/A",(VLOOKUP(B96,Data!$A:$AN,MATCH(yoy!$R$1,Data!$A$1:$AN$1,),)-VLOOKUP(A96,Data!$A:$AN,MATCH(yoy!$R$1,Data!$A$1:$AN$1,),))/VLOOKUP(A96,Data!$A:$AN,MATCH(yoy!$R$1,Data!$A$1:$AN$1,),))</f>
        <v/>
      </c>
      <c r="S96" s="14">
        <f>IF(VLOOKUP(B96,Data!$A:$AN,MATCH(yoy!$S$1,Data!$A$1:$AN$1,),)=0,"#N/A",(VLOOKUP(B96,Data!$A:$AN,MATCH(yoy!$S$1,Data!$A$1:$AN$1,),)-VLOOKUP(A96,Data!$A:$AN,MATCH(yoy!$S$1,Data!$A$1:$AN$1,),))/VLOOKUP(A96,Data!$A:$AN,MATCH(yoy!$S$1,Data!$A$1:$AN$1,),))</f>
        <v/>
      </c>
      <c r="T96" s="14">
        <f>IF(VLOOKUP(B96,Data!$A:$AN,MATCH(yoy!$T$1,Data!$A$1:$AN$1,),)=0,"#N/A",(VLOOKUP(B96,Data!$A:$AN,MATCH(yoy!$T$1,Data!$A$1:$AN$1,),)-VLOOKUP(A96,Data!$A:$AN,MATCH(yoy!$T$1,Data!$A$1:$AN$1,),))/VLOOKUP(A96,Data!$A:$AN,MATCH(yoy!$T$1,Data!$A$1:$AN$1,),))</f>
        <v/>
      </c>
      <c r="U96" s="14">
        <f>IF(VLOOKUP(B96,Data!$A:$AN,MATCH(yoy!$U$1,Data!$A$1:$AN$1,),)=0,"#N/A",(VLOOKUP(B96,Data!$A:$AN,MATCH(yoy!$U$1,Data!$A$1:$AN$1,),)-VLOOKUP(A96,Data!$A:$AN,MATCH(yoy!$U$1,Data!$A$1:$AN$1,),))/VLOOKUP(A96,Data!$A:$AN,MATCH(yoy!$U$1,Data!$A$1:$AN$1,),))</f>
        <v/>
      </c>
      <c r="V96" s="14">
        <f>IF(VLOOKUP(B96,Data!$A:$AN,MATCH(yoy!$V$1,Data!$A$1:$AN$1,),)=0,"#N/A",(VLOOKUP(B96,Data!$A:$AN,MATCH(yoy!$V$1,Data!$A$1:$AN$1,),)-VLOOKUP(A96,Data!$A:$AN,MATCH(yoy!$V$1,Data!$A$1:$AN$1,),))/VLOOKUP(A96,Data!$A:$AN,MATCH(yoy!$V$1,Data!$A$1:$AN$1,),))</f>
        <v/>
      </c>
      <c r="W96" s="14">
        <f>IF(VLOOKUP(B96,Data!$A:$AN,MATCH(yoy!$W$1,Data!$A$1:$AN$1,),)=0,"#N/A",(VLOOKUP(B96,Data!$A:$AN,MATCH(yoy!$W$1,Data!$A$1:$AN$1,),)-VLOOKUP(A96,Data!$A:$AN,MATCH(yoy!$W$1,Data!$A$1:$AN$1,),))/VLOOKUP(A96,Data!$A:$AN,MATCH(yoy!$W$1,Data!$A$1:$AN$1,),))</f>
        <v/>
      </c>
      <c r="X96" s="14">
        <f>IF(VLOOKUP(B96,Data!$A:$AN,MATCH(yoy!$X$1,Data!$A$1:$AN$1,),)=0,"#N/A",(VLOOKUP(B96,Data!$A:$AN,MATCH(yoy!$X$1,Data!$A$1:$AN$1,),)-VLOOKUP(A96,Data!$A:$AN,MATCH(yoy!$X$1,Data!$A$1:$AN$1,),))/VLOOKUP(A96,Data!$A:$AN,MATCH(yoy!$X$1,Data!$A$1:$AN$1,),))</f>
        <v/>
      </c>
      <c r="Y96" s="14">
        <f>IF(VLOOKUP(B96,Data!$A:$AN,MATCH(yoy!$Y$1,Data!$A$1:$AN$1,),)=0,"#N/A",(VLOOKUP(B96,Data!$A:$AN,MATCH(yoy!$Y$1,Data!$A$1:$AN$1,),)-VLOOKUP(A96,Data!$A:$AN,MATCH(yoy!$Y$1,Data!$A$1:$AN$1,),))/VLOOKUP(A96,Data!$A:$AN,MATCH(yoy!$Y$1,Data!$A$1:$AN$1,),))</f>
        <v/>
      </c>
      <c r="Z96" s="14">
        <f>IF(VLOOKUP(B96,Data!$A:$AN,MATCH(yoy!$Z$1,Data!$A$1:$AN$1,),)=0,"#N/A",(VLOOKUP(B96,Data!$A:$AN,MATCH(yoy!$Z$1,Data!$A$1:$AN$1,),)-VLOOKUP(A96,Data!$A:$AN,MATCH(yoy!$Z$1,Data!$A$1:$AN$1,),))/VLOOKUP(A96,Data!$A:$AN,MATCH(yoy!$Z$1,Data!$A$1:$AN$1,),))</f>
        <v/>
      </c>
      <c r="AA96" s="14">
        <f>IF(VLOOKUP(B96,Data!$A:$AN,MATCH(yoy!$AA$1,Data!$A$1:$AN$1,),)=0,"#N/A",(VLOOKUP(B96,Data!$A:$AN,MATCH(yoy!$AA$1,Data!$A$1:$AN$1,),)-VLOOKUP(A96,Data!$A:$AN,MATCH(yoy!$AA$1,Data!$A$1:$AN$1,),))/VLOOKUP(A96,Data!$A:$AN,MATCH(yoy!$AA$1,Data!$A$1:$AN$1,),))</f>
        <v/>
      </c>
    </row>
    <row r="97" customFormat="1" s="77">
      <c r="A97" s="20">
        <f>DATE(YEAR(B97)-1,MONTH(B97),DAY(B97))</f>
        <v/>
      </c>
      <c r="B97" s="12" t="n">
        <v>44805</v>
      </c>
      <c r="C97" s="14">
        <f>IF(VLOOKUP(B97,Data!$A:$AN,MATCH(yoy!$C$1,Data!$A$1:$AN$1,),)=0,"#N/A",(VLOOKUP(B97,Data!$A:$AN,MATCH(yoy!$C$1,Data!$A$1:$AN$1,),)-VLOOKUP(A97,Data!$A:$AN,MATCH(yoy!$C$1,Data!$A$1:$AN$1,),))/VLOOKUP(A97,Data!$A:$AN,MATCH(yoy!$C$1,Data!$A$1:$AN$1,),))</f>
        <v/>
      </c>
      <c r="D97" s="14">
        <f>IF(VLOOKUP(B97,Data!$A:$AN,MATCH(yoy!$D$1,Data!$A$1:$AN$1,),)=0,"#N/A",(VLOOKUP(B97,Data!$A:$AN,MATCH(yoy!$D$1,Data!$A$1:$AN$1,),)-VLOOKUP(A97,Data!$A:$AN,MATCH(yoy!$D$1,Data!$A$1:$AN$1,),))/VLOOKUP(A97,Data!$A:$AN,MATCH(yoy!$D$1,Data!$A$1:$AN$1,),))</f>
        <v/>
      </c>
      <c r="E97" s="14">
        <f>IF(VLOOKUP(B97,Data!$A:$AN,MATCH(yoy!$E$1,Data!$A$1:$AN$1,),)=0,"#N/A",(VLOOKUP(B97,Data!$A:$AN,MATCH(yoy!$E$1,Data!$A$1:$AN$1,),)-VLOOKUP(A97,Data!$A:$AN,MATCH(yoy!$E$1,Data!$A$1:$AN$1,),))/VLOOKUP(A97,Data!$A:$AN,MATCH(yoy!$E$1,Data!$A$1:$AN$1,),))</f>
        <v/>
      </c>
      <c r="F97" s="14">
        <f>IF(VLOOKUP(B97,Data!$A:$AN,MATCH(yoy!$F$1,Data!$A$1:$AN$1,),)=0,"#N/A",(VLOOKUP(B97,Data!$A:$AN,MATCH(yoy!$F$1,Data!$A$1:$AN$1,),)-VLOOKUP(A97,Data!$A:$AN,MATCH(yoy!$F$1,Data!$A$1:$AN$1,),))/VLOOKUP(A97,Data!$A:$AN,MATCH(yoy!$F$1,Data!$A$1:$AN$1,),))</f>
        <v/>
      </c>
      <c r="G97" s="14">
        <f>IF(VLOOKUP(B97,Data!$A:$AN,MATCH(yoy!$G$1,Data!$A$1:$AN$1,),)=0,"#N/A",(VLOOKUP(B97,Data!$A:$AN,MATCH(yoy!$G$1,Data!$A$1:$AN$1,),)-VLOOKUP(A97,Data!$A:$AN,MATCH(yoy!$G$1,Data!$A$1:$AN$1,),))/VLOOKUP(A97,Data!$A:$AN,MATCH(yoy!$G$1,Data!$A$1:$AN$1,),))</f>
        <v/>
      </c>
      <c r="H97" s="14">
        <f>IF(VLOOKUP(B97,Data!$A:$AN,MATCH(yoy!$H$1,Data!$A$1:$AN$1,),)=0,"#N/A",(VLOOKUP(B97,Data!$A:$AN,MATCH(yoy!$H$1,Data!$A$1:$AN$1,),)-VLOOKUP(A97,Data!$A:$AN,MATCH(yoy!$H$1,Data!$A$1:$AN$1,),))/VLOOKUP(A97,Data!$A:$AN,MATCH(yoy!$H$1,Data!$A$1:$AN$1,),))</f>
        <v/>
      </c>
      <c r="I97" s="14">
        <f>IF(VLOOKUP(B97,Data!$A:$AN,MATCH(yoy!$I$1,Data!$A$1:$AN$1,),)=0,"#N/A",(VLOOKUP(B97,Data!$A:$AN,MATCH(yoy!$I$1,Data!$A$1:$AN$1,),)-VLOOKUP(A97,Data!$A:$AN,MATCH(yoy!$I$1,Data!$A$1:$AN$1,),))/VLOOKUP(A97,Data!$A:$AN,MATCH(yoy!$I$1,Data!$A$1:$AN$1,),))</f>
        <v/>
      </c>
      <c r="J97" s="14">
        <f>IF(VLOOKUP(B97,Data!$A:$AN,MATCH(yoy!$J$1,Data!$A$1:$AN$1,),)=0,"#N/A",(VLOOKUP(B97,Data!$A:$AN,MATCH(yoy!$J$1,Data!$A$1:$AN$1,),)-VLOOKUP(A97,Data!$A:$AN,MATCH(yoy!$J$1,Data!$A$1:$AN$1,),))/VLOOKUP(A97,Data!$A:$AN,MATCH(yoy!$J$1,Data!$A$1:$AN$1,),))</f>
        <v/>
      </c>
      <c r="K97" s="14">
        <f>IF(VLOOKUP(B97,Data!$A:$AN,MATCH(yoy!$K$1,Data!$A$1:$AN$1,),)=0,"#N/A",(VLOOKUP(B97,Data!$A:$AN,MATCH(yoy!$K$1,Data!$A$1:$AN$1,),)-VLOOKUP(A97,Data!$A:$AN,MATCH(yoy!$K$1,Data!$A$1:$AN$1,),))/VLOOKUP(A97,Data!$A:$AN,MATCH(yoy!$K$1,Data!$A$1:$AN$1,),))</f>
        <v/>
      </c>
      <c r="L97" s="14">
        <f>IF(VLOOKUP(B97,Data!$A:$AN,MATCH(yoy!$L$1,Data!$A$1:$AN$1,),)=0,"#N/A",(VLOOKUP(B97,Data!$A:$AN,MATCH(yoy!$L$1,Data!$A$1:$AN$1,),)-VLOOKUP(A97,Data!$A:$AN,MATCH(yoy!$L$1,Data!$A$1:$AN$1,),))/VLOOKUP(A97,Data!$A:$AN,MATCH(yoy!$L$1,Data!$A$1:$AN$1,),))</f>
        <v/>
      </c>
      <c r="M97" s="14">
        <f>IF(VLOOKUP(B97,Data!$A:$AN,MATCH(yoy!$M$1,Data!$A$1:$AN$1,),)=0,"#N/A",(VLOOKUP(B97,Data!$A:$AN,MATCH(yoy!$M$1,Data!$A$1:$AN$1,),)-VLOOKUP(A97,Data!$A:$AN,MATCH(yoy!$M$1,Data!$A$1:$AN$1,),))/VLOOKUP(A97,Data!$A:$AN,MATCH(yoy!$M$1,Data!$A$1:$AN$1,),))</f>
        <v/>
      </c>
      <c r="N97" s="14">
        <f>IF(VLOOKUP(B97,Data!$A:$AN,MATCH(yoy!$N$1,Data!$A$1:$AN$1,),)=0,"#N/A",(VLOOKUP(B97,Data!$A:$AN,MATCH(yoy!$N$1,Data!$A$1:$AN$1,),)-VLOOKUP(A97,Data!$A:$AN,MATCH(yoy!$N$1,Data!$A$1:$AN$1,),))/VLOOKUP(A97,Data!$A:$AN,MATCH(yoy!$N$1,Data!$A$1:$AN$1,),))</f>
        <v/>
      </c>
      <c r="O97" s="14">
        <f>IF(VLOOKUP(B97,Data!$A:$AN,MATCH(yoy!$O$1,Data!$A$1:$AN$1,),)=0,"#N/A",(VLOOKUP(B97,Data!$A:$AN,MATCH(yoy!$O$1,Data!$A$1:$AN$1,),)-VLOOKUP(A97,Data!$A:$AN,MATCH(yoy!$O$1,Data!$A$1:$AN$1,),))/VLOOKUP(A97,Data!$A:$AN,MATCH(yoy!$O$1,Data!$A$1:$AN$1,),))</f>
        <v/>
      </c>
      <c r="P97" s="14">
        <f>IF(VLOOKUP(B97,Data!$A:$AN,MATCH(yoy!$P$1,Data!$A$1:$AN$1,),)=0,"#N/A",(VLOOKUP(B97,Data!$A:$AN,MATCH(yoy!$P$1,Data!$A$1:$AN$1,),)-VLOOKUP(A97,Data!$A:$AN,MATCH(yoy!$P$1,Data!$A$1:$AN$1,),))/VLOOKUP(A97,Data!$A:$AN,MATCH(yoy!$P$1,Data!$A$1:$AN$1,),))</f>
        <v/>
      </c>
      <c r="Q97" s="14">
        <f>IF(VLOOKUP(B97,Data!$A:$AN,MATCH(yoy!$Q$1,Data!$A$1:$AN$1,),)=0,"#N/A",(VLOOKUP(B97,Data!$A:$AN,MATCH(yoy!$Q$1,Data!$A$1:$AN$1,),)-VLOOKUP(A97,Data!$A:$AN,MATCH(yoy!$Q$1,Data!$A$1:$AN$1,),))/VLOOKUP(A97,Data!$A:$AN,MATCH(yoy!$Q$1,Data!$A$1:$AN$1,),))</f>
        <v/>
      </c>
      <c r="R97" s="14">
        <f>IF(VLOOKUP(B97,Data!$A:$AN,MATCH(yoy!$R$1,Data!$A$1:$AN$1,),)=0,"#N/A",(VLOOKUP(B97,Data!$A:$AN,MATCH(yoy!$R$1,Data!$A$1:$AN$1,),)-VLOOKUP(A97,Data!$A:$AN,MATCH(yoy!$R$1,Data!$A$1:$AN$1,),))/VLOOKUP(A97,Data!$A:$AN,MATCH(yoy!$R$1,Data!$A$1:$AN$1,),))</f>
        <v/>
      </c>
      <c r="S97" s="14">
        <f>IF(VLOOKUP(B97,Data!$A:$AN,MATCH(yoy!$S$1,Data!$A$1:$AN$1,),)=0,"#N/A",(VLOOKUP(B97,Data!$A:$AN,MATCH(yoy!$S$1,Data!$A$1:$AN$1,),)-VLOOKUP(A97,Data!$A:$AN,MATCH(yoy!$S$1,Data!$A$1:$AN$1,),))/VLOOKUP(A97,Data!$A:$AN,MATCH(yoy!$S$1,Data!$A$1:$AN$1,),))</f>
        <v/>
      </c>
      <c r="T97" s="14">
        <f>IF(VLOOKUP(B97,Data!$A:$AN,MATCH(yoy!$T$1,Data!$A$1:$AN$1,),)=0,"#N/A",(VLOOKUP(B97,Data!$A:$AN,MATCH(yoy!$T$1,Data!$A$1:$AN$1,),)-VLOOKUP(A97,Data!$A:$AN,MATCH(yoy!$T$1,Data!$A$1:$AN$1,),))/VLOOKUP(A97,Data!$A:$AN,MATCH(yoy!$T$1,Data!$A$1:$AN$1,),))</f>
        <v/>
      </c>
      <c r="U97" s="14">
        <f>IF(VLOOKUP(B97,Data!$A:$AN,MATCH(yoy!$U$1,Data!$A$1:$AN$1,),)=0,"#N/A",(VLOOKUP(B97,Data!$A:$AN,MATCH(yoy!$U$1,Data!$A$1:$AN$1,),)-VLOOKUP(A97,Data!$A:$AN,MATCH(yoy!$U$1,Data!$A$1:$AN$1,),))/VLOOKUP(A97,Data!$A:$AN,MATCH(yoy!$U$1,Data!$A$1:$AN$1,),))</f>
        <v/>
      </c>
      <c r="V97" s="14">
        <f>IF(VLOOKUP(B97,Data!$A:$AN,MATCH(yoy!$V$1,Data!$A$1:$AN$1,),)=0,"#N/A",(VLOOKUP(B97,Data!$A:$AN,MATCH(yoy!$V$1,Data!$A$1:$AN$1,),)-VLOOKUP(A97,Data!$A:$AN,MATCH(yoy!$V$1,Data!$A$1:$AN$1,),))/VLOOKUP(A97,Data!$A:$AN,MATCH(yoy!$V$1,Data!$A$1:$AN$1,),))</f>
        <v/>
      </c>
      <c r="W97" s="14">
        <f>IF(VLOOKUP(B97,Data!$A:$AN,MATCH(yoy!$W$1,Data!$A$1:$AN$1,),)=0,"#N/A",(VLOOKUP(B97,Data!$A:$AN,MATCH(yoy!$W$1,Data!$A$1:$AN$1,),)-VLOOKUP(A97,Data!$A:$AN,MATCH(yoy!$W$1,Data!$A$1:$AN$1,),))/VLOOKUP(A97,Data!$A:$AN,MATCH(yoy!$W$1,Data!$A$1:$AN$1,),))</f>
        <v/>
      </c>
      <c r="X97" s="14">
        <f>IF(VLOOKUP(B97,Data!$A:$AN,MATCH(yoy!$X$1,Data!$A$1:$AN$1,),)=0,"#N/A",(VLOOKUP(B97,Data!$A:$AN,MATCH(yoy!$X$1,Data!$A$1:$AN$1,),)-VLOOKUP(A97,Data!$A:$AN,MATCH(yoy!$X$1,Data!$A$1:$AN$1,),))/VLOOKUP(A97,Data!$A:$AN,MATCH(yoy!$X$1,Data!$A$1:$AN$1,),))</f>
        <v/>
      </c>
      <c r="Y97" s="14">
        <f>IF(VLOOKUP(B97,Data!$A:$AN,MATCH(yoy!$Y$1,Data!$A$1:$AN$1,),)=0,"#N/A",(VLOOKUP(B97,Data!$A:$AN,MATCH(yoy!$Y$1,Data!$A$1:$AN$1,),)-VLOOKUP(A97,Data!$A:$AN,MATCH(yoy!$Y$1,Data!$A$1:$AN$1,),))/VLOOKUP(A97,Data!$A:$AN,MATCH(yoy!$Y$1,Data!$A$1:$AN$1,),))</f>
        <v/>
      </c>
      <c r="Z97" s="14">
        <f>IF(VLOOKUP(B97,Data!$A:$AN,MATCH(yoy!$Z$1,Data!$A$1:$AN$1,),)=0,"#N/A",(VLOOKUP(B97,Data!$A:$AN,MATCH(yoy!$Z$1,Data!$A$1:$AN$1,),)-VLOOKUP(A97,Data!$A:$AN,MATCH(yoy!$Z$1,Data!$A$1:$AN$1,),))/VLOOKUP(A97,Data!$A:$AN,MATCH(yoy!$Z$1,Data!$A$1:$AN$1,),))</f>
        <v/>
      </c>
      <c r="AA97" s="14">
        <f>IF(VLOOKUP(B97,Data!$A:$AN,MATCH(yoy!$AA$1,Data!$A$1:$AN$1,),)=0,"#N/A",(VLOOKUP(B97,Data!$A:$AN,MATCH(yoy!$AA$1,Data!$A$1:$AN$1,),)-VLOOKUP(A97,Data!$A:$AN,MATCH(yoy!$AA$1,Data!$A$1:$AN$1,),))/VLOOKUP(A97,Data!$A:$AN,MATCH(yoy!$AA$1,Data!$A$1:$AN$1,),))</f>
        <v/>
      </c>
    </row>
    <row r="98" customFormat="1" s="77">
      <c r="A98" s="20">
        <f>DATE(YEAR(B98)-1,MONTH(B98),DAY(B98))</f>
        <v/>
      </c>
      <c r="B98" s="12" t="n">
        <v>44835</v>
      </c>
      <c r="C98" s="14">
        <f>IF(VLOOKUP(B98,Data!$A:$AN,MATCH(yoy!$C$1,Data!$A$1:$AN$1,),)=0,"#N/A",(VLOOKUP(B98,Data!$A:$AN,MATCH(yoy!$C$1,Data!$A$1:$AN$1,),)-VLOOKUP(A98,Data!$A:$AN,MATCH(yoy!$C$1,Data!$A$1:$AN$1,),))/VLOOKUP(A98,Data!$A:$AN,MATCH(yoy!$C$1,Data!$A$1:$AN$1,),))</f>
        <v/>
      </c>
      <c r="D98" s="14">
        <f>IF(VLOOKUP(B98,Data!$A:$AN,MATCH(yoy!$D$1,Data!$A$1:$AN$1,),)=0,"#N/A",(VLOOKUP(B98,Data!$A:$AN,MATCH(yoy!$D$1,Data!$A$1:$AN$1,),)-VLOOKUP(A98,Data!$A:$AN,MATCH(yoy!$D$1,Data!$A$1:$AN$1,),))/VLOOKUP(A98,Data!$A:$AN,MATCH(yoy!$D$1,Data!$A$1:$AN$1,),))</f>
        <v/>
      </c>
      <c r="E98" s="14">
        <f>IF(VLOOKUP(B98,Data!$A:$AN,MATCH(yoy!$E$1,Data!$A$1:$AN$1,),)=0,"#N/A",(VLOOKUP(B98,Data!$A:$AN,MATCH(yoy!$E$1,Data!$A$1:$AN$1,),)-VLOOKUP(A98,Data!$A:$AN,MATCH(yoy!$E$1,Data!$A$1:$AN$1,),))/VLOOKUP(A98,Data!$A:$AN,MATCH(yoy!$E$1,Data!$A$1:$AN$1,),))</f>
        <v/>
      </c>
      <c r="F98" s="14">
        <f>IF(VLOOKUP(B98,Data!$A:$AN,MATCH(yoy!$F$1,Data!$A$1:$AN$1,),)=0,"#N/A",(VLOOKUP(B98,Data!$A:$AN,MATCH(yoy!$F$1,Data!$A$1:$AN$1,),)-VLOOKUP(A98,Data!$A:$AN,MATCH(yoy!$F$1,Data!$A$1:$AN$1,),))/VLOOKUP(A98,Data!$A:$AN,MATCH(yoy!$F$1,Data!$A$1:$AN$1,),))</f>
        <v/>
      </c>
      <c r="G98" s="14">
        <f>IF(VLOOKUP(B98,Data!$A:$AN,MATCH(yoy!$G$1,Data!$A$1:$AN$1,),)=0,"#N/A",(VLOOKUP(B98,Data!$A:$AN,MATCH(yoy!$G$1,Data!$A$1:$AN$1,),)-VLOOKUP(A98,Data!$A:$AN,MATCH(yoy!$G$1,Data!$A$1:$AN$1,),))/VLOOKUP(A98,Data!$A:$AN,MATCH(yoy!$G$1,Data!$A$1:$AN$1,),))</f>
        <v/>
      </c>
      <c r="H98" s="14">
        <f>IF(VLOOKUP(B98,Data!$A:$AN,MATCH(yoy!$H$1,Data!$A$1:$AN$1,),)=0,"#N/A",(VLOOKUP(B98,Data!$A:$AN,MATCH(yoy!$H$1,Data!$A$1:$AN$1,),)-VLOOKUP(A98,Data!$A:$AN,MATCH(yoy!$H$1,Data!$A$1:$AN$1,),))/VLOOKUP(A98,Data!$A:$AN,MATCH(yoy!$H$1,Data!$A$1:$AN$1,),))</f>
        <v/>
      </c>
      <c r="I98" s="14">
        <f>IF(VLOOKUP(B98,Data!$A:$AN,MATCH(yoy!$I$1,Data!$A$1:$AN$1,),)=0,"#N/A",(VLOOKUP(B98,Data!$A:$AN,MATCH(yoy!$I$1,Data!$A$1:$AN$1,),)-VLOOKUP(A98,Data!$A:$AN,MATCH(yoy!$I$1,Data!$A$1:$AN$1,),))/VLOOKUP(A98,Data!$A:$AN,MATCH(yoy!$I$1,Data!$A$1:$AN$1,),))</f>
        <v/>
      </c>
      <c r="J98" s="14">
        <f>IF(VLOOKUP(B98,Data!$A:$AN,MATCH(yoy!$J$1,Data!$A$1:$AN$1,),)=0,"#N/A",(VLOOKUP(B98,Data!$A:$AN,MATCH(yoy!$J$1,Data!$A$1:$AN$1,),)-VLOOKUP(A98,Data!$A:$AN,MATCH(yoy!$J$1,Data!$A$1:$AN$1,),))/VLOOKUP(A98,Data!$A:$AN,MATCH(yoy!$J$1,Data!$A$1:$AN$1,),))</f>
        <v/>
      </c>
      <c r="K98" s="14">
        <f>IF(VLOOKUP(B98,Data!$A:$AN,MATCH(yoy!$K$1,Data!$A$1:$AN$1,),)=0,"#N/A",(VLOOKUP(B98,Data!$A:$AN,MATCH(yoy!$K$1,Data!$A$1:$AN$1,),)-VLOOKUP(A98,Data!$A:$AN,MATCH(yoy!$K$1,Data!$A$1:$AN$1,),))/VLOOKUP(A98,Data!$A:$AN,MATCH(yoy!$K$1,Data!$A$1:$AN$1,),))</f>
        <v/>
      </c>
      <c r="L98" s="14">
        <f>IF(VLOOKUP(B98,Data!$A:$AN,MATCH(yoy!$L$1,Data!$A$1:$AN$1,),)=0,"#N/A",(VLOOKUP(B98,Data!$A:$AN,MATCH(yoy!$L$1,Data!$A$1:$AN$1,),)-VLOOKUP(A98,Data!$A:$AN,MATCH(yoy!$L$1,Data!$A$1:$AN$1,),))/VLOOKUP(A98,Data!$A:$AN,MATCH(yoy!$L$1,Data!$A$1:$AN$1,),))</f>
        <v/>
      </c>
      <c r="M98" s="14">
        <f>IF(VLOOKUP(B98,Data!$A:$AN,MATCH(yoy!$M$1,Data!$A$1:$AN$1,),)=0,"#N/A",(VLOOKUP(B98,Data!$A:$AN,MATCH(yoy!$M$1,Data!$A$1:$AN$1,),)-VLOOKUP(A98,Data!$A:$AN,MATCH(yoy!$M$1,Data!$A$1:$AN$1,),))/VLOOKUP(A98,Data!$A:$AN,MATCH(yoy!$M$1,Data!$A$1:$AN$1,),))</f>
        <v/>
      </c>
      <c r="N98" s="14">
        <f>IF(VLOOKUP(B98,Data!$A:$AN,MATCH(yoy!$N$1,Data!$A$1:$AN$1,),)=0,"#N/A",(VLOOKUP(B98,Data!$A:$AN,MATCH(yoy!$N$1,Data!$A$1:$AN$1,),)-VLOOKUP(A98,Data!$A:$AN,MATCH(yoy!$N$1,Data!$A$1:$AN$1,),))/VLOOKUP(A98,Data!$A:$AN,MATCH(yoy!$N$1,Data!$A$1:$AN$1,),))</f>
        <v/>
      </c>
      <c r="O98" s="14">
        <f>IF(VLOOKUP(B98,Data!$A:$AN,MATCH(yoy!$O$1,Data!$A$1:$AN$1,),)=0,"#N/A",(VLOOKUP(B98,Data!$A:$AN,MATCH(yoy!$O$1,Data!$A$1:$AN$1,),)-VLOOKUP(A98,Data!$A:$AN,MATCH(yoy!$O$1,Data!$A$1:$AN$1,),))/VLOOKUP(A98,Data!$A:$AN,MATCH(yoy!$O$1,Data!$A$1:$AN$1,),))</f>
        <v/>
      </c>
      <c r="P98" s="14">
        <f>IF(VLOOKUP(B98,Data!$A:$AN,MATCH(yoy!$P$1,Data!$A$1:$AN$1,),)=0,"#N/A",(VLOOKUP(B98,Data!$A:$AN,MATCH(yoy!$P$1,Data!$A$1:$AN$1,),)-VLOOKUP(A98,Data!$A:$AN,MATCH(yoy!$P$1,Data!$A$1:$AN$1,),))/VLOOKUP(A98,Data!$A:$AN,MATCH(yoy!$P$1,Data!$A$1:$AN$1,),))</f>
        <v/>
      </c>
      <c r="Q98" s="14">
        <f>IF(VLOOKUP(B98,Data!$A:$AN,MATCH(yoy!$Q$1,Data!$A$1:$AN$1,),)=0,"#N/A",(VLOOKUP(B98,Data!$A:$AN,MATCH(yoy!$Q$1,Data!$A$1:$AN$1,),)-VLOOKUP(A98,Data!$A:$AN,MATCH(yoy!$Q$1,Data!$A$1:$AN$1,),))/VLOOKUP(A98,Data!$A:$AN,MATCH(yoy!$Q$1,Data!$A$1:$AN$1,),))</f>
        <v/>
      </c>
      <c r="R98" s="14">
        <f>IF(VLOOKUP(B98,Data!$A:$AN,MATCH(yoy!$R$1,Data!$A$1:$AN$1,),)=0,"#N/A",(VLOOKUP(B98,Data!$A:$AN,MATCH(yoy!$R$1,Data!$A$1:$AN$1,),)-VLOOKUP(A98,Data!$A:$AN,MATCH(yoy!$R$1,Data!$A$1:$AN$1,),))/VLOOKUP(A98,Data!$A:$AN,MATCH(yoy!$R$1,Data!$A$1:$AN$1,),))</f>
        <v/>
      </c>
      <c r="S98" s="14">
        <f>IF(VLOOKUP(B98,Data!$A:$AN,MATCH(yoy!$S$1,Data!$A$1:$AN$1,),)=0,"#N/A",(VLOOKUP(B98,Data!$A:$AN,MATCH(yoy!$S$1,Data!$A$1:$AN$1,),)-VLOOKUP(A98,Data!$A:$AN,MATCH(yoy!$S$1,Data!$A$1:$AN$1,),))/VLOOKUP(A98,Data!$A:$AN,MATCH(yoy!$S$1,Data!$A$1:$AN$1,),))</f>
        <v/>
      </c>
      <c r="T98" s="14">
        <f>IF(VLOOKUP(B98,Data!$A:$AN,MATCH(yoy!$T$1,Data!$A$1:$AN$1,),)=0,"#N/A",(VLOOKUP(B98,Data!$A:$AN,MATCH(yoy!$T$1,Data!$A$1:$AN$1,),)-VLOOKUP(A98,Data!$A:$AN,MATCH(yoy!$T$1,Data!$A$1:$AN$1,),))/VLOOKUP(A98,Data!$A:$AN,MATCH(yoy!$T$1,Data!$A$1:$AN$1,),))</f>
        <v/>
      </c>
      <c r="U98" s="14">
        <f>IF(VLOOKUP(B98,Data!$A:$AN,MATCH(yoy!$U$1,Data!$A$1:$AN$1,),)=0,"#N/A",(VLOOKUP(B98,Data!$A:$AN,MATCH(yoy!$U$1,Data!$A$1:$AN$1,),)-VLOOKUP(A98,Data!$A:$AN,MATCH(yoy!$U$1,Data!$A$1:$AN$1,),))/VLOOKUP(A98,Data!$A:$AN,MATCH(yoy!$U$1,Data!$A$1:$AN$1,),))</f>
        <v/>
      </c>
      <c r="V98" s="14">
        <f>IF(VLOOKUP(B98,Data!$A:$AN,MATCH(yoy!$V$1,Data!$A$1:$AN$1,),)=0,"#N/A",(VLOOKUP(B98,Data!$A:$AN,MATCH(yoy!$V$1,Data!$A$1:$AN$1,),)-VLOOKUP(A98,Data!$A:$AN,MATCH(yoy!$V$1,Data!$A$1:$AN$1,),))/VLOOKUP(A98,Data!$A:$AN,MATCH(yoy!$V$1,Data!$A$1:$AN$1,),))</f>
        <v/>
      </c>
      <c r="W98" s="14">
        <f>IF(VLOOKUP(B98,Data!$A:$AN,MATCH(yoy!$W$1,Data!$A$1:$AN$1,),)=0,"#N/A",(VLOOKUP(B98,Data!$A:$AN,MATCH(yoy!$W$1,Data!$A$1:$AN$1,),)-VLOOKUP(A98,Data!$A:$AN,MATCH(yoy!$W$1,Data!$A$1:$AN$1,),))/VLOOKUP(A98,Data!$A:$AN,MATCH(yoy!$W$1,Data!$A$1:$AN$1,),))</f>
        <v/>
      </c>
      <c r="X98" s="14">
        <f>IF(VLOOKUP(B98,Data!$A:$AN,MATCH(yoy!$X$1,Data!$A$1:$AN$1,),)=0,"#N/A",(VLOOKUP(B98,Data!$A:$AN,MATCH(yoy!$X$1,Data!$A$1:$AN$1,),)-VLOOKUP(A98,Data!$A:$AN,MATCH(yoy!$X$1,Data!$A$1:$AN$1,),))/VLOOKUP(A98,Data!$A:$AN,MATCH(yoy!$X$1,Data!$A$1:$AN$1,),))</f>
        <v/>
      </c>
      <c r="Y98" s="14">
        <f>IF(VLOOKUP(B98,Data!$A:$AN,MATCH(yoy!$Y$1,Data!$A$1:$AN$1,),)=0,"#N/A",(VLOOKUP(B98,Data!$A:$AN,MATCH(yoy!$Y$1,Data!$A$1:$AN$1,),)-VLOOKUP(A98,Data!$A:$AN,MATCH(yoy!$Y$1,Data!$A$1:$AN$1,),))/VLOOKUP(A98,Data!$A:$AN,MATCH(yoy!$Y$1,Data!$A$1:$AN$1,),))</f>
        <v/>
      </c>
      <c r="Z98" s="14">
        <f>IF(VLOOKUP(B98,Data!$A:$AN,MATCH(yoy!$Z$1,Data!$A$1:$AN$1,),)=0,"#N/A",(VLOOKUP(B98,Data!$A:$AN,MATCH(yoy!$Z$1,Data!$A$1:$AN$1,),)-VLOOKUP(A98,Data!$A:$AN,MATCH(yoy!$Z$1,Data!$A$1:$AN$1,),))/VLOOKUP(A98,Data!$A:$AN,MATCH(yoy!$Z$1,Data!$A$1:$AN$1,),))</f>
        <v/>
      </c>
      <c r="AA98" s="14">
        <f>IF(VLOOKUP(B98,Data!$A:$AN,MATCH(yoy!$AA$1,Data!$A$1:$AN$1,),)=0,"#N/A",(VLOOKUP(B98,Data!$A:$AN,MATCH(yoy!$AA$1,Data!$A$1:$AN$1,),)-VLOOKUP(A98,Data!$A:$AN,MATCH(yoy!$AA$1,Data!$A$1:$AN$1,),))/VLOOKUP(A98,Data!$A:$AN,MATCH(yoy!$AA$1,Data!$A$1:$AN$1,),))</f>
        <v/>
      </c>
    </row>
    <row r="99" customFormat="1" s="77">
      <c r="A99" s="20">
        <f>DATE(YEAR(B99)-1,MONTH(B99),DAY(B99))</f>
        <v/>
      </c>
      <c r="B99" s="12" t="n">
        <v>44866</v>
      </c>
      <c r="C99" s="14">
        <f>IF(VLOOKUP(B99,Data!$A:$AN,MATCH(yoy!$C$1,Data!$A$1:$AN$1,),)=0,"#N/A",(VLOOKUP(B99,Data!$A:$AN,MATCH(yoy!$C$1,Data!$A$1:$AN$1,),)-VLOOKUP(A99,Data!$A:$AN,MATCH(yoy!$C$1,Data!$A$1:$AN$1,),))/VLOOKUP(A99,Data!$A:$AN,MATCH(yoy!$C$1,Data!$A$1:$AN$1,),))</f>
        <v/>
      </c>
      <c r="D99" s="14">
        <f>IF(VLOOKUP(B99,Data!$A:$AN,MATCH(yoy!$D$1,Data!$A$1:$AN$1,),)=0,"#N/A",(VLOOKUP(B99,Data!$A:$AN,MATCH(yoy!$D$1,Data!$A$1:$AN$1,),)-VLOOKUP(A99,Data!$A:$AN,MATCH(yoy!$D$1,Data!$A$1:$AN$1,),))/VLOOKUP(A99,Data!$A:$AN,MATCH(yoy!$D$1,Data!$A$1:$AN$1,),))</f>
        <v/>
      </c>
      <c r="E99" s="14">
        <f>IF(VLOOKUP(B99,Data!$A:$AN,MATCH(yoy!$E$1,Data!$A$1:$AN$1,),)=0,"#N/A",(VLOOKUP(B99,Data!$A:$AN,MATCH(yoy!$E$1,Data!$A$1:$AN$1,),)-VLOOKUP(A99,Data!$A:$AN,MATCH(yoy!$E$1,Data!$A$1:$AN$1,),))/VLOOKUP(A99,Data!$A:$AN,MATCH(yoy!$E$1,Data!$A$1:$AN$1,),))</f>
        <v/>
      </c>
      <c r="F99" s="14">
        <f>IF(VLOOKUP(B99,Data!$A:$AN,MATCH(yoy!$F$1,Data!$A$1:$AN$1,),)=0,"#N/A",(VLOOKUP(B99,Data!$A:$AN,MATCH(yoy!$F$1,Data!$A$1:$AN$1,),)-VLOOKUP(A99,Data!$A:$AN,MATCH(yoy!$F$1,Data!$A$1:$AN$1,),))/VLOOKUP(A99,Data!$A:$AN,MATCH(yoy!$F$1,Data!$A$1:$AN$1,),))</f>
        <v/>
      </c>
      <c r="G99" s="14">
        <f>IF(VLOOKUP(B99,Data!$A:$AN,MATCH(yoy!$G$1,Data!$A$1:$AN$1,),)=0,"#N/A",(VLOOKUP(B99,Data!$A:$AN,MATCH(yoy!$G$1,Data!$A$1:$AN$1,),)-VLOOKUP(A99,Data!$A:$AN,MATCH(yoy!$G$1,Data!$A$1:$AN$1,),))/VLOOKUP(A99,Data!$A:$AN,MATCH(yoy!$G$1,Data!$A$1:$AN$1,),))</f>
        <v/>
      </c>
      <c r="H99" s="14">
        <f>IF(VLOOKUP(B99,Data!$A:$AN,MATCH(yoy!$H$1,Data!$A$1:$AN$1,),)=0,"#N/A",(VLOOKUP(B99,Data!$A:$AN,MATCH(yoy!$H$1,Data!$A$1:$AN$1,),)-VLOOKUP(A99,Data!$A:$AN,MATCH(yoy!$H$1,Data!$A$1:$AN$1,),))/VLOOKUP(A99,Data!$A:$AN,MATCH(yoy!$H$1,Data!$A$1:$AN$1,),))</f>
        <v/>
      </c>
      <c r="I99" s="14">
        <f>IF(VLOOKUP(B99,Data!$A:$AN,MATCH(yoy!$I$1,Data!$A$1:$AN$1,),)=0,"#N/A",(VLOOKUP(B99,Data!$A:$AN,MATCH(yoy!$I$1,Data!$A$1:$AN$1,),)-VLOOKUP(A99,Data!$A:$AN,MATCH(yoy!$I$1,Data!$A$1:$AN$1,),))/VLOOKUP(A99,Data!$A:$AN,MATCH(yoy!$I$1,Data!$A$1:$AN$1,),))</f>
        <v/>
      </c>
      <c r="J99" s="14">
        <f>IF(VLOOKUP(B99,Data!$A:$AN,MATCH(yoy!$J$1,Data!$A$1:$AN$1,),)=0,"#N/A",(VLOOKUP(B99,Data!$A:$AN,MATCH(yoy!$J$1,Data!$A$1:$AN$1,),)-VLOOKUP(A99,Data!$A:$AN,MATCH(yoy!$J$1,Data!$A$1:$AN$1,),))/VLOOKUP(A99,Data!$A:$AN,MATCH(yoy!$J$1,Data!$A$1:$AN$1,),))</f>
        <v/>
      </c>
      <c r="K99" s="14">
        <f>IF(VLOOKUP(B99,Data!$A:$AN,MATCH(yoy!$K$1,Data!$A$1:$AN$1,),)=0,"#N/A",(VLOOKUP(B99,Data!$A:$AN,MATCH(yoy!$K$1,Data!$A$1:$AN$1,),)-VLOOKUP(A99,Data!$A:$AN,MATCH(yoy!$K$1,Data!$A$1:$AN$1,),))/VLOOKUP(A99,Data!$A:$AN,MATCH(yoy!$K$1,Data!$A$1:$AN$1,),))</f>
        <v/>
      </c>
      <c r="L99" s="14">
        <f>IF(VLOOKUP(B99,Data!$A:$AN,MATCH(yoy!$L$1,Data!$A$1:$AN$1,),)=0,"#N/A",(VLOOKUP(B99,Data!$A:$AN,MATCH(yoy!$L$1,Data!$A$1:$AN$1,),)-VLOOKUP(A99,Data!$A:$AN,MATCH(yoy!$L$1,Data!$A$1:$AN$1,),))/VLOOKUP(A99,Data!$A:$AN,MATCH(yoy!$L$1,Data!$A$1:$AN$1,),))</f>
        <v/>
      </c>
      <c r="M99" s="14">
        <f>IF(VLOOKUP(B99,Data!$A:$AN,MATCH(yoy!$M$1,Data!$A$1:$AN$1,),)=0,"#N/A",(VLOOKUP(B99,Data!$A:$AN,MATCH(yoy!$M$1,Data!$A$1:$AN$1,),)-VLOOKUP(A99,Data!$A:$AN,MATCH(yoy!$M$1,Data!$A$1:$AN$1,),))/VLOOKUP(A99,Data!$A:$AN,MATCH(yoy!$M$1,Data!$A$1:$AN$1,),))</f>
        <v/>
      </c>
      <c r="N99" s="14">
        <f>IF(VLOOKUP(B99,Data!$A:$AN,MATCH(yoy!$N$1,Data!$A$1:$AN$1,),)=0,"#N/A",(VLOOKUP(B99,Data!$A:$AN,MATCH(yoy!$N$1,Data!$A$1:$AN$1,),)-VLOOKUP(A99,Data!$A:$AN,MATCH(yoy!$N$1,Data!$A$1:$AN$1,),))/VLOOKUP(A99,Data!$A:$AN,MATCH(yoy!$N$1,Data!$A$1:$AN$1,),))</f>
        <v/>
      </c>
      <c r="O99" s="14">
        <f>IF(VLOOKUP(B99,Data!$A:$AN,MATCH(yoy!$O$1,Data!$A$1:$AN$1,),)=0,"#N/A",(VLOOKUP(B99,Data!$A:$AN,MATCH(yoy!$O$1,Data!$A$1:$AN$1,),)-VLOOKUP(A99,Data!$A:$AN,MATCH(yoy!$O$1,Data!$A$1:$AN$1,),))/VLOOKUP(A99,Data!$A:$AN,MATCH(yoy!$O$1,Data!$A$1:$AN$1,),))</f>
        <v/>
      </c>
      <c r="P99" s="14">
        <f>IF(VLOOKUP(B99,Data!$A:$AN,MATCH(yoy!$P$1,Data!$A$1:$AN$1,),)=0,"#N/A",(VLOOKUP(B99,Data!$A:$AN,MATCH(yoy!$P$1,Data!$A$1:$AN$1,),)-VLOOKUP(A99,Data!$A:$AN,MATCH(yoy!$P$1,Data!$A$1:$AN$1,),))/VLOOKUP(A99,Data!$A:$AN,MATCH(yoy!$P$1,Data!$A$1:$AN$1,),))</f>
        <v/>
      </c>
      <c r="Q99" s="14">
        <f>IF(VLOOKUP(B99,Data!$A:$AN,MATCH(yoy!$Q$1,Data!$A$1:$AN$1,),)=0,"#N/A",(VLOOKUP(B99,Data!$A:$AN,MATCH(yoy!$Q$1,Data!$A$1:$AN$1,),)-VLOOKUP(A99,Data!$A:$AN,MATCH(yoy!$Q$1,Data!$A$1:$AN$1,),))/VLOOKUP(A99,Data!$A:$AN,MATCH(yoy!$Q$1,Data!$A$1:$AN$1,),))</f>
        <v/>
      </c>
      <c r="R99" s="14">
        <f>IF(VLOOKUP(B99,Data!$A:$AN,MATCH(yoy!$R$1,Data!$A$1:$AN$1,),)=0,"#N/A",(VLOOKUP(B99,Data!$A:$AN,MATCH(yoy!$R$1,Data!$A$1:$AN$1,),)-VLOOKUP(A99,Data!$A:$AN,MATCH(yoy!$R$1,Data!$A$1:$AN$1,),))/VLOOKUP(A99,Data!$A:$AN,MATCH(yoy!$R$1,Data!$A$1:$AN$1,),))</f>
        <v/>
      </c>
      <c r="S99" s="14">
        <f>IF(VLOOKUP(B99,Data!$A:$AN,MATCH(yoy!$S$1,Data!$A$1:$AN$1,),)=0,"#N/A",(VLOOKUP(B99,Data!$A:$AN,MATCH(yoy!$S$1,Data!$A$1:$AN$1,),)-VLOOKUP(A99,Data!$A:$AN,MATCH(yoy!$S$1,Data!$A$1:$AN$1,),))/VLOOKUP(A99,Data!$A:$AN,MATCH(yoy!$S$1,Data!$A$1:$AN$1,),))</f>
        <v/>
      </c>
      <c r="T99" s="14">
        <f>IF(VLOOKUP(B99,Data!$A:$AN,MATCH(yoy!$T$1,Data!$A$1:$AN$1,),)=0,"#N/A",(VLOOKUP(B99,Data!$A:$AN,MATCH(yoy!$T$1,Data!$A$1:$AN$1,),)-VLOOKUP(A99,Data!$A:$AN,MATCH(yoy!$T$1,Data!$A$1:$AN$1,),))/VLOOKUP(A99,Data!$A:$AN,MATCH(yoy!$T$1,Data!$A$1:$AN$1,),))</f>
        <v/>
      </c>
      <c r="U99" s="14">
        <f>IF(VLOOKUP(B99,Data!$A:$AN,MATCH(yoy!$U$1,Data!$A$1:$AN$1,),)=0,"#N/A",(VLOOKUP(B99,Data!$A:$AN,MATCH(yoy!$U$1,Data!$A$1:$AN$1,),)-VLOOKUP(A99,Data!$A:$AN,MATCH(yoy!$U$1,Data!$A$1:$AN$1,),))/VLOOKUP(A99,Data!$A:$AN,MATCH(yoy!$U$1,Data!$A$1:$AN$1,),))</f>
        <v/>
      </c>
      <c r="V99" s="14">
        <f>IF(VLOOKUP(B99,Data!$A:$AN,MATCH(yoy!$V$1,Data!$A$1:$AN$1,),)=0,"#N/A",(VLOOKUP(B99,Data!$A:$AN,MATCH(yoy!$V$1,Data!$A$1:$AN$1,),)-VLOOKUP(A99,Data!$A:$AN,MATCH(yoy!$V$1,Data!$A$1:$AN$1,),))/VLOOKUP(A99,Data!$A:$AN,MATCH(yoy!$V$1,Data!$A$1:$AN$1,),))</f>
        <v/>
      </c>
      <c r="W99" s="14">
        <f>IF(VLOOKUP(B99,Data!$A:$AN,MATCH(yoy!$W$1,Data!$A$1:$AN$1,),)=0,"#N/A",(VLOOKUP(B99,Data!$A:$AN,MATCH(yoy!$W$1,Data!$A$1:$AN$1,),)-VLOOKUP(A99,Data!$A:$AN,MATCH(yoy!$W$1,Data!$A$1:$AN$1,),))/VLOOKUP(A99,Data!$A:$AN,MATCH(yoy!$W$1,Data!$A$1:$AN$1,),))</f>
        <v/>
      </c>
      <c r="X99" s="14">
        <f>IF(VLOOKUP(B99,Data!$A:$AN,MATCH(yoy!$X$1,Data!$A$1:$AN$1,),)=0,"#N/A",(VLOOKUP(B99,Data!$A:$AN,MATCH(yoy!$X$1,Data!$A$1:$AN$1,),)-VLOOKUP(A99,Data!$A:$AN,MATCH(yoy!$X$1,Data!$A$1:$AN$1,),))/VLOOKUP(A99,Data!$A:$AN,MATCH(yoy!$X$1,Data!$A$1:$AN$1,),))</f>
        <v/>
      </c>
      <c r="Y99" s="14">
        <f>IF(VLOOKUP(B99,Data!$A:$AN,MATCH(yoy!$Y$1,Data!$A$1:$AN$1,),)=0,"#N/A",(VLOOKUP(B99,Data!$A:$AN,MATCH(yoy!$Y$1,Data!$A$1:$AN$1,),)-VLOOKUP(A99,Data!$A:$AN,MATCH(yoy!$Y$1,Data!$A$1:$AN$1,),))/VLOOKUP(A99,Data!$A:$AN,MATCH(yoy!$Y$1,Data!$A$1:$AN$1,),))</f>
        <v/>
      </c>
      <c r="Z99" s="14">
        <f>IF(VLOOKUP(B99,Data!$A:$AN,MATCH(yoy!$Z$1,Data!$A$1:$AN$1,),)=0,"#N/A",(VLOOKUP(B99,Data!$A:$AN,MATCH(yoy!$Z$1,Data!$A$1:$AN$1,),)-VLOOKUP(A99,Data!$A:$AN,MATCH(yoy!$Z$1,Data!$A$1:$AN$1,),))/VLOOKUP(A99,Data!$A:$AN,MATCH(yoy!$Z$1,Data!$A$1:$AN$1,),))</f>
        <v/>
      </c>
      <c r="AA99" s="14">
        <f>IF(VLOOKUP(B99,Data!$A:$AN,MATCH(yoy!$AA$1,Data!$A$1:$AN$1,),)=0,"#N/A",(VLOOKUP(B99,Data!$A:$AN,MATCH(yoy!$AA$1,Data!$A$1:$AN$1,),)-VLOOKUP(A99,Data!$A:$AN,MATCH(yoy!$AA$1,Data!$A$1:$AN$1,),))/VLOOKUP(A99,Data!$A:$AN,MATCH(yoy!$AA$1,Data!$A$1:$AN$1,),))</f>
        <v/>
      </c>
    </row>
    <row r="100" customFormat="1" s="77">
      <c r="A100" s="20">
        <f>DATE(YEAR(B100)-1,MONTH(B100),DAY(B100))</f>
        <v/>
      </c>
      <c r="B100" s="12" t="n">
        <v>44896</v>
      </c>
      <c r="C100" s="14">
        <f>IF(VLOOKUP(B100,Data!$A:$AN,MATCH(yoy!$C$1,Data!$A$1:$AN$1,),)=0,"#N/A",(VLOOKUP(B100,Data!$A:$AN,MATCH(yoy!$C$1,Data!$A$1:$AN$1,),)-VLOOKUP(A100,Data!$A:$AN,MATCH(yoy!$C$1,Data!$A$1:$AN$1,),))/VLOOKUP(A100,Data!$A:$AN,MATCH(yoy!$C$1,Data!$A$1:$AN$1,),))</f>
        <v/>
      </c>
      <c r="D100" s="14">
        <f>IF(VLOOKUP(B100,Data!$A:$AN,MATCH(yoy!$D$1,Data!$A$1:$AN$1,),)=0,"#N/A",(VLOOKUP(B100,Data!$A:$AN,MATCH(yoy!$D$1,Data!$A$1:$AN$1,),)-VLOOKUP(A100,Data!$A:$AN,MATCH(yoy!$D$1,Data!$A$1:$AN$1,),))/VLOOKUP(A100,Data!$A:$AN,MATCH(yoy!$D$1,Data!$A$1:$AN$1,),))</f>
        <v/>
      </c>
      <c r="E100" s="14">
        <f>IF(VLOOKUP(B100,Data!$A:$AN,MATCH(yoy!$E$1,Data!$A$1:$AN$1,),)=0,"#N/A",(VLOOKUP(B100,Data!$A:$AN,MATCH(yoy!$E$1,Data!$A$1:$AN$1,),)-VLOOKUP(A100,Data!$A:$AN,MATCH(yoy!$E$1,Data!$A$1:$AN$1,),))/VLOOKUP(A100,Data!$A:$AN,MATCH(yoy!$E$1,Data!$A$1:$AN$1,),))</f>
        <v/>
      </c>
      <c r="F100" s="14">
        <f>IF(VLOOKUP(B100,Data!$A:$AN,MATCH(yoy!$F$1,Data!$A$1:$AN$1,),)=0,"#N/A",(VLOOKUP(B100,Data!$A:$AN,MATCH(yoy!$F$1,Data!$A$1:$AN$1,),)-VLOOKUP(A100,Data!$A:$AN,MATCH(yoy!$F$1,Data!$A$1:$AN$1,),))/VLOOKUP(A100,Data!$A:$AN,MATCH(yoy!$F$1,Data!$A$1:$AN$1,),))</f>
        <v/>
      </c>
      <c r="G100" s="14">
        <f>IF(VLOOKUP(B100,Data!$A:$AN,MATCH(yoy!$G$1,Data!$A$1:$AN$1,),)=0,"#N/A",(VLOOKUP(B100,Data!$A:$AN,MATCH(yoy!$G$1,Data!$A$1:$AN$1,),)-VLOOKUP(A100,Data!$A:$AN,MATCH(yoy!$G$1,Data!$A$1:$AN$1,),))/VLOOKUP(A100,Data!$A:$AN,MATCH(yoy!$G$1,Data!$A$1:$AN$1,),))</f>
        <v/>
      </c>
      <c r="H100" s="14">
        <f>IF(VLOOKUP(B100,Data!$A:$AN,MATCH(yoy!$H$1,Data!$A$1:$AN$1,),)=0,"#N/A",(VLOOKUP(B100,Data!$A:$AN,MATCH(yoy!$H$1,Data!$A$1:$AN$1,),)-VLOOKUP(A100,Data!$A:$AN,MATCH(yoy!$H$1,Data!$A$1:$AN$1,),))/VLOOKUP(A100,Data!$A:$AN,MATCH(yoy!$H$1,Data!$A$1:$AN$1,),))</f>
        <v/>
      </c>
      <c r="I100" s="14">
        <f>IF(VLOOKUP(B100,Data!$A:$AN,MATCH(yoy!$I$1,Data!$A$1:$AN$1,),)=0,"#N/A",(VLOOKUP(B100,Data!$A:$AN,MATCH(yoy!$I$1,Data!$A$1:$AN$1,),)-VLOOKUP(A100,Data!$A:$AN,MATCH(yoy!$I$1,Data!$A$1:$AN$1,),))/VLOOKUP(A100,Data!$A:$AN,MATCH(yoy!$I$1,Data!$A$1:$AN$1,),))</f>
        <v/>
      </c>
      <c r="J100" s="14">
        <f>IF(VLOOKUP(B100,Data!$A:$AN,MATCH(yoy!$J$1,Data!$A$1:$AN$1,),)=0,"#N/A",(VLOOKUP(B100,Data!$A:$AN,MATCH(yoy!$J$1,Data!$A$1:$AN$1,),)-VLOOKUP(A100,Data!$A:$AN,MATCH(yoy!$J$1,Data!$A$1:$AN$1,),))/VLOOKUP(A100,Data!$A:$AN,MATCH(yoy!$J$1,Data!$A$1:$AN$1,),))</f>
        <v/>
      </c>
      <c r="K100" s="14">
        <f>IF(VLOOKUP(B100,Data!$A:$AN,MATCH(yoy!$K$1,Data!$A$1:$AN$1,),)=0,"#N/A",(VLOOKUP(B100,Data!$A:$AN,MATCH(yoy!$K$1,Data!$A$1:$AN$1,),)-VLOOKUP(A100,Data!$A:$AN,MATCH(yoy!$K$1,Data!$A$1:$AN$1,),))/VLOOKUP(A100,Data!$A:$AN,MATCH(yoy!$K$1,Data!$A$1:$AN$1,),))</f>
        <v/>
      </c>
      <c r="L100" s="14">
        <f>IF(VLOOKUP(B100,Data!$A:$AN,MATCH(yoy!$L$1,Data!$A$1:$AN$1,),)=0,"#N/A",(VLOOKUP(B100,Data!$A:$AN,MATCH(yoy!$L$1,Data!$A$1:$AN$1,),)-VLOOKUP(A100,Data!$A:$AN,MATCH(yoy!$L$1,Data!$A$1:$AN$1,),))/VLOOKUP(A100,Data!$A:$AN,MATCH(yoy!$L$1,Data!$A$1:$AN$1,),))</f>
        <v/>
      </c>
      <c r="M100" s="14">
        <f>IF(VLOOKUP(B100,Data!$A:$AN,MATCH(yoy!$M$1,Data!$A$1:$AN$1,),)=0,"#N/A",(VLOOKUP(B100,Data!$A:$AN,MATCH(yoy!$M$1,Data!$A$1:$AN$1,),)-VLOOKUP(A100,Data!$A:$AN,MATCH(yoy!$M$1,Data!$A$1:$AN$1,),))/VLOOKUP(A100,Data!$A:$AN,MATCH(yoy!$M$1,Data!$A$1:$AN$1,),))</f>
        <v/>
      </c>
      <c r="N100" s="14">
        <f>IF(VLOOKUP(B100,Data!$A:$AN,MATCH(yoy!$N$1,Data!$A$1:$AN$1,),)=0,"#N/A",(VLOOKUP(B100,Data!$A:$AN,MATCH(yoy!$N$1,Data!$A$1:$AN$1,),)-VLOOKUP(A100,Data!$A:$AN,MATCH(yoy!$N$1,Data!$A$1:$AN$1,),))/VLOOKUP(A100,Data!$A:$AN,MATCH(yoy!$N$1,Data!$A$1:$AN$1,),))</f>
        <v/>
      </c>
      <c r="O100" s="14">
        <f>IF(VLOOKUP(B100,Data!$A:$AN,MATCH(yoy!$O$1,Data!$A$1:$AN$1,),)=0,"#N/A",(VLOOKUP(B100,Data!$A:$AN,MATCH(yoy!$O$1,Data!$A$1:$AN$1,),)-VLOOKUP(A100,Data!$A:$AN,MATCH(yoy!$O$1,Data!$A$1:$AN$1,),))/VLOOKUP(A100,Data!$A:$AN,MATCH(yoy!$O$1,Data!$A$1:$AN$1,),))</f>
        <v/>
      </c>
      <c r="P100" s="14">
        <f>IF(VLOOKUP(B100,Data!$A:$AN,MATCH(yoy!$P$1,Data!$A$1:$AN$1,),)=0,"#N/A",(VLOOKUP(B100,Data!$A:$AN,MATCH(yoy!$P$1,Data!$A$1:$AN$1,),)-VLOOKUP(A100,Data!$A:$AN,MATCH(yoy!$P$1,Data!$A$1:$AN$1,),))/VLOOKUP(A100,Data!$A:$AN,MATCH(yoy!$P$1,Data!$A$1:$AN$1,),))</f>
        <v/>
      </c>
      <c r="Q100" s="14">
        <f>IF(VLOOKUP(B100,Data!$A:$AN,MATCH(yoy!$Q$1,Data!$A$1:$AN$1,),)=0,"#N/A",(VLOOKUP(B100,Data!$A:$AN,MATCH(yoy!$Q$1,Data!$A$1:$AN$1,),)-VLOOKUP(A100,Data!$A:$AN,MATCH(yoy!$Q$1,Data!$A$1:$AN$1,),))/VLOOKUP(A100,Data!$A:$AN,MATCH(yoy!$Q$1,Data!$A$1:$AN$1,),))</f>
        <v/>
      </c>
      <c r="R100" s="14">
        <f>IF(VLOOKUP(B100,Data!$A:$AN,MATCH(yoy!$R$1,Data!$A$1:$AN$1,),)=0,"#N/A",(VLOOKUP(B100,Data!$A:$AN,MATCH(yoy!$R$1,Data!$A$1:$AN$1,),)-VLOOKUP(A100,Data!$A:$AN,MATCH(yoy!$R$1,Data!$A$1:$AN$1,),))/VLOOKUP(A100,Data!$A:$AN,MATCH(yoy!$R$1,Data!$A$1:$AN$1,),))</f>
        <v/>
      </c>
      <c r="S100" s="14">
        <f>IF(VLOOKUP(B100,Data!$A:$AN,MATCH(yoy!$S$1,Data!$A$1:$AN$1,),)=0,"#N/A",(VLOOKUP(B100,Data!$A:$AN,MATCH(yoy!$S$1,Data!$A$1:$AN$1,),)-VLOOKUP(A100,Data!$A:$AN,MATCH(yoy!$S$1,Data!$A$1:$AN$1,),))/VLOOKUP(A100,Data!$A:$AN,MATCH(yoy!$S$1,Data!$A$1:$AN$1,),))</f>
        <v/>
      </c>
      <c r="T100" s="14">
        <f>IF(VLOOKUP(B100,Data!$A:$AN,MATCH(yoy!$T$1,Data!$A$1:$AN$1,),)=0,"#N/A",(VLOOKUP(B100,Data!$A:$AN,MATCH(yoy!$T$1,Data!$A$1:$AN$1,),)-VLOOKUP(A100,Data!$A:$AN,MATCH(yoy!$T$1,Data!$A$1:$AN$1,),))/VLOOKUP(A100,Data!$A:$AN,MATCH(yoy!$T$1,Data!$A$1:$AN$1,),))</f>
        <v/>
      </c>
      <c r="U100" s="14">
        <f>IF(VLOOKUP(B100,Data!$A:$AN,MATCH(yoy!$U$1,Data!$A$1:$AN$1,),)=0,"#N/A",(VLOOKUP(B100,Data!$A:$AN,MATCH(yoy!$U$1,Data!$A$1:$AN$1,),)-VLOOKUP(A100,Data!$A:$AN,MATCH(yoy!$U$1,Data!$A$1:$AN$1,),))/VLOOKUP(A100,Data!$A:$AN,MATCH(yoy!$U$1,Data!$A$1:$AN$1,),))</f>
        <v/>
      </c>
      <c r="V100" s="14">
        <f>IF(VLOOKUP(B100,Data!$A:$AN,MATCH(yoy!$V$1,Data!$A$1:$AN$1,),)=0,"#N/A",(VLOOKUP(B100,Data!$A:$AN,MATCH(yoy!$V$1,Data!$A$1:$AN$1,),)-VLOOKUP(A100,Data!$A:$AN,MATCH(yoy!$V$1,Data!$A$1:$AN$1,),))/VLOOKUP(A100,Data!$A:$AN,MATCH(yoy!$V$1,Data!$A$1:$AN$1,),))</f>
        <v/>
      </c>
      <c r="W100" s="14">
        <f>IF(VLOOKUP(B100,Data!$A:$AN,MATCH(yoy!$W$1,Data!$A$1:$AN$1,),)=0,"#N/A",(VLOOKUP(B100,Data!$A:$AN,MATCH(yoy!$W$1,Data!$A$1:$AN$1,),)-VLOOKUP(A100,Data!$A:$AN,MATCH(yoy!$W$1,Data!$A$1:$AN$1,),))/VLOOKUP(A100,Data!$A:$AN,MATCH(yoy!$W$1,Data!$A$1:$AN$1,),))</f>
        <v/>
      </c>
      <c r="X100" s="14">
        <f>IF(VLOOKUP(B100,Data!$A:$AN,MATCH(yoy!$X$1,Data!$A$1:$AN$1,),)=0,"#N/A",(VLOOKUP(B100,Data!$A:$AN,MATCH(yoy!$X$1,Data!$A$1:$AN$1,),)-VLOOKUP(A100,Data!$A:$AN,MATCH(yoy!$X$1,Data!$A$1:$AN$1,),))/VLOOKUP(A100,Data!$A:$AN,MATCH(yoy!$X$1,Data!$A$1:$AN$1,),))</f>
        <v/>
      </c>
      <c r="Y100" s="14">
        <f>IF(VLOOKUP(B100,Data!$A:$AN,MATCH(yoy!$Y$1,Data!$A$1:$AN$1,),)=0,"#N/A",(VLOOKUP(B100,Data!$A:$AN,MATCH(yoy!$Y$1,Data!$A$1:$AN$1,),)-VLOOKUP(A100,Data!$A:$AN,MATCH(yoy!$Y$1,Data!$A$1:$AN$1,),))/VLOOKUP(A100,Data!$A:$AN,MATCH(yoy!$Y$1,Data!$A$1:$AN$1,),))</f>
        <v/>
      </c>
      <c r="Z100" s="14">
        <f>IF(VLOOKUP(B100,Data!$A:$AN,MATCH(yoy!$Z$1,Data!$A$1:$AN$1,),)=0,"#N/A",(VLOOKUP(B100,Data!$A:$AN,MATCH(yoy!$Z$1,Data!$A$1:$AN$1,),)-VLOOKUP(A100,Data!$A:$AN,MATCH(yoy!$Z$1,Data!$A$1:$AN$1,),))/VLOOKUP(A100,Data!$A:$AN,MATCH(yoy!$Z$1,Data!$A$1:$AN$1,),))</f>
        <v/>
      </c>
      <c r="AA100" s="14">
        <f>IF(VLOOKUP(B100,Data!$A:$AN,MATCH(yoy!$AA$1,Data!$A$1:$AN$1,),)=0,"#N/A",(VLOOKUP(B100,Data!$A:$AN,MATCH(yoy!$AA$1,Data!$A$1:$AN$1,),)-VLOOKUP(A100,Data!$A:$AN,MATCH(yoy!$AA$1,Data!$A$1:$AN$1,),))/VLOOKUP(A100,Data!$A:$AN,MATCH(yoy!$AA$1,Data!$A$1:$AN$1,),))</f>
        <v/>
      </c>
    </row>
    <row r="101" customFormat="1" s="77">
      <c r="A101" s="20">
        <f>DATE(YEAR(B101)-1,MONTH(B101),DAY(B101))</f>
        <v/>
      </c>
      <c r="B101" s="12" t="n">
        <v>44927</v>
      </c>
      <c r="C101" s="14">
        <f>IF(VLOOKUP(B101,Data!$A:$AN,MATCH(yoy!$C$1,Data!$A$1:$AN$1,),)=0,"#N/A",(VLOOKUP(B101,Data!$A:$AN,MATCH(yoy!$C$1,Data!$A$1:$AN$1,),)-VLOOKUP(A101,Data!$A:$AN,MATCH(yoy!$C$1,Data!$A$1:$AN$1,),))/VLOOKUP(A101,Data!$A:$AN,MATCH(yoy!$C$1,Data!$A$1:$AN$1,),))</f>
        <v/>
      </c>
      <c r="D101" s="14">
        <f>IF(VLOOKUP(B101,Data!$A:$AN,MATCH(yoy!$D$1,Data!$A$1:$AN$1,),)=0,"#N/A",(VLOOKUP(B101,Data!$A:$AN,MATCH(yoy!$D$1,Data!$A$1:$AN$1,),)-VLOOKUP(A101,Data!$A:$AN,MATCH(yoy!$D$1,Data!$A$1:$AN$1,),))/VLOOKUP(A101,Data!$A:$AN,MATCH(yoy!$D$1,Data!$A$1:$AN$1,),))</f>
        <v/>
      </c>
      <c r="E101" s="14">
        <f>IF(VLOOKUP(B101,Data!$A:$AN,MATCH(yoy!$E$1,Data!$A$1:$AN$1,),)=0,"#N/A",(VLOOKUP(B101,Data!$A:$AN,MATCH(yoy!$E$1,Data!$A$1:$AN$1,),)-VLOOKUP(A101,Data!$A:$AN,MATCH(yoy!$E$1,Data!$A$1:$AN$1,),))/VLOOKUP(A101,Data!$A:$AN,MATCH(yoy!$E$1,Data!$A$1:$AN$1,),))</f>
        <v/>
      </c>
      <c r="F101" s="14">
        <f>IF(VLOOKUP(B101,Data!$A:$AN,MATCH(yoy!$F$1,Data!$A$1:$AN$1,),)=0,"#N/A",(VLOOKUP(B101,Data!$A:$AN,MATCH(yoy!$F$1,Data!$A$1:$AN$1,),)-VLOOKUP(A101,Data!$A:$AN,MATCH(yoy!$F$1,Data!$A$1:$AN$1,),))/VLOOKUP(A101,Data!$A:$AN,MATCH(yoy!$F$1,Data!$A$1:$AN$1,),))</f>
        <v/>
      </c>
      <c r="G101" s="14">
        <f>IF(VLOOKUP(B101,Data!$A:$AN,MATCH(yoy!$G$1,Data!$A$1:$AN$1,),)=0,"#N/A",(VLOOKUP(B101,Data!$A:$AN,MATCH(yoy!$G$1,Data!$A$1:$AN$1,),)-VLOOKUP(A101,Data!$A:$AN,MATCH(yoy!$G$1,Data!$A$1:$AN$1,),))/VLOOKUP(A101,Data!$A:$AN,MATCH(yoy!$G$1,Data!$A$1:$AN$1,),))</f>
        <v/>
      </c>
      <c r="H101" s="14">
        <f>IF(VLOOKUP(B101,Data!$A:$AN,MATCH(yoy!$H$1,Data!$A$1:$AN$1,),)=0,"#N/A",(VLOOKUP(B101,Data!$A:$AN,MATCH(yoy!$H$1,Data!$A$1:$AN$1,),)-VLOOKUP(A101,Data!$A:$AN,MATCH(yoy!$H$1,Data!$A$1:$AN$1,),))/VLOOKUP(A101,Data!$A:$AN,MATCH(yoy!$H$1,Data!$A$1:$AN$1,),))</f>
        <v/>
      </c>
      <c r="I101" s="14">
        <f>IF(VLOOKUP(B101,Data!$A:$AN,MATCH(yoy!$I$1,Data!$A$1:$AN$1,),)=0,"#N/A",(VLOOKUP(B101,Data!$A:$AN,MATCH(yoy!$I$1,Data!$A$1:$AN$1,),)-VLOOKUP(A101,Data!$A:$AN,MATCH(yoy!$I$1,Data!$A$1:$AN$1,),))/VLOOKUP(A101,Data!$A:$AN,MATCH(yoy!$I$1,Data!$A$1:$AN$1,),))</f>
        <v/>
      </c>
      <c r="J101" s="14">
        <f>IF(VLOOKUP(B101,Data!$A:$AN,MATCH(yoy!$J$1,Data!$A$1:$AN$1,),)=0,"#N/A",(VLOOKUP(B101,Data!$A:$AN,MATCH(yoy!$J$1,Data!$A$1:$AN$1,),)-VLOOKUP(A101,Data!$A:$AN,MATCH(yoy!$J$1,Data!$A$1:$AN$1,),))/VLOOKUP(A101,Data!$A:$AN,MATCH(yoy!$J$1,Data!$A$1:$AN$1,),))</f>
        <v/>
      </c>
      <c r="K101" s="14">
        <f>IF(VLOOKUP(B101,Data!$A:$AN,MATCH(yoy!$K$1,Data!$A$1:$AN$1,),)=0,"#N/A",(VLOOKUP(B101,Data!$A:$AN,MATCH(yoy!$K$1,Data!$A$1:$AN$1,),)-VLOOKUP(A101,Data!$A:$AN,MATCH(yoy!$K$1,Data!$A$1:$AN$1,),))/VLOOKUP(A101,Data!$A:$AN,MATCH(yoy!$K$1,Data!$A$1:$AN$1,),))</f>
        <v/>
      </c>
      <c r="L101" s="14">
        <f>IF(VLOOKUP(B101,Data!$A:$AN,MATCH(yoy!$L$1,Data!$A$1:$AN$1,),)=0,"#N/A",(VLOOKUP(B101,Data!$A:$AN,MATCH(yoy!$L$1,Data!$A$1:$AN$1,),)-VLOOKUP(A101,Data!$A:$AN,MATCH(yoy!$L$1,Data!$A$1:$AN$1,),))/VLOOKUP(A101,Data!$A:$AN,MATCH(yoy!$L$1,Data!$A$1:$AN$1,),))</f>
        <v/>
      </c>
      <c r="M101" s="14">
        <f>IF(VLOOKUP(B101,Data!$A:$AN,MATCH(yoy!$M$1,Data!$A$1:$AN$1,),)=0,"#N/A",(VLOOKUP(B101,Data!$A:$AN,MATCH(yoy!$M$1,Data!$A$1:$AN$1,),)-VLOOKUP(A101,Data!$A:$AN,MATCH(yoy!$M$1,Data!$A$1:$AN$1,),))/VLOOKUP(A101,Data!$A:$AN,MATCH(yoy!$M$1,Data!$A$1:$AN$1,),))</f>
        <v/>
      </c>
      <c r="N101" s="14">
        <f>IF(VLOOKUP(B101,Data!$A:$AN,MATCH(yoy!$N$1,Data!$A$1:$AN$1,),)=0,"#N/A",(VLOOKUP(B101,Data!$A:$AN,MATCH(yoy!$N$1,Data!$A$1:$AN$1,),)-VLOOKUP(A101,Data!$A:$AN,MATCH(yoy!$N$1,Data!$A$1:$AN$1,),))/VLOOKUP(A101,Data!$A:$AN,MATCH(yoy!$N$1,Data!$A$1:$AN$1,),))</f>
        <v/>
      </c>
      <c r="O101" s="14">
        <f>IF(VLOOKUP(B101,Data!$A:$AN,MATCH(yoy!$O$1,Data!$A$1:$AN$1,),)=0,"#N/A",(VLOOKUP(B101,Data!$A:$AN,MATCH(yoy!$O$1,Data!$A$1:$AN$1,),)-VLOOKUP(A101,Data!$A:$AN,MATCH(yoy!$O$1,Data!$A$1:$AN$1,),))/VLOOKUP(A101,Data!$A:$AN,MATCH(yoy!$O$1,Data!$A$1:$AN$1,),))</f>
        <v/>
      </c>
      <c r="P101" s="14">
        <f>IF(VLOOKUP(B101,Data!$A:$AN,MATCH(yoy!$P$1,Data!$A$1:$AN$1,),)=0,"#N/A",(VLOOKUP(B101,Data!$A:$AN,MATCH(yoy!$P$1,Data!$A$1:$AN$1,),)-VLOOKUP(A101,Data!$A:$AN,MATCH(yoy!$P$1,Data!$A$1:$AN$1,),))/VLOOKUP(A101,Data!$A:$AN,MATCH(yoy!$P$1,Data!$A$1:$AN$1,),))</f>
        <v/>
      </c>
      <c r="Q101" s="14">
        <f>IF(VLOOKUP(B101,Data!$A:$AN,MATCH(yoy!$Q$1,Data!$A$1:$AN$1,),)=0,"#N/A",(VLOOKUP(B101,Data!$A:$AN,MATCH(yoy!$Q$1,Data!$A$1:$AN$1,),)-VLOOKUP(A101,Data!$A:$AN,MATCH(yoy!$Q$1,Data!$A$1:$AN$1,),))/VLOOKUP(A101,Data!$A:$AN,MATCH(yoy!$Q$1,Data!$A$1:$AN$1,),))</f>
        <v/>
      </c>
      <c r="R101" s="14">
        <f>IF(VLOOKUP(B101,Data!$A:$AN,MATCH(yoy!$R$1,Data!$A$1:$AN$1,),)=0,"#N/A",(VLOOKUP(B101,Data!$A:$AN,MATCH(yoy!$R$1,Data!$A$1:$AN$1,),)-VLOOKUP(A101,Data!$A:$AN,MATCH(yoy!$R$1,Data!$A$1:$AN$1,),))/VLOOKUP(A101,Data!$A:$AN,MATCH(yoy!$R$1,Data!$A$1:$AN$1,),))</f>
        <v/>
      </c>
      <c r="S101" s="14">
        <f>IF(VLOOKUP(B101,Data!$A:$AN,MATCH(yoy!$S$1,Data!$A$1:$AN$1,),)=0,"#N/A",(VLOOKUP(B101,Data!$A:$AN,MATCH(yoy!$S$1,Data!$A$1:$AN$1,),)-VLOOKUP(A101,Data!$A:$AN,MATCH(yoy!$S$1,Data!$A$1:$AN$1,),))/VLOOKUP(A101,Data!$A:$AN,MATCH(yoy!$S$1,Data!$A$1:$AN$1,),))</f>
        <v/>
      </c>
      <c r="T101" s="14">
        <f>IF(VLOOKUP(B101,Data!$A:$AN,MATCH(yoy!$T$1,Data!$A$1:$AN$1,),)=0,"#N/A",(VLOOKUP(B101,Data!$A:$AN,MATCH(yoy!$T$1,Data!$A$1:$AN$1,),)-VLOOKUP(A101,Data!$A:$AN,MATCH(yoy!$T$1,Data!$A$1:$AN$1,),))/VLOOKUP(A101,Data!$A:$AN,MATCH(yoy!$T$1,Data!$A$1:$AN$1,),))</f>
        <v/>
      </c>
      <c r="U101" s="14">
        <f>IF(VLOOKUP(B101,Data!$A:$AN,MATCH(yoy!$U$1,Data!$A$1:$AN$1,),)=0,"#N/A",(VLOOKUP(B101,Data!$A:$AN,MATCH(yoy!$U$1,Data!$A$1:$AN$1,),)-VLOOKUP(A101,Data!$A:$AN,MATCH(yoy!$U$1,Data!$A$1:$AN$1,),))/VLOOKUP(A101,Data!$A:$AN,MATCH(yoy!$U$1,Data!$A$1:$AN$1,),))</f>
        <v/>
      </c>
      <c r="V101" s="14">
        <f>IF(VLOOKUP(B101,Data!$A:$AN,MATCH(yoy!$V$1,Data!$A$1:$AN$1,),)=0,"#N/A",(VLOOKUP(B101,Data!$A:$AN,MATCH(yoy!$V$1,Data!$A$1:$AN$1,),)-VLOOKUP(A101,Data!$A:$AN,MATCH(yoy!$V$1,Data!$A$1:$AN$1,),))/VLOOKUP(A101,Data!$A:$AN,MATCH(yoy!$V$1,Data!$A$1:$AN$1,),))</f>
        <v/>
      </c>
      <c r="W101" s="14">
        <f>IF(VLOOKUP(B101,Data!$A:$AN,MATCH(yoy!$W$1,Data!$A$1:$AN$1,),)=0,"#N/A",(VLOOKUP(B101,Data!$A:$AN,MATCH(yoy!$W$1,Data!$A$1:$AN$1,),)-VLOOKUP(A101,Data!$A:$AN,MATCH(yoy!$W$1,Data!$A$1:$AN$1,),))/VLOOKUP(A101,Data!$A:$AN,MATCH(yoy!$W$1,Data!$A$1:$AN$1,),))</f>
        <v/>
      </c>
      <c r="X101" s="14">
        <f>IF(VLOOKUP(B101,Data!$A:$AN,MATCH(yoy!$X$1,Data!$A$1:$AN$1,),)=0,"#N/A",(VLOOKUP(B101,Data!$A:$AN,MATCH(yoy!$X$1,Data!$A$1:$AN$1,),)-VLOOKUP(A101,Data!$A:$AN,MATCH(yoy!$X$1,Data!$A$1:$AN$1,),))/VLOOKUP(A101,Data!$A:$AN,MATCH(yoy!$X$1,Data!$A$1:$AN$1,),))</f>
        <v/>
      </c>
      <c r="Y101" s="14">
        <f>IF(VLOOKUP(B101,Data!$A:$AN,MATCH(yoy!$Y$1,Data!$A$1:$AN$1,),)=0,"#N/A",(VLOOKUP(B101,Data!$A:$AN,MATCH(yoy!$Y$1,Data!$A$1:$AN$1,),)-VLOOKUP(A101,Data!$A:$AN,MATCH(yoy!$Y$1,Data!$A$1:$AN$1,),))/VLOOKUP(A101,Data!$A:$AN,MATCH(yoy!$Y$1,Data!$A$1:$AN$1,),))</f>
        <v/>
      </c>
      <c r="Z101" s="14">
        <f>IF(VLOOKUP(B101,Data!$A:$AN,MATCH(yoy!$Z$1,Data!$A$1:$AN$1,),)=0,"#N/A",(VLOOKUP(B101,Data!$A:$AN,MATCH(yoy!$Z$1,Data!$A$1:$AN$1,),)-VLOOKUP(A101,Data!$A:$AN,MATCH(yoy!$Z$1,Data!$A$1:$AN$1,),))/VLOOKUP(A101,Data!$A:$AN,MATCH(yoy!$Z$1,Data!$A$1:$AN$1,),))</f>
        <v/>
      </c>
      <c r="AA101" s="14">
        <f>IF(VLOOKUP(B101,Data!$A:$AN,MATCH(yoy!$AA$1,Data!$A$1:$AN$1,),)=0,"#N/A",(VLOOKUP(B101,Data!$A:$AN,MATCH(yoy!$AA$1,Data!$A$1:$AN$1,),)-VLOOKUP(A101,Data!$A:$AN,MATCH(yoy!$AA$1,Data!$A$1:$AN$1,),))/VLOOKUP(A101,Data!$A:$AN,MATCH(yoy!$AA$1,Data!$A$1:$AN$1,),))</f>
        <v/>
      </c>
    </row>
    <row r="102" customFormat="1" s="77">
      <c r="A102" s="20">
        <f>DATE(YEAR(B102)-1,MONTH(B102),DAY(B102))</f>
        <v/>
      </c>
      <c r="B102" s="12" t="n">
        <v>44958</v>
      </c>
      <c r="C102" s="14">
        <f>IF(VLOOKUP(B102,Data!$A:$AN,MATCH(yoy!$C$1,Data!$A$1:$AN$1,),)=0,"#N/A",(VLOOKUP(B102,Data!$A:$AN,MATCH(yoy!$C$1,Data!$A$1:$AN$1,),)-VLOOKUP(A102,Data!$A:$AN,MATCH(yoy!$C$1,Data!$A$1:$AN$1,),))/VLOOKUP(A102,Data!$A:$AN,MATCH(yoy!$C$1,Data!$A$1:$AN$1,),))</f>
        <v/>
      </c>
      <c r="D102" s="14">
        <f>IF(VLOOKUP(B102,Data!$A:$AN,MATCH(yoy!$D$1,Data!$A$1:$AN$1,),)=0,"#N/A",(VLOOKUP(B102,Data!$A:$AN,MATCH(yoy!$D$1,Data!$A$1:$AN$1,),)-VLOOKUP(A102,Data!$A:$AN,MATCH(yoy!$D$1,Data!$A$1:$AN$1,),))/VLOOKUP(A102,Data!$A:$AN,MATCH(yoy!$D$1,Data!$A$1:$AN$1,),))</f>
        <v/>
      </c>
      <c r="E102" s="14">
        <f>IF(VLOOKUP(B102,Data!$A:$AN,MATCH(yoy!$E$1,Data!$A$1:$AN$1,),)=0,"#N/A",(VLOOKUP(B102,Data!$A:$AN,MATCH(yoy!$E$1,Data!$A$1:$AN$1,),)-VLOOKUP(A102,Data!$A:$AN,MATCH(yoy!$E$1,Data!$A$1:$AN$1,),))/VLOOKUP(A102,Data!$A:$AN,MATCH(yoy!$E$1,Data!$A$1:$AN$1,),))</f>
        <v/>
      </c>
      <c r="F102" s="14">
        <f>IF(VLOOKUP(B102,Data!$A:$AN,MATCH(yoy!$F$1,Data!$A$1:$AN$1,),)=0,"#N/A",(VLOOKUP(B102,Data!$A:$AN,MATCH(yoy!$F$1,Data!$A$1:$AN$1,),)-VLOOKUP(A102,Data!$A:$AN,MATCH(yoy!$F$1,Data!$A$1:$AN$1,),))/VLOOKUP(A102,Data!$A:$AN,MATCH(yoy!$F$1,Data!$A$1:$AN$1,),))</f>
        <v/>
      </c>
      <c r="G102" s="14">
        <f>IF(VLOOKUP(B102,Data!$A:$AN,MATCH(yoy!$G$1,Data!$A$1:$AN$1,),)=0,"#N/A",(VLOOKUP(B102,Data!$A:$AN,MATCH(yoy!$G$1,Data!$A$1:$AN$1,),)-VLOOKUP(A102,Data!$A:$AN,MATCH(yoy!$G$1,Data!$A$1:$AN$1,),))/VLOOKUP(A102,Data!$A:$AN,MATCH(yoy!$G$1,Data!$A$1:$AN$1,),))</f>
        <v/>
      </c>
      <c r="H102" s="14">
        <f>IF(VLOOKUP(B102,Data!$A:$AN,MATCH(yoy!$H$1,Data!$A$1:$AN$1,),)=0,"#N/A",(VLOOKUP(B102,Data!$A:$AN,MATCH(yoy!$H$1,Data!$A$1:$AN$1,),)-VLOOKUP(A102,Data!$A:$AN,MATCH(yoy!$H$1,Data!$A$1:$AN$1,),))/VLOOKUP(A102,Data!$A:$AN,MATCH(yoy!$H$1,Data!$A$1:$AN$1,),))</f>
        <v/>
      </c>
      <c r="I102" s="14">
        <f>IF(VLOOKUP(B102,Data!$A:$AN,MATCH(yoy!$I$1,Data!$A$1:$AN$1,),)=0,"#N/A",(VLOOKUP(B102,Data!$A:$AN,MATCH(yoy!$I$1,Data!$A$1:$AN$1,),)-VLOOKUP(A102,Data!$A:$AN,MATCH(yoy!$I$1,Data!$A$1:$AN$1,),))/VLOOKUP(A102,Data!$A:$AN,MATCH(yoy!$I$1,Data!$A$1:$AN$1,),))</f>
        <v/>
      </c>
      <c r="J102" s="14">
        <f>IF(VLOOKUP(B102,Data!$A:$AN,MATCH(yoy!$J$1,Data!$A$1:$AN$1,),)=0,"#N/A",(VLOOKUP(B102,Data!$A:$AN,MATCH(yoy!$J$1,Data!$A$1:$AN$1,),)-VLOOKUP(A102,Data!$A:$AN,MATCH(yoy!$J$1,Data!$A$1:$AN$1,),))/VLOOKUP(A102,Data!$A:$AN,MATCH(yoy!$J$1,Data!$A$1:$AN$1,),))</f>
        <v/>
      </c>
      <c r="K102" s="14">
        <f>IF(VLOOKUP(B102,Data!$A:$AN,MATCH(yoy!$K$1,Data!$A$1:$AN$1,),)=0,"#N/A",(VLOOKUP(B102,Data!$A:$AN,MATCH(yoy!$K$1,Data!$A$1:$AN$1,),)-VLOOKUP(A102,Data!$A:$AN,MATCH(yoy!$K$1,Data!$A$1:$AN$1,),))/VLOOKUP(A102,Data!$A:$AN,MATCH(yoy!$K$1,Data!$A$1:$AN$1,),))</f>
        <v/>
      </c>
      <c r="L102" s="14">
        <f>IF(VLOOKUP(B102,Data!$A:$AN,MATCH(yoy!$L$1,Data!$A$1:$AN$1,),)=0,"#N/A",(VLOOKUP(B102,Data!$A:$AN,MATCH(yoy!$L$1,Data!$A$1:$AN$1,),)-VLOOKUP(A102,Data!$A:$AN,MATCH(yoy!$L$1,Data!$A$1:$AN$1,),))/VLOOKUP(A102,Data!$A:$AN,MATCH(yoy!$L$1,Data!$A$1:$AN$1,),))</f>
        <v/>
      </c>
      <c r="M102" s="14">
        <f>IF(VLOOKUP(B102,Data!$A:$AN,MATCH(yoy!$M$1,Data!$A$1:$AN$1,),)=0,"#N/A",(VLOOKUP(B102,Data!$A:$AN,MATCH(yoy!$M$1,Data!$A$1:$AN$1,),)-VLOOKUP(A102,Data!$A:$AN,MATCH(yoy!$M$1,Data!$A$1:$AN$1,),))/VLOOKUP(A102,Data!$A:$AN,MATCH(yoy!$M$1,Data!$A$1:$AN$1,),))</f>
        <v/>
      </c>
      <c r="N102" s="14">
        <f>IF(VLOOKUP(B102,Data!$A:$AN,MATCH(yoy!$N$1,Data!$A$1:$AN$1,),)=0,"#N/A",(VLOOKUP(B102,Data!$A:$AN,MATCH(yoy!$N$1,Data!$A$1:$AN$1,),)-VLOOKUP(A102,Data!$A:$AN,MATCH(yoy!$N$1,Data!$A$1:$AN$1,),))/VLOOKUP(A102,Data!$A:$AN,MATCH(yoy!$N$1,Data!$A$1:$AN$1,),))</f>
        <v/>
      </c>
      <c r="O102" s="14">
        <f>IF(VLOOKUP(B102,Data!$A:$AN,MATCH(yoy!$O$1,Data!$A$1:$AN$1,),)=0,"#N/A",(VLOOKUP(B102,Data!$A:$AN,MATCH(yoy!$O$1,Data!$A$1:$AN$1,),)-VLOOKUP(A102,Data!$A:$AN,MATCH(yoy!$O$1,Data!$A$1:$AN$1,),))/VLOOKUP(A102,Data!$A:$AN,MATCH(yoy!$O$1,Data!$A$1:$AN$1,),))</f>
        <v/>
      </c>
      <c r="P102" s="14">
        <f>IF(VLOOKUP(B102,Data!$A:$AN,MATCH(yoy!$P$1,Data!$A$1:$AN$1,),)=0,"#N/A",(VLOOKUP(B102,Data!$A:$AN,MATCH(yoy!$P$1,Data!$A$1:$AN$1,),)-VLOOKUP(A102,Data!$A:$AN,MATCH(yoy!$P$1,Data!$A$1:$AN$1,),))/VLOOKUP(A102,Data!$A:$AN,MATCH(yoy!$P$1,Data!$A$1:$AN$1,),))</f>
        <v/>
      </c>
      <c r="Q102" s="14">
        <f>IF(VLOOKUP(B102,Data!$A:$AN,MATCH(yoy!$Q$1,Data!$A$1:$AN$1,),)=0,"#N/A",(VLOOKUP(B102,Data!$A:$AN,MATCH(yoy!$Q$1,Data!$A$1:$AN$1,),)-VLOOKUP(A102,Data!$A:$AN,MATCH(yoy!$Q$1,Data!$A$1:$AN$1,),))/VLOOKUP(A102,Data!$A:$AN,MATCH(yoy!$Q$1,Data!$A$1:$AN$1,),))</f>
        <v/>
      </c>
      <c r="R102" s="14">
        <f>IF(VLOOKUP(B102,Data!$A:$AN,MATCH(yoy!$R$1,Data!$A$1:$AN$1,),)=0,"#N/A",(VLOOKUP(B102,Data!$A:$AN,MATCH(yoy!$R$1,Data!$A$1:$AN$1,),)-VLOOKUP(A102,Data!$A:$AN,MATCH(yoy!$R$1,Data!$A$1:$AN$1,),))/VLOOKUP(A102,Data!$A:$AN,MATCH(yoy!$R$1,Data!$A$1:$AN$1,),))</f>
        <v/>
      </c>
      <c r="S102" s="14">
        <f>IF(VLOOKUP(B102,Data!$A:$AN,MATCH(yoy!$S$1,Data!$A$1:$AN$1,),)=0,"#N/A",(VLOOKUP(B102,Data!$A:$AN,MATCH(yoy!$S$1,Data!$A$1:$AN$1,),)-VLOOKUP(A102,Data!$A:$AN,MATCH(yoy!$S$1,Data!$A$1:$AN$1,),))/VLOOKUP(A102,Data!$A:$AN,MATCH(yoy!$S$1,Data!$A$1:$AN$1,),))</f>
        <v/>
      </c>
      <c r="T102" s="14">
        <f>IF(VLOOKUP(B102,Data!$A:$AN,MATCH(yoy!$T$1,Data!$A$1:$AN$1,),)=0,"#N/A",(VLOOKUP(B102,Data!$A:$AN,MATCH(yoy!$T$1,Data!$A$1:$AN$1,),)-VLOOKUP(A102,Data!$A:$AN,MATCH(yoy!$T$1,Data!$A$1:$AN$1,),))/VLOOKUP(A102,Data!$A:$AN,MATCH(yoy!$T$1,Data!$A$1:$AN$1,),))</f>
        <v/>
      </c>
      <c r="U102" s="14">
        <f>IF(VLOOKUP(B102,Data!$A:$AN,MATCH(yoy!$U$1,Data!$A$1:$AN$1,),)=0,"#N/A",(VLOOKUP(B102,Data!$A:$AN,MATCH(yoy!$U$1,Data!$A$1:$AN$1,),)-VLOOKUP(A102,Data!$A:$AN,MATCH(yoy!$U$1,Data!$A$1:$AN$1,),))/VLOOKUP(A102,Data!$A:$AN,MATCH(yoy!$U$1,Data!$A$1:$AN$1,),))</f>
        <v/>
      </c>
      <c r="V102" s="14">
        <f>IF(VLOOKUP(B102,Data!$A:$AN,MATCH(yoy!$V$1,Data!$A$1:$AN$1,),)=0,"#N/A",(VLOOKUP(B102,Data!$A:$AN,MATCH(yoy!$V$1,Data!$A$1:$AN$1,),)-VLOOKUP(A102,Data!$A:$AN,MATCH(yoy!$V$1,Data!$A$1:$AN$1,),))/VLOOKUP(A102,Data!$A:$AN,MATCH(yoy!$V$1,Data!$A$1:$AN$1,),))</f>
        <v/>
      </c>
      <c r="W102" s="14">
        <f>IF(VLOOKUP(B102,Data!$A:$AN,MATCH(yoy!$W$1,Data!$A$1:$AN$1,),)=0,"#N/A",(VLOOKUP(B102,Data!$A:$AN,MATCH(yoy!$W$1,Data!$A$1:$AN$1,),)-VLOOKUP(A102,Data!$A:$AN,MATCH(yoy!$W$1,Data!$A$1:$AN$1,),))/VLOOKUP(A102,Data!$A:$AN,MATCH(yoy!$W$1,Data!$A$1:$AN$1,),))</f>
        <v/>
      </c>
      <c r="X102" s="14">
        <f>IF(VLOOKUP(B102,Data!$A:$AN,MATCH(yoy!$X$1,Data!$A$1:$AN$1,),)=0,"#N/A",(VLOOKUP(B102,Data!$A:$AN,MATCH(yoy!$X$1,Data!$A$1:$AN$1,),)-VLOOKUP(A102,Data!$A:$AN,MATCH(yoy!$X$1,Data!$A$1:$AN$1,),))/VLOOKUP(A102,Data!$A:$AN,MATCH(yoy!$X$1,Data!$A$1:$AN$1,),))</f>
        <v/>
      </c>
      <c r="Y102" s="14">
        <f>IF(VLOOKUP(B102,Data!$A:$AN,MATCH(yoy!$Y$1,Data!$A$1:$AN$1,),)=0,"#N/A",(VLOOKUP(B102,Data!$A:$AN,MATCH(yoy!$Y$1,Data!$A$1:$AN$1,),)-VLOOKUP(A102,Data!$A:$AN,MATCH(yoy!$Y$1,Data!$A$1:$AN$1,),))/VLOOKUP(A102,Data!$A:$AN,MATCH(yoy!$Y$1,Data!$A$1:$AN$1,),))</f>
        <v/>
      </c>
      <c r="Z102" s="14">
        <f>IF(VLOOKUP(B102,Data!$A:$AN,MATCH(yoy!$Z$1,Data!$A$1:$AN$1,),)=0,"#N/A",(VLOOKUP(B102,Data!$A:$AN,MATCH(yoy!$Z$1,Data!$A$1:$AN$1,),)-VLOOKUP(A102,Data!$A:$AN,MATCH(yoy!$Z$1,Data!$A$1:$AN$1,),))/VLOOKUP(A102,Data!$A:$AN,MATCH(yoy!$Z$1,Data!$A$1:$AN$1,),))</f>
        <v/>
      </c>
      <c r="AA102" s="14">
        <f>IF(VLOOKUP(B102,Data!$A:$AN,MATCH(yoy!$AA$1,Data!$A$1:$AN$1,),)=0,"#N/A",(VLOOKUP(B102,Data!$A:$AN,MATCH(yoy!$AA$1,Data!$A$1:$AN$1,),)-VLOOKUP(A102,Data!$A:$AN,MATCH(yoy!$AA$1,Data!$A$1:$AN$1,),))/VLOOKUP(A102,Data!$A:$AN,MATCH(yoy!$AA$1,Data!$A$1:$AN$1,),))</f>
        <v/>
      </c>
    </row>
    <row r="103" customFormat="1" s="77"/>
    <row r="104" customFormat="1" s="77"/>
    <row r="105" customFormat="1" s="77"/>
    <row r="106" customFormat="1" s="77"/>
    <row r="107" customFormat="1" s="77"/>
    <row r="108" customFormat="1" s="77"/>
    <row r="109" customFormat="1" s="77"/>
    <row r="110" customFormat="1" s="77"/>
    <row r="111" customFormat="1" s="77"/>
    <row r="112" customFormat="1" s="77"/>
    <row r="113" customFormat="1" s="77"/>
    <row r="114" customFormat="1" s="77"/>
    <row r="115" customFormat="1" s="77"/>
    <row r="116" customFormat="1" s="77"/>
    <row r="117" customFormat="1" s="77"/>
    <row r="118" customFormat="1" s="77"/>
    <row r="119" customFormat="1" s="77"/>
    <row r="120" customFormat="1" s="77"/>
    <row r="121" customFormat="1" s="77"/>
    <row r="122" customFormat="1" s="77"/>
    <row r="123" customFormat="1" s="77"/>
    <row r="124" customFormat="1" s="77"/>
    <row r="125" customFormat="1" s="77"/>
    <row r="126" customFormat="1" s="77"/>
    <row r="127" customFormat="1" s="77"/>
    <row r="128" customFormat="1" s="77"/>
    <row r="129" customFormat="1" s="77"/>
    <row r="130" customFormat="1" s="77"/>
    <row r="131" customFormat="1" s="77"/>
    <row r="132" customFormat="1" s="77"/>
    <row r="133" customFormat="1" s="77"/>
    <row r="134" customFormat="1" s="77"/>
    <row r="135" customFormat="1" s="77"/>
    <row r="136" customFormat="1" s="77"/>
    <row r="137" customFormat="1" s="77"/>
    <row r="138" customFormat="1" s="77"/>
    <row r="139" customFormat="1" s="77"/>
    <row r="140" customFormat="1" s="77"/>
    <row r="141" customFormat="1" s="77"/>
    <row r="142" customFormat="1" s="77"/>
    <row r="143" customFormat="1" s="77"/>
    <row r="144" customFormat="1" s="77"/>
    <row r="145" customFormat="1" s="77"/>
    <row r="146" customFormat="1" s="77"/>
    <row r="147" customFormat="1" s="77"/>
    <row r="148" customFormat="1" s="77"/>
    <row r="149" customFormat="1" s="77"/>
    <row r="150" customFormat="1" s="77"/>
    <row r="151" customFormat="1" s="77"/>
    <row r="152" customFormat="1" s="77"/>
    <row r="153" customFormat="1" s="77"/>
    <row r="154" customFormat="1" s="77"/>
    <row r="155" customFormat="1" s="77"/>
    <row r="156" customFormat="1" s="77"/>
    <row r="157" customFormat="1" s="77"/>
    <row r="158" customFormat="1" s="77"/>
    <row r="159" customFormat="1" s="77"/>
    <row r="160" customFormat="1" s="77"/>
    <row r="161" customFormat="1" s="77"/>
    <row r="162" customFormat="1" s="77"/>
    <row r="163" customFormat="1" s="77"/>
    <row r="164" customFormat="1" s="77"/>
    <row r="165" customFormat="1" s="77"/>
    <row r="166" customFormat="1" s="77"/>
    <row r="167" customFormat="1" s="77"/>
    <row r="168" customFormat="1" s="77"/>
    <row r="169" customFormat="1" s="77"/>
    <row r="170" customFormat="1" s="77"/>
    <row r="171" customFormat="1" s="77"/>
    <row r="172" customFormat="1" s="77"/>
    <row r="173" customFormat="1" s="77"/>
    <row r="174" customFormat="1" s="77"/>
    <row r="175" customFormat="1" s="77"/>
    <row r="176" customFormat="1" s="77"/>
    <row r="177" customFormat="1" s="77"/>
    <row r="178" customFormat="1" s="77"/>
    <row r="179" customFormat="1" s="77"/>
    <row r="180" customFormat="1" s="77"/>
    <row r="181" customFormat="1" s="77"/>
    <row r="182" customFormat="1" s="77"/>
    <row r="183" customFormat="1" s="77"/>
    <row r="184" customFormat="1" s="77"/>
    <row r="185" customFormat="1" s="77"/>
    <row r="186" customFormat="1" s="77"/>
    <row r="187" customFormat="1" s="77"/>
    <row r="188" customFormat="1" s="77"/>
    <row r="189" customFormat="1" s="77"/>
    <row r="190" customFormat="1" s="77"/>
    <row r="191" customFormat="1" s="77"/>
    <row r="192" customFormat="1" s="77"/>
    <row r="193" customFormat="1" s="77"/>
    <row r="194" customFormat="1" s="77"/>
    <row r="195" customFormat="1" s="77"/>
    <row r="196" customFormat="1" s="77"/>
    <row r="197" customFormat="1" s="77"/>
    <row r="198" customFormat="1" s="77"/>
    <row r="199" customFormat="1" s="77"/>
    <row r="200" customFormat="1" s="77"/>
    <row r="201" customFormat="1" s="77"/>
    <row r="202" customFormat="1" s="77"/>
    <row r="203" customFormat="1" s="77"/>
    <row r="204" customFormat="1" s="77"/>
    <row r="205" customFormat="1" s="77"/>
    <row r="206" customFormat="1" s="77"/>
    <row r="207" customFormat="1" s="77"/>
    <row r="208" customFormat="1" s="77"/>
    <row r="209" customFormat="1" s="77"/>
    <row r="210" customFormat="1" s="77"/>
    <row r="211" customFormat="1" s="77"/>
    <row r="212" customFormat="1" s="77"/>
    <row r="213" customFormat="1" s="77"/>
    <row r="214" customFormat="1" s="77"/>
    <row r="215" customFormat="1" s="77"/>
    <row r="216" customFormat="1" s="77"/>
    <row r="217" customFormat="1" s="77"/>
    <row r="218" customFormat="1" s="77"/>
    <row r="219" customFormat="1" s="77"/>
    <row r="220" customFormat="1" s="77"/>
    <row r="221" customFormat="1" s="77"/>
    <row r="222" customFormat="1" s="77"/>
    <row r="223" customFormat="1" s="77"/>
    <row r="224" customFormat="1" s="77"/>
    <row r="225" customFormat="1" s="77"/>
    <row r="226" customFormat="1" s="77"/>
    <row r="227" customFormat="1" s="77"/>
    <row r="228" customFormat="1" s="77"/>
    <row r="229" customFormat="1" s="77"/>
    <row r="230" customFormat="1" s="77"/>
    <row r="231" customFormat="1" s="77"/>
    <row r="232" customFormat="1" s="77"/>
    <row r="233" customFormat="1" s="77"/>
    <row r="234" customFormat="1" s="77"/>
    <row r="235" customFormat="1" s="77"/>
    <row r="236" customFormat="1" s="77"/>
    <row r="237" customFormat="1" s="77"/>
    <row r="238" customFormat="1" s="77"/>
    <row r="239" customFormat="1" s="77"/>
    <row r="240" customFormat="1" s="77"/>
    <row r="241" customFormat="1" s="77"/>
    <row r="242" customFormat="1" s="77"/>
    <row r="243" customFormat="1" s="77"/>
    <row r="244" customFormat="1" s="77"/>
    <row r="245" customFormat="1" s="77"/>
    <row r="246" customFormat="1" s="77"/>
    <row r="247" customFormat="1" s="77"/>
    <row r="248" customFormat="1" s="77"/>
    <row r="249" customFormat="1" s="77"/>
    <row r="250" customFormat="1" s="77"/>
    <row r="251" customFormat="1" s="77"/>
    <row r="252" customFormat="1" s="77"/>
  </sheetData>
  <conditionalFormatting sqref="U7:V19 C7:S19">
    <cfRule type="colorScale" priority="180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I7:I19">
    <cfRule type="colorScale" priority="1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9"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E19">
    <cfRule type="colorScale" priority="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9"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9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9">
    <cfRule type="colorScale" priority="1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9">
    <cfRule type="colorScale" priority="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9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9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9">
    <cfRule type="colorScale" priority="1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Q19">
    <cfRule type="colorScale" priority="1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9">
    <cfRule type="colorScale" priority="1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7:U19">
    <cfRule type="colorScale" priority="1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:V19">
    <cfRule type="colorScale" priority="1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9">
    <cfRule type="colorScale" priority="1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9">
    <cfRule type="colorScale" priority="1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7:T19">
    <cfRule type="colorScale" priority="1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7:W19">
    <cfRule type="colorScale" priority="1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:Z19">
    <cfRule type="colorScale" priority="1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7:AA19">
    <cfRule type="colorScale" priority="2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7:Y19"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:D19">
    <cfRule type="colorScale" priority="2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C102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:D102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:E102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:F102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0:G102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:H102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:I10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:J10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:K10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:L10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:M10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:N10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:O10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10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0:Q10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0:R102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0:S102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0:T10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0:U10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0:V102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0:W102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0:X10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Y10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0:Z102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20:AA10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>
  <sheetPr codeName="Sheet7">
    <tabColor rgb="FFFFC000"/>
    <outlinePr summaryBelow="1" summaryRight="1"/>
    <pageSetUpPr/>
  </sheetPr>
  <dimension ref="A1:AI102"/>
  <sheetViews>
    <sheetView zoomScale="90" zoomScaleNormal="90" workbookViewId="0">
      <pane xSplit="2" ySplit="5" topLeftCell="C90" activePane="bottomRight" state="frozen"/>
      <selection activeCell="AB17" sqref="AB17"/>
      <selection pane="topRight" activeCell="AB17" sqref="AB17"/>
      <selection pane="bottomLeft" activeCell="AB17" sqref="AB17"/>
      <selection pane="bottomRight" activeCell="M109" sqref="M109"/>
    </sheetView>
  </sheetViews>
  <sheetFormatPr baseColWidth="8" defaultColWidth="8.81640625" defaultRowHeight="14.5"/>
  <cols>
    <col width="10.6328125" bestFit="1" customWidth="1" style="77" min="1" max="1"/>
    <col width="13.6328125" customWidth="1" min="2" max="2"/>
    <col width="6.1796875" customWidth="1" min="3" max="22"/>
    <col width="5.6328125" customWidth="1" min="23" max="23"/>
    <col width="6.1796875" customWidth="1" min="24" max="27"/>
    <col width="9.1796875" customWidth="1" style="77" min="28" max="28"/>
    <col width="12.36328125" customWidth="1" style="77" min="29" max="29"/>
    <col width="9.1796875" customWidth="1" style="77" min="30" max="30"/>
    <col width="10.6328125" customWidth="1" style="77" min="31" max="31"/>
    <col width="10.6328125" bestFit="1" customWidth="1" style="77" min="32" max="32"/>
    <col width="9.1796875" customWidth="1" style="77" min="33" max="73"/>
  </cols>
  <sheetData>
    <row r="1" customFormat="1" s="77">
      <c r="C1" s="77" t="inlineStr">
        <is>
          <t>OECD</t>
        </is>
      </c>
      <c r="D1" s="77" t="inlineStr">
        <is>
          <t>USA</t>
        </is>
      </c>
      <c r="E1" s="77" t="inlineStr">
        <is>
          <t>CHN</t>
        </is>
      </c>
      <c r="F1" s="77" t="inlineStr">
        <is>
          <t>EA19</t>
        </is>
      </c>
      <c r="G1" s="77" t="inlineStr">
        <is>
          <t>JPN</t>
        </is>
      </c>
      <c r="H1" s="77" t="inlineStr">
        <is>
          <t>GBR</t>
        </is>
      </c>
      <c r="I1" s="77" t="inlineStr">
        <is>
          <t>CHE</t>
        </is>
      </c>
      <c r="J1" s="77" t="inlineStr">
        <is>
          <t>SWE</t>
        </is>
      </c>
      <c r="K1" s="77" t="inlineStr">
        <is>
          <t>NOR</t>
        </is>
      </c>
      <c r="L1" s="77" t="inlineStr">
        <is>
          <t>BRA</t>
        </is>
      </c>
      <c r="M1" s="77" t="inlineStr">
        <is>
          <t>MEX</t>
        </is>
      </c>
      <c r="N1" s="77" t="inlineStr">
        <is>
          <t>RUS</t>
        </is>
      </c>
      <c r="O1" s="77" t="inlineStr">
        <is>
          <t>IND</t>
        </is>
      </c>
      <c r="P1" s="77" t="inlineStr">
        <is>
          <t>CAN</t>
        </is>
      </c>
      <c r="Q1" s="77" t="inlineStr">
        <is>
          <t>AUS</t>
        </is>
      </c>
      <c r="R1" s="77" t="inlineStr">
        <is>
          <t>IDN</t>
        </is>
      </c>
      <c r="S1" s="77" t="inlineStr">
        <is>
          <t>KOR</t>
        </is>
      </c>
      <c r="T1" s="77" t="inlineStr">
        <is>
          <t>CHL</t>
        </is>
      </c>
      <c r="U1" s="77" t="inlineStr">
        <is>
          <t>DNK</t>
        </is>
      </c>
      <c r="V1" s="77" t="inlineStr">
        <is>
          <t>ISR</t>
        </is>
      </c>
      <c r="W1" s="77" t="inlineStr">
        <is>
          <t>TUR</t>
        </is>
      </c>
      <c r="X1" s="77" t="inlineStr">
        <is>
          <t>ZAF</t>
        </is>
      </c>
      <c r="Y1" s="77" t="inlineStr">
        <is>
          <t>NZL</t>
        </is>
      </c>
      <c r="Z1" s="77" t="inlineStr">
        <is>
          <t>CZE</t>
        </is>
      </c>
      <c r="AA1" s="77" t="inlineStr">
        <is>
          <t>POL</t>
        </is>
      </c>
      <c r="AI1" s="77" t="inlineStr">
        <is>
          <t>modify max/min/avg</t>
        </is>
      </c>
    </row>
    <row r="2" ht="90" customHeight="1">
      <c r="B2" s="2" t="n"/>
      <c r="C2" s="3" t="inlineStr">
        <is>
          <t>Global OECD</t>
        </is>
      </c>
      <c r="D2" s="4" t="inlineStr">
        <is>
          <t>US</t>
        </is>
      </c>
      <c r="E2" s="5" t="inlineStr">
        <is>
          <t xml:space="preserve">China </t>
        </is>
      </c>
      <c r="F2" s="6" t="inlineStr">
        <is>
          <t>Eurozone</t>
        </is>
      </c>
      <c r="G2" s="7" t="inlineStr">
        <is>
          <t xml:space="preserve">Japan </t>
        </is>
      </c>
      <c r="H2" s="8" t="inlineStr">
        <is>
          <t>UK</t>
        </is>
      </c>
      <c r="I2" s="8" t="inlineStr">
        <is>
          <t>Switzerland</t>
        </is>
      </c>
      <c r="J2" s="8" t="inlineStr">
        <is>
          <t>Sweden</t>
        </is>
      </c>
      <c r="K2" s="8" t="inlineStr">
        <is>
          <t>Norway</t>
        </is>
      </c>
      <c r="L2" s="8" t="inlineStr">
        <is>
          <t>Brazil</t>
        </is>
      </c>
      <c r="M2" s="8" t="inlineStr">
        <is>
          <t>Mexico</t>
        </is>
      </c>
      <c r="N2" s="8" t="inlineStr">
        <is>
          <t>Russia</t>
        </is>
      </c>
      <c r="O2" s="8" t="inlineStr">
        <is>
          <t>India</t>
        </is>
      </c>
      <c r="P2" s="8" t="inlineStr">
        <is>
          <t>Canada</t>
        </is>
      </c>
      <c r="Q2" s="8" t="inlineStr">
        <is>
          <t>Australia</t>
        </is>
      </c>
      <c r="R2" s="9" t="inlineStr">
        <is>
          <t>Indonesia</t>
        </is>
      </c>
      <c r="S2" s="8" t="inlineStr">
        <is>
          <t xml:space="preserve">S Korea </t>
        </is>
      </c>
      <c r="T2" s="8" t="inlineStr">
        <is>
          <t>Chile</t>
        </is>
      </c>
      <c r="U2" s="8" t="inlineStr">
        <is>
          <t>Danemark</t>
        </is>
      </c>
      <c r="V2" s="8" t="inlineStr">
        <is>
          <t>Israel</t>
        </is>
      </c>
      <c r="W2" s="8" t="inlineStr">
        <is>
          <t>Turkey</t>
        </is>
      </c>
      <c r="X2" s="8" t="inlineStr">
        <is>
          <t>South Africa</t>
        </is>
      </c>
      <c r="Y2" s="8" t="inlineStr">
        <is>
          <t>New Zealand</t>
        </is>
      </c>
      <c r="Z2" s="8" t="inlineStr">
        <is>
          <t xml:space="preserve">Czech </t>
        </is>
      </c>
      <c r="AA2" s="8" t="inlineStr">
        <is>
          <t>Poland</t>
        </is>
      </c>
    </row>
    <row r="3">
      <c r="B3" s="2" t="inlineStr">
        <is>
          <t>max 12m</t>
        </is>
      </c>
      <c r="C3" s="15">
        <f>MAX(OFFSET(C$20,COUNT(C$20:C$435),0,-13,1))</f>
        <v/>
      </c>
      <c r="D3" s="15">
        <f>MAX(OFFSET(D$20,COUNT(D$20:D$435),0,-13,1))</f>
        <v/>
      </c>
      <c r="E3" s="15">
        <f>MAX(OFFSET(E$20,COUNT(E$20:E$435),0,-13,1))</f>
        <v/>
      </c>
      <c r="F3" s="15">
        <f>MAX(OFFSET(F$20,COUNT(F$20:F$435),0,-13,1))</f>
        <v/>
      </c>
      <c r="G3" s="15">
        <f>MAX(OFFSET(G$20,COUNT(G$20:G$435),0,-13,1))</f>
        <v/>
      </c>
      <c r="H3" s="15">
        <f>MAX(OFFSET(H$20,COUNT(H$20:H$435),0,-13,1))</f>
        <v/>
      </c>
      <c r="I3" s="15">
        <f>MAX(OFFSET(I$20,COUNT(I$20:I$435),0,-13,1))</f>
        <v/>
      </c>
      <c r="J3" s="15">
        <f>MAX(OFFSET(J$20,COUNT(J$20:J$435),0,-13,1))</f>
        <v/>
      </c>
      <c r="K3" s="15">
        <f>MAX(OFFSET(K$20,COUNT(K$20:K$435),0,-13,1))</f>
        <v/>
      </c>
      <c r="L3" s="15">
        <f>MAX(OFFSET(L$20,COUNT(L$20:L$435),0,-13,1))</f>
        <v/>
      </c>
      <c r="M3" s="15">
        <f>MAX(OFFSET(M$20,COUNT(M$20:M$435),0,-13,1))</f>
        <v/>
      </c>
      <c r="N3" s="15">
        <f>MAX(OFFSET(N$20,COUNT(N$20:N$435),0,-13,1))</f>
        <v/>
      </c>
      <c r="O3" s="15">
        <f>MAX(OFFSET(O$20,COUNT(O$20:O$435),0,-13,1))</f>
        <v/>
      </c>
      <c r="P3" s="15">
        <f>MAX(OFFSET(P$20,COUNT(P$20:P$435),0,-13,1))</f>
        <v/>
      </c>
      <c r="Q3" s="15">
        <f>MAX(OFFSET(Q$20,COUNT(Q$20:Q$435),0,-13,1))</f>
        <v/>
      </c>
      <c r="R3" s="15">
        <f>MAX(OFFSET(R$20,COUNT(R$20:R$435),0,-13,1))</f>
        <v/>
      </c>
      <c r="S3" s="15">
        <f>MAX(OFFSET(S$20,COUNT(S$20:S$435),0,-13,1))</f>
        <v/>
      </c>
      <c r="T3" s="15">
        <f>MAX(OFFSET(T$20,COUNT(T$20:T$435),0,-13,1))</f>
        <v/>
      </c>
      <c r="U3" s="15">
        <f>MAX(OFFSET(U$20,COUNT(U$20:U$435),0,-13,1))</f>
        <v/>
      </c>
      <c r="V3" s="15">
        <f>MAX(OFFSET(V$20,COUNT(V$20:V$435),0,-13,1))</f>
        <v/>
      </c>
      <c r="W3" s="15">
        <f>MAX(OFFSET(W$20,COUNT(W$20:W$435),0,-13,1))</f>
        <v/>
      </c>
      <c r="X3" s="15">
        <f>MAX(OFFSET(X$20,COUNT(X$20:X$435),0,-13,1))</f>
        <v/>
      </c>
      <c r="Y3" s="15">
        <f>MAX(OFFSET(Y$20,COUNT(Y$20:Y$435),0,-13,1))</f>
        <v/>
      </c>
      <c r="Z3" s="15">
        <f>MAX(OFFSET(Z$20,COUNT(Z$20:Z$435),0,-13,1))</f>
        <v/>
      </c>
      <c r="AA3" s="15">
        <f>MAX(OFFSET(AA$20,COUNT(AA$20:AA$435),0,-13,1))</f>
        <v/>
      </c>
    </row>
    <row r="4">
      <c r="B4" s="2" t="inlineStr">
        <is>
          <t>min 12m</t>
        </is>
      </c>
      <c r="C4" s="15">
        <f>MIN(OFFSET(C$20,COUNT(C$20:C$435),0,-13,1))</f>
        <v/>
      </c>
      <c r="D4" s="15">
        <f>MIN(OFFSET(D$20,COUNT(D$20:D$435),0,-13,1))</f>
        <v/>
      </c>
      <c r="E4" s="15">
        <f>MIN(OFFSET(E$20,COUNT(E$20:E$435),0,-13,1))</f>
        <v/>
      </c>
      <c r="F4" s="15">
        <f>MIN(OFFSET(F$20,COUNT(F$20:F$435),0,-13,1))</f>
        <v/>
      </c>
      <c r="G4" s="15">
        <f>MIN(OFFSET(G$20,COUNT(G$20:G$435),0,-13,1))</f>
        <v/>
      </c>
      <c r="H4" s="15">
        <f>MIN(OFFSET(H$20,COUNT(H$20:H$435),0,-13,1))</f>
        <v/>
      </c>
      <c r="I4" s="15">
        <f>MIN(OFFSET(I$20,COUNT(I$20:I$435),0,-13,1))</f>
        <v/>
      </c>
      <c r="J4" s="15">
        <f>MIN(OFFSET(J$20,COUNT(J$20:J$435),0,-13,1))</f>
        <v/>
      </c>
      <c r="K4" s="15">
        <f>MIN(OFFSET(K$20,COUNT(K$20:K$435),0,-13,1))</f>
        <v/>
      </c>
      <c r="L4" s="15">
        <f>MIN(OFFSET(L$20,COUNT(L$20:L$435),0,-13,1))</f>
        <v/>
      </c>
      <c r="M4" s="15">
        <f>MIN(OFFSET(M$20,COUNT(M$20:M$435),0,-13,1))</f>
        <v/>
      </c>
      <c r="N4" s="15">
        <f>MIN(OFFSET(N$20,COUNT(N$20:N$435),0,-13,1))</f>
        <v/>
      </c>
      <c r="O4" s="15">
        <f>MIN(OFFSET(O$20,COUNT(O$20:O$435),0,-13,1))</f>
        <v/>
      </c>
      <c r="P4" s="15">
        <f>MIN(OFFSET(P$20,COUNT(P$20:P$435),0,-13,1))</f>
        <v/>
      </c>
      <c r="Q4" s="15">
        <f>MIN(OFFSET(Q$20,COUNT(Q$20:Q$435),0,-13,1))</f>
        <v/>
      </c>
      <c r="R4" s="15">
        <f>MIN(OFFSET(R$20,COUNT(R$20:R$435),0,-13,1))</f>
        <v/>
      </c>
      <c r="S4" s="15">
        <f>MIN(OFFSET(S$20,COUNT(S$20:S$435),0,-13,1))</f>
        <v/>
      </c>
      <c r="T4" s="15">
        <f>MIN(OFFSET(T$20,COUNT(T$20:T$435),0,-13,1))</f>
        <v/>
      </c>
      <c r="U4" s="15">
        <f>MIN(OFFSET(U$20,COUNT(U$20:U$435),0,-13,1))</f>
        <v/>
      </c>
      <c r="V4" s="15">
        <f>MIN(OFFSET(V$20,COUNT(V$20:V$435),0,-13,1))</f>
        <v/>
      </c>
      <c r="W4" s="15">
        <f>MIN(OFFSET(W$20,COUNT(W$20:W$435),0,-13,1))</f>
        <v/>
      </c>
      <c r="X4" s="15">
        <f>MIN(OFFSET(X$20,COUNT(X$20:X$435),0,-13,1))</f>
        <v/>
      </c>
      <c r="Y4" s="15">
        <f>MIN(OFFSET(Y$20,COUNT(Y$20:Y$435),0,-13,1))</f>
        <v/>
      </c>
      <c r="Z4" s="15">
        <f>MIN(OFFSET(Z$20,COUNT(Z$20:Z$435),0,-13,1))</f>
        <v/>
      </c>
      <c r="AA4" s="15">
        <f>MIN(OFFSET(AA$20,COUNT(AA$20:AA$435),0,-13,1))</f>
        <v/>
      </c>
    </row>
    <row r="5">
      <c r="B5" s="2" t="inlineStr">
        <is>
          <t>12m avg</t>
        </is>
      </c>
      <c r="C5" s="15">
        <f>AVERAGE(OFFSET(C$20,COUNT(C$20:C$435),0,-13,1))</f>
        <v/>
      </c>
      <c r="D5" s="15">
        <f>AVERAGE(OFFSET(D$20,COUNT(D$20:D$435),0,-13,1))</f>
        <v/>
      </c>
      <c r="E5" s="15">
        <f>AVERAGE(OFFSET(E$20,COUNT(E$20:E$435),0,-13,1))</f>
        <v/>
      </c>
      <c r="F5" s="15">
        <f>AVERAGE(OFFSET(F$20,COUNT(F$20:F$435),0,-13,1))</f>
        <v/>
      </c>
      <c r="G5" s="15">
        <f>AVERAGE(OFFSET(G$20,COUNT(G$20:G$435),0,-13,1))</f>
        <v/>
      </c>
      <c r="H5" s="15">
        <f>AVERAGE(OFFSET(H$20,COUNT(H$20:H$435),0,-13,1))</f>
        <v/>
      </c>
      <c r="I5" s="15">
        <f>AVERAGE(OFFSET(I$20,COUNT(I$20:I$435),0,-13,1))</f>
        <v/>
      </c>
      <c r="J5" s="15">
        <f>AVERAGE(OFFSET(J$20,COUNT(J$20:J$435),0,-13,1))</f>
        <v/>
      </c>
      <c r="K5" s="15">
        <f>AVERAGE(OFFSET(K$20,COUNT(K$20:K$435),0,-13,1))</f>
        <v/>
      </c>
      <c r="L5" s="15">
        <f>AVERAGE(OFFSET(L$20,COUNT(L$20:L$435),0,-13,1))</f>
        <v/>
      </c>
      <c r="M5" s="15">
        <f>AVERAGE(OFFSET(M$20,COUNT(M$20:M$435),0,-13,1))</f>
        <v/>
      </c>
      <c r="N5" s="15">
        <f>AVERAGE(OFFSET(N$20,COUNT(N$20:N$435),0,-13,1))</f>
        <v/>
      </c>
      <c r="O5" s="15">
        <f>AVERAGE(OFFSET(O$20,COUNT(O$20:O$435),0,-13,1))</f>
        <v/>
      </c>
      <c r="P5" s="15">
        <f>AVERAGE(OFFSET(P$20,COUNT(P$20:P$435),0,-13,1))</f>
        <v/>
      </c>
      <c r="Q5" s="15">
        <f>AVERAGE(OFFSET(Q$20,COUNT(Q$20:Q$435),0,-13,1))</f>
        <v/>
      </c>
      <c r="R5" s="15">
        <f>AVERAGE(OFFSET(R$20,COUNT(R$20:R$435),0,-13,1))</f>
        <v/>
      </c>
      <c r="S5" s="15">
        <f>AVERAGE(OFFSET(S$20,COUNT(S$20:S$435),0,-13,1))</f>
        <v/>
      </c>
      <c r="T5" s="15">
        <f>AVERAGE(OFFSET(T$20,COUNT(T$20:T$435),0,-13,1))</f>
        <v/>
      </c>
      <c r="U5" s="15">
        <f>AVERAGE(OFFSET(U$20,COUNT(U$20:U$435),0,-13,1))</f>
        <v/>
      </c>
      <c r="V5" s="15">
        <f>AVERAGE(OFFSET(V$20,COUNT(V$20:V$435),0,-13,1))</f>
        <v/>
      </c>
      <c r="W5" s="15">
        <f>AVERAGE(OFFSET(W$20,COUNT(W$20:W$435),0,-13,1))</f>
        <v/>
      </c>
      <c r="X5" s="15">
        <f>AVERAGE(OFFSET(X$20,COUNT(X$20:X$435),0,-13,1))</f>
        <v/>
      </c>
      <c r="Y5" s="15">
        <f>AVERAGE(OFFSET(Y$20,COUNT(Y$20:Y$435),0,-13,1))</f>
        <v/>
      </c>
      <c r="Z5" s="15">
        <f>AVERAGE(OFFSET(Z$20,COUNT(Z$20:Z$435),0,-13,1))</f>
        <v/>
      </c>
      <c r="AA5" s="15">
        <f>AVERAGE(OFFSET(AA$20,COUNT(AA$20:AA$435),0,-13,1))</f>
        <v/>
      </c>
      <c r="AC5" s="77" t="inlineStr">
        <is>
          <t>Monthly Change Annualized</t>
        </is>
      </c>
    </row>
    <row r="6">
      <c r="B6" s="2" t="n"/>
      <c r="C6" s="10" t="n"/>
      <c r="D6" s="10" t="n"/>
      <c r="E6" s="10" t="n"/>
      <c r="F6" s="10" t="n"/>
      <c r="G6" s="10" t="n"/>
      <c r="H6" s="10" t="n"/>
      <c r="I6" s="10" t="n"/>
      <c r="J6" s="10" t="n"/>
      <c r="K6" s="10" t="n"/>
      <c r="L6" s="10" t="n"/>
      <c r="M6" s="10" t="n"/>
      <c r="N6" s="10" t="n"/>
      <c r="O6" s="10" t="n"/>
      <c r="P6" s="10" t="n"/>
      <c r="Q6" s="10" t="n"/>
      <c r="R6" s="10" t="n"/>
      <c r="S6" s="11" t="n"/>
      <c r="T6" s="10" t="n"/>
      <c r="U6" s="10" t="n"/>
      <c r="V6" s="10" t="n"/>
      <c r="W6" s="10" t="n"/>
      <c r="X6" s="10" t="n"/>
      <c r="Y6" s="10" t="n"/>
      <c r="Z6" s="10" t="n"/>
      <c r="AA6" s="10" t="n"/>
    </row>
    <row r="7" hidden="1">
      <c r="B7" s="12" t="n">
        <v>42064</v>
      </c>
      <c r="C7" s="13" t="n">
        <v>51.8</v>
      </c>
      <c r="D7" s="13" t="n">
        <v>51.8</v>
      </c>
      <c r="E7" s="13" t="n">
        <v>50.1</v>
      </c>
      <c r="F7" s="13" t="n">
        <v>52.2</v>
      </c>
      <c r="G7" s="13" t="n">
        <v>50.3</v>
      </c>
      <c r="H7" s="13" t="n">
        <v>52.8</v>
      </c>
      <c r="I7" s="13" t="n">
        <v>48.8</v>
      </c>
      <c r="J7" s="13" t="n">
        <v>52.5</v>
      </c>
      <c r="K7" s="13" t="n">
        <v>53.3</v>
      </c>
      <c r="L7" s="13" t="n">
        <v>54.3</v>
      </c>
      <c r="M7" s="13" t="n">
        <v>46.2</v>
      </c>
      <c r="N7" s="13" t="n">
        <v>53.8</v>
      </c>
      <c r="O7" s="13" t="n">
        <v>48.1</v>
      </c>
      <c r="P7" s="13" t="n">
        <v>52.1</v>
      </c>
      <c r="Q7" s="13" t="n">
        <v>48.9</v>
      </c>
      <c r="R7" s="13" t="n">
        <v>46.3</v>
      </c>
      <c r="S7" s="13" t="n">
        <v>46.4</v>
      </c>
      <c r="T7" s="13" t="n">
        <v>51</v>
      </c>
      <c r="U7" s="13" t="n">
        <v>48.9</v>
      </c>
      <c r="V7" s="13" t="n">
        <v>56.8</v>
      </c>
      <c r="W7" s="13" t="n">
        <v>48</v>
      </c>
      <c r="X7" s="13" t="n">
        <v>-1.600000000000001</v>
      </c>
      <c r="Y7" s="13" t="n">
        <v>0.07934624568247428</v>
      </c>
      <c r="Z7" s="13" t="n">
        <v>56.1</v>
      </c>
      <c r="AA7" s="13" t="n">
        <v>54.8</v>
      </c>
    </row>
    <row r="8" hidden="1">
      <c r="B8" s="12" t="n">
        <v>42095</v>
      </c>
      <c r="C8" s="13" t="n">
        <v>51</v>
      </c>
      <c r="D8" s="13" t="n">
        <v>51.6</v>
      </c>
      <c r="E8" s="13" t="n">
        <v>50.1</v>
      </c>
      <c r="F8" s="13" t="n">
        <v>52</v>
      </c>
      <c r="G8" s="13" t="n">
        <v>49.9</v>
      </c>
      <c r="H8" s="13" t="n">
        <v>52.1</v>
      </c>
      <c r="I8" s="13" t="n">
        <v>48</v>
      </c>
      <c r="J8" s="13" t="n">
        <v>51.6</v>
      </c>
      <c r="K8" s="13" t="n">
        <v>53.8</v>
      </c>
      <c r="L8" s="13" t="n">
        <v>54.2</v>
      </c>
      <c r="M8" s="13" t="n">
        <v>46</v>
      </c>
      <c r="N8" s="13" t="n">
        <v>53.8</v>
      </c>
      <c r="O8" s="13" t="n">
        <v>48.9</v>
      </c>
      <c r="P8" s="13" t="n">
        <v>51.3</v>
      </c>
      <c r="Q8" s="13" t="n">
        <v>49</v>
      </c>
      <c r="R8" s="13" t="n">
        <v>48</v>
      </c>
      <c r="S8" s="13" t="n">
        <v>46.7</v>
      </c>
      <c r="T8" s="13" t="n">
        <v>49.2</v>
      </c>
      <c r="U8" s="13" t="n">
        <v>46.5</v>
      </c>
      <c r="V8" s="13" t="n">
        <v>55.8</v>
      </c>
      <c r="W8" s="13" t="n">
        <v>48.5</v>
      </c>
      <c r="X8" s="13" t="n">
        <v>0.5</v>
      </c>
      <c r="Y8" s="13" t="n">
        <v>0</v>
      </c>
      <c r="Z8" s="13" t="n">
        <v>54.7</v>
      </c>
      <c r="AA8" s="13" t="n">
        <v>54</v>
      </c>
    </row>
    <row r="9" hidden="1">
      <c r="B9" s="12" t="n">
        <v>42125</v>
      </c>
      <c r="C9" s="13" t="n">
        <v>51.2</v>
      </c>
      <c r="D9" s="13" t="n">
        <v>52.9</v>
      </c>
      <c r="E9" s="13" t="n">
        <v>50.2</v>
      </c>
      <c r="F9" s="13" t="n">
        <v>52.2</v>
      </c>
      <c r="G9" s="13" t="n">
        <v>50.9</v>
      </c>
      <c r="H9" s="13" t="n">
        <v>51.1</v>
      </c>
      <c r="I9" s="13" t="n">
        <v>49.4</v>
      </c>
      <c r="J9" s="13" t="n">
        <v>51.6</v>
      </c>
      <c r="K9" s="13" t="n">
        <v>54.8</v>
      </c>
      <c r="L9" s="13" t="n">
        <v>55.8</v>
      </c>
      <c r="M9" s="13" t="n">
        <v>45.9</v>
      </c>
      <c r="N9" s="13" t="n">
        <v>53.3</v>
      </c>
      <c r="O9" s="13" t="n">
        <v>47.6</v>
      </c>
      <c r="P9" s="13" t="n">
        <v>52.6</v>
      </c>
      <c r="Q9" s="13" t="n">
        <v>49.8</v>
      </c>
      <c r="R9" s="13" t="n">
        <v>52.29</v>
      </c>
      <c r="S9" s="13" t="n">
        <v>47.1</v>
      </c>
      <c r="T9" s="13" t="n">
        <v>49.3</v>
      </c>
      <c r="U9" s="13" t="n">
        <v>48</v>
      </c>
      <c r="V9" s="13" t="n">
        <v>57.1</v>
      </c>
      <c r="W9" s="13" t="n">
        <v>50.2</v>
      </c>
      <c r="X9" s="13" t="n">
        <v>1.700000000000003</v>
      </c>
      <c r="Y9" s="13" t="n">
        <v>0</v>
      </c>
      <c r="Z9" s="13" t="n">
        <v>55.5</v>
      </c>
      <c r="AA9" s="13" t="n">
        <v>52.4</v>
      </c>
    </row>
    <row r="10" hidden="1">
      <c r="B10" s="12" t="n">
        <v>42156</v>
      </c>
      <c r="C10" s="13" t="n">
        <v>51</v>
      </c>
      <c r="D10" s="13" t="n">
        <v>52.3</v>
      </c>
      <c r="E10" s="13" t="n">
        <v>50.2</v>
      </c>
      <c r="F10" s="13" t="n">
        <v>52.5</v>
      </c>
      <c r="G10" s="13" t="n">
        <v>50.1</v>
      </c>
      <c r="H10" s="13" t="n">
        <v>51.9</v>
      </c>
      <c r="I10" s="13" t="n">
        <v>50.7</v>
      </c>
      <c r="J10" s="13" t="n">
        <v>54.3</v>
      </c>
      <c r="K10" s="13" t="n">
        <v>54.1</v>
      </c>
      <c r="L10" s="13" t="n">
        <v>54.5</v>
      </c>
      <c r="M10" s="13" t="n">
        <v>46.5</v>
      </c>
      <c r="N10" s="13" t="n">
        <v>52</v>
      </c>
      <c r="O10" s="13" t="n">
        <v>48.7</v>
      </c>
      <c r="P10" s="13" t="n">
        <v>51.3</v>
      </c>
      <c r="Q10" s="13" t="n">
        <v>51.3</v>
      </c>
      <c r="R10" s="13" t="n">
        <v>44.2</v>
      </c>
      <c r="S10" s="13" t="n">
        <v>47.8</v>
      </c>
      <c r="T10" s="13" t="n">
        <v>46.3</v>
      </c>
      <c r="U10" s="13" t="n">
        <v>46.9</v>
      </c>
      <c r="V10" s="13" t="n">
        <v>54.6</v>
      </c>
      <c r="W10" s="13" t="n">
        <v>49</v>
      </c>
      <c r="X10" s="13" t="n">
        <v>-1.200000000000003</v>
      </c>
      <c r="Y10" s="13" t="n">
        <v>0.05977952412521215</v>
      </c>
      <c r="Z10" s="13" t="n">
        <v>56.9</v>
      </c>
      <c r="AA10" s="13" t="n">
        <v>54.3</v>
      </c>
    </row>
    <row r="11" hidden="1">
      <c r="B11" s="12" t="n">
        <v>42186</v>
      </c>
      <c r="C11" s="13" t="n">
        <v>51</v>
      </c>
      <c r="D11" s="13" t="n">
        <v>51.9</v>
      </c>
      <c r="E11" s="13" t="n">
        <v>50</v>
      </c>
      <c r="F11" s="13" t="n">
        <v>52.4</v>
      </c>
      <c r="G11" s="13" t="n">
        <v>51.2</v>
      </c>
      <c r="H11" s="13" t="n">
        <v>51.8</v>
      </c>
      <c r="I11" s="13" t="n">
        <v>49.6</v>
      </c>
      <c r="J11" s="13" t="n">
        <v>52.3</v>
      </c>
      <c r="K11" s="13" t="n">
        <v>55.3</v>
      </c>
      <c r="L11" s="13" t="n">
        <v>53.6</v>
      </c>
      <c r="M11" s="13" t="n">
        <v>47.2</v>
      </c>
      <c r="N11" s="13" t="n">
        <v>52.9</v>
      </c>
      <c r="O11" s="13" t="n">
        <v>48.3</v>
      </c>
      <c r="P11" s="13" t="n">
        <v>52.7</v>
      </c>
      <c r="Q11" s="13" t="n">
        <v>50.8</v>
      </c>
      <c r="R11" s="13" t="n">
        <v>50.4</v>
      </c>
      <c r="S11" s="13" t="n">
        <v>47.3</v>
      </c>
      <c r="T11" s="13" t="n">
        <v>47.1</v>
      </c>
      <c r="U11" s="13" t="n">
        <v>30.2</v>
      </c>
      <c r="V11" s="13" t="n">
        <v>56.7</v>
      </c>
      <c r="W11" s="13" t="n">
        <v>50.1</v>
      </c>
      <c r="X11" s="13" t="n">
        <v>1.100000000000001</v>
      </c>
      <c r="Y11" s="13" t="n">
        <v>0</v>
      </c>
      <c r="Z11" s="13" t="n">
        <v>57.5</v>
      </c>
      <c r="AA11" s="13" t="n">
        <v>54.5</v>
      </c>
    </row>
    <row r="12" hidden="1">
      <c r="B12" s="12" t="n">
        <v>42217</v>
      </c>
      <c r="C12" s="13" t="n">
        <v>50.7</v>
      </c>
      <c r="D12" s="13" t="n">
        <v>50.8</v>
      </c>
      <c r="E12" s="13" t="n">
        <v>47.3</v>
      </c>
      <c r="F12" s="13" t="n">
        <v>52.3</v>
      </c>
      <c r="G12" s="13" t="n">
        <v>51.7</v>
      </c>
      <c r="H12" s="13" t="n">
        <v>53.3</v>
      </c>
      <c r="I12" s="13" t="n">
        <v>48.3</v>
      </c>
      <c r="J12" s="13" t="n">
        <v>51</v>
      </c>
      <c r="K12" s="13" t="n">
        <v>53.8</v>
      </c>
      <c r="L12" s="13" t="n">
        <v>53.2</v>
      </c>
      <c r="M12" s="13" t="n">
        <v>45.8</v>
      </c>
      <c r="N12" s="13" t="n">
        <v>52.4</v>
      </c>
      <c r="O12" s="13" t="n">
        <v>47.9</v>
      </c>
      <c r="P12" s="13" t="n">
        <v>52.3</v>
      </c>
      <c r="Q12" s="13" t="n">
        <v>49.4</v>
      </c>
      <c r="R12" s="13" t="n">
        <v>51.7</v>
      </c>
      <c r="S12" s="13" t="n">
        <v>48.4</v>
      </c>
      <c r="T12" s="13" t="n">
        <v>46.1</v>
      </c>
      <c r="U12" s="13" t="n">
        <v>39.1</v>
      </c>
      <c r="V12" s="13" t="n">
        <v>53.6</v>
      </c>
      <c r="W12" s="13" t="n">
        <v>49.3</v>
      </c>
      <c r="X12" s="13" t="n">
        <v>-0.8000000000000043</v>
      </c>
      <c r="Y12" s="13" t="n">
        <v>0</v>
      </c>
      <c r="Z12" s="13" t="n">
        <v>56.6</v>
      </c>
      <c r="AA12" s="13" t="n">
        <v>51.1</v>
      </c>
    </row>
    <row r="13" hidden="1">
      <c r="B13" s="12" t="n">
        <v>42248</v>
      </c>
      <c r="C13" s="13" t="n">
        <v>50.6</v>
      </c>
      <c r="D13" s="13" t="n">
        <v>50.1</v>
      </c>
      <c r="E13" s="13" t="n">
        <v>47.2</v>
      </c>
      <c r="F13" s="13" t="n">
        <v>52</v>
      </c>
      <c r="G13" s="13" t="n">
        <v>51</v>
      </c>
      <c r="H13" s="13" t="n">
        <v>52.3</v>
      </c>
      <c r="I13" s="13" t="n">
        <v>50.6</v>
      </c>
      <c r="J13" s="13" t="n">
        <v>52.2</v>
      </c>
      <c r="K13" s="13" t="n">
        <v>52.7</v>
      </c>
      <c r="L13" s="13" t="n">
        <v>51.7</v>
      </c>
      <c r="M13" s="13" t="n">
        <v>47</v>
      </c>
      <c r="N13" s="13" t="n">
        <v>52.1</v>
      </c>
      <c r="O13" s="13" t="n">
        <v>49.1</v>
      </c>
      <c r="P13" s="13" t="n">
        <v>51.2</v>
      </c>
      <c r="Q13" s="13" t="n">
        <v>48.6</v>
      </c>
      <c r="R13" s="13" t="n">
        <v>52.1</v>
      </c>
      <c r="S13" s="13" t="n">
        <v>47.4</v>
      </c>
      <c r="T13" s="13" t="n">
        <v>46.9</v>
      </c>
      <c r="U13" s="13" t="n">
        <v>43.3</v>
      </c>
      <c r="V13" s="13" t="n">
        <v>53.8</v>
      </c>
      <c r="W13" s="13" t="n">
        <v>48.8</v>
      </c>
      <c r="X13" s="13" t="n">
        <v>-0.5</v>
      </c>
      <c r="Y13" s="13" t="n">
        <v>0.05205162733949531</v>
      </c>
      <c r="Z13" s="13" t="n">
        <v>55.5</v>
      </c>
      <c r="AA13" s="13" t="n">
        <v>50.9</v>
      </c>
    </row>
    <row r="14" hidden="1">
      <c r="B14" s="12" t="n">
        <v>42278</v>
      </c>
      <c r="C14" s="13" t="n">
        <v>51.4</v>
      </c>
      <c r="D14" s="13" t="n">
        <v>49.6</v>
      </c>
      <c r="E14" s="13" t="n">
        <v>48.3</v>
      </c>
      <c r="F14" s="13" t="n">
        <v>52.3</v>
      </c>
      <c r="G14" s="13" t="n">
        <v>52.4</v>
      </c>
      <c r="H14" s="13" t="n">
        <v>52.1</v>
      </c>
      <c r="I14" s="13" t="n">
        <v>50.6</v>
      </c>
      <c r="J14" s="13" t="n">
        <v>50.8</v>
      </c>
      <c r="K14" s="13" t="n">
        <v>54.1</v>
      </c>
      <c r="L14" s="13" t="n">
        <v>51.3</v>
      </c>
      <c r="M14" s="13" t="n">
        <v>44.1</v>
      </c>
      <c r="N14" s="13" t="n">
        <v>53</v>
      </c>
      <c r="O14" s="13" t="n">
        <v>50.2</v>
      </c>
      <c r="P14" s="13" t="n">
        <v>50.7</v>
      </c>
      <c r="Q14" s="13" t="n">
        <v>48</v>
      </c>
      <c r="R14" s="13" t="n">
        <v>50.2</v>
      </c>
      <c r="S14" s="13" t="n">
        <v>47.8</v>
      </c>
      <c r="T14" s="13" t="n">
        <v>47.8</v>
      </c>
      <c r="U14" s="13" t="n">
        <v>47.3</v>
      </c>
      <c r="V14" s="13" t="n">
        <v>53.6</v>
      </c>
      <c r="W14" s="13" t="n">
        <v>49.5</v>
      </c>
      <c r="X14" s="13" t="n">
        <v>0.7000000000000028</v>
      </c>
      <c r="Y14" s="13" t="n">
        <v>0</v>
      </c>
      <c r="Z14" s="13" t="n">
        <v>54</v>
      </c>
      <c r="AA14" s="13" t="n">
        <v>52.2</v>
      </c>
    </row>
    <row r="15" hidden="1">
      <c r="B15" s="12" t="n">
        <v>42309</v>
      </c>
      <c r="C15" s="13" t="n">
        <v>51.2</v>
      </c>
      <c r="D15" s="13" t="n">
        <v>49.1</v>
      </c>
      <c r="E15" s="13" t="n">
        <v>48.6</v>
      </c>
      <c r="F15" s="13" t="n">
        <v>52.8</v>
      </c>
      <c r="G15" s="13" t="n">
        <v>52.6</v>
      </c>
      <c r="H15" s="13" t="n">
        <v>52.9</v>
      </c>
      <c r="I15" s="13" t="n">
        <v>50.6</v>
      </c>
      <c r="J15" s="13" t="n">
        <v>51.1</v>
      </c>
      <c r="K15" s="13" t="n">
        <v>54.9</v>
      </c>
      <c r="L15" s="13" t="n">
        <v>53.1</v>
      </c>
      <c r="M15" s="13" t="n">
        <v>43.8</v>
      </c>
      <c r="N15" s="13" t="n">
        <v>53</v>
      </c>
      <c r="O15" s="13" t="n">
        <v>50.1</v>
      </c>
      <c r="P15" s="13" t="n">
        <v>50.3</v>
      </c>
      <c r="Q15" s="13" t="n">
        <v>48.6</v>
      </c>
      <c r="R15" s="13" t="n">
        <v>52.5</v>
      </c>
      <c r="S15" s="13" t="n">
        <v>46.9</v>
      </c>
      <c r="T15" s="13" t="n">
        <v>49.5</v>
      </c>
      <c r="U15" s="13" t="n">
        <v>48.1</v>
      </c>
      <c r="V15" s="13" t="n">
        <v>53.3</v>
      </c>
      <c r="W15" s="13" t="n">
        <v>50.9</v>
      </c>
      <c r="X15" s="13" t="n">
        <v>1.399999999999999</v>
      </c>
      <c r="Y15" s="13" t="n">
        <v>0</v>
      </c>
      <c r="Z15" s="13" t="n">
        <v>54.2</v>
      </c>
      <c r="AA15" s="13" t="n">
        <v>52.1</v>
      </c>
    </row>
    <row r="16" hidden="1">
      <c r="B16" s="12" t="n">
        <v>42339</v>
      </c>
      <c r="C16" s="13" t="n">
        <v>50.9</v>
      </c>
      <c r="D16" s="13" t="n">
        <v>48.4</v>
      </c>
      <c r="E16" s="13" t="n">
        <v>48.2</v>
      </c>
      <c r="F16" s="13" t="n">
        <v>53.2</v>
      </c>
      <c r="G16" s="13" t="n">
        <v>52.6</v>
      </c>
      <c r="H16" s="13" t="n">
        <v>53.2</v>
      </c>
      <c r="I16" s="13" t="n">
        <v>51.4</v>
      </c>
      <c r="J16" s="13" t="n">
        <v>51</v>
      </c>
      <c r="K16" s="13" t="n">
        <v>55.6</v>
      </c>
      <c r="L16" s="13" t="n">
        <v>53</v>
      </c>
      <c r="M16" s="13" t="n">
        <v>45.6</v>
      </c>
      <c r="N16" s="13" t="n">
        <v>52.4</v>
      </c>
      <c r="O16" s="13" t="n">
        <v>48.7</v>
      </c>
      <c r="P16" s="13" t="n">
        <v>49.1</v>
      </c>
      <c r="Q16" s="13" t="n">
        <v>47.5</v>
      </c>
      <c r="R16" s="13" t="n">
        <v>51.9</v>
      </c>
      <c r="S16" s="13" t="n">
        <v>47.8</v>
      </c>
      <c r="T16" s="13" t="n">
        <v>51.7</v>
      </c>
      <c r="U16" s="13" t="n">
        <v>50.2</v>
      </c>
      <c r="V16" s="13" t="n">
        <v>54.2</v>
      </c>
      <c r="W16" s="13" t="n">
        <v>52.2</v>
      </c>
      <c r="X16" s="13" t="n">
        <v>1.300000000000004</v>
      </c>
      <c r="Y16" s="13" t="n">
        <v>0.03812641431611064</v>
      </c>
      <c r="Z16" s="13" t="n">
        <v>55.6</v>
      </c>
      <c r="AA16" s="13" t="n">
        <v>52.1</v>
      </c>
    </row>
    <row r="17" hidden="1">
      <c r="B17" s="12" t="n">
        <v>42370</v>
      </c>
      <c r="C17" s="13" t="n">
        <v>50.9</v>
      </c>
      <c r="D17" s="13" t="n">
        <v>47.8</v>
      </c>
      <c r="E17" s="13" t="n">
        <v>48.4</v>
      </c>
      <c r="F17" s="13" t="n">
        <v>52.3</v>
      </c>
      <c r="G17" s="13" t="n">
        <v>52.3</v>
      </c>
      <c r="H17" s="13" t="n">
        <v>52.3</v>
      </c>
      <c r="I17" s="13" t="n">
        <v>50</v>
      </c>
      <c r="J17" s="13" t="n">
        <v>52.2</v>
      </c>
      <c r="K17" s="13" t="n">
        <v>53.2</v>
      </c>
      <c r="L17" s="13" t="n">
        <v>55.4</v>
      </c>
      <c r="M17" s="13" t="n">
        <v>47.4</v>
      </c>
      <c r="N17" s="13" t="n">
        <v>52.2</v>
      </c>
      <c r="O17" s="13" t="n">
        <v>49.8</v>
      </c>
      <c r="P17" s="13" t="n">
        <v>51.1</v>
      </c>
      <c r="Q17" s="13" t="n">
        <v>49.3</v>
      </c>
      <c r="R17" s="13" t="n">
        <v>51.5</v>
      </c>
      <c r="S17" s="13" t="n">
        <v>48.9</v>
      </c>
      <c r="T17" s="13" t="n">
        <v>50.6</v>
      </c>
      <c r="U17" s="13" t="n">
        <v>50</v>
      </c>
      <c r="V17" s="13" t="n">
        <v>54.3</v>
      </c>
      <c r="W17" s="13" t="n">
        <v>50.9</v>
      </c>
      <c r="X17" s="13" t="n">
        <v>-1.300000000000004</v>
      </c>
      <c r="Y17" s="13" t="n">
        <v>0</v>
      </c>
      <c r="Z17" s="13" t="n">
        <v>56.9</v>
      </c>
      <c r="AA17" s="13" t="n">
        <v>50.9</v>
      </c>
    </row>
    <row r="18" hidden="1">
      <c r="B18" s="12" t="n">
        <v>42401</v>
      </c>
      <c r="C18" s="13" t="n">
        <v>50</v>
      </c>
      <c r="D18" s="13" t="n">
        <v>49.4</v>
      </c>
      <c r="E18" s="13" t="n">
        <v>48</v>
      </c>
      <c r="F18" s="13" t="n">
        <v>51.2</v>
      </c>
      <c r="G18" s="13" t="n">
        <v>50.1</v>
      </c>
      <c r="H18" s="13" t="n">
        <v>50.5</v>
      </c>
      <c r="I18" s="13" t="n">
        <v>50.2</v>
      </c>
      <c r="J18" s="13" t="n">
        <v>50.8</v>
      </c>
      <c r="K18" s="13" t="n">
        <v>52.2</v>
      </c>
      <c r="L18" s="13" t="n">
        <v>54.1</v>
      </c>
      <c r="M18" s="13" t="n">
        <v>44.5</v>
      </c>
      <c r="N18" s="13" t="n">
        <v>53.1</v>
      </c>
      <c r="O18" s="13" t="n">
        <v>49.3</v>
      </c>
      <c r="P18" s="13" t="n">
        <v>51.1</v>
      </c>
      <c r="Q18" s="13" t="n">
        <v>49.4</v>
      </c>
      <c r="R18" s="13" t="n">
        <v>53.5</v>
      </c>
      <c r="S18" s="13" t="n">
        <v>48.7</v>
      </c>
      <c r="T18" s="13" t="n">
        <v>49.4</v>
      </c>
      <c r="U18" s="13" t="n">
        <v>48.4</v>
      </c>
      <c r="V18" s="13" t="n">
        <v>52.9</v>
      </c>
      <c r="W18" s="13" t="n">
        <v>50.3</v>
      </c>
      <c r="X18" s="13" t="n">
        <v>-0.6000000000000014</v>
      </c>
      <c r="Y18" s="13" t="n">
        <v>0</v>
      </c>
      <c r="Z18" s="13" t="n">
        <v>55.5</v>
      </c>
      <c r="AA18" s="13" t="n">
        <v>52.8</v>
      </c>
    </row>
    <row r="19" hidden="1">
      <c r="B19" s="12" t="n">
        <v>42430</v>
      </c>
      <c r="C19" s="13" t="n">
        <v>50.5</v>
      </c>
      <c r="D19" s="13" t="n">
        <v>51.2</v>
      </c>
      <c r="E19" s="13" t="n">
        <v>49.7</v>
      </c>
      <c r="F19" s="13" t="n">
        <v>51.6</v>
      </c>
      <c r="G19" s="13" t="n">
        <v>49.1</v>
      </c>
      <c r="H19" s="13" t="n">
        <v>50.7</v>
      </c>
      <c r="I19" s="13" t="n">
        <v>49.6</v>
      </c>
      <c r="J19" s="13" t="n">
        <v>51.1</v>
      </c>
      <c r="K19" s="13" t="n">
        <v>53.5</v>
      </c>
      <c r="L19" s="13" t="n">
        <v>53.4</v>
      </c>
      <c r="M19" s="13" t="n">
        <v>46</v>
      </c>
      <c r="N19" s="13" t="n">
        <v>53.2</v>
      </c>
      <c r="O19" s="13" t="n">
        <v>48.3</v>
      </c>
      <c r="P19" s="13" t="n">
        <v>52.4</v>
      </c>
      <c r="Q19" s="13" t="n">
        <v>51.5</v>
      </c>
      <c r="R19" s="13" t="n">
        <v>58.1</v>
      </c>
      <c r="S19" s="13" t="n">
        <v>50.6</v>
      </c>
      <c r="T19" s="13" t="n">
        <v>51.1</v>
      </c>
      <c r="U19" s="13" t="n">
        <v>49</v>
      </c>
      <c r="V19" s="13" t="n">
        <v>54.9</v>
      </c>
      <c r="W19" s="13" t="n">
        <v>49.2</v>
      </c>
      <c r="X19" s="13" t="n">
        <v>-1.099999999999994</v>
      </c>
      <c r="Y19" s="13" t="n">
        <v>0.02815025662112891</v>
      </c>
      <c r="Z19" s="13" t="n">
        <v>54.3</v>
      </c>
      <c r="AA19" s="13" t="n">
        <v>53.8</v>
      </c>
    </row>
    <row r="20">
      <c r="A20" s="20">
        <f>DATE(YEAR(B20),MONTH(B20)-1,DAY(B20))</f>
        <v/>
      </c>
      <c r="B20" s="12" t="n">
        <v>42461</v>
      </c>
      <c r="C20" s="14">
        <f>IF(VLOOKUP(B20,Data!$A:$AN,MATCH(yoy!$C$1,Data!$A$1:$AN$1,),)=0,"#N/A",(((VLOOKUP(B20,Data!$A:$AN,MATCH(yoy!$C$1,Data!$A$1:$AN$1,),)-VLOOKUP(A20,Data!$A:$AN,MATCH(yoy!$C$1,Data!$A$1:$AN$1,),))/VLOOKUP(A20,Data!$A:$AN,MATCH(yoy!$C$1,Data!$A$1:$AN$1,),))+1)^12-1)</f>
        <v/>
      </c>
      <c r="D20" s="14">
        <f>IF(VLOOKUP(B20,Data!$A:$AN,MATCH(yoy!$D$1,Data!$A$1:$AN$1,),)=0,"#N/A",(((VLOOKUP(B20,Data!$A:$AN,MATCH(yoy!$D$1,Data!$A$1:$AN$1,),)-VLOOKUP(A20,Data!$A:$AN,MATCH(yoy!$D$1,Data!$A$1:$AN$1,),))/VLOOKUP(A20,Data!$A:$AN,MATCH(yoy!$D$1,Data!$A$1:$AN$1,),))+1)^12-1)</f>
        <v/>
      </c>
      <c r="E20" s="14">
        <f>IF(VLOOKUP(B20,Data!$A:$AN,MATCH(yoy!$E$1,Data!$A$1:$AN$1,),)=0,"#N/A",(((VLOOKUP(B20,Data!$A:$AN,MATCH(yoy!$E$1,Data!$A$1:$AN$1,),)-VLOOKUP(A20,Data!$A:$AN,MATCH(yoy!$E$1,Data!$A$1:$AN$1,),))/VLOOKUP(A20,Data!$A:$AN,MATCH(yoy!$E$1,Data!$A$1:$AN$1,),))+1)^12-1)</f>
        <v/>
      </c>
      <c r="F20" s="14">
        <f>IF(VLOOKUP(B20,Data!$A:$AN,MATCH(yoy!$F$1,Data!$A$1:$AN$1,),)=0,"#N/A",(((VLOOKUP(B20,Data!$A:$AN,MATCH(yoy!$F$1,Data!$A$1:$AN$1,),)-VLOOKUP(A20,Data!$A:$AN,MATCH(yoy!$F$1,Data!$A$1:$AN$1,),))/VLOOKUP(A20,Data!$A:$AN,MATCH(yoy!$F$1,Data!$A$1:$AN$1,),))+1)^12-1)</f>
        <v/>
      </c>
      <c r="G20" s="14">
        <f>IF(VLOOKUP(B20,Data!$A:$AN,MATCH(yoy!$G$1,Data!$A$1:$AN$1,),)=0,"#N/A",(((VLOOKUP(B20,Data!$A:$AN,MATCH(yoy!$G$1,Data!$A$1:$AN$1,),)-VLOOKUP(A20,Data!$A:$AN,MATCH(yoy!$G$1,Data!$A$1:$AN$1,),))/VLOOKUP(A20,Data!$A:$AN,MATCH(yoy!$G$1,Data!$A$1:$AN$1,),))+1)^12-1)</f>
        <v/>
      </c>
      <c r="H20" s="14">
        <f>IF(VLOOKUP(B20,Data!$A:$AN,MATCH(yoy!$H$1,Data!$A$1:$AN$1,),)=0,"#N/A",(((VLOOKUP(B20,Data!$A:$AN,MATCH(yoy!$H$1,Data!$A$1:$AN$1,),)-VLOOKUP(A20,Data!$A:$AN,MATCH(yoy!$H$1,Data!$A$1:$AN$1,),))/VLOOKUP(A20,Data!$A:$AN,MATCH(yoy!$H$1,Data!$A$1:$AN$1,),))+1)^12-1)</f>
        <v/>
      </c>
      <c r="I20" s="14">
        <f>IF(VLOOKUP(B20,Data!$A:$AN,MATCH(yoy!$I$1,Data!$A$1:$AN$1,),)=0,"#N/A",(((VLOOKUP(B20,Data!$A:$AN,MATCH(yoy!$I$1,Data!$A$1:$AN$1,),)-VLOOKUP(A20,Data!$A:$AN,MATCH(yoy!$I$1,Data!$A$1:$AN$1,),))/VLOOKUP(A20,Data!$A:$AN,MATCH(yoy!$I$1,Data!$A$1:$AN$1,),))+1)^12-1)</f>
        <v/>
      </c>
      <c r="J20" s="14">
        <f>IF(VLOOKUP(B20,Data!$A:$AN,MATCH(yoy!$J$1,Data!$A$1:$AN$1,),)=0,"#N/A",(((VLOOKUP(B20,Data!$A:$AN,MATCH(yoy!$J$1,Data!$A$1:$AN$1,),)-VLOOKUP(A20,Data!$A:$AN,MATCH(yoy!$J$1,Data!$A$1:$AN$1,),))/VLOOKUP(A20,Data!$A:$AN,MATCH(yoy!$J$1,Data!$A$1:$AN$1,),))+1)^12-1)</f>
        <v/>
      </c>
      <c r="K20" s="14">
        <f>IF(VLOOKUP(B20,Data!$A:$AN,MATCH(yoy!$K$1,Data!$A$1:$AN$1,),)=0,"#N/A",(((VLOOKUP(B20,Data!$A:$AN,MATCH(yoy!$K$1,Data!$A$1:$AN$1,),)-VLOOKUP(A20,Data!$A:$AN,MATCH(yoy!$K$1,Data!$A$1:$AN$1,),))/VLOOKUP(A20,Data!$A:$AN,MATCH(yoy!$K$1,Data!$A$1:$AN$1,),))+1)^12-1)</f>
        <v/>
      </c>
      <c r="L20" s="14">
        <f>IF(VLOOKUP(B20,Data!$A:$AN,MATCH(yoy!$L$1,Data!$A$1:$AN$1,),)=0,"#N/A",(((VLOOKUP(B20,Data!$A:$AN,MATCH(yoy!$L$1,Data!$A$1:$AN$1,),)-VLOOKUP(A20,Data!$A:$AN,MATCH(yoy!$L$1,Data!$A$1:$AN$1,),))/VLOOKUP(A20,Data!$A:$AN,MATCH(yoy!$L$1,Data!$A$1:$AN$1,),))+1)^12-1)</f>
        <v/>
      </c>
      <c r="M20" s="14">
        <f>IF(VLOOKUP(B20,Data!$A:$AN,MATCH(yoy!$M$1,Data!$A$1:$AN$1,),)=0,"#N/A",(((VLOOKUP(B20,Data!$A:$AN,MATCH(yoy!$M$1,Data!$A$1:$AN$1,),)-VLOOKUP(A20,Data!$A:$AN,MATCH(yoy!$M$1,Data!$A$1:$AN$1,),))/VLOOKUP(A20,Data!$A:$AN,MATCH(yoy!$M$1,Data!$A$1:$AN$1,),))+1)^12-1)</f>
        <v/>
      </c>
      <c r="N20" s="14">
        <f>IF(VLOOKUP(B20,Data!$A:$AN,MATCH(yoy!$N$1,Data!$A$1:$AN$1,),)=0,"#N/A",(((VLOOKUP(B20,Data!$A:$AN,MATCH(yoy!$N$1,Data!$A$1:$AN$1,),)-VLOOKUP(A20,Data!$A:$AN,MATCH(yoy!$N$1,Data!$A$1:$AN$1,),))/VLOOKUP(A20,Data!$A:$AN,MATCH(yoy!$N$1,Data!$A$1:$AN$1,),))+1)^12-1)</f>
        <v/>
      </c>
      <c r="O20" s="14">
        <f>IF(VLOOKUP(B20,Data!$A:$AN,MATCH(yoy!$O$1,Data!$A$1:$AN$1,),)=0,"#N/A",(((VLOOKUP(B20,Data!$A:$AN,MATCH(yoy!$O$1,Data!$A$1:$AN$1,),)-VLOOKUP(A20,Data!$A:$AN,MATCH(yoy!$O$1,Data!$A$1:$AN$1,),))/VLOOKUP(A20,Data!$A:$AN,MATCH(yoy!$O$1,Data!$A$1:$AN$1,),))+1)^12-1)</f>
        <v/>
      </c>
      <c r="P20" s="14">
        <f>IF(VLOOKUP(B20,Data!$A:$AN,MATCH(yoy!$P$1,Data!$A$1:$AN$1,),)=0,"#N/A",(((VLOOKUP(B20,Data!$A:$AN,MATCH(yoy!$P$1,Data!$A$1:$AN$1,),)-VLOOKUP(A20,Data!$A:$AN,MATCH(yoy!$P$1,Data!$A$1:$AN$1,),))/VLOOKUP(A20,Data!$A:$AN,MATCH(yoy!$P$1,Data!$A$1:$AN$1,),))+1)^12-1)</f>
        <v/>
      </c>
      <c r="Q20" s="14">
        <f>IF(VLOOKUP(B20,Data!$A:$AN,MATCH(yoy!$Q$1,Data!$A$1:$AN$1,),)=0,"#N/A",(((VLOOKUP(B20,Data!$A:$AN,MATCH(yoy!$Q$1,Data!$A$1:$AN$1,),)-VLOOKUP(A20,Data!$A:$AN,MATCH(yoy!$Q$1,Data!$A$1:$AN$1,),))/VLOOKUP(A20,Data!$A:$AN,MATCH(yoy!$Q$1,Data!$A$1:$AN$1,),))+1)^12-1)</f>
        <v/>
      </c>
      <c r="R20" s="14">
        <f>IF(VLOOKUP(B20,Data!$A:$AN,MATCH(yoy!$R$1,Data!$A$1:$AN$1,),)=0,"#N/A",(((VLOOKUP(B20,Data!$A:$AN,MATCH(yoy!$R$1,Data!$A$1:$AN$1,),)-VLOOKUP(A20,Data!$A:$AN,MATCH(yoy!$R$1,Data!$A$1:$AN$1,),))/VLOOKUP(A20,Data!$A:$AN,MATCH(yoy!$R$1,Data!$A$1:$AN$1,),))+1)^12-1)</f>
        <v/>
      </c>
      <c r="S20" s="14">
        <f>IF(VLOOKUP(B20,Data!$A:$AN,MATCH(yoy!$S$1,Data!$A$1:$AN$1,),)=0,"#N/A",(((VLOOKUP(B20,Data!$A:$AN,MATCH(yoy!$S$1,Data!$A$1:$AN$1,),)-VLOOKUP(A20,Data!$A:$AN,MATCH(yoy!$S$1,Data!$A$1:$AN$1,),))/VLOOKUP(A20,Data!$A:$AN,MATCH(yoy!$S$1,Data!$A$1:$AN$1,),))+1)^12-1)</f>
        <v/>
      </c>
      <c r="T20" s="14">
        <f>IF(VLOOKUP(B20,Data!$A:$AN,MATCH(yoy!$T$1,Data!$A$1:$AN$1,),)=0,"#N/A",(((VLOOKUP(B20,Data!$A:$AN,MATCH(yoy!$T$1,Data!$A$1:$AN$1,),)-VLOOKUP(A20,Data!$A:$AN,MATCH(yoy!$T$1,Data!$A$1:$AN$1,),))/VLOOKUP(A20,Data!$A:$AN,MATCH(yoy!$T$1,Data!$A$1:$AN$1,),))+1)^12-1)</f>
        <v/>
      </c>
      <c r="U20" s="14">
        <f>IF(VLOOKUP(B20,Data!$A:$AN,MATCH(yoy!$U$1,Data!$A$1:$AN$1,),)=0,"#N/A",(((VLOOKUP(B20,Data!$A:$AN,MATCH(yoy!$U$1,Data!$A$1:$AN$1,),)-VLOOKUP(A20,Data!$A:$AN,MATCH(yoy!$U$1,Data!$A$1:$AN$1,),))/VLOOKUP(A20,Data!$A:$AN,MATCH(yoy!$U$1,Data!$A$1:$AN$1,),))+1)^12-1)</f>
        <v/>
      </c>
      <c r="V20" s="14">
        <f>IF(VLOOKUP(B20,Data!$A:$AN,MATCH(yoy!$V$1,Data!$A$1:$AN$1,),)=0,"#N/A",(((VLOOKUP(B20,Data!$A:$AN,MATCH(yoy!$V$1,Data!$A$1:$AN$1,),)-VLOOKUP(A20,Data!$A:$AN,MATCH(yoy!$V$1,Data!$A$1:$AN$1,),))/VLOOKUP(A20,Data!$A:$AN,MATCH(yoy!$V$1,Data!$A$1:$AN$1,),))+1)^12-1)</f>
        <v/>
      </c>
      <c r="W20" s="14">
        <f>IF(VLOOKUP(B20,Data!$A:$AN,MATCH(yoy!$W$1,Data!$A$1:$AN$1,),)=0,"#N/A",(((VLOOKUP(B20,Data!$A:$AN,MATCH(yoy!$W$1,Data!$A$1:$AN$1,),)-VLOOKUP(A20,Data!$A:$AN,MATCH(yoy!$W$1,Data!$A$1:$AN$1,),))/VLOOKUP(A20,Data!$A:$AN,MATCH(yoy!$W$1,Data!$A$1:$AN$1,),))+1)^12-1)</f>
        <v/>
      </c>
      <c r="X20" s="14">
        <f>IF(VLOOKUP(B20,Data!$A:$AN,MATCH(yoy!$X$1,Data!$A$1:$AN$1,),)=0,"#N/A",(((VLOOKUP(B20,Data!$A:$AN,MATCH(yoy!$X$1,Data!$A$1:$AN$1,),)-VLOOKUP(A20,Data!$A:$AN,MATCH(yoy!$X$1,Data!$A$1:$AN$1,),))/VLOOKUP(A20,Data!$A:$AN,MATCH(yoy!$X$1,Data!$A$1:$AN$1,),))+1)^12-1)</f>
        <v/>
      </c>
      <c r="Y20" s="14">
        <f>IF(VLOOKUP(B20,Data!$A:$AN,MATCH(yoy!$Y$1,Data!$A$1:$AN$1,),)=0,"#N/A",(((VLOOKUP(B20,Data!$A:$AN,MATCH(yoy!$Y$1,Data!$A$1:$AN$1,),)-VLOOKUP(A20,Data!$A:$AN,MATCH(yoy!$Y$1,Data!$A$1:$AN$1,),))/VLOOKUP(A20,Data!$A:$AN,MATCH(yoy!$Y$1,Data!$A$1:$AN$1,),))+1)^12-1)</f>
        <v/>
      </c>
      <c r="Z20" s="14">
        <f>IF(VLOOKUP(B20,Data!$A:$AN,MATCH(yoy!$Z$1,Data!$A$1:$AN$1,),)=0,"#N/A",(((VLOOKUP(B20,Data!$A:$AN,MATCH(yoy!$Z$1,Data!$A$1:$AN$1,),)-VLOOKUP(A20,Data!$A:$AN,MATCH(yoy!$Z$1,Data!$A$1:$AN$1,),))/VLOOKUP(A20,Data!$A:$AN,MATCH(yoy!$Z$1,Data!$A$1:$AN$1,),))+1)^12-1)</f>
        <v/>
      </c>
      <c r="AA20" s="14">
        <f>IF(VLOOKUP(B20,Data!$A:$AN,MATCH(yoy!$AA$1,Data!$A$1:$AN$1,),)=0,"#N/A",(((VLOOKUP(B20,Data!$A:$AN,MATCH(yoy!$AA$1,Data!$A$1:$AN$1,),)-VLOOKUP(A20,Data!$A:$AN,MATCH(yoy!$AA$1,Data!$A$1:$AN$1,),))/VLOOKUP(A20,Data!$A:$AN,MATCH(yoy!$AA$1,Data!$A$1:$AN$1,),))+1)^12-1)</f>
        <v/>
      </c>
    </row>
    <row r="21">
      <c r="A21" s="20">
        <f>DATE(YEAR(B21),MONTH(B21)-1,DAY(B21))</f>
        <v/>
      </c>
      <c r="B21" s="12" t="n">
        <v>42491</v>
      </c>
      <c r="C21" s="14">
        <f>IF(VLOOKUP(B21,Data!$A:$AN,MATCH(yoy!$C$1,Data!$A$1:$AN$1,),)=0,"#N/A",(((VLOOKUP(B21,Data!$A:$AN,MATCH(yoy!$C$1,Data!$A$1:$AN$1,),)-VLOOKUP(A21,Data!$A:$AN,MATCH(yoy!$C$1,Data!$A$1:$AN$1,),))/VLOOKUP(A21,Data!$A:$AN,MATCH(yoy!$C$1,Data!$A$1:$AN$1,),))+1)^12-1)</f>
        <v/>
      </c>
      <c r="D21" s="14">
        <f>IF(VLOOKUP(B21,Data!$A:$AN,MATCH(yoy!$D$1,Data!$A$1:$AN$1,),)=0,"#N/A",(((VLOOKUP(B21,Data!$A:$AN,MATCH(yoy!$D$1,Data!$A$1:$AN$1,),)-VLOOKUP(A21,Data!$A:$AN,MATCH(yoy!$D$1,Data!$A$1:$AN$1,),))/VLOOKUP(A21,Data!$A:$AN,MATCH(yoy!$D$1,Data!$A$1:$AN$1,),))+1)^12-1)</f>
        <v/>
      </c>
      <c r="E21" s="14">
        <f>IF(VLOOKUP(B21,Data!$A:$AN,MATCH(yoy!$E$1,Data!$A$1:$AN$1,),)=0,"#N/A",(((VLOOKUP(B21,Data!$A:$AN,MATCH(yoy!$E$1,Data!$A$1:$AN$1,),)-VLOOKUP(A21,Data!$A:$AN,MATCH(yoy!$E$1,Data!$A$1:$AN$1,),))/VLOOKUP(A21,Data!$A:$AN,MATCH(yoy!$E$1,Data!$A$1:$AN$1,),))+1)^12-1)</f>
        <v/>
      </c>
      <c r="F21" s="14">
        <f>IF(VLOOKUP(B21,Data!$A:$AN,MATCH(yoy!$F$1,Data!$A$1:$AN$1,),)=0,"#N/A",(((VLOOKUP(B21,Data!$A:$AN,MATCH(yoy!$F$1,Data!$A$1:$AN$1,),)-VLOOKUP(A21,Data!$A:$AN,MATCH(yoy!$F$1,Data!$A$1:$AN$1,),))/VLOOKUP(A21,Data!$A:$AN,MATCH(yoy!$F$1,Data!$A$1:$AN$1,),))+1)^12-1)</f>
        <v/>
      </c>
      <c r="G21" s="14">
        <f>IF(VLOOKUP(B21,Data!$A:$AN,MATCH(yoy!$G$1,Data!$A$1:$AN$1,),)=0,"#N/A",(((VLOOKUP(B21,Data!$A:$AN,MATCH(yoy!$G$1,Data!$A$1:$AN$1,),)-VLOOKUP(A21,Data!$A:$AN,MATCH(yoy!$G$1,Data!$A$1:$AN$1,),))/VLOOKUP(A21,Data!$A:$AN,MATCH(yoy!$G$1,Data!$A$1:$AN$1,),))+1)^12-1)</f>
        <v/>
      </c>
      <c r="H21" s="14">
        <f>IF(VLOOKUP(B21,Data!$A:$AN,MATCH(yoy!$H$1,Data!$A$1:$AN$1,),)=0,"#N/A",(((VLOOKUP(B21,Data!$A:$AN,MATCH(yoy!$H$1,Data!$A$1:$AN$1,),)-VLOOKUP(A21,Data!$A:$AN,MATCH(yoy!$H$1,Data!$A$1:$AN$1,),))/VLOOKUP(A21,Data!$A:$AN,MATCH(yoy!$H$1,Data!$A$1:$AN$1,),))+1)^12-1)</f>
        <v/>
      </c>
      <c r="I21" s="14">
        <f>IF(VLOOKUP(B21,Data!$A:$AN,MATCH(yoy!$I$1,Data!$A$1:$AN$1,),)=0,"#N/A",(((VLOOKUP(B21,Data!$A:$AN,MATCH(yoy!$I$1,Data!$A$1:$AN$1,),)-VLOOKUP(A21,Data!$A:$AN,MATCH(yoy!$I$1,Data!$A$1:$AN$1,),))/VLOOKUP(A21,Data!$A:$AN,MATCH(yoy!$I$1,Data!$A$1:$AN$1,),))+1)^12-1)</f>
        <v/>
      </c>
      <c r="J21" s="14">
        <f>IF(VLOOKUP(B21,Data!$A:$AN,MATCH(yoy!$J$1,Data!$A$1:$AN$1,),)=0,"#N/A",(((VLOOKUP(B21,Data!$A:$AN,MATCH(yoy!$J$1,Data!$A$1:$AN$1,),)-VLOOKUP(A21,Data!$A:$AN,MATCH(yoy!$J$1,Data!$A$1:$AN$1,),))/VLOOKUP(A21,Data!$A:$AN,MATCH(yoy!$J$1,Data!$A$1:$AN$1,),))+1)^12-1)</f>
        <v/>
      </c>
      <c r="K21" s="14">
        <f>IF(VLOOKUP(B21,Data!$A:$AN,MATCH(yoy!$K$1,Data!$A$1:$AN$1,),)=0,"#N/A",(((VLOOKUP(B21,Data!$A:$AN,MATCH(yoy!$K$1,Data!$A$1:$AN$1,),)-VLOOKUP(A21,Data!$A:$AN,MATCH(yoy!$K$1,Data!$A$1:$AN$1,),))/VLOOKUP(A21,Data!$A:$AN,MATCH(yoy!$K$1,Data!$A$1:$AN$1,),))+1)^12-1)</f>
        <v/>
      </c>
      <c r="L21" s="14">
        <f>IF(VLOOKUP(B21,Data!$A:$AN,MATCH(yoy!$L$1,Data!$A$1:$AN$1,),)=0,"#N/A",(((VLOOKUP(B21,Data!$A:$AN,MATCH(yoy!$L$1,Data!$A$1:$AN$1,),)-VLOOKUP(A21,Data!$A:$AN,MATCH(yoy!$L$1,Data!$A$1:$AN$1,),))/VLOOKUP(A21,Data!$A:$AN,MATCH(yoy!$L$1,Data!$A$1:$AN$1,),))+1)^12-1)</f>
        <v/>
      </c>
      <c r="M21" s="14">
        <f>IF(VLOOKUP(B21,Data!$A:$AN,MATCH(yoy!$M$1,Data!$A$1:$AN$1,),)=0,"#N/A",(((VLOOKUP(B21,Data!$A:$AN,MATCH(yoy!$M$1,Data!$A$1:$AN$1,),)-VLOOKUP(A21,Data!$A:$AN,MATCH(yoy!$M$1,Data!$A$1:$AN$1,),))/VLOOKUP(A21,Data!$A:$AN,MATCH(yoy!$M$1,Data!$A$1:$AN$1,),))+1)^12-1)</f>
        <v/>
      </c>
      <c r="N21" s="14">
        <f>IF(VLOOKUP(B21,Data!$A:$AN,MATCH(yoy!$N$1,Data!$A$1:$AN$1,),)=0,"#N/A",(((VLOOKUP(B21,Data!$A:$AN,MATCH(yoy!$N$1,Data!$A$1:$AN$1,),)-VLOOKUP(A21,Data!$A:$AN,MATCH(yoy!$N$1,Data!$A$1:$AN$1,),))/VLOOKUP(A21,Data!$A:$AN,MATCH(yoy!$N$1,Data!$A$1:$AN$1,),))+1)^12-1)</f>
        <v/>
      </c>
      <c r="O21" s="14">
        <f>IF(VLOOKUP(B21,Data!$A:$AN,MATCH(yoy!$O$1,Data!$A$1:$AN$1,),)=0,"#N/A",(((VLOOKUP(B21,Data!$A:$AN,MATCH(yoy!$O$1,Data!$A$1:$AN$1,),)-VLOOKUP(A21,Data!$A:$AN,MATCH(yoy!$O$1,Data!$A$1:$AN$1,),))/VLOOKUP(A21,Data!$A:$AN,MATCH(yoy!$O$1,Data!$A$1:$AN$1,),))+1)^12-1)</f>
        <v/>
      </c>
      <c r="P21" s="14">
        <f>IF(VLOOKUP(B21,Data!$A:$AN,MATCH(yoy!$P$1,Data!$A$1:$AN$1,),)=0,"#N/A",(((VLOOKUP(B21,Data!$A:$AN,MATCH(yoy!$P$1,Data!$A$1:$AN$1,),)-VLOOKUP(A21,Data!$A:$AN,MATCH(yoy!$P$1,Data!$A$1:$AN$1,),))/VLOOKUP(A21,Data!$A:$AN,MATCH(yoy!$P$1,Data!$A$1:$AN$1,),))+1)^12-1)</f>
        <v/>
      </c>
      <c r="Q21" s="14">
        <f>IF(VLOOKUP(B21,Data!$A:$AN,MATCH(yoy!$Q$1,Data!$A$1:$AN$1,),)=0,"#N/A",(((VLOOKUP(B21,Data!$A:$AN,MATCH(yoy!$Q$1,Data!$A$1:$AN$1,),)-VLOOKUP(A21,Data!$A:$AN,MATCH(yoy!$Q$1,Data!$A$1:$AN$1,),))/VLOOKUP(A21,Data!$A:$AN,MATCH(yoy!$Q$1,Data!$A$1:$AN$1,),))+1)^12-1)</f>
        <v/>
      </c>
      <c r="R21" s="14">
        <f>IF(VLOOKUP(B21,Data!$A:$AN,MATCH(yoy!$R$1,Data!$A$1:$AN$1,),)=0,"#N/A",(((VLOOKUP(B21,Data!$A:$AN,MATCH(yoy!$R$1,Data!$A$1:$AN$1,),)-VLOOKUP(A21,Data!$A:$AN,MATCH(yoy!$R$1,Data!$A$1:$AN$1,),))/VLOOKUP(A21,Data!$A:$AN,MATCH(yoy!$R$1,Data!$A$1:$AN$1,),))+1)^12-1)</f>
        <v/>
      </c>
      <c r="S21" s="14">
        <f>IF(VLOOKUP(B21,Data!$A:$AN,MATCH(yoy!$S$1,Data!$A$1:$AN$1,),)=0,"#N/A",(((VLOOKUP(B21,Data!$A:$AN,MATCH(yoy!$S$1,Data!$A$1:$AN$1,),)-VLOOKUP(A21,Data!$A:$AN,MATCH(yoy!$S$1,Data!$A$1:$AN$1,),))/VLOOKUP(A21,Data!$A:$AN,MATCH(yoy!$S$1,Data!$A$1:$AN$1,),))+1)^12-1)</f>
        <v/>
      </c>
      <c r="T21" s="14">
        <f>IF(VLOOKUP(B21,Data!$A:$AN,MATCH(yoy!$T$1,Data!$A$1:$AN$1,),)=0,"#N/A",(((VLOOKUP(B21,Data!$A:$AN,MATCH(yoy!$T$1,Data!$A$1:$AN$1,),)-VLOOKUP(A21,Data!$A:$AN,MATCH(yoy!$T$1,Data!$A$1:$AN$1,),))/VLOOKUP(A21,Data!$A:$AN,MATCH(yoy!$T$1,Data!$A$1:$AN$1,),))+1)^12-1)</f>
        <v/>
      </c>
      <c r="U21" s="14">
        <f>IF(VLOOKUP(B21,Data!$A:$AN,MATCH(yoy!$U$1,Data!$A$1:$AN$1,),)=0,"#N/A",(((VLOOKUP(B21,Data!$A:$AN,MATCH(yoy!$U$1,Data!$A$1:$AN$1,),)-VLOOKUP(A21,Data!$A:$AN,MATCH(yoy!$U$1,Data!$A$1:$AN$1,),))/VLOOKUP(A21,Data!$A:$AN,MATCH(yoy!$U$1,Data!$A$1:$AN$1,),))+1)^12-1)</f>
        <v/>
      </c>
      <c r="V21" s="14">
        <f>IF(VLOOKUP(B21,Data!$A:$AN,MATCH(yoy!$V$1,Data!$A$1:$AN$1,),)=0,"#N/A",(((VLOOKUP(B21,Data!$A:$AN,MATCH(yoy!$V$1,Data!$A$1:$AN$1,),)-VLOOKUP(A21,Data!$A:$AN,MATCH(yoy!$V$1,Data!$A$1:$AN$1,),))/VLOOKUP(A21,Data!$A:$AN,MATCH(yoy!$V$1,Data!$A$1:$AN$1,),))+1)^12-1)</f>
        <v/>
      </c>
      <c r="W21" s="14">
        <f>IF(VLOOKUP(B21,Data!$A:$AN,MATCH(yoy!$W$1,Data!$A$1:$AN$1,),)=0,"#N/A",(((VLOOKUP(B21,Data!$A:$AN,MATCH(yoy!$W$1,Data!$A$1:$AN$1,),)-VLOOKUP(A21,Data!$A:$AN,MATCH(yoy!$W$1,Data!$A$1:$AN$1,),))/VLOOKUP(A21,Data!$A:$AN,MATCH(yoy!$W$1,Data!$A$1:$AN$1,),))+1)^12-1)</f>
        <v/>
      </c>
      <c r="X21" s="14">
        <f>IF(VLOOKUP(B21,Data!$A:$AN,MATCH(yoy!$X$1,Data!$A$1:$AN$1,),)=0,"#N/A",(((VLOOKUP(B21,Data!$A:$AN,MATCH(yoy!$X$1,Data!$A$1:$AN$1,),)-VLOOKUP(A21,Data!$A:$AN,MATCH(yoy!$X$1,Data!$A$1:$AN$1,),))/VLOOKUP(A21,Data!$A:$AN,MATCH(yoy!$X$1,Data!$A$1:$AN$1,),))+1)^12-1)</f>
        <v/>
      </c>
      <c r="Y21" s="14">
        <f>IF(VLOOKUP(B21,Data!$A:$AN,MATCH(yoy!$Y$1,Data!$A$1:$AN$1,),)=0,"#N/A",(((VLOOKUP(B21,Data!$A:$AN,MATCH(yoy!$Y$1,Data!$A$1:$AN$1,),)-VLOOKUP(A21,Data!$A:$AN,MATCH(yoy!$Y$1,Data!$A$1:$AN$1,),))/VLOOKUP(A21,Data!$A:$AN,MATCH(yoy!$Y$1,Data!$A$1:$AN$1,),))+1)^12-1)</f>
        <v/>
      </c>
      <c r="Z21" s="14">
        <f>IF(VLOOKUP(B21,Data!$A:$AN,MATCH(yoy!$Z$1,Data!$A$1:$AN$1,),)=0,"#N/A",(((VLOOKUP(B21,Data!$A:$AN,MATCH(yoy!$Z$1,Data!$A$1:$AN$1,),)-VLOOKUP(A21,Data!$A:$AN,MATCH(yoy!$Z$1,Data!$A$1:$AN$1,),))/VLOOKUP(A21,Data!$A:$AN,MATCH(yoy!$Z$1,Data!$A$1:$AN$1,),))+1)^12-1)</f>
        <v/>
      </c>
      <c r="AA21" s="14">
        <f>IF(VLOOKUP(B21,Data!$A:$AN,MATCH(yoy!$AA$1,Data!$A$1:$AN$1,),)=0,"#N/A",(((VLOOKUP(B21,Data!$A:$AN,MATCH(yoy!$AA$1,Data!$A$1:$AN$1,),)-VLOOKUP(A21,Data!$A:$AN,MATCH(yoy!$AA$1,Data!$A$1:$AN$1,),))/VLOOKUP(A21,Data!$A:$AN,MATCH(yoy!$AA$1,Data!$A$1:$AN$1,),))+1)^12-1)</f>
        <v/>
      </c>
    </row>
    <row r="22">
      <c r="A22" s="20">
        <f>DATE(YEAR(B22),MONTH(B22)-1,DAY(B22))</f>
        <v/>
      </c>
      <c r="B22" s="12" t="n">
        <v>42522</v>
      </c>
      <c r="C22" s="14">
        <f>IF(VLOOKUP(B22,Data!$A:$AN,MATCH(yoy!$C$1,Data!$A$1:$AN$1,),)=0,"#N/A",(((VLOOKUP(B22,Data!$A:$AN,MATCH(yoy!$C$1,Data!$A$1:$AN$1,),)-VLOOKUP(A22,Data!$A:$AN,MATCH(yoy!$C$1,Data!$A$1:$AN$1,),))/VLOOKUP(A22,Data!$A:$AN,MATCH(yoy!$C$1,Data!$A$1:$AN$1,),))+1)^12-1)</f>
        <v/>
      </c>
      <c r="D22" s="14">
        <f>IF(VLOOKUP(B22,Data!$A:$AN,MATCH(yoy!$D$1,Data!$A$1:$AN$1,),)=0,"#N/A",(((VLOOKUP(B22,Data!$A:$AN,MATCH(yoy!$D$1,Data!$A$1:$AN$1,),)-VLOOKUP(A22,Data!$A:$AN,MATCH(yoy!$D$1,Data!$A$1:$AN$1,),))/VLOOKUP(A22,Data!$A:$AN,MATCH(yoy!$D$1,Data!$A$1:$AN$1,),))+1)^12-1)</f>
        <v/>
      </c>
      <c r="E22" s="14">
        <f>IF(VLOOKUP(B22,Data!$A:$AN,MATCH(yoy!$E$1,Data!$A$1:$AN$1,),)=0,"#N/A",(((VLOOKUP(B22,Data!$A:$AN,MATCH(yoy!$E$1,Data!$A$1:$AN$1,),)-VLOOKUP(A22,Data!$A:$AN,MATCH(yoy!$E$1,Data!$A$1:$AN$1,),))/VLOOKUP(A22,Data!$A:$AN,MATCH(yoy!$E$1,Data!$A$1:$AN$1,),))+1)^12-1)</f>
        <v/>
      </c>
      <c r="F22" s="14">
        <f>IF(VLOOKUP(B22,Data!$A:$AN,MATCH(yoy!$F$1,Data!$A$1:$AN$1,),)=0,"#N/A",(((VLOOKUP(B22,Data!$A:$AN,MATCH(yoy!$F$1,Data!$A$1:$AN$1,),)-VLOOKUP(A22,Data!$A:$AN,MATCH(yoy!$F$1,Data!$A$1:$AN$1,),))/VLOOKUP(A22,Data!$A:$AN,MATCH(yoy!$F$1,Data!$A$1:$AN$1,),))+1)^12-1)</f>
        <v/>
      </c>
      <c r="G22" s="14">
        <f>IF(VLOOKUP(B22,Data!$A:$AN,MATCH(yoy!$G$1,Data!$A$1:$AN$1,),)=0,"#N/A",(((VLOOKUP(B22,Data!$A:$AN,MATCH(yoy!$G$1,Data!$A$1:$AN$1,),)-VLOOKUP(A22,Data!$A:$AN,MATCH(yoy!$G$1,Data!$A$1:$AN$1,),))/VLOOKUP(A22,Data!$A:$AN,MATCH(yoy!$G$1,Data!$A$1:$AN$1,),))+1)^12-1)</f>
        <v/>
      </c>
      <c r="H22" s="14">
        <f>IF(VLOOKUP(B22,Data!$A:$AN,MATCH(yoy!$H$1,Data!$A$1:$AN$1,),)=0,"#N/A",(((VLOOKUP(B22,Data!$A:$AN,MATCH(yoy!$H$1,Data!$A$1:$AN$1,),)-VLOOKUP(A22,Data!$A:$AN,MATCH(yoy!$H$1,Data!$A$1:$AN$1,),))/VLOOKUP(A22,Data!$A:$AN,MATCH(yoy!$H$1,Data!$A$1:$AN$1,),))+1)^12-1)</f>
        <v/>
      </c>
      <c r="I22" s="14">
        <f>IF(VLOOKUP(B22,Data!$A:$AN,MATCH(yoy!$I$1,Data!$A$1:$AN$1,),)=0,"#N/A",(((VLOOKUP(B22,Data!$A:$AN,MATCH(yoy!$I$1,Data!$A$1:$AN$1,),)-VLOOKUP(A22,Data!$A:$AN,MATCH(yoy!$I$1,Data!$A$1:$AN$1,),))/VLOOKUP(A22,Data!$A:$AN,MATCH(yoy!$I$1,Data!$A$1:$AN$1,),))+1)^12-1)</f>
        <v/>
      </c>
      <c r="J22" s="14">
        <f>IF(VLOOKUP(B22,Data!$A:$AN,MATCH(yoy!$J$1,Data!$A$1:$AN$1,),)=0,"#N/A",(((VLOOKUP(B22,Data!$A:$AN,MATCH(yoy!$J$1,Data!$A$1:$AN$1,),)-VLOOKUP(A22,Data!$A:$AN,MATCH(yoy!$J$1,Data!$A$1:$AN$1,),))/VLOOKUP(A22,Data!$A:$AN,MATCH(yoy!$J$1,Data!$A$1:$AN$1,),))+1)^12-1)</f>
        <v/>
      </c>
      <c r="K22" s="14">
        <f>IF(VLOOKUP(B22,Data!$A:$AN,MATCH(yoy!$K$1,Data!$A$1:$AN$1,),)=0,"#N/A",(((VLOOKUP(B22,Data!$A:$AN,MATCH(yoy!$K$1,Data!$A$1:$AN$1,),)-VLOOKUP(A22,Data!$A:$AN,MATCH(yoy!$K$1,Data!$A$1:$AN$1,),))/VLOOKUP(A22,Data!$A:$AN,MATCH(yoy!$K$1,Data!$A$1:$AN$1,),))+1)^12-1)</f>
        <v/>
      </c>
      <c r="L22" s="14">
        <f>IF(VLOOKUP(B22,Data!$A:$AN,MATCH(yoy!$L$1,Data!$A$1:$AN$1,),)=0,"#N/A",(((VLOOKUP(B22,Data!$A:$AN,MATCH(yoy!$L$1,Data!$A$1:$AN$1,),)-VLOOKUP(A22,Data!$A:$AN,MATCH(yoy!$L$1,Data!$A$1:$AN$1,),))/VLOOKUP(A22,Data!$A:$AN,MATCH(yoy!$L$1,Data!$A$1:$AN$1,),))+1)^12-1)</f>
        <v/>
      </c>
      <c r="M22" s="14">
        <f>IF(VLOOKUP(B22,Data!$A:$AN,MATCH(yoy!$M$1,Data!$A$1:$AN$1,),)=0,"#N/A",(((VLOOKUP(B22,Data!$A:$AN,MATCH(yoy!$M$1,Data!$A$1:$AN$1,),)-VLOOKUP(A22,Data!$A:$AN,MATCH(yoy!$M$1,Data!$A$1:$AN$1,),))/VLOOKUP(A22,Data!$A:$AN,MATCH(yoy!$M$1,Data!$A$1:$AN$1,),))+1)^12-1)</f>
        <v/>
      </c>
      <c r="N22" s="14">
        <f>IF(VLOOKUP(B22,Data!$A:$AN,MATCH(yoy!$N$1,Data!$A$1:$AN$1,),)=0,"#N/A",(((VLOOKUP(B22,Data!$A:$AN,MATCH(yoy!$N$1,Data!$A$1:$AN$1,),)-VLOOKUP(A22,Data!$A:$AN,MATCH(yoy!$N$1,Data!$A$1:$AN$1,),))/VLOOKUP(A22,Data!$A:$AN,MATCH(yoy!$N$1,Data!$A$1:$AN$1,),))+1)^12-1)</f>
        <v/>
      </c>
      <c r="O22" s="14">
        <f>IF(VLOOKUP(B22,Data!$A:$AN,MATCH(yoy!$O$1,Data!$A$1:$AN$1,),)=0,"#N/A",(((VLOOKUP(B22,Data!$A:$AN,MATCH(yoy!$O$1,Data!$A$1:$AN$1,),)-VLOOKUP(A22,Data!$A:$AN,MATCH(yoy!$O$1,Data!$A$1:$AN$1,),))/VLOOKUP(A22,Data!$A:$AN,MATCH(yoy!$O$1,Data!$A$1:$AN$1,),))+1)^12-1)</f>
        <v/>
      </c>
      <c r="P22" s="14">
        <f>IF(VLOOKUP(B22,Data!$A:$AN,MATCH(yoy!$P$1,Data!$A$1:$AN$1,),)=0,"#N/A",(((VLOOKUP(B22,Data!$A:$AN,MATCH(yoy!$P$1,Data!$A$1:$AN$1,),)-VLOOKUP(A22,Data!$A:$AN,MATCH(yoy!$P$1,Data!$A$1:$AN$1,),))/VLOOKUP(A22,Data!$A:$AN,MATCH(yoy!$P$1,Data!$A$1:$AN$1,),))+1)^12-1)</f>
        <v/>
      </c>
      <c r="Q22" s="14">
        <f>IF(VLOOKUP(B22,Data!$A:$AN,MATCH(yoy!$Q$1,Data!$A$1:$AN$1,),)=0,"#N/A",(((VLOOKUP(B22,Data!$A:$AN,MATCH(yoy!$Q$1,Data!$A$1:$AN$1,),)-VLOOKUP(A22,Data!$A:$AN,MATCH(yoy!$Q$1,Data!$A$1:$AN$1,),))/VLOOKUP(A22,Data!$A:$AN,MATCH(yoy!$Q$1,Data!$A$1:$AN$1,),))+1)^12-1)</f>
        <v/>
      </c>
      <c r="R22" s="14">
        <f>IF(VLOOKUP(B22,Data!$A:$AN,MATCH(yoy!$R$1,Data!$A$1:$AN$1,),)=0,"#N/A",(((VLOOKUP(B22,Data!$A:$AN,MATCH(yoy!$R$1,Data!$A$1:$AN$1,),)-VLOOKUP(A22,Data!$A:$AN,MATCH(yoy!$R$1,Data!$A$1:$AN$1,),))/VLOOKUP(A22,Data!$A:$AN,MATCH(yoy!$R$1,Data!$A$1:$AN$1,),))+1)^12-1)</f>
        <v/>
      </c>
      <c r="S22" s="14">
        <f>IF(VLOOKUP(B22,Data!$A:$AN,MATCH(yoy!$S$1,Data!$A$1:$AN$1,),)=0,"#N/A",(((VLOOKUP(B22,Data!$A:$AN,MATCH(yoy!$S$1,Data!$A$1:$AN$1,),)-VLOOKUP(A22,Data!$A:$AN,MATCH(yoy!$S$1,Data!$A$1:$AN$1,),))/VLOOKUP(A22,Data!$A:$AN,MATCH(yoy!$S$1,Data!$A$1:$AN$1,),))+1)^12-1)</f>
        <v/>
      </c>
      <c r="T22" s="14">
        <f>IF(VLOOKUP(B22,Data!$A:$AN,MATCH(yoy!$T$1,Data!$A$1:$AN$1,),)=0,"#N/A",(((VLOOKUP(B22,Data!$A:$AN,MATCH(yoy!$T$1,Data!$A$1:$AN$1,),)-VLOOKUP(A22,Data!$A:$AN,MATCH(yoy!$T$1,Data!$A$1:$AN$1,),))/VLOOKUP(A22,Data!$A:$AN,MATCH(yoy!$T$1,Data!$A$1:$AN$1,),))+1)^12-1)</f>
        <v/>
      </c>
      <c r="U22" s="14">
        <f>IF(VLOOKUP(B22,Data!$A:$AN,MATCH(yoy!$U$1,Data!$A$1:$AN$1,),)=0,"#N/A",(((VLOOKUP(B22,Data!$A:$AN,MATCH(yoy!$U$1,Data!$A$1:$AN$1,),)-VLOOKUP(A22,Data!$A:$AN,MATCH(yoy!$U$1,Data!$A$1:$AN$1,),))/VLOOKUP(A22,Data!$A:$AN,MATCH(yoy!$U$1,Data!$A$1:$AN$1,),))+1)^12-1)</f>
        <v/>
      </c>
      <c r="V22" s="14">
        <f>IF(VLOOKUP(B22,Data!$A:$AN,MATCH(yoy!$V$1,Data!$A$1:$AN$1,),)=0,"#N/A",(((VLOOKUP(B22,Data!$A:$AN,MATCH(yoy!$V$1,Data!$A$1:$AN$1,),)-VLOOKUP(A22,Data!$A:$AN,MATCH(yoy!$V$1,Data!$A$1:$AN$1,),))/VLOOKUP(A22,Data!$A:$AN,MATCH(yoy!$V$1,Data!$A$1:$AN$1,),))+1)^12-1)</f>
        <v/>
      </c>
      <c r="W22" s="14">
        <f>IF(VLOOKUP(B22,Data!$A:$AN,MATCH(yoy!$W$1,Data!$A$1:$AN$1,),)=0,"#N/A",(((VLOOKUP(B22,Data!$A:$AN,MATCH(yoy!$W$1,Data!$A$1:$AN$1,),)-VLOOKUP(A22,Data!$A:$AN,MATCH(yoy!$W$1,Data!$A$1:$AN$1,),))/VLOOKUP(A22,Data!$A:$AN,MATCH(yoy!$W$1,Data!$A$1:$AN$1,),))+1)^12-1)</f>
        <v/>
      </c>
      <c r="X22" s="14">
        <f>IF(VLOOKUP(B22,Data!$A:$AN,MATCH(yoy!$X$1,Data!$A$1:$AN$1,),)=0,"#N/A",(((VLOOKUP(B22,Data!$A:$AN,MATCH(yoy!$X$1,Data!$A$1:$AN$1,),)-VLOOKUP(A22,Data!$A:$AN,MATCH(yoy!$X$1,Data!$A$1:$AN$1,),))/VLOOKUP(A22,Data!$A:$AN,MATCH(yoy!$X$1,Data!$A$1:$AN$1,),))+1)^12-1)</f>
        <v/>
      </c>
      <c r="Y22" s="14">
        <f>IF(VLOOKUP(B22,Data!$A:$AN,MATCH(yoy!$Y$1,Data!$A$1:$AN$1,),)=0,"#N/A",(((VLOOKUP(B22,Data!$A:$AN,MATCH(yoy!$Y$1,Data!$A$1:$AN$1,),)-VLOOKUP(A22,Data!$A:$AN,MATCH(yoy!$Y$1,Data!$A$1:$AN$1,),))/VLOOKUP(A22,Data!$A:$AN,MATCH(yoy!$Y$1,Data!$A$1:$AN$1,),))+1)^12-1)</f>
        <v/>
      </c>
      <c r="Z22" s="14">
        <f>IF(VLOOKUP(B22,Data!$A:$AN,MATCH(yoy!$Z$1,Data!$A$1:$AN$1,),)=0,"#N/A",(((VLOOKUP(B22,Data!$A:$AN,MATCH(yoy!$Z$1,Data!$A$1:$AN$1,),)-VLOOKUP(A22,Data!$A:$AN,MATCH(yoy!$Z$1,Data!$A$1:$AN$1,),))/VLOOKUP(A22,Data!$A:$AN,MATCH(yoy!$Z$1,Data!$A$1:$AN$1,),))+1)^12-1)</f>
        <v/>
      </c>
      <c r="AA22" s="14">
        <f>IF(VLOOKUP(B22,Data!$A:$AN,MATCH(yoy!$AA$1,Data!$A$1:$AN$1,),)=0,"#N/A",(((VLOOKUP(B22,Data!$A:$AN,MATCH(yoy!$AA$1,Data!$A$1:$AN$1,),)-VLOOKUP(A22,Data!$A:$AN,MATCH(yoy!$AA$1,Data!$A$1:$AN$1,),))/VLOOKUP(A22,Data!$A:$AN,MATCH(yoy!$AA$1,Data!$A$1:$AN$1,),))+1)^12-1)</f>
        <v/>
      </c>
    </row>
    <row r="23">
      <c r="A23" s="20">
        <f>DATE(YEAR(B23),MONTH(B23)-1,DAY(B23))</f>
        <v/>
      </c>
      <c r="B23" s="12" t="n">
        <v>42552</v>
      </c>
      <c r="C23" s="14">
        <f>IF(VLOOKUP(B23,Data!$A:$AN,MATCH(yoy!$C$1,Data!$A$1:$AN$1,),)=0,"#N/A",(((VLOOKUP(B23,Data!$A:$AN,MATCH(yoy!$C$1,Data!$A$1:$AN$1,),)-VLOOKUP(A23,Data!$A:$AN,MATCH(yoy!$C$1,Data!$A$1:$AN$1,),))/VLOOKUP(A23,Data!$A:$AN,MATCH(yoy!$C$1,Data!$A$1:$AN$1,),))+1)^12-1)</f>
        <v/>
      </c>
      <c r="D23" s="14">
        <f>IF(VLOOKUP(B23,Data!$A:$AN,MATCH(yoy!$D$1,Data!$A$1:$AN$1,),)=0,"#N/A",(((VLOOKUP(B23,Data!$A:$AN,MATCH(yoy!$D$1,Data!$A$1:$AN$1,),)-VLOOKUP(A23,Data!$A:$AN,MATCH(yoy!$D$1,Data!$A$1:$AN$1,),))/VLOOKUP(A23,Data!$A:$AN,MATCH(yoy!$D$1,Data!$A$1:$AN$1,),))+1)^12-1)</f>
        <v/>
      </c>
      <c r="E23" s="14">
        <f>IF(VLOOKUP(B23,Data!$A:$AN,MATCH(yoy!$E$1,Data!$A$1:$AN$1,),)=0,"#N/A",(((VLOOKUP(B23,Data!$A:$AN,MATCH(yoy!$E$1,Data!$A$1:$AN$1,),)-VLOOKUP(A23,Data!$A:$AN,MATCH(yoy!$E$1,Data!$A$1:$AN$1,),))/VLOOKUP(A23,Data!$A:$AN,MATCH(yoy!$E$1,Data!$A$1:$AN$1,),))+1)^12-1)</f>
        <v/>
      </c>
      <c r="F23" s="14">
        <f>IF(VLOOKUP(B23,Data!$A:$AN,MATCH(yoy!$F$1,Data!$A$1:$AN$1,),)=0,"#N/A",(((VLOOKUP(B23,Data!$A:$AN,MATCH(yoy!$F$1,Data!$A$1:$AN$1,),)-VLOOKUP(A23,Data!$A:$AN,MATCH(yoy!$F$1,Data!$A$1:$AN$1,),))/VLOOKUP(A23,Data!$A:$AN,MATCH(yoy!$F$1,Data!$A$1:$AN$1,),))+1)^12-1)</f>
        <v/>
      </c>
      <c r="G23" s="14">
        <f>IF(VLOOKUP(B23,Data!$A:$AN,MATCH(yoy!$G$1,Data!$A$1:$AN$1,),)=0,"#N/A",(((VLOOKUP(B23,Data!$A:$AN,MATCH(yoy!$G$1,Data!$A$1:$AN$1,),)-VLOOKUP(A23,Data!$A:$AN,MATCH(yoy!$G$1,Data!$A$1:$AN$1,),))/VLOOKUP(A23,Data!$A:$AN,MATCH(yoy!$G$1,Data!$A$1:$AN$1,),))+1)^12-1)</f>
        <v/>
      </c>
      <c r="H23" s="14">
        <f>IF(VLOOKUP(B23,Data!$A:$AN,MATCH(yoy!$H$1,Data!$A$1:$AN$1,),)=0,"#N/A",(((VLOOKUP(B23,Data!$A:$AN,MATCH(yoy!$H$1,Data!$A$1:$AN$1,),)-VLOOKUP(A23,Data!$A:$AN,MATCH(yoy!$H$1,Data!$A$1:$AN$1,),))/VLOOKUP(A23,Data!$A:$AN,MATCH(yoy!$H$1,Data!$A$1:$AN$1,),))+1)^12-1)</f>
        <v/>
      </c>
      <c r="I23" s="14">
        <f>IF(VLOOKUP(B23,Data!$A:$AN,MATCH(yoy!$I$1,Data!$A$1:$AN$1,),)=0,"#N/A",(((VLOOKUP(B23,Data!$A:$AN,MATCH(yoy!$I$1,Data!$A$1:$AN$1,),)-VLOOKUP(A23,Data!$A:$AN,MATCH(yoy!$I$1,Data!$A$1:$AN$1,),))/VLOOKUP(A23,Data!$A:$AN,MATCH(yoy!$I$1,Data!$A$1:$AN$1,),))+1)^12-1)</f>
        <v/>
      </c>
      <c r="J23" s="14">
        <f>IF(VLOOKUP(B23,Data!$A:$AN,MATCH(yoy!$J$1,Data!$A$1:$AN$1,),)=0,"#N/A",(((VLOOKUP(B23,Data!$A:$AN,MATCH(yoy!$J$1,Data!$A$1:$AN$1,),)-VLOOKUP(A23,Data!$A:$AN,MATCH(yoy!$J$1,Data!$A$1:$AN$1,),))/VLOOKUP(A23,Data!$A:$AN,MATCH(yoy!$J$1,Data!$A$1:$AN$1,),))+1)^12-1)</f>
        <v/>
      </c>
      <c r="K23" s="14">
        <f>IF(VLOOKUP(B23,Data!$A:$AN,MATCH(yoy!$K$1,Data!$A$1:$AN$1,),)=0,"#N/A",(((VLOOKUP(B23,Data!$A:$AN,MATCH(yoy!$K$1,Data!$A$1:$AN$1,),)-VLOOKUP(A23,Data!$A:$AN,MATCH(yoy!$K$1,Data!$A$1:$AN$1,),))/VLOOKUP(A23,Data!$A:$AN,MATCH(yoy!$K$1,Data!$A$1:$AN$1,),))+1)^12-1)</f>
        <v/>
      </c>
      <c r="L23" s="14">
        <f>IF(VLOOKUP(B23,Data!$A:$AN,MATCH(yoy!$L$1,Data!$A$1:$AN$1,),)=0,"#N/A",(((VLOOKUP(B23,Data!$A:$AN,MATCH(yoy!$L$1,Data!$A$1:$AN$1,),)-VLOOKUP(A23,Data!$A:$AN,MATCH(yoy!$L$1,Data!$A$1:$AN$1,),))/VLOOKUP(A23,Data!$A:$AN,MATCH(yoy!$L$1,Data!$A$1:$AN$1,),))+1)^12-1)</f>
        <v/>
      </c>
      <c r="M23" s="14">
        <f>IF(VLOOKUP(B23,Data!$A:$AN,MATCH(yoy!$M$1,Data!$A$1:$AN$1,),)=0,"#N/A",(((VLOOKUP(B23,Data!$A:$AN,MATCH(yoy!$M$1,Data!$A$1:$AN$1,),)-VLOOKUP(A23,Data!$A:$AN,MATCH(yoy!$M$1,Data!$A$1:$AN$1,),))/VLOOKUP(A23,Data!$A:$AN,MATCH(yoy!$M$1,Data!$A$1:$AN$1,),))+1)^12-1)</f>
        <v/>
      </c>
      <c r="N23" s="14">
        <f>IF(VLOOKUP(B23,Data!$A:$AN,MATCH(yoy!$N$1,Data!$A$1:$AN$1,),)=0,"#N/A",(((VLOOKUP(B23,Data!$A:$AN,MATCH(yoy!$N$1,Data!$A$1:$AN$1,),)-VLOOKUP(A23,Data!$A:$AN,MATCH(yoy!$N$1,Data!$A$1:$AN$1,),))/VLOOKUP(A23,Data!$A:$AN,MATCH(yoy!$N$1,Data!$A$1:$AN$1,),))+1)^12-1)</f>
        <v/>
      </c>
      <c r="O23" s="14">
        <f>IF(VLOOKUP(B23,Data!$A:$AN,MATCH(yoy!$O$1,Data!$A$1:$AN$1,),)=0,"#N/A",(((VLOOKUP(B23,Data!$A:$AN,MATCH(yoy!$O$1,Data!$A$1:$AN$1,),)-VLOOKUP(A23,Data!$A:$AN,MATCH(yoy!$O$1,Data!$A$1:$AN$1,),))/VLOOKUP(A23,Data!$A:$AN,MATCH(yoy!$O$1,Data!$A$1:$AN$1,),))+1)^12-1)</f>
        <v/>
      </c>
      <c r="P23" s="14">
        <f>IF(VLOOKUP(B23,Data!$A:$AN,MATCH(yoy!$P$1,Data!$A$1:$AN$1,),)=0,"#N/A",(((VLOOKUP(B23,Data!$A:$AN,MATCH(yoy!$P$1,Data!$A$1:$AN$1,),)-VLOOKUP(A23,Data!$A:$AN,MATCH(yoy!$P$1,Data!$A$1:$AN$1,),))/VLOOKUP(A23,Data!$A:$AN,MATCH(yoy!$P$1,Data!$A$1:$AN$1,),))+1)^12-1)</f>
        <v/>
      </c>
      <c r="Q23" s="14">
        <f>IF(VLOOKUP(B23,Data!$A:$AN,MATCH(yoy!$Q$1,Data!$A$1:$AN$1,),)=0,"#N/A",(((VLOOKUP(B23,Data!$A:$AN,MATCH(yoy!$Q$1,Data!$A$1:$AN$1,),)-VLOOKUP(A23,Data!$A:$AN,MATCH(yoy!$Q$1,Data!$A$1:$AN$1,),))/VLOOKUP(A23,Data!$A:$AN,MATCH(yoy!$Q$1,Data!$A$1:$AN$1,),))+1)^12-1)</f>
        <v/>
      </c>
      <c r="R23" s="14">
        <f>IF(VLOOKUP(B23,Data!$A:$AN,MATCH(yoy!$R$1,Data!$A$1:$AN$1,),)=0,"#N/A",(((VLOOKUP(B23,Data!$A:$AN,MATCH(yoy!$R$1,Data!$A$1:$AN$1,),)-VLOOKUP(A23,Data!$A:$AN,MATCH(yoy!$R$1,Data!$A$1:$AN$1,),))/VLOOKUP(A23,Data!$A:$AN,MATCH(yoy!$R$1,Data!$A$1:$AN$1,),))+1)^12-1)</f>
        <v/>
      </c>
      <c r="S23" s="14">
        <f>IF(VLOOKUP(B23,Data!$A:$AN,MATCH(yoy!$S$1,Data!$A$1:$AN$1,),)=0,"#N/A",(((VLOOKUP(B23,Data!$A:$AN,MATCH(yoy!$S$1,Data!$A$1:$AN$1,),)-VLOOKUP(A23,Data!$A:$AN,MATCH(yoy!$S$1,Data!$A$1:$AN$1,),))/VLOOKUP(A23,Data!$A:$AN,MATCH(yoy!$S$1,Data!$A$1:$AN$1,),))+1)^12-1)</f>
        <v/>
      </c>
      <c r="T23" s="14">
        <f>IF(VLOOKUP(B23,Data!$A:$AN,MATCH(yoy!$T$1,Data!$A$1:$AN$1,),)=0,"#N/A",(((VLOOKUP(B23,Data!$A:$AN,MATCH(yoy!$T$1,Data!$A$1:$AN$1,),)-VLOOKUP(A23,Data!$A:$AN,MATCH(yoy!$T$1,Data!$A$1:$AN$1,),))/VLOOKUP(A23,Data!$A:$AN,MATCH(yoy!$T$1,Data!$A$1:$AN$1,),))+1)^12-1)</f>
        <v/>
      </c>
      <c r="U23" s="14">
        <f>IF(VLOOKUP(B23,Data!$A:$AN,MATCH(yoy!$U$1,Data!$A$1:$AN$1,),)=0,"#N/A",(((VLOOKUP(B23,Data!$A:$AN,MATCH(yoy!$U$1,Data!$A$1:$AN$1,),)-VLOOKUP(A23,Data!$A:$AN,MATCH(yoy!$U$1,Data!$A$1:$AN$1,),))/VLOOKUP(A23,Data!$A:$AN,MATCH(yoy!$U$1,Data!$A$1:$AN$1,),))+1)^12-1)</f>
        <v/>
      </c>
      <c r="V23" s="14">
        <f>IF(VLOOKUP(B23,Data!$A:$AN,MATCH(yoy!$V$1,Data!$A$1:$AN$1,),)=0,"#N/A",(((VLOOKUP(B23,Data!$A:$AN,MATCH(yoy!$V$1,Data!$A$1:$AN$1,),)-VLOOKUP(A23,Data!$A:$AN,MATCH(yoy!$V$1,Data!$A$1:$AN$1,),))/VLOOKUP(A23,Data!$A:$AN,MATCH(yoy!$V$1,Data!$A$1:$AN$1,),))+1)^12-1)</f>
        <v/>
      </c>
      <c r="W23" s="14">
        <f>IF(VLOOKUP(B23,Data!$A:$AN,MATCH(yoy!$W$1,Data!$A$1:$AN$1,),)=0,"#N/A",(((VLOOKUP(B23,Data!$A:$AN,MATCH(yoy!$W$1,Data!$A$1:$AN$1,),)-VLOOKUP(A23,Data!$A:$AN,MATCH(yoy!$W$1,Data!$A$1:$AN$1,),))/VLOOKUP(A23,Data!$A:$AN,MATCH(yoy!$W$1,Data!$A$1:$AN$1,),))+1)^12-1)</f>
        <v/>
      </c>
      <c r="X23" s="14">
        <f>IF(VLOOKUP(B23,Data!$A:$AN,MATCH(yoy!$X$1,Data!$A$1:$AN$1,),)=0,"#N/A",(((VLOOKUP(B23,Data!$A:$AN,MATCH(yoy!$X$1,Data!$A$1:$AN$1,),)-VLOOKUP(A23,Data!$A:$AN,MATCH(yoy!$X$1,Data!$A$1:$AN$1,),))/VLOOKUP(A23,Data!$A:$AN,MATCH(yoy!$X$1,Data!$A$1:$AN$1,),))+1)^12-1)</f>
        <v/>
      </c>
      <c r="Y23" s="14">
        <f>IF(VLOOKUP(B23,Data!$A:$AN,MATCH(yoy!$Y$1,Data!$A$1:$AN$1,),)=0,"#N/A",(((VLOOKUP(B23,Data!$A:$AN,MATCH(yoy!$Y$1,Data!$A$1:$AN$1,),)-VLOOKUP(A23,Data!$A:$AN,MATCH(yoy!$Y$1,Data!$A$1:$AN$1,),))/VLOOKUP(A23,Data!$A:$AN,MATCH(yoy!$Y$1,Data!$A$1:$AN$1,),))+1)^12-1)</f>
        <v/>
      </c>
      <c r="Z23" s="14">
        <f>IF(VLOOKUP(B23,Data!$A:$AN,MATCH(yoy!$Z$1,Data!$A$1:$AN$1,),)=0,"#N/A",(((VLOOKUP(B23,Data!$A:$AN,MATCH(yoy!$Z$1,Data!$A$1:$AN$1,),)-VLOOKUP(A23,Data!$A:$AN,MATCH(yoy!$Z$1,Data!$A$1:$AN$1,),))/VLOOKUP(A23,Data!$A:$AN,MATCH(yoy!$Z$1,Data!$A$1:$AN$1,),))+1)^12-1)</f>
        <v/>
      </c>
      <c r="AA23" s="14">
        <f>IF(VLOOKUP(B23,Data!$A:$AN,MATCH(yoy!$AA$1,Data!$A$1:$AN$1,),)=0,"#N/A",(((VLOOKUP(B23,Data!$A:$AN,MATCH(yoy!$AA$1,Data!$A$1:$AN$1,),)-VLOOKUP(A23,Data!$A:$AN,MATCH(yoy!$AA$1,Data!$A$1:$AN$1,),))/VLOOKUP(A23,Data!$A:$AN,MATCH(yoy!$AA$1,Data!$A$1:$AN$1,),))+1)^12-1)</f>
        <v/>
      </c>
    </row>
    <row r="24">
      <c r="A24" s="20">
        <f>DATE(YEAR(B24),MONTH(B24)-1,DAY(B24))</f>
        <v/>
      </c>
      <c r="B24" s="12" t="n">
        <v>42583</v>
      </c>
      <c r="C24" s="14">
        <f>IF(VLOOKUP(B24,Data!$A:$AN,MATCH(yoy!$C$1,Data!$A$1:$AN$1,),)=0,"#N/A",(((VLOOKUP(B24,Data!$A:$AN,MATCH(yoy!$C$1,Data!$A$1:$AN$1,),)-VLOOKUP(A24,Data!$A:$AN,MATCH(yoy!$C$1,Data!$A$1:$AN$1,),))/VLOOKUP(A24,Data!$A:$AN,MATCH(yoy!$C$1,Data!$A$1:$AN$1,),))+1)^12-1)</f>
        <v/>
      </c>
      <c r="D24" s="14">
        <f>IF(VLOOKUP(B24,Data!$A:$AN,MATCH(yoy!$D$1,Data!$A$1:$AN$1,),)=0,"#N/A",(((VLOOKUP(B24,Data!$A:$AN,MATCH(yoy!$D$1,Data!$A$1:$AN$1,),)-VLOOKUP(A24,Data!$A:$AN,MATCH(yoy!$D$1,Data!$A$1:$AN$1,),))/VLOOKUP(A24,Data!$A:$AN,MATCH(yoy!$D$1,Data!$A$1:$AN$1,),))+1)^12-1)</f>
        <v/>
      </c>
      <c r="E24" s="14">
        <f>IF(VLOOKUP(B24,Data!$A:$AN,MATCH(yoy!$E$1,Data!$A$1:$AN$1,),)=0,"#N/A",(((VLOOKUP(B24,Data!$A:$AN,MATCH(yoy!$E$1,Data!$A$1:$AN$1,),)-VLOOKUP(A24,Data!$A:$AN,MATCH(yoy!$E$1,Data!$A$1:$AN$1,),))/VLOOKUP(A24,Data!$A:$AN,MATCH(yoy!$E$1,Data!$A$1:$AN$1,),))+1)^12-1)</f>
        <v/>
      </c>
      <c r="F24" s="14">
        <f>IF(VLOOKUP(B24,Data!$A:$AN,MATCH(yoy!$F$1,Data!$A$1:$AN$1,),)=0,"#N/A",(((VLOOKUP(B24,Data!$A:$AN,MATCH(yoy!$F$1,Data!$A$1:$AN$1,),)-VLOOKUP(A24,Data!$A:$AN,MATCH(yoy!$F$1,Data!$A$1:$AN$1,),))/VLOOKUP(A24,Data!$A:$AN,MATCH(yoy!$F$1,Data!$A$1:$AN$1,),))+1)^12-1)</f>
        <v/>
      </c>
      <c r="G24" s="14">
        <f>IF(VLOOKUP(B24,Data!$A:$AN,MATCH(yoy!$G$1,Data!$A$1:$AN$1,),)=0,"#N/A",(((VLOOKUP(B24,Data!$A:$AN,MATCH(yoy!$G$1,Data!$A$1:$AN$1,),)-VLOOKUP(A24,Data!$A:$AN,MATCH(yoy!$G$1,Data!$A$1:$AN$1,),))/VLOOKUP(A24,Data!$A:$AN,MATCH(yoy!$G$1,Data!$A$1:$AN$1,),))+1)^12-1)</f>
        <v/>
      </c>
      <c r="H24" s="14">
        <f>IF(VLOOKUP(B24,Data!$A:$AN,MATCH(yoy!$H$1,Data!$A$1:$AN$1,),)=0,"#N/A",(((VLOOKUP(B24,Data!$A:$AN,MATCH(yoy!$H$1,Data!$A$1:$AN$1,),)-VLOOKUP(A24,Data!$A:$AN,MATCH(yoy!$H$1,Data!$A$1:$AN$1,),))/VLOOKUP(A24,Data!$A:$AN,MATCH(yoy!$H$1,Data!$A$1:$AN$1,),))+1)^12-1)</f>
        <v/>
      </c>
      <c r="I24" s="14">
        <f>IF(VLOOKUP(B24,Data!$A:$AN,MATCH(yoy!$I$1,Data!$A$1:$AN$1,),)=0,"#N/A",(((VLOOKUP(B24,Data!$A:$AN,MATCH(yoy!$I$1,Data!$A$1:$AN$1,),)-VLOOKUP(A24,Data!$A:$AN,MATCH(yoy!$I$1,Data!$A$1:$AN$1,),))/VLOOKUP(A24,Data!$A:$AN,MATCH(yoy!$I$1,Data!$A$1:$AN$1,),))+1)^12-1)</f>
        <v/>
      </c>
      <c r="J24" s="14">
        <f>IF(VLOOKUP(B24,Data!$A:$AN,MATCH(yoy!$J$1,Data!$A$1:$AN$1,),)=0,"#N/A",(((VLOOKUP(B24,Data!$A:$AN,MATCH(yoy!$J$1,Data!$A$1:$AN$1,),)-VLOOKUP(A24,Data!$A:$AN,MATCH(yoy!$J$1,Data!$A$1:$AN$1,),))/VLOOKUP(A24,Data!$A:$AN,MATCH(yoy!$J$1,Data!$A$1:$AN$1,),))+1)^12-1)</f>
        <v/>
      </c>
      <c r="K24" s="14">
        <f>IF(VLOOKUP(B24,Data!$A:$AN,MATCH(yoy!$K$1,Data!$A$1:$AN$1,),)=0,"#N/A",(((VLOOKUP(B24,Data!$A:$AN,MATCH(yoy!$K$1,Data!$A$1:$AN$1,),)-VLOOKUP(A24,Data!$A:$AN,MATCH(yoy!$K$1,Data!$A$1:$AN$1,),))/VLOOKUP(A24,Data!$A:$AN,MATCH(yoy!$K$1,Data!$A$1:$AN$1,),))+1)^12-1)</f>
        <v/>
      </c>
      <c r="L24" s="14">
        <f>IF(VLOOKUP(B24,Data!$A:$AN,MATCH(yoy!$L$1,Data!$A$1:$AN$1,),)=0,"#N/A",(((VLOOKUP(B24,Data!$A:$AN,MATCH(yoy!$L$1,Data!$A$1:$AN$1,),)-VLOOKUP(A24,Data!$A:$AN,MATCH(yoy!$L$1,Data!$A$1:$AN$1,),))/VLOOKUP(A24,Data!$A:$AN,MATCH(yoy!$L$1,Data!$A$1:$AN$1,),))+1)^12-1)</f>
        <v/>
      </c>
      <c r="M24" s="14">
        <f>IF(VLOOKUP(B24,Data!$A:$AN,MATCH(yoy!$M$1,Data!$A$1:$AN$1,),)=0,"#N/A",(((VLOOKUP(B24,Data!$A:$AN,MATCH(yoy!$M$1,Data!$A$1:$AN$1,),)-VLOOKUP(A24,Data!$A:$AN,MATCH(yoy!$M$1,Data!$A$1:$AN$1,),))/VLOOKUP(A24,Data!$A:$AN,MATCH(yoy!$M$1,Data!$A$1:$AN$1,),))+1)^12-1)</f>
        <v/>
      </c>
      <c r="N24" s="14">
        <f>IF(VLOOKUP(B24,Data!$A:$AN,MATCH(yoy!$N$1,Data!$A$1:$AN$1,),)=0,"#N/A",(((VLOOKUP(B24,Data!$A:$AN,MATCH(yoy!$N$1,Data!$A$1:$AN$1,),)-VLOOKUP(A24,Data!$A:$AN,MATCH(yoy!$N$1,Data!$A$1:$AN$1,),))/VLOOKUP(A24,Data!$A:$AN,MATCH(yoy!$N$1,Data!$A$1:$AN$1,),))+1)^12-1)</f>
        <v/>
      </c>
      <c r="O24" s="14">
        <f>IF(VLOOKUP(B24,Data!$A:$AN,MATCH(yoy!$O$1,Data!$A$1:$AN$1,),)=0,"#N/A",(((VLOOKUP(B24,Data!$A:$AN,MATCH(yoy!$O$1,Data!$A$1:$AN$1,),)-VLOOKUP(A24,Data!$A:$AN,MATCH(yoy!$O$1,Data!$A$1:$AN$1,),))/VLOOKUP(A24,Data!$A:$AN,MATCH(yoy!$O$1,Data!$A$1:$AN$1,),))+1)^12-1)</f>
        <v/>
      </c>
      <c r="P24" s="14">
        <f>IF(VLOOKUP(B24,Data!$A:$AN,MATCH(yoy!$P$1,Data!$A$1:$AN$1,),)=0,"#N/A",(((VLOOKUP(B24,Data!$A:$AN,MATCH(yoy!$P$1,Data!$A$1:$AN$1,),)-VLOOKUP(A24,Data!$A:$AN,MATCH(yoy!$P$1,Data!$A$1:$AN$1,),))/VLOOKUP(A24,Data!$A:$AN,MATCH(yoy!$P$1,Data!$A$1:$AN$1,),))+1)^12-1)</f>
        <v/>
      </c>
      <c r="Q24" s="14">
        <f>IF(VLOOKUP(B24,Data!$A:$AN,MATCH(yoy!$Q$1,Data!$A$1:$AN$1,),)=0,"#N/A",(((VLOOKUP(B24,Data!$A:$AN,MATCH(yoy!$Q$1,Data!$A$1:$AN$1,),)-VLOOKUP(A24,Data!$A:$AN,MATCH(yoy!$Q$1,Data!$A$1:$AN$1,),))/VLOOKUP(A24,Data!$A:$AN,MATCH(yoy!$Q$1,Data!$A$1:$AN$1,),))+1)^12-1)</f>
        <v/>
      </c>
      <c r="R24" s="14">
        <f>IF(VLOOKUP(B24,Data!$A:$AN,MATCH(yoy!$R$1,Data!$A$1:$AN$1,),)=0,"#N/A",(((VLOOKUP(B24,Data!$A:$AN,MATCH(yoy!$R$1,Data!$A$1:$AN$1,),)-VLOOKUP(A24,Data!$A:$AN,MATCH(yoy!$R$1,Data!$A$1:$AN$1,),))/VLOOKUP(A24,Data!$A:$AN,MATCH(yoy!$R$1,Data!$A$1:$AN$1,),))+1)^12-1)</f>
        <v/>
      </c>
      <c r="S24" s="14">
        <f>IF(VLOOKUP(B24,Data!$A:$AN,MATCH(yoy!$S$1,Data!$A$1:$AN$1,),)=0,"#N/A",(((VLOOKUP(B24,Data!$A:$AN,MATCH(yoy!$S$1,Data!$A$1:$AN$1,),)-VLOOKUP(A24,Data!$A:$AN,MATCH(yoy!$S$1,Data!$A$1:$AN$1,),))/VLOOKUP(A24,Data!$A:$AN,MATCH(yoy!$S$1,Data!$A$1:$AN$1,),))+1)^12-1)</f>
        <v/>
      </c>
      <c r="T24" s="14">
        <f>IF(VLOOKUP(B24,Data!$A:$AN,MATCH(yoy!$T$1,Data!$A$1:$AN$1,),)=0,"#N/A",(((VLOOKUP(B24,Data!$A:$AN,MATCH(yoy!$T$1,Data!$A$1:$AN$1,),)-VLOOKUP(A24,Data!$A:$AN,MATCH(yoy!$T$1,Data!$A$1:$AN$1,),))/VLOOKUP(A24,Data!$A:$AN,MATCH(yoy!$T$1,Data!$A$1:$AN$1,),))+1)^12-1)</f>
        <v/>
      </c>
      <c r="U24" s="14">
        <f>IF(VLOOKUP(B24,Data!$A:$AN,MATCH(yoy!$U$1,Data!$A$1:$AN$1,),)=0,"#N/A",(((VLOOKUP(B24,Data!$A:$AN,MATCH(yoy!$U$1,Data!$A$1:$AN$1,),)-VLOOKUP(A24,Data!$A:$AN,MATCH(yoy!$U$1,Data!$A$1:$AN$1,),))/VLOOKUP(A24,Data!$A:$AN,MATCH(yoy!$U$1,Data!$A$1:$AN$1,),))+1)^12-1)</f>
        <v/>
      </c>
      <c r="V24" s="14">
        <f>IF(VLOOKUP(B24,Data!$A:$AN,MATCH(yoy!$V$1,Data!$A$1:$AN$1,),)=0,"#N/A",(((VLOOKUP(B24,Data!$A:$AN,MATCH(yoy!$V$1,Data!$A$1:$AN$1,),)-VLOOKUP(A24,Data!$A:$AN,MATCH(yoy!$V$1,Data!$A$1:$AN$1,),))/VLOOKUP(A24,Data!$A:$AN,MATCH(yoy!$V$1,Data!$A$1:$AN$1,),))+1)^12-1)</f>
        <v/>
      </c>
      <c r="W24" s="14">
        <f>IF(VLOOKUP(B24,Data!$A:$AN,MATCH(yoy!$W$1,Data!$A$1:$AN$1,),)=0,"#N/A",(((VLOOKUP(B24,Data!$A:$AN,MATCH(yoy!$W$1,Data!$A$1:$AN$1,),)-VLOOKUP(A24,Data!$A:$AN,MATCH(yoy!$W$1,Data!$A$1:$AN$1,),))/VLOOKUP(A24,Data!$A:$AN,MATCH(yoy!$W$1,Data!$A$1:$AN$1,),))+1)^12-1)</f>
        <v/>
      </c>
      <c r="X24" s="14">
        <f>IF(VLOOKUP(B24,Data!$A:$AN,MATCH(yoy!$X$1,Data!$A$1:$AN$1,),)=0,"#N/A",(((VLOOKUP(B24,Data!$A:$AN,MATCH(yoy!$X$1,Data!$A$1:$AN$1,),)-VLOOKUP(A24,Data!$A:$AN,MATCH(yoy!$X$1,Data!$A$1:$AN$1,),))/VLOOKUP(A24,Data!$A:$AN,MATCH(yoy!$X$1,Data!$A$1:$AN$1,),))+1)^12-1)</f>
        <v/>
      </c>
      <c r="Y24" s="14">
        <f>IF(VLOOKUP(B24,Data!$A:$AN,MATCH(yoy!$Y$1,Data!$A$1:$AN$1,),)=0,"#N/A",(((VLOOKUP(B24,Data!$A:$AN,MATCH(yoy!$Y$1,Data!$A$1:$AN$1,),)-VLOOKUP(A24,Data!$A:$AN,MATCH(yoy!$Y$1,Data!$A$1:$AN$1,),))/VLOOKUP(A24,Data!$A:$AN,MATCH(yoy!$Y$1,Data!$A$1:$AN$1,),))+1)^12-1)</f>
        <v/>
      </c>
      <c r="Z24" s="14">
        <f>IF(VLOOKUP(B24,Data!$A:$AN,MATCH(yoy!$Z$1,Data!$A$1:$AN$1,),)=0,"#N/A",(((VLOOKUP(B24,Data!$A:$AN,MATCH(yoy!$Z$1,Data!$A$1:$AN$1,),)-VLOOKUP(A24,Data!$A:$AN,MATCH(yoy!$Z$1,Data!$A$1:$AN$1,),))/VLOOKUP(A24,Data!$A:$AN,MATCH(yoy!$Z$1,Data!$A$1:$AN$1,),))+1)^12-1)</f>
        <v/>
      </c>
      <c r="AA24" s="14">
        <f>IF(VLOOKUP(B24,Data!$A:$AN,MATCH(yoy!$AA$1,Data!$A$1:$AN$1,),)=0,"#N/A",(((VLOOKUP(B24,Data!$A:$AN,MATCH(yoy!$AA$1,Data!$A$1:$AN$1,),)-VLOOKUP(A24,Data!$A:$AN,MATCH(yoy!$AA$1,Data!$A$1:$AN$1,),))/VLOOKUP(A24,Data!$A:$AN,MATCH(yoy!$AA$1,Data!$A$1:$AN$1,),))+1)^12-1)</f>
        <v/>
      </c>
    </row>
    <row r="25">
      <c r="A25" s="20">
        <f>DATE(YEAR(B25),MONTH(B25)-1,DAY(B25))</f>
        <v/>
      </c>
      <c r="B25" s="12" t="n">
        <v>42614</v>
      </c>
      <c r="C25" s="14">
        <f>IF(VLOOKUP(B25,Data!$A:$AN,MATCH(yoy!$C$1,Data!$A$1:$AN$1,),)=0,"#N/A",(((VLOOKUP(B25,Data!$A:$AN,MATCH(yoy!$C$1,Data!$A$1:$AN$1,),)-VLOOKUP(A25,Data!$A:$AN,MATCH(yoy!$C$1,Data!$A$1:$AN$1,),))/VLOOKUP(A25,Data!$A:$AN,MATCH(yoy!$C$1,Data!$A$1:$AN$1,),))+1)^12-1)</f>
        <v/>
      </c>
      <c r="D25" s="14">
        <f>IF(VLOOKUP(B25,Data!$A:$AN,MATCH(yoy!$D$1,Data!$A$1:$AN$1,),)=0,"#N/A",(((VLOOKUP(B25,Data!$A:$AN,MATCH(yoy!$D$1,Data!$A$1:$AN$1,),)-VLOOKUP(A25,Data!$A:$AN,MATCH(yoy!$D$1,Data!$A$1:$AN$1,),))/VLOOKUP(A25,Data!$A:$AN,MATCH(yoy!$D$1,Data!$A$1:$AN$1,),))+1)^12-1)</f>
        <v/>
      </c>
      <c r="E25" s="14">
        <f>IF(VLOOKUP(B25,Data!$A:$AN,MATCH(yoy!$E$1,Data!$A$1:$AN$1,),)=0,"#N/A",(((VLOOKUP(B25,Data!$A:$AN,MATCH(yoy!$E$1,Data!$A$1:$AN$1,),)-VLOOKUP(A25,Data!$A:$AN,MATCH(yoy!$E$1,Data!$A$1:$AN$1,),))/VLOOKUP(A25,Data!$A:$AN,MATCH(yoy!$E$1,Data!$A$1:$AN$1,),))+1)^12-1)</f>
        <v/>
      </c>
      <c r="F25" s="14">
        <f>IF(VLOOKUP(B25,Data!$A:$AN,MATCH(yoy!$F$1,Data!$A$1:$AN$1,),)=0,"#N/A",(((VLOOKUP(B25,Data!$A:$AN,MATCH(yoy!$F$1,Data!$A$1:$AN$1,),)-VLOOKUP(A25,Data!$A:$AN,MATCH(yoy!$F$1,Data!$A$1:$AN$1,),))/VLOOKUP(A25,Data!$A:$AN,MATCH(yoy!$F$1,Data!$A$1:$AN$1,),))+1)^12-1)</f>
        <v/>
      </c>
      <c r="G25" s="14">
        <f>IF(VLOOKUP(B25,Data!$A:$AN,MATCH(yoy!$G$1,Data!$A$1:$AN$1,),)=0,"#N/A",(((VLOOKUP(B25,Data!$A:$AN,MATCH(yoy!$G$1,Data!$A$1:$AN$1,),)-VLOOKUP(A25,Data!$A:$AN,MATCH(yoy!$G$1,Data!$A$1:$AN$1,),))/VLOOKUP(A25,Data!$A:$AN,MATCH(yoy!$G$1,Data!$A$1:$AN$1,),))+1)^12-1)</f>
        <v/>
      </c>
      <c r="H25" s="14">
        <f>IF(VLOOKUP(B25,Data!$A:$AN,MATCH(yoy!$H$1,Data!$A$1:$AN$1,),)=0,"#N/A",(((VLOOKUP(B25,Data!$A:$AN,MATCH(yoy!$H$1,Data!$A$1:$AN$1,),)-VLOOKUP(A25,Data!$A:$AN,MATCH(yoy!$H$1,Data!$A$1:$AN$1,),))/VLOOKUP(A25,Data!$A:$AN,MATCH(yoy!$H$1,Data!$A$1:$AN$1,),))+1)^12-1)</f>
        <v/>
      </c>
      <c r="I25" s="14">
        <f>IF(VLOOKUP(B25,Data!$A:$AN,MATCH(yoy!$I$1,Data!$A$1:$AN$1,),)=0,"#N/A",(((VLOOKUP(B25,Data!$A:$AN,MATCH(yoy!$I$1,Data!$A$1:$AN$1,),)-VLOOKUP(A25,Data!$A:$AN,MATCH(yoy!$I$1,Data!$A$1:$AN$1,),))/VLOOKUP(A25,Data!$A:$AN,MATCH(yoy!$I$1,Data!$A$1:$AN$1,),))+1)^12-1)</f>
        <v/>
      </c>
      <c r="J25" s="14">
        <f>IF(VLOOKUP(B25,Data!$A:$AN,MATCH(yoy!$J$1,Data!$A$1:$AN$1,),)=0,"#N/A",(((VLOOKUP(B25,Data!$A:$AN,MATCH(yoy!$J$1,Data!$A$1:$AN$1,),)-VLOOKUP(A25,Data!$A:$AN,MATCH(yoy!$J$1,Data!$A$1:$AN$1,),))/VLOOKUP(A25,Data!$A:$AN,MATCH(yoy!$J$1,Data!$A$1:$AN$1,),))+1)^12-1)</f>
        <v/>
      </c>
      <c r="K25" s="14">
        <f>IF(VLOOKUP(B25,Data!$A:$AN,MATCH(yoy!$K$1,Data!$A$1:$AN$1,),)=0,"#N/A",(((VLOOKUP(B25,Data!$A:$AN,MATCH(yoy!$K$1,Data!$A$1:$AN$1,),)-VLOOKUP(A25,Data!$A:$AN,MATCH(yoy!$K$1,Data!$A$1:$AN$1,),))/VLOOKUP(A25,Data!$A:$AN,MATCH(yoy!$K$1,Data!$A$1:$AN$1,),))+1)^12-1)</f>
        <v/>
      </c>
      <c r="L25" s="14">
        <f>IF(VLOOKUP(B25,Data!$A:$AN,MATCH(yoy!$L$1,Data!$A$1:$AN$1,),)=0,"#N/A",(((VLOOKUP(B25,Data!$A:$AN,MATCH(yoy!$L$1,Data!$A$1:$AN$1,),)-VLOOKUP(A25,Data!$A:$AN,MATCH(yoy!$L$1,Data!$A$1:$AN$1,),))/VLOOKUP(A25,Data!$A:$AN,MATCH(yoy!$L$1,Data!$A$1:$AN$1,),))+1)^12-1)</f>
        <v/>
      </c>
      <c r="M25" s="14">
        <f>IF(VLOOKUP(B25,Data!$A:$AN,MATCH(yoy!$M$1,Data!$A$1:$AN$1,),)=0,"#N/A",(((VLOOKUP(B25,Data!$A:$AN,MATCH(yoy!$M$1,Data!$A$1:$AN$1,),)-VLOOKUP(A25,Data!$A:$AN,MATCH(yoy!$M$1,Data!$A$1:$AN$1,),))/VLOOKUP(A25,Data!$A:$AN,MATCH(yoy!$M$1,Data!$A$1:$AN$1,),))+1)^12-1)</f>
        <v/>
      </c>
      <c r="N25" s="14">
        <f>IF(VLOOKUP(B25,Data!$A:$AN,MATCH(yoy!$N$1,Data!$A$1:$AN$1,),)=0,"#N/A",(((VLOOKUP(B25,Data!$A:$AN,MATCH(yoy!$N$1,Data!$A$1:$AN$1,),)-VLOOKUP(A25,Data!$A:$AN,MATCH(yoy!$N$1,Data!$A$1:$AN$1,),))/VLOOKUP(A25,Data!$A:$AN,MATCH(yoy!$N$1,Data!$A$1:$AN$1,),))+1)^12-1)</f>
        <v/>
      </c>
      <c r="O25" s="14">
        <f>IF(VLOOKUP(B25,Data!$A:$AN,MATCH(yoy!$O$1,Data!$A$1:$AN$1,),)=0,"#N/A",(((VLOOKUP(B25,Data!$A:$AN,MATCH(yoy!$O$1,Data!$A$1:$AN$1,),)-VLOOKUP(A25,Data!$A:$AN,MATCH(yoy!$O$1,Data!$A$1:$AN$1,),))/VLOOKUP(A25,Data!$A:$AN,MATCH(yoy!$O$1,Data!$A$1:$AN$1,),))+1)^12-1)</f>
        <v/>
      </c>
      <c r="P25" s="14">
        <f>IF(VLOOKUP(B25,Data!$A:$AN,MATCH(yoy!$P$1,Data!$A$1:$AN$1,),)=0,"#N/A",(((VLOOKUP(B25,Data!$A:$AN,MATCH(yoy!$P$1,Data!$A$1:$AN$1,),)-VLOOKUP(A25,Data!$A:$AN,MATCH(yoy!$P$1,Data!$A$1:$AN$1,),))/VLOOKUP(A25,Data!$A:$AN,MATCH(yoy!$P$1,Data!$A$1:$AN$1,),))+1)^12-1)</f>
        <v/>
      </c>
      <c r="Q25" s="14">
        <f>IF(VLOOKUP(B25,Data!$A:$AN,MATCH(yoy!$Q$1,Data!$A$1:$AN$1,),)=0,"#N/A",(((VLOOKUP(B25,Data!$A:$AN,MATCH(yoy!$Q$1,Data!$A$1:$AN$1,),)-VLOOKUP(A25,Data!$A:$AN,MATCH(yoy!$Q$1,Data!$A$1:$AN$1,),))/VLOOKUP(A25,Data!$A:$AN,MATCH(yoy!$Q$1,Data!$A$1:$AN$1,),))+1)^12-1)</f>
        <v/>
      </c>
      <c r="R25" s="14">
        <f>IF(VLOOKUP(B25,Data!$A:$AN,MATCH(yoy!$R$1,Data!$A$1:$AN$1,),)=0,"#N/A",(((VLOOKUP(B25,Data!$A:$AN,MATCH(yoy!$R$1,Data!$A$1:$AN$1,),)-VLOOKUP(A25,Data!$A:$AN,MATCH(yoy!$R$1,Data!$A$1:$AN$1,),))/VLOOKUP(A25,Data!$A:$AN,MATCH(yoy!$R$1,Data!$A$1:$AN$1,),))+1)^12-1)</f>
        <v/>
      </c>
      <c r="S25" s="14">
        <f>IF(VLOOKUP(B25,Data!$A:$AN,MATCH(yoy!$S$1,Data!$A$1:$AN$1,),)=0,"#N/A",(((VLOOKUP(B25,Data!$A:$AN,MATCH(yoy!$S$1,Data!$A$1:$AN$1,),)-VLOOKUP(A25,Data!$A:$AN,MATCH(yoy!$S$1,Data!$A$1:$AN$1,),))/VLOOKUP(A25,Data!$A:$AN,MATCH(yoy!$S$1,Data!$A$1:$AN$1,),))+1)^12-1)</f>
        <v/>
      </c>
      <c r="T25" s="14">
        <f>IF(VLOOKUP(B25,Data!$A:$AN,MATCH(yoy!$T$1,Data!$A$1:$AN$1,),)=0,"#N/A",(((VLOOKUP(B25,Data!$A:$AN,MATCH(yoy!$T$1,Data!$A$1:$AN$1,),)-VLOOKUP(A25,Data!$A:$AN,MATCH(yoy!$T$1,Data!$A$1:$AN$1,),))/VLOOKUP(A25,Data!$A:$AN,MATCH(yoy!$T$1,Data!$A$1:$AN$1,),))+1)^12-1)</f>
        <v/>
      </c>
      <c r="U25" s="14">
        <f>IF(VLOOKUP(B25,Data!$A:$AN,MATCH(yoy!$U$1,Data!$A$1:$AN$1,),)=0,"#N/A",(((VLOOKUP(B25,Data!$A:$AN,MATCH(yoy!$U$1,Data!$A$1:$AN$1,),)-VLOOKUP(A25,Data!$A:$AN,MATCH(yoy!$U$1,Data!$A$1:$AN$1,),))/VLOOKUP(A25,Data!$A:$AN,MATCH(yoy!$U$1,Data!$A$1:$AN$1,),))+1)^12-1)</f>
        <v/>
      </c>
      <c r="V25" s="14">
        <f>IF(VLOOKUP(B25,Data!$A:$AN,MATCH(yoy!$V$1,Data!$A$1:$AN$1,),)=0,"#N/A",(((VLOOKUP(B25,Data!$A:$AN,MATCH(yoy!$V$1,Data!$A$1:$AN$1,),)-VLOOKUP(A25,Data!$A:$AN,MATCH(yoy!$V$1,Data!$A$1:$AN$1,),))/VLOOKUP(A25,Data!$A:$AN,MATCH(yoy!$V$1,Data!$A$1:$AN$1,),))+1)^12-1)</f>
        <v/>
      </c>
      <c r="W25" s="14">
        <f>IF(VLOOKUP(B25,Data!$A:$AN,MATCH(yoy!$W$1,Data!$A$1:$AN$1,),)=0,"#N/A",(((VLOOKUP(B25,Data!$A:$AN,MATCH(yoy!$W$1,Data!$A$1:$AN$1,),)-VLOOKUP(A25,Data!$A:$AN,MATCH(yoy!$W$1,Data!$A$1:$AN$1,),))/VLOOKUP(A25,Data!$A:$AN,MATCH(yoy!$W$1,Data!$A$1:$AN$1,),))+1)^12-1)</f>
        <v/>
      </c>
      <c r="X25" s="14">
        <f>IF(VLOOKUP(B25,Data!$A:$AN,MATCH(yoy!$X$1,Data!$A$1:$AN$1,),)=0,"#N/A",(((VLOOKUP(B25,Data!$A:$AN,MATCH(yoy!$X$1,Data!$A$1:$AN$1,),)-VLOOKUP(A25,Data!$A:$AN,MATCH(yoy!$X$1,Data!$A$1:$AN$1,),))/VLOOKUP(A25,Data!$A:$AN,MATCH(yoy!$X$1,Data!$A$1:$AN$1,),))+1)^12-1)</f>
        <v/>
      </c>
      <c r="Y25" s="14">
        <f>IF(VLOOKUP(B25,Data!$A:$AN,MATCH(yoy!$Y$1,Data!$A$1:$AN$1,),)=0,"#N/A",(((VLOOKUP(B25,Data!$A:$AN,MATCH(yoy!$Y$1,Data!$A$1:$AN$1,),)-VLOOKUP(A25,Data!$A:$AN,MATCH(yoy!$Y$1,Data!$A$1:$AN$1,),))/VLOOKUP(A25,Data!$A:$AN,MATCH(yoy!$Y$1,Data!$A$1:$AN$1,),))+1)^12-1)</f>
        <v/>
      </c>
      <c r="Z25" s="14">
        <f>IF(VLOOKUP(B25,Data!$A:$AN,MATCH(yoy!$Z$1,Data!$A$1:$AN$1,),)=0,"#N/A",(((VLOOKUP(B25,Data!$A:$AN,MATCH(yoy!$Z$1,Data!$A$1:$AN$1,),)-VLOOKUP(A25,Data!$A:$AN,MATCH(yoy!$Z$1,Data!$A$1:$AN$1,),))/VLOOKUP(A25,Data!$A:$AN,MATCH(yoy!$Z$1,Data!$A$1:$AN$1,),))+1)^12-1)</f>
        <v/>
      </c>
      <c r="AA25" s="14">
        <f>IF(VLOOKUP(B25,Data!$A:$AN,MATCH(yoy!$AA$1,Data!$A$1:$AN$1,),)=0,"#N/A",(((VLOOKUP(B25,Data!$A:$AN,MATCH(yoy!$AA$1,Data!$A$1:$AN$1,),)-VLOOKUP(A25,Data!$A:$AN,MATCH(yoy!$AA$1,Data!$A$1:$AN$1,),))/VLOOKUP(A25,Data!$A:$AN,MATCH(yoy!$AA$1,Data!$A$1:$AN$1,),))+1)^12-1)</f>
        <v/>
      </c>
    </row>
    <row r="26">
      <c r="A26" s="20">
        <f>DATE(YEAR(B26),MONTH(B26)-1,DAY(B26))</f>
        <v/>
      </c>
      <c r="B26" s="12" t="n">
        <v>42644</v>
      </c>
      <c r="C26" s="14">
        <f>IF(VLOOKUP(B26,Data!$A:$AN,MATCH(yoy!$C$1,Data!$A$1:$AN$1,),)=0,"#N/A",(((VLOOKUP(B26,Data!$A:$AN,MATCH(yoy!$C$1,Data!$A$1:$AN$1,),)-VLOOKUP(A26,Data!$A:$AN,MATCH(yoy!$C$1,Data!$A$1:$AN$1,),))/VLOOKUP(A26,Data!$A:$AN,MATCH(yoy!$C$1,Data!$A$1:$AN$1,),))+1)^12-1)</f>
        <v/>
      </c>
      <c r="D26" s="14">
        <f>IF(VLOOKUP(B26,Data!$A:$AN,MATCH(yoy!$D$1,Data!$A$1:$AN$1,),)=0,"#N/A",(((VLOOKUP(B26,Data!$A:$AN,MATCH(yoy!$D$1,Data!$A$1:$AN$1,),)-VLOOKUP(A26,Data!$A:$AN,MATCH(yoy!$D$1,Data!$A$1:$AN$1,),))/VLOOKUP(A26,Data!$A:$AN,MATCH(yoy!$D$1,Data!$A$1:$AN$1,),))+1)^12-1)</f>
        <v/>
      </c>
      <c r="E26" s="14">
        <f>IF(VLOOKUP(B26,Data!$A:$AN,MATCH(yoy!$E$1,Data!$A$1:$AN$1,),)=0,"#N/A",(((VLOOKUP(B26,Data!$A:$AN,MATCH(yoy!$E$1,Data!$A$1:$AN$1,),)-VLOOKUP(A26,Data!$A:$AN,MATCH(yoy!$E$1,Data!$A$1:$AN$1,),))/VLOOKUP(A26,Data!$A:$AN,MATCH(yoy!$E$1,Data!$A$1:$AN$1,),))+1)^12-1)</f>
        <v/>
      </c>
      <c r="F26" s="14">
        <f>IF(VLOOKUP(B26,Data!$A:$AN,MATCH(yoy!$F$1,Data!$A$1:$AN$1,),)=0,"#N/A",(((VLOOKUP(B26,Data!$A:$AN,MATCH(yoy!$F$1,Data!$A$1:$AN$1,),)-VLOOKUP(A26,Data!$A:$AN,MATCH(yoy!$F$1,Data!$A$1:$AN$1,),))/VLOOKUP(A26,Data!$A:$AN,MATCH(yoy!$F$1,Data!$A$1:$AN$1,),))+1)^12-1)</f>
        <v/>
      </c>
      <c r="G26" s="14">
        <f>IF(VLOOKUP(B26,Data!$A:$AN,MATCH(yoy!$G$1,Data!$A$1:$AN$1,),)=0,"#N/A",(((VLOOKUP(B26,Data!$A:$AN,MATCH(yoy!$G$1,Data!$A$1:$AN$1,),)-VLOOKUP(A26,Data!$A:$AN,MATCH(yoy!$G$1,Data!$A$1:$AN$1,),))/VLOOKUP(A26,Data!$A:$AN,MATCH(yoy!$G$1,Data!$A$1:$AN$1,),))+1)^12-1)</f>
        <v/>
      </c>
      <c r="H26" s="14">
        <f>IF(VLOOKUP(B26,Data!$A:$AN,MATCH(yoy!$H$1,Data!$A$1:$AN$1,),)=0,"#N/A",(((VLOOKUP(B26,Data!$A:$AN,MATCH(yoy!$H$1,Data!$A$1:$AN$1,),)-VLOOKUP(A26,Data!$A:$AN,MATCH(yoy!$H$1,Data!$A$1:$AN$1,),))/VLOOKUP(A26,Data!$A:$AN,MATCH(yoy!$H$1,Data!$A$1:$AN$1,),))+1)^12-1)</f>
        <v/>
      </c>
      <c r="I26" s="14">
        <f>IF(VLOOKUP(B26,Data!$A:$AN,MATCH(yoy!$I$1,Data!$A$1:$AN$1,),)=0,"#N/A",(((VLOOKUP(B26,Data!$A:$AN,MATCH(yoy!$I$1,Data!$A$1:$AN$1,),)-VLOOKUP(A26,Data!$A:$AN,MATCH(yoy!$I$1,Data!$A$1:$AN$1,),))/VLOOKUP(A26,Data!$A:$AN,MATCH(yoy!$I$1,Data!$A$1:$AN$1,),))+1)^12-1)</f>
        <v/>
      </c>
      <c r="J26" s="14">
        <f>IF(VLOOKUP(B26,Data!$A:$AN,MATCH(yoy!$J$1,Data!$A$1:$AN$1,),)=0,"#N/A",(((VLOOKUP(B26,Data!$A:$AN,MATCH(yoy!$J$1,Data!$A$1:$AN$1,),)-VLOOKUP(A26,Data!$A:$AN,MATCH(yoy!$J$1,Data!$A$1:$AN$1,),))/VLOOKUP(A26,Data!$A:$AN,MATCH(yoy!$J$1,Data!$A$1:$AN$1,),))+1)^12-1)</f>
        <v/>
      </c>
      <c r="K26" s="14">
        <f>IF(VLOOKUP(B26,Data!$A:$AN,MATCH(yoy!$K$1,Data!$A$1:$AN$1,),)=0,"#N/A",(((VLOOKUP(B26,Data!$A:$AN,MATCH(yoy!$K$1,Data!$A$1:$AN$1,),)-VLOOKUP(A26,Data!$A:$AN,MATCH(yoy!$K$1,Data!$A$1:$AN$1,),))/VLOOKUP(A26,Data!$A:$AN,MATCH(yoy!$K$1,Data!$A$1:$AN$1,),))+1)^12-1)</f>
        <v/>
      </c>
      <c r="L26" s="14">
        <f>IF(VLOOKUP(B26,Data!$A:$AN,MATCH(yoy!$L$1,Data!$A$1:$AN$1,),)=0,"#N/A",(((VLOOKUP(B26,Data!$A:$AN,MATCH(yoy!$L$1,Data!$A$1:$AN$1,),)-VLOOKUP(A26,Data!$A:$AN,MATCH(yoy!$L$1,Data!$A$1:$AN$1,),))/VLOOKUP(A26,Data!$A:$AN,MATCH(yoy!$L$1,Data!$A$1:$AN$1,),))+1)^12-1)</f>
        <v/>
      </c>
      <c r="M26" s="14">
        <f>IF(VLOOKUP(B26,Data!$A:$AN,MATCH(yoy!$M$1,Data!$A$1:$AN$1,),)=0,"#N/A",(((VLOOKUP(B26,Data!$A:$AN,MATCH(yoy!$M$1,Data!$A$1:$AN$1,),)-VLOOKUP(A26,Data!$A:$AN,MATCH(yoy!$M$1,Data!$A$1:$AN$1,),))/VLOOKUP(A26,Data!$A:$AN,MATCH(yoy!$M$1,Data!$A$1:$AN$1,),))+1)^12-1)</f>
        <v/>
      </c>
      <c r="N26" s="14">
        <f>IF(VLOOKUP(B26,Data!$A:$AN,MATCH(yoy!$N$1,Data!$A$1:$AN$1,),)=0,"#N/A",(((VLOOKUP(B26,Data!$A:$AN,MATCH(yoy!$N$1,Data!$A$1:$AN$1,),)-VLOOKUP(A26,Data!$A:$AN,MATCH(yoy!$N$1,Data!$A$1:$AN$1,),))/VLOOKUP(A26,Data!$A:$AN,MATCH(yoy!$N$1,Data!$A$1:$AN$1,),))+1)^12-1)</f>
        <v/>
      </c>
      <c r="O26" s="14">
        <f>IF(VLOOKUP(B26,Data!$A:$AN,MATCH(yoy!$O$1,Data!$A$1:$AN$1,),)=0,"#N/A",(((VLOOKUP(B26,Data!$A:$AN,MATCH(yoy!$O$1,Data!$A$1:$AN$1,),)-VLOOKUP(A26,Data!$A:$AN,MATCH(yoy!$O$1,Data!$A$1:$AN$1,),))/VLOOKUP(A26,Data!$A:$AN,MATCH(yoy!$O$1,Data!$A$1:$AN$1,),))+1)^12-1)</f>
        <v/>
      </c>
      <c r="P26" s="14">
        <f>IF(VLOOKUP(B26,Data!$A:$AN,MATCH(yoy!$P$1,Data!$A$1:$AN$1,),)=0,"#N/A",(((VLOOKUP(B26,Data!$A:$AN,MATCH(yoy!$P$1,Data!$A$1:$AN$1,),)-VLOOKUP(A26,Data!$A:$AN,MATCH(yoy!$P$1,Data!$A$1:$AN$1,),))/VLOOKUP(A26,Data!$A:$AN,MATCH(yoy!$P$1,Data!$A$1:$AN$1,),))+1)^12-1)</f>
        <v/>
      </c>
      <c r="Q26" s="14">
        <f>IF(VLOOKUP(B26,Data!$A:$AN,MATCH(yoy!$Q$1,Data!$A$1:$AN$1,),)=0,"#N/A",(((VLOOKUP(B26,Data!$A:$AN,MATCH(yoy!$Q$1,Data!$A$1:$AN$1,),)-VLOOKUP(A26,Data!$A:$AN,MATCH(yoy!$Q$1,Data!$A$1:$AN$1,),))/VLOOKUP(A26,Data!$A:$AN,MATCH(yoy!$Q$1,Data!$A$1:$AN$1,),))+1)^12-1)</f>
        <v/>
      </c>
      <c r="R26" s="14">
        <f>IF(VLOOKUP(B26,Data!$A:$AN,MATCH(yoy!$R$1,Data!$A$1:$AN$1,),)=0,"#N/A",(((VLOOKUP(B26,Data!$A:$AN,MATCH(yoy!$R$1,Data!$A$1:$AN$1,),)-VLOOKUP(A26,Data!$A:$AN,MATCH(yoy!$R$1,Data!$A$1:$AN$1,),))/VLOOKUP(A26,Data!$A:$AN,MATCH(yoy!$R$1,Data!$A$1:$AN$1,),))+1)^12-1)</f>
        <v/>
      </c>
      <c r="S26" s="14">
        <f>IF(VLOOKUP(B26,Data!$A:$AN,MATCH(yoy!$S$1,Data!$A$1:$AN$1,),)=0,"#N/A",(((VLOOKUP(B26,Data!$A:$AN,MATCH(yoy!$S$1,Data!$A$1:$AN$1,),)-VLOOKUP(A26,Data!$A:$AN,MATCH(yoy!$S$1,Data!$A$1:$AN$1,),))/VLOOKUP(A26,Data!$A:$AN,MATCH(yoy!$S$1,Data!$A$1:$AN$1,),))+1)^12-1)</f>
        <v/>
      </c>
      <c r="T26" s="14">
        <f>IF(VLOOKUP(B26,Data!$A:$AN,MATCH(yoy!$T$1,Data!$A$1:$AN$1,),)=0,"#N/A",(((VLOOKUP(B26,Data!$A:$AN,MATCH(yoy!$T$1,Data!$A$1:$AN$1,),)-VLOOKUP(A26,Data!$A:$AN,MATCH(yoy!$T$1,Data!$A$1:$AN$1,),))/VLOOKUP(A26,Data!$A:$AN,MATCH(yoy!$T$1,Data!$A$1:$AN$1,),))+1)^12-1)</f>
        <v/>
      </c>
      <c r="U26" s="14">
        <f>IF(VLOOKUP(B26,Data!$A:$AN,MATCH(yoy!$U$1,Data!$A$1:$AN$1,),)=0,"#N/A",(((VLOOKUP(B26,Data!$A:$AN,MATCH(yoy!$U$1,Data!$A$1:$AN$1,),)-VLOOKUP(A26,Data!$A:$AN,MATCH(yoy!$U$1,Data!$A$1:$AN$1,),))/VLOOKUP(A26,Data!$A:$AN,MATCH(yoy!$U$1,Data!$A$1:$AN$1,),))+1)^12-1)</f>
        <v/>
      </c>
      <c r="V26" s="14">
        <f>IF(VLOOKUP(B26,Data!$A:$AN,MATCH(yoy!$V$1,Data!$A$1:$AN$1,),)=0,"#N/A",(((VLOOKUP(B26,Data!$A:$AN,MATCH(yoy!$V$1,Data!$A$1:$AN$1,),)-VLOOKUP(A26,Data!$A:$AN,MATCH(yoy!$V$1,Data!$A$1:$AN$1,),))/VLOOKUP(A26,Data!$A:$AN,MATCH(yoy!$V$1,Data!$A$1:$AN$1,),))+1)^12-1)</f>
        <v/>
      </c>
      <c r="W26" s="14">
        <f>IF(VLOOKUP(B26,Data!$A:$AN,MATCH(yoy!$W$1,Data!$A$1:$AN$1,),)=0,"#N/A",(((VLOOKUP(B26,Data!$A:$AN,MATCH(yoy!$W$1,Data!$A$1:$AN$1,),)-VLOOKUP(A26,Data!$A:$AN,MATCH(yoy!$W$1,Data!$A$1:$AN$1,),))/VLOOKUP(A26,Data!$A:$AN,MATCH(yoy!$W$1,Data!$A$1:$AN$1,),))+1)^12-1)</f>
        <v/>
      </c>
      <c r="X26" s="14">
        <f>IF(VLOOKUP(B26,Data!$A:$AN,MATCH(yoy!$X$1,Data!$A$1:$AN$1,),)=0,"#N/A",(((VLOOKUP(B26,Data!$A:$AN,MATCH(yoy!$X$1,Data!$A$1:$AN$1,),)-VLOOKUP(A26,Data!$A:$AN,MATCH(yoy!$X$1,Data!$A$1:$AN$1,),))/VLOOKUP(A26,Data!$A:$AN,MATCH(yoy!$X$1,Data!$A$1:$AN$1,),))+1)^12-1)</f>
        <v/>
      </c>
      <c r="Y26" s="14">
        <f>IF(VLOOKUP(B26,Data!$A:$AN,MATCH(yoy!$Y$1,Data!$A$1:$AN$1,),)=0,"#N/A",(((VLOOKUP(B26,Data!$A:$AN,MATCH(yoy!$Y$1,Data!$A$1:$AN$1,),)-VLOOKUP(A26,Data!$A:$AN,MATCH(yoy!$Y$1,Data!$A$1:$AN$1,),))/VLOOKUP(A26,Data!$A:$AN,MATCH(yoy!$Y$1,Data!$A$1:$AN$1,),))+1)^12-1)</f>
        <v/>
      </c>
      <c r="Z26" s="14">
        <f>IF(VLOOKUP(B26,Data!$A:$AN,MATCH(yoy!$Z$1,Data!$A$1:$AN$1,),)=0,"#N/A",(((VLOOKUP(B26,Data!$A:$AN,MATCH(yoy!$Z$1,Data!$A$1:$AN$1,),)-VLOOKUP(A26,Data!$A:$AN,MATCH(yoy!$Z$1,Data!$A$1:$AN$1,),))/VLOOKUP(A26,Data!$A:$AN,MATCH(yoy!$Z$1,Data!$A$1:$AN$1,),))+1)^12-1)</f>
        <v/>
      </c>
      <c r="AA26" s="14">
        <f>IF(VLOOKUP(B26,Data!$A:$AN,MATCH(yoy!$AA$1,Data!$A$1:$AN$1,),)=0,"#N/A",(((VLOOKUP(B26,Data!$A:$AN,MATCH(yoy!$AA$1,Data!$A$1:$AN$1,),)-VLOOKUP(A26,Data!$A:$AN,MATCH(yoy!$AA$1,Data!$A$1:$AN$1,),))/VLOOKUP(A26,Data!$A:$AN,MATCH(yoy!$AA$1,Data!$A$1:$AN$1,),))+1)^12-1)</f>
        <v/>
      </c>
    </row>
    <row r="27">
      <c r="A27" s="20">
        <f>DATE(YEAR(B27),MONTH(B27)-1,DAY(B27))</f>
        <v/>
      </c>
      <c r="B27" s="12" t="n">
        <v>42675</v>
      </c>
      <c r="C27" s="14">
        <f>IF(VLOOKUP(B27,Data!$A:$AN,MATCH(yoy!$C$1,Data!$A$1:$AN$1,),)=0,"#N/A",(((VLOOKUP(B27,Data!$A:$AN,MATCH(yoy!$C$1,Data!$A$1:$AN$1,),)-VLOOKUP(A27,Data!$A:$AN,MATCH(yoy!$C$1,Data!$A$1:$AN$1,),))/VLOOKUP(A27,Data!$A:$AN,MATCH(yoy!$C$1,Data!$A$1:$AN$1,),))+1)^12-1)</f>
        <v/>
      </c>
      <c r="D27" s="14">
        <f>IF(VLOOKUP(B27,Data!$A:$AN,MATCH(yoy!$D$1,Data!$A$1:$AN$1,),)=0,"#N/A",(((VLOOKUP(B27,Data!$A:$AN,MATCH(yoy!$D$1,Data!$A$1:$AN$1,),)-VLOOKUP(A27,Data!$A:$AN,MATCH(yoy!$D$1,Data!$A$1:$AN$1,),))/VLOOKUP(A27,Data!$A:$AN,MATCH(yoy!$D$1,Data!$A$1:$AN$1,),))+1)^12-1)</f>
        <v/>
      </c>
      <c r="E27" s="14">
        <f>IF(VLOOKUP(B27,Data!$A:$AN,MATCH(yoy!$E$1,Data!$A$1:$AN$1,),)=0,"#N/A",(((VLOOKUP(B27,Data!$A:$AN,MATCH(yoy!$E$1,Data!$A$1:$AN$1,),)-VLOOKUP(A27,Data!$A:$AN,MATCH(yoy!$E$1,Data!$A$1:$AN$1,),))/VLOOKUP(A27,Data!$A:$AN,MATCH(yoy!$E$1,Data!$A$1:$AN$1,),))+1)^12-1)</f>
        <v/>
      </c>
      <c r="F27" s="14">
        <f>IF(VLOOKUP(B27,Data!$A:$AN,MATCH(yoy!$F$1,Data!$A$1:$AN$1,),)=0,"#N/A",(((VLOOKUP(B27,Data!$A:$AN,MATCH(yoy!$F$1,Data!$A$1:$AN$1,),)-VLOOKUP(A27,Data!$A:$AN,MATCH(yoy!$F$1,Data!$A$1:$AN$1,),))/VLOOKUP(A27,Data!$A:$AN,MATCH(yoy!$F$1,Data!$A$1:$AN$1,),))+1)^12-1)</f>
        <v/>
      </c>
      <c r="G27" s="14">
        <f>IF(VLOOKUP(B27,Data!$A:$AN,MATCH(yoy!$G$1,Data!$A$1:$AN$1,),)=0,"#N/A",(((VLOOKUP(B27,Data!$A:$AN,MATCH(yoy!$G$1,Data!$A$1:$AN$1,),)-VLOOKUP(A27,Data!$A:$AN,MATCH(yoy!$G$1,Data!$A$1:$AN$1,),))/VLOOKUP(A27,Data!$A:$AN,MATCH(yoy!$G$1,Data!$A$1:$AN$1,),))+1)^12-1)</f>
        <v/>
      </c>
      <c r="H27" s="14">
        <f>IF(VLOOKUP(B27,Data!$A:$AN,MATCH(yoy!$H$1,Data!$A$1:$AN$1,),)=0,"#N/A",(((VLOOKUP(B27,Data!$A:$AN,MATCH(yoy!$H$1,Data!$A$1:$AN$1,),)-VLOOKUP(A27,Data!$A:$AN,MATCH(yoy!$H$1,Data!$A$1:$AN$1,),))/VLOOKUP(A27,Data!$A:$AN,MATCH(yoy!$H$1,Data!$A$1:$AN$1,),))+1)^12-1)</f>
        <v/>
      </c>
      <c r="I27" s="14">
        <f>IF(VLOOKUP(B27,Data!$A:$AN,MATCH(yoy!$I$1,Data!$A$1:$AN$1,),)=0,"#N/A",(((VLOOKUP(B27,Data!$A:$AN,MATCH(yoy!$I$1,Data!$A$1:$AN$1,),)-VLOOKUP(A27,Data!$A:$AN,MATCH(yoy!$I$1,Data!$A$1:$AN$1,),))/VLOOKUP(A27,Data!$A:$AN,MATCH(yoy!$I$1,Data!$A$1:$AN$1,),))+1)^12-1)</f>
        <v/>
      </c>
      <c r="J27" s="14">
        <f>IF(VLOOKUP(B27,Data!$A:$AN,MATCH(yoy!$J$1,Data!$A$1:$AN$1,),)=0,"#N/A",(((VLOOKUP(B27,Data!$A:$AN,MATCH(yoy!$J$1,Data!$A$1:$AN$1,),)-VLOOKUP(A27,Data!$A:$AN,MATCH(yoy!$J$1,Data!$A$1:$AN$1,),))/VLOOKUP(A27,Data!$A:$AN,MATCH(yoy!$J$1,Data!$A$1:$AN$1,),))+1)^12-1)</f>
        <v/>
      </c>
      <c r="K27" s="14">
        <f>IF(VLOOKUP(B27,Data!$A:$AN,MATCH(yoy!$K$1,Data!$A$1:$AN$1,),)=0,"#N/A",(((VLOOKUP(B27,Data!$A:$AN,MATCH(yoy!$K$1,Data!$A$1:$AN$1,),)-VLOOKUP(A27,Data!$A:$AN,MATCH(yoy!$K$1,Data!$A$1:$AN$1,),))/VLOOKUP(A27,Data!$A:$AN,MATCH(yoy!$K$1,Data!$A$1:$AN$1,),))+1)^12-1)</f>
        <v/>
      </c>
      <c r="L27" s="14">
        <f>IF(VLOOKUP(B27,Data!$A:$AN,MATCH(yoy!$L$1,Data!$A$1:$AN$1,),)=0,"#N/A",(((VLOOKUP(B27,Data!$A:$AN,MATCH(yoy!$L$1,Data!$A$1:$AN$1,),)-VLOOKUP(A27,Data!$A:$AN,MATCH(yoy!$L$1,Data!$A$1:$AN$1,),))/VLOOKUP(A27,Data!$A:$AN,MATCH(yoy!$L$1,Data!$A$1:$AN$1,),))+1)^12-1)</f>
        <v/>
      </c>
      <c r="M27" s="14">
        <f>IF(VLOOKUP(B27,Data!$A:$AN,MATCH(yoy!$M$1,Data!$A$1:$AN$1,),)=0,"#N/A",(((VLOOKUP(B27,Data!$A:$AN,MATCH(yoy!$M$1,Data!$A$1:$AN$1,),)-VLOOKUP(A27,Data!$A:$AN,MATCH(yoy!$M$1,Data!$A$1:$AN$1,),))/VLOOKUP(A27,Data!$A:$AN,MATCH(yoy!$M$1,Data!$A$1:$AN$1,),))+1)^12-1)</f>
        <v/>
      </c>
      <c r="N27" s="14">
        <f>IF(VLOOKUP(B27,Data!$A:$AN,MATCH(yoy!$N$1,Data!$A$1:$AN$1,),)=0,"#N/A",(((VLOOKUP(B27,Data!$A:$AN,MATCH(yoy!$N$1,Data!$A$1:$AN$1,),)-VLOOKUP(A27,Data!$A:$AN,MATCH(yoy!$N$1,Data!$A$1:$AN$1,),))/VLOOKUP(A27,Data!$A:$AN,MATCH(yoy!$N$1,Data!$A$1:$AN$1,),))+1)^12-1)</f>
        <v/>
      </c>
      <c r="O27" s="14">
        <f>IF(VLOOKUP(B27,Data!$A:$AN,MATCH(yoy!$O$1,Data!$A$1:$AN$1,),)=0,"#N/A",(((VLOOKUP(B27,Data!$A:$AN,MATCH(yoy!$O$1,Data!$A$1:$AN$1,),)-VLOOKUP(A27,Data!$A:$AN,MATCH(yoy!$O$1,Data!$A$1:$AN$1,),))/VLOOKUP(A27,Data!$A:$AN,MATCH(yoy!$O$1,Data!$A$1:$AN$1,),))+1)^12-1)</f>
        <v/>
      </c>
      <c r="P27" s="14">
        <f>IF(VLOOKUP(B27,Data!$A:$AN,MATCH(yoy!$P$1,Data!$A$1:$AN$1,),)=0,"#N/A",(((VLOOKUP(B27,Data!$A:$AN,MATCH(yoy!$P$1,Data!$A$1:$AN$1,),)-VLOOKUP(A27,Data!$A:$AN,MATCH(yoy!$P$1,Data!$A$1:$AN$1,),))/VLOOKUP(A27,Data!$A:$AN,MATCH(yoy!$P$1,Data!$A$1:$AN$1,),))+1)^12-1)</f>
        <v/>
      </c>
      <c r="Q27" s="14">
        <f>IF(VLOOKUP(B27,Data!$A:$AN,MATCH(yoy!$Q$1,Data!$A$1:$AN$1,),)=0,"#N/A",(((VLOOKUP(B27,Data!$A:$AN,MATCH(yoy!$Q$1,Data!$A$1:$AN$1,),)-VLOOKUP(A27,Data!$A:$AN,MATCH(yoy!$Q$1,Data!$A$1:$AN$1,),))/VLOOKUP(A27,Data!$A:$AN,MATCH(yoy!$Q$1,Data!$A$1:$AN$1,),))+1)^12-1)</f>
        <v/>
      </c>
      <c r="R27" s="14">
        <f>IF(VLOOKUP(B27,Data!$A:$AN,MATCH(yoy!$R$1,Data!$A$1:$AN$1,),)=0,"#N/A",(((VLOOKUP(B27,Data!$A:$AN,MATCH(yoy!$R$1,Data!$A$1:$AN$1,),)-VLOOKUP(A27,Data!$A:$AN,MATCH(yoy!$R$1,Data!$A$1:$AN$1,),))/VLOOKUP(A27,Data!$A:$AN,MATCH(yoy!$R$1,Data!$A$1:$AN$1,),))+1)^12-1)</f>
        <v/>
      </c>
      <c r="S27" s="14">
        <f>IF(VLOOKUP(B27,Data!$A:$AN,MATCH(yoy!$S$1,Data!$A$1:$AN$1,),)=0,"#N/A",(((VLOOKUP(B27,Data!$A:$AN,MATCH(yoy!$S$1,Data!$A$1:$AN$1,),)-VLOOKUP(A27,Data!$A:$AN,MATCH(yoy!$S$1,Data!$A$1:$AN$1,),))/VLOOKUP(A27,Data!$A:$AN,MATCH(yoy!$S$1,Data!$A$1:$AN$1,),))+1)^12-1)</f>
        <v/>
      </c>
      <c r="T27" s="14">
        <f>IF(VLOOKUP(B27,Data!$A:$AN,MATCH(yoy!$T$1,Data!$A$1:$AN$1,),)=0,"#N/A",(((VLOOKUP(B27,Data!$A:$AN,MATCH(yoy!$T$1,Data!$A$1:$AN$1,),)-VLOOKUP(A27,Data!$A:$AN,MATCH(yoy!$T$1,Data!$A$1:$AN$1,),))/VLOOKUP(A27,Data!$A:$AN,MATCH(yoy!$T$1,Data!$A$1:$AN$1,),))+1)^12-1)</f>
        <v/>
      </c>
      <c r="U27" s="14">
        <f>IF(VLOOKUP(B27,Data!$A:$AN,MATCH(yoy!$U$1,Data!$A$1:$AN$1,),)=0,"#N/A",(((VLOOKUP(B27,Data!$A:$AN,MATCH(yoy!$U$1,Data!$A$1:$AN$1,),)-VLOOKUP(A27,Data!$A:$AN,MATCH(yoy!$U$1,Data!$A$1:$AN$1,),))/VLOOKUP(A27,Data!$A:$AN,MATCH(yoy!$U$1,Data!$A$1:$AN$1,),))+1)^12-1)</f>
        <v/>
      </c>
      <c r="V27" s="14">
        <f>IF(VLOOKUP(B27,Data!$A:$AN,MATCH(yoy!$V$1,Data!$A$1:$AN$1,),)=0,"#N/A",(((VLOOKUP(B27,Data!$A:$AN,MATCH(yoy!$V$1,Data!$A$1:$AN$1,),)-VLOOKUP(A27,Data!$A:$AN,MATCH(yoy!$V$1,Data!$A$1:$AN$1,),))/VLOOKUP(A27,Data!$A:$AN,MATCH(yoy!$V$1,Data!$A$1:$AN$1,),))+1)^12-1)</f>
        <v/>
      </c>
      <c r="W27" s="14">
        <f>IF(VLOOKUP(B27,Data!$A:$AN,MATCH(yoy!$W$1,Data!$A$1:$AN$1,),)=0,"#N/A",(((VLOOKUP(B27,Data!$A:$AN,MATCH(yoy!$W$1,Data!$A$1:$AN$1,),)-VLOOKUP(A27,Data!$A:$AN,MATCH(yoy!$W$1,Data!$A$1:$AN$1,),))/VLOOKUP(A27,Data!$A:$AN,MATCH(yoy!$W$1,Data!$A$1:$AN$1,),))+1)^12-1)</f>
        <v/>
      </c>
      <c r="X27" s="14">
        <f>IF(VLOOKUP(B27,Data!$A:$AN,MATCH(yoy!$X$1,Data!$A$1:$AN$1,),)=0,"#N/A",(((VLOOKUP(B27,Data!$A:$AN,MATCH(yoy!$X$1,Data!$A$1:$AN$1,),)-VLOOKUP(A27,Data!$A:$AN,MATCH(yoy!$X$1,Data!$A$1:$AN$1,),))/VLOOKUP(A27,Data!$A:$AN,MATCH(yoy!$X$1,Data!$A$1:$AN$1,),))+1)^12-1)</f>
        <v/>
      </c>
      <c r="Y27" s="14">
        <f>IF(VLOOKUP(B27,Data!$A:$AN,MATCH(yoy!$Y$1,Data!$A$1:$AN$1,),)=0,"#N/A",(((VLOOKUP(B27,Data!$A:$AN,MATCH(yoy!$Y$1,Data!$A$1:$AN$1,),)-VLOOKUP(A27,Data!$A:$AN,MATCH(yoy!$Y$1,Data!$A$1:$AN$1,),))/VLOOKUP(A27,Data!$A:$AN,MATCH(yoy!$Y$1,Data!$A$1:$AN$1,),))+1)^12-1)</f>
        <v/>
      </c>
      <c r="Z27" s="14">
        <f>IF(VLOOKUP(B27,Data!$A:$AN,MATCH(yoy!$Z$1,Data!$A$1:$AN$1,),)=0,"#N/A",(((VLOOKUP(B27,Data!$A:$AN,MATCH(yoy!$Z$1,Data!$A$1:$AN$1,),)-VLOOKUP(A27,Data!$A:$AN,MATCH(yoy!$Z$1,Data!$A$1:$AN$1,),))/VLOOKUP(A27,Data!$A:$AN,MATCH(yoy!$Z$1,Data!$A$1:$AN$1,),))+1)^12-1)</f>
        <v/>
      </c>
      <c r="AA27" s="14">
        <f>IF(VLOOKUP(B27,Data!$A:$AN,MATCH(yoy!$AA$1,Data!$A$1:$AN$1,),)=0,"#N/A",(((VLOOKUP(B27,Data!$A:$AN,MATCH(yoy!$AA$1,Data!$A$1:$AN$1,),)-VLOOKUP(A27,Data!$A:$AN,MATCH(yoy!$AA$1,Data!$A$1:$AN$1,),))/VLOOKUP(A27,Data!$A:$AN,MATCH(yoy!$AA$1,Data!$A$1:$AN$1,),))+1)^12-1)</f>
        <v/>
      </c>
    </row>
    <row r="28">
      <c r="A28" s="20">
        <f>DATE(YEAR(B28),MONTH(B28)-1,DAY(B28))</f>
        <v/>
      </c>
      <c r="B28" s="12" t="n">
        <v>42705</v>
      </c>
      <c r="C28" s="14">
        <f>IF(VLOOKUP(B28,Data!$A:$AN,MATCH(yoy!$C$1,Data!$A$1:$AN$1,),)=0,"#N/A",(((VLOOKUP(B28,Data!$A:$AN,MATCH(yoy!$C$1,Data!$A$1:$AN$1,),)-VLOOKUP(A28,Data!$A:$AN,MATCH(yoy!$C$1,Data!$A$1:$AN$1,),))/VLOOKUP(A28,Data!$A:$AN,MATCH(yoy!$C$1,Data!$A$1:$AN$1,),))+1)^12-1)</f>
        <v/>
      </c>
      <c r="D28" s="14">
        <f>IF(VLOOKUP(B28,Data!$A:$AN,MATCH(yoy!$D$1,Data!$A$1:$AN$1,),)=0,"#N/A",(((VLOOKUP(B28,Data!$A:$AN,MATCH(yoy!$D$1,Data!$A$1:$AN$1,),)-VLOOKUP(A28,Data!$A:$AN,MATCH(yoy!$D$1,Data!$A$1:$AN$1,),))/VLOOKUP(A28,Data!$A:$AN,MATCH(yoy!$D$1,Data!$A$1:$AN$1,),))+1)^12-1)</f>
        <v/>
      </c>
      <c r="E28" s="14">
        <f>IF(VLOOKUP(B28,Data!$A:$AN,MATCH(yoy!$E$1,Data!$A$1:$AN$1,),)=0,"#N/A",(((VLOOKUP(B28,Data!$A:$AN,MATCH(yoy!$E$1,Data!$A$1:$AN$1,),)-VLOOKUP(A28,Data!$A:$AN,MATCH(yoy!$E$1,Data!$A$1:$AN$1,),))/VLOOKUP(A28,Data!$A:$AN,MATCH(yoy!$E$1,Data!$A$1:$AN$1,),))+1)^12-1)</f>
        <v/>
      </c>
      <c r="F28" s="14">
        <f>IF(VLOOKUP(B28,Data!$A:$AN,MATCH(yoy!$F$1,Data!$A$1:$AN$1,),)=0,"#N/A",(((VLOOKUP(B28,Data!$A:$AN,MATCH(yoy!$F$1,Data!$A$1:$AN$1,),)-VLOOKUP(A28,Data!$A:$AN,MATCH(yoy!$F$1,Data!$A$1:$AN$1,),))/VLOOKUP(A28,Data!$A:$AN,MATCH(yoy!$F$1,Data!$A$1:$AN$1,),))+1)^12-1)</f>
        <v/>
      </c>
      <c r="G28" s="14">
        <f>IF(VLOOKUP(B28,Data!$A:$AN,MATCH(yoy!$G$1,Data!$A$1:$AN$1,),)=0,"#N/A",(((VLOOKUP(B28,Data!$A:$AN,MATCH(yoy!$G$1,Data!$A$1:$AN$1,),)-VLOOKUP(A28,Data!$A:$AN,MATCH(yoy!$G$1,Data!$A$1:$AN$1,),))/VLOOKUP(A28,Data!$A:$AN,MATCH(yoy!$G$1,Data!$A$1:$AN$1,),))+1)^12-1)</f>
        <v/>
      </c>
      <c r="H28" s="14">
        <f>IF(VLOOKUP(B28,Data!$A:$AN,MATCH(yoy!$H$1,Data!$A$1:$AN$1,),)=0,"#N/A",(((VLOOKUP(B28,Data!$A:$AN,MATCH(yoy!$H$1,Data!$A$1:$AN$1,),)-VLOOKUP(A28,Data!$A:$AN,MATCH(yoy!$H$1,Data!$A$1:$AN$1,),))/VLOOKUP(A28,Data!$A:$AN,MATCH(yoy!$H$1,Data!$A$1:$AN$1,),))+1)^12-1)</f>
        <v/>
      </c>
      <c r="I28" s="14">
        <f>IF(VLOOKUP(B28,Data!$A:$AN,MATCH(yoy!$I$1,Data!$A$1:$AN$1,),)=0,"#N/A",(((VLOOKUP(B28,Data!$A:$AN,MATCH(yoy!$I$1,Data!$A$1:$AN$1,),)-VLOOKUP(A28,Data!$A:$AN,MATCH(yoy!$I$1,Data!$A$1:$AN$1,),))/VLOOKUP(A28,Data!$A:$AN,MATCH(yoy!$I$1,Data!$A$1:$AN$1,),))+1)^12-1)</f>
        <v/>
      </c>
      <c r="J28" s="14">
        <f>IF(VLOOKUP(B28,Data!$A:$AN,MATCH(yoy!$J$1,Data!$A$1:$AN$1,),)=0,"#N/A",(((VLOOKUP(B28,Data!$A:$AN,MATCH(yoy!$J$1,Data!$A$1:$AN$1,),)-VLOOKUP(A28,Data!$A:$AN,MATCH(yoy!$J$1,Data!$A$1:$AN$1,),))/VLOOKUP(A28,Data!$A:$AN,MATCH(yoy!$J$1,Data!$A$1:$AN$1,),))+1)^12-1)</f>
        <v/>
      </c>
      <c r="K28" s="14">
        <f>IF(VLOOKUP(B28,Data!$A:$AN,MATCH(yoy!$K$1,Data!$A$1:$AN$1,),)=0,"#N/A",(((VLOOKUP(B28,Data!$A:$AN,MATCH(yoy!$K$1,Data!$A$1:$AN$1,),)-VLOOKUP(A28,Data!$A:$AN,MATCH(yoy!$K$1,Data!$A$1:$AN$1,),))/VLOOKUP(A28,Data!$A:$AN,MATCH(yoy!$K$1,Data!$A$1:$AN$1,),))+1)^12-1)</f>
        <v/>
      </c>
      <c r="L28" s="14">
        <f>IF(VLOOKUP(B28,Data!$A:$AN,MATCH(yoy!$L$1,Data!$A$1:$AN$1,),)=0,"#N/A",(((VLOOKUP(B28,Data!$A:$AN,MATCH(yoy!$L$1,Data!$A$1:$AN$1,),)-VLOOKUP(A28,Data!$A:$AN,MATCH(yoy!$L$1,Data!$A$1:$AN$1,),))/VLOOKUP(A28,Data!$A:$AN,MATCH(yoy!$L$1,Data!$A$1:$AN$1,),))+1)^12-1)</f>
        <v/>
      </c>
      <c r="M28" s="14">
        <f>IF(VLOOKUP(B28,Data!$A:$AN,MATCH(yoy!$M$1,Data!$A$1:$AN$1,),)=0,"#N/A",(((VLOOKUP(B28,Data!$A:$AN,MATCH(yoy!$M$1,Data!$A$1:$AN$1,),)-VLOOKUP(A28,Data!$A:$AN,MATCH(yoy!$M$1,Data!$A$1:$AN$1,),))/VLOOKUP(A28,Data!$A:$AN,MATCH(yoy!$M$1,Data!$A$1:$AN$1,),))+1)^12-1)</f>
        <v/>
      </c>
      <c r="N28" s="14">
        <f>IF(VLOOKUP(B28,Data!$A:$AN,MATCH(yoy!$N$1,Data!$A$1:$AN$1,),)=0,"#N/A",(((VLOOKUP(B28,Data!$A:$AN,MATCH(yoy!$N$1,Data!$A$1:$AN$1,),)-VLOOKUP(A28,Data!$A:$AN,MATCH(yoy!$N$1,Data!$A$1:$AN$1,),))/VLOOKUP(A28,Data!$A:$AN,MATCH(yoy!$N$1,Data!$A$1:$AN$1,),))+1)^12-1)</f>
        <v/>
      </c>
      <c r="O28" s="14">
        <f>IF(VLOOKUP(B28,Data!$A:$AN,MATCH(yoy!$O$1,Data!$A$1:$AN$1,),)=0,"#N/A",(((VLOOKUP(B28,Data!$A:$AN,MATCH(yoy!$O$1,Data!$A$1:$AN$1,),)-VLOOKUP(A28,Data!$A:$AN,MATCH(yoy!$O$1,Data!$A$1:$AN$1,),))/VLOOKUP(A28,Data!$A:$AN,MATCH(yoy!$O$1,Data!$A$1:$AN$1,),))+1)^12-1)</f>
        <v/>
      </c>
      <c r="P28" s="14">
        <f>IF(VLOOKUP(B28,Data!$A:$AN,MATCH(yoy!$P$1,Data!$A$1:$AN$1,),)=0,"#N/A",(((VLOOKUP(B28,Data!$A:$AN,MATCH(yoy!$P$1,Data!$A$1:$AN$1,),)-VLOOKUP(A28,Data!$A:$AN,MATCH(yoy!$P$1,Data!$A$1:$AN$1,),))/VLOOKUP(A28,Data!$A:$AN,MATCH(yoy!$P$1,Data!$A$1:$AN$1,),))+1)^12-1)</f>
        <v/>
      </c>
      <c r="Q28" s="14">
        <f>IF(VLOOKUP(B28,Data!$A:$AN,MATCH(yoy!$Q$1,Data!$A$1:$AN$1,),)=0,"#N/A",(((VLOOKUP(B28,Data!$A:$AN,MATCH(yoy!$Q$1,Data!$A$1:$AN$1,),)-VLOOKUP(A28,Data!$A:$AN,MATCH(yoy!$Q$1,Data!$A$1:$AN$1,),))/VLOOKUP(A28,Data!$A:$AN,MATCH(yoy!$Q$1,Data!$A$1:$AN$1,),))+1)^12-1)</f>
        <v/>
      </c>
      <c r="R28" s="14">
        <f>IF(VLOOKUP(B28,Data!$A:$AN,MATCH(yoy!$R$1,Data!$A$1:$AN$1,),)=0,"#N/A",(((VLOOKUP(B28,Data!$A:$AN,MATCH(yoy!$R$1,Data!$A$1:$AN$1,),)-VLOOKUP(A28,Data!$A:$AN,MATCH(yoy!$R$1,Data!$A$1:$AN$1,),))/VLOOKUP(A28,Data!$A:$AN,MATCH(yoy!$R$1,Data!$A$1:$AN$1,),))+1)^12-1)</f>
        <v/>
      </c>
      <c r="S28" s="14">
        <f>IF(VLOOKUP(B28,Data!$A:$AN,MATCH(yoy!$S$1,Data!$A$1:$AN$1,),)=0,"#N/A",(((VLOOKUP(B28,Data!$A:$AN,MATCH(yoy!$S$1,Data!$A$1:$AN$1,),)-VLOOKUP(A28,Data!$A:$AN,MATCH(yoy!$S$1,Data!$A$1:$AN$1,),))/VLOOKUP(A28,Data!$A:$AN,MATCH(yoy!$S$1,Data!$A$1:$AN$1,),))+1)^12-1)</f>
        <v/>
      </c>
      <c r="T28" s="14">
        <f>IF(VLOOKUP(B28,Data!$A:$AN,MATCH(yoy!$T$1,Data!$A$1:$AN$1,),)=0,"#N/A",(((VLOOKUP(B28,Data!$A:$AN,MATCH(yoy!$T$1,Data!$A$1:$AN$1,),)-VLOOKUP(A28,Data!$A:$AN,MATCH(yoy!$T$1,Data!$A$1:$AN$1,),))/VLOOKUP(A28,Data!$A:$AN,MATCH(yoy!$T$1,Data!$A$1:$AN$1,),))+1)^12-1)</f>
        <v/>
      </c>
      <c r="U28" s="14">
        <f>IF(VLOOKUP(B28,Data!$A:$AN,MATCH(yoy!$U$1,Data!$A$1:$AN$1,),)=0,"#N/A",(((VLOOKUP(B28,Data!$A:$AN,MATCH(yoy!$U$1,Data!$A$1:$AN$1,),)-VLOOKUP(A28,Data!$A:$AN,MATCH(yoy!$U$1,Data!$A$1:$AN$1,),))/VLOOKUP(A28,Data!$A:$AN,MATCH(yoy!$U$1,Data!$A$1:$AN$1,),))+1)^12-1)</f>
        <v/>
      </c>
      <c r="V28" s="14">
        <f>IF(VLOOKUP(B28,Data!$A:$AN,MATCH(yoy!$V$1,Data!$A$1:$AN$1,),)=0,"#N/A",(((VLOOKUP(B28,Data!$A:$AN,MATCH(yoy!$V$1,Data!$A$1:$AN$1,),)-VLOOKUP(A28,Data!$A:$AN,MATCH(yoy!$V$1,Data!$A$1:$AN$1,),))/VLOOKUP(A28,Data!$A:$AN,MATCH(yoy!$V$1,Data!$A$1:$AN$1,),))+1)^12-1)</f>
        <v/>
      </c>
      <c r="W28" s="14">
        <f>IF(VLOOKUP(B28,Data!$A:$AN,MATCH(yoy!$W$1,Data!$A$1:$AN$1,),)=0,"#N/A",(((VLOOKUP(B28,Data!$A:$AN,MATCH(yoy!$W$1,Data!$A$1:$AN$1,),)-VLOOKUP(A28,Data!$A:$AN,MATCH(yoy!$W$1,Data!$A$1:$AN$1,),))/VLOOKUP(A28,Data!$A:$AN,MATCH(yoy!$W$1,Data!$A$1:$AN$1,),))+1)^12-1)</f>
        <v/>
      </c>
      <c r="X28" s="14">
        <f>IF(VLOOKUP(B28,Data!$A:$AN,MATCH(yoy!$X$1,Data!$A$1:$AN$1,),)=0,"#N/A",(((VLOOKUP(B28,Data!$A:$AN,MATCH(yoy!$X$1,Data!$A$1:$AN$1,),)-VLOOKUP(A28,Data!$A:$AN,MATCH(yoy!$X$1,Data!$A$1:$AN$1,),))/VLOOKUP(A28,Data!$A:$AN,MATCH(yoy!$X$1,Data!$A$1:$AN$1,),))+1)^12-1)</f>
        <v/>
      </c>
      <c r="Y28" s="14">
        <f>IF(VLOOKUP(B28,Data!$A:$AN,MATCH(yoy!$Y$1,Data!$A$1:$AN$1,),)=0,"#N/A",(((VLOOKUP(B28,Data!$A:$AN,MATCH(yoy!$Y$1,Data!$A$1:$AN$1,),)-VLOOKUP(A28,Data!$A:$AN,MATCH(yoy!$Y$1,Data!$A$1:$AN$1,),))/VLOOKUP(A28,Data!$A:$AN,MATCH(yoy!$Y$1,Data!$A$1:$AN$1,),))+1)^12-1)</f>
        <v/>
      </c>
      <c r="Z28" s="14">
        <f>IF(VLOOKUP(B28,Data!$A:$AN,MATCH(yoy!$Z$1,Data!$A$1:$AN$1,),)=0,"#N/A",(((VLOOKUP(B28,Data!$A:$AN,MATCH(yoy!$Z$1,Data!$A$1:$AN$1,),)-VLOOKUP(A28,Data!$A:$AN,MATCH(yoy!$Z$1,Data!$A$1:$AN$1,),))/VLOOKUP(A28,Data!$A:$AN,MATCH(yoy!$Z$1,Data!$A$1:$AN$1,),))+1)^12-1)</f>
        <v/>
      </c>
      <c r="AA28" s="14">
        <f>IF(VLOOKUP(B28,Data!$A:$AN,MATCH(yoy!$AA$1,Data!$A$1:$AN$1,),)=0,"#N/A",(((VLOOKUP(B28,Data!$A:$AN,MATCH(yoy!$AA$1,Data!$A$1:$AN$1,),)-VLOOKUP(A28,Data!$A:$AN,MATCH(yoy!$AA$1,Data!$A$1:$AN$1,),))/VLOOKUP(A28,Data!$A:$AN,MATCH(yoy!$AA$1,Data!$A$1:$AN$1,),))+1)^12-1)</f>
        <v/>
      </c>
    </row>
    <row r="29">
      <c r="A29" s="20">
        <f>DATE(YEAR(B29),MONTH(B29)-1,DAY(B29))</f>
        <v/>
      </c>
      <c r="B29" s="12" t="n">
        <v>42736</v>
      </c>
      <c r="C29" s="14">
        <f>IF(VLOOKUP(B29,Data!$A:$AN,MATCH(yoy!$C$1,Data!$A$1:$AN$1,),)=0,"#N/A",(((VLOOKUP(B29,Data!$A:$AN,MATCH(yoy!$C$1,Data!$A$1:$AN$1,),)-VLOOKUP(A29,Data!$A:$AN,MATCH(yoy!$C$1,Data!$A$1:$AN$1,),))/VLOOKUP(A29,Data!$A:$AN,MATCH(yoy!$C$1,Data!$A$1:$AN$1,),))+1)^12-1)</f>
        <v/>
      </c>
      <c r="D29" s="14">
        <f>IF(VLOOKUP(B29,Data!$A:$AN,MATCH(yoy!$D$1,Data!$A$1:$AN$1,),)=0,"#N/A",(((VLOOKUP(B29,Data!$A:$AN,MATCH(yoy!$D$1,Data!$A$1:$AN$1,),)-VLOOKUP(A29,Data!$A:$AN,MATCH(yoy!$D$1,Data!$A$1:$AN$1,),))/VLOOKUP(A29,Data!$A:$AN,MATCH(yoy!$D$1,Data!$A$1:$AN$1,),))+1)^12-1)</f>
        <v/>
      </c>
      <c r="E29" s="14">
        <f>IF(VLOOKUP(B29,Data!$A:$AN,MATCH(yoy!$E$1,Data!$A$1:$AN$1,),)=0,"#N/A",(((VLOOKUP(B29,Data!$A:$AN,MATCH(yoy!$E$1,Data!$A$1:$AN$1,),)-VLOOKUP(A29,Data!$A:$AN,MATCH(yoy!$E$1,Data!$A$1:$AN$1,),))/VLOOKUP(A29,Data!$A:$AN,MATCH(yoy!$E$1,Data!$A$1:$AN$1,),))+1)^12-1)</f>
        <v/>
      </c>
      <c r="F29" s="14">
        <f>IF(VLOOKUP(B29,Data!$A:$AN,MATCH(yoy!$F$1,Data!$A$1:$AN$1,),)=0,"#N/A",(((VLOOKUP(B29,Data!$A:$AN,MATCH(yoy!$F$1,Data!$A$1:$AN$1,),)-VLOOKUP(A29,Data!$A:$AN,MATCH(yoy!$F$1,Data!$A$1:$AN$1,),))/VLOOKUP(A29,Data!$A:$AN,MATCH(yoy!$F$1,Data!$A$1:$AN$1,),))+1)^12-1)</f>
        <v/>
      </c>
      <c r="G29" s="14">
        <f>IF(VLOOKUP(B29,Data!$A:$AN,MATCH(yoy!$G$1,Data!$A$1:$AN$1,),)=0,"#N/A",(((VLOOKUP(B29,Data!$A:$AN,MATCH(yoy!$G$1,Data!$A$1:$AN$1,),)-VLOOKUP(A29,Data!$A:$AN,MATCH(yoy!$G$1,Data!$A$1:$AN$1,),))/VLOOKUP(A29,Data!$A:$AN,MATCH(yoy!$G$1,Data!$A$1:$AN$1,),))+1)^12-1)</f>
        <v/>
      </c>
      <c r="H29" s="14">
        <f>IF(VLOOKUP(B29,Data!$A:$AN,MATCH(yoy!$H$1,Data!$A$1:$AN$1,),)=0,"#N/A",(((VLOOKUP(B29,Data!$A:$AN,MATCH(yoy!$H$1,Data!$A$1:$AN$1,),)-VLOOKUP(A29,Data!$A:$AN,MATCH(yoy!$H$1,Data!$A$1:$AN$1,),))/VLOOKUP(A29,Data!$A:$AN,MATCH(yoy!$H$1,Data!$A$1:$AN$1,),))+1)^12-1)</f>
        <v/>
      </c>
      <c r="I29" s="14">
        <f>IF(VLOOKUP(B29,Data!$A:$AN,MATCH(yoy!$I$1,Data!$A$1:$AN$1,),)=0,"#N/A",(((VLOOKUP(B29,Data!$A:$AN,MATCH(yoy!$I$1,Data!$A$1:$AN$1,),)-VLOOKUP(A29,Data!$A:$AN,MATCH(yoy!$I$1,Data!$A$1:$AN$1,),))/VLOOKUP(A29,Data!$A:$AN,MATCH(yoy!$I$1,Data!$A$1:$AN$1,),))+1)^12-1)</f>
        <v/>
      </c>
      <c r="J29" s="14">
        <f>IF(VLOOKUP(B29,Data!$A:$AN,MATCH(yoy!$J$1,Data!$A$1:$AN$1,),)=0,"#N/A",(((VLOOKUP(B29,Data!$A:$AN,MATCH(yoy!$J$1,Data!$A$1:$AN$1,),)-VLOOKUP(A29,Data!$A:$AN,MATCH(yoy!$J$1,Data!$A$1:$AN$1,),))/VLOOKUP(A29,Data!$A:$AN,MATCH(yoy!$J$1,Data!$A$1:$AN$1,),))+1)^12-1)</f>
        <v/>
      </c>
      <c r="K29" s="14">
        <f>IF(VLOOKUP(B29,Data!$A:$AN,MATCH(yoy!$K$1,Data!$A$1:$AN$1,),)=0,"#N/A",(((VLOOKUP(B29,Data!$A:$AN,MATCH(yoy!$K$1,Data!$A$1:$AN$1,),)-VLOOKUP(A29,Data!$A:$AN,MATCH(yoy!$K$1,Data!$A$1:$AN$1,),))/VLOOKUP(A29,Data!$A:$AN,MATCH(yoy!$K$1,Data!$A$1:$AN$1,),))+1)^12-1)</f>
        <v/>
      </c>
      <c r="L29" s="14">
        <f>IF(VLOOKUP(B29,Data!$A:$AN,MATCH(yoy!$L$1,Data!$A$1:$AN$1,),)=0,"#N/A",(((VLOOKUP(B29,Data!$A:$AN,MATCH(yoy!$L$1,Data!$A$1:$AN$1,),)-VLOOKUP(A29,Data!$A:$AN,MATCH(yoy!$L$1,Data!$A$1:$AN$1,),))/VLOOKUP(A29,Data!$A:$AN,MATCH(yoy!$L$1,Data!$A$1:$AN$1,),))+1)^12-1)</f>
        <v/>
      </c>
      <c r="M29" s="14">
        <f>IF(VLOOKUP(B29,Data!$A:$AN,MATCH(yoy!$M$1,Data!$A$1:$AN$1,),)=0,"#N/A",(((VLOOKUP(B29,Data!$A:$AN,MATCH(yoy!$M$1,Data!$A$1:$AN$1,),)-VLOOKUP(A29,Data!$A:$AN,MATCH(yoy!$M$1,Data!$A$1:$AN$1,),))/VLOOKUP(A29,Data!$A:$AN,MATCH(yoy!$M$1,Data!$A$1:$AN$1,),))+1)^12-1)</f>
        <v/>
      </c>
      <c r="N29" s="14">
        <f>IF(VLOOKUP(B29,Data!$A:$AN,MATCH(yoy!$N$1,Data!$A$1:$AN$1,),)=0,"#N/A",(((VLOOKUP(B29,Data!$A:$AN,MATCH(yoy!$N$1,Data!$A$1:$AN$1,),)-VLOOKUP(A29,Data!$A:$AN,MATCH(yoy!$N$1,Data!$A$1:$AN$1,),))/VLOOKUP(A29,Data!$A:$AN,MATCH(yoy!$N$1,Data!$A$1:$AN$1,),))+1)^12-1)</f>
        <v/>
      </c>
      <c r="O29" s="14">
        <f>IF(VLOOKUP(B29,Data!$A:$AN,MATCH(yoy!$O$1,Data!$A$1:$AN$1,),)=0,"#N/A",(((VLOOKUP(B29,Data!$A:$AN,MATCH(yoy!$O$1,Data!$A$1:$AN$1,),)-VLOOKUP(A29,Data!$A:$AN,MATCH(yoy!$O$1,Data!$A$1:$AN$1,),))/VLOOKUP(A29,Data!$A:$AN,MATCH(yoy!$O$1,Data!$A$1:$AN$1,),))+1)^12-1)</f>
        <v/>
      </c>
      <c r="P29" s="14">
        <f>IF(VLOOKUP(B29,Data!$A:$AN,MATCH(yoy!$P$1,Data!$A$1:$AN$1,),)=0,"#N/A",(((VLOOKUP(B29,Data!$A:$AN,MATCH(yoy!$P$1,Data!$A$1:$AN$1,),)-VLOOKUP(A29,Data!$A:$AN,MATCH(yoy!$P$1,Data!$A$1:$AN$1,),))/VLOOKUP(A29,Data!$A:$AN,MATCH(yoy!$P$1,Data!$A$1:$AN$1,),))+1)^12-1)</f>
        <v/>
      </c>
      <c r="Q29" s="14">
        <f>IF(VLOOKUP(B29,Data!$A:$AN,MATCH(yoy!$Q$1,Data!$A$1:$AN$1,),)=0,"#N/A",(((VLOOKUP(B29,Data!$A:$AN,MATCH(yoy!$Q$1,Data!$A$1:$AN$1,),)-VLOOKUP(A29,Data!$A:$AN,MATCH(yoy!$Q$1,Data!$A$1:$AN$1,),))/VLOOKUP(A29,Data!$A:$AN,MATCH(yoy!$Q$1,Data!$A$1:$AN$1,),))+1)^12-1)</f>
        <v/>
      </c>
      <c r="R29" s="14">
        <f>IF(VLOOKUP(B29,Data!$A:$AN,MATCH(yoy!$R$1,Data!$A$1:$AN$1,),)=0,"#N/A",(((VLOOKUP(B29,Data!$A:$AN,MATCH(yoy!$R$1,Data!$A$1:$AN$1,),)-VLOOKUP(A29,Data!$A:$AN,MATCH(yoy!$R$1,Data!$A$1:$AN$1,),))/VLOOKUP(A29,Data!$A:$AN,MATCH(yoy!$R$1,Data!$A$1:$AN$1,),))+1)^12-1)</f>
        <v/>
      </c>
      <c r="S29" s="14">
        <f>IF(VLOOKUP(B29,Data!$A:$AN,MATCH(yoy!$S$1,Data!$A$1:$AN$1,),)=0,"#N/A",(((VLOOKUP(B29,Data!$A:$AN,MATCH(yoy!$S$1,Data!$A$1:$AN$1,),)-VLOOKUP(A29,Data!$A:$AN,MATCH(yoy!$S$1,Data!$A$1:$AN$1,),))/VLOOKUP(A29,Data!$A:$AN,MATCH(yoy!$S$1,Data!$A$1:$AN$1,),))+1)^12-1)</f>
        <v/>
      </c>
      <c r="T29" s="14">
        <f>IF(VLOOKUP(B29,Data!$A:$AN,MATCH(yoy!$T$1,Data!$A$1:$AN$1,),)=0,"#N/A",(((VLOOKUP(B29,Data!$A:$AN,MATCH(yoy!$T$1,Data!$A$1:$AN$1,),)-VLOOKUP(A29,Data!$A:$AN,MATCH(yoy!$T$1,Data!$A$1:$AN$1,),))/VLOOKUP(A29,Data!$A:$AN,MATCH(yoy!$T$1,Data!$A$1:$AN$1,),))+1)^12-1)</f>
        <v/>
      </c>
      <c r="U29" s="14">
        <f>IF(VLOOKUP(B29,Data!$A:$AN,MATCH(yoy!$U$1,Data!$A$1:$AN$1,),)=0,"#N/A",(((VLOOKUP(B29,Data!$A:$AN,MATCH(yoy!$U$1,Data!$A$1:$AN$1,),)-VLOOKUP(A29,Data!$A:$AN,MATCH(yoy!$U$1,Data!$A$1:$AN$1,),))/VLOOKUP(A29,Data!$A:$AN,MATCH(yoy!$U$1,Data!$A$1:$AN$1,),))+1)^12-1)</f>
        <v/>
      </c>
      <c r="V29" s="14">
        <f>IF(VLOOKUP(B29,Data!$A:$AN,MATCH(yoy!$V$1,Data!$A$1:$AN$1,),)=0,"#N/A",(((VLOOKUP(B29,Data!$A:$AN,MATCH(yoy!$V$1,Data!$A$1:$AN$1,),)-VLOOKUP(A29,Data!$A:$AN,MATCH(yoy!$V$1,Data!$A$1:$AN$1,),))/VLOOKUP(A29,Data!$A:$AN,MATCH(yoy!$V$1,Data!$A$1:$AN$1,),))+1)^12-1)</f>
        <v/>
      </c>
      <c r="W29" s="14">
        <f>IF(VLOOKUP(B29,Data!$A:$AN,MATCH(yoy!$W$1,Data!$A$1:$AN$1,),)=0,"#N/A",(((VLOOKUP(B29,Data!$A:$AN,MATCH(yoy!$W$1,Data!$A$1:$AN$1,),)-VLOOKUP(A29,Data!$A:$AN,MATCH(yoy!$W$1,Data!$A$1:$AN$1,),))/VLOOKUP(A29,Data!$A:$AN,MATCH(yoy!$W$1,Data!$A$1:$AN$1,),))+1)^12-1)</f>
        <v/>
      </c>
      <c r="X29" s="14">
        <f>IF(VLOOKUP(B29,Data!$A:$AN,MATCH(yoy!$X$1,Data!$A$1:$AN$1,),)=0,"#N/A",(((VLOOKUP(B29,Data!$A:$AN,MATCH(yoy!$X$1,Data!$A$1:$AN$1,),)-VLOOKUP(A29,Data!$A:$AN,MATCH(yoy!$X$1,Data!$A$1:$AN$1,),))/VLOOKUP(A29,Data!$A:$AN,MATCH(yoy!$X$1,Data!$A$1:$AN$1,),))+1)^12-1)</f>
        <v/>
      </c>
      <c r="Y29" s="14">
        <f>IF(VLOOKUP(B29,Data!$A:$AN,MATCH(yoy!$Y$1,Data!$A$1:$AN$1,),)=0,"#N/A",(((VLOOKUP(B29,Data!$A:$AN,MATCH(yoy!$Y$1,Data!$A$1:$AN$1,),)-VLOOKUP(A29,Data!$A:$AN,MATCH(yoy!$Y$1,Data!$A$1:$AN$1,),))/VLOOKUP(A29,Data!$A:$AN,MATCH(yoy!$Y$1,Data!$A$1:$AN$1,),))+1)^12-1)</f>
        <v/>
      </c>
      <c r="Z29" s="14">
        <f>IF(VLOOKUP(B29,Data!$A:$AN,MATCH(yoy!$Z$1,Data!$A$1:$AN$1,),)=0,"#N/A",(((VLOOKUP(B29,Data!$A:$AN,MATCH(yoy!$Z$1,Data!$A$1:$AN$1,),)-VLOOKUP(A29,Data!$A:$AN,MATCH(yoy!$Z$1,Data!$A$1:$AN$1,),))/VLOOKUP(A29,Data!$A:$AN,MATCH(yoy!$Z$1,Data!$A$1:$AN$1,),))+1)^12-1)</f>
        <v/>
      </c>
      <c r="AA29" s="14">
        <f>IF(VLOOKUP(B29,Data!$A:$AN,MATCH(yoy!$AA$1,Data!$A$1:$AN$1,),)=0,"#N/A",(((VLOOKUP(B29,Data!$A:$AN,MATCH(yoy!$AA$1,Data!$A$1:$AN$1,),)-VLOOKUP(A29,Data!$A:$AN,MATCH(yoy!$AA$1,Data!$A$1:$AN$1,),))/VLOOKUP(A29,Data!$A:$AN,MATCH(yoy!$AA$1,Data!$A$1:$AN$1,),))+1)^12-1)</f>
        <v/>
      </c>
    </row>
    <row r="30">
      <c r="A30" s="20">
        <f>DATE(YEAR(B30),MONTH(B30)-1,DAY(B30))</f>
        <v/>
      </c>
      <c r="B30" s="12" t="n">
        <v>42767</v>
      </c>
      <c r="C30" s="14">
        <f>IF(VLOOKUP(B30,Data!$A:$AN,MATCH(yoy!$C$1,Data!$A$1:$AN$1,),)=0,"#N/A",(((VLOOKUP(B30,Data!$A:$AN,MATCH(yoy!$C$1,Data!$A$1:$AN$1,),)-VLOOKUP(A30,Data!$A:$AN,MATCH(yoy!$C$1,Data!$A$1:$AN$1,),))/VLOOKUP(A30,Data!$A:$AN,MATCH(yoy!$C$1,Data!$A$1:$AN$1,),))+1)^12-1)</f>
        <v/>
      </c>
      <c r="D30" s="14">
        <f>IF(VLOOKUP(B30,Data!$A:$AN,MATCH(yoy!$D$1,Data!$A$1:$AN$1,),)=0,"#N/A",(((VLOOKUP(B30,Data!$A:$AN,MATCH(yoy!$D$1,Data!$A$1:$AN$1,),)-VLOOKUP(A30,Data!$A:$AN,MATCH(yoy!$D$1,Data!$A$1:$AN$1,),))/VLOOKUP(A30,Data!$A:$AN,MATCH(yoy!$D$1,Data!$A$1:$AN$1,),))+1)^12-1)</f>
        <v/>
      </c>
      <c r="E30" s="14">
        <f>IF(VLOOKUP(B30,Data!$A:$AN,MATCH(yoy!$E$1,Data!$A$1:$AN$1,),)=0,"#N/A",(((VLOOKUP(B30,Data!$A:$AN,MATCH(yoy!$E$1,Data!$A$1:$AN$1,),)-VLOOKUP(A30,Data!$A:$AN,MATCH(yoy!$E$1,Data!$A$1:$AN$1,),))/VLOOKUP(A30,Data!$A:$AN,MATCH(yoy!$E$1,Data!$A$1:$AN$1,),))+1)^12-1)</f>
        <v/>
      </c>
      <c r="F30" s="14">
        <f>IF(VLOOKUP(B30,Data!$A:$AN,MATCH(yoy!$F$1,Data!$A$1:$AN$1,),)=0,"#N/A",(((VLOOKUP(B30,Data!$A:$AN,MATCH(yoy!$F$1,Data!$A$1:$AN$1,),)-VLOOKUP(A30,Data!$A:$AN,MATCH(yoy!$F$1,Data!$A$1:$AN$1,),))/VLOOKUP(A30,Data!$A:$AN,MATCH(yoy!$F$1,Data!$A$1:$AN$1,),))+1)^12-1)</f>
        <v/>
      </c>
      <c r="G30" s="14">
        <f>IF(VLOOKUP(B30,Data!$A:$AN,MATCH(yoy!$G$1,Data!$A$1:$AN$1,),)=0,"#N/A",(((VLOOKUP(B30,Data!$A:$AN,MATCH(yoy!$G$1,Data!$A$1:$AN$1,),)-VLOOKUP(A30,Data!$A:$AN,MATCH(yoy!$G$1,Data!$A$1:$AN$1,),))/VLOOKUP(A30,Data!$A:$AN,MATCH(yoy!$G$1,Data!$A$1:$AN$1,),))+1)^12-1)</f>
        <v/>
      </c>
      <c r="H30" s="14">
        <f>IF(VLOOKUP(B30,Data!$A:$AN,MATCH(yoy!$H$1,Data!$A$1:$AN$1,),)=0,"#N/A",(((VLOOKUP(B30,Data!$A:$AN,MATCH(yoy!$H$1,Data!$A$1:$AN$1,),)-VLOOKUP(A30,Data!$A:$AN,MATCH(yoy!$H$1,Data!$A$1:$AN$1,),))/VLOOKUP(A30,Data!$A:$AN,MATCH(yoy!$H$1,Data!$A$1:$AN$1,),))+1)^12-1)</f>
        <v/>
      </c>
      <c r="I30" s="14">
        <f>IF(VLOOKUP(B30,Data!$A:$AN,MATCH(yoy!$I$1,Data!$A$1:$AN$1,),)=0,"#N/A",(((VLOOKUP(B30,Data!$A:$AN,MATCH(yoy!$I$1,Data!$A$1:$AN$1,),)-VLOOKUP(A30,Data!$A:$AN,MATCH(yoy!$I$1,Data!$A$1:$AN$1,),))/VLOOKUP(A30,Data!$A:$AN,MATCH(yoy!$I$1,Data!$A$1:$AN$1,),))+1)^12-1)</f>
        <v/>
      </c>
      <c r="J30" s="14">
        <f>IF(VLOOKUP(B30,Data!$A:$AN,MATCH(yoy!$J$1,Data!$A$1:$AN$1,),)=0,"#N/A",(((VLOOKUP(B30,Data!$A:$AN,MATCH(yoy!$J$1,Data!$A$1:$AN$1,),)-VLOOKUP(A30,Data!$A:$AN,MATCH(yoy!$J$1,Data!$A$1:$AN$1,),))/VLOOKUP(A30,Data!$A:$AN,MATCH(yoy!$J$1,Data!$A$1:$AN$1,),))+1)^12-1)</f>
        <v/>
      </c>
      <c r="K30" s="14">
        <f>IF(VLOOKUP(B30,Data!$A:$AN,MATCH(yoy!$K$1,Data!$A$1:$AN$1,),)=0,"#N/A",(((VLOOKUP(B30,Data!$A:$AN,MATCH(yoy!$K$1,Data!$A$1:$AN$1,),)-VLOOKUP(A30,Data!$A:$AN,MATCH(yoy!$K$1,Data!$A$1:$AN$1,),))/VLOOKUP(A30,Data!$A:$AN,MATCH(yoy!$K$1,Data!$A$1:$AN$1,),))+1)^12-1)</f>
        <v/>
      </c>
      <c r="L30" s="14">
        <f>IF(VLOOKUP(B30,Data!$A:$AN,MATCH(yoy!$L$1,Data!$A$1:$AN$1,),)=0,"#N/A",(((VLOOKUP(B30,Data!$A:$AN,MATCH(yoy!$L$1,Data!$A$1:$AN$1,),)-VLOOKUP(A30,Data!$A:$AN,MATCH(yoy!$L$1,Data!$A$1:$AN$1,),))/VLOOKUP(A30,Data!$A:$AN,MATCH(yoy!$L$1,Data!$A$1:$AN$1,),))+1)^12-1)</f>
        <v/>
      </c>
      <c r="M30" s="14">
        <f>IF(VLOOKUP(B30,Data!$A:$AN,MATCH(yoy!$M$1,Data!$A$1:$AN$1,),)=0,"#N/A",(((VLOOKUP(B30,Data!$A:$AN,MATCH(yoy!$M$1,Data!$A$1:$AN$1,),)-VLOOKUP(A30,Data!$A:$AN,MATCH(yoy!$M$1,Data!$A$1:$AN$1,),))/VLOOKUP(A30,Data!$A:$AN,MATCH(yoy!$M$1,Data!$A$1:$AN$1,),))+1)^12-1)</f>
        <v/>
      </c>
      <c r="N30" s="14">
        <f>IF(VLOOKUP(B30,Data!$A:$AN,MATCH(yoy!$N$1,Data!$A$1:$AN$1,),)=0,"#N/A",(((VLOOKUP(B30,Data!$A:$AN,MATCH(yoy!$N$1,Data!$A$1:$AN$1,),)-VLOOKUP(A30,Data!$A:$AN,MATCH(yoy!$N$1,Data!$A$1:$AN$1,),))/VLOOKUP(A30,Data!$A:$AN,MATCH(yoy!$N$1,Data!$A$1:$AN$1,),))+1)^12-1)</f>
        <v/>
      </c>
      <c r="O30" s="14">
        <f>IF(VLOOKUP(B30,Data!$A:$AN,MATCH(yoy!$O$1,Data!$A$1:$AN$1,),)=0,"#N/A",(((VLOOKUP(B30,Data!$A:$AN,MATCH(yoy!$O$1,Data!$A$1:$AN$1,),)-VLOOKUP(A30,Data!$A:$AN,MATCH(yoy!$O$1,Data!$A$1:$AN$1,),))/VLOOKUP(A30,Data!$A:$AN,MATCH(yoy!$O$1,Data!$A$1:$AN$1,),))+1)^12-1)</f>
        <v/>
      </c>
      <c r="P30" s="14">
        <f>IF(VLOOKUP(B30,Data!$A:$AN,MATCH(yoy!$P$1,Data!$A$1:$AN$1,),)=0,"#N/A",(((VLOOKUP(B30,Data!$A:$AN,MATCH(yoy!$P$1,Data!$A$1:$AN$1,),)-VLOOKUP(A30,Data!$A:$AN,MATCH(yoy!$P$1,Data!$A$1:$AN$1,),))/VLOOKUP(A30,Data!$A:$AN,MATCH(yoy!$P$1,Data!$A$1:$AN$1,),))+1)^12-1)</f>
        <v/>
      </c>
      <c r="Q30" s="14">
        <f>IF(VLOOKUP(B30,Data!$A:$AN,MATCH(yoy!$Q$1,Data!$A$1:$AN$1,),)=0,"#N/A",(((VLOOKUP(B30,Data!$A:$AN,MATCH(yoy!$Q$1,Data!$A$1:$AN$1,),)-VLOOKUP(A30,Data!$A:$AN,MATCH(yoy!$Q$1,Data!$A$1:$AN$1,),))/VLOOKUP(A30,Data!$A:$AN,MATCH(yoy!$Q$1,Data!$A$1:$AN$1,),))+1)^12-1)</f>
        <v/>
      </c>
      <c r="R30" s="14">
        <f>IF(VLOOKUP(B30,Data!$A:$AN,MATCH(yoy!$R$1,Data!$A$1:$AN$1,),)=0,"#N/A",(((VLOOKUP(B30,Data!$A:$AN,MATCH(yoy!$R$1,Data!$A$1:$AN$1,),)-VLOOKUP(A30,Data!$A:$AN,MATCH(yoy!$R$1,Data!$A$1:$AN$1,),))/VLOOKUP(A30,Data!$A:$AN,MATCH(yoy!$R$1,Data!$A$1:$AN$1,),))+1)^12-1)</f>
        <v/>
      </c>
      <c r="S30" s="14">
        <f>IF(VLOOKUP(B30,Data!$A:$AN,MATCH(yoy!$S$1,Data!$A$1:$AN$1,),)=0,"#N/A",(((VLOOKUP(B30,Data!$A:$AN,MATCH(yoy!$S$1,Data!$A$1:$AN$1,),)-VLOOKUP(A30,Data!$A:$AN,MATCH(yoy!$S$1,Data!$A$1:$AN$1,),))/VLOOKUP(A30,Data!$A:$AN,MATCH(yoy!$S$1,Data!$A$1:$AN$1,),))+1)^12-1)</f>
        <v/>
      </c>
      <c r="T30" s="14">
        <f>IF(VLOOKUP(B30,Data!$A:$AN,MATCH(yoy!$T$1,Data!$A$1:$AN$1,),)=0,"#N/A",(((VLOOKUP(B30,Data!$A:$AN,MATCH(yoy!$T$1,Data!$A$1:$AN$1,),)-VLOOKUP(A30,Data!$A:$AN,MATCH(yoy!$T$1,Data!$A$1:$AN$1,),))/VLOOKUP(A30,Data!$A:$AN,MATCH(yoy!$T$1,Data!$A$1:$AN$1,),))+1)^12-1)</f>
        <v/>
      </c>
      <c r="U30" s="14">
        <f>IF(VLOOKUP(B30,Data!$A:$AN,MATCH(yoy!$U$1,Data!$A$1:$AN$1,),)=0,"#N/A",(((VLOOKUP(B30,Data!$A:$AN,MATCH(yoy!$U$1,Data!$A$1:$AN$1,),)-VLOOKUP(A30,Data!$A:$AN,MATCH(yoy!$U$1,Data!$A$1:$AN$1,),))/VLOOKUP(A30,Data!$A:$AN,MATCH(yoy!$U$1,Data!$A$1:$AN$1,),))+1)^12-1)</f>
        <v/>
      </c>
      <c r="V30" s="14">
        <f>IF(VLOOKUP(B30,Data!$A:$AN,MATCH(yoy!$V$1,Data!$A$1:$AN$1,),)=0,"#N/A",(((VLOOKUP(B30,Data!$A:$AN,MATCH(yoy!$V$1,Data!$A$1:$AN$1,),)-VLOOKUP(A30,Data!$A:$AN,MATCH(yoy!$V$1,Data!$A$1:$AN$1,),))/VLOOKUP(A30,Data!$A:$AN,MATCH(yoy!$V$1,Data!$A$1:$AN$1,),))+1)^12-1)</f>
        <v/>
      </c>
      <c r="W30" s="14">
        <f>IF(VLOOKUP(B30,Data!$A:$AN,MATCH(yoy!$W$1,Data!$A$1:$AN$1,),)=0,"#N/A",(((VLOOKUP(B30,Data!$A:$AN,MATCH(yoy!$W$1,Data!$A$1:$AN$1,),)-VLOOKUP(A30,Data!$A:$AN,MATCH(yoy!$W$1,Data!$A$1:$AN$1,),))/VLOOKUP(A30,Data!$A:$AN,MATCH(yoy!$W$1,Data!$A$1:$AN$1,),))+1)^12-1)</f>
        <v/>
      </c>
      <c r="X30" s="14">
        <f>IF(VLOOKUP(B30,Data!$A:$AN,MATCH(yoy!$X$1,Data!$A$1:$AN$1,),)=0,"#N/A",(((VLOOKUP(B30,Data!$A:$AN,MATCH(yoy!$X$1,Data!$A$1:$AN$1,),)-VLOOKUP(A30,Data!$A:$AN,MATCH(yoy!$X$1,Data!$A$1:$AN$1,),))/VLOOKUP(A30,Data!$A:$AN,MATCH(yoy!$X$1,Data!$A$1:$AN$1,),))+1)^12-1)</f>
        <v/>
      </c>
      <c r="Y30" s="14">
        <f>IF(VLOOKUP(B30,Data!$A:$AN,MATCH(yoy!$Y$1,Data!$A$1:$AN$1,),)=0,"#N/A",(((VLOOKUP(B30,Data!$A:$AN,MATCH(yoy!$Y$1,Data!$A$1:$AN$1,),)-VLOOKUP(A30,Data!$A:$AN,MATCH(yoy!$Y$1,Data!$A$1:$AN$1,),))/VLOOKUP(A30,Data!$A:$AN,MATCH(yoy!$Y$1,Data!$A$1:$AN$1,),))+1)^12-1)</f>
        <v/>
      </c>
      <c r="Z30" s="14">
        <f>IF(VLOOKUP(B30,Data!$A:$AN,MATCH(yoy!$Z$1,Data!$A$1:$AN$1,),)=0,"#N/A",(((VLOOKUP(B30,Data!$A:$AN,MATCH(yoy!$Z$1,Data!$A$1:$AN$1,),)-VLOOKUP(A30,Data!$A:$AN,MATCH(yoy!$Z$1,Data!$A$1:$AN$1,),))/VLOOKUP(A30,Data!$A:$AN,MATCH(yoy!$Z$1,Data!$A$1:$AN$1,),))+1)^12-1)</f>
        <v/>
      </c>
      <c r="AA30" s="14">
        <f>IF(VLOOKUP(B30,Data!$A:$AN,MATCH(yoy!$AA$1,Data!$A$1:$AN$1,),)=0,"#N/A",(((VLOOKUP(B30,Data!$A:$AN,MATCH(yoy!$AA$1,Data!$A$1:$AN$1,),)-VLOOKUP(A30,Data!$A:$AN,MATCH(yoy!$AA$1,Data!$A$1:$AN$1,),))/VLOOKUP(A30,Data!$A:$AN,MATCH(yoy!$AA$1,Data!$A$1:$AN$1,),))+1)^12-1)</f>
        <v/>
      </c>
    </row>
    <row r="31">
      <c r="A31" s="20">
        <f>DATE(YEAR(B31),MONTH(B31)-1,DAY(B31))</f>
        <v/>
      </c>
      <c r="B31" s="12" t="n">
        <v>42795</v>
      </c>
      <c r="C31" s="14">
        <f>IF(VLOOKUP(B31,Data!$A:$AN,MATCH(yoy!$C$1,Data!$A$1:$AN$1,),)=0,"#N/A",(((VLOOKUP(B31,Data!$A:$AN,MATCH(yoy!$C$1,Data!$A$1:$AN$1,),)-VLOOKUP(A31,Data!$A:$AN,MATCH(yoy!$C$1,Data!$A$1:$AN$1,),))/VLOOKUP(A31,Data!$A:$AN,MATCH(yoy!$C$1,Data!$A$1:$AN$1,),))+1)^12-1)</f>
        <v/>
      </c>
      <c r="D31" s="14">
        <f>IF(VLOOKUP(B31,Data!$A:$AN,MATCH(yoy!$D$1,Data!$A$1:$AN$1,),)=0,"#N/A",(((VLOOKUP(B31,Data!$A:$AN,MATCH(yoy!$D$1,Data!$A$1:$AN$1,),)-VLOOKUP(A31,Data!$A:$AN,MATCH(yoy!$D$1,Data!$A$1:$AN$1,),))/VLOOKUP(A31,Data!$A:$AN,MATCH(yoy!$D$1,Data!$A$1:$AN$1,),))+1)^12-1)</f>
        <v/>
      </c>
      <c r="E31" s="14">
        <f>IF(VLOOKUP(B31,Data!$A:$AN,MATCH(yoy!$E$1,Data!$A$1:$AN$1,),)=0,"#N/A",(((VLOOKUP(B31,Data!$A:$AN,MATCH(yoy!$E$1,Data!$A$1:$AN$1,),)-VLOOKUP(A31,Data!$A:$AN,MATCH(yoy!$E$1,Data!$A$1:$AN$1,),))/VLOOKUP(A31,Data!$A:$AN,MATCH(yoy!$E$1,Data!$A$1:$AN$1,),))+1)^12-1)</f>
        <v/>
      </c>
      <c r="F31" s="14">
        <f>IF(VLOOKUP(B31,Data!$A:$AN,MATCH(yoy!$F$1,Data!$A$1:$AN$1,),)=0,"#N/A",(((VLOOKUP(B31,Data!$A:$AN,MATCH(yoy!$F$1,Data!$A$1:$AN$1,),)-VLOOKUP(A31,Data!$A:$AN,MATCH(yoy!$F$1,Data!$A$1:$AN$1,),))/VLOOKUP(A31,Data!$A:$AN,MATCH(yoy!$F$1,Data!$A$1:$AN$1,),))+1)^12-1)</f>
        <v/>
      </c>
      <c r="G31" s="14">
        <f>IF(VLOOKUP(B31,Data!$A:$AN,MATCH(yoy!$G$1,Data!$A$1:$AN$1,),)=0,"#N/A",(((VLOOKUP(B31,Data!$A:$AN,MATCH(yoy!$G$1,Data!$A$1:$AN$1,),)-VLOOKUP(A31,Data!$A:$AN,MATCH(yoy!$G$1,Data!$A$1:$AN$1,),))/VLOOKUP(A31,Data!$A:$AN,MATCH(yoy!$G$1,Data!$A$1:$AN$1,),))+1)^12-1)</f>
        <v/>
      </c>
      <c r="H31" s="14">
        <f>IF(VLOOKUP(B31,Data!$A:$AN,MATCH(yoy!$H$1,Data!$A$1:$AN$1,),)=0,"#N/A",(((VLOOKUP(B31,Data!$A:$AN,MATCH(yoy!$H$1,Data!$A$1:$AN$1,),)-VLOOKUP(A31,Data!$A:$AN,MATCH(yoy!$H$1,Data!$A$1:$AN$1,),))/VLOOKUP(A31,Data!$A:$AN,MATCH(yoy!$H$1,Data!$A$1:$AN$1,),))+1)^12-1)</f>
        <v/>
      </c>
      <c r="I31" s="14">
        <f>IF(VLOOKUP(B31,Data!$A:$AN,MATCH(yoy!$I$1,Data!$A$1:$AN$1,),)=0,"#N/A",(((VLOOKUP(B31,Data!$A:$AN,MATCH(yoy!$I$1,Data!$A$1:$AN$1,),)-VLOOKUP(A31,Data!$A:$AN,MATCH(yoy!$I$1,Data!$A$1:$AN$1,),))/VLOOKUP(A31,Data!$A:$AN,MATCH(yoy!$I$1,Data!$A$1:$AN$1,),))+1)^12-1)</f>
        <v/>
      </c>
      <c r="J31" s="14">
        <f>IF(VLOOKUP(B31,Data!$A:$AN,MATCH(yoy!$J$1,Data!$A$1:$AN$1,),)=0,"#N/A",(((VLOOKUP(B31,Data!$A:$AN,MATCH(yoy!$J$1,Data!$A$1:$AN$1,),)-VLOOKUP(A31,Data!$A:$AN,MATCH(yoy!$J$1,Data!$A$1:$AN$1,),))/VLOOKUP(A31,Data!$A:$AN,MATCH(yoy!$J$1,Data!$A$1:$AN$1,),))+1)^12-1)</f>
        <v/>
      </c>
      <c r="K31" s="14">
        <f>IF(VLOOKUP(B31,Data!$A:$AN,MATCH(yoy!$K$1,Data!$A$1:$AN$1,),)=0,"#N/A",(((VLOOKUP(B31,Data!$A:$AN,MATCH(yoy!$K$1,Data!$A$1:$AN$1,),)-VLOOKUP(A31,Data!$A:$AN,MATCH(yoy!$K$1,Data!$A$1:$AN$1,),))/VLOOKUP(A31,Data!$A:$AN,MATCH(yoy!$K$1,Data!$A$1:$AN$1,),))+1)^12-1)</f>
        <v/>
      </c>
      <c r="L31" s="14">
        <f>IF(VLOOKUP(B31,Data!$A:$AN,MATCH(yoy!$L$1,Data!$A$1:$AN$1,),)=0,"#N/A",(((VLOOKUP(B31,Data!$A:$AN,MATCH(yoy!$L$1,Data!$A$1:$AN$1,),)-VLOOKUP(A31,Data!$A:$AN,MATCH(yoy!$L$1,Data!$A$1:$AN$1,),))/VLOOKUP(A31,Data!$A:$AN,MATCH(yoy!$L$1,Data!$A$1:$AN$1,),))+1)^12-1)</f>
        <v/>
      </c>
      <c r="M31" s="14">
        <f>IF(VLOOKUP(B31,Data!$A:$AN,MATCH(yoy!$M$1,Data!$A$1:$AN$1,),)=0,"#N/A",(((VLOOKUP(B31,Data!$A:$AN,MATCH(yoy!$M$1,Data!$A$1:$AN$1,),)-VLOOKUP(A31,Data!$A:$AN,MATCH(yoy!$M$1,Data!$A$1:$AN$1,),))/VLOOKUP(A31,Data!$A:$AN,MATCH(yoy!$M$1,Data!$A$1:$AN$1,),))+1)^12-1)</f>
        <v/>
      </c>
      <c r="N31" s="14">
        <f>IF(VLOOKUP(B31,Data!$A:$AN,MATCH(yoy!$N$1,Data!$A$1:$AN$1,),)=0,"#N/A",(((VLOOKUP(B31,Data!$A:$AN,MATCH(yoy!$N$1,Data!$A$1:$AN$1,),)-VLOOKUP(A31,Data!$A:$AN,MATCH(yoy!$N$1,Data!$A$1:$AN$1,),))/VLOOKUP(A31,Data!$A:$AN,MATCH(yoy!$N$1,Data!$A$1:$AN$1,),))+1)^12-1)</f>
        <v/>
      </c>
      <c r="O31" s="14">
        <f>IF(VLOOKUP(B31,Data!$A:$AN,MATCH(yoy!$O$1,Data!$A$1:$AN$1,),)=0,"#N/A",(((VLOOKUP(B31,Data!$A:$AN,MATCH(yoy!$O$1,Data!$A$1:$AN$1,),)-VLOOKUP(A31,Data!$A:$AN,MATCH(yoy!$O$1,Data!$A$1:$AN$1,),))/VLOOKUP(A31,Data!$A:$AN,MATCH(yoy!$O$1,Data!$A$1:$AN$1,),))+1)^12-1)</f>
        <v/>
      </c>
      <c r="P31" s="14">
        <f>IF(VLOOKUP(B31,Data!$A:$AN,MATCH(yoy!$P$1,Data!$A$1:$AN$1,),)=0,"#N/A",(((VLOOKUP(B31,Data!$A:$AN,MATCH(yoy!$P$1,Data!$A$1:$AN$1,),)-VLOOKUP(A31,Data!$A:$AN,MATCH(yoy!$P$1,Data!$A$1:$AN$1,),))/VLOOKUP(A31,Data!$A:$AN,MATCH(yoy!$P$1,Data!$A$1:$AN$1,),))+1)^12-1)</f>
        <v/>
      </c>
      <c r="Q31" s="14">
        <f>IF(VLOOKUP(B31,Data!$A:$AN,MATCH(yoy!$Q$1,Data!$A$1:$AN$1,),)=0,"#N/A",(((VLOOKUP(B31,Data!$A:$AN,MATCH(yoy!$Q$1,Data!$A$1:$AN$1,),)-VLOOKUP(A31,Data!$A:$AN,MATCH(yoy!$Q$1,Data!$A$1:$AN$1,),))/VLOOKUP(A31,Data!$A:$AN,MATCH(yoy!$Q$1,Data!$A$1:$AN$1,),))+1)^12-1)</f>
        <v/>
      </c>
      <c r="R31" s="14">
        <f>IF(VLOOKUP(B31,Data!$A:$AN,MATCH(yoy!$R$1,Data!$A$1:$AN$1,),)=0,"#N/A",(((VLOOKUP(B31,Data!$A:$AN,MATCH(yoy!$R$1,Data!$A$1:$AN$1,),)-VLOOKUP(A31,Data!$A:$AN,MATCH(yoy!$R$1,Data!$A$1:$AN$1,),))/VLOOKUP(A31,Data!$A:$AN,MATCH(yoy!$R$1,Data!$A$1:$AN$1,),))+1)^12-1)</f>
        <v/>
      </c>
      <c r="S31" s="14">
        <f>IF(VLOOKUP(B31,Data!$A:$AN,MATCH(yoy!$S$1,Data!$A$1:$AN$1,),)=0,"#N/A",(((VLOOKUP(B31,Data!$A:$AN,MATCH(yoy!$S$1,Data!$A$1:$AN$1,),)-VLOOKUP(A31,Data!$A:$AN,MATCH(yoy!$S$1,Data!$A$1:$AN$1,),))/VLOOKUP(A31,Data!$A:$AN,MATCH(yoy!$S$1,Data!$A$1:$AN$1,),))+1)^12-1)</f>
        <v/>
      </c>
      <c r="T31" s="14">
        <f>IF(VLOOKUP(B31,Data!$A:$AN,MATCH(yoy!$T$1,Data!$A$1:$AN$1,),)=0,"#N/A",(((VLOOKUP(B31,Data!$A:$AN,MATCH(yoy!$T$1,Data!$A$1:$AN$1,),)-VLOOKUP(A31,Data!$A:$AN,MATCH(yoy!$T$1,Data!$A$1:$AN$1,),))/VLOOKUP(A31,Data!$A:$AN,MATCH(yoy!$T$1,Data!$A$1:$AN$1,),))+1)^12-1)</f>
        <v/>
      </c>
      <c r="U31" s="14">
        <f>IF(VLOOKUP(B31,Data!$A:$AN,MATCH(yoy!$U$1,Data!$A$1:$AN$1,),)=0,"#N/A",(((VLOOKUP(B31,Data!$A:$AN,MATCH(yoy!$U$1,Data!$A$1:$AN$1,),)-VLOOKUP(A31,Data!$A:$AN,MATCH(yoy!$U$1,Data!$A$1:$AN$1,),))/VLOOKUP(A31,Data!$A:$AN,MATCH(yoy!$U$1,Data!$A$1:$AN$1,),))+1)^12-1)</f>
        <v/>
      </c>
      <c r="V31" s="14">
        <f>IF(VLOOKUP(B31,Data!$A:$AN,MATCH(yoy!$V$1,Data!$A$1:$AN$1,),)=0,"#N/A",(((VLOOKUP(B31,Data!$A:$AN,MATCH(yoy!$V$1,Data!$A$1:$AN$1,),)-VLOOKUP(A31,Data!$A:$AN,MATCH(yoy!$V$1,Data!$A$1:$AN$1,),))/VLOOKUP(A31,Data!$A:$AN,MATCH(yoy!$V$1,Data!$A$1:$AN$1,),))+1)^12-1)</f>
        <v/>
      </c>
      <c r="W31" s="14">
        <f>IF(VLOOKUP(B31,Data!$A:$AN,MATCH(yoy!$W$1,Data!$A$1:$AN$1,),)=0,"#N/A",(((VLOOKUP(B31,Data!$A:$AN,MATCH(yoy!$W$1,Data!$A$1:$AN$1,),)-VLOOKUP(A31,Data!$A:$AN,MATCH(yoy!$W$1,Data!$A$1:$AN$1,),))/VLOOKUP(A31,Data!$A:$AN,MATCH(yoy!$W$1,Data!$A$1:$AN$1,),))+1)^12-1)</f>
        <v/>
      </c>
      <c r="X31" s="14">
        <f>IF(VLOOKUP(B31,Data!$A:$AN,MATCH(yoy!$X$1,Data!$A$1:$AN$1,),)=0,"#N/A",(((VLOOKUP(B31,Data!$A:$AN,MATCH(yoy!$X$1,Data!$A$1:$AN$1,),)-VLOOKUP(A31,Data!$A:$AN,MATCH(yoy!$X$1,Data!$A$1:$AN$1,),))/VLOOKUP(A31,Data!$A:$AN,MATCH(yoy!$X$1,Data!$A$1:$AN$1,),))+1)^12-1)</f>
        <v/>
      </c>
      <c r="Y31" s="14">
        <f>IF(VLOOKUP(B31,Data!$A:$AN,MATCH(yoy!$Y$1,Data!$A$1:$AN$1,),)=0,"#N/A",(((VLOOKUP(B31,Data!$A:$AN,MATCH(yoy!$Y$1,Data!$A$1:$AN$1,),)-VLOOKUP(A31,Data!$A:$AN,MATCH(yoy!$Y$1,Data!$A$1:$AN$1,),))/VLOOKUP(A31,Data!$A:$AN,MATCH(yoy!$Y$1,Data!$A$1:$AN$1,),))+1)^12-1)</f>
        <v/>
      </c>
      <c r="Z31" s="14">
        <f>IF(VLOOKUP(B31,Data!$A:$AN,MATCH(yoy!$Z$1,Data!$A$1:$AN$1,),)=0,"#N/A",(((VLOOKUP(B31,Data!$A:$AN,MATCH(yoy!$Z$1,Data!$A$1:$AN$1,),)-VLOOKUP(A31,Data!$A:$AN,MATCH(yoy!$Z$1,Data!$A$1:$AN$1,),))/VLOOKUP(A31,Data!$A:$AN,MATCH(yoy!$Z$1,Data!$A$1:$AN$1,),))+1)^12-1)</f>
        <v/>
      </c>
      <c r="AA31" s="14">
        <f>IF(VLOOKUP(B31,Data!$A:$AN,MATCH(yoy!$AA$1,Data!$A$1:$AN$1,),)=0,"#N/A",(((VLOOKUP(B31,Data!$A:$AN,MATCH(yoy!$AA$1,Data!$A$1:$AN$1,),)-VLOOKUP(A31,Data!$A:$AN,MATCH(yoy!$AA$1,Data!$A$1:$AN$1,),))/VLOOKUP(A31,Data!$A:$AN,MATCH(yoy!$AA$1,Data!$A$1:$AN$1,),))+1)^12-1)</f>
        <v/>
      </c>
    </row>
    <row r="32">
      <c r="A32" s="20">
        <f>DATE(YEAR(B32),MONTH(B32)-1,DAY(B32))</f>
        <v/>
      </c>
      <c r="B32" s="12" t="n">
        <v>42826</v>
      </c>
      <c r="C32" s="14">
        <f>IF(VLOOKUP(B32,Data!$A:$AN,MATCH(yoy!$C$1,Data!$A$1:$AN$1,),)=0,"#N/A",(((VLOOKUP(B32,Data!$A:$AN,MATCH(yoy!$C$1,Data!$A$1:$AN$1,),)-VLOOKUP(A32,Data!$A:$AN,MATCH(yoy!$C$1,Data!$A$1:$AN$1,),))/VLOOKUP(A32,Data!$A:$AN,MATCH(yoy!$C$1,Data!$A$1:$AN$1,),))+1)^12-1)</f>
        <v/>
      </c>
      <c r="D32" s="14">
        <f>IF(VLOOKUP(B32,Data!$A:$AN,MATCH(yoy!$D$1,Data!$A$1:$AN$1,),)=0,"#N/A",(((VLOOKUP(B32,Data!$A:$AN,MATCH(yoy!$D$1,Data!$A$1:$AN$1,),)-VLOOKUP(A32,Data!$A:$AN,MATCH(yoy!$D$1,Data!$A$1:$AN$1,),))/VLOOKUP(A32,Data!$A:$AN,MATCH(yoy!$D$1,Data!$A$1:$AN$1,),))+1)^12-1)</f>
        <v/>
      </c>
      <c r="E32" s="14">
        <f>IF(VLOOKUP(B32,Data!$A:$AN,MATCH(yoy!$E$1,Data!$A$1:$AN$1,),)=0,"#N/A",(((VLOOKUP(B32,Data!$A:$AN,MATCH(yoy!$E$1,Data!$A$1:$AN$1,),)-VLOOKUP(A32,Data!$A:$AN,MATCH(yoy!$E$1,Data!$A$1:$AN$1,),))/VLOOKUP(A32,Data!$A:$AN,MATCH(yoy!$E$1,Data!$A$1:$AN$1,),))+1)^12-1)</f>
        <v/>
      </c>
      <c r="F32" s="14">
        <f>IF(VLOOKUP(B32,Data!$A:$AN,MATCH(yoy!$F$1,Data!$A$1:$AN$1,),)=0,"#N/A",(((VLOOKUP(B32,Data!$A:$AN,MATCH(yoy!$F$1,Data!$A$1:$AN$1,),)-VLOOKUP(A32,Data!$A:$AN,MATCH(yoy!$F$1,Data!$A$1:$AN$1,),))/VLOOKUP(A32,Data!$A:$AN,MATCH(yoy!$F$1,Data!$A$1:$AN$1,),))+1)^12-1)</f>
        <v/>
      </c>
      <c r="G32" s="14">
        <f>IF(VLOOKUP(B32,Data!$A:$AN,MATCH(yoy!$G$1,Data!$A$1:$AN$1,),)=0,"#N/A",(((VLOOKUP(B32,Data!$A:$AN,MATCH(yoy!$G$1,Data!$A$1:$AN$1,),)-VLOOKUP(A32,Data!$A:$AN,MATCH(yoy!$G$1,Data!$A$1:$AN$1,),))/VLOOKUP(A32,Data!$A:$AN,MATCH(yoy!$G$1,Data!$A$1:$AN$1,),))+1)^12-1)</f>
        <v/>
      </c>
      <c r="H32" s="14">
        <f>IF(VLOOKUP(B32,Data!$A:$AN,MATCH(yoy!$H$1,Data!$A$1:$AN$1,),)=0,"#N/A",(((VLOOKUP(B32,Data!$A:$AN,MATCH(yoy!$H$1,Data!$A$1:$AN$1,),)-VLOOKUP(A32,Data!$A:$AN,MATCH(yoy!$H$1,Data!$A$1:$AN$1,),))/VLOOKUP(A32,Data!$A:$AN,MATCH(yoy!$H$1,Data!$A$1:$AN$1,),))+1)^12-1)</f>
        <v/>
      </c>
      <c r="I32" s="14">
        <f>IF(VLOOKUP(B32,Data!$A:$AN,MATCH(yoy!$I$1,Data!$A$1:$AN$1,),)=0,"#N/A",(((VLOOKUP(B32,Data!$A:$AN,MATCH(yoy!$I$1,Data!$A$1:$AN$1,),)-VLOOKUP(A32,Data!$A:$AN,MATCH(yoy!$I$1,Data!$A$1:$AN$1,),))/VLOOKUP(A32,Data!$A:$AN,MATCH(yoy!$I$1,Data!$A$1:$AN$1,),))+1)^12-1)</f>
        <v/>
      </c>
      <c r="J32" s="14">
        <f>IF(VLOOKUP(B32,Data!$A:$AN,MATCH(yoy!$J$1,Data!$A$1:$AN$1,),)=0,"#N/A",(((VLOOKUP(B32,Data!$A:$AN,MATCH(yoy!$J$1,Data!$A$1:$AN$1,),)-VLOOKUP(A32,Data!$A:$AN,MATCH(yoy!$J$1,Data!$A$1:$AN$1,),))/VLOOKUP(A32,Data!$A:$AN,MATCH(yoy!$J$1,Data!$A$1:$AN$1,),))+1)^12-1)</f>
        <v/>
      </c>
      <c r="K32" s="14">
        <f>IF(VLOOKUP(B32,Data!$A:$AN,MATCH(yoy!$K$1,Data!$A$1:$AN$1,),)=0,"#N/A",(((VLOOKUP(B32,Data!$A:$AN,MATCH(yoy!$K$1,Data!$A$1:$AN$1,),)-VLOOKUP(A32,Data!$A:$AN,MATCH(yoy!$K$1,Data!$A$1:$AN$1,),))/VLOOKUP(A32,Data!$A:$AN,MATCH(yoy!$K$1,Data!$A$1:$AN$1,),))+1)^12-1)</f>
        <v/>
      </c>
      <c r="L32" s="14">
        <f>IF(VLOOKUP(B32,Data!$A:$AN,MATCH(yoy!$L$1,Data!$A$1:$AN$1,),)=0,"#N/A",(((VLOOKUP(B32,Data!$A:$AN,MATCH(yoy!$L$1,Data!$A$1:$AN$1,),)-VLOOKUP(A32,Data!$A:$AN,MATCH(yoy!$L$1,Data!$A$1:$AN$1,),))/VLOOKUP(A32,Data!$A:$AN,MATCH(yoy!$L$1,Data!$A$1:$AN$1,),))+1)^12-1)</f>
        <v/>
      </c>
      <c r="M32" s="14">
        <f>IF(VLOOKUP(B32,Data!$A:$AN,MATCH(yoy!$M$1,Data!$A$1:$AN$1,),)=0,"#N/A",(((VLOOKUP(B32,Data!$A:$AN,MATCH(yoy!$M$1,Data!$A$1:$AN$1,),)-VLOOKUP(A32,Data!$A:$AN,MATCH(yoy!$M$1,Data!$A$1:$AN$1,),))/VLOOKUP(A32,Data!$A:$AN,MATCH(yoy!$M$1,Data!$A$1:$AN$1,),))+1)^12-1)</f>
        <v/>
      </c>
      <c r="N32" s="14">
        <f>IF(VLOOKUP(B32,Data!$A:$AN,MATCH(yoy!$N$1,Data!$A$1:$AN$1,),)=0,"#N/A",(((VLOOKUP(B32,Data!$A:$AN,MATCH(yoy!$N$1,Data!$A$1:$AN$1,),)-VLOOKUP(A32,Data!$A:$AN,MATCH(yoy!$N$1,Data!$A$1:$AN$1,),))/VLOOKUP(A32,Data!$A:$AN,MATCH(yoy!$N$1,Data!$A$1:$AN$1,),))+1)^12-1)</f>
        <v/>
      </c>
      <c r="O32" s="14">
        <f>IF(VLOOKUP(B32,Data!$A:$AN,MATCH(yoy!$O$1,Data!$A$1:$AN$1,),)=0,"#N/A",(((VLOOKUP(B32,Data!$A:$AN,MATCH(yoy!$O$1,Data!$A$1:$AN$1,),)-VLOOKUP(A32,Data!$A:$AN,MATCH(yoy!$O$1,Data!$A$1:$AN$1,),))/VLOOKUP(A32,Data!$A:$AN,MATCH(yoy!$O$1,Data!$A$1:$AN$1,),))+1)^12-1)</f>
        <v/>
      </c>
      <c r="P32" s="14">
        <f>IF(VLOOKUP(B32,Data!$A:$AN,MATCH(yoy!$P$1,Data!$A$1:$AN$1,),)=0,"#N/A",(((VLOOKUP(B32,Data!$A:$AN,MATCH(yoy!$P$1,Data!$A$1:$AN$1,),)-VLOOKUP(A32,Data!$A:$AN,MATCH(yoy!$P$1,Data!$A$1:$AN$1,),))/VLOOKUP(A32,Data!$A:$AN,MATCH(yoy!$P$1,Data!$A$1:$AN$1,),))+1)^12-1)</f>
        <v/>
      </c>
      <c r="Q32" s="14">
        <f>IF(VLOOKUP(B32,Data!$A:$AN,MATCH(yoy!$Q$1,Data!$A$1:$AN$1,),)=0,"#N/A",(((VLOOKUP(B32,Data!$A:$AN,MATCH(yoy!$Q$1,Data!$A$1:$AN$1,),)-VLOOKUP(A32,Data!$A:$AN,MATCH(yoy!$Q$1,Data!$A$1:$AN$1,),))/VLOOKUP(A32,Data!$A:$AN,MATCH(yoy!$Q$1,Data!$A$1:$AN$1,),))+1)^12-1)</f>
        <v/>
      </c>
      <c r="R32" s="14">
        <f>IF(VLOOKUP(B32,Data!$A:$AN,MATCH(yoy!$R$1,Data!$A$1:$AN$1,),)=0,"#N/A",(((VLOOKUP(B32,Data!$A:$AN,MATCH(yoy!$R$1,Data!$A$1:$AN$1,),)-VLOOKUP(A32,Data!$A:$AN,MATCH(yoy!$R$1,Data!$A$1:$AN$1,),))/VLOOKUP(A32,Data!$A:$AN,MATCH(yoy!$R$1,Data!$A$1:$AN$1,),))+1)^12-1)</f>
        <v/>
      </c>
      <c r="S32" s="14">
        <f>IF(VLOOKUP(B32,Data!$A:$AN,MATCH(yoy!$S$1,Data!$A$1:$AN$1,),)=0,"#N/A",(((VLOOKUP(B32,Data!$A:$AN,MATCH(yoy!$S$1,Data!$A$1:$AN$1,),)-VLOOKUP(A32,Data!$A:$AN,MATCH(yoy!$S$1,Data!$A$1:$AN$1,),))/VLOOKUP(A32,Data!$A:$AN,MATCH(yoy!$S$1,Data!$A$1:$AN$1,),))+1)^12-1)</f>
        <v/>
      </c>
      <c r="T32" s="14">
        <f>IF(VLOOKUP(B32,Data!$A:$AN,MATCH(yoy!$T$1,Data!$A$1:$AN$1,),)=0,"#N/A",(((VLOOKUP(B32,Data!$A:$AN,MATCH(yoy!$T$1,Data!$A$1:$AN$1,),)-VLOOKUP(A32,Data!$A:$AN,MATCH(yoy!$T$1,Data!$A$1:$AN$1,),))/VLOOKUP(A32,Data!$A:$AN,MATCH(yoy!$T$1,Data!$A$1:$AN$1,),))+1)^12-1)</f>
        <v/>
      </c>
      <c r="U32" s="14">
        <f>IF(VLOOKUP(B32,Data!$A:$AN,MATCH(yoy!$U$1,Data!$A$1:$AN$1,),)=0,"#N/A",(((VLOOKUP(B32,Data!$A:$AN,MATCH(yoy!$U$1,Data!$A$1:$AN$1,),)-VLOOKUP(A32,Data!$A:$AN,MATCH(yoy!$U$1,Data!$A$1:$AN$1,),))/VLOOKUP(A32,Data!$A:$AN,MATCH(yoy!$U$1,Data!$A$1:$AN$1,),))+1)^12-1)</f>
        <v/>
      </c>
      <c r="V32" s="14">
        <f>IF(VLOOKUP(B32,Data!$A:$AN,MATCH(yoy!$V$1,Data!$A$1:$AN$1,),)=0,"#N/A",(((VLOOKUP(B32,Data!$A:$AN,MATCH(yoy!$V$1,Data!$A$1:$AN$1,),)-VLOOKUP(A32,Data!$A:$AN,MATCH(yoy!$V$1,Data!$A$1:$AN$1,),))/VLOOKUP(A32,Data!$A:$AN,MATCH(yoy!$V$1,Data!$A$1:$AN$1,),))+1)^12-1)</f>
        <v/>
      </c>
      <c r="W32" s="14">
        <f>IF(VLOOKUP(B32,Data!$A:$AN,MATCH(yoy!$W$1,Data!$A$1:$AN$1,),)=0,"#N/A",(((VLOOKUP(B32,Data!$A:$AN,MATCH(yoy!$W$1,Data!$A$1:$AN$1,),)-VLOOKUP(A32,Data!$A:$AN,MATCH(yoy!$W$1,Data!$A$1:$AN$1,),))/VLOOKUP(A32,Data!$A:$AN,MATCH(yoy!$W$1,Data!$A$1:$AN$1,),))+1)^12-1)</f>
        <v/>
      </c>
      <c r="X32" s="14">
        <f>IF(VLOOKUP(B32,Data!$A:$AN,MATCH(yoy!$X$1,Data!$A$1:$AN$1,),)=0,"#N/A",(((VLOOKUP(B32,Data!$A:$AN,MATCH(yoy!$X$1,Data!$A$1:$AN$1,),)-VLOOKUP(A32,Data!$A:$AN,MATCH(yoy!$X$1,Data!$A$1:$AN$1,),))/VLOOKUP(A32,Data!$A:$AN,MATCH(yoy!$X$1,Data!$A$1:$AN$1,),))+1)^12-1)</f>
        <v/>
      </c>
      <c r="Y32" s="14">
        <f>IF(VLOOKUP(B32,Data!$A:$AN,MATCH(yoy!$Y$1,Data!$A$1:$AN$1,),)=0,"#N/A",(((VLOOKUP(B32,Data!$A:$AN,MATCH(yoy!$Y$1,Data!$A$1:$AN$1,),)-VLOOKUP(A32,Data!$A:$AN,MATCH(yoy!$Y$1,Data!$A$1:$AN$1,),))/VLOOKUP(A32,Data!$A:$AN,MATCH(yoy!$Y$1,Data!$A$1:$AN$1,),))+1)^12-1)</f>
        <v/>
      </c>
      <c r="Z32" s="14">
        <f>IF(VLOOKUP(B32,Data!$A:$AN,MATCH(yoy!$Z$1,Data!$A$1:$AN$1,),)=0,"#N/A",(((VLOOKUP(B32,Data!$A:$AN,MATCH(yoy!$Z$1,Data!$A$1:$AN$1,),)-VLOOKUP(A32,Data!$A:$AN,MATCH(yoy!$Z$1,Data!$A$1:$AN$1,),))/VLOOKUP(A32,Data!$A:$AN,MATCH(yoy!$Z$1,Data!$A$1:$AN$1,),))+1)^12-1)</f>
        <v/>
      </c>
      <c r="AA32" s="14">
        <f>IF(VLOOKUP(B32,Data!$A:$AN,MATCH(yoy!$AA$1,Data!$A$1:$AN$1,),)=0,"#N/A",(((VLOOKUP(B32,Data!$A:$AN,MATCH(yoy!$AA$1,Data!$A$1:$AN$1,),)-VLOOKUP(A32,Data!$A:$AN,MATCH(yoy!$AA$1,Data!$A$1:$AN$1,),))/VLOOKUP(A32,Data!$A:$AN,MATCH(yoy!$AA$1,Data!$A$1:$AN$1,),))+1)^12-1)</f>
        <v/>
      </c>
    </row>
    <row r="33">
      <c r="A33" s="20">
        <f>DATE(YEAR(B33),MONTH(B33)-1,DAY(B33))</f>
        <v/>
      </c>
      <c r="B33" s="12" t="n">
        <v>42856</v>
      </c>
      <c r="C33" s="14">
        <f>IF(VLOOKUP(B33,Data!$A:$AN,MATCH(yoy!$C$1,Data!$A$1:$AN$1,),)=0,"#N/A",(((VLOOKUP(B33,Data!$A:$AN,MATCH(yoy!$C$1,Data!$A$1:$AN$1,),)-VLOOKUP(A33,Data!$A:$AN,MATCH(yoy!$C$1,Data!$A$1:$AN$1,),))/VLOOKUP(A33,Data!$A:$AN,MATCH(yoy!$C$1,Data!$A$1:$AN$1,),))+1)^12-1)</f>
        <v/>
      </c>
      <c r="D33" s="14">
        <f>IF(VLOOKUP(B33,Data!$A:$AN,MATCH(yoy!$D$1,Data!$A$1:$AN$1,),)=0,"#N/A",(((VLOOKUP(B33,Data!$A:$AN,MATCH(yoy!$D$1,Data!$A$1:$AN$1,),)-VLOOKUP(A33,Data!$A:$AN,MATCH(yoy!$D$1,Data!$A$1:$AN$1,),))/VLOOKUP(A33,Data!$A:$AN,MATCH(yoy!$D$1,Data!$A$1:$AN$1,),))+1)^12-1)</f>
        <v/>
      </c>
      <c r="E33" s="14">
        <f>IF(VLOOKUP(B33,Data!$A:$AN,MATCH(yoy!$E$1,Data!$A$1:$AN$1,),)=0,"#N/A",(((VLOOKUP(B33,Data!$A:$AN,MATCH(yoy!$E$1,Data!$A$1:$AN$1,),)-VLOOKUP(A33,Data!$A:$AN,MATCH(yoy!$E$1,Data!$A$1:$AN$1,),))/VLOOKUP(A33,Data!$A:$AN,MATCH(yoy!$E$1,Data!$A$1:$AN$1,),))+1)^12-1)</f>
        <v/>
      </c>
      <c r="F33" s="14">
        <f>IF(VLOOKUP(B33,Data!$A:$AN,MATCH(yoy!$F$1,Data!$A$1:$AN$1,),)=0,"#N/A",(((VLOOKUP(B33,Data!$A:$AN,MATCH(yoy!$F$1,Data!$A$1:$AN$1,),)-VLOOKUP(A33,Data!$A:$AN,MATCH(yoy!$F$1,Data!$A$1:$AN$1,),))/VLOOKUP(A33,Data!$A:$AN,MATCH(yoy!$F$1,Data!$A$1:$AN$1,),))+1)^12-1)</f>
        <v/>
      </c>
      <c r="G33" s="14">
        <f>IF(VLOOKUP(B33,Data!$A:$AN,MATCH(yoy!$G$1,Data!$A$1:$AN$1,),)=0,"#N/A",(((VLOOKUP(B33,Data!$A:$AN,MATCH(yoy!$G$1,Data!$A$1:$AN$1,),)-VLOOKUP(A33,Data!$A:$AN,MATCH(yoy!$G$1,Data!$A$1:$AN$1,),))/VLOOKUP(A33,Data!$A:$AN,MATCH(yoy!$G$1,Data!$A$1:$AN$1,),))+1)^12-1)</f>
        <v/>
      </c>
      <c r="H33" s="14">
        <f>IF(VLOOKUP(B33,Data!$A:$AN,MATCH(yoy!$H$1,Data!$A$1:$AN$1,),)=0,"#N/A",(((VLOOKUP(B33,Data!$A:$AN,MATCH(yoy!$H$1,Data!$A$1:$AN$1,),)-VLOOKUP(A33,Data!$A:$AN,MATCH(yoy!$H$1,Data!$A$1:$AN$1,),))/VLOOKUP(A33,Data!$A:$AN,MATCH(yoy!$H$1,Data!$A$1:$AN$1,),))+1)^12-1)</f>
        <v/>
      </c>
      <c r="I33" s="14">
        <f>IF(VLOOKUP(B33,Data!$A:$AN,MATCH(yoy!$I$1,Data!$A$1:$AN$1,),)=0,"#N/A",(((VLOOKUP(B33,Data!$A:$AN,MATCH(yoy!$I$1,Data!$A$1:$AN$1,),)-VLOOKUP(A33,Data!$A:$AN,MATCH(yoy!$I$1,Data!$A$1:$AN$1,),))/VLOOKUP(A33,Data!$A:$AN,MATCH(yoy!$I$1,Data!$A$1:$AN$1,),))+1)^12-1)</f>
        <v/>
      </c>
      <c r="J33" s="14">
        <f>IF(VLOOKUP(B33,Data!$A:$AN,MATCH(yoy!$J$1,Data!$A$1:$AN$1,),)=0,"#N/A",(((VLOOKUP(B33,Data!$A:$AN,MATCH(yoy!$J$1,Data!$A$1:$AN$1,),)-VLOOKUP(A33,Data!$A:$AN,MATCH(yoy!$J$1,Data!$A$1:$AN$1,),))/VLOOKUP(A33,Data!$A:$AN,MATCH(yoy!$J$1,Data!$A$1:$AN$1,),))+1)^12-1)</f>
        <v/>
      </c>
      <c r="K33" s="14">
        <f>IF(VLOOKUP(B33,Data!$A:$AN,MATCH(yoy!$K$1,Data!$A$1:$AN$1,),)=0,"#N/A",(((VLOOKUP(B33,Data!$A:$AN,MATCH(yoy!$K$1,Data!$A$1:$AN$1,),)-VLOOKUP(A33,Data!$A:$AN,MATCH(yoy!$K$1,Data!$A$1:$AN$1,),))/VLOOKUP(A33,Data!$A:$AN,MATCH(yoy!$K$1,Data!$A$1:$AN$1,),))+1)^12-1)</f>
        <v/>
      </c>
      <c r="L33" s="14">
        <f>IF(VLOOKUP(B33,Data!$A:$AN,MATCH(yoy!$L$1,Data!$A$1:$AN$1,),)=0,"#N/A",(((VLOOKUP(B33,Data!$A:$AN,MATCH(yoy!$L$1,Data!$A$1:$AN$1,),)-VLOOKUP(A33,Data!$A:$AN,MATCH(yoy!$L$1,Data!$A$1:$AN$1,),))/VLOOKUP(A33,Data!$A:$AN,MATCH(yoy!$L$1,Data!$A$1:$AN$1,),))+1)^12-1)</f>
        <v/>
      </c>
      <c r="M33" s="14">
        <f>IF(VLOOKUP(B33,Data!$A:$AN,MATCH(yoy!$M$1,Data!$A$1:$AN$1,),)=0,"#N/A",(((VLOOKUP(B33,Data!$A:$AN,MATCH(yoy!$M$1,Data!$A$1:$AN$1,),)-VLOOKUP(A33,Data!$A:$AN,MATCH(yoy!$M$1,Data!$A$1:$AN$1,),))/VLOOKUP(A33,Data!$A:$AN,MATCH(yoy!$M$1,Data!$A$1:$AN$1,),))+1)^12-1)</f>
        <v/>
      </c>
      <c r="N33" s="14">
        <f>IF(VLOOKUP(B33,Data!$A:$AN,MATCH(yoy!$N$1,Data!$A$1:$AN$1,),)=0,"#N/A",(((VLOOKUP(B33,Data!$A:$AN,MATCH(yoy!$N$1,Data!$A$1:$AN$1,),)-VLOOKUP(A33,Data!$A:$AN,MATCH(yoy!$N$1,Data!$A$1:$AN$1,),))/VLOOKUP(A33,Data!$A:$AN,MATCH(yoy!$N$1,Data!$A$1:$AN$1,),))+1)^12-1)</f>
        <v/>
      </c>
      <c r="O33" s="14">
        <f>IF(VLOOKUP(B33,Data!$A:$AN,MATCH(yoy!$O$1,Data!$A$1:$AN$1,),)=0,"#N/A",(((VLOOKUP(B33,Data!$A:$AN,MATCH(yoy!$O$1,Data!$A$1:$AN$1,),)-VLOOKUP(A33,Data!$A:$AN,MATCH(yoy!$O$1,Data!$A$1:$AN$1,),))/VLOOKUP(A33,Data!$A:$AN,MATCH(yoy!$O$1,Data!$A$1:$AN$1,),))+1)^12-1)</f>
        <v/>
      </c>
      <c r="P33" s="14">
        <f>IF(VLOOKUP(B33,Data!$A:$AN,MATCH(yoy!$P$1,Data!$A$1:$AN$1,),)=0,"#N/A",(((VLOOKUP(B33,Data!$A:$AN,MATCH(yoy!$P$1,Data!$A$1:$AN$1,),)-VLOOKUP(A33,Data!$A:$AN,MATCH(yoy!$P$1,Data!$A$1:$AN$1,),))/VLOOKUP(A33,Data!$A:$AN,MATCH(yoy!$P$1,Data!$A$1:$AN$1,),))+1)^12-1)</f>
        <v/>
      </c>
      <c r="Q33" s="14">
        <f>IF(VLOOKUP(B33,Data!$A:$AN,MATCH(yoy!$Q$1,Data!$A$1:$AN$1,),)=0,"#N/A",(((VLOOKUP(B33,Data!$A:$AN,MATCH(yoy!$Q$1,Data!$A$1:$AN$1,),)-VLOOKUP(A33,Data!$A:$AN,MATCH(yoy!$Q$1,Data!$A$1:$AN$1,),))/VLOOKUP(A33,Data!$A:$AN,MATCH(yoy!$Q$1,Data!$A$1:$AN$1,),))+1)^12-1)</f>
        <v/>
      </c>
      <c r="R33" s="14">
        <f>IF(VLOOKUP(B33,Data!$A:$AN,MATCH(yoy!$R$1,Data!$A$1:$AN$1,),)=0,"#N/A",(((VLOOKUP(B33,Data!$A:$AN,MATCH(yoy!$R$1,Data!$A$1:$AN$1,),)-VLOOKUP(A33,Data!$A:$AN,MATCH(yoy!$R$1,Data!$A$1:$AN$1,),))/VLOOKUP(A33,Data!$A:$AN,MATCH(yoy!$R$1,Data!$A$1:$AN$1,),))+1)^12-1)</f>
        <v/>
      </c>
      <c r="S33" s="14">
        <f>IF(VLOOKUP(B33,Data!$A:$AN,MATCH(yoy!$S$1,Data!$A$1:$AN$1,),)=0,"#N/A",(((VLOOKUP(B33,Data!$A:$AN,MATCH(yoy!$S$1,Data!$A$1:$AN$1,),)-VLOOKUP(A33,Data!$A:$AN,MATCH(yoy!$S$1,Data!$A$1:$AN$1,),))/VLOOKUP(A33,Data!$A:$AN,MATCH(yoy!$S$1,Data!$A$1:$AN$1,),))+1)^12-1)</f>
        <v/>
      </c>
      <c r="T33" s="14">
        <f>IF(VLOOKUP(B33,Data!$A:$AN,MATCH(yoy!$T$1,Data!$A$1:$AN$1,),)=0,"#N/A",(((VLOOKUP(B33,Data!$A:$AN,MATCH(yoy!$T$1,Data!$A$1:$AN$1,),)-VLOOKUP(A33,Data!$A:$AN,MATCH(yoy!$T$1,Data!$A$1:$AN$1,),))/VLOOKUP(A33,Data!$A:$AN,MATCH(yoy!$T$1,Data!$A$1:$AN$1,),))+1)^12-1)</f>
        <v/>
      </c>
      <c r="U33" s="14">
        <f>IF(VLOOKUP(B33,Data!$A:$AN,MATCH(yoy!$U$1,Data!$A$1:$AN$1,),)=0,"#N/A",(((VLOOKUP(B33,Data!$A:$AN,MATCH(yoy!$U$1,Data!$A$1:$AN$1,),)-VLOOKUP(A33,Data!$A:$AN,MATCH(yoy!$U$1,Data!$A$1:$AN$1,),))/VLOOKUP(A33,Data!$A:$AN,MATCH(yoy!$U$1,Data!$A$1:$AN$1,),))+1)^12-1)</f>
        <v/>
      </c>
      <c r="V33" s="14">
        <f>IF(VLOOKUP(B33,Data!$A:$AN,MATCH(yoy!$V$1,Data!$A$1:$AN$1,),)=0,"#N/A",(((VLOOKUP(B33,Data!$A:$AN,MATCH(yoy!$V$1,Data!$A$1:$AN$1,),)-VLOOKUP(A33,Data!$A:$AN,MATCH(yoy!$V$1,Data!$A$1:$AN$1,),))/VLOOKUP(A33,Data!$A:$AN,MATCH(yoy!$V$1,Data!$A$1:$AN$1,),))+1)^12-1)</f>
        <v/>
      </c>
      <c r="W33" s="14">
        <f>IF(VLOOKUP(B33,Data!$A:$AN,MATCH(yoy!$W$1,Data!$A$1:$AN$1,),)=0,"#N/A",(((VLOOKUP(B33,Data!$A:$AN,MATCH(yoy!$W$1,Data!$A$1:$AN$1,),)-VLOOKUP(A33,Data!$A:$AN,MATCH(yoy!$W$1,Data!$A$1:$AN$1,),))/VLOOKUP(A33,Data!$A:$AN,MATCH(yoy!$W$1,Data!$A$1:$AN$1,),))+1)^12-1)</f>
        <v/>
      </c>
      <c r="X33" s="14">
        <f>IF(VLOOKUP(B33,Data!$A:$AN,MATCH(yoy!$X$1,Data!$A$1:$AN$1,),)=0,"#N/A",(((VLOOKUP(B33,Data!$A:$AN,MATCH(yoy!$X$1,Data!$A$1:$AN$1,),)-VLOOKUP(A33,Data!$A:$AN,MATCH(yoy!$X$1,Data!$A$1:$AN$1,),))/VLOOKUP(A33,Data!$A:$AN,MATCH(yoy!$X$1,Data!$A$1:$AN$1,),))+1)^12-1)</f>
        <v/>
      </c>
      <c r="Y33" s="14">
        <f>IF(VLOOKUP(B33,Data!$A:$AN,MATCH(yoy!$Y$1,Data!$A$1:$AN$1,),)=0,"#N/A",(((VLOOKUP(B33,Data!$A:$AN,MATCH(yoy!$Y$1,Data!$A$1:$AN$1,),)-VLOOKUP(A33,Data!$A:$AN,MATCH(yoy!$Y$1,Data!$A$1:$AN$1,),))/VLOOKUP(A33,Data!$A:$AN,MATCH(yoy!$Y$1,Data!$A$1:$AN$1,),))+1)^12-1)</f>
        <v/>
      </c>
      <c r="Z33" s="14">
        <f>IF(VLOOKUP(B33,Data!$A:$AN,MATCH(yoy!$Z$1,Data!$A$1:$AN$1,),)=0,"#N/A",(((VLOOKUP(B33,Data!$A:$AN,MATCH(yoy!$Z$1,Data!$A$1:$AN$1,),)-VLOOKUP(A33,Data!$A:$AN,MATCH(yoy!$Z$1,Data!$A$1:$AN$1,),))/VLOOKUP(A33,Data!$A:$AN,MATCH(yoy!$Z$1,Data!$A$1:$AN$1,),))+1)^12-1)</f>
        <v/>
      </c>
      <c r="AA33" s="14">
        <f>IF(VLOOKUP(B33,Data!$A:$AN,MATCH(yoy!$AA$1,Data!$A$1:$AN$1,),)=0,"#N/A",(((VLOOKUP(B33,Data!$A:$AN,MATCH(yoy!$AA$1,Data!$A$1:$AN$1,),)-VLOOKUP(A33,Data!$A:$AN,MATCH(yoy!$AA$1,Data!$A$1:$AN$1,),))/VLOOKUP(A33,Data!$A:$AN,MATCH(yoy!$AA$1,Data!$A$1:$AN$1,),))+1)^12-1)</f>
        <v/>
      </c>
    </row>
    <row r="34">
      <c r="A34" s="20">
        <f>DATE(YEAR(B34),MONTH(B34)-1,DAY(B34))</f>
        <v/>
      </c>
      <c r="B34" s="12" t="n">
        <v>42887</v>
      </c>
      <c r="C34" s="14">
        <f>IF(VLOOKUP(B34,Data!$A:$AN,MATCH(yoy!$C$1,Data!$A$1:$AN$1,),)=0,"#N/A",(((VLOOKUP(B34,Data!$A:$AN,MATCH(yoy!$C$1,Data!$A$1:$AN$1,),)-VLOOKUP(A34,Data!$A:$AN,MATCH(yoy!$C$1,Data!$A$1:$AN$1,),))/VLOOKUP(A34,Data!$A:$AN,MATCH(yoy!$C$1,Data!$A$1:$AN$1,),))+1)^12-1)</f>
        <v/>
      </c>
      <c r="D34" s="14">
        <f>IF(VLOOKUP(B34,Data!$A:$AN,MATCH(yoy!$D$1,Data!$A$1:$AN$1,),)=0,"#N/A",(((VLOOKUP(B34,Data!$A:$AN,MATCH(yoy!$D$1,Data!$A$1:$AN$1,),)-VLOOKUP(A34,Data!$A:$AN,MATCH(yoy!$D$1,Data!$A$1:$AN$1,),))/VLOOKUP(A34,Data!$A:$AN,MATCH(yoy!$D$1,Data!$A$1:$AN$1,),))+1)^12-1)</f>
        <v/>
      </c>
      <c r="E34" s="14">
        <f>IF(VLOOKUP(B34,Data!$A:$AN,MATCH(yoy!$E$1,Data!$A$1:$AN$1,),)=0,"#N/A",(((VLOOKUP(B34,Data!$A:$AN,MATCH(yoy!$E$1,Data!$A$1:$AN$1,),)-VLOOKUP(A34,Data!$A:$AN,MATCH(yoy!$E$1,Data!$A$1:$AN$1,),))/VLOOKUP(A34,Data!$A:$AN,MATCH(yoy!$E$1,Data!$A$1:$AN$1,),))+1)^12-1)</f>
        <v/>
      </c>
      <c r="F34" s="14">
        <f>IF(VLOOKUP(B34,Data!$A:$AN,MATCH(yoy!$F$1,Data!$A$1:$AN$1,),)=0,"#N/A",(((VLOOKUP(B34,Data!$A:$AN,MATCH(yoy!$F$1,Data!$A$1:$AN$1,),)-VLOOKUP(A34,Data!$A:$AN,MATCH(yoy!$F$1,Data!$A$1:$AN$1,),))/VLOOKUP(A34,Data!$A:$AN,MATCH(yoy!$F$1,Data!$A$1:$AN$1,),))+1)^12-1)</f>
        <v/>
      </c>
      <c r="G34" s="14">
        <f>IF(VLOOKUP(B34,Data!$A:$AN,MATCH(yoy!$G$1,Data!$A$1:$AN$1,),)=0,"#N/A",(((VLOOKUP(B34,Data!$A:$AN,MATCH(yoy!$G$1,Data!$A$1:$AN$1,),)-VLOOKUP(A34,Data!$A:$AN,MATCH(yoy!$G$1,Data!$A$1:$AN$1,),))/VLOOKUP(A34,Data!$A:$AN,MATCH(yoy!$G$1,Data!$A$1:$AN$1,),))+1)^12-1)</f>
        <v/>
      </c>
      <c r="H34" s="14">
        <f>IF(VLOOKUP(B34,Data!$A:$AN,MATCH(yoy!$H$1,Data!$A$1:$AN$1,),)=0,"#N/A",(((VLOOKUP(B34,Data!$A:$AN,MATCH(yoy!$H$1,Data!$A$1:$AN$1,),)-VLOOKUP(A34,Data!$A:$AN,MATCH(yoy!$H$1,Data!$A$1:$AN$1,),))/VLOOKUP(A34,Data!$A:$AN,MATCH(yoy!$H$1,Data!$A$1:$AN$1,),))+1)^12-1)</f>
        <v/>
      </c>
      <c r="I34" s="14">
        <f>IF(VLOOKUP(B34,Data!$A:$AN,MATCH(yoy!$I$1,Data!$A$1:$AN$1,),)=0,"#N/A",(((VLOOKUP(B34,Data!$A:$AN,MATCH(yoy!$I$1,Data!$A$1:$AN$1,),)-VLOOKUP(A34,Data!$A:$AN,MATCH(yoy!$I$1,Data!$A$1:$AN$1,),))/VLOOKUP(A34,Data!$A:$AN,MATCH(yoy!$I$1,Data!$A$1:$AN$1,),))+1)^12-1)</f>
        <v/>
      </c>
      <c r="J34" s="14">
        <f>IF(VLOOKUP(B34,Data!$A:$AN,MATCH(yoy!$J$1,Data!$A$1:$AN$1,),)=0,"#N/A",(((VLOOKUP(B34,Data!$A:$AN,MATCH(yoy!$J$1,Data!$A$1:$AN$1,),)-VLOOKUP(A34,Data!$A:$AN,MATCH(yoy!$J$1,Data!$A$1:$AN$1,),))/VLOOKUP(A34,Data!$A:$AN,MATCH(yoy!$J$1,Data!$A$1:$AN$1,),))+1)^12-1)</f>
        <v/>
      </c>
      <c r="K34" s="14">
        <f>IF(VLOOKUP(B34,Data!$A:$AN,MATCH(yoy!$K$1,Data!$A$1:$AN$1,),)=0,"#N/A",(((VLOOKUP(B34,Data!$A:$AN,MATCH(yoy!$K$1,Data!$A$1:$AN$1,),)-VLOOKUP(A34,Data!$A:$AN,MATCH(yoy!$K$1,Data!$A$1:$AN$1,),))/VLOOKUP(A34,Data!$A:$AN,MATCH(yoy!$K$1,Data!$A$1:$AN$1,),))+1)^12-1)</f>
        <v/>
      </c>
      <c r="L34" s="14">
        <f>IF(VLOOKUP(B34,Data!$A:$AN,MATCH(yoy!$L$1,Data!$A$1:$AN$1,),)=0,"#N/A",(((VLOOKUP(B34,Data!$A:$AN,MATCH(yoy!$L$1,Data!$A$1:$AN$1,),)-VLOOKUP(A34,Data!$A:$AN,MATCH(yoy!$L$1,Data!$A$1:$AN$1,),))/VLOOKUP(A34,Data!$A:$AN,MATCH(yoy!$L$1,Data!$A$1:$AN$1,),))+1)^12-1)</f>
        <v/>
      </c>
      <c r="M34" s="14">
        <f>IF(VLOOKUP(B34,Data!$A:$AN,MATCH(yoy!$M$1,Data!$A$1:$AN$1,),)=0,"#N/A",(((VLOOKUP(B34,Data!$A:$AN,MATCH(yoy!$M$1,Data!$A$1:$AN$1,),)-VLOOKUP(A34,Data!$A:$AN,MATCH(yoy!$M$1,Data!$A$1:$AN$1,),))/VLOOKUP(A34,Data!$A:$AN,MATCH(yoy!$M$1,Data!$A$1:$AN$1,),))+1)^12-1)</f>
        <v/>
      </c>
      <c r="N34" s="14">
        <f>IF(VLOOKUP(B34,Data!$A:$AN,MATCH(yoy!$N$1,Data!$A$1:$AN$1,),)=0,"#N/A",(((VLOOKUP(B34,Data!$A:$AN,MATCH(yoy!$N$1,Data!$A$1:$AN$1,),)-VLOOKUP(A34,Data!$A:$AN,MATCH(yoy!$N$1,Data!$A$1:$AN$1,),))/VLOOKUP(A34,Data!$A:$AN,MATCH(yoy!$N$1,Data!$A$1:$AN$1,),))+1)^12-1)</f>
        <v/>
      </c>
      <c r="O34" s="14">
        <f>IF(VLOOKUP(B34,Data!$A:$AN,MATCH(yoy!$O$1,Data!$A$1:$AN$1,),)=0,"#N/A",(((VLOOKUP(B34,Data!$A:$AN,MATCH(yoy!$O$1,Data!$A$1:$AN$1,),)-VLOOKUP(A34,Data!$A:$AN,MATCH(yoy!$O$1,Data!$A$1:$AN$1,),))/VLOOKUP(A34,Data!$A:$AN,MATCH(yoy!$O$1,Data!$A$1:$AN$1,),))+1)^12-1)</f>
        <v/>
      </c>
      <c r="P34" s="14">
        <f>IF(VLOOKUP(B34,Data!$A:$AN,MATCH(yoy!$P$1,Data!$A$1:$AN$1,),)=0,"#N/A",(((VLOOKUP(B34,Data!$A:$AN,MATCH(yoy!$P$1,Data!$A$1:$AN$1,),)-VLOOKUP(A34,Data!$A:$AN,MATCH(yoy!$P$1,Data!$A$1:$AN$1,),))/VLOOKUP(A34,Data!$A:$AN,MATCH(yoy!$P$1,Data!$A$1:$AN$1,),))+1)^12-1)</f>
        <v/>
      </c>
      <c r="Q34" s="14">
        <f>IF(VLOOKUP(B34,Data!$A:$AN,MATCH(yoy!$Q$1,Data!$A$1:$AN$1,),)=0,"#N/A",(((VLOOKUP(B34,Data!$A:$AN,MATCH(yoy!$Q$1,Data!$A$1:$AN$1,),)-VLOOKUP(A34,Data!$A:$AN,MATCH(yoy!$Q$1,Data!$A$1:$AN$1,),))/VLOOKUP(A34,Data!$A:$AN,MATCH(yoy!$Q$1,Data!$A$1:$AN$1,),))+1)^12-1)</f>
        <v/>
      </c>
      <c r="R34" s="14">
        <f>IF(VLOOKUP(B34,Data!$A:$AN,MATCH(yoy!$R$1,Data!$A$1:$AN$1,),)=0,"#N/A",(((VLOOKUP(B34,Data!$A:$AN,MATCH(yoy!$R$1,Data!$A$1:$AN$1,),)-VLOOKUP(A34,Data!$A:$AN,MATCH(yoy!$R$1,Data!$A$1:$AN$1,),))/VLOOKUP(A34,Data!$A:$AN,MATCH(yoy!$R$1,Data!$A$1:$AN$1,),))+1)^12-1)</f>
        <v/>
      </c>
      <c r="S34" s="14">
        <f>IF(VLOOKUP(B34,Data!$A:$AN,MATCH(yoy!$S$1,Data!$A$1:$AN$1,),)=0,"#N/A",(((VLOOKUP(B34,Data!$A:$AN,MATCH(yoy!$S$1,Data!$A$1:$AN$1,),)-VLOOKUP(A34,Data!$A:$AN,MATCH(yoy!$S$1,Data!$A$1:$AN$1,),))/VLOOKUP(A34,Data!$A:$AN,MATCH(yoy!$S$1,Data!$A$1:$AN$1,),))+1)^12-1)</f>
        <v/>
      </c>
      <c r="T34" s="14">
        <f>IF(VLOOKUP(B34,Data!$A:$AN,MATCH(yoy!$T$1,Data!$A$1:$AN$1,),)=0,"#N/A",(((VLOOKUP(B34,Data!$A:$AN,MATCH(yoy!$T$1,Data!$A$1:$AN$1,),)-VLOOKUP(A34,Data!$A:$AN,MATCH(yoy!$T$1,Data!$A$1:$AN$1,),))/VLOOKUP(A34,Data!$A:$AN,MATCH(yoy!$T$1,Data!$A$1:$AN$1,),))+1)^12-1)</f>
        <v/>
      </c>
      <c r="U34" s="14">
        <f>IF(VLOOKUP(B34,Data!$A:$AN,MATCH(yoy!$U$1,Data!$A$1:$AN$1,),)=0,"#N/A",(((VLOOKUP(B34,Data!$A:$AN,MATCH(yoy!$U$1,Data!$A$1:$AN$1,),)-VLOOKUP(A34,Data!$A:$AN,MATCH(yoy!$U$1,Data!$A$1:$AN$1,),))/VLOOKUP(A34,Data!$A:$AN,MATCH(yoy!$U$1,Data!$A$1:$AN$1,),))+1)^12-1)</f>
        <v/>
      </c>
      <c r="V34" s="14">
        <f>IF(VLOOKUP(B34,Data!$A:$AN,MATCH(yoy!$V$1,Data!$A$1:$AN$1,),)=0,"#N/A",(((VLOOKUP(B34,Data!$A:$AN,MATCH(yoy!$V$1,Data!$A$1:$AN$1,),)-VLOOKUP(A34,Data!$A:$AN,MATCH(yoy!$V$1,Data!$A$1:$AN$1,),))/VLOOKUP(A34,Data!$A:$AN,MATCH(yoy!$V$1,Data!$A$1:$AN$1,),))+1)^12-1)</f>
        <v/>
      </c>
      <c r="W34" s="14">
        <f>IF(VLOOKUP(B34,Data!$A:$AN,MATCH(yoy!$W$1,Data!$A$1:$AN$1,),)=0,"#N/A",(((VLOOKUP(B34,Data!$A:$AN,MATCH(yoy!$W$1,Data!$A$1:$AN$1,),)-VLOOKUP(A34,Data!$A:$AN,MATCH(yoy!$W$1,Data!$A$1:$AN$1,),))/VLOOKUP(A34,Data!$A:$AN,MATCH(yoy!$W$1,Data!$A$1:$AN$1,),))+1)^12-1)</f>
        <v/>
      </c>
      <c r="X34" s="14">
        <f>IF(VLOOKUP(B34,Data!$A:$AN,MATCH(yoy!$X$1,Data!$A$1:$AN$1,),)=0,"#N/A",(((VLOOKUP(B34,Data!$A:$AN,MATCH(yoy!$X$1,Data!$A$1:$AN$1,),)-VLOOKUP(A34,Data!$A:$AN,MATCH(yoy!$X$1,Data!$A$1:$AN$1,),))/VLOOKUP(A34,Data!$A:$AN,MATCH(yoy!$X$1,Data!$A$1:$AN$1,),))+1)^12-1)</f>
        <v/>
      </c>
      <c r="Y34" s="14">
        <f>IF(VLOOKUP(B34,Data!$A:$AN,MATCH(yoy!$Y$1,Data!$A$1:$AN$1,),)=0,"#N/A",(((VLOOKUP(B34,Data!$A:$AN,MATCH(yoy!$Y$1,Data!$A$1:$AN$1,),)-VLOOKUP(A34,Data!$A:$AN,MATCH(yoy!$Y$1,Data!$A$1:$AN$1,),))/VLOOKUP(A34,Data!$A:$AN,MATCH(yoy!$Y$1,Data!$A$1:$AN$1,),))+1)^12-1)</f>
        <v/>
      </c>
      <c r="Z34" s="14">
        <f>IF(VLOOKUP(B34,Data!$A:$AN,MATCH(yoy!$Z$1,Data!$A$1:$AN$1,),)=0,"#N/A",(((VLOOKUP(B34,Data!$A:$AN,MATCH(yoy!$Z$1,Data!$A$1:$AN$1,),)-VLOOKUP(A34,Data!$A:$AN,MATCH(yoy!$Z$1,Data!$A$1:$AN$1,),))/VLOOKUP(A34,Data!$A:$AN,MATCH(yoy!$Z$1,Data!$A$1:$AN$1,),))+1)^12-1)</f>
        <v/>
      </c>
      <c r="AA34" s="14">
        <f>IF(VLOOKUP(B34,Data!$A:$AN,MATCH(yoy!$AA$1,Data!$A$1:$AN$1,),)=0,"#N/A",(((VLOOKUP(B34,Data!$A:$AN,MATCH(yoy!$AA$1,Data!$A$1:$AN$1,),)-VLOOKUP(A34,Data!$A:$AN,MATCH(yoy!$AA$1,Data!$A$1:$AN$1,),))/VLOOKUP(A34,Data!$A:$AN,MATCH(yoy!$AA$1,Data!$A$1:$AN$1,),))+1)^12-1)</f>
        <v/>
      </c>
    </row>
    <row r="35">
      <c r="A35" s="20">
        <f>DATE(YEAR(B35),MONTH(B35)-1,DAY(B35))</f>
        <v/>
      </c>
      <c r="B35" s="12" t="n">
        <v>42917</v>
      </c>
      <c r="C35" s="14">
        <f>IF(VLOOKUP(B35,Data!$A:$AN,MATCH(yoy!$C$1,Data!$A$1:$AN$1,),)=0,"#N/A",(((VLOOKUP(B35,Data!$A:$AN,MATCH(yoy!$C$1,Data!$A$1:$AN$1,),)-VLOOKUP(A35,Data!$A:$AN,MATCH(yoy!$C$1,Data!$A$1:$AN$1,),))/VLOOKUP(A35,Data!$A:$AN,MATCH(yoy!$C$1,Data!$A$1:$AN$1,),))+1)^12-1)</f>
        <v/>
      </c>
      <c r="D35" s="14">
        <f>IF(VLOOKUP(B35,Data!$A:$AN,MATCH(yoy!$D$1,Data!$A$1:$AN$1,),)=0,"#N/A",(((VLOOKUP(B35,Data!$A:$AN,MATCH(yoy!$D$1,Data!$A$1:$AN$1,),)-VLOOKUP(A35,Data!$A:$AN,MATCH(yoy!$D$1,Data!$A$1:$AN$1,),))/VLOOKUP(A35,Data!$A:$AN,MATCH(yoy!$D$1,Data!$A$1:$AN$1,),))+1)^12-1)</f>
        <v/>
      </c>
      <c r="E35" s="14">
        <f>IF(VLOOKUP(B35,Data!$A:$AN,MATCH(yoy!$E$1,Data!$A$1:$AN$1,),)=0,"#N/A",(((VLOOKUP(B35,Data!$A:$AN,MATCH(yoy!$E$1,Data!$A$1:$AN$1,),)-VLOOKUP(A35,Data!$A:$AN,MATCH(yoy!$E$1,Data!$A$1:$AN$1,),))/VLOOKUP(A35,Data!$A:$AN,MATCH(yoy!$E$1,Data!$A$1:$AN$1,),))+1)^12-1)</f>
        <v/>
      </c>
      <c r="F35" s="14">
        <f>IF(VLOOKUP(B35,Data!$A:$AN,MATCH(yoy!$F$1,Data!$A$1:$AN$1,),)=0,"#N/A",(((VLOOKUP(B35,Data!$A:$AN,MATCH(yoy!$F$1,Data!$A$1:$AN$1,),)-VLOOKUP(A35,Data!$A:$AN,MATCH(yoy!$F$1,Data!$A$1:$AN$1,),))/VLOOKUP(A35,Data!$A:$AN,MATCH(yoy!$F$1,Data!$A$1:$AN$1,),))+1)^12-1)</f>
        <v/>
      </c>
      <c r="G35" s="14">
        <f>IF(VLOOKUP(B35,Data!$A:$AN,MATCH(yoy!$G$1,Data!$A$1:$AN$1,),)=0,"#N/A",(((VLOOKUP(B35,Data!$A:$AN,MATCH(yoy!$G$1,Data!$A$1:$AN$1,),)-VLOOKUP(A35,Data!$A:$AN,MATCH(yoy!$G$1,Data!$A$1:$AN$1,),))/VLOOKUP(A35,Data!$A:$AN,MATCH(yoy!$G$1,Data!$A$1:$AN$1,),))+1)^12-1)</f>
        <v/>
      </c>
      <c r="H35" s="14">
        <f>IF(VLOOKUP(B35,Data!$A:$AN,MATCH(yoy!$H$1,Data!$A$1:$AN$1,),)=0,"#N/A",(((VLOOKUP(B35,Data!$A:$AN,MATCH(yoy!$H$1,Data!$A$1:$AN$1,),)-VLOOKUP(A35,Data!$A:$AN,MATCH(yoy!$H$1,Data!$A$1:$AN$1,),))/VLOOKUP(A35,Data!$A:$AN,MATCH(yoy!$H$1,Data!$A$1:$AN$1,),))+1)^12-1)</f>
        <v/>
      </c>
      <c r="I35" s="14">
        <f>IF(VLOOKUP(B35,Data!$A:$AN,MATCH(yoy!$I$1,Data!$A$1:$AN$1,),)=0,"#N/A",(((VLOOKUP(B35,Data!$A:$AN,MATCH(yoy!$I$1,Data!$A$1:$AN$1,),)-VLOOKUP(A35,Data!$A:$AN,MATCH(yoy!$I$1,Data!$A$1:$AN$1,),))/VLOOKUP(A35,Data!$A:$AN,MATCH(yoy!$I$1,Data!$A$1:$AN$1,),))+1)^12-1)</f>
        <v/>
      </c>
      <c r="J35" s="14">
        <f>IF(VLOOKUP(B35,Data!$A:$AN,MATCH(yoy!$J$1,Data!$A$1:$AN$1,),)=0,"#N/A",(((VLOOKUP(B35,Data!$A:$AN,MATCH(yoy!$J$1,Data!$A$1:$AN$1,),)-VLOOKUP(A35,Data!$A:$AN,MATCH(yoy!$J$1,Data!$A$1:$AN$1,),))/VLOOKUP(A35,Data!$A:$AN,MATCH(yoy!$J$1,Data!$A$1:$AN$1,),))+1)^12-1)</f>
        <v/>
      </c>
      <c r="K35" s="14">
        <f>IF(VLOOKUP(B35,Data!$A:$AN,MATCH(yoy!$K$1,Data!$A$1:$AN$1,),)=0,"#N/A",(((VLOOKUP(B35,Data!$A:$AN,MATCH(yoy!$K$1,Data!$A$1:$AN$1,),)-VLOOKUP(A35,Data!$A:$AN,MATCH(yoy!$K$1,Data!$A$1:$AN$1,),))/VLOOKUP(A35,Data!$A:$AN,MATCH(yoy!$K$1,Data!$A$1:$AN$1,),))+1)^12-1)</f>
        <v/>
      </c>
      <c r="L35" s="14">
        <f>IF(VLOOKUP(B35,Data!$A:$AN,MATCH(yoy!$L$1,Data!$A$1:$AN$1,),)=0,"#N/A",(((VLOOKUP(B35,Data!$A:$AN,MATCH(yoy!$L$1,Data!$A$1:$AN$1,),)-VLOOKUP(A35,Data!$A:$AN,MATCH(yoy!$L$1,Data!$A$1:$AN$1,),))/VLOOKUP(A35,Data!$A:$AN,MATCH(yoy!$L$1,Data!$A$1:$AN$1,),))+1)^12-1)</f>
        <v/>
      </c>
      <c r="M35" s="14">
        <f>IF(VLOOKUP(B35,Data!$A:$AN,MATCH(yoy!$M$1,Data!$A$1:$AN$1,),)=0,"#N/A",(((VLOOKUP(B35,Data!$A:$AN,MATCH(yoy!$M$1,Data!$A$1:$AN$1,),)-VLOOKUP(A35,Data!$A:$AN,MATCH(yoy!$M$1,Data!$A$1:$AN$1,),))/VLOOKUP(A35,Data!$A:$AN,MATCH(yoy!$M$1,Data!$A$1:$AN$1,),))+1)^12-1)</f>
        <v/>
      </c>
      <c r="N35" s="14">
        <f>IF(VLOOKUP(B35,Data!$A:$AN,MATCH(yoy!$N$1,Data!$A$1:$AN$1,),)=0,"#N/A",(((VLOOKUP(B35,Data!$A:$AN,MATCH(yoy!$N$1,Data!$A$1:$AN$1,),)-VLOOKUP(A35,Data!$A:$AN,MATCH(yoy!$N$1,Data!$A$1:$AN$1,),))/VLOOKUP(A35,Data!$A:$AN,MATCH(yoy!$N$1,Data!$A$1:$AN$1,),))+1)^12-1)</f>
        <v/>
      </c>
      <c r="O35" s="14">
        <f>IF(VLOOKUP(B35,Data!$A:$AN,MATCH(yoy!$O$1,Data!$A$1:$AN$1,),)=0,"#N/A",(((VLOOKUP(B35,Data!$A:$AN,MATCH(yoy!$O$1,Data!$A$1:$AN$1,),)-VLOOKUP(A35,Data!$A:$AN,MATCH(yoy!$O$1,Data!$A$1:$AN$1,),))/VLOOKUP(A35,Data!$A:$AN,MATCH(yoy!$O$1,Data!$A$1:$AN$1,),))+1)^12-1)</f>
        <v/>
      </c>
      <c r="P35" s="14">
        <f>IF(VLOOKUP(B35,Data!$A:$AN,MATCH(yoy!$P$1,Data!$A$1:$AN$1,),)=0,"#N/A",(((VLOOKUP(B35,Data!$A:$AN,MATCH(yoy!$P$1,Data!$A$1:$AN$1,),)-VLOOKUP(A35,Data!$A:$AN,MATCH(yoy!$P$1,Data!$A$1:$AN$1,),))/VLOOKUP(A35,Data!$A:$AN,MATCH(yoy!$P$1,Data!$A$1:$AN$1,),))+1)^12-1)</f>
        <v/>
      </c>
      <c r="Q35" s="14">
        <f>IF(VLOOKUP(B35,Data!$A:$AN,MATCH(yoy!$Q$1,Data!$A$1:$AN$1,),)=0,"#N/A",(((VLOOKUP(B35,Data!$A:$AN,MATCH(yoy!$Q$1,Data!$A$1:$AN$1,),)-VLOOKUP(A35,Data!$A:$AN,MATCH(yoy!$Q$1,Data!$A$1:$AN$1,),))/VLOOKUP(A35,Data!$A:$AN,MATCH(yoy!$Q$1,Data!$A$1:$AN$1,),))+1)^12-1)</f>
        <v/>
      </c>
      <c r="R35" s="14">
        <f>IF(VLOOKUP(B35,Data!$A:$AN,MATCH(yoy!$R$1,Data!$A$1:$AN$1,),)=0,"#N/A",(((VLOOKUP(B35,Data!$A:$AN,MATCH(yoy!$R$1,Data!$A$1:$AN$1,),)-VLOOKUP(A35,Data!$A:$AN,MATCH(yoy!$R$1,Data!$A$1:$AN$1,),))/VLOOKUP(A35,Data!$A:$AN,MATCH(yoy!$R$1,Data!$A$1:$AN$1,),))+1)^12-1)</f>
        <v/>
      </c>
      <c r="S35" s="14">
        <f>IF(VLOOKUP(B35,Data!$A:$AN,MATCH(yoy!$S$1,Data!$A$1:$AN$1,),)=0,"#N/A",(((VLOOKUP(B35,Data!$A:$AN,MATCH(yoy!$S$1,Data!$A$1:$AN$1,),)-VLOOKUP(A35,Data!$A:$AN,MATCH(yoy!$S$1,Data!$A$1:$AN$1,),))/VLOOKUP(A35,Data!$A:$AN,MATCH(yoy!$S$1,Data!$A$1:$AN$1,),))+1)^12-1)</f>
        <v/>
      </c>
      <c r="T35" s="14">
        <f>IF(VLOOKUP(B35,Data!$A:$AN,MATCH(yoy!$T$1,Data!$A$1:$AN$1,),)=0,"#N/A",(((VLOOKUP(B35,Data!$A:$AN,MATCH(yoy!$T$1,Data!$A$1:$AN$1,),)-VLOOKUP(A35,Data!$A:$AN,MATCH(yoy!$T$1,Data!$A$1:$AN$1,),))/VLOOKUP(A35,Data!$A:$AN,MATCH(yoy!$T$1,Data!$A$1:$AN$1,),))+1)^12-1)</f>
        <v/>
      </c>
      <c r="U35" s="14">
        <f>IF(VLOOKUP(B35,Data!$A:$AN,MATCH(yoy!$U$1,Data!$A$1:$AN$1,),)=0,"#N/A",(((VLOOKUP(B35,Data!$A:$AN,MATCH(yoy!$U$1,Data!$A$1:$AN$1,),)-VLOOKUP(A35,Data!$A:$AN,MATCH(yoy!$U$1,Data!$A$1:$AN$1,),))/VLOOKUP(A35,Data!$A:$AN,MATCH(yoy!$U$1,Data!$A$1:$AN$1,),))+1)^12-1)</f>
        <v/>
      </c>
      <c r="V35" s="14">
        <f>IF(VLOOKUP(B35,Data!$A:$AN,MATCH(yoy!$V$1,Data!$A$1:$AN$1,),)=0,"#N/A",(((VLOOKUP(B35,Data!$A:$AN,MATCH(yoy!$V$1,Data!$A$1:$AN$1,),)-VLOOKUP(A35,Data!$A:$AN,MATCH(yoy!$V$1,Data!$A$1:$AN$1,),))/VLOOKUP(A35,Data!$A:$AN,MATCH(yoy!$V$1,Data!$A$1:$AN$1,),))+1)^12-1)</f>
        <v/>
      </c>
      <c r="W35" s="14">
        <f>IF(VLOOKUP(B35,Data!$A:$AN,MATCH(yoy!$W$1,Data!$A$1:$AN$1,),)=0,"#N/A",(((VLOOKUP(B35,Data!$A:$AN,MATCH(yoy!$W$1,Data!$A$1:$AN$1,),)-VLOOKUP(A35,Data!$A:$AN,MATCH(yoy!$W$1,Data!$A$1:$AN$1,),))/VLOOKUP(A35,Data!$A:$AN,MATCH(yoy!$W$1,Data!$A$1:$AN$1,),))+1)^12-1)</f>
        <v/>
      </c>
      <c r="X35" s="14">
        <f>IF(VLOOKUP(B35,Data!$A:$AN,MATCH(yoy!$X$1,Data!$A$1:$AN$1,),)=0,"#N/A",(((VLOOKUP(B35,Data!$A:$AN,MATCH(yoy!$X$1,Data!$A$1:$AN$1,),)-VLOOKUP(A35,Data!$A:$AN,MATCH(yoy!$X$1,Data!$A$1:$AN$1,),))/VLOOKUP(A35,Data!$A:$AN,MATCH(yoy!$X$1,Data!$A$1:$AN$1,),))+1)^12-1)</f>
        <v/>
      </c>
      <c r="Y35" s="14">
        <f>IF(VLOOKUP(B35,Data!$A:$AN,MATCH(yoy!$Y$1,Data!$A$1:$AN$1,),)=0,"#N/A",(((VLOOKUP(B35,Data!$A:$AN,MATCH(yoy!$Y$1,Data!$A$1:$AN$1,),)-VLOOKUP(A35,Data!$A:$AN,MATCH(yoy!$Y$1,Data!$A$1:$AN$1,),))/VLOOKUP(A35,Data!$A:$AN,MATCH(yoy!$Y$1,Data!$A$1:$AN$1,),))+1)^12-1)</f>
        <v/>
      </c>
      <c r="Z35" s="14">
        <f>IF(VLOOKUP(B35,Data!$A:$AN,MATCH(yoy!$Z$1,Data!$A$1:$AN$1,),)=0,"#N/A",(((VLOOKUP(B35,Data!$A:$AN,MATCH(yoy!$Z$1,Data!$A$1:$AN$1,),)-VLOOKUP(A35,Data!$A:$AN,MATCH(yoy!$Z$1,Data!$A$1:$AN$1,),))/VLOOKUP(A35,Data!$A:$AN,MATCH(yoy!$Z$1,Data!$A$1:$AN$1,),))+1)^12-1)</f>
        <v/>
      </c>
      <c r="AA35" s="14">
        <f>IF(VLOOKUP(B35,Data!$A:$AN,MATCH(yoy!$AA$1,Data!$A$1:$AN$1,),)=0,"#N/A",(((VLOOKUP(B35,Data!$A:$AN,MATCH(yoy!$AA$1,Data!$A$1:$AN$1,),)-VLOOKUP(A35,Data!$A:$AN,MATCH(yoy!$AA$1,Data!$A$1:$AN$1,),))/VLOOKUP(A35,Data!$A:$AN,MATCH(yoy!$AA$1,Data!$A$1:$AN$1,),))+1)^12-1)</f>
        <v/>
      </c>
    </row>
    <row r="36">
      <c r="A36" s="20">
        <f>DATE(YEAR(B36),MONTH(B36)-1,DAY(B36))</f>
        <v/>
      </c>
      <c r="B36" s="12" t="n">
        <v>42948</v>
      </c>
      <c r="C36" s="14">
        <f>IF(VLOOKUP(B36,Data!$A:$AN,MATCH(yoy!$C$1,Data!$A$1:$AN$1,),)=0,"#N/A",(((VLOOKUP(B36,Data!$A:$AN,MATCH(yoy!$C$1,Data!$A$1:$AN$1,),)-VLOOKUP(A36,Data!$A:$AN,MATCH(yoy!$C$1,Data!$A$1:$AN$1,),))/VLOOKUP(A36,Data!$A:$AN,MATCH(yoy!$C$1,Data!$A$1:$AN$1,),))+1)^12-1)</f>
        <v/>
      </c>
      <c r="D36" s="14">
        <f>IF(VLOOKUP(B36,Data!$A:$AN,MATCH(yoy!$D$1,Data!$A$1:$AN$1,),)=0,"#N/A",(((VLOOKUP(B36,Data!$A:$AN,MATCH(yoy!$D$1,Data!$A$1:$AN$1,),)-VLOOKUP(A36,Data!$A:$AN,MATCH(yoy!$D$1,Data!$A$1:$AN$1,),))/VLOOKUP(A36,Data!$A:$AN,MATCH(yoy!$D$1,Data!$A$1:$AN$1,),))+1)^12-1)</f>
        <v/>
      </c>
      <c r="E36" s="14">
        <f>IF(VLOOKUP(B36,Data!$A:$AN,MATCH(yoy!$E$1,Data!$A$1:$AN$1,),)=0,"#N/A",(((VLOOKUP(B36,Data!$A:$AN,MATCH(yoy!$E$1,Data!$A$1:$AN$1,),)-VLOOKUP(A36,Data!$A:$AN,MATCH(yoy!$E$1,Data!$A$1:$AN$1,),))/VLOOKUP(A36,Data!$A:$AN,MATCH(yoy!$E$1,Data!$A$1:$AN$1,),))+1)^12-1)</f>
        <v/>
      </c>
      <c r="F36" s="14">
        <f>IF(VLOOKUP(B36,Data!$A:$AN,MATCH(yoy!$F$1,Data!$A$1:$AN$1,),)=0,"#N/A",(((VLOOKUP(B36,Data!$A:$AN,MATCH(yoy!$F$1,Data!$A$1:$AN$1,),)-VLOOKUP(A36,Data!$A:$AN,MATCH(yoy!$F$1,Data!$A$1:$AN$1,),))/VLOOKUP(A36,Data!$A:$AN,MATCH(yoy!$F$1,Data!$A$1:$AN$1,),))+1)^12-1)</f>
        <v/>
      </c>
      <c r="G36" s="14">
        <f>IF(VLOOKUP(B36,Data!$A:$AN,MATCH(yoy!$G$1,Data!$A$1:$AN$1,),)=0,"#N/A",(((VLOOKUP(B36,Data!$A:$AN,MATCH(yoy!$G$1,Data!$A$1:$AN$1,),)-VLOOKUP(A36,Data!$A:$AN,MATCH(yoy!$G$1,Data!$A$1:$AN$1,),))/VLOOKUP(A36,Data!$A:$AN,MATCH(yoy!$G$1,Data!$A$1:$AN$1,),))+1)^12-1)</f>
        <v/>
      </c>
      <c r="H36" s="14">
        <f>IF(VLOOKUP(B36,Data!$A:$AN,MATCH(yoy!$H$1,Data!$A$1:$AN$1,),)=0,"#N/A",(((VLOOKUP(B36,Data!$A:$AN,MATCH(yoy!$H$1,Data!$A$1:$AN$1,),)-VLOOKUP(A36,Data!$A:$AN,MATCH(yoy!$H$1,Data!$A$1:$AN$1,),))/VLOOKUP(A36,Data!$A:$AN,MATCH(yoy!$H$1,Data!$A$1:$AN$1,),))+1)^12-1)</f>
        <v/>
      </c>
      <c r="I36" s="14">
        <f>IF(VLOOKUP(B36,Data!$A:$AN,MATCH(yoy!$I$1,Data!$A$1:$AN$1,),)=0,"#N/A",(((VLOOKUP(B36,Data!$A:$AN,MATCH(yoy!$I$1,Data!$A$1:$AN$1,),)-VLOOKUP(A36,Data!$A:$AN,MATCH(yoy!$I$1,Data!$A$1:$AN$1,),))/VLOOKUP(A36,Data!$A:$AN,MATCH(yoy!$I$1,Data!$A$1:$AN$1,),))+1)^12-1)</f>
        <v/>
      </c>
      <c r="J36" s="14">
        <f>IF(VLOOKUP(B36,Data!$A:$AN,MATCH(yoy!$J$1,Data!$A$1:$AN$1,),)=0,"#N/A",(((VLOOKUP(B36,Data!$A:$AN,MATCH(yoy!$J$1,Data!$A$1:$AN$1,),)-VLOOKUP(A36,Data!$A:$AN,MATCH(yoy!$J$1,Data!$A$1:$AN$1,),))/VLOOKUP(A36,Data!$A:$AN,MATCH(yoy!$J$1,Data!$A$1:$AN$1,),))+1)^12-1)</f>
        <v/>
      </c>
      <c r="K36" s="14">
        <f>IF(VLOOKUP(B36,Data!$A:$AN,MATCH(yoy!$K$1,Data!$A$1:$AN$1,),)=0,"#N/A",(((VLOOKUP(B36,Data!$A:$AN,MATCH(yoy!$K$1,Data!$A$1:$AN$1,),)-VLOOKUP(A36,Data!$A:$AN,MATCH(yoy!$K$1,Data!$A$1:$AN$1,),))/VLOOKUP(A36,Data!$A:$AN,MATCH(yoy!$K$1,Data!$A$1:$AN$1,),))+1)^12-1)</f>
        <v/>
      </c>
      <c r="L36" s="14">
        <f>IF(VLOOKUP(B36,Data!$A:$AN,MATCH(yoy!$L$1,Data!$A$1:$AN$1,),)=0,"#N/A",(((VLOOKUP(B36,Data!$A:$AN,MATCH(yoy!$L$1,Data!$A$1:$AN$1,),)-VLOOKUP(A36,Data!$A:$AN,MATCH(yoy!$L$1,Data!$A$1:$AN$1,),))/VLOOKUP(A36,Data!$A:$AN,MATCH(yoy!$L$1,Data!$A$1:$AN$1,),))+1)^12-1)</f>
        <v/>
      </c>
      <c r="M36" s="14">
        <f>IF(VLOOKUP(B36,Data!$A:$AN,MATCH(yoy!$M$1,Data!$A$1:$AN$1,),)=0,"#N/A",(((VLOOKUP(B36,Data!$A:$AN,MATCH(yoy!$M$1,Data!$A$1:$AN$1,),)-VLOOKUP(A36,Data!$A:$AN,MATCH(yoy!$M$1,Data!$A$1:$AN$1,),))/VLOOKUP(A36,Data!$A:$AN,MATCH(yoy!$M$1,Data!$A$1:$AN$1,),))+1)^12-1)</f>
        <v/>
      </c>
      <c r="N36" s="14">
        <f>IF(VLOOKUP(B36,Data!$A:$AN,MATCH(yoy!$N$1,Data!$A$1:$AN$1,),)=0,"#N/A",(((VLOOKUP(B36,Data!$A:$AN,MATCH(yoy!$N$1,Data!$A$1:$AN$1,),)-VLOOKUP(A36,Data!$A:$AN,MATCH(yoy!$N$1,Data!$A$1:$AN$1,),))/VLOOKUP(A36,Data!$A:$AN,MATCH(yoy!$N$1,Data!$A$1:$AN$1,),))+1)^12-1)</f>
        <v/>
      </c>
      <c r="O36" s="14">
        <f>IF(VLOOKUP(B36,Data!$A:$AN,MATCH(yoy!$O$1,Data!$A$1:$AN$1,),)=0,"#N/A",(((VLOOKUP(B36,Data!$A:$AN,MATCH(yoy!$O$1,Data!$A$1:$AN$1,),)-VLOOKUP(A36,Data!$A:$AN,MATCH(yoy!$O$1,Data!$A$1:$AN$1,),))/VLOOKUP(A36,Data!$A:$AN,MATCH(yoy!$O$1,Data!$A$1:$AN$1,),))+1)^12-1)</f>
        <v/>
      </c>
      <c r="P36" s="14">
        <f>IF(VLOOKUP(B36,Data!$A:$AN,MATCH(yoy!$P$1,Data!$A$1:$AN$1,),)=0,"#N/A",(((VLOOKUP(B36,Data!$A:$AN,MATCH(yoy!$P$1,Data!$A$1:$AN$1,),)-VLOOKUP(A36,Data!$A:$AN,MATCH(yoy!$P$1,Data!$A$1:$AN$1,),))/VLOOKUP(A36,Data!$A:$AN,MATCH(yoy!$P$1,Data!$A$1:$AN$1,),))+1)^12-1)</f>
        <v/>
      </c>
      <c r="Q36" s="14">
        <f>IF(VLOOKUP(B36,Data!$A:$AN,MATCH(yoy!$Q$1,Data!$A$1:$AN$1,),)=0,"#N/A",(((VLOOKUP(B36,Data!$A:$AN,MATCH(yoy!$Q$1,Data!$A$1:$AN$1,),)-VLOOKUP(A36,Data!$A:$AN,MATCH(yoy!$Q$1,Data!$A$1:$AN$1,),))/VLOOKUP(A36,Data!$A:$AN,MATCH(yoy!$Q$1,Data!$A$1:$AN$1,),))+1)^12-1)</f>
        <v/>
      </c>
      <c r="R36" s="14">
        <f>IF(VLOOKUP(B36,Data!$A:$AN,MATCH(yoy!$R$1,Data!$A$1:$AN$1,),)=0,"#N/A",(((VLOOKUP(B36,Data!$A:$AN,MATCH(yoy!$R$1,Data!$A$1:$AN$1,),)-VLOOKUP(A36,Data!$A:$AN,MATCH(yoy!$R$1,Data!$A$1:$AN$1,),))/VLOOKUP(A36,Data!$A:$AN,MATCH(yoy!$R$1,Data!$A$1:$AN$1,),))+1)^12-1)</f>
        <v/>
      </c>
      <c r="S36" s="14">
        <f>IF(VLOOKUP(B36,Data!$A:$AN,MATCH(yoy!$S$1,Data!$A$1:$AN$1,),)=0,"#N/A",(((VLOOKUP(B36,Data!$A:$AN,MATCH(yoy!$S$1,Data!$A$1:$AN$1,),)-VLOOKUP(A36,Data!$A:$AN,MATCH(yoy!$S$1,Data!$A$1:$AN$1,),))/VLOOKUP(A36,Data!$A:$AN,MATCH(yoy!$S$1,Data!$A$1:$AN$1,),))+1)^12-1)</f>
        <v/>
      </c>
      <c r="T36" s="14">
        <f>IF(VLOOKUP(B36,Data!$A:$AN,MATCH(yoy!$T$1,Data!$A$1:$AN$1,),)=0,"#N/A",(((VLOOKUP(B36,Data!$A:$AN,MATCH(yoy!$T$1,Data!$A$1:$AN$1,),)-VLOOKUP(A36,Data!$A:$AN,MATCH(yoy!$T$1,Data!$A$1:$AN$1,),))/VLOOKUP(A36,Data!$A:$AN,MATCH(yoy!$T$1,Data!$A$1:$AN$1,),))+1)^12-1)</f>
        <v/>
      </c>
      <c r="U36" s="14">
        <f>IF(VLOOKUP(B36,Data!$A:$AN,MATCH(yoy!$U$1,Data!$A$1:$AN$1,),)=0,"#N/A",(((VLOOKUP(B36,Data!$A:$AN,MATCH(yoy!$U$1,Data!$A$1:$AN$1,),)-VLOOKUP(A36,Data!$A:$AN,MATCH(yoy!$U$1,Data!$A$1:$AN$1,),))/VLOOKUP(A36,Data!$A:$AN,MATCH(yoy!$U$1,Data!$A$1:$AN$1,),))+1)^12-1)</f>
        <v/>
      </c>
      <c r="V36" s="14">
        <f>IF(VLOOKUP(B36,Data!$A:$AN,MATCH(yoy!$V$1,Data!$A$1:$AN$1,),)=0,"#N/A",(((VLOOKUP(B36,Data!$A:$AN,MATCH(yoy!$V$1,Data!$A$1:$AN$1,),)-VLOOKUP(A36,Data!$A:$AN,MATCH(yoy!$V$1,Data!$A$1:$AN$1,),))/VLOOKUP(A36,Data!$A:$AN,MATCH(yoy!$V$1,Data!$A$1:$AN$1,),))+1)^12-1)</f>
        <v/>
      </c>
      <c r="W36" s="14">
        <f>IF(VLOOKUP(B36,Data!$A:$AN,MATCH(yoy!$W$1,Data!$A$1:$AN$1,),)=0,"#N/A",(((VLOOKUP(B36,Data!$A:$AN,MATCH(yoy!$W$1,Data!$A$1:$AN$1,),)-VLOOKUP(A36,Data!$A:$AN,MATCH(yoy!$W$1,Data!$A$1:$AN$1,),))/VLOOKUP(A36,Data!$A:$AN,MATCH(yoy!$W$1,Data!$A$1:$AN$1,),))+1)^12-1)</f>
        <v/>
      </c>
      <c r="X36" s="14">
        <f>IF(VLOOKUP(B36,Data!$A:$AN,MATCH(yoy!$X$1,Data!$A$1:$AN$1,),)=0,"#N/A",(((VLOOKUP(B36,Data!$A:$AN,MATCH(yoy!$X$1,Data!$A$1:$AN$1,),)-VLOOKUP(A36,Data!$A:$AN,MATCH(yoy!$X$1,Data!$A$1:$AN$1,),))/VLOOKUP(A36,Data!$A:$AN,MATCH(yoy!$X$1,Data!$A$1:$AN$1,),))+1)^12-1)</f>
        <v/>
      </c>
      <c r="Y36" s="14">
        <f>IF(VLOOKUP(B36,Data!$A:$AN,MATCH(yoy!$Y$1,Data!$A$1:$AN$1,),)=0,"#N/A",(((VLOOKUP(B36,Data!$A:$AN,MATCH(yoy!$Y$1,Data!$A$1:$AN$1,),)-VLOOKUP(A36,Data!$A:$AN,MATCH(yoy!$Y$1,Data!$A$1:$AN$1,),))/VLOOKUP(A36,Data!$A:$AN,MATCH(yoy!$Y$1,Data!$A$1:$AN$1,),))+1)^12-1)</f>
        <v/>
      </c>
      <c r="Z36" s="14">
        <f>IF(VLOOKUP(B36,Data!$A:$AN,MATCH(yoy!$Z$1,Data!$A$1:$AN$1,),)=0,"#N/A",(((VLOOKUP(B36,Data!$A:$AN,MATCH(yoy!$Z$1,Data!$A$1:$AN$1,),)-VLOOKUP(A36,Data!$A:$AN,MATCH(yoy!$Z$1,Data!$A$1:$AN$1,),))/VLOOKUP(A36,Data!$A:$AN,MATCH(yoy!$Z$1,Data!$A$1:$AN$1,),))+1)^12-1)</f>
        <v/>
      </c>
      <c r="AA36" s="14">
        <f>IF(VLOOKUP(B36,Data!$A:$AN,MATCH(yoy!$AA$1,Data!$A$1:$AN$1,),)=0,"#N/A",(((VLOOKUP(B36,Data!$A:$AN,MATCH(yoy!$AA$1,Data!$A$1:$AN$1,),)-VLOOKUP(A36,Data!$A:$AN,MATCH(yoy!$AA$1,Data!$A$1:$AN$1,),))/VLOOKUP(A36,Data!$A:$AN,MATCH(yoy!$AA$1,Data!$A$1:$AN$1,),))+1)^12-1)</f>
        <v/>
      </c>
    </row>
    <row r="37">
      <c r="A37" s="20">
        <f>DATE(YEAR(B37),MONTH(B37)-1,DAY(B37))</f>
        <v/>
      </c>
      <c r="B37" s="12" t="n">
        <v>42979</v>
      </c>
      <c r="C37" s="14">
        <f>IF(VLOOKUP(B37,Data!$A:$AN,MATCH(yoy!$C$1,Data!$A$1:$AN$1,),)=0,"#N/A",(((VLOOKUP(B37,Data!$A:$AN,MATCH(yoy!$C$1,Data!$A$1:$AN$1,),)-VLOOKUP(A37,Data!$A:$AN,MATCH(yoy!$C$1,Data!$A$1:$AN$1,),))/VLOOKUP(A37,Data!$A:$AN,MATCH(yoy!$C$1,Data!$A$1:$AN$1,),))+1)^12-1)</f>
        <v/>
      </c>
      <c r="D37" s="14">
        <f>IF(VLOOKUP(B37,Data!$A:$AN,MATCH(yoy!$D$1,Data!$A$1:$AN$1,),)=0,"#N/A",(((VLOOKUP(B37,Data!$A:$AN,MATCH(yoy!$D$1,Data!$A$1:$AN$1,),)-VLOOKUP(A37,Data!$A:$AN,MATCH(yoy!$D$1,Data!$A$1:$AN$1,),))/VLOOKUP(A37,Data!$A:$AN,MATCH(yoy!$D$1,Data!$A$1:$AN$1,),))+1)^12-1)</f>
        <v/>
      </c>
      <c r="E37" s="14">
        <f>IF(VLOOKUP(B37,Data!$A:$AN,MATCH(yoy!$E$1,Data!$A$1:$AN$1,),)=0,"#N/A",(((VLOOKUP(B37,Data!$A:$AN,MATCH(yoy!$E$1,Data!$A$1:$AN$1,),)-VLOOKUP(A37,Data!$A:$AN,MATCH(yoy!$E$1,Data!$A$1:$AN$1,),))/VLOOKUP(A37,Data!$A:$AN,MATCH(yoy!$E$1,Data!$A$1:$AN$1,),))+1)^12-1)</f>
        <v/>
      </c>
      <c r="F37" s="14">
        <f>IF(VLOOKUP(B37,Data!$A:$AN,MATCH(yoy!$F$1,Data!$A$1:$AN$1,),)=0,"#N/A",(((VLOOKUP(B37,Data!$A:$AN,MATCH(yoy!$F$1,Data!$A$1:$AN$1,),)-VLOOKUP(A37,Data!$A:$AN,MATCH(yoy!$F$1,Data!$A$1:$AN$1,),))/VLOOKUP(A37,Data!$A:$AN,MATCH(yoy!$F$1,Data!$A$1:$AN$1,),))+1)^12-1)</f>
        <v/>
      </c>
      <c r="G37" s="14">
        <f>IF(VLOOKUP(B37,Data!$A:$AN,MATCH(yoy!$G$1,Data!$A$1:$AN$1,),)=0,"#N/A",(((VLOOKUP(B37,Data!$A:$AN,MATCH(yoy!$G$1,Data!$A$1:$AN$1,),)-VLOOKUP(A37,Data!$A:$AN,MATCH(yoy!$G$1,Data!$A$1:$AN$1,),))/VLOOKUP(A37,Data!$A:$AN,MATCH(yoy!$G$1,Data!$A$1:$AN$1,),))+1)^12-1)</f>
        <v/>
      </c>
      <c r="H37" s="14">
        <f>IF(VLOOKUP(B37,Data!$A:$AN,MATCH(yoy!$H$1,Data!$A$1:$AN$1,),)=0,"#N/A",(((VLOOKUP(B37,Data!$A:$AN,MATCH(yoy!$H$1,Data!$A$1:$AN$1,),)-VLOOKUP(A37,Data!$A:$AN,MATCH(yoy!$H$1,Data!$A$1:$AN$1,),))/VLOOKUP(A37,Data!$A:$AN,MATCH(yoy!$H$1,Data!$A$1:$AN$1,),))+1)^12-1)</f>
        <v/>
      </c>
      <c r="I37" s="14">
        <f>IF(VLOOKUP(B37,Data!$A:$AN,MATCH(yoy!$I$1,Data!$A$1:$AN$1,),)=0,"#N/A",(((VLOOKUP(B37,Data!$A:$AN,MATCH(yoy!$I$1,Data!$A$1:$AN$1,),)-VLOOKUP(A37,Data!$A:$AN,MATCH(yoy!$I$1,Data!$A$1:$AN$1,),))/VLOOKUP(A37,Data!$A:$AN,MATCH(yoy!$I$1,Data!$A$1:$AN$1,),))+1)^12-1)</f>
        <v/>
      </c>
      <c r="J37" s="14">
        <f>IF(VLOOKUP(B37,Data!$A:$AN,MATCH(yoy!$J$1,Data!$A$1:$AN$1,),)=0,"#N/A",(((VLOOKUP(B37,Data!$A:$AN,MATCH(yoy!$J$1,Data!$A$1:$AN$1,),)-VLOOKUP(A37,Data!$A:$AN,MATCH(yoy!$J$1,Data!$A$1:$AN$1,),))/VLOOKUP(A37,Data!$A:$AN,MATCH(yoy!$J$1,Data!$A$1:$AN$1,),))+1)^12-1)</f>
        <v/>
      </c>
      <c r="K37" s="14">
        <f>IF(VLOOKUP(B37,Data!$A:$AN,MATCH(yoy!$K$1,Data!$A$1:$AN$1,),)=0,"#N/A",(((VLOOKUP(B37,Data!$A:$AN,MATCH(yoy!$K$1,Data!$A$1:$AN$1,),)-VLOOKUP(A37,Data!$A:$AN,MATCH(yoy!$K$1,Data!$A$1:$AN$1,),))/VLOOKUP(A37,Data!$A:$AN,MATCH(yoy!$K$1,Data!$A$1:$AN$1,),))+1)^12-1)</f>
        <v/>
      </c>
      <c r="L37" s="14">
        <f>IF(VLOOKUP(B37,Data!$A:$AN,MATCH(yoy!$L$1,Data!$A$1:$AN$1,),)=0,"#N/A",(((VLOOKUP(B37,Data!$A:$AN,MATCH(yoy!$L$1,Data!$A$1:$AN$1,),)-VLOOKUP(A37,Data!$A:$AN,MATCH(yoy!$L$1,Data!$A$1:$AN$1,),))/VLOOKUP(A37,Data!$A:$AN,MATCH(yoy!$L$1,Data!$A$1:$AN$1,),))+1)^12-1)</f>
        <v/>
      </c>
      <c r="M37" s="14">
        <f>IF(VLOOKUP(B37,Data!$A:$AN,MATCH(yoy!$M$1,Data!$A$1:$AN$1,),)=0,"#N/A",(((VLOOKUP(B37,Data!$A:$AN,MATCH(yoy!$M$1,Data!$A$1:$AN$1,),)-VLOOKUP(A37,Data!$A:$AN,MATCH(yoy!$M$1,Data!$A$1:$AN$1,),))/VLOOKUP(A37,Data!$A:$AN,MATCH(yoy!$M$1,Data!$A$1:$AN$1,),))+1)^12-1)</f>
        <v/>
      </c>
      <c r="N37" s="14">
        <f>IF(VLOOKUP(B37,Data!$A:$AN,MATCH(yoy!$N$1,Data!$A$1:$AN$1,),)=0,"#N/A",(((VLOOKUP(B37,Data!$A:$AN,MATCH(yoy!$N$1,Data!$A$1:$AN$1,),)-VLOOKUP(A37,Data!$A:$AN,MATCH(yoy!$N$1,Data!$A$1:$AN$1,),))/VLOOKUP(A37,Data!$A:$AN,MATCH(yoy!$N$1,Data!$A$1:$AN$1,),))+1)^12-1)</f>
        <v/>
      </c>
      <c r="O37" s="14">
        <f>IF(VLOOKUP(B37,Data!$A:$AN,MATCH(yoy!$O$1,Data!$A$1:$AN$1,),)=0,"#N/A",(((VLOOKUP(B37,Data!$A:$AN,MATCH(yoy!$O$1,Data!$A$1:$AN$1,),)-VLOOKUP(A37,Data!$A:$AN,MATCH(yoy!$O$1,Data!$A$1:$AN$1,),))/VLOOKUP(A37,Data!$A:$AN,MATCH(yoy!$O$1,Data!$A$1:$AN$1,),))+1)^12-1)</f>
        <v/>
      </c>
      <c r="P37" s="14">
        <f>IF(VLOOKUP(B37,Data!$A:$AN,MATCH(yoy!$P$1,Data!$A$1:$AN$1,),)=0,"#N/A",(((VLOOKUP(B37,Data!$A:$AN,MATCH(yoy!$P$1,Data!$A$1:$AN$1,),)-VLOOKUP(A37,Data!$A:$AN,MATCH(yoy!$P$1,Data!$A$1:$AN$1,),))/VLOOKUP(A37,Data!$A:$AN,MATCH(yoy!$P$1,Data!$A$1:$AN$1,),))+1)^12-1)</f>
        <v/>
      </c>
      <c r="Q37" s="14">
        <f>IF(VLOOKUP(B37,Data!$A:$AN,MATCH(yoy!$Q$1,Data!$A$1:$AN$1,),)=0,"#N/A",(((VLOOKUP(B37,Data!$A:$AN,MATCH(yoy!$Q$1,Data!$A$1:$AN$1,),)-VLOOKUP(A37,Data!$A:$AN,MATCH(yoy!$Q$1,Data!$A$1:$AN$1,),))/VLOOKUP(A37,Data!$A:$AN,MATCH(yoy!$Q$1,Data!$A$1:$AN$1,),))+1)^12-1)</f>
        <v/>
      </c>
      <c r="R37" s="14">
        <f>IF(VLOOKUP(B37,Data!$A:$AN,MATCH(yoy!$R$1,Data!$A$1:$AN$1,),)=0,"#N/A",(((VLOOKUP(B37,Data!$A:$AN,MATCH(yoy!$R$1,Data!$A$1:$AN$1,),)-VLOOKUP(A37,Data!$A:$AN,MATCH(yoy!$R$1,Data!$A$1:$AN$1,),))/VLOOKUP(A37,Data!$A:$AN,MATCH(yoy!$R$1,Data!$A$1:$AN$1,),))+1)^12-1)</f>
        <v/>
      </c>
      <c r="S37" s="14">
        <f>IF(VLOOKUP(B37,Data!$A:$AN,MATCH(yoy!$S$1,Data!$A$1:$AN$1,),)=0,"#N/A",(((VLOOKUP(B37,Data!$A:$AN,MATCH(yoy!$S$1,Data!$A$1:$AN$1,),)-VLOOKUP(A37,Data!$A:$AN,MATCH(yoy!$S$1,Data!$A$1:$AN$1,),))/VLOOKUP(A37,Data!$A:$AN,MATCH(yoy!$S$1,Data!$A$1:$AN$1,),))+1)^12-1)</f>
        <v/>
      </c>
      <c r="T37" s="14">
        <f>IF(VLOOKUP(B37,Data!$A:$AN,MATCH(yoy!$T$1,Data!$A$1:$AN$1,),)=0,"#N/A",(((VLOOKUP(B37,Data!$A:$AN,MATCH(yoy!$T$1,Data!$A$1:$AN$1,),)-VLOOKUP(A37,Data!$A:$AN,MATCH(yoy!$T$1,Data!$A$1:$AN$1,),))/VLOOKUP(A37,Data!$A:$AN,MATCH(yoy!$T$1,Data!$A$1:$AN$1,),))+1)^12-1)</f>
        <v/>
      </c>
      <c r="U37" s="14">
        <f>IF(VLOOKUP(B37,Data!$A:$AN,MATCH(yoy!$U$1,Data!$A$1:$AN$1,),)=0,"#N/A",(((VLOOKUP(B37,Data!$A:$AN,MATCH(yoy!$U$1,Data!$A$1:$AN$1,),)-VLOOKUP(A37,Data!$A:$AN,MATCH(yoy!$U$1,Data!$A$1:$AN$1,),))/VLOOKUP(A37,Data!$A:$AN,MATCH(yoy!$U$1,Data!$A$1:$AN$1,),))+1)^12-1)</f>
        <v/>
      </c>
      <c r="V37" s="14">
        <f>IF(VLOOKUP(B37,Data!$A:$AN,MATCH(yoy!$V$1,Data!$A$1:$AN$1,),)=0,"#N/A",(((VLOOKUP(B37,Data!$A:$AN,MATCH(yoy!$V$1,Data!$A$1:$AN$1,),)-VLOOKUP(A37,Data!$A:$AN,MATCH(yoy!$V$1,Data!$A$1:$AN$1,),))/VLOOKUP(A37,Data!$A:$AN,MATCH(yoy!$V$1,Data!$A$1:$AN$1,),))+1)^12-1)</f>
        <v/>
      </c>
      <c r="W37" s="14">
        <f>IF(VLOOKUP(B37,Data!$A:$AN,MATCH(yoy!$W$1,Data!$A$1:$AN$1,),)=0,"#N/A",(((VLOOKUP(B37,Data!$A:$AN,MATCH(yoy!$W$1,Data!$A$1:$AN$1,),)-VLOOKUP(A37,Data!$A:$AN,MATCH(yoy!$W$1,Data!$A$1:$AN$1,),))/VLOOKUP(A37,Data!$A:$AN,MATCH(yoy!$W$1,Data!$A$1:$AN$1,),))+1)^12-1)</f>
        <v/>
      </c>
      <c r="X37" s="14">
        <f>IF(VLOOKUP(B37,Data!$A:$AN,MATCH(yoy!$X$1,Data!$A$1:$AN$1,),)=0,"#N/A",(((VLOOKUP(B37,Data!$A:$AN,MATCH(yoy!$X$1,Data!$A$1:$AN$1,),)-VLOOKUP(A37,Data!$A:$AN,MATCH(yoy!$X$1,Data!$A$1:$AN$1,),))/VLOOKUP(A37,Data!$A:$AN,MATCH(yoy!$X$1,Data!$A$1:$AN$1,),))+1)^12-1)</f>
        <v/>
      </c>
      <c r="Y37" s="14">
        <f>IF(VLOOKUP(B37,Data!$A:$AN,MATCH(yoy!$Y$1,Data!$A$1:$AN$1,),)=0,"#N/A",(((VLOOKUP(B37,Data!$A:$AN,MATCH(yoy!$Y$1,Data!$A$1:$AN$1,),)-VLOOKUP(A37,Data!$A:$AN,MATCH(yoy!$Y$1,Data!$A$1:$AN$1,),))/VLOOKUP(A37,Data!$A:$AN,MATCH(yoy!$Y$1,Data!$A$1:$AN$1,),))+1)^12-1)</f>
        <v/>
      </c>
      <c r="Z37" s="14">
        <f>IF(VLOOKUP(B37,Data!$A:$AN,MATCH(yoy!$Z$1,Data!$A$1:$AN$1,),)=0,"#N/A",(((VLOOKUP(B37,Data!$A:$AN,MATCH(yoy!$Z$1,Data!$A$1:$AN$1,),)-VLOOKUP(A37,Data!$A:$AN,MATCH(yoy!$Z$1,Data!$A$1:$AN$1,),))/VLOOKUP(A37,Data!$A:$AN,MATCH(yoy!$Z$1,Data!$A$1:$AN$1,),))+1)^12-1)</f>
        <v/>
      </c>
      <c r="AA37" s="14">
        <f>IF(VLOOKUP(B37,Data!$A:$AN,MATCH(yoy!$AA$1,Data!$A$1:$AN$1,),)=0,"#N/A",(((VLOOKUP(B37,Data!$A:$AN,MATCH(yoy!$AA$1,Data!$A$1:$AN$1,),)-VLOOKUP(A37,Data!$A:$AN,MATCH(yoy!$AA$1,Data!$A$1:$AN$1,),))/VLOOKUP(A37,Data!$A:$AN,MATCH(yoy!$AA$1,Data!$A$1:$AN$1,),))+1)^12-1)</f>
        <v/>
      </c>
    </row>
    <row r="38">
      <c r="A38" s="20">
        <f>DATE(YEAR(B38),MONTH(B38)-1,DAY(B38))</f>
        <v/>
      </c>
      <c r="B38" s="12" t="n">
        <v>43009</v>
      </c>
      <c r="C38" s="14">
        <f>IF(VLOOKUP(B38,Data!$A:$AN,MATCH(yoy!$C$1,Data!$A$1:$AN$1,),)=0,"#N/A",(((VLOOKUP(B38,Data!$A:$AN,MATCH(yoy!$C$1,Data!$A$1:$AN$1,),)-VLOOKUP(A38,Data!$A:$AN,MATCH(yoy!$C$1,Data!$A$1:$AN$1,),))/VLOOKUP(A38,Data!$A:$AN,MATCH(yoy!$C$1,Data!$A$1:$AN$1,),))+1)^12-1)</f>
        <v/>
      </c>
      <c r="D38" s="14">
        <f>IF(VLOOKUP(B38,Data!$A:$AN,MATCH(yoy!$D$1,Data!$A$1:$AN$1,),)=0,"#N/A",(((VLOOKUP(B38,Data!$A:$AN,MATCH(yoy!$D$1,Data!$A$1:$AN$1,),)-VLOOKUP(A38,Data!$A:$AN,MATCH(yoy!$D$1,Data!$A$1:$AN$1,),))/VLOOKUP(A38,Data!$A:$AN,MATCH(yoy!$D$1,Data!$A$1:$AN$1,),))+1)^12-1)</f>
        <v/>
      </c>
      <c r="E38" s="14">
        <f>IF(VLOOKUP(B38,Data!$A:$AN,MATCH(yoy!$E$1,Data!$A$1:$AN$1,),)=0,"#N/A",(((VLOOKUP(B38,Data!$A:$AN,MATCH(yoy!$E$1,Data!$A$1:$AN$1,),)-VLOOKUP(A38,Data!$A:$AN,MATCH(yoy!$E$1,Data!$A$1:$AN$1,),))/VLOOKUP(A38,Data!$A:$AN,MATCH(yoy!$E$1,Data!$A$1:$AN$1,),))+1)^12-1)</f>
        <v/>
      </c>
      <c r="F38" s="14">
        <f>IF(VLOOKUP(B38,Data!$A:$AN,MATCH(yoy!$F$1,Data!$A$1:$AN$1,),)=0,"#N/A",(((VLOOKUP(B38,Data!$A:$AN,MATCH(yoy!$F$1,Data!$A$1:$AN$1,),)-VLOOKUP(A38,Data!$A:$AN,MATCH(yoy!$F$1,Data!$A$1:$AN$1,),))/VLOOKUP(A38,Data!$A:$AN,MATCH(yoy!$F$1,Data!$A$1:$AN$1,),))+1)^12-1)</f>
        <v/>
      </c>
      <c r="G38" s="14">
        <f>IF(VLOOKUP(B38,Data!$A:$AN,MATCH(yoy!$G$1,Data!$A$1:$AN$1,),)=0,"#N/A",(((VLOOKUP(B38,Data!$A:$AN,MATCH(yoy!$G$1,Data!$A$1:$AN$1,),)-VLOOKUP(A38,Data!$A:$AN,MATCH(yoy!$G$1,Data!$A$1:$AN$1,),))/VLOOKUP(A38,Data!$A:$AN,MATCH(yoy!$G$1,Data!$A$1:$AN$1,),))+1)^12-1)</f>
        <v/>
      </c>
      <c r="H38" s="14">
        <f>IF(VLOOKUP(B38,Data!$A:$AN,MATCH(yoy!$H$1,Data!$A$1:$AN$1,),)=0,"#N/A",(((VLOOKUP(B38,Data!$A:$AN,MATCH(yoy!$H$1,Data!$A$1:$AN$1,),)-VLOOKUP(A38,Data!$A:$AN,MATCH(yoy!$H$1,Data!$A$1:$AN$1,),))/VLOOKUP(A38,Data!$A:$AN,MATCH(yoy!$H$1,Data!$A$1:$AN$1,),))+1)^12-1)</f>
        <v/>
      </c>
      <c r="I38" s="14">
        <f>IF(VLOOKUP(B38,Data!$A:$AN,MATCH(yoy!$I$1,Data!$A$1:$AN$1,),)=0,"#N/A",(((VLOOKUP(B38,Data!$A:$AN,MATCH(yoy!$I$1,Data!$A$1:$AN$1,),)-VLOOKUP(A38,Data!$A:$AN,MATCH(yoy!$I$1,Data!$A$1:$AN$1,),))/VLOOKUP(A38,Data!$A:$AN,MATCH(yoy!$I$1,Data!$A$1:$AN$1,),))+1)^12-1)</f>
        <v/>
      </c>
      <c r="J38" s="14">
        <f>IF(VLOOKUP(B38,Data!$A:$AN,MATCH(yoy!$J$1,Data!$A$1:$AN$1,),)=0,"#N/A",(((VLOOKUP(B38,Data!$A:$AN,MATCH(yoy!$J$1,Data!$A$1:$AN$1,),)-VLOOKUP(A38,Data!$A:$AN,MATCH(yoy!$J$1,Data!$A$1:$AN$1,),))/VLOOKUP(A38,Data!$A:$AN,MATCH(yoy!$J$1,Data!$A$1:$AN$1,),))+1)^12-1)</f>
        <v/>
      </c>
      <c r="K38" s="14">
        <f>IF(VLOOKUP(B38,Data!$A:$AN,MATCH(yoy!$K$1,Data!$A$1:$AN$1,),)=0,"#N/A",(((VLOOKUP(B38,Data!$A:$AN,MATCH(yoy!$K$1,Data!$A$1:$AN$1,),)-VLOOKUP(A38,Data!$A:$AN,MATCH(yoy!$K$1,Data!$A$1:$AN$1,),))/VLOOKUP(A38,Data!$A:$AN,MATCH(yoy!$K$1,Data!$A$1:$AN$1,),))+1)^12-1)</f>
        <v/>
      </c>
      <c r="L38" s="14">
        <f>IF(VLOOKUP(B38,Data!$A:$AN,MATCH(yoy!$L$1,Data!$A$1:$AN$1,),)=0,"#N/A",(((VLOOKUP(B38,Data!$A:$AN,MATCH(yoy!$L$1,Data!$A$1:$AN$1,),)-VLOOKUP(A38,Data!$A:$AN,MATCH(yoy!$L$1,Data!$A$1:$AN$1,),))/VLOOKUP(A38,Data!$A:$AN,MATCH(yoy!$L$1,Data!$A$1:$AN$1,),))+1)^12-1)</f>
        <v/>
      </c>
      <c r="M38" s="14">
        <f>IF(VLOOKUP(B38,Data!$A:$AN,MATCH(yoy!$M$1,Data!$A$1:$AN$1,),)=0,"#N/A",(((VLOOKUP(B38,Data!$A:$AN,MATCH(yoy!$M$1,Data!$A$1:$AN$1,),)-VLOOKUP(A38,Data!$A:$AN,MATCH(yoy!$M$1,Data!$A$1:$AN$1,),))/VLOOKUP(A38,Data!$A:$AN,MATCH(yoy!$M$1,Data!$A$1:$AN$1,),))+1)^12-1)</f>
        <v/>
      </c>
      <c r="N38" s="14">
        <f>IF(VLOOKUP(B38,Data!$A:$AN,MATCH(yoy!$N$1,Data!$A$1:$AN$1,),)=0,"#N/A",(((VLOOKUP(B38,Data!$A:$AN,MATCH(yoy!$N$1,Data!$A$1:$AN$1,),)-VLOOKUP(A38,Data!$A:$AN,MATCH(yoy!$N$1,Data!$A$1:$AN$1,),))/VLOOKUP(A38,Data!$A:$AN,MATCH(yoy!$N$1,Data!$A$1:$AN$1,),))+1)^12-1)</f>
        <v/>
      </c>
      <c r="O38" s="14">
        <f>IF(VLOOKUP(B38,Data!$A:$AN,MATCH(yoy!$O$1,Data!$A$1:$AN$1,),)=0,"#N/A",(((VLOOKUP(B38,Data!$A:$AN,MATCH(yoy!$O$1,Data!$A$1:$AN$1,),)-VLOOKUP(A38,Data!$A:$AN,MATCH(yoy!$O$1,Data!$A$1:$AN$1,),))/VLOOKUP(A38,Data!$A:$AN,MATCH(yoy!$O$1,Data!$A$1:$AN$1,),))+1)^12-1)</f>
        <v/>
      </c>
      <c r="P38" s="14">
        <f>IF(VLOOKUP(B38,Data!$A:$AN,MATCH(yoy!$P$1,Data!$A$1:$AN$1,),)=0,"#N/A",(((VLOOKUP(B38,Data!$A:$AN,MATCH(yoy!$P$1,Data!$A$1:$AN$1,),)-VLOOKUP(A38,Data!$A:$AN,MATCH(yoy!$P$1,Data!$A$1:$AN$1,),))/VLOOKUP(A38,Data!$A:$AN,MATCH(yoy!$P$1,Data!$A$1:$AN$1,),))+1)^12-1)</f>
        <v/>
      </c>
      <c r="Q38" s="14">
        <f>IF(VLOOKUP(B38,Data!$A:$AN,MATCH(yoy!$Q$1,Data!$A$1:$AN$1,),)=0,"#N/A",(((VLOOKUP(B38,Data!$A:$AN,MATCH(yoy!$Q$1,Data!$A$1:$AN$1,),)-VLOOKUP(A38,Data!$A:$AN,MATCH(yoy!$Q$1,Data!$A$1:$AN$1,),))/VLOOKUP(A38,Data!$A:$AN,MATCH(yoy!$Q$1,Data!$A$1:$AN$1,),))+1)^12-1)</f>
        <v/>
      </c>
      <c r="R38" s="14">
        <f>IF(VLOOKUP(B38,Data!$A:$AN,MATCH(yoy!$R$1,Data!$A$1:$AN$1,),)=0,"#N/A",(((VLOOKUP(B38,Data!$A:$AN,MATCH(yoy!$R$1,Data!$A$1:$AN$1,),)-VLOOKUP(A38,Data!$A:$AN,MATCH(yoy!$R$1,Data!$A$1:$AN$1,),))/VLOOKUP(A38,Data!$A:$AN,MATCH(yoy!$R$1,Data!$A$1:$AN$1,),))+1)^12-1)</f>
        <v/>
      </c>
      <c r="S38" s="14">
        <f>IF(VLOOKUP(B38,Data!$A:$AN,MATCH(yoy!$S$1,Data!$A$1:$AN$1,),)=0,"#N/A",(((VLOOKUP(B38,Data!$A:$AN,MATCH(yoy!$S$1,Data!$A$1:$AN$1,),)-VLOOKUP(A38,Data!$A:$AN,MATCH(yoy!$S$1,Data!$A$1:$AN$1,),))/VLOOKUP(A38,Data!$A:$AN,MATCH(yoy!$S$1,Data!$A$1:$AN$1,),))+1)^12-1)</f>
        <v/>
      </c>
      <c r="T38" s="14">
        <f>IF(VLOOKUP(B38,Data!$A:$AN,MATCH(yoy!$T$1,Data!$A$1:$AN$1,),)=0,"#N/A",(((VLOOKUP(B38,Data!$A:$AN,MATCH(yoy!$T$1,Data!$A$1:$AN$1,),)-VLOOKUP(A38,Data!$A:$AN,MATCH(yoy!$T$1,Data!$A$1:$AN$1,),))/VLOOKUP(A38,Data!$A:$AN,MATCH(yoy!$T$1,Data!$A$1:$AN$1,),))+1)^12-1)</f>
        <v/>
      </c>
      <c r="U38" s="14">
        <f>IF(VLOOKUP(B38,Data!$A:$AN,MATCH(yoy!$U$1,Data!$A$1:$AN$1,),)=0,"#N/A",(((VLOOKUP(B38,Data!$A:$AN,MATCH(yoy!$U$1,Data!$A$1:$AN$1,),)-VLOOKUP(A38,Data!$A:$AN,MATCH(yoy!$U$1,Data!$A$1:$AN$1,),))/VLOOKUP(A38,Data!$A:$AN,MATCH(yoy!$U$1,Data!$A$1:$AN$1,),))+1)^12-1)</f>
        <v/>
      </c>
      <c r="V38" s="14">
        <f>IF(VLOOKUP(B38,Data!$A:$AN,MATCH(yoy!$V$1,Data!$A$1:$AN$1,),)=0,"#N/A",(((VLOOKUP(B38,Data!$A:$AN,MATCH(yoy!$V$1,Data!$A$1:$AN$1,),)-VLOOKUP(A38,Data!$A:$AN,MATCH(yoy!$V$1,Data!$A$1:$AN$1,),))/VLOOKUP(A38,Data!$A:$AN,MATCH(yoy!$V$1,Data!$A$1:$AN$1,),))+1)^12-1)</f>
        <v/>
      </c>
      <c r="W38" s="14">
        <f>IF(VLOOKUP(B38,Data!$A:$AN,MATCH(yoy!$W$1,Data!$A$1:$AN$1,),)=0,"#N/A",(((VLOOKUP(B38,Data!$A:$AN,MATCH(yoy!$W$1,Data!$A$1:$AN$1,),)-VLOOKUP(A38,Data!$A:$AN,MATCH(yoy!$W$1,Data!$A$1:$AN$1,),))/VLOOKUP(A38,Data!$A:$AN,MATCH(yoy!$W$1,Data!$A$1:$AN$1,),))+1)^12-1)</f>
        <v/>
      </c>
      <c r="X38" s="14">
        <f>IF(VLOOKUP(B38,Data!$A:$AN,MATCH(yoy!$X$1,Data!$A$1:$AN$1,),)=0,"#N/A",(((VLOOKUP(B38,Data!$A:$AN,MATCH(yoy!$X$1,Data!$A$1:$AN$1,),)-VLOOKUP(A38,Data!$A:$AN,MATCH(yoy!$X$1,Data!$A$1:$AN$1,),))/VLOOKUP(A38,Data!$A:$AN,MATCH(yoy!$X$1,Data!$A$1:$AN$1,),))+1)^12-1)</f>
        <v/>
      </c>
      <c r="Y38" s="14">
        <f>IF(VLOOKUP(B38,Data!$A:$AN,MATCH(yoy!$Y$1,Data!$A$1:$AN$1,),)=0,"#N/A",(((VLOOKUP(B38,Data!$A:$AN,MATCH(yoy!$Y$1,Data!$A$1:$AN$1,),)-VLOOKUP(A38,Data!$A:$AN,MATCH(yoy!$Y$1,Data!$A$1:$AN$1,),))/VLOOKUP(A38,Data!$A:$AN,MATCH(yoy!$Y$1,Data!$A$1:$AN$1,),))+1)^12-1)</f>
        <v/>
      </c>
      <c r="Z38" s="14">
        <f>IF(VLOOKUP(B38,Data!$A:$AN,MATCH(yoy!$Z$1,Data!$A$1:$AN$1,),)=0,"#N/A",(((VLOOKUP(B38,Data!$A:$AN,MATCH(yoy!$Z$1,Data!$A$1:$AN$1,),)-VLOOKUP(A38,Data!$A:$AN,MATCH(yoy!$Z$1,Data!$A$1:$AN$1,),))/VLOOKUP(A38,Data!$A:$AN,MATCH(yoy!$Z$1,Data!$A$1:$AN$1,),))+1)^12-1)</f>
        <v/>
      </c>
      <c r="AA38" s="14">
        <f>IF(VLOOKUP(B38,Data!$A:$AN,MATCH(yoy!$AA$1,Data!$A$1:$AN$1,),)=0,"#N/A",(((VLOOKUP(B38,Data!$A:$AN,MATCH(yoy!$AA$1,Data!$A$1:$AN$1,),)-VLOOKUP(A38,Data!$A:$AN,MATCH(yoy!$AA$1,Data!$A$1:$AN$1,),))/VLOOKUP(A38,Data!$A:$AN,MATCH(yoy!$AA$1,Data!$A$1:$AN$1,),))+1)^12-1)</f>
        <v/>
      </c>
    </row>
    <row r="39">
      <c r="A39" s="20">
        <f>DATE(YEAR(B39),MONTH(B39)-1,DAY(B39))</f>
        <v/>
      </c>
      <c r="B39" s="12" t="n">
        <v>43040</v>
      </c>
      <c r="C39" s="14">
        <f>IF(VLOOKUP(B39,Data!$A:$AN,MATCH(yoy!$C$1,Data!$A$1:$AN$1,),)=0,"#N/A",(((VLOOKUP(B39,Data!$A:$AN,MATCH(yoy!$C$1,Data!$A$1:$AN$1,),)-VLOOKUP(A39,Data!$A:$AN,MATCH(yoy!$C$1,Data!$A$1:$AN$1,),))/VLOOKUP(A39,Data!$A:$AN,MATCH(yoy!$C$1,Data!$A$1:$AN$1,),))+1)^12-1)</f>
        <v/>
      </c>
      <c r="D39" s="14">
        <f>IF(VLOOKUP(B39,Data!$A:$AN,MATCH(yoy!$D$1,Data!$A$1:$AN$1,),)=0,"#N/A",(((VLOOKUP(B39,Data!$A:$AN,MATCH(yoy!$D$1,Data!$A$1:$AN$1,),)-VLOOKUP(A39,Data!$A:$AN,MATCH(yoy!$D$1,Data!$A$1:$AN$1,),))/VLOOKUP(A39,Data!$A:$AN,MATCH(yoy!$D$1,Data!$A$1:$AN$1,),))+1)^12-1)</f>
        <v/>
      </c>
      <c r="E39" s="14">
        <f>IF(VLOOKUP(B39,Data!$A:$AN,MATCH(yoy!$E$1,Data!$A$1:$AN$1,),)=0,"#N/A",(((VLOOKUP(B39,Data!$A:$AN,MATCH(yoy!$E$1,Data!$A$1:$AN$1,),)-VLOOKUP(A39,Data!$A:$AN,MATCH(yoy!$E$1,Data!$A$1:$AN$1,),))/VLOOKUP(A39,Data!$A:$AN,MATCH(yoy!$E$1,Data!$A$1:$AN$1,),))+1)^12-1)</f>
        <v/>
      </c>
      <c r="F39" s="14">
        <f>IF(VLOOKUP(B39,Data!$A:$AN,MATCH(yoy!$F$1,Data!$A$1:$AN$1,),)=0,"#N/A",(((VLOOKUP(B39,Data!$A:$AN,MATCH(yoy!$F$1,Data!$A$1:$AN$1,),)-VLOOKUP(A39,Data!$A:$AN,MATCH(yoy!$F$1,Data!$A$1:$AN$1,),))/VLOOKUP(A39,Data!$A:$AN,MATCH(yoy!$F$1,Data!$A$1:$AN$1,),))+1)^12-1)</f>
        <v/>
      </c>
      <c r="G39" s="14">
        <f>IF(VLOOKUP(B39,Data!$A:$AN,MATCH(yoy!$G$1,Data!$A$1:$AN$1,),)=0,"#N/A",(((VLOOKUP(B39,Data!$A:$AN,MATCH(yoy!$G$1,Data!$A$1:$AN$1,),)-VLOOKUP(A39,Data!$A:$AN,MATCH(yoy!$G$1,Data!$A$1:$AN$1,),))/VLOOKUP(A39,Data!$A:$AN,MATCH(yoy!$G$1,Data!$A$1:$AN$1,),))+1)^12-1)</f>
        <v/>
      </c>
      <c r="H39" s="14">
        <f>IF(VLOOKUP(B39,Data!$A:$AN,MATCH(yoy!$H$1,Data!$A$1:$AN$1,),)=0,"#N/A",(((VLOOKUP(B39,Data!$A:$AN,MATCH(yoy!$H$1,Data!$A$1:$AN$1,),)-VLOOKUP(A39,Data!$A:$AN,MATCH(yoy!$H$1,Data!$A$1:$AN$1,),))/VLOOKUP(A39,Data!$A:$AN,MATCH(yoy!$H$1,Data!$A$1:$AN$1,),))+1)^12-1)</f>
        <v/>
      </c>
      <c r="I39" s="14">
        <f>IF(VLOOKUP(B39,Data!$A:$AN,MATCH(yoy!$I$1,Data!$A$1:$AN$1,),)=0,"#N/A",(((VLOOKUP(B39,Data!$A:$AN,MATCH(yoy!$I$1,Data!$A$1:$AN$1,),)-VLOOKUP(A39,Data!$A:$AN,MATCH(yoy!$I$1,Data!$A$1:$AN$1,),))/VLOOKUP(A39,Data!$A:$AN,MATCH(yoy!$I$1,Data!$A$1:$AN$1,),))+1)^12-1)</f>
        <v/>
      </c>
      <c r="J39" s="14">
        <f>IF(VLOOKUP(B39,Data!$A:$AN,MATCH(yoy!$J$1,Data!$A$1:$AN$1,),)=0,"#N/A",(((VLOOKUP(B39,Data!$A:$AN,MATCH(yoy!$J$1,Data!$A$1:$AN$1,),)-VLOOKUP(A39,Data!$A:$AN,MATCH(yoy!$J$1,Data!$A$1:$AN$1,),))/VLOOKUP(A39,Data!$A:$AN,MATCH(yoy!$J$1,Data!$A$1:$AN$1,),))+1)^12-1)</f>
        <v/>
      </c>
      <c r="K39" s="14">
        <f>IF(VLOOKUP(B39,Data!$A:$AN,MATCH(yoy!$K$1,Data!$A$1:$AN$1,),)=0,"#N/A",(((VLOOKUP(B39,Data!$A:$AN,MATCH(yoy!$K$1,Data!$A$1:$AN$1,),)-VLOOKUP(A39,Data!$A:$AN,MATCH(yoy!$K$1,Data!$A$1:$AN$1,),))/VLOOKUP(A39,Data!$A:$AN,MATCH(yoy!$K$1,Data!$A$1:$AN$1,),))+1)^12-1)</f>
        <v/>
      </c>
      <c r="L39" s="14">
        <f>IF(VLOOKUP(B39,Data!$A:$AN,MATCH(yoy!$L$1,Data!$A$1:$AN$1,),)=0,"#N/A",(((VLOOKUP(B39,Data!$A:$AN,MATCH(yoy!$L$1,Data!$A$1:$AN$1,),)-VLOOKUP(A39,Data!$A:$AN,MATCH(yoy!$L$1,Data!$A$1:$AN$1,),))/VLOOKUP(A39,Data!$A:$AN,MATCH(yoy!$L$1,Data!$A$1:$AN$1,),))+1)^12-1)</f>
        <v/>
      </c>
      <c r="M39" s="14">
        <f>IF(VLOOKUP(B39,Data!$A:$AN,MATCH(yoy!$M$1,Data!$A$1:$AN$1,),)=0,"#N/A",(((VLOOKUP(B39,Data!$A:$AN,MATCH(yoy!$M$1,Data!$A$1:$AN$1,),)-VLOOKUP(A39,Data!$A:$AN,MATCH(yoy!$M$1,Data!$A$1:$AN$1,),))/VLOOKUP(A39,Data!$A:$AN,MATCH(yoy!$M$1,Data!$A$1:$AN$1,),))+1)^12-1)</f>
        <v/>
      </c>
      <c r="N39" s="14">
        <f>IF(VLOOKUP(B39,Data!$A:$AN,MATCH(yoy!$N$1,Data!$A$1:$AN$1,),)=0,"#N/A",(((VLOOKUP(B39,Data!$A:$AN,MATCH(yoy!$N$1,Data!$A$1:$AN$1,),)-VLOOKUP(A39,Data!$A:$AN,MATCH(yoy!$N$1,Data!$A$1:$AN$1,),))/VLOOKUP(A39,Data!$A:$AN,MATCH(yoy!$N$1,Data!$A$1:$AN$1,),))+1)^12-1)</f>
        <v/>
      </c>
      <c r="O39" s="14">
        <f>IF(VLOOKUP(B39,Data!$A:$AN,MATCH(yoy!$O$1,Data!$A$1:$AN$1,),)=0,"#N/A",(((VLOOKUP(B39,Data!$A:$AN,MATCH(yoy!$O$1,Data!$A$1:$AN$1,),)-VLOOKUP(A39,Data!$A:$AN,MATCH(yoy!$O$1,Data!$A$1:$AN$1,),))/VLOOKUP(A39,Data!$A:$AN,MATCH(yoy!$O$1,Data!$A$1:$AN$1,),))+1)^12-1)</f>
        <v/>
      </c>
      <c r="P39" s="14">
        <f>IF(VLOOKUP(B39,Data!$A:$AN,MATCH(yoy!$P$1,Data!$A$1:$AN$1,),)=0,"#N/A",(((VLOOKUP(B39,Data!$A:$AN,MATCH(yoy!$P$1,Data!$A$1:$AN$1,),)-VLOOKUP(A39,Data!$A:$AN,MATCH(yoy!$P$1,Data!$A$1:$AN$1,),))/VLOOKUP(A39,Data!$A:$AN,MATCH(yoy!$P$1,Data!$A$1:$AN$1,),))+1)^12-1)</f>
        <v/>
      </c>
      <c r="Q39" s="14">
        <f>IF(VLOOKUP(B39,Data!$A:$AN,MATCH(yoy!$Q$1,Data!$A$1:$AN$1,),)=0,"#N/A",(((VLOOKUP(B39,Data!$A:$AN,MATCH(yoy!$Q$1,Data!$A$1:$AN$1,),)-VLOOKUP(A39,Data!$A:$AN,MATCH(yoy!$Q$1,Data!$A$1:$AN$1,),))/VLOOKUP(A39,Data!$A:$AN,MATCH(yoy!$Q$1,Data!$A$1:$AN$1,),))+1)^12-1)</f>
        <v/>
      </c>
      <c r="R39" s="14">
        <f>IF(VLOOKUP(B39,Data!$A:$AN,MATCH(yoy!$R$1,Data!$A$1:$AN$1,),)=0,"#N/A",(((VLOOKUP(B39,Data!$A:$AN,MATCH(yoy!$R$1,Data!$A$1:$AN$1,),)-VLOOKUP(A39,Data!$A:$AN,MATCH(yoy!$R$1,Data!$A$1:$AN$1,),))/VLOOKUP(A39,Data!$A:$AN,MATCH(yoy!$R$1,Data!$A$1:$AN$1,),))+1)^12-1)</f>
        <v/>
      </c>
      <c r="S39" s="14">
        <f>IF(VLOOKUP(B39,Data!$A:$AN,MATCH(yoy!$S$1,Data!$A$1:$AN$1,),)=0,"#N/A",(((VLOOKUP(B39,Data!$A:$AN,MATCH(yoy!$S$1,Data!$A$1:$AN$1,),)-VLOOKUP(A39,Data!$A:$AN,MATCH(yoy!$S$1,Data!$A$1:$AN$1,),))/VLOOKUP(A39,Data!$A:$AN,MATCH(yoy!$S$1,Data!$A$1:$AN$1,),))+1)^12-1)</f>
        <v/>
      </c>
      <c r="T39" s="14">
        <f>IF(VLOOKUP(B39,Data!$A:$AN,MATCH(yoy!$T$1,Data!$A$1:$AN$1,),)=0,"#N/A",(((VLOOKUP(B39,Data!$A:$AN,MATCH(yoy!$T$1,Data!$A$1:$AN$1,),)-VLOOKUP(A39,Data!$A:$AN,MATCH(yoy!$T$1,Data!$A$1:$AN$1,),))/VLOOKUP(A39,Data!$A:$AN,MATCH(yoy!$T$1,Data!$A$1:$AN$1,),))+1)^12-1)</f>
        <v/>
      </c>
      <c r="U39" s="14">
        <f>IF(VLOOKUP(B39,Data!$A:$AN,MATCH(yoy!$U$1,Data!$A$1:$AN$1,),)=0,"#N/A",(((VLOOKUP(B39,Data!$A:$AN,MATCH(yoy!$U$1,Data!$A$1:$AN$1,),)-VLOOKUP(A39,Data!$A:$AN,MATCH(yoy!$U$1,Data!$A$1:$AN$1,),))/VLOOKUP(A39,Data!$A:$AN,MATCH(yoy!$U$1,Data!$A$1:$AN$1,),))+1)^12-1)</f>
        <v/>
      </c>
      <c r="V39" s="14">
        <f>IF(VLOOKUP(B39,Data!$A:$AN,MATCH(yoy!$V$1,Data!$A$1:$AN$1,),)=0,"#N/A",(((VLOOKUP(B39,Data!$A:$AN,MATCH(yoy!$V$1,Data!$A$1:$AN$1,),)-VLOOKUP(A39,Data!$A:$AN,MATCH(yoy!$V$1,Data!$A$1:$AN$1,),))/VLOOKUP(A39,Data!$A:$AN,MATCH(yoy!$V$1,Data!$A$1:$AN$1,),))+1)^12-1)</f>
        <v/>
      </c>
      <c r="W39" s="14">
        <f>IF(VLOOKUP(B39,Data!$A:$AN,MATCH(yoy!$W$1,Data!$A$1:$AN$1,),)=0,"#N/A",(((VLOOKUP(B39,Data!$A:$AN,MATCH(yoy!$W$1,Data!$A$1:$AN$1,),)-VLOOKUP(A39,Data!$A:$AN,MATCH(yoy!$W$1,Data!$A$1:$AN$1,),))/VLOOKUP(A39,Data!$A:$AN,MATCH(yoy!$W$1,Data!$A$1:$AN$1,),))+1)^12-1)</f>
        <v/>
      </c>
      <c r="X39" s="14">
        <f>IF(VLOOKUP(B39,Data!$A:$AN,MATCH(yoy!$X$1,Data!$A$1:$AN$1,),)=0,"#N/A",(((VLOOKUP(B39,Data!$A:$AN,MATCH(yoy!$X$1,Data!$A$1:$AN$1,),)-VLOOKUP(A39,Data!$A:$AN,MATCH(yoy!$X$1,Data!$A$1:$AN$1,),))/VLOOKUP(A39,Data!$A:$AN,MATCH(yoy!$X$1,Data!$A$1:$AN$1,),))+1)^12-1)</f>
        <v/>
      </c>
      <c r="Y39" s="14">
        <f>IF(VLOOKUP(B39,Data!$A:$AN,MATCH(yoy!$Y$1,Data!$A$1:$AN$1,),)=0,"#N/A",(((VLOOKUP(B39,Data!$A:$AN,MATCH(yoy!$Y$1,Data!$A$1:$AN$1,),)-VLOOKUP(A39,Data!$A:$AN,MATCH(yoy!$Y$1,Data!$A$1:$AN$1,),))/VLOOKUP(A39,Data!$A:$AN,MATCH(yoy!$Y$1,Data!$A$1:$AN$1,),))+1)^12-1)</f>
        <v/>
      </c>
      <c r="Z39" s="14">
        <f>IF(VLOOKUP(B39,Data!$A:$AN,MATCH(yoy!$Z$1,Data!$A$1:$AN$1,),)=0,"#N/A",(((VLOOKUP(B39,Data!$A:$AN,MATCH(yoy!$Z$1,Data!$A$1:$AN$1,),)-VLOOKUP(A39,Data!$A:$AN,MATCH(yoy!$Z$1,Data!$A$1:$AN$1,),))/VLOOKUP(A39,Data!$A:$AN,MATCH(yoy!$Z$1,Data!$A$1:$AN$1,),))+1)^12-1)</f>
        <v/>
      </c>
      <c r="AA39" s="14">
        <f>IF(VLOOKUP(B39,Data!$A:$AN,MATCH(yoy!$AA$1,Data!$A$1:$AN$1,),)=0,"#N/A",(((VLOOKUP(B39,Data!$A:$AN,MATCH(yoy!$AA$1,Data!$A$1:$AN$1,),)-VLOOKUP(A39,Data!$A:$AN,MATCH(yoy!$AA$1,Data!$A$1:$AN$1,),))/VLOOKUP(A39,Data!$A:$AN,MATCH(yoy!$AA$1,Data!$A$1:$AN$1,),))+1)^12-1)</f>
        <v/>
      </c>
    </row>
    <row r="40">
      <c r="A40" s="20">
        <f>DATE(YEAR(B40),MONTH(B40)-1,DAY(B40))</f>
        <v/>
      </c>
      <c r="B40" s="12" t="n">
        <v>43070</v>
      </c>
      <c r="C40" s="14">
        <f>IF(VLOOKUP(B40,Data!$A:$AN,MATCH(yoy!$C$1,Data!$A$1:$AN$1,),)=0,"#N/A",(((VLOOKUP(B40,Data!$A:$AN,MATCH(yoy!$C$1,Data!$A$1:$AN$1,),)-VLOOKUP(A40,Data!$A:$AN,MATCH(yoy!$C$1,Data!$A$1:$AN$1,),))/VLOOKUP(A40,Data!$A:$AN,MATCH(yoy!$C$1,Data!$A$1:$AN$1,),))+1)^12-1)</f>
        <v/>
      </c>
      <c r="D40" s="14">
        <f>IF(VLOOKUP(B40,Data!$A:$AN,MATCH(yoy!$D$1,Data!$A$1:$AN$1,),)=0,"#N/A",(((VLOOKUP(B40,Data!$A:$AN,MATCH(yoy!$D$1,Data!$A$1:$AN$1,),)-VLOOKUP(A40,Data!$A:$AN,MATCH(yoy!$D$1,Data!$A$1:$AN$1,),))/VLOOKUP(A40,Data!$A:$AN,MATCH(yoy!$D$1,Data!$A$1:$AN$1,),))+1)^12-1)</f>
        <v/>
      </c>
      <c r="E40" s="14">
        <f>IF(VLOOKUP(B40,Data!$A:$AN,MATCH(yoy!$E$1,Data!$A$1:$AN$1,),)=0,"#N/A",(((VLOOKUP(B40,Data!$A:$AN,MATCH(yoy!$E$1,Data!$A$1:$AN$1,),)-VLOOKUP(A40,Data!$A:$AN,MATCH(yoy!$E$1,Data!$A$1:$AN$1,),))/VLOOKUP(A40,Data!$A:$AN,MATCH(yoy!$E$1,Data!$A$1:$AN$1,),))+1)^12-1)</f>
        <v/>
      </c>
      <c r="F40" s="14">
        <f>IF(VLOOKUP(B40,Data!$A:$AN,MATCH(yoy!$F$1,Data!$A$1:$AN$1,),)=0,"#N/A",(((VLOOKUP(B40,Data!$A:$AN,MATCH(yoy!$F$1,Data!$A$1:$AN$1,),)-VLOOKUP(A40,Data!$A:$AN,MATCH(yoy!$F$1,Data!$A$1:$AN$1,),))/VLOOKUP(A40,Data!$A:$AN,MATCH(yoy!$F$1,Data!$A$1:$AN$1,),))+1)^12-1)</f>
        <v/>
      </c>
      <c r="G40" s="14">
        <f>IF(VLOOKUP(B40,Data!$A:$AN,MATCH(yoy!$G$1,Data!$A$1:$AN$1,),)=0,"#N/A",(((VLOOKUP(B40,Data!$A:$AN,MATCH(yoy!$G$1,Data!$A$1:$AN$1,),)-VLOOKUP(A40,Data!$A:$AN,MATCH(yoy!$G$1,Data!$A$1:$AN$1,),))/VLOOKUP(A40,Data!$A:$AN,MATCH(yoy!$G$1,Data!$A$1:$AN$1,),))+1)^12-1)</f>
        <v/>
      </c>
      <c r="H40" s="14">
        <f>IF(VLOOKUP(B40,Data!$A:$AN,MATCH(yoy!$H$1,Data!$A$1:$AN$1,),)=0,"#N/A",(((VLOOKUP(B40,Data!$A:$AN,MATCH(yoy!$H$1,Data!$A$1:$AN$1,),)-VLOOKUP(A40,Data!$A:$AN,MATCH(yoy!$H$1,Data!$A$1:$AN$1,),))/VLOOKUP(A40,Data!$A:$AN,MATCH(yoy!$H$1,Data!$A$1:$AN$1,),))+1)^12-1)</f>
        <v/>
      </c>
      <c r="I40" s="14">
        <f>IF(VLOOKUP(B40,Data!$A:$AN,MATCH(yoy!$I$1,Data!$A$1:$AN$1,),)=0,"#N/A",(((VLOOKUP(B40,Data!$A:$AN,MATCH(yoy!$I$1,Data!$A$1:$AN$1,),)-VLOOKUP(A40,Data!$A:$AN,MATCH(yoy!$I$1,Data!$A$1:$AN$1,),))/VLOOKUP(A40,Data!$A:$AN,MATCH(yoy!$I$1,Data!$A$1:$AN$1,),))+1)^12-1)</f>
        <v/>
      </c>
      <c r="J40" s="14">
        <f>IF(VLOOKUP(B40,Data!$A:$AN,MATCH(yoy!$J$1,Data!$A$1:$AN$1,),)=0,"#N/A",(((VLOOKUP(B40,Data!$A:$AN,MATCH(yoy!$J$1,Data!$A$1:$AN$1,),)-VLOOKUP(A40,Data!$A:$AN,MATCH(yoy!$J$1,Data!$A$1:$AN$1,),))/VLOOKUP(A40,Data!$A:$AN,MATCH(yoy!$J$1,Data!$A$1:$AN$1,),))+1)^12-1)</f>
        <v/>
      </c>
      <c r="K40" s="14">
        <f>IF(VLOOKUP(B40,Data!$A:$AN,MATCH(yoy!$K$1,Data!$A$1:$AN$1,),)=0,"#N/A",(((VLOOKUP(B40,Data!$A:$AN,MATCH(yoy!$K$1,Data!$A$1:$AN$1,),)-VLOOKUP(A40,Data!$A:$AN,MATCH(yoy!$K$1,Data!$A$1:$AN$1,),))/VLOOKUP(A40,Data!$A:$AN,MATCH(yoy!$K$1,Data!$A$1:$AN$1,),))+1)^12-1)</f>
        <v/>
      </c>
      <c r="L40" s="14">
        <f>IF(VLOOKUP(B40,Data!$A:$AN,MATCH(yoy!$L$1,Data!$A$1:$AN$1,),)=0,"#N/A",(((VLOOKUP(B40,Data!$A:$AN,MATCH(yoy!$L$1,Data!$A$1:$AN$1,),)-VLOOKUP(A40,Data!$A:$AN,MATCH(yoy!$L$1,Data!$A$1:$AN$1,),))/VLOOKUP(A40,Data!$A:$AN,MATCH(yoy!$L$1,Data!$A$1:$AN$1,),))+1)^12-1)</f>
        <v/>
      </c>
      <c r="M40" s="14">
        <f>IF(VLOOKUP(B40,Data!$A:$AN,MATCH(yoy!$M$1,Data!$A$1:$AN$1,),)=0,"#N/A",(((VLOOKUP(B40,Data!$A:$AN,MATCH(yoy!$M$1,Data!$A$1:$AN$1,),)-VLOOKUP(A40,Data!$A:$AN,MATCH(yoy!$M$1,Data!$A$1:$AN$1,),))/VLOOKUP(A40,Data!$A:$AN,MATCH(yoy!$M$1,Data!$A$1:$AN$1,),))+1)^12-1)</f>
        <v/>
      </c>
      <c r="N40" s="14">
        <f>IF(VLOOKUP(B40,Data!$A:$AN,MATCH(yoy!$N$1,Data!$A$1:$AN$1,),)=0,"#N/A",(((VLOOKUP(B40,Data!$A:$AN,MATCH(yoy!$N$1,Data!$A$1:$AN$1,),)-VLOOKUP(A40,Data!$A:$AN,MATCH(yoy!$N$1,Data!$A$1:$AN$1,),))/VLOOKUP(A40,Data!$A:$AN,MATCH(yoy!$N$1,Data!$A$1:$AN$1,),))+1)^12-1)</f>
        <v/>
      </c>
      <c r="O40" s="14">
        <f>IF(VLOOKUP(B40,Data!$A:$AN,MATCH(yoy!$O$1,Data!$A$1:$AN$1,),)=0,"#N/A",(((VLOOKUP(B40,Data!$A:$AN,MATCH(yoy!$O$1,Data!$A$1:$AN$1,),)-VLOOKUP(A40,Data!$A:$AN,MATCH(yoy!$O$1,Data!$A$1:$AN$1,),))/VLOOKUP(A40,Data!$A:$AN,MATCH(yoy!$O$1,Data!$A$1:$AN$1,),))+1)^12-1)</f>
        <v/>
      </c>
      <c r="P40" s="14">
        <f>IF(VLOOKUP(B40,Data!$A:$AN,MATCH(yoy!$P$1,Data!$A$1:$AN$1,),)=0,"#N/A",(((VLOOKUP(B40,Data!$A:$AN,MATCH(yoy!$P$1,Data!$A$1:$AN$1,),)-VLOOKUP(A40,Data!$A:$AN,MATCH(yoy!$P$1,Data!$A$1:$AN$1,),))/VLOOKUP(A40,Data!$A:$AN,MATCH(yoy!$P$1,Data!$A$1:$AN$1,),))+1)^12-1)</f>
        <v/>
      </c>
      <c r="Q40" s="14">
        <f>IF(VLOOKUP(B40,Data!$A:$AN,MATCH(yoy!$Q$1,Data!$A$1:$AN$1,),)=0,"#N/A",(((VLOOKUP(B40,Data!$A:$AN,MATCH(yoy!$Q$1,Data!$A$1:$AN$1,),)-VLOOKUP(A40,Data!$A:$AN,MATCH(yoy!$Q$1,Data!$A$1:$AN$1,),))/VLOOKUP(A40,Data!$A:$AN,MATCH(yoy!$Q$1,Data!$A$1:$AN$1,),))+1)^12-1)</f>
        <v/>
      </c>
      <c r="R40" s="14">
        <f>IF(VLOOKUP(B40,Data!$A:$AN,MATCH(yoy!$R$1,Data!$A$1:$AN$1,),)=0,"#N/A",(((VLOOKUP(B40,Data!$A:$AN,MATCH(yoy!$R$1,Data!$A$1:$AN$1,),)-VLOOKUP(A40,Data!$A:$AN,MATCH(yoy!$R$1,Data!$A$1:$AN$1,),))/VLOOKUP(A40,Data!$A:$AN,MATCH(yoy!$R$1,Data!$A$1:$AN$1,),))+1)^12-1)</f>
        <v/>
      </c>
      <c r="S40" s="14">
        <f>IF(VLOOKUP(B40,Data!$A:$AN,MATCH(yoy!$S$1,Data!$A$1:$AN$1,),)=0,"#N/A",(((VLOOKUP(B40,Data!$A:$AN,MATCH(yoy!$S$1,Data!$A$1:$AN$1,),)-VLOOKUP(A40,Data!$A:$AN,MATCH(yoy!$S$1,Data!$A$1:$AN$1,),))/VLOOKUP(A40,Data!$A:$AN,MATCH(yoy!$S$1,Data!$A$1:$AN$1,),))+1)^12-1)</f>
        <v/>
      </c>
      <c r="T40" s="14">
        <f>IF(VLOOKUP(B40,Data!$A:$AN,MATCH(yoy!$T$1,Data!$A$1:$AN$1,),)=0,"#N/A",(((VLOOKUP(B40,Data!$A:$AN,MATCH(yoy!$T$1,Data!$A$1:$AN$1,),)-VLOOKUP(A40,Data!$A:$AN,MATCH(yoy!$T$1,Data!$A$1:$AN$1,),))/VLOOKUP(A40,Data!$A:$AN,MATCH(yoy!$T$1,Data!$A$1:$AN$1,),))+1)^12-1)</f>
        <v/>
      </c>
      <c r="U40" s="14">
        <f>IF(VLOOKUP(B40,Data!$A:$AN,MATCH(yoy!$U$1,Data!$A$1:$AN$1,),)=0,"#N/A",(((VLOOKUP(B40,Data!$A:$AN,MATCH(yoy!$U$1,Data!$A$1:$AN$1,),)-VLOOKUP(A40,Data!$A:$AN,MATCH(yoy!$U$1,Data!$A$1:$AN$1,),))/VLOOKUP(A40,Data!$A:$AN,MATCH(yoy!$U$1,Data!$A$1:$AN$1,),))+1)^12-1)</f>
        <v/>
      </c>
      <c r="V40" s="14">
        <f>IF(VLOOKUP(B40,Data!$A:$AN,MATCH(yoy!$V$1,Data!$A$1:$AN$1,),)=0,"#N/A",(((VLOOKUP(B40,Data!$A:$AN,MATCH(yoy!$V$1,Data!$A$1:$AN$1,),)-VLOOKUP(A40,Data!$A:$AN,MATCH(yoy!$V$1,Data!$A$1:$AN$1,),))/VLOOKUP(A40,Data!$A:$AN,MATCH(yoy!$V$1,Data!$A$1:$AN$1,),))+1)^12-1)</f>
        <v/>
      </c>
      <c r="W40" s="14">
        <f>IF(VLOOKUP(B40,Data!$A:$AN,MATCH(yoy!$W$1,Data!$A$1:$AN$1,),)=0,"#N/A",(((VLOOKUP(B40,Data!$A:$AN,MATCH(yoy!$W$1,Data!$A$1:$AN$1,),)-VLOOKUP(A40,Data!$A:$AN,MATCH(yoy!$W$1,Data!$A$1:$AN$1,),))/VLOOKUP(A40,Data!$A:$AN,MATCH(yoy!$W$1,Data!$A$1:$AN$1,),))+1)^12-1)</f>
        <v/>
      </c>
      <c r="X40" s="14">
        <f>IF(VLOOKUP(B40,Data!$A:$AN,MATCH(yoy!$X$1,Data!$A$1:$AN$1,),)=0,"#N/A",(((VLOOKUP(B40,Data!$A:$AN,MATCH(yoy!$X$1,Data!$A$1:$AN$1,),)-VLOOKUP(A40,Data!$A:$AN,MATCH(yoy!$X$1,Data!$A$1:$AN$1,),))/VLOOKUP(A40,Data!$A:$AN,MATCH(yoy!$X$1,Data!$A$1:$AN$1,),))+1)^12-1)</f>
        <v/>
      </c>
      <c r="Y40" s="14">
        <f>IF(VLOOKUP(B40,Data!$A:$AN,MATCH(yoy!$Y$1,Data!$A$1:$AN$1,),)=0,"#N/A",(((VLOOKUP(B40,Data!$A:$AN,MATCH(yoy!$Y$1,Data!$A$1:$AN$1,),)-VLOOKUP(A40,Data!$A:$AN,MATCH(yoy!$Y$1,Data!$A$1:$AN$1,),))/VLOOKUP(A40,Data!$A:$AN,MATCH(yoy!$Y$1,Data!$A$1:$AN$1,),))+1)^12-1)</f>
        <v/>
      </c>
      <c r="Z40" s="14">
        <f>IF(VLOOKUP(B40,Data!$A:$AN,MATCH(yoy!$Z$1,Data!$A$1:$AN$1,),)=0,"#N/A",(((VLOOKUP(B40,Data!$A:$AN,MATCH(yoy!$Z$1,Data!$A$1:$AN$1,),)-VLOOKUP(A40,Data!$A:$AN,MATCH(yoy!$Z$1,Data!$A$1:$AN$1,),))/VLOOKUP(A40,Data!$A:$AN,MATCH(yoy!$Z$1,Data!$A$1:$AN$1,),))+1)^12-1)</f>
        <v/>
      </c>
      <c r="AA40" s="14">
        <f>IF(VLOOKUP(B40,Data!$A:$AN,MATCH(yoy!$AA$1,Data!$A$1:$AN$1,),)=0,"#N/A",(((VLOOKUP(B40,Data!$A:$AN,MATCH(yoy!$AA$1,Data!$A$1:$AN$1,),)-VLOOKUP(A40,Data!$A:$AN,MATCH(yoy!$AA$1,Data!$A$1:$AN$1,),))/VLOOKUP(A40,Data!$A:$AN,MATCH(yoy!$AA$1,Data!$A$1:$AN$1,),))+1)^12-1)</f>
        <v/>
      </c>
    </row>
    <row r="41">
      <c r="A41" s="20">
        <f>DATE(YEAR(B41),MONTH(B41)-1,DAY(B41))</f>
        <v/>
      </c>
      <c r="B41" s="12" t="n">
        <v>43101</v>
      </c>
      <c r="C41" s="14">
        <f>IF(VLOOKUP(B41,Data!$A:$AN,MATCH(yoy!$C$1,Data!$A$1:$AN$1,),)=0,"#N/A",(((VLOOKUP(B41,Data!$A:$AN,MATCH(yoy!$C$1,Data!$A$1:$AN$1,),)-VLOOKUP(A41,Data!$A:$AN,MATCH(yoy!$C$1,Data!$A$1:$AN$1,),))/VLOOKUP(A41,Data!$A:$AN,MATCH(yoy!$C$1,Data!$A$1:$AN$1,),))+1)^12-1)</f>
        <v/>
      </c>
      <c r="D41" s="14">
        <f>IF(VLOOKUP(B41,Data!$A:$AN,MATCH(yoy!$D$1,Data!$A$1:$AN$1,),)=0,"#N/A",(((VLOOKUP(B41,Data!$A:$AN,MATCH(yoy!$D$1,Data!$A$1:$AN$1,),)-VLOOKUP(A41,Data!$A:$AN,MATCH(yoy!$D$1,Data!$A$1:$AN$1,),))/VLOOKUP(A41,Data!$A:$AN,MATCH(yoy!$D$1,Data!$A$1:$AN$1,),))+1)^12-1)</f>
        <v/>
      </c>
      <c r="E41" s="14">
        <f>IF(VLOOKUP(B41,Data!$A:$AN,MATCH(yoy!$E$1,Data!$A$1:$AN$1,),)=0,"#N/A",(((VLOOKUP(B41,Data!$A:$AN,MATCH(yoy!$E$1,Data!$A$1:$AN$1,),)-VLOOKUP(A41,Data!$A:$AN,MATCH(yoy!$E$1,Data!$A$1:$AN$1,),))/VLOOKUP(A41,Data!$A:$AN,MATCH(yoy!$E$1,Data!$A$1:$AN$1,),))+1)^12-1)</f>
        <v/>
      </c>
      <c r="F41" s="14">
        <f>IF(VLOOKUP(B41,Data!$A:$AN,MATCH(yoy!$F$1,Data!$A$1:$AN$1,),)=0,"#N/A",(((VLOOKUP(B41,Data!$A:$AN,MATCH(yoy!$F$1,Data!$A$1:$AN$1,),)-VLOOKUP(A41,Data!$A:$AN,MATCH(yoy!$F$1,Data!$A$1:$AN$1,),))/VLOOKUP(A41,Data!$A:$AN,MATCH(yoy!$F$1,Data!$A$1:$AN$1,),))+1)^12-1)</f>
        <v/>
      </c>
      <c r="G41" s="14">
        <f>IF(VLOOKUP(B41,Data!$A:$AN,MATCH(yoy!$G$1,Data!$A$1:$AN$1,),)=0,"#N/A",(((VLOOKUP(B41,Data!$A:$AN,MATCH(yoy!$G$1,Data!$A$1:$AN$1,),)-VLOOKUP(A41,Data!$A:$AN,MATCH(yoy!$G$1,Data!$A$1:$AN$1,),))/VLOOKUP(A41,Data!$A:$AN,MATCH(yoy!$G$1,Data!$A$1:$AN$1,),))+1)^12-1)</f>
        <v/>
      </c>
      <c r="H41" s="14">
        <f>IF(VLOOKUP(B41,Data!$A:$AN,MATCH(yoy!$H$1,Data!$A$1:$AN$1,),)=0,"#N/A",(((VLOOKUP(B41,Data!$A:$AN,MATCH(yoy!$H$1,Data!$A$1:$AN$1,),)-VLOOKUP(A41,Data!$A:$AN,MATCH(yoy!$H$1,Data!$A$1:$AN$1,),))/VLOOKUP(A41,Data!$A:$AN,MATCH(yoy!$H$1,Data!$A$1:$AN$1,),))+1)^12-1)</f>
        <v/>
      </c>
      <c r="I41" s="14">
        <f>IF(VLOOKUP(B41,Data!$A:$AN,MATCH(yoy!$I$1,Data!$A$1:$AN$1,),)=0,"#N/A",(((VLOOKUP(B41,Data!$A:$AN,MATCH(yoy!$I$1,Data!$A$1:$AN$1,),)-VLOOKUP(A41,Data!$A:$AN,MATCH(yoy!$I$1,Data!$A$1:$AN$1,),))/VLOOKUP(A41,Data!$A:$AN,MATCH(yoy!$I$1,Data!$A$1:$AN$1,),))+1)^12-1)</f>
        <v/>
      </c>
      <c r="J41" s="14">
        <f>IF(VLOOKUP(B41,Data!$A:$AN,MATCH(yoy!$J$1,Data!$A$1:$AN$1,),)=0,"#N/A",(((VLOOKUP(B41,Data!$A:$AN,MATCH(yoy!$J$1,Data!$A$1:$AN$1,),)-VLOOKUP(A41,Data!$A:$AN,MATCH(yoy!$J$1,Data!$A$1:$AN$1,),))/VLOOKUP(A41,Data!$A:$AN,MATCH(yoy!$J$1,Data!$A$1:$AN$1,),))+1)^12-1)</f>
        <v/>
      </c>
      <c r="K41" s="14">
        <f>IF(VLOOKUP(B41,Data!$A:$AN,MATCH(yoy!$K$1,Data!$A$1:$AN$1,),)=0,"#N/A",(((VLOOKUP(B41,Data!$A:$AN,MATCH(yoy!$K$1,Data!$A$1:$AN$1,),)-VLOOKUP(A41,Data!$A:$AN,MATCH(yoy!$K$1,Data!$A$1:$AN$1,),))/VLOOKUP(A41,Data!$A:$AN,MATCH(yoy!$K$1,Data!$A$1:$AN$1,),))+1)^12-1)</f>
        <v/>
      </c>
      <c r="L41" s="14">
        <f>IF(VLOOKUP(B41,Data!$A:$AN,MATCH(yoy!$L$1,Data!$A$1:$AN$1,),)=0,"#N/A",(((VLOOKUP(B41,Data!$A:$AN,MATCH(yoy!$L$1,Data!$A$1:$AN$1,),)-VLOOKUP(A41,Data!$A:$AN,MATCH(yoy!$L$1,Data!$A$1:$AN$1,),))/VLOOKUP(A41,Data!$A:$AN,MATCH(yoy!$L$1,Data!$A$1:$AN$1,),))+1)^12-1)</f>
        <v/>
      </c>
      <c r="M41" s="14">
        <f>IF(VLOOKUP(B41,Data!$A:$AN,MATCH(yoy!$M$1,Data!$A$1:$AN$1,),)=0,"#N/A",(((VLOOKUP(B41,Data!$A:$AN,MATCH(yoy!$M$1,Data!$A$1:$AN$1,),)-VLOOKUP(A41,Data!$A:$AN,MATCH(yoy!$M$1,Data!$A$1:$AN$1,),))/VLOOKUP(A41,Data!$A:$AN,MATCH(yoy!$M$1,Data!$A$1:$AN$1,),))+1)^12-1)</f>
        <v/>
      </c>
      <c r="N41" s="14">
        <f>IF(VLOOKUP(B41,Data!$A:$AN,MATCH(yoy!$N$1,Data!$A$1:$AN$1,),)=0,"#N/A",(((VLOOKUP(B41,Data!$A:$AN,MATCH(yoy!$N$1,Data!$A$1:$AN$1,),)-VLOOKUP(A41,Data!$A:$AN,MATCH(yoy!$N$1,Data!$A$1:$AN$1,),))/VLOOKUP(A41,Data!$A:$AN,MATCH(yoy!$N$1,Data!$A$1:$AN$1,),))+1)^12-1)</f>
        <v/>
      </c>
      <c r="O41" s="14">
        <f>IF(VLOOKUP(B41,Data!$A:$AN,MATCH(yoy!$O$1,Data!$A$1:$AN$1,),)=0,"#N/A",(((VLOOKUP(B41,Data!$A:$AN,MATCH(yoy!$O$1,Data!$A$1:$AN$1,),)-VLOOKUP(A41,Data!$A:$AN,MATCH(yoy!$O$1,Data!$A$1:$AN$1,),))/VLOOKUP(A41,Data!$A:$AN,MATCH(yoy!$O$1,Data!$A$1:$AN$1,),))+1)^12-1)</f>
        <v/>
      </c>
      <c r="P41" s="14">
        <f>IF(VLOOKUP(B41,Data!$A:$AN,MATCH(yoy!$P$1,Data!$A$1:$AN$1,),)=0,"#N/A",(((VLOOKUP(B41,Data!$A:$AN,MATCH(yoy!$P$1,Data!$A$1:$AN$1,),)-VLOOKUP(A41,Data!$A:$AN,MATCH(yoy!$P$1,Data!$A$1:$AN$1,),))/VLOOKUP(A41,Data!$A:$AN,MATCH(yoy!$P$1,Data!$A$1:$AN$1,),))+1)^12-1)</f>
        <v/>
      </c>
      <c r="Q41" s="14">
        <f>IF(VLOOKUP(B41,Data!$A:$AN,MATCH(yoy!$Q$1,Data!$A$1:$AN$1,),)=0,"#N/A",(((VLOOKUP(B41,Data!$A:$AN,MATCH(yoy!$Q$1,Data!$A$1:$AN$1,),)-VLOOKUP(A41,Data!$A:$AN,MATCH(yoy!$Q$1,Data!$A$1:$AN$1,),))/VLOOKUP(A41,Data!$A:$AN,MATCH(yoy!$Q$1,Data!$A$1:$AN$1,),))+1)^12-1)</f>
        <v/>
      </c>
      <c r="R41" s="14">
        <f>IF(VLOOKUP(B41,Data!$A:$AN,MATCH(yoy!$R$1,Data!$A$1:$AN$1,),)=0,"#N/A",(((VLOOKUP(B41,Data!$A:$AN,MATCH(yoy!$R$1,Data!$A$1:$AN$1,),)-VLOOKUP(A41,Data!$A:$AN,MATCH(yoy!$R$1,Data!$A$1:$AN$1,),))/VLOOKUP(A41,Data!$A:$AN,MATCH(yoy!$R$1,Data!$A$1:$AN$1,),))+1)^12-1)</f>
        <v/>
      </c>
      <c r="S41" s="14">
        <f>IF(VLOOKUP(B41,Data!$A:$AN,MATCH(yoy!$S$1,Data!$A$1:$AN$1,),)=0,"#N/A",(((VLOOKUP(B41,Data!$A:$AN,MATCH(yoy!$S$1,Data!$A$1:$AN$1,),)-VLOOKUP(A41,Data!$A:$AN,MATCH(yoy!$S$1,Data!$A$1:$AN$1,),))/VLOOKUP(A41,Data!$A:$AN,MATCH(yoy!$S$1,Data!$A$1:$AN$1,),))+1)^12-1)</f>
        <v/>
      </c>
      <c r="T41" s="14">
        <f>IF(VLOOKUP(B41,Data!$A:$AN,MATCH(yoy!$T$1,Data!$A$1:$AN$1,),)=0,"#N/A",(((VLOOKUP(B41,Data!$A:$AN,MATCH(yoy!$T$1,Data!$A$1:$AN$1,),)-VLOOKUP(A41,Data!$A:$AN,MATCH(yoy!$T$1,Data!$A$1:$AN$1,),))/VLOOKUP(A41,Data!$A:$AN,MATCH(yoy!$T$1,Data!$A$1:$AN$1,),))+1)^12-1)</f>
        <v/>
      </c>
      <c r="U41" s="14">
        <f>IF(VLOOKUP(B41,Data!$A:$AN,MATCH(yoy!$U$1,Data!$A$1:$AN$1,),)=0,"#N/A",(((VLOOKUP(B41,Data!$A:$AN,MATCH(yoy!$U$1,Data!$A$1:$AN$1,),)-VLOOKUP(A41,Data!$A:$AN,MATCH(yoy!$U$1,Data!$A$1:$AN$1,),))/VLOOKUP(A41,Data!$A:$AN,MATCH(yoy!$U$1,Data!$A$1:$AN$1,),))+1)^12-1)</f>
        <v/>
      </c>
      <c r="V41" s="14">
        <f>IF(VLOOKUP(B41,Data!$A:$AN,MATCH(yoy!$V$1,Data!$A$1:$AN$1,),)=0,"#N/A",(((VLOOKUP(B41,Data!$A:$AN,MATCH(yoy!$V$1,Data!$A$1:$AN$1,),)-VLOOKUP(A41,Data!$A:$AN,MATCH(yoy!$V$1,Data!$A$1:$AN$1,),))/VLOOKUP(A41,Data!$A:$AN,MATCH(yoy!$V$1,Data!$A$1:$AN$1,),))+1)^12-1)</f>
        <v/>
      </c>
      <c r="W41" s="14">
        <f>IF(VLOOKUP(B41,Data!$A:$AN,MATCH(yoy!$W$1,Data!$A$1:$AN$1,),)=0,"#N/A",(((VLOOKUP(B41,Data!$A:$AN,MATCH(yoy!$W$1,Data!$A$1:$AN$1,),)-VLOOKUP(A41,Data!$A:$AN,MATCH(yoy!$W$1,Data!$A$1:$AN$1,),))/VLOOKUP(A41,Data!$A:$AN,MATCH(yoy!$W$1,Data!$A$1:$AN$1,),))+1)^12-1)</f>
        <v/>
      </c>
      <c r="X41" s="14">
        <f>IF(VLOOKUP(B41,Data!$A:$AN,MATCH(yoy!$X$1,Data!$A$1:$AN$1,),)=0,"#N/A",(((VLOOKUP(B41,Data!$A:$AN,MATCH(yoy!$X$1,Data!$A$1:$AN$1,),)-VLOOKUP(A41,Data!$A:$AN,MATCH(yoy!$X$1,Data!$A$1:$AN$1,),))/VLOOKUP(A41,Data!$A:$AN,MATCH(yoy!$X$1,Data!$A$1:$AN$1,),))+1)^12-1)</f>
        <v/>
      </c>
      <c r="Y41" s="14">
        <f>IF(VLOOKUP(B41,Data!$A:$AN,MATCH(yoy!$Y$1,Data!$A$1:$AN$1,),)=0,"#N/A",(((VLOOKUP(B41,Data!$A:$AN,MATCH(yoy!$Y$1,Data!$A$1:$AN$1,),)-VLOOKUP(A41,Data!$A:$AN,MATCH(yoy!$Y$1,Data!$A$1:$AN$1,),))/VLOOKUP(A41,Data!$A:$AN,MATCH(yoy!$Y$1,Data!$A$1:$AN$1,),))+1)^12-1)</f>
        <v/>
      </c>
      <c r="Z41" s="14">
        <f>IF(VLOOKUP(B41,Data!$A:$AN,MATCH(yoy!$Z$1,Data!$A$1:$AN$1,),)=0,"#N/A",(((VLOOKUP(B41,Data!$A:$AN,MATCH(yoy!$Z$1,Data!$A$1:$AN$1,),)-VLOOKUP(A41,Data!$A:$AN,MATCH(yoy!$Z$1,Data!$A$1:$AN$1,),))/VLOOKUP(A41,Data!$A:$AN,MATCH(yoy!$Z$1,Data!$A$1:$AN$1,),))+1)^12-1)</f>
        <v/>
      </c>
      <c r="AA41" s="14">
        <f>IF(VLOOKUP(B41,Data!$A:$AN,MATCH(yoy!$AA$1,Data!$A$1:$AN$1,),)=0,"#N/A",(((VLOOKUP(B41,Data!$A:$AN,MATCH(yoy!$AA$1,Data!$A$1:$AN$1,),)-VLOOKUP(A41,Data!$A:$AN,MATCH(yoy!$AA$1,Data!$A$1:$AN$1,),))/VLOOKUP(A41,Data!$A:$AN,MATCH(yoy!$AA$1,Data!$A$1:$AN$1,),))+1)^12-1)</f>
        <v/>
      </c>
    </row>
    <row r="42">
      <c r="A42" s="20">
        <f>DATE(YEAR(B42),MONTH(B42)-1,DAY(B42))</f>
        <v/>
      </c>
      <c r="B42" s="12" t="n">
        <v>43132</v>
      </c>
      <c r="C42" s="14">
        <f>IF(VLOOKUP(B42,Data!$A:$AN,MATCH(yoy!$C$1,Data!$A$1:$AN$1,),)=0,"#N/A",(((VLOOKUP(B42,Data!$A:$AN,MATCH(yoy!$C$1,Data!$A$1:$AN$1,),)-VLOOKUP(A42,Data!$A:$AN,MATCH(yoy!$C$1,Data!$A$1:$AN$1,),))/VLOOKUP(A42,Data!$A:$AN,MATCH(yoy!$C$1,Data!$A$1:$AN$1,),))+1)^12-1)</f>
        <v/>
      </c>
      <c r="D42" s="14">
        <f>IF(VLOOKUP(B42,Data!$A:$AN,MATCH(yoy!$D$1,Data!$A$1:$AN$1,),)=0,"#N/A",(((VLOOKUP(B42,Data!$A:$AN,MATCH(yoy!$D$1,Data!$A$1:$AN$1,),)-VLOOKUP(A42,Data!$A:$AN,MATCH(yoy!$D$1,Data!$A$1:$AN$1,),))/VLOOKUP(A42,Data!$A:$AN,MATCH(yoy!$D$1,Data!$A$1:$AN$1,),))+1)^12-1)</f>
        <v/>
      </c>
      <c r="E42" s="14">
        <f>IF(VLOOKUP(B42,Data!$A:$AN,MATCH(yoy!$E$1,Data!$A$1:$AN$1,),)=0,"#N/A",(((VLOOKUP(B42,Data!$A:$AN,MATCH(yoy!$E$1,Data!$A$1:$AN$1,),)-VLOOKUP(A42,Data!$A:$AN,MATCH(yoy!$E$1,Data!$A$1:$AN$1,),))/VLOOKUP(A42,Data!$A:$AN,MATCH(yoy!$E$1,Data!$A$1:$AN$1,),))+1)^12-1)</f>
        <v/>
      </c>
      <c r="F42" s="14">
        <f>IF(VLOOKUP(B42,Data!$A:$AN,MATCH(yoy!$F$1,Data!$A$1:$AN$1,),)=0,"#N/A",(((VLOOKUP(B42,Data!$A:$AN,MATCH(yoy!$F$1,Data!$A$1:$AN$1,),)-VLOOKUP(A42,Data!$A:$AN,MATCH(yoy!$F$1,Data!$A$1:$AN$1,),))/VLOOKUP(A42,Data!$A:$AN,MATCH(yoy!$F$1,Data!$A$1:$AN$1,),))+1)^12-1)</f>
        <v/>
      </c>
      <c r="G42" s="14">
        <f>IF(VLOOKUP(B42,Data!$A:$AN,MATCH(yoy!$G$1,Data!$A$1:$AN$1,),)=0,"#N/A",(((VLOOKUP(B42,Data!$A:$AN,MATCH(yoy!$G$1,Data!$A$1:$AN$1,),)-VLOOKUP(A42,Data!$A:$AN,MATCH(yoy!$G$1,Data!$A$1:$AN$1,),))/VLOOKUP(A42,Data!$A:$AN,MATCH(yoy!$G$1,Data!$A$1:$AN$1,),))+1)^12-1)</f>
        <v/>
      </c>
      <c r="H42" s="14">
        <f>IF(VLOOKUP(B42,Data!$A:$AN,MATCH(yoy!$H$1,Data!$A$1:$AN$1,),)=0,"#N/A",(((VLOOKUP(B42,Data!$A:$AN,MATCH(yoy!$H$1,Data!$A$1:$AN$1,),)-VLOOKUP(A42,Data!$A:$AN,MATCH(yoy!$H$1,Data!$A$1:$AN$1,),))/VLOOKUP(A42,Data!$A:$AN,MATCH(yoy!$H$1,Data!$A$1:$AN$1,),))+1)^12-1)</f>
        <v/>
      </c>
      <c r="I42" s="14">
        <f>IF(VLOOKUP(B42,Data!$A:$AN,MATCH(yoy!$I$1,Data!$A$1:$AN$1,),)=0,"#N/A",(((VLOOKUP(B42,Data!$A:$AN,MATCH(yoy!$I$1,Data!$A$1:$AN$1,),)-VLOOKUP(A42,Data!$A:$AN,MATCH(yoy!$I$1,Data!$A$1:$AN$1,),))/VLOOKUP(A42,Data!$A:$AN,MATCH(yoy!$I$1,Data!$A$1:$AN$1,),))+1)^12-1)</f>
        <v/>
      </c>
      <c r="J42" s="14">
        <f>IF(VLOOKUP(B42,Data!$A:$AN,MATCH(yoy!$J$1,Data!$A$1:$AN$1,),)=0,"#N/A",(((VLOOKUP(B42,Data!$A:$AN,MATCH(yoy!$J$1,Data!$A$1:$AN$1,),)-VLOOKUP(A42,Data!$A:$AN,MATCH(yoy!$J$1,Data!$A$1:$AN$1,),))/VLOOKUP(A42,Data!$A:$AN,MATCH(yoy!$J$1,Data!$A$1:$AN$1,),))+1)^12-1)</f>
        <v/>
      </c>
      <c r="K42" s="14">
        <f>IF(VLOOKUP(B42,Data!$A:$AN,MATCH(yoy!$K$1,Data!$A$1:$AN$1,),)=0,"#N/A",(((VLOOKUP(B42,Data!$A:$AN,MATCH(yoy!$K$1,Data!$A$1:$AN$1,),)-VLOOKUP(A42,Data!$A:$AN,MATCH(yoy!$K$1,Data!$A$1:$AN$1,),))/VLOOKUP(A42,Data!$A:$AN,MATCH(yoy!$K$1,Data!$A$1:$AN$1,),))+1)^12-1)</f>
        <v/>
      </c>
      <c r="L42" s="14">
        <f>IF(VLOOKUP(B42,Data!$A:$AN,MATCH(yoy!$L$1,Data!$A$1:$AN$1,),)=0,"#N/A",(((VLOOKUP(B42,Data!$A:$AN,MATCH(yoy!$L$1,Data!$A$1:$AN$1,),)-VLOOKUP(A42,Data!$A:$AN,MATCH(yoy!$L$1,Data!$A$1:$AN$1,),))/VLOOKUP(A42,Data!$A:$AN,MATCH(yoy!$L$1,Data!$A$1:$AN$1,),))+1)^12-1)</f>
        <v/>
      </c>
      <c r="M42" s="14">
        <f>IF(VLOOKUP(B42,Data!$A:$AN,MATCH(yoy!$M$1,Data!$A$1:$AN$1,),)=0,"#N/A",(((VLOOKUP(B42,Data!$A:$AN,MATCH(yoy!$M$1,Data!$A$1:$AN$1,),)-VLOOKUP(A42,Data!$A:$AN,MATCH(yoy!$M$1,Data!$A$1:$AN$1,),))/VLOOKUP(A42,Data!$A:$AN,MATCH(yoy!$M$1,Data!$A$1:$AN$1,),))+1)^12-1)</f>
        <v/>
      </c>
      <c r="N42" s="14">
        <f>IF(VLOOKUP(B42,Data!$A:$AN,MATCH(yoy!$N$1,Data!$A$1:$AN$1,),)=0,"#N/A",(((VLOOKUP(B42,Data!$A:$AN,MATCH(yoy!$N$1,Data!$A$1:$AN$1,),)-VLOOKUP(A42,Data!$A:$AN,MATCH(yoy!$N$1,Data!$A$1:$AN$1,),))/VLOOKUP(A42,Data!$A:$AN,MATCH(yoy!$N$1,Data!$A$1:$AN$1,),))+1)^12-1)</f>
        <v/>
      </c>
      <c r="O42" s="14">
        <f>IF(VLOOKUP(B42,Data!$A:$AN,MATCH(yoy!$O$1,Data!$A$1:$AN$1,),)=0,"#N/A",(((VLOOKUP(B42,Data!$A:$AN,MATCH(yoy!$O$1,Data!$A$1:$AN$1,),)-VLOOKUP(A42,Data!$A:$AN,MATCH(yoy!$O$1,Data!$A$1:$AN$1,),))/VLOOKUP(A42,Data!$A:$AN,MATCH(yoy!$O$1,Data!$A$1:$AN$1,),))+1)^12-1)</f>
        <v/>
      </c>
      <c r="P42" s="14">
        <f>IF(VLOOKUP(B42,Data!$A:$AN,MATCH(yoy!$P$1,Data!$A$1:$AN$1,),)=0,"#N/A",(((VLOOKUP(B42,Data!$A:$AN,MATCH(yoy!$P$1,Data!$A$1:$AN$1,),)-VLOOKUP(A42,Data!$A:$AN,MATCH(yoy!$P$1,Data!$A$1:$AN$1,),))/VLOOKUP(A42,Data!$A:$AN,MATCH(yoy!$P$1,Data!$A$1:$AN$1,),))+1)^12-1)</f>
        <v/>
      </c>
      <c r="Q42" s="14">
        <f>IF(VLOOKUP(B42,Data!$A:$AN,MATCH(yoy!$Q$1,Data!$A$1:$AN$1,),)=0,"#N/A",(((VLOOKUP(B42,Data!$A:$AN,MATCH(yoy!$Q$1,Data!$A$1:$AN$1,),)-VLOOKUP(A42,Data!$A:$AN,MATCH(yoy!$Q$1,Data!$A$1:$AN$1,),))/VLOOKUP(A42,Data!$A:$AN,MATCH(yoy!$Q$1,Data!$A$1:$AN$1,),))+1)^12-1)</f>
        <v/>
      </c>
      <c r="R42" s="14">
        <f>IF(VLOOKUP(B42,Data!$A:$AN,MATCH(yoy!$R$1,Data!$A$1:$AN$1,),)=0,"#N/A",(((VLOOKUP(B42,Data!$A:$AN,MATCH(yoy!$R$1,Data!$A$1:$AN$1,),)-VLOOKUP(A42,Data!$A:$AN,MATCH(yoy!$R$1,Data!$A$1:$AN$1,),))/VLOOKUP(A42,Data!$A:$AN,MATCH(yoy!$R$1,Data!$A$1:$AN$1,),))+1)^12-1)</f>
        <v/>
      </c>
      <c r="S42" s="14">
        <f>IF(VLOOKUP(B42,Data!$A:$AN,MATCH(yoy!$S$1,Data!$A$1:$AN$1,),)=0,"#N/A",(((VLOOKUP(B42,Data!$A:$AN,MATCH(yoy!$S$1,Data!$A$1:$AN$1,),)-VLOOKUP(A42,Data!$A:$AN,MATCH(yoy!$S$1,Data!$A$1:$AN$1,),))/VLOOKUP(A42,Data!$A:$AN,MATCH(yoy!$S$1,Data!$A$1:$AN$1,),))+1)^12-1)</f>
        <v/>
      </c>
      <c r="T42" s="14">
        <f>IF(VLOOKUP(B42,Data!$A:$AN,MATCH(yoy!$T$1,Data!$A$1:$AN$1,),)=0,"#N/A",(((VLOOKUP(B42,Data!$A:$AN,MATCH(yoy!$T$1,Data!$A$1:$AN$1,),)-VLOOKUP(A42,Data!$A:$AN,MATCH(yoy!$T$1,Data!$A$1:$AN$1,),))/VLOOKUP(A42,Data!$A:$AN,MATCH(yoy!$T$1,Data!$A$1:$AN$1,),))+1)^12-1)</f>
        <v/>
      </c>
      <c r="U42" s="14">
        <f>IF(VLOOKUP(B42,Data!$A:$AN,MATCH(yoy!$U$1,Data!$A$1:$AN$1,),)=0,"#N/A",(((VLOOKUP(B42,Data!$A:$AN,MATCH(yoy!$U$1,Data!$A$1:$AN$1,),)-VLOOKUP(A42,Data!$A:$AN,MATCH(yoy!$U$1,Data!$A$1:$AN$1,),))/VLOOKUP(A42,Data!$A:$AN,MATCH(yoy!$U$1,Data!$A$1:$AN$1,),))+1)^12-1)</f>
        <v/>
      </c>
      <c r="V42" s="14">
        <f>IF(VLOOKUP(B42,Data!$A:$AN,MATCH(yoy!$V$1,Data!$A$1:$AN$1,),)=0,"#N/A",(((VLOOKUP(B42,Data!$A:$AN,MATCH(yoy!$V$1,Data!$A$1:$AN$1,),)-VLOOKUP(A42,Data!$A:$AN,MATCH(yoy!$V$1,Data!$A$1:$AN$1,),))/VLOOKUP(A42,Data!$A:$AN,MATCH(yoy!$V$1,Data!$A$1:$AN$1,),))+1)^12-1)</f>
        <v/>
      </c>
      <c r="W42" s="14">
        <f>IF(VLOOKUP(B42,Data!$A:$AN,MATCH(yoy!$W$1,Data!$A$1:$AN$1,),)=0,"#N/A",(((VLOOKUP(B42,Data!$A:$AN,MATCH(yoy!$W$1,Data!$A$1:$AN$1,),)-VLOOKUP(A42,Data!$A:$AN,MATCH(yoy!$W$1,Data!$A$1:$AN$1,),))/VLOOKUP(A42,Data!$A:$AN,MATCH(yoy!$W$1,Data!$A$1:$AN$1,),))+1)^12-1)</f>
        <v/>
      </c>
      <c r="X42" s="14">
        <f>IF(VLOOKUP(B42,Data!$A:$AN,MATCH(yoy!$X$1,Data!$A$1:$AN$1,),)=0,"#N/A",(((VLOOKUP(B42,Data!$A:$AN,MATCH(yoy!$X$1,Data!$A$1:$AN$1,),)-VLOOKUP(A42,Data!$A:$AN,MATCH(yoy!$X$1,Data!$A$1:$AN$1,),))/VLOOKUP(A42,Data!$A:$AN,MATCH(yoy!$X$1,Data!$A$1:$AN$1,),))+1)^12-1)</f>
        <v/>
      </c>
      <c r="Y42" s="14">
        <f>IF(VLOOKUP(B42,Data!$A:$AN,MATCH(yoy!$Y$1,Data!$A$1:$AN$1,),)=0,"#N/A",(((VLOOKUP(B42,Data!$A:$AN,MATCH(yoy!$Y$1,Data!$A$1:$AN$1,),)-VLOOKUP(A42,Data!$A:$AN,MATCH(yoy!$Y$1,Data!$A$1:$AN$1,),))/VLOOKUP(A42,Data!$A:$AN,MATCH(yoy!$Y$1,Data!$A$1:$AN$1,),))+1)^12-1)</f>
        <v/>
      </c>
      <c r="Z42" s="14">
        <f>IF(VLOOKUP(B42,Data!$A:$AN,MATCH(yoy!$Z$1,Data!$A$1:$AN$1,),)=0,"#N/A",(((VLOOKUP(B42,Data!$A:$AN,MATCH(yoy!$Z$1,Data!$A$1:$AN$1,),)-VLOOKUP(A42,Data!$A:$AN,MATCH(yoy!$Z$1,Data!$A$1:$AN$1,),))/VLOOKUP(A42,Data!$A:$AN,MATCH(yoy!$Z$1,Data!$A$1:$AN$1,),))+1)^12-1)</f>
        <v/>
      </c>
      <c r="AA42" s="14">
        <f>IF(VLOOKUP(B42,Data!$A:$AN,MATCH(yoy!$AA$1,Data!$A$1:$AN$1,),)=0,"#N/A",(((VLOOKUP(B42,Data!$A:$AN,MATCH(yoy!$AA$1,Data!$A$1:$AN$1,),)-VLOOKUP(A42,Data!$A:$AN,MATCH(yoy!$AA$1,Data!$A$1:$AN$1,),))/VLOOKUP(A42,Data!$A:$AN,MATCH(yoy!$AA$1,Data!$A$1:$AN$1,),))+1)^12-1)</f>
        <v/>
      </c>
    </row>
    <row r="43">
      <c r="A43" s="20">
        <f>DATE(YEAR(B43),MONTH(B43)-1,DAY(B43))</f>
        <v/>
      </c>
      <c r="B43" s="12" t="n">
        <v>43160</v>
      </c>
      <c r="C43" s="14">
        <f>IF(VLOOKUP(B43,Data!$A:$AN,MATCH(yoy!$C$1,Data!$A$1:$AN$1,),)=0,"#N/A",(((VLOOKUP(B43,Data!$A:$AN,MATCH(yoy!$C$1,Data!$A$1:$AN$1,),)-VLOOKUP(A43,Data!$A:$AN,MATCH(yoy!$C$1,Data!$A$1:$AN$1,),))/VLOOKUP(A43,Data!$A:$AN,MATCH(yoy!$C$1,Data!$A$1:$AN$1,),))+1)^12-1)</f>
        <v/>
      </c>
      <c r="D43" s="14">
        <f>IF(VLOOKUP(B43,Data!$A:$AN,MATCH(yoy!$D$1,Data!$A$1:$AN$1,),)=0,"#N/A",(((VLOOKUP(B43,Data!$A:$AN,MATCH(yoy!$D$1,Data!$A$1:$AN$1,),)-VLOOKUP(A43,Data!$A:$AN,MATCH(yoy!$D$1,Data!$A$1:$AN$1,),))/VLOOKUP(A43,Data!$A:$AN,MATCH(yoy!$D$1,Data!$A$1:$AN$1,),))+1)^12-1)</f>
        <v/>
      </c>
      <c r="E43" s="14">
        <f>IF(VLOOKUP(B43,Data!$A:$AN,MATCH(yoy!$E$1,Data!$A$1:$AN$1,),)=0,"#N/A",(((VLOOKUP(B43,Data!$A:$AN,MATCH(yoy!$E$1,Data!$A$1:$AN$1,),)-VLOOKUP(A43,Data!$A:$AN,MATCH(yoy!$E$1,Data!$A$1:$AN$1,),))/VLOOKUP(A43,Data!$A:$AN,MATCH(yoy!$E$1,Data!$A$1:$AN$1,),))+1)^12-1)</f>
        <v/>
      </c>
      <c r="F43" s="14">
        <f>IF(VLOOKUP(B43,Data!$A:$AN,MATCH(yoy!$F$1,Data!$A$1:$AN$1,),)=0,"#N/A",(((VLOOKUP(B43,Data!$A:$AN,MATCH(yoy!$F$1,Data!$A$1:$AN$1,),)-VLOOKUP(A43,Data!$A:$AN,MATCH(yoy!$F$1,Data!$A$1:$AN$1,),))/VLOOKUP(A43,Data!$A:$AN,MATCH(yoy!$F$1,Data!$A$1:$AN$1,),))+1)^12-1)</f>
        <v/>
      </c>
      <c r="G43" s="14">
        <f>IF(VLOOKUP(B43,Data!$A:$AN,MATCH(yoy!$G$1,Data!$A$1:$AN$1,),)=0,"#N/A",(((VLOOKUP(B43,Data!$A:$AN,MATCH(yoy!$G$1,Data!$A$1:$AN$1,),)-VLOOKUP(A43,Data!$A:$AN,MATCH(yoy!$G$1,Data!$A$1:$AN$1,),))/VLOOKUP(A43,Data!$A:$AN,MATCH(yoy!$G$1,Data!$A$1:$AN$1,),))+1)^12-1)</f>
        <v/>
      </c>
      <c r="H43" s="14">
        <f>IF(VLOOKUP(B43,Data!$A:$AN,MATCH(yoy!$H$1,Data!$A$1:$AN$1,),)=0,"#N/A",(((VLOOKUP(B43,Data!$A:$AN,MATCH(yoy!$H$1,Data!$A$1:$AN$1,),)-VLOOKUP(A43,Data!$A:$AN,MATCH(yoy!$H$1,Data!$A$1:$AN$1,),))/VLOOKUP(A43,Data!$A:$AN,MATCH(yoy!$H$1,Data!$A$1:$AN$1,),))+1)^12-1)</f>
        <v/>
      </c>
      <c r="I43" s="14">
        <f>IF(VLOOKUP(B43,Data!$A:$AN,MATCH(yoy!$I$1,Data!$A$1:$AN$1,),)=0,"#N/A",(((VLOOKUP(B43,Data!$A:$AN,MATCH(yoy!$I$1,Data!$A$1:$AN$1,),)-VLOOKUP(A43,Data!$A:$AN,MATCH(yoy!$I$1,Data!$A$1:$AN$1,),))/VLOOKUP(A43,Data!$A:$AN,MATCH(yoy!$I$1,Data!$A$1:$AN$1,),))+1)^12-1)</f>
        <v/>
      </c>
      <c r="J43" s="14">
        <f>IF(VLOOKUP(B43,Data!$A:$AN,MATCH(yoy!$J$1,Data!$A$1:$AN$1,),)=0,"#N/A",(((VLOOKUP(B43,Data!$A:$AN,MATCH(yoy!$J$1,Data!$A$1:$AN$1,),)-VLOOKUP(A43,Data!$A:$AN,MATCH(yoy!$J$1,Data!$A$1:$AN$1,),))/VLOOKUP(A43,Data!$A:$AN,MATCH(yoy!$J$1,Data!$A$1:$AN$1,),))+1)^12-1)</f>
        <v/>
      </c>
      <c r="K43" s="14">
        <f>IF(VLOOKUP(B43,Data!$A:$AN,MATCH(yoy!$K$1,Data!$A$1:$AN$1,),)=0,"#N/A",(((VLOOKUP(B43,Data!$A:$AN,MATCH(yoy!$K$1,Data!$A$1:$AN$1,),)-VLOOKUP(A43,Data!$A:$AN,MATCH(yoy!$K$1,Data!$A$1:$AN$1,),))/VLOOKUP(A43,Data!$A:$AN,MATCH(yoy!$K$1,Data!$A$1:$AN$1,),))+1)^12-1)</f>
        <v/>
      </c>
      <c r="L43" s="14">
        <f>IF(VLOOKUP(B43,Data!$A:$AN,MATCH(yoy!$L$1,Data!$A$1:$AN$1,),)=0,"#N/A",(((VLOOKUP(B43,Data!$A:$AN,MATCH(yoy!$L$1,Data!$A$1:$AN$1,),)-VLOOKUP(A43,Data!$A:$AN,MATCH(yoy!$L$1,Data!$A$1:$AN$1,),))/VLOOKUP(A43,Data!$A:$AN,MATCH(yoy!$L$1,Data!$A$1:$AN$1,),))+1)^12-1)</f>
        <v/>
      </c>
      <c r="M43" s="14">
        <f>IF(VLOOKUP(B43,Data!$A:$AN,MATCH(yoy!$M$1,Data!$A$1:$AN$1,),)=0,"#N/A",(((VLOOKUP(B43,Data!$A:$AN,MATCH(yoy!$M$1,Data!$A$1:$AN$1,),)-VLOOKUP(A43,Data!$A:$AN,MATCH(yoy!$M$1,Data!$A$1:$AN$1,),))/VLOOKUP(A43,Data!$A:$AN,MATCH(yoy!$M$1,Data!$A$1:$AN$1,),))+1)^12-1)</f>
        <v/>
      </c>
      <c r="N43" s="14">
        <f>IF(VLOOKUP(B43,Data!$A:$AN,MATCH(yoy!$N$1,Data!$A$1:$AN$1,),)=0,"#N/A",(((VLOOKUP(B43,Data!$A:$AN,MATCH(yoy!$N$1,Data!$A$1:$AN$1,),)-VLOOKUP(A43,Data!$A:$AN,MATCH(yoy!$N$1,Data!$A$1:$AN$1,),))/VLOOKUP(A43,Data!$A:$AN,MATCH(yoy!$N$1,Data!$A$1:$AN$1,),))+1)^12-1)</f>
        <v/>
      </c>
      <c r="O43" s="14">
        <f>IF(VLOOKUP(B43,Data!$A:$AN,MATCH(yoy!$O$1,Data!$A$1:$AN$1,),)=0,"#N/A",(((VLOOKUP(B43,Data!$A:$AN,MATCH(yoy!$O$1,Data!$A$1:$AN$1,),)-VLOOKUP(A43,Data!$A:$AN,MATCH(yoy!$O$1,Data!$A$1:$AN$1,),))/VLOOKUP(A43,Data!$A:$AN,MATCH(yoy!$O$1,Data!$A$1:$AN$1,),))+1)^12-1)</f>
        <v/>
      </c>
      <c r="P43" s="14">
        <f>IF(VLOOKUP(B43,Data!$A:$AN,MATCH(yoy!$P$1,Data!$A$1:$AN$1,),)=0,"#N/A",(((VLOOKUP(B43,Data!$A:$AN,MATCH(yoy!$P$1,Data!$A$1:$AN$1,),)-VLOOKUP(A43,Data!$A:$AN,MATCH(yoy!$P$1,Data!$A$1:$AN$1,),))/VLOOKUP(A43,Data!$A:$AN,MATCH(yoy!$P$1,Data!$A$1:$AN$1,),))+1)^12-1)</f>
        <v/>
      </c>
      <c r="Q43" s="14">
        <f>IF(VLOOKUP(B43,Data!$A:$AN,MATCH(yoy!$Q$1,Data!$A$1:$AN$1,),)=0,"#N/A",(((VLOOKUP(B43,Data!$A:$AN,MATCH(yoy!$Q$1,Data!$A$1:$AN$1,),)-VLOOKUP(A43,Data!$A:$AN,MATCH(yoy!$Q$1,Data!$A$1:$AN$1,),))/VLOOKUP(A43,Data!$A:$AN,MATCH(yoy!$Q$1,Data!$A$1:$AN$1,),))+1)^12-1)</f>
        <v/>
      </c>
      <c r="R43" s="14">
        <f>IF(VLOOKUP(B43,Data!$A:$AN,MATCH(yoy!$R$1,Data!$A$1:$AN$1,),)=0,"#N/A",(((VLOOKUP(B43,Data!$A:$AN,MATCH(yoy!$R$1,Data!$A$1:$AN$1,),)-VLOOKUP(A43,Data!$A:$AN,MATCH(yoy!$R$1,Data!$A$1:$AN$1,),))/VLOOKUP(A43,Data!$A:$AN,MATCH(yoy!$R$1,Data!$A$1:$AN$1,),))+1)^12-1)</f>
        <v/>
      </c>
      <c r="S43" s="14">
        <f>IF(VLOOKUP(B43,Data!$A:$AN,MATCH(yoy!$S$1,Data!$A$1:$AN$1,),)=0,"#N/A",(((VLOOKUP(B43,Data!$A:$AN,MATCH(yoy!$S$1,Data!$A$1:$AN$1,),)-VLOOKUP(A43,Data!$A:$AN,MATCH(yoy!$S$1,Data!$A$1:$AN$1,),))/VLOOKUP(A43,Data!$A:$AN,MATCH(yoy!$S$1,Data!$A$1:$AN$1,),))+1)^12-1)</f>
        <v/>
      </c>
      <c r="T43" s="14">
        <f>IF(VLOOKUP(B43,Data!$A:$AN,MATCH(yoy!$T$1,Data!$A$1:$AN$1,),)=0,"#N/A",(((VLOOKUP(B43,Data!$A:$AN,MATCH(yoy!$T$1,Data!$A$1:$AN$1,),)-VLOOKUP(A43,Data!$A:$AN,MATCH(yoy!$T$1,Data!$A$1:$AN$1,),))/VLOOKUP(A43,Data!$A:$AN,MATCH(yoy!$T$1,Data!$A$1:$AN$1,),))+1)^12-1)</f>
        <v/>
      </c>
      <c r="U43" s="14">
        <f>IF(VLOOKUP(B43,Data!$A:$AN,MATCH(yoy!$U$1,Data!$A$1:$AN$1,),)=0,"#N/A",(((VLOOKUP(B43,Data!$A:$AN,MATCH(yoy!$U$1,Data!$A$1:$AN$1,),)-VLOOKUP(A43,Data!$A:$AN,MATCH(yoy!$U$1,Data!$A$1:$AN$1,),))/VLOOKUP(A43,Data!$A:$AN,MATCH(yoy!$U$1,Data!$A$1:$AN$1,),))+1)^12-1)</f>
        <v/>
      </c>
      <c r="V43" s="14">
        <f>IF(VLOOKUP(B43,Data!$A:$AN,MATCH(yoy!$V$1,Data!$A$1:$AN$1,),)=0,"#N/A",(((VLOOKUP(B43,Data!$A:$AN,MATCH(yoy!$V$1,Data!$A$1:$AN$1,),)-VLOOKUP(A43,Data!$A:$AN,MATCH(yoy!$V$1,Data!$A$1:$AN$1,),))/VLOOKUP(A43,Data!$A:$AN,MATCH(yoy!$V$1,Data!$A$1:$AN$1,),))+1)^12-1)</f>
        <v/>
      </c>
      <c r="W43" s="14">
        <f>IF(VLOOKUP(B43,Data!$A:$AN,MATCH(yoy!$W$1,Data!$A$1:$AN$1,),)=0,"#N/A",(((VLOOKUP(B43,Data!$A:$AN,MATCH(yoy!$W$1,Data!$A$1:$AN$1,),)-VLOOKUP(A43,Data!$A:$AN,MATCH(yoy!$W$1,Data!$A$1:$AN$1,),))/VLOOKUP(A43,Data!$A:$AN,MATCH(yoy!$W$1,Data!$A$1:$AN$1,),))+1)^12-1)</f>
        <v/>
      </c>
      <c r="X43" s="14">
        <f>IF(VLOOKUP(B43,Data!$A:$AN,MATCH(yoy!$X$1,Data!$A$1:$AN$1,),)=0,"#N/A",(((VLOOKUP(B43,Data!$A:$AN,MATCH(yoy!$X$1,Data!$A$1:$AN$1,),)-VLOOKUP(A43,Data!$A:$AN,MATCH(yoy!$X$1,Data!$A$1:$AN$1,),))/VLOOKUP(A43,Data!$A:$AN,MATCH(yoy!$X$1,Data!$A$1:$AN$1,),))+1)^12-1)</f>
        <v/>
      </c>
      <c r="Y43" s="14">
        <f>IF(VLOOKUP(B43,Data!$A:$AN,MATCH(yoy!$Y$1,Data!$A$1:$AN$1,),)=0,"#N/A",(((VLOOKUP(B43,Data!$A:$AN,MATCH(yoy!$Y$1,Data!$A$1:$AN$1,),)-VLOOKUP(A43,Data!$A:$AN,MATCH(yoy!$Y$1,Data!$A$1:$AN$1,),))/VLOOKUP(A43,Data!$A:$AN,MATCH(yoy!$Y$1,Data!$A$1:$AN$1,),))+1)^12-1)</f>
        <v/>
      </c>
      <c r="Z43" s="14">
        <f>IF(VLOOKUP(B43,Data!$A:$AN,MATCH(yoy!$Z$1,Data!$A$1:$AN$1,),)=0,"#N/A",(((VLOOKUP(B43,Data!$A:$AN,MATCH(yoy!$Z$1,Data!$A$1:$AN$1,),)-VLOOKUP(A43,Data!$A:$AN,MATCH(yoy!$Z$1,Data!$A$1:$AN$1,),))/VLOOKUP(A43,Data!$A:$AN,MATCH(yoy!$Z$1,Data!$A$1:$AN$1,),))+1)^12-1)</f>
        <v/>
      </c>
      <c r="AA43" s="14">
        <f>IF(VLOOKUP(B43,Data!$A:$AN,MATCH(yoy!$AA$1,Data!$A$1:$AN$1,),)=0,"#N/A",(((VLOOKUP(B43,Data!$A:$AN,MATCH(yoy!$AA$1,Data!$A$1:$AN$1,),)-VLOOKUP(A43,Data!$A:$AN,MATCH(yoy!$AA$1,Data!$A$1:$AN$1,),))/VLOOKUP(A43,Data!$A:$AN,MATCH(yoy!$AA$1,Data!$A$1:$AN$1,),))+1)^12-1)</f>
        <v/>
      </c>
    </row>
    <row r="44">
      <c r="A44" s="20">
        <f>DATE(YEAR(B44),MONTH(B44)-1,DAY(B44))</f>
        <v/>
      </c>
      <c r="B44" s="12" t="n">
        <v>43191</v>
      </c>
      <c r="C44" s="14">
        <f>IF(VLOOKUP(B44,Data!$A:$AN,MATCH(yoy!$C$1,Data!$A$1:$AN$1,),)=0,"#N/A",(((VLOOKUP(B44,Data!$A:$AN,MATCH(yoy!$C$1,Data!$A$1:$AN$1,),)-VLOOKUP(A44,Data!$A:$AN,MATCH(yoy!$C$1,Data!$A$1:$AN$1,),))/VLOOKUP(A44,Data!$A:$AN,MATCH(yoy!$C$1,Data!$A$1:$AN$1,),))+1)^12-1)</f>
        <v/>
      </c>
      <c r="D44" s="14">
        <f>IF(VLOOKUP(B44,Data!$A:$AN,MATCH(yoy!$D$1,Data!$A$1:$AN$1,),)=0,"#N/A",(((VLOOKUP(B44,Data!$A:$AN,MATCH(yoy!$D$1,Data!$A$1:$AN$1,),)-VLOOKUP(A44,Data!$A:$AN,MATCH(yoy!$D$1,Data!$A$1:$AN$1,),))/VLOOKUP(A44,Data!$A:$AN,MATCH(yoy!$D$1,Data!$A$1:$AN$1,),))+1)^12-1)</f>
        <v/>
      </c>
      <c r="E44" s="14">
        <f>IF(VLOOKUP(B44,Data!$A:$AN,MATCH(yoy!$E$1,Data!$A$1:$AN$1,),)=0,"#N/A",(((VLOOKUP(B44,Data!$A:$AN,MATCH(yoy!$E$1,Data!$A$1:$AN$1,),)-VLOOKUP(A44,Data!$A:$AN,MATCH(yoy!$E$1,Data!$A$1:$AN$1,),))/VLOOKUP(A44,Data!$A:$AN,MATCH(yoy!$E$1,Data!$A$1:$AN$1,),))+1)^12-1)</f>
        <v/>
      </c>
      <c r="F44" s="14">
        <f>IF(VLOOKUP(B44,Data!$A:$AN,MATCH(yoy!$F$1,Data!$A$1:$AN$1,),)=0,"#N/A",(((VLOOKUP(B44,Data!$A:$AN,MATCH(yoy!$F$1,Data!$A$1:$AN$1,),)-VLOOKUP(A44,Data!$A:$AN,MATCH(yoy!$F$1,Data!$A$1:$AN$1,),))/VLOOKUP(A44,Data!$A:$AN,MATCH(yoy!$F$1,Data!$A$1:$AN$1,),))+1)^12-1)</f>
        <v/>
      </c>
      <c r="G44" s="14">
        <f>IF(VLOOKUP(B44,Data!$A:$AN,MATCH(yoy!$G$1,Data!$A$1:$AN$1,),)=0,"#N/A",(((VLOOKUP(B44,Data!$A:$AN,MATCH(yoy!$G$1,Data!$A$1:$AN$1,),)-VLOOKUP(A44,Data!$A:$AN,MATCH(yoy!$G$1,Data!$A$1:$AN$1,),))/VLOOKUP(A44,Data!$A:$AN,MATCH(yoy!$G$1,Data!$A$1:$AN$1,),))+1)^12-1)</f>
        <v/>
      </c>
      <c r="H44" s="14">
        <f>IF(VLOOKUP(B44,Data!$A:$AN,MATCH(yoy!$H$1,Data!$A$1:$AN$1,),)=0,"#N/A",(((VLOOKUP(B44,Data!$A:$AN,MATCH(yoy!$H$1,Data!$A$1:$AN$1,),)-VLOOKUP(A44,Data!$A:$AN,MATCH(yoy!$H$1,Data!$A$1:$AN$1,),))/VLOOKUP(A44,Data!$A:$AN,MATCH(yoy!$H$1,Data!$A$1:$AN$1,),))+1)^12-1)</f>
        <v/>
      </c>
      <c r="I44" s="14">
        <f>IF(VLOOKUP(B44,Data!$A:$AN,MATCH(yoy!$I$1,Data!$A$1:$AN$1,),)=0,"#N/A",(((VLOOKUP(B44,Data!$A:$AN,MATCH(yoy!$I$1,Data!$A$1:$AN$1,),)-VLOOKUP(A44,Data!$A:$AN,MATCH(yoy!$I$1,Data!$A$1:$AN$1,),))/VLOOKUP(A44,Data!$A:$AN,MATCH(yoy!$I$1,Data!$A$1:$AN$1,),))+1)^12-1)</f>
        <v/>
      </c>
      <c r="J44" s="14">
        <f>IF(VLOOKUP(B44,Data!$A:$AN,MATCH(yoy!$J$1,Data!$A$1:$AN$1,),)=0,"#N/A",(((VLOOKUP(B44,Data!$A:$AN,MATCH(yoy!$J$1,Data!$A$1:$AN$1,),)-VLOOKUP(A44,Data!$A:$AN,MATCH(yoy!$J$1,Data!$A$1:$AN$1,),))/VLOOKUP(A44,Data!$A:$AN,MATCH(yoy!$J$1,Data!$A$1:$AN$1,),))+1)^12-1)</f>
        <v/>
      </c>
      <c r="K44" s="14">
        <f>IF(VLOOKUP(B44,Data!$A:$AN,MATCH(yoy!$K$1,Data!$A$1:$AN$1,),)=0,"#N/A",(((VLOOKUP(B44,Data!$A:$AN,MATCH(yoy!$K$1,Data!$A$1:$AN$1,),)-VLOOKUP(A44,Data!$A:$AN,MATCH(yoy!$K$1,Data!$A$1:$AN$1,),))/VLOOKUP(A44,Data!$A:$AN,MATCH(yoy!$K$1,Data!$A$1:$AN$1,),))+1)^12-1)</f>
        <v/>
      </c>
      <c r="L44" s="14">
        <f>IF(VLOOKUP(B44,Data!$A:$AN,MATCH(yoy!$L$1,Data!$A$1:$AN$1,),)=0,"#N/A",(((VLOOKUP(B44,Data!$A:$AN,MATCH(yoy!$L$1,Data!$A$1:$AN$1,),)-VLOOKUP(A44,Data!$A:$AN,MATCH(yoy!$L$1,Data!$A$1:$AN$1,),))/VLOOKUP(A44,Data!$A:$AN,MATCH(yoy!$L$1,Data!$A$1:$AN$1,),))+1)^12-1)</f>
        <v/>
      </c>
      <c r="M44" s="14">
        <f>IF(VLOOKUP(B44,Data!$A:$AN,MATCH(yoy!$M$1,Data!$A$1:$AN$1,),)=0,"#N/A",(((VLOOKUP(B44,Data!$A:$AN,MATCH(yoy!$M$1,Data!$A$1:$AN$1,),)-VLOOKUP(A44,Data!$A:$AN,MATCH(yoy!$M$1,Data!$A$1:$AN$1,),))/VLOOKUP(A44,Data!$A:$AN,MATCH(yoy!$M$1,Data!$A$1:$AN$1,),))+1)^12-1)</f>
        <v/>
      </c>
      <c r="N44" s="14">
        <f>IF(VLOOKUP(B44,Data!$A:$AN,MATCH(yoy!$N$1,Data!$A$1:$AN$1,),)=0,"#N/A",(((VLOOKUP(B44,Data!$A:$AN,MATCH(yoy!$N$1,Data!$A$1:$AN$1,),)-VLOOKUP(A44,Data!$A:$AN,MATCH(yoy!$N$1,Data!$A$1:$AN$1,),))/VLOOKUP(A44,Data!$A:$AN,MATCH(yoy!$N$1,Data!$A$1:$AN$1,),))+1)^12-1)</f>
        <v/>
      </c>
      <c r="O44" s="14">
        <f>IF(VLOOKUP(B44,Data!$A:$AN,MATCH(yoy!$O$1,Data!$A$1:$AN$1,),)=0,"#N/A",(((VLOOKUP(B44,Data!$A:$AN,MATCH(yoy!$O$1,Data!$A$1:$AN$1,),)-VLOOKUP(A44,Data!$A:$AN,MATCH(yoy!$O$1,Data!$A$1:$AN$1,),))/VLOOKUP(A44,Data!$A:$AN,MATCH(yoy!$O$1,Data!$A$1:$AN$1,),))+1)^12-1)</f>
        <v/>
      </c>
      <c r="P44" s="14">
        <f>IF(VLOOKUP(B44,Data!$A:$AN,MATCH(yoy!$P$1,Data!$A$1:$AN$1,),)=0,"#N/A",(((VLOOKUP(B44,Data!$A:$AN,MATCH(yoy!$P$1,Data!$A$1:$AN$1,),)-VLOOKUP(A44,Data!$A:$AN,MATCH(yoy!$P$1,Data!$A$1:$AN$1,),))/VLOOKUP(A44,Data!$A:$AN,MATCH(yoy!$P$1,Data!$A$1:$AN$1,),))+1)^12-1)</f>
        <v/>
      </c>
      <c r="Q44" s="14">
        <f>IF(VLOOKUP(B44,Data!$A:$AN,MATCH(yoy!$Q$1,Data!$A$1:$AN$1,),)=0,"#N/A",(((VLOOKUP(B44,Data!$A:$AN,MATCH(yoy!$Q$1,Data!$A$1:$AN$1,),)-VLOOKUP(A44,Data!$A:$AN,MATCH(yoy!$Q$1,Data!$A$1:$AN$1,),))/VLOOKUP(A44,Data!$A:$AN,MATCH(yoy!$Q$1,Data!$A$1:$AN$1,),))+1)^12-1)</f>
        <v/>
      </c>
      <c r="R44" s="14">
        <f>IF(VLOOKUP(B44,Data!$A:$AN,MATCH(yoy!$R$1,Data!$A$1:$AN$1,),)=0,"#N/A",(((VLOOKUP(B44,Data!$A:$AN,MATCH(yoy!$R$1,Data!$A$1:$AN$1,),)-VLOOKUP(A44,Data!$A:$AN,MATCH(yoy!$R$1,Data!$A$1:$AN$1,),))/VLOOKUP(A44,Data!$A:$AN,MATCH(yoy!$R$1,Data!$A$1:$AN$1,),))+1)^12-1)</f>
        <v/>
      </c>
      <c r="S44" s="14">
        <f>IF(VLOOKUP(B44,Data!$A:$AN,MATCH(yoy!$S$1,Data!$A$1:$AN$1,),)=0,"#N/A",(((VLOOKUP(B44,Data!$A:$AN,MATCH(yoy!$S$1,Data!$A$1:$AN$1,),)-VLOOKUP(A44,Data!$A:$AN,MATCH(yoy!$S$1,Data!$A$1:$AN$1,),))/VLOOKUP(A44,Data!$A:$AN,MATCH(yoy!$S$1,Data!$A$1:$AN$1,),))+1)^12-1)</f>
        <v/>
      </c>
      <c r="T44" s="14">
        <f>IF(VLOOKUP(B44,Data!$A:$AN,MATCH(yoy!$T$1,Data!$A$1:$AN$1,),)=0,"#N/A",(((VLOOKUP(B44,Data!$A:$AN,MATCH(yoy!$T$1,Data!$A$1:$AN$1,),)-VLOOKUP(A44,Data!$A:$AN,MATCH(yoy!$T$1,Data!$A$1:$AN$1,),))/VLOOKUP(A44,Data!$A:$AN,MATCH(yoy!$T$1,Data!$A$1:$AN$1,),))+1)^12-1)</f>
        <v/>
      </c>
      <c r="U44" s="14">
        <f>IF(VLOOKUP(B44,Data!$A:$AN,MATCH(yoy!$U$1,Data!$A$1:$AN$1,),)=0,"#N/A",(((VLOOKUP(B44,Data!$A:$AN,MATCH(yoy!$U$1,Data!$A$1:$AN$1,),)-VLOOKUP(A44,Data!$A:$AN,MATCH(yoy!$U$1,Data!$A$1:$AN$1,),))/VLOOKUP(A44,Data!$A:$AN,MATCH(yoy!$U$1,Data!$A$1:$AN$1,),))+1)^12-1)</f>
        <v/>
      </c>
      <c r="V44" s="14">
        <f>IF(VLOOKUP(B44,Data!$A:$AN,MATCH(yoy!$V$1,Data!$A$1:$AN$1,),)=0,"#N/A",(((VLOOKUP(B44,Data!$A:$AN,MATCH(yoy!$V$1,Data!$A$1:$AN$1,),)-VLOOKUP(A44,Data!$A:$AN,MATCH(yoy!$V$1,Data!$A$1:$AN$1,),))/VLOOKUP(A44,Data!$A:$AN,MATCH(yoy!$V$1,Data!$A$1:$AN$1,),))+1)^12-1)</f>
        <v/>
      </c>
      <c r="W44" s="14">
        <f>IF(VLOOKUP(B44,Data!$A:$AN,MATCH(yoy!$W$1,Data!$A$1:$AN$1,),)=0,"#N/A",(((VLOOKUP(B44,Data!$A:$AN,MATCH(yoy!$W$1,Data!$A$1:$AN$1,),)-VLOOKUP(A44,Data!$A:$AN,MATCH(yoy!$W$1,Data!$A$1:$AN$1,),))/VLOOKUP(A44,Data!$A:$AN,MATCH(yoy!$W$1,Data!$A$1:$AN$1,),))+1)^12-1)</f>
        <v/>
      </c>
      <c r="X44" s="14">
        <f>IF(VLOOKUP(B44,Data!$A:$AN,MATCH(yoy!$X$1,Data!$A$1:$AN$1,),)=0,"#N/A",(((VLOOKUP(B44,Data!$A:$AN,MATCH(yoy!$X$1,Data!$A$1:$AN$1,),)-VLOOKUP(A44,Data!$A:$AN,MATCH(yoy!$X$1,Data!$A$1:$AN$1,),))/VLOOKUP(A44,Data!$A:$AN,MATCH(yoy!$X$1,Data!$A$1:$AN$1,),))+1)^12-1)</f>
        <v/>
      </c>
      <c r="Y44" s="14">
        <f>IF(VLOOKUP(B44,Data!$A:$AN,MATCH(yoy!$Y$1,Data!$A$1:$AN$1,),)=0,"#N/A",(((VLOOKUP(B44,Data!$A:$AN,MATCH(yoy!$Y$1,Data!$A$1:$AN$1,),)-VLOOKUP(A44,Data!$A:$AN,MATCH(yoy!$Y$1,Data!$A$1:$AN$1,),))/VLOOKUP(A44,Data!$A:$AN,MATCH(yoy!$Y$1,Data!$A$1:$AN$1,),))+1)^12-1)</f>
        <v/>
      </c>
      <c r="Z44" s="14">
        <f>IF(VLOOKUP(B44,Data!$A:$AN,MATCH(yoy!$Z$1,Data!$A$1:$AN$1,),)=0,"#N/A",(((VLOOKUP(B44,Data!$A:$AN,MATCH(yoy!$Z$1,Data!$A$1:$AN$1,),)-VLOOKUP(A44,Data!$A:$AN,MATCH(yoy!$Z$1,Data!$A$1:$AN$1,),))/VLOOKUP(A44,Data!$A:$AN,MATCH(yoy!$Z$1,Data!$A$1:$AN$1,),))+1)^12-1)</f>
        <v/>
      </c>
      <c r="AA44" s="14">
        <f>IF(VLOOKUP(B44,Data!$A:$AN,MATCH(yoy!$AA$1,Data!$A$1:$AN$1,),)=0,"#N/A",(((VLOOKUP(B44,Data!$A:$AN,MATCH(yoy!$AA$1,Data!$A$1:$AN$1,),)-VLOOKUP(A44,Data!$A:$AN,MATCH(yoy!$AA$1,Data!$A$1:$AN$1,),))/VLOOKUP(A44,Data!$A:$AN,MATCH(yoy!$AA$1,Data!$A$1:$AN$1,),))+1)^12-1)</f>
        <v/>
      </c>
    </row>
    <row r="45" customFormat="1" s="77">
      <c r="A45" s="20">
        <f>DATE(YEAR(B45),MONTH(B45)-1,DAY(B45))</f>
        <v/>
      </c>
      <c r="B45" s="12" t="n">
        <v>43221</v>
      </c>
      <c r="C45" s="14">
        <f>IF(VLOOKUP(B45,Data!$A:$AN,MATCH(yoy!$C$1,Data!$A$1:$AN$1,),)=0,"#N/A",(((VLOOKUP(B45,Data!$A:$AN,MATCH(yoy!$C$1,Data!$A$1:$AN$1,),)-VLOOKUP(A45,Data!$A:$AN,MATCH(yoy!$C$1,Data!$A$1:$AN$1,),))/VLOOKUP(A45,Data!$A:$AN,MATCH(yoy!$C$1,Data!$A$1:$AN$1,),))+1)^12-1)</f>
        <v/>
      </c>
      <c r="D45" s="14">
        <f>IF(VLOOKUP(B45,Data!$A:$AN,MATCH(yoy!$D$1,Data!$A$1:$AN$1,),)=0,"#N/A",(((VLOOKUP(B45,Data!$A:$AN,MATCH(yoy!$D$1,Data!$A$1:$AN$1,),)-VLOOKUP(A45,Data!$A:$AN,MATCH(yoy!$D$1,Data!$A$1:$AN$1,),))/VLOOKUP(A45,Data!$A:$AN,MATCH(yoy!$D$1,Data!$A$1:$AN$1,),))+1)^12-1)</f>
        <v/>
      </c>
      <c r="E45" s="14">
        <f>IF(VLOOKUP(B45,Data!$A:$AN,MATCH(yoy!$E$1,Data!$A$1:$AN$1,),)=0,"#N/A",(((VLOOKUP(B45,Data!$A:$AN,MATCH(yoy!$E$1,Data!$A$1:$AN$1,),)-VLOOKUP(A45,Data!$A:$AN,MATCH(yoy!$E$1,Data!$A$1:$AN$1,),))/VLOOKUP(A45,Data!$A:$AN,MATCH(yoy!$E$1,Data!$A$1:$AN$1,),))+1)^12-1)</f>
        <v/>
      </c>
      <c r="F45" s="14">
        <f>IF(VLOOKUP(B45,Data!$A:$AN,MATCH(yoy!$F$1,Data!$A$1:$AN$1,),)=0,"#N/A",(((VLOOKUP(B45,Data!$A:$AN,MATCH(yoy!$F$1,Data!$A$1:$AN$1,),)-VLOOKUP(A45,Data!$A:$AN,MATCH(yoy!$F$1,Data!$A$1:$AN$1,),))/VLOOKUP(A45,Data!$A:$AN,MATCH(yoy!$F$1,Data!$A$1:$AN$1,),))+1)^12-1)</f>
        <v/>
      </c>
      <c r="G45" s="14">
        <f>IF(VLOOKUP(B45,Data!$A:$AN,MATCH(yoy!$G$1,Data!$A$1:$AN$1,),)=0,"#N/A",(((VLOOKUP(B45,Data!$A:$AN,MATCH(yoy!$G$1,Data!$A$1:$AN$1,),)-VLOOKUP(A45,Data!$A:$AN,MATCH(yoy!$G$1,Data!$A$1:$AN$1,),))/VLOOKUP(A45,Data!$A:$AN,MATCH(yoy!$G$1,Data!$A$1:$AN$1,),))+1)^12-1)</f>
        <v/>
      </c>
      <c r="H45" s="14">
        <f>IF(VLOOKUP(B45,Data!$A:$AN,MATCH(yoy!$H$1,Data!$A$1:$AN$1,),)=0,"#N/A",(((VLOOKUP(B45,Data!$A:$AN,MATCH(yoy!$H$1,Data!$A$1:$AN$1,),)-VLOOKUP(A45,Data!$A:$AN,MATCH(yoy!$H$1,Data!$A$1:$AN$1,),))/VLOOKUP(A45,Data!$A:$AN,MATCH(yoy!$H$1,Data!$A$1:$AN$1,),))+1)^12-1)</f>
        <v/>
      </c>
      <c r="I45" s="14">
        <f>IF(VLOOKUP(B45,Data!$A:$AN,MATCH(yoy!$I$1,Data!$A$1:$AN$1,),)=0,"#N/A",(((VLOOKUP(B45,Data!$A:$AN,MATCH(yoy!$I$1,Data!$A$1:$AN$1,),)-VLOOKUP(A45,Data!$A:$AN,MATCH(yoy!$I$1,Data!$A$1:$AN$1,),))/VLOOKUP(A45,Data!$A:$AN,MATCH(yoy!$I$1,Data!$A$1:$AN$1,),))+1)^12-1)</f>
        <v/>
      </c>
      <c r="J45" s="14">
        <f>IF(VLOOKUP(B45,Data!$A:$AN,MATCH(yoy!$J$1,Data!$A$1:$AN$1,),)=0,"#N/A",(((VLOOKUP(B45,Data!$A:$AN,MATCH(yoy!$J$1,Data!$A$1:$AN$1,),)-VLOOKUP(A45,Data!$A:$AN,MATCH(yoy!$J$1,Data!$A$1:$AN$1,),))/VLOOKUP(A45,Data!$A:$AN,MATCH(yoy!$J$1,Data!$A$1:$AN$1,),))+1)^12-1)</f>
        <v/>
      </c>
      <c r="K45" s="14">
        <f>IF(VLOOKUP(B45,Data!$A:$AN,MATCH(yoy!$K$1,Data!$A$1:$AN$1,),)=0,"#N/A",(((VLOOKUP(B45,Data!$A:$AN,MATCH(yoy!$K$1,Data!$A$1:$AN$1,),)-VLOOKUP(A45,Data!$A:$AN,MATCH(yoy!$K$1,Data!$A$1:$AN$1,),))/VLOOKUP(A45,Data!$A:$AN,MATCH(yoy!$K$1,Data!$A$1:$AN$1,),))+1)^12-1)</f>
        <v/>
      </c>
      <c r="L45" s="14">
        <f>IF(VLOOKUP(B45,Data!$A:$AN,MATCH(yoy!$L$1,Data!$A$1:$AN$1,),)=0,"#N/A",(((VLOOKUP(B45,Data!$A:$AN,MATCH(yoy!$L$1,Data!$A$1:$AN$1,),)-VLOOKUP(A45,Data!$A:$AN,MATCH(yoy!$L$1,Data!$A$1:$AN$1,),))/VLOOKUP(A45,Data!$A:$AN,MATCH(yoy!$L$1,Data!$A$1:$AN$1,),))+1)^12-1)</f>
        <v/>
      </c>
      <c r="M45" s="14">
        <f>IF(VLOOKUP(B45,Data!$A:$AN,MATCH(yoy!$M$1,Data!$A$1:$AN$1,),)=0,"#N/A",(((VLOOKUP(B45,Data!$A:$AN,MATCH(yoy!$M$1,Data!$A$1:$AN$1,),)-VLOOKUP(A45,Data!$A:$AN,MATCH(yoy!$M$1,Data!$A$1:$AN$1,),))/VLOOKUP(A45,Data!$A:$AN,MATCH(yoy!$M$1,Data!$A$1:$AN$1,),))+1)^12-1)</f>
        <v/>
      </c>
      <c r="N45" s="14">
        <f>IF(VLOOKUP(B45,Data!$A:$AN,MATCH(yoy!$N$1,Data!$A$1:$AN$1,),)=0,"#N/A",(((VLOOKUP(B45,Data!$A:$AN,MATCH(yoy!$N$1,Data!$A$1:$AN$1,),)-VLOOKUP(A45,Data!$A:$AN,MATCH(yoy!$N$1,Data!$A$1:$AN$1,),))/VLOOKUP(A45,Data!$A:$AN,MATCH(yoy!$N$1,Data!$A$1:$AN$1,),))+1)^12-1)</f>
        <v/>
      </c>
      <c r="O45" s="14">
        <f>IF(VLOOKUP(B45,Data!$A:$AN,MATCH(yoy!$O$1,Data!$A$1:$AN$1,),)=0,"#N/A",(((VLOOKUP(B45,Data!$A:$AN,MATCH(yoy!$O$1,Data!$A$1:$AN$1,),)-VLOOKUP(A45,Data!$A:$AN,MATCH(yoy!$O$1,Data!$A$1:$AN$1,),))/VLOOKUP(A45,Data!$A:$AN,MATCH(yoy!$O$1,Data!$A$1:$AN$1,),))+1)^12-1)</f>
        <v/>
      </c>
      <c r="P45" s="14">
        <f>IF(VLOOKUP(B45,Data!$A:$AN,MATCH(yoy!$P$1,Data!$A$1:$AN$1,),)=0,"#N/A",(((VLOOKUP(B45,Data!$A:$AN,MATCH(yoy!$P$1,Data!$A$1:$AN$1,),)-VLOOKUP(A45,Data!$A:$AN,MATCH(yoy!$P$1,Data!$A$1:$AN$1,),))/VLOOKUP(A45,Data!$A:$AN,MATCH(yoy!$P$1,Data!$A$1:$AN$1,),))+1)^12-1)</f>
        <v/>
      </c>
      <c r="Q45" s="14">
        <f>IF(VLOOKUP(B45,Data!$A:$AN,MATCH(yoy!$Q$1,Data!$A$1:$AN$1,),)=0,"#N/A",(((VLOOKUP(B45,Data!$A:$AN,MATCH(yoy!$Q$1,Data!$A$1:$AN$1,),)-VLOOKUP(A45,Data!$A:$AN,MATCH(yoy!$Q$1,Data!$A$1:$AN$1,),))/VLOOKUP(A45,Data!$A:$AN,MATCH(yoy!$Q$1,Data!$A$1:$AN$1,),))+1)^12-1)</f>
        <v/>
      </c>
      <c r="R45" s="14">
        <f>IF(VLOOKUP(B45,Data!$A:$AN,MATCH(yoy!$R$1,Data!$A$1:$AN$1,),)=0,"#N/A",(((VLOOKUP(B45,Data!$A:$AN,MATCH(yoy!$R$1,Data!$A$1:$AN$1,),)-VLOOKUP(A45,Data!$A:$AN,MATCH(yoy!$R$1,Data!$A$1:$AN$1,),))/VLOOKUP(A45,Data!$A:$AN,MATCH(yoy!$R$1,Data!$A$1:$AN$1,),))+1)^12-1)</f>
        <v/>
      </c>
      <c r="S45" s="14">
        <f>IF(VLOOKUP(B45,Data!$A:$AN,MATCH(yoy!$S$1,Data!$A$1:$AN$1,),)=0,"#N/A",(((VLOOKUP(B45,Data!$A:$AN,MATCH(yoy!$S$1,Data!$A$1:$AN$1,),)-VLOOKUP(A45,Data!$A:$AN,MATCH(yoy!$S$1,Data!$A$1:$AN$1,),))/VLOOKUP(A45,Data!$A:$AN,MATCH(yoy!$S$1,Data!$A$1:$AN$1,),))+1)^12-1)</f>
        <v/>
      </c>
      <c r="T45" s="14">
        <f>IF(VLOOKUP(B45,Data!$A:$AN,MATCH(yoy!$T$1,Data!$A$1:$AN$1,),)=0,"#N/A",(((VLOOKUP(B45,Data!$A:$AN,MATCH(yoy!$T$1,Data!$A$1:$AN$1,),)-VLOOKUP(A45,Data!$A:$AN,MATCH(yoy!$T$1,Data!$A$1:$AN$1,),))/VLOOKUP(A45,Data!$A:$AN,MATCH(yoy!$T$1,Data!$A$1:$AN$1,),))+1)^12-1)</f>
        <v/>
      </c>
      <c r="U45" s="14">
        <f>IF(VLOOKUP(B45,Data!$A:$AN,MATCH(yoy!$U$1,Data!$A$1:$AN$1,),)=0,"#N/A",(((VLOOKUP(B45,Data!$A:$AN,MATCH(yoy!$U$1,Data!$A$1:$AN$1,),)-VLOOKUP(A45,Data!$A:$AN,MATCH(yoy!$U$1,Data!$A$1:$AN$1,),))/VLOOKUP(A45,Data!$A:$AN,MATCH(yoy!$U$1,Data!$A$1:$AN$1,),))+1)^12-1)</f>
        <v/>
      </c>
      <c r="V45" s="14">
        <f>IF(VLOOKUP(B45,Data!$A:$AN,MATCH(yoy!$V$1,Data!$A$1:$AN$1,),)=0,"#N/A",(((VLOOKUP(B45,Data!$A:$AN,MATCH(yoy!$V$1,Data!$A$1:$AN$1,),)-VLOOKUP(A45,Data!$A:$AN,MATCH(yoy!$V$1,Data!$A$1:$AN$1,),))/VLOOKUP(A45,Data!$A:$AN,MATCH(yoy!$V$1,Data!$A$1:$AN$1,),))+1)^12-1)</f>
        <v/>
      </c>
      <c r="W45" s="14">
        <f>IF(VLOOKUP(B45,Data!$A:$AN,MATCH(yoy!$W$1,Data!$A$1:$AN$1,),)=0,"#N/A",(((VLOOKUP(B45,Data!$A:$AN,MATCH(yoy!$W$1,Data!$A$1:$AN$1,),)-VLOOKUP(A45,Data!$A:$AN,MATCH(yoy!$W$1,Data!$A$1:$AN$1,),))/VLOOKUP(A45,Data!$A:$AN,MATCH(yoy!$W$1,Data!$A$1:$AN$1,),))+1)^12-1)</f>
        <v/>
      </c>
      <c r="X45" s="14">
        <f>IF(VLOOKUP(B45,Data!$A:$AN,MATCH(yoy!$X$1,Data!$A$1:$AN$1,),)=0,"#N/A",(((VLOOKUP(B45,Data!$A:$AN,MATCH(yoy!$X$1,Data!$A$1:$AN$1,),)-VLOOKUP(A45,Data!$A:$AN,MATCH(yoy!$X$1,Data!$A$1:$AN$1,),))/VLOOKUP(A45,Data!$A:$AN,MATCH(yoy!$X$1,Data!$A$1:$AN$1,),))+1)^12-1)</f>
        <v/>
      </c>
      <c r="Y45" s="14">
        <f>IF(VLOOKUP(B45,Data!$A:$AN,MATCH(yoy!$Y$1,Data!$A$1:$AN$1,),)=0,"#N/A",(((VLOOKUP(B45,Data!$A:$AN,MATCH(yoy!$Y$1,Data!$A$1:$AN$1,),)-VLOOKUP(A45,Data!$A:$AN,MATCH(yoy!$Y$1,Data!$A$1:$AN$1,),))/VLOOKUP(A45,Data!$A:$AN,MATCH(yoy!$Y$1,Data!$A$1:$AN$1,),))+1)^12-1)</f>
        <v/>
      </c>
      <c r="Z45" s="14">
        <f>IF(VLOOKUP(B45,Data!$A:$AN,MATCH(yoy!$Z$1,Data!$A$1:$AN$1,),)=0,"#N/A",(((VLOOKUP(B45,Data!$A:$AN,MATCH(yoy!$Z$1,Data!$A$1:$AN$1,),)-VLOOKUP(A45,Data!$A:$AN,MATCH(yoy!$Z$1,Data!$A$1:$AN$1,),))/VLOOKUP(A45,Data!$A:$AN,MATCH(yoy!$Z$1,Data!$A$1:$AN$1,),))+1)^12-1)</f>
        <v/>
      </c>
      <c r="AA45" s="14">
        <f>IF(VLOOKUP(B45,Data!$A:$AN,MATCH(yoy!$AA$1,Data!$A$1:$AN$1,),)=0,"#N/A",(((VLOOKUP(B45,Data!$A:$AN,MATCH(yoy!$AA$1,Data!$A$1:$AN$1,),)-VLOOKUP(A45,Data!$A:$AN,MATCH(yoy!$AA$1,Data!$A$1:$AN$1,),))/VLOOKUP(A45,Data!$A:$AN,MATCH(yoy!$AA$1,Data!$A$1:$AN$1,),))+1)^12-1)</f>
        <v/>
      </c>
    </row>
    <row r="46" customFormat="1" s="77">
      <c r="A46" s="20">
        <f>DATE(YEAR(B46),MONTH(B46)-1,DAY(B46))</f>
        <v/>
      </c>
      <c r="B46" s="12" t="n">
        <v>43252</v>
      </c>
      <c r="C46" s="14">
        <f>IF(VLOOKUP(B46,Data!$A:$AN,MATCH(yoy!$C$1,Data!$A$1:$AN$1,),)=0,"#N/A",(((VLOOKUP(B46,Data!$A:$AN,MATCH(yoy!$C$1,Data!$A$1:$AN$1,),)-VLOOKUP(A46,Data!$A:$AN,MATCH(yoy!$C$1,Data!$A$1:$AN$1,),))/VLOOKUP(A46,Data!$A:$AN,MATCH(yoy!$C$1,Data!$A$1:$AN$1,),))+1)^12-1)</f>
        <v/>
      </c>
      <c r="D46" s="14">
        <f>IF(VLOOKUP(B46,Data!$A:$AN,MATCH(yoy!$D$1,Data!$A$1:$AN$1,),)=0,"#N/A",(((VLOOKUP(B46,Data!$A:$AN,MATCH(yoy!$D$1,Data!$A$1:$AN$1,),)-VLOOKUP(A46,Data!$A:$AN,MATCH(yoy!$D$1,Data!$A$1:$AN$1,),))/VLOOKUP(A46,Data!$A:$AN,MATCH(yoy!$D$1,Data!$A$1:$AN$1,),))+1)^12-1)</f>
        <v/>
      </c>
      <c r="E46" s="14">
        <f>IF(VLOOKUP(B46,Data!$A:$AN,MATCH(yoy!$E$1,Data!$A$1:$AN$1,),)=0,"#N/A",(((VLOOKUP(B46,Data!$A:$AN,MATCH(yoy!$E$1,Data!$A$1:$AN$1,),)-VLOOKUP(A46,Data!$A:$AN,MATCH(yoy!$E$1,Data!$A$1:$AN$1,),))/VLOOKUP(A46,Data!$A:$AN,MATCH(yoy!$E$1,Data!$A$1:$AN$1,),))+1)^12-1)</f>
        <v/>
      </c>
      <c r="F46" s="14">
        <f>IF(VLOOKUP(B46,Data!$A:$AN,MATCH(yoy!$F$1,Data!$A$1:$AN$1,),)=0,"#N/A",(((VLOOKUP(B46,Data!$A:$AN,MATCH(yoy!$F$1,Data!$A$1:$AN$1,),)-VLOOKUP(A46,Data!$A:$AN,MATCH(yoy!$F$1,Data!$A$1:$AN$1,),))/VLOOKUP(A46,Data!$A:$AN,MATCH(yoy!$F$1,Data!$A$1:$AN$1,),))+1)^12-1)</f>
        <v/>
      </c>
      <c r="G46" s="14">
        <f>IF(VLOOKUP(B46,Data!$A:$AN,MATCH(yoy!$G$1,Data!$A$1:$AN$1,),)=0,"#N/A",(((VLOOKUP(B46,Data!$A:$AN,MATCH(yoy!$G$1,Data!$A$1:$AN$1,),)-VLOOKUP(A46,Data!$A:$AN,MATCH(yoy!$G$1,Data!$A$1:$AN$1,),))/VLOOKUP(A46,Data!$A:$AN,MATCH(yoy!$G$1,Data!$A$1:$AN$1,),))+1)^12-1)</f>
        <v/>
      </c>
      <c r="H46" s="14">
        <f>IF(VLOOKUP(B46,Data!$A:$AN,MATCH(yoy!$H$1,Data!$A$1:$AN$1,),)=0,"#N/A",(((VLOOKUP(B46,Data!$A:$AN,MATCH(yoy!$H$1,Data!$A$1:$AN$1,),)-VLOOKUP(A46,Data!$A:$AN,MATCH(yoy!$H$1,Data!$A$1:$AN$1,),))/VLOOKUP(A46,Data!$A:$AN,MATCH(yoy!$H$1,Data!$A$1:$AN$1,),))+1)^12-1)</f>
        <v/>
      </c>
      <c r="I46" s="14">
        <f>IF(VLOOKUP(B46,Data!$A:$AN,MATCH(yoy!$I$1,Data!$A$1:$AN$1,),)=0,"#N/A",(((VLOOKUP(B46,Data!$A:$AN,MATCH(yoy!$I$1,Data!$A$1:$AN$1,),)-VLOOKUP(A46,Data!$A:$AN,MATCH(yoy!$I$1,Data!$A$1:$AN$1,),))/VLOOKUP(A46,Data!$A:$AN,MATCH(yoy!$I$1,Data!$A$1:$AN$1,),))+1)^12-1)</f>
        <v/>
      </c>
      <c r="J46" s="14">
        <f>IF(VLOOKUP(B46,Data!$A:$AN,MATCH(yoy!$J$1,Data!$A$1:$AN$1,),)=0,"#N/A",(((VLOOKUP(B46,Data!$A:$AN,MATCH(yoy!$J$1,Data!$A$1:$AN$1,),)-VLOOKUP(A46,Data!$A:$AN,MATCH(yoy!$J$1,Data!$A$1:$AN$1,),))/VLOOKUP(A46,Data!$A:$AN,MATCH(yoy!$J$1,Data!$A$1:$AN$1,),))+1)^12-1)</f>
        <v/>
      </c>
      <c r="K46" s="14">
        <f>IF(VLOOKUP(B46,Data!$A:$AN,MATCH(yoy!$K$1,Data!$A$1:$AN$1,),)=0,"#N/A",(((VLOOKUP(B46,Data!$A:$AN,MATCH(yoy!$K$1,Data!$A$1:$AN$1,),)-VLOOKUP(A46,Data!$A:$AN,MATCH(yoy!$K$1,Data!$A$1:$AN$1,),))/VLOOKUP(A46,Data!$A:$AN,MATCH(yoy!$K$1,Data!$A$1:$AN$1,),))+1)^12-1)</f>
        <v/>
      </c>
      <c r="L46" s="14">
        <f>IF(VLOOKUP(B46,Data!$A:$AN,MATCH(yoy!$L$1,Data!$A$1:$AN$1,),)=0,"#N/A",(((VLOOKUP(B46,Data!$A:$AN,MATCH(yoy!$L$1,Data!$A$1:$AN$1,),)-VLOOKUP(A46,Data!$A:$AN,MATCH(yoy!$L$1,Data!$A$1:$AN$1,),))/VLOOKUP(A46,Data!$A:$AN,MATCH(yoy!$L$1,Data!$A$1:$AN$1,),))+1)^12-1)</f>
        <v/>
      </c>
      <c r="M46" s="14">
        <f>IF(VLOOKUP(B46,Data!$A:$AN,MATCH(yoy!$M$1,Data!$A$1:$AN$1,),)=0,"#N/A",(((VLOOKUP(B46,Data!$A:$AN,MATCH(yoy!$M$1,Data!$A$1:$AN$1,),)-VLOOKUP(A46,Data!$A:$AN,MATCH(yoy!$M$1,Data!$A$1:$AN$1,),))/VLOOKUP(A46,Data!$A:$AN,MATCH(yoy!$M$1,Data!$A$1:$AN$1,),))+1)^12-1)</f>
        <v/>
      </c>
      <c r="N46" s="14">
        <f>IF(VLOOKUP(B46,Data!$A:$AN,MATCH(yoy!$N$1,Data!$A$1:$AN$1,),)=0,"#N/A",(((VLOOKUP(B46,Data!$A:$AN,MATCH(yoy!$N$1,Data!$A$1:$AN$1,),)-VLOOKUP(A46,Data!$A:$AN,MATCH(yoy!$N$1,Data!$A$1:$AN$1,),))/VLOOKUP(A46,Data!$A:$AN,MATCH(yoy!$N$1,Data!$A$1:$AN$1,),))+1)^12-1)</f>
        <v/>
      </c>
      <c r="O46" s="14">
        <f>IF(VLOOKUP(B46,Data!$A:$AN,MATCH(yoy!$O$1,Data!$A$1:$AN$1,),)=0,"#N/A",(((VLOOKUP(B46,Data!$A:$AN,MATCH(yoy!$O$1,Data!$A$1:$AN$1,),)-VLOOKUP(A46,Data!$A:$AN,MATCH(yoy!$O$1,Data!$A$1:$AN$1,),))/VLOOKUP(A46,Data!$A:$AN,MATCH(yoy!$O$1,Data!$A$1:$AN$1,),))+1)^12-1)</f>
        <v/>
      </c>
      <c r="P46" s="14">
        <f>IF(VLOOKUP(B46,Data!$A:$AN,MATCH(yoy!$P$1,Data!$A$1:$AN$1,),)=0,"#N/A",(((VLOOKUP(B46,Data!$A:$AN,MATCH(yoy!$P$1,Data!$A$1:$AN$1,),)-VLOOKUP(A46,Data!$A:$AN,MATCH(yoy!$P$1,Data!$A$1:$AN$1,),))/VLOOKUP(A46,Data!$A:$AN,MATCH(yoy!$P$1,Data!$A$1:$AN$1,),))+1)^12-1)</f>
        <v/>
      </c>
      <c r="Q46" s="14">
        <f>IF(VLOOKUP(B46,Data!$A:$AN,MATCH(yoy!$Q$1,Data!$A$1:$AN$1,),)=0,"#N/A",(((VLOOKUP(B46,Data!$A:$AN,MATCH(yoy!$Q$1,Data!$A$1:$AN$1,),)-VLOOKUP(A46,Data!$A:$AN,MATCH(yoy!$Q$1,Data!$A$1:$AN$1,),))/VLOOKUP(A46,Data!$A:$AN,MATCH(yoy!$Q$1,Data!$A$1:$AN$1,),))+1)^12-1)</f>
        <v/>
      </c>
      <c r="R46" s="14">
        <f>IF(VLOOKUP(B46,Data!$A:$AN,MATCH(yoy!$R$1,Data!$A$1:$AN$1,),)=0,"#N/A",(((VLOOKUP(B46,Data!$A:$AN,MATCH(yoy!$R$1,Data!$A$1:$AN$1,),)-VLOOKUP(A46,Data!$A:$AN,MATCH(yoy!$R$1,Data!$A$1:$AN$1,),))/VLOOKUP(A46,Data!$A:$AN,MATCH(yoy!$R$1,Data!$A$1:$AN$1,),))+1)^12-1)</f>
        <v/>
      </c>
      <c r="S46" s="14">
        <f>IF(VLOOKUP(B46,Data!$A:$AN,MATCH(yoy!$S$1,Data!$A$1:$AN$1,),)=0,"#N/A",(((VLOOKUP(B46,Data!$A:$AN,MATCH(yoy!$S$1,Data!$A$1:$AN$1,),)-VLOOKUP(A46,Data!$A:$AN,MATCH(yoy!$S$1,Data!$A$1:$AN$1,),))/VLOOKUP(A46,Data!$A:$AN,MATCH(yoy!$S$1,Data!$A$1:$AN$1,),))+1)^12-1)</f>
        <v/>
      </c>
      <c r="T46" s="14">
        <f>IF(VLOOKUP(B46,Data!$A:$AN,MATCH(yoy!$T$1,Data!$A$1:$AN$1,),)=0,"#N/A",(((VLOOKUP(B46,Data!$A:$AN,MATCH(yoy!$T$1,Data!$A$1:$AN$1,),)-VLOOKUP(A46,Data!$A:$AN,MATCH(yoy!$T$1,Data!$A$1:$AN$1,),))/VLOOKUP(A46,Data!$A:$AN,MATCH(yoy!$T$1,Data!$A$1:$AN$1,),))+1)^12-1)</f>
        <v/>
      </c>
      <c r="U46" s="14">
        <f>IF(VLOOKUP(B46,Data!$A:$AN,MATCH(yoy!$U$1,Data!$A$1:$AN$1,),)=0,"#N/A",(((VLOOKUP(B46,Data!$A:$AN,MATCH(yoy!$U$1,Data!$A$1:$AN$1,),)-VLOOKUP(A46,Data!$A:$AN,MATCH(yoy!$U$1,Data!$A$1:$AN$1,),))/VLOOKUP(A46,Data!$A:$AN,MATCH(yoy!$U$1,Data!$A$1:$AN$1,),))+1)^12-1)</f>
        <v/>
      </c>
      <c r="V46" s="14">
        <f>IF(VLOOKUP(B46,Data!$A:$AN,MATCH(yoy!$V$1,Data!$A$1:$AN$1,),)=0,"#N/A",(((VLOOKUP(B46,Data!$A:$AN,MATCH(yoy!$V$1,Data!$A$1:$AN$1,),)-VLOOKUP(A46,Data!$A:$AN,MATCH(yoy!$V$1,Data!$A$1:$AN$1,),))/VLOOKUP(A46,Data!$A:$AN,MATCH(yoy!$V$1,Data!$A$1:$AN$1,),))+1)^12-1)</f>
        <v/>
      </c>
      <c r="W46" s="14">
        <f>IF(VLOOKUP(B46,Data!$A:$AN,MATCH(yoy!$W$1,Data!$A$1:$AN$1,),)=0,"#N/A",(((VLOOKUP(B46,Data!$A:$AN,MATCH(yoy!$W$1,Data!$A$1:$AN$1,),)-VLOOKUP(A46,Data!$A:$AN,MATCH(yoy!$W$1,Data!$A$1:$AN$1,),))/VLOOKUP(A46,Data!$A:$AN,MATCH(yoy!$W$1,Data!$A$1:$AN$1,),))+1)^12-1)</f>
        <v/>
      </c>
      <c r="X46" s="14">
        <f>IF(VLOOKUP(B46,Data!$A:$AN,MATCH(yoy!$X$1,Data!$A$1:$AN$1,),)=0,"#N/A",(((VLOOKUP(B46,Data!$A:$AN,MATCH(yoy!$X$1,Data!$A$1:$AN$1,),)-VLOOKUP(A46,Data!$A:$AN,MATCH(yoy!$X$1,Data!$A$1:$AN$1,),))/VLOOKUP(A46,Data!$A:$AN,MATCH(yoy!$X$1,Data!$A$1:$AN$1,),))+1)^12-1)</f>
        <v/>
      </c>
      <c r="Y46" s="14">
        <f>IF(VLOOKUP(B46,Data!$A:$AN,MATCH(yoy!$Y$1,Data!$A$1:$AN$1,),)=0,"#N/A",(((VLOOKUP(B46,Data!$A:$AN,MATCH(yoy!$Y$1,Data!$A$1:$AN$1,),)-VLOOKUP(A46,Data!$A:$AN,MATCH(yoy!$Y$1,Data!$A$1:$AN$1,),))/VLOOKUP(A46,Data!$A:$AN,MATCH(yoy!$Y$1,Data!$A$1:$AN$1,),))+1)^12-1)</f>
        <v/>
      </c>
      <c r="Z46" s="14">
        <f>IF(VLOOKUP(B46,Data!$A:$AN,MATCH(yoy!$Z$1,Data!$A$1:$AN$1,),)=0,"#N/A",(((VLOOKUP(B46,Data!$A:$AN,MATCH(yoy!$Z$1,Data!$A$1:$AN$1,),)-VLOOKUP(A46,Data!$A:$AN,MATCH(yoy!$Z$1,Data!$A$1:$AN$1,),))/VLOOKUP(A46,Data!$A:$AN,MATCH(yoy!$Z$1,Data!$A$1:$AN$1,),))+1)^12-1)</f>
        <v/>
      </c>
      <c r="AA46" s="14">
        <f>IF(VLOOKUP(B46,Data!$A:$AN,MATCH(yoy!$AA$1,Data!$A$1:$AN$1,),)=0,"#N/A",(((VLOOKUP(B46,Data!$A:$AN,MATCH(yoy!$AA$1,Data!$A$1:$AN$1,),)-VLOOKUP(A46,Data!$A:$AN,MATCH(yoy!$AA$1,Data!$A$1:$AN$1,),))/VLOOKUP(A46,Data!$A:$AN,MATCH(yoy!$AA$1,Data!$A$1:$AN$1,),))+1)^12-1)</f>
        <v/>
      </c>
    </row>
    <row r="47" customFormat="1" s="77">
      <c r="A47" s="20">
        <f>DATE(YEAR(B47),MONTH(B47)-1,DAY(B47))</f>
        <v/>
      </c>
      <c r="B47" s="12" t="n">
        <v>43282</v>
      </c>
      <c r="C47" s="14">
        <f>IF(VLOOKUP(B47,Data!$A:$AN,MATCH(yoy!$C$1,Data!$A$1:$AN$1,),)=0,"#N/A",(((VLOOKUP(B47,Data!$A:$AN,MATCH(yoy!$C$1,Data!$A$1:$AN$1,),)-VLOOKUP(A47,Data!$A:$AN,MATCH(yoy!$C$1,Data!$A$1:$AN$1,),))/VLOOKUP(A47,Data!$A:$AN,MATCH(yoy!$C$1,Data!$A$1:$AN$1,),))+1)^12-1)</f>
        <v/>
      </c>
      <c r="D47" s="14">
        <f>IF(VLOOKUP(B47,Data!$A:$AN,MATCH(yoy!$D$1,Data!$A$1:$AN$1,),)=0,"#N/A",(((VLOOKUP(B47,Data!$A:$AN,MATCH(yoy!$D$1,Data!$A$1:$AN$1,),)-VLOOKUP(A47,Data!$A:$AN,MATCH(yoy!$D$1,Data!$A$1:$AN$1,),))/VLOOKUP(A47,Data!$A:$AN,MATCH(yoy!$D$1,Data!$A$1:$AN$1,),))+1)^12-1)</f>
        <v/>
      </c>
      <c r="E47" s="14">
        <f>IF(VLOOKUP(B47,Data!$A:$AN,MATCH(yoy!$E$1,Data!$A$1:$AN$1,),)=0,"#N/A",(((VLOOKUP(B47,Data!$A:$AN,MATCH(yoy!$E$1,Data!$A$1:$AN$1,),)-VLOOKUP(A47,Data!$A:$AN,MATCH(yoy!$E$1,Data!$A$1:$AN$1,),))/VLOOKUP(A47,Data!$A:$AN,MATCH(yoy!$E$1,Data!$A$1:$AN$1,),))+1)^12-1)</f>
        <v/>
      </c>
      <c r="F47" s="14">
        <f>IF(VLOOKUP(B47,Data!$A:$AN,MATCH(yoy!$F$1,Data!$A$1:$AN$1,),)=0,"#N/A",(((VLOOKUP(B47,Data!$A:$AN,MATCH(yoy!$F$1,Data!$A$1:$AN$1,),)-VLOOKUP(A47,Data!$A:$AN,MATCH(yoy!$F$1,Data!$A$1:$AN$1,),))/VLOOKUP(A47,Data!$A:$AN,MATCH(yoy!$F$1,Data!$A$1:$AN$1,),))+1)^12-1)</f>
        <v/>
      </c>
      <c r="G47" s="14">
        <f>IF(VLOOKUP(B47,Data!$A:$AN,MATCH(yoy!$G$1,Data!$A$1:$AN$1,),)=0,"#N/A",(((VLOOKUP(B47,Data!$A:$AN,MATCH(yoy!$G$1,Data!$A$1:$AN$1,),)-VLOOKUP(A47,Data!$A:$AN,MATCH(yoy!$G$1,Data!$A$1:$AN$1,),))/VLOOKUP(A47,Data!$A:$AN,MATCH(yoy!$G$1,Data!$A$1:$AN$1,),))+1)^12-1)</f>
        <v/>
      </c>
      <c r="H47" s="14">
        <f>IF(VLOOKUP(B47,Data!$A:$AN,MATCH(yoy!$H$1,Data!$A$1:$AN$1,),)=0,"#N/A",(((VLOOKUP(B47,Data!$A:$AN,MATCH(yoy!$H$1,Data!$A$1:$AN$1,),)-VLOOKUP(A47,Data!$A:$AN,MATCH(yoy!$H$1,Data!$A$1:$AN$1,),))/VLOOKUP(A47,Data!$A:$AN,MATCH(yoy!$H$1,Data!$A$1:$AN$1,),))+1)^12-1)</f>
        <v/>
      </c>
      <c r="I47" s="14">
        <f>IF(VLOOKUP(B47,Data!$A:$AN,MATCH(yoy!$I$1,Data!$A$1:$AN$1,),)=0,"#N/A",(((VLOOKUP(B47,Data!$A:$AN,MATCH(yoy!$I$1,Data!$A$1:$AN$1,),)-VLOOKUP(A47,Data!$A:$AN,MATCH(yoy!$I$1,Data!$A$1:$AN$1,),))/VLOOKUP(A47,Data!$A:$AN,MATCH(yoy!$I$1,Data!$A$1:$AN$1,),))+1)^12-1)</f>
        <v/>
      </c>
      <c r="J47" s="14">
        <f>IF(VLOOKUP(B47,Data!$A:$AN,MATCH(yoy!$J$1,Data!$A$1:$AN$1,),)=0,"#N/A",(((VLOOKUP(B47,Data!$A:$AN,MATCH(yoy!$J$1,Data!$A$1:$AN$1,),)-VLOOKUP(A47,Data!$A:$AN,MATCH(yoy!$J$1,Data!$A$1:$AN$1,),))/VLOOKUP(A47,Data!$A:$AN,MATCH(yoy!$J$1,Data!$A$1:$AN$1,),))+1)^12-1)</f>
        <v/>
      </c>
      <c r="K47" s="14">
        <f>IF(VLOOKUP(B47,Data!$A:$AN,MATCH(yoy!$K$1,Data!$A$1:$AN$1,),)=0,"#N/A",(((VLOOKUP(B47,Data!$A:$AN,MATCH(yoy!$K$1,Data!$A$1:$AN$1,),)-VLOOKUP(A47,Data!$A:$AN,MATCH(yoy!$K$1,Data!$A$1:$AN$1,),))/VLOOKUP(A47,Data!$A:$AN,MATCH(yoy!$K$1,Data!$A$1:$AN$1,),))+1)^12-1)</f>
        <v/>
      </c>
      <c r="L47" s="14">
        <f>IF(VLOOKUP(B47,Data!$A:$AN,MATCH(yoy!$L$1,Data!$A$1:$AN$1,),)=0,"#N/A",(((VLOOKUP(B47,Data!$A:$AN,MATCH(yoy!$L$1,Data!$A$1:$AN$1,),)-VLOOKUP(A47,Data!$A:$AN,MATCH(yoy!$L$1,Data!$A$1:$AN$1,),))/VLOOKUP(A47,Data!$A:$AN,MATCH(yoy!$L$1,Data!$A$1:$AN$1,),))+1)^12-1)</f>
        <v/>
      </c>
      <c r="M47" s="14">
        <f>IF(VLOOKUP(B47,Data!$A:$AN,MATCH(yoy!$M$1,Data!$A$1:$AN$1,),)=0,"#N/A",(((VLOOKUP(B47,Data!$A:$AN,MATCH(yoy!$M$1,Data!$A$1:$AN$1,),)-VLOOKUP(A47,Data!$A:$AN,MATCH(yoy!$M$1,Data!$A$1:$AN$1,),))/VLOOKUP(A47,Data!$A:$AN,MATCH(yoy!$M$1,Data!$A$1:$AN$1,),))+1)^12-1)</f>
        <v/>
      </c>
      <c r="N47" s="14">
        <f>IF(VLOOKUP(B47,Data!$A:$AN,MATCH(yoy!$N$1,Data!$A$1:$AN$1,),)=0,"#N/A",(((VLOOKUP(B47,Data!$A:$AN,MATCH(yoy!$N$1,Data!$A$1:$AN$1,),)-VLOOKUP(A47,Data!$A:$AN,MATCH(yoy!$N$1,Data!$A$1:$AN$1,),))/VLOOKUP(A47,Data!$A:$AN,MATCH(yoy!$N$1,Data!$A$1:$AN$1,),))+1)^12-1)</f>
        <v/>
      </c>
      <c r="O47" s="14">
        <f>IF(VLOOKUP(B47,Data!$A:$AN,MATCH(yoy!$O$1,Data!$A$1:$AN$1,),)=0,"#N/A",(((VLOOKUP(B47,Data!$A:$AN,MATCH(yoy!$O$1,Data!$A$1:$AN$1,),)-VLOOKUP(A47,Data!$A:$AN,MATCH(yoy!$O$1,Data!$A$1:$AN$1,),))/VLOOKUP(A47,Data!$A:$AN,MATCH(yoy!$O$1,Data!$A$1:$AN$1,),))+1)^12-1)</f>
        <v/>
      </c>
      <c r="P47" s="14">
        <f>IF(VLOOKUP(B47,Data!$A:$AN,MATCH(yoy!$P$1,Data!$A$1:$AN$1,),)=0,"#N/A",(((VLOOKUP(B47,Data!$A:$AN,MATCH(yoy!$P$1,Data!$A$1:$AN$1,),)-VLOOKUP(A47,Data!$A:$AN,MATCH(yoy!$P$1,Data!$A$1:$AN$1,),))/VLOOKUP(A47,Data!$A:$AN,MATCH(yoy!$P$1,Data!$A$1:$AN$1,),))+1)^12-1)</f>
        <v/>
      </c>
      <c r="Q47" s="14">
        <f>IF(VLOOKUP(B47,Data!$A:$AN,MATCH(yoy!$Q$1,Data!$A$1:$AN$1,),)=0,"#N/A",(((VLOOKUP(B47,Data!$A:$AN,MATCH(yoy!$Q$1,Data!$A$1:$AN$1,),)-VLOOKUP(A47,Data!$A:$AN,MATCH(yoy!$Q$1,Data!$A$1:$AN$1,),))/VLOOKUP(A47,Data!$A:$AN,MATCH(yoy!$Q$1,Data!$A$1:$AN$1,),))+1)^12-1)</f>
        <v/>
      </c>
      <c r="R47" s="14">
        <f>IF(VLOOKUP(B47,Data!$A:$AN,MATCH(yoy!$R$1,Data!$A$1:$AN$1,),)=0,"#N/A",(((VLOOKUP(B47,Data!$A:$AN,MATCH(yoy!$R$1,Data!$A$1:$AN$1,),)-VLOOKUP(A47,Data!$A:$AN,MATCH(yoy!$R$1,Data!$A$1:$AN$1,),))/VLOOKUP(A47,Data!$A:$AN,MATCH(yoy!$R$1,Data!$A$1:$AN$1,),))+1)^12-1)</f>
        <v/>
      </c>
      <c r="S47" s="14">
        <f>IF(VLOOKUP(B47,Data!$A:$AN,MATCH(yoy!$S$1,Data!$A$1:$AN$1,),)=0,"#N/A",(((VLOOKUP(B47,Data!$A:$AN,MATCH(yoy!$S$1,Data!$A$1:$AN$1,),)-VLOOKUP(A47,Data!$A:$AN,MATCH(yoy!$S$1,Data!$A$1:$AN$1,),))/VLOOKUP(A47,Data!$A:$AN,MATCH(yoy!$S$1,Data!$A$1:$AN$1,),))+1)^12-1)</f>
        <v/>
      </c>
      <c r="T47" s="14">
        <f>IF(VLOOKUP(B47,Data!$A:$AN,MATCH(yoy!$T$1,Data!$A$1:$AN$1,),)=0,"#N/A",(((VLOOKUP(B47,Data!$A:$AN,MATCH(yoy!$T$1,Data!$A$1:$AN$1,),)-VLOOKUP(A47,Data!$A:$AN,MATCH(yoy!$T$1,Data!$A$1:$AN$1,),))/VLOOKUP(A47,Data!$A:$AN,MATCH(yoy!$T$1,Data!$A$1:$AN$1,),))+1)^12-1)</f>
        <v/>
      </c>
      <c r="U47" s="14">
        <f>IF(VLOOKUP(B47,Data!$A:$AN,MATCH(yoy!$U$1,Data!$A$1:$AN$1,),)=0,"#N/A",(((VLOOKUP(B47,Data!$A:$AN,MATCH(yoy!$U$1,Data!$A$1:$AN$1,),)-VLOOKUP(A47,Data!$A:$AN,MATCH(yoy!$U$1,Data!$A$1:$AN$1,),))/VLOOKUP(A47,Data!$A:$AN,MATCH(yoy!$U$1,Data!$A$1:$AN$1,),))+1)^12-1)</f>
        <v/>
      </c>
      <c r="V47" s="14">
        <f>IF(VLOOKUP(B47,Data!$A:$AN,MATCH(yoy!$V$1,Data!$A$1:$AN$1,),)=0,"#N/A",(((VLOOKUP(B47,Data!$A:$AN,MATCH(yoy!$V$1,Data!$A$1:$AN$1,),)-VLOOKUP(A47,Data!$A:$AN,MATCH(yoy!$V$1,Data!$A$1:$AN$1,),))/VLOOKUP(A47,Data!$A:$AN,MATCH(yoy!$V$1,Data!$A$1:$AN$1,),))+1)^12-1)</f>
        <v/>
      </c>
      <c r="W47" s="14">
        <f>IF(VLOOKUP(B47,Data!$A:$AN,MATCH(yoy!$W$1,Data!$A$1:$AN$1,),)=0,"#N/A",(((VLOOKUP(B47,Data!$A:$AN,MATCH(yoy!$W$1,Data!$A$1:$AN$1,),)-VLOOKUP(A47,Data!$A:$AN,MATCH(yoy!$W$1,Data!$A$1:$AN$1,),))/VLOOKUP(A47,Data!$A:$AN,MATCH(yoy!$W$1,Data!$A$1:$AN$1,),))+1)^12-1)</f>
        <v/>
      </c>
      <c r="X47" s="14">
        <f>IF(VLOOKUP(B47,Data!$A:$AN,MATCH(yoy!$X$1,Data!$A$1:$AN$1,),)=0,"#N/A",(((VLOOKUP(B47,Data!$A:$AN,MATCH(yoy!$X$1,Data!$A$1:$AN$1,),)-VLOOKUP(A47,Data!$A:$AN,MATCH(yoy!$X$1,Data!$A$1:$AN$1,),))/VLOOKUP(A47,Data!$A:$AN,MATCH(yoy!$X$1,Data!$A$1:$AN$1,),))+1)^12-1)</f>
        <v/>
      </c>
      <c r="Y47" s="14">
        <f>IF(VLOOKUP(B47,Data!$A:$AN,MATCH(yoy!$Y$1,Data!$A$1:$AN$1,),)=0,"#N/A",(((VLOOKUP(B47,Data!$A:$AN,MATCH(yoy!$Y$1,Data!$A$1:$AN$1,),)-VLOOKUP(A47,Data!$A:$AN,MATCH(yoy!$Y$1,Data!$A$1:$AN$1,),))/VLOOKUP(A47,Data!$A:$AN,MATCH(yoy!$Y$1,Data!$A$1:$AN$1,),))+1)^12-1)</f>
        <v/>
      </c>
      <c r="Z47" s="14">
        <f>IF(VLOOKUP(B47,Data!$A:$AN,MATCH(yoy!$Z$1,Data!$A$1:$AN$1,),)=0,"#N/A",(((VLOOKUP(B47,Data!$A:$AN,MATCH(yoy!$Z$1,Data!$A$1:$AN$1,),)-VLOOKUP(A47,Data!$A:$AN,MATCH(yoy!$Z$1,Data!$A$1:$AN$1,),))/VLOOKUP(A47,Data!$A:$AN,MATCH(yoy!$Z$1,Data!$A$1:$AN$1,),))+1)^12-1)</f>
        <v/>
      </c>
      <c r="AA47" s="14">
        <f>IF(VLOOKUP(B47,Data!$A:$AN,MATCH(yoy!$AA$1,Data!$A$1:$AN$1,),)=0,"#N/A",(((VLOOKUP(B47,Data!$A:$AN,MATCH(yoy!$AA$1,Data!$A$1:$AN$1,),)-VLOOKUP(A47,Data!$A:$AN,MATCH(yoy!$AA$1,Data!$A$1:$AN$1,),))/VLOOKUP(A47,Data!$A:$AN,MATCH(yoy!$AA$1,Data!$A$1:$AN$1,),))+1)^12-1)</f>
        <v/>
      </c>
    </row>
    <row r="48" customFormat="1" s="77">
      <c r="A48" s="20">
        <f>DATE(YEAR(B48),MONTH(B48)-1,DAY(B48))</f>
        <v/>
      </c>
      <c r="B48" s="12" t="n">
        <v>43313</v>
      </c>
      <c r="C48" s="14">
        <f>IF(VLOOKUP(B48,Data!$A:$AN,MATCH(yoy!$C$1,Data!$A$1:$AN$1,),)=0,"#N/A",(((VLOOKUP(B48,Data!$A:$AN,MATCH(yoy!$C$1,Data!$A$1:$AN$1,),)-VLOOKUP(A48,Data!$A:$AN,MATCH(yoy!$C$1,Data!$A$1:$AN$1,),))/VLOOKUP(A48,Data!$A:$AN,MATCH(yoy!$C$1,Data!$A$1:$AN$1,),))+1)^12-1)</f>
        <v/>
      </c>
      <c r="D48" s="14">
        <f>IF(VLOOKUP(B48,Data!$A:$AN,MATCH(yoy!$D$1,Data!$A$1:$AN$1,),)=0,"#N/A",(((VLOOKUP(B48,Data!$A:$AN,MATCH(yoy!$D$1,Data!$A$1:$AN$1,),)-VLOOKUP(A48,Data!$A:$AN,MATCH(yoy!$D$1,Data!$A$1:$AN$1,),))/VLOOKUP(A48,Data!$A:$AN,MATCH(yoy!$D$1,Data!$A$1:$AN$1,),))+1)^12-1)</f>
        <v/>
      </c>
      <c r="E48" s="14">
        <f>IF(VLOOKUP(B48,Data!$A:$AN,MATCH(yoy!$E$1,Data!$A$1:$AN$1,),)=0,"#N/A",(((VLOOKUP(B48,Data!$A:$AN,MATCH(yoy!$E$1,Data!$A$1:$AN$1,),)-VLOOKUP(A48,Data!$A:$AN,MATCH(yoy!$E$1,Data!$A$1:$AN$1,),))/VLOOKUP(A48,Data!$A:$AN,MATCH(yoy!$E$1,Data!$A$1:$AN$1,),))+1)^12-1)</f>
        <v/>
      </c>
      <c r="F48" s="14">
        <f>IF(VLOOKUP(B48,Data!$A:$AN,MATCH(yoy!$F$1,Data!$A$1:$AN$1,),)=0,"#N/A",(((VLOOKUP(B48,Data!$A:$AN,MATCH(yoy!$F$1,Data!$A$1:$AN$1,),)-VLOOKUP(A48,Data!$A:$AN,MATCH(yoy!$F$1,Data!$A$1:$AN$1,),))/VLOOKUP(A48,Data!$A:$AN,MATCH(yoy!$F$1,Data!$A$1:$AN$1,),))+1)^12-1)</f>
        <v/>
      </c>
      <c r="G48" s="14">
        <f>IF(VLOOKUP(B48,Data!$A:$AN,MATCH(yoy!$G$1,Data!$A$1:$AN$1,),)=0,"#N/A",(((VLOOKUP(B48,Data!$A:$AN,MATCH(yoy!$G$1,Data!$A$1:$AN$1,),)-VLOOKUP(A48,Data!$A:$AN,MATCH(yoy!$G$1,Data!$A$1:$AN$1,),))/VLOOKUP(A48,Data!$A:$AN,MATCH(yoy!$G$1,Data!$A$1:$AN$1,),))+1)^12-1)</f>
        <v/>
      </c>
      <c r="H48" s="14">
        <f>IF(VLOOKUP(B48,Data!$A:$AN,MATCH(yoy!$H$1,Data!$A$1:$AN$1,),)=0,"#N/A",(((VLOOKUP(B48,Data!$A:$AN,MATCH(yoy!$H$1,Data!$A$1:$AN$1,),)-VLOOKUP(A48,Data!$A:$AN,MATCH(yoy!$H$1,Data!$A$1:$AN$1,),))/VLOOKUP(A48,Data!$A:$AN,MATCH(yoy!$H$1,Data!$A$1:$AN$1,),))+1)^12-1)</f>
        <v/>
      </c>
      <c r="I48" s="14">
        <f>IF(VLOOKUP(B48,Data!$A:$AN,MATCH(yoy!$I$1,Data!$A$1:$AN$1,),)=0,"#N/A",(((VLOOKUP(B48,Data!$A:$AN,MATCH(yoy!$I$1,Data!$A$1:$AN$1,),)-VLOOKUP(A48,Data!$A:$AN,MATCH(yoy!$I$1,Data!$A$1:$AN$1,),))/VLOOKUP(A48,Data!$A:$AN,MATCH(yoy!$I$1,Data!$A$1:$AN$1,),))+1)^12-1)</f>
        <v/>
      </c>
      <c r="J48" s="14">
        <f>IF(VLOOKUP(B48,Data!$A:$AN,MATCH(yoy!$J$1,Data!$A$1:$AN$1,),)=0,"#N/A",(((VLOOKUP(B48,Data!$A:$AN,MATCH(yoy!$J$1,Data!$A$1:$AN$1,),)-VLOOKUP(A48,Data!$A:$AN,MATCH(yoy!$J$1,Data!$A$1:$AN$1,),))/VLOOKUP(A48,Data!$A:$AN,MATCH(yoy!$J$1,Data!$A$1:$AN$1,),))+1)^12-1)</f>
        <v/>
      </c>
      <c r="K48" s="14">
        <f>IF(VLOOKUP(B48,Data!$A:$AN,MATCH(yoy!$K$1,Data!$A$1:$AN$1,),)=0,"#N/A",(((VLOOKUP(B48,Data!$A:$AN,MATCH(yoy!$K$1,Data!$A$1:$AN$1,),)-VLOOKUP(A48,Data!$A:$AN,MATCH(yoy!$K$1,Data!$A$1:$AN$1,),))/VLOOKUP(A48,Data!$A:$AN,MATCH(yoy!$K$1,Data!$A$1:$AN$1,),))+1)^12-1)</f>
        <v/>
      </c>
      <c r="L48" s="14">
        <f>IF(VLOOKUP(B48,Data!$A:$AN,MATCH(yoy!$L$1,Data!$A$1:$AN$1,),)=0,"#N/A",(((VLOOKUP(B48,Data!$A:$AN,MATCH(yoy!$L$1,Data!$A$1:$AN$1,),)-VLOOKUP(A48,Data!$A:$AN,MATCH(yoy!$L$1,Data!$A$1:$AN$1,),))/VLOOKUP(A48,Data!$A:$AN,MATCH(yoy!$L$1,Data!$A$1:$AN$1,),))+1)^12-1)</f>
        <v/>
      </c>
      <c r="M48" s="14">
        <f>IF(VLOOKUP(B48,Data!$A:$AN,MATCH(yoy!$M$1,Data!$A$1:$AN$1,),)=0,"#N/A",(((VLOOKUP(B48,Data!$A:$AN,MATCH(yoy!$M$1,Data!$A$1:$AN$1,),)-VLOOKUP(A48,Data!$A:$AN,MATCH(yoy!$M$1,Data!$A$1:$AN$1,),))/VLOOKUP(A48,Data!$A:$AN,MATCH(yoy!$M$1,Data!$A$1:$AN$1,),))+1)^12-1)</f>
        <v/>
      </c>
      <c r="N48" s="14">
        <f>IF(VLOOKUP(B48,Data!$A:$AN,MATCH(yoy!$N$1,Data!$A$1:$AN$1,),)=0,"#N/A",(((VLOOKUP(B48,Data!$A:$AN,MATCH(yoy!$N$1,Data!$A$1:$AN$1,),)-VLOOKUP(A48,Data!$A:$AN,MATCH(yoy!$N$1,Data!$A$1:$AN$1,),))/VLOOKUP(A48,Data!$A:$AN,MATCH(yoy!$N$1,Data!$A$1:$AN$1,),))+1)^12-1)</f>
        <v/>
      </c>
      <c r="O48" s="14">
        <f>IF(VLOOKUP(B48,Data!$A:$AN,MATCH(yoy!$O$1,Data!$A$1:$AN$1,),)=0,"#N/A",(((VLOOKUP(B48,Data!$A:$AN,MATCH(yoy!$O$1,Data!$A$1:$AN$1,),)-VLOOKUP(A48,Data!$A:$AN,MATCH(yoy!$O$1,Data!$A$1:$AN$1,),))/VLOOKUP(A48,Data!$A:$AN,MATCH(yoy!$O$1,Data!$A$1:$AN$1,),))+1)^12-1)</f>
        <v/>
      </c>
      <c r="P48" s="14">
        <f>IF(VLOOKUP(B48,Data!$A:$AN,MATCH(yoy!$P$1,Data!$A$1:$AN$1,),)=0,"#N/A",(((VLOOKUP(B48,Data!$A:$AN,MATCH(yoy!$P$1,Data!$A$1:$AN$1,),)-VLOOKUP(A48,Data!$A:$AN,MATCH(yoy!$P$1,Data!$A$1:$AN$1,),))/VLOOKUP(A48,Data!$A:$AN,MATCH(yoy!$P$1,Data!$A$1:$AN$1,),))+1)^12-1)</f>
        <v/>
      </c>
      <c r="Q48" s="14">
        <f>IF(VLOOKUP(B48,Data!$A:$AN,MATCH(yoy!$Q$1,Data!$A$1:$AN$1,),)=0,"#N/A",(((VLOOKUP(B48,Data!$A:$AN,MATCH(yoy!$Q$1,Data!$A$1:$AN$1,),)-VLOOKUP(A48,Data!$A:$AN,MATCH(yoy!$Q$1,Data!$A$1:$AN$1,),))/VLOOKUP(A48,Data!$A:$AN,MATCH(yoy!$Q$1,Data!$A$1:$AN$1,),))+1)^12-1)</f>
        <v/>
      </c>
      <c r="R48" s="14">
        <f>IF(VLOOKUP(B48,Data!$A:$AN,MATCH(yoy!$R$1,Data!$A$1:$AN$1,),)=0,"#N/A",(((VLOOKUP(B48,Data!$A:$AN,MATCH(yoy!$R$1,Data!$A$1:$AN$1,),)-VLOOKUP(A48,Data!$A:$AN,MATCH(yoy!$R$1,Data!$A$1:$AN$1,),))/VLOOKUP(A48,Data!$A:$AN,MATCH(yoy!$R$1,Data!$A$1:$AN$1,),))+1)^12-1)</f>
        <v/>
      </c>
      <c r="S48" s="14">
        <f>IF(VLOOKUP(B48,Data!$A:$AN,MATCH(yoy!$S$1,Data!$A$1:$AN$1,),)=0,"#N/A",(((VLOOKUP(B48,Data!$A:$AN,MATCH(yoy!$S$1,Data!$A$1:$AN$1,),)-VLOOKUP(A48,Data!$A:$AN,MATCH(yoy!$S$1,Data!$A$1:$AN$1,),))/VLOOKUP(A48,Data!$A:$AN,MATCH(yoy!$S$1,Data!$A$1:$AN$1,),))+1)^12-1)</f>
        <v/>
      </c>
      <c r="T48" s="14">
        <f>IF(VLOOKUP(B48,Data!$A:$AN,MATCH(yoy!$T$1,Data!$A$1:$AN$1,),)=0,"#N/A",(((VLOOKUP(B48,Data!$A:$AN,MATCH(yoy!$T$1,Data!$A$1:$AN$1,),)-VLOOKUP(A48,Data!$A:$AN,MATCH(yoy!$T$1,Data!$A$1:$AN$1,),))/VLOOKUP(A48,Data!$A:$AN,MATCH(yoy!$T$1,Data!$A$1:$AN$1,),))+1)^12-1)</f>
        <v/>
      </c>
      <c r="U48" s="14">
        <f>IF(VLOOKUP(B48,Data!$A:$AN,MATCH(yoy!$U$1,Data!$A$1:$AN$1,),)=0,"#N/A",(((VLOOKUP(B48,Data!$A:$AN,MATCH(yoy!$U$1,Data!$A$1:$AN$1,),)-VLOOKUP(A48,Data!$A:$AN,MATCH(yoy!$U$1,Data!$A$1:$AN$1,),))/VLOOKUP(A48,Data!$A:$AN,MATCH(yoy!$U$1,Data!$A$1:$AN$1,),))+1)^12-1)</f>
        <v/>
      </c>
      <c r="V48" s="14">
        <f>IF(VLOOKUP(B48,Data!$A:$AN,MATCH(yoy!$V$1,Data!$A$1:$AN$1,),)=0,"#N/A",(((VLOOKUP(B48,Data!$A:$AN,MATCH(yoy!$V$1,Data!$A$1:$AN$1,),)-VLOOKUP(A48,Data!$A:$AN,MATCH(yoy!$V$1,Data!$A$1:$AN$1,),))/VLOOKUP(A48,Data!$A:$AN,MATCH(yoy!$V$1,Data!$A$1:$AN$1,),))+1)^12-1)</f>
        <v/>
      </c>
      <c r="W48" s="14">
        <f>IF(VLOOKUP(B48,Data!$A:$AN,MATCH(yoy!$W$1,Data!$A$1:$AN$1,),)=0,"#N/A",(((VLOOKUP(B48,Data!$A:$AN,MATCH(yoy!$W$1,Data!$A$1:$AN$1,),)-VLOOKUP(A48,Data!$A:$AN,MATCH(yoy!$W$1,Data!$A$1:$AN$1,),))/VLOOKUP(A48,Data!$A:$AN,MATCH(yoy!$W$1,Data!$A$1:$AN$1,),))+1)^12-1)</f>
        <v/>
      </c>
      <c r="X48" s="14">
        <f>IF(VLOOKUP(B48,Data!$A:$AN,MATCH(yoy!$X$1,Data!$A$1:$AN$1,),)=0,"#N/A",(((VLOOKUP(B48,Data!$A:$AN,MATCH(yoy!$X$1,Data!$A$1:$AN$1,),)-VLOOKUP(A48,Data!$A:$AN,MATCH(yoy!$X$1,Data!$A$1:$AN$1,),))/VLOOKUP(A48,Data!$A:$AN,MATCH(yoy!$X$1,Data!$A$1:$AN$1,),))+1)^12-1)</f>
        <v/>
      </c>
      <c r="Y48" s="14">
        <f>IF(VLOOKUP(B48,Data!$A:$AN,MATCH(yoy!$Y$1,Data!$A$1:$AN$1,),)=0,"#N/A",(((VLOOKUP(B48,Data!$A:$AN,MATCH(yoy!$Y$1,Data!$A$1:$AN$1,),)-VLOOKUP(A48,Data!$A:$AN,MATCH(yoy!$Y$1,Data!$A$1:$AN$1,),))/VLOOKUP(A48,Data!$A:$AN,MATCH(yoy!$Y$1,Data!$A$1:$AN$1,),))+1)^12-1)</f>
        <v/>
      </c>
      <c r="Z48" s="14">
        <f>IF(VLOOKUP(B48,Data!$A:$AN,MATCH(yoy!$Z$1,Data!$A$1:$AN$1,),)=0,"#N/A",(((VLOOKUP(B48,Data!$A:$AN,MATCH(yoy!$Z$1,Data!$A$1:$AN$1,),)-VLOOKUP(A48,Data!$A:$AN,MATCH(yoy!$Z$1,Data!$A$1:$AN$1,),))/VLOOKUP(A48,Data!$A:$AN,MATCH(yoy!$Z$1,Data!$A$1:$AN$1,),))+1)^12-1)</f>
        <v/>
      </c>
      <c r="AA48" s="14">
        <f>IF(VLOOKUP(B48,Data!$A:$AN,MATCH(yoy!$AA$1,Data!$A$1:$AN$1,),)=0,"#N/A",(((VLOOKUP(B48,Data!$A:$AN,MATCH(yoy!$AA$1,Data!$A$1:$AN$1,),)-VLOOKUP(A48,Data!$A:$AN,MATCH(yoy!$AA$1,Data!$A$1:$AN$1,),))/VLOOKUP(A48,Data!$A:$AN,MATCH(yoy!$AA$1,Data!$A$1:$AN$1,),))+1)^12-1)</f>
        <v/>
      </c>
    </row>
    <row r="49" customFormat="1" s="77">
      <c r="A49" s="20">
        <f>DATE(YEAR(B49),MONTH(B49)-1,DAY(B49))</f>
        <v/>
      </c>
      <c r="B49" s="12" t="n">
        <v>43344</v>
      </c>
      <c r="C49" s="14">
        <f>IF(VLOOKUP(B49,Data!$A:$AN,MATCH(yoy!$C$1,Data!$A$1:$AN$1,),)=0,"#N/A",(((VLOOKUP(B49,Data!$A:$AN,MATCH(yoy!$C$1,Data!$A$1:$AN$1,),)-VLOOKUP(A49,Data!$A:$AN,MATCH(yoy!$C$1,Data!$A$1:$AN$1,),))/VLOOKUP(A49,Data!$A:$AN,MATCH(yoy!$C$1,Data!$A$1:$AN$1,),))+1)^12-1)</f>
        <v/>
      </c>
      <c r="D49" s="14">
        <f>IF(VLOOKUP(B49,Data!$A:$AN,MATCH(yoy!$D$1,Data!$A$1:$AN$1,),)=0,"#N/A",(((VLOOKUP(B49,Data!$A:$AN,MATCH(yoy!$D$1,Data!$A$1:$AN$1,),)-VLOOKUP(A49,Data!$A:$AN,MATCH(yoy!$D$1,Data!$A$1:$AN$1,),))/VLOOKUP(A49,Data!$A:$AN,MATCH(yoy!$D$1,Data!$A$1:$AN$1,),))+1)^12-1)</f>
        <v/>
      </c>
      <c r="E49" s="14">
        <f>IF(VLOOKUP(B49,Data!$A:$AN,MATCH(yoy!$E$1,Data!$A$1:$AN$1,),)=0,"#N/A",(((VLOOKUP(B49,Data!$A:$AN,MATCH(yoy!$E$1,Data!$A$1:$AN$1,),)-VLOOKUP(A49,Data!$A:$AN,MATCH(yoy!$E$1,Data!$A$1:$AN$1,),))/VLOOKUP(A49,Data!$A:$AN,MATCH(yoy!$E$1,Data!$A$1:$AN$1,),))+1)^12-1)</f>
        <v/>
      </c>
      <c r="F49" s="14">
        <f>IF(VLOOKUP(B49,Data!$A:$AN,MATCH(yoy!$F$1,Data!$A$1:$AN$1,),)=0,"#N/A",(((VLOOKUP(B49,Data!$A:$AN,MATCH(yoy!$F$1,Data!$A$1:$AN$1,),)-VLOOKUP(A49,Data!$A:$AN,MATCH(yoy!$F$1,Data!$A$1:$AN$1,),))/VLOOKUP(A49,Data!$A:$AN,MATCH(yoy!$F$1,Data!$A$1:$AN$1,),))+1)^12-1)</f>
        <v/>
      </c>
      <c r="G49" s="14">
        <f>IF(VLOOKUP(B49,Data!$A:$AN,MATCH(yoy!$G$1,Data!$A$1:$AN$1,),)=0,"#N/A",(((VLOOKUP(B49,Data!$A:$AN,MATCH(yoy!$G$1,Data!$A$1:$AN$1,),)-VLOOKUP(A49,Data!$A:$AN,MATCH(yoy!$G$1,Data!$A$1:$AN$1,),))/VLOOKUP(A49,Data!$A:$AN,MATCH(yoy!$G$1,Data!$A$1:$AN$1,),))+1)^12-1)</f>
        <v/>
      </c>
      <c r="H49" s="14">
        <f>IF(VLOOKUP(B49,Data!$A:$AN,MATCH(yoy!$H$1,Data!$A$1:$AN$1,),)=0,"#N/A",(((VLOOKUP(B49,Data!$A:$AN,MATCH(yoy!$H$1,Data!$A$1:$AN$1,),)-VLOOKUP(A49,Data!$A:$AN,MATCH(yoy!$H$1,Data!$A$1:$AN$1,),))/VLOOKUP(A49,Data!$A:$AN,MATCH(yoy!$H$1,Data!$A$1:$AN$1,),))+1)^12-1)</f>
        <v/>
      </c>
      <c r="I49" s="14">
        <f>IF(VLOOKUP(B49,Data!$A:$AN,MATCH(yoy!$I$1,Data!$A$1:$AN$1,),)=0,"#N/A",(((VLOOKUP(B49,Data!$A:$AN,MATCH(yoy!$I$1,Data!$A$1:$AN$1,),)-VLOOKUP(A49,Data!$A:$AN,MATCH(yoy!$I$1,Data!$A$1:$AN$1,),))/VLOOKUP(A49,Data!$A:$AN,MATCH(yoy!$I$1,Data!$A$1:$AN$1,),))+1)^12-1)</f>
        <v/>
      </c>
      <c r="J49" s="14">
        <f>IF(VLOOKUP(B49,Data!$A:$AN,MATCH(yoy!$J$1,Data!$A$1:$AN$1,),)=0,"#N/A",(((VLOOKUP(B49,Data!$A:$AN,MATCH(yoy!$J$1,Data!$A$1:$AN$1,),)-VLOOKUP(A49,Data!$A:$AN,MATCH(yoy!$J$1,Data!$A$1:$AN$1,),))/VLOOKUP(A49,Data!$A:$AN,MATCH(yoy!$J$1,Data!$A$1:$AN$1,),))+1)^12-1)</f>
        <v/>
      </c>
      <c r="K49" s="14">
        <f>IF(VLOOKUP(B49,Data!$A:$AN,MATCH(yoy!$K$1,Data!$A$1:$AN$1,),)=0,"#N/A",(((VLOOKUP(B49,Data!$A:$AN,MATCH(yoy!$K$1,Data!$A$1:$AN$1,),)-VLOOKUP(A49,Data!$A:$AN,MATCH(yoy!$K$1,Data!$A$1:$AN$1,),))/VLOOKUP(A49,Data!$A:$AN,MATCH(yoy!$K$1,Data!$A$1:$AN$1,),))+1)^12-1)</f>
        <v/>
      </c>
      <c r="L49" s="14">
        <f>IF(VLOOKUP(B49,Data!$A:$AN,MATCH(yoy!$L$1,Data!$A$1:$AN$1,),)=0,"#N/A",(((VLOOKUP(B49,Data!$A:$AN,MATCH(yoy!$L$1,Data!$A$1:$AN$1,),)-VLOOKUP(A49,Data!$A:$AN,MATCH(yoy!$L$1,Data!$A$1:$AN$1,),))/VLOOKUP(A49,Data!$A:$AN,MATCH(yoy!$L$1,Data!$A$1:$AN$1,),))+1)^12-1)</f>
        <v/>
      </c>
      <c r="M49" s="14">
        <f>IF(VLOOKUP(B49,Data!$A:$AN,MATCH(yoy!$M$1,Data!$A$1:$AN$1,),)=0,"#N/A",(((VLOOKUP(B49,Data!$A:$AN,MATCH(yoy!$M$1,Data!$A$1:$AN$1,),)-VLOOKUP(A49,Data!$A:$AN,MATCH(yoy!$M$1,Data!$A$1:$AN$1,),))/VLOOKUP(A49,Data!$A:$AN,MATCH(yoy!$M$1,Data!$A$1:$AN$1,),))+1)^12-1)</f>
        <v/>
      </c>
      <c r="N49" s="14">
        <f>IF(VLOOKUP(B49,Data!$A:$AN,MATCH(yoy!$N$1,Data!$A$1:$AN$1,),)=0,"#N/A",(((VLOOKUP(B49,Data!$A:$AN,MATCH(yoy!$N$1,Data!$A$1:$AN$1,),)-VLOOKUP(A49,Data!$A:$AN,MATCH(yoy!$N$1,Data!$A$1:$AN$1,),))/VLOOKUP(A49,Data!$A:$AN,MATCH(yoy!$N$1,Data!$A$1:$AN$1,),))+1)^12-1)</f>
        <v/>
      </c>
      <c r="O49" s="14">
        <f>IF(VLOOKUP(B49,Data!$A:$AN,MATCH(yoy!$O$1,Data!$A$1:$AN$1,),)=0,"#N/A",(((VLOOKUP(B49,Data!$A:$AN,MATCH(yoy!$O$1,Data!$A$1:$AN$1,),)-VLOOKUP(A49,Data!$A:$AN,MATCH(yoy!$O$1,Data!$A$1:$AN$1,),))/VLOOKUP(A49,Data!$A:$AN,MATCH(yoy!$O$1,Data!$A$1:$AN$1,),))+1)^12-1)</f>
        <v/>
      </c>
      <c r="P49" s="14">
        <f>IF(VLOOKUP(B49,Data!$A:$AN,MATCH(yoy!$P$1,Data!$A$1:$AN$1,),)=0,"#N/A",(((VLOOKUP(B49,Data!$A:$AN,MATCH(yoy!$P$1,Data!$A$1:$AN$1,),)-VLOOKUP(A49,Data!$A:$AN,MATCH(yoy!$P$1,Data!$A$1:$AN$1,),))/VLOOKUP(A49,Data!$A:$AN,MATCH(yoy!$P$1,Data!$A$1:$AN$1,),))+1)^12-1)</f>
        <v/>
      </c>
      <c r="Q49" s="14">
        <f>IF(VLOOKUP(B49,Data!$A:$AN,MATCH(yoy!$Q$1,Data!$A$1:$AN$1,),)=0,"#N/A",(((VLOOKUP(B49,Data!$A:$AN,MATCH(yoy!$Q$1,Data!$A$1:$AN$1,),)-VLOOKUP(A49,Data!$A:$AN,MATCH(yoy!$Q$1,Data!$A$1:$AN$1,),))/VLOOKUP(A49,Data!$A:$AN,MATCH(yoy!$Q$1,Data!$A$1:$AN$1,),))+1)^12-1)</f>
        <v/>
      </c>
      <c r="R49" s="14">
        <f>IF(VLOOKUP(B49,Data!$A:$AN,MATCH(yoy!$R$1,Data!$A$1:$AN$1,),)=0,"#N/A",(((VLOOKUP(B49,Data!$A:$AN,MATCH(yoy!$R$1,Data!$A$1:$AN$1,),)-VLOOKUP(A49,Data!$A:$AN,MATCH(yoy!$R$1,Data!$A$1:$AN$1,),))/VLOOKUP(A49,Data!$A:$AN,MATCH(yoy!$R$1,Data!$A$1:$AN$1,),))+1)^12-1)</f>
        <v/>
      </c>
      <c r="S49" s="14">
        <f>IF(VLOOKUP(B49,Data!$A:$AN,MATCH(yoy!$S$1,Data!$A$1:$AN$1,),)=0,"#N/A",(((VLOOKUP(B49,Data!$A:$AN,MATCH(yoy!$S$1,Data!$A$1:$AN$1,),)-VLOOKUP(A49,Data!$A:$AN,MATCH(yoy!$S$1,Data!$A$1:$AN$1,),))/VLOOKUP(A49,Data!$A:$AN,MATCH(yoy!$S$1,Data!$A$1:$AN$1,),))+1)^12-1)</f>
        <v/>
      </c>
      <c r="T49" s="14">
        <f>IF(VLOOKUP(B49,Data!$A:$AN,MATCH(yoy!$T$1,Data!$A$1:$AN$1,),)=0,"#N/A",(((VLOOKUP(B49,Data!$A:$AN,MATCH(yoy!$T$1,Data!$A$1:$AN$1,),)-VLOOKUP(A49,Data!$A:$AN,MATCH(yoy!$T$1,Data!$A$1:$AN$1,),))/VLOOKUP(A49,Data!$A:$AN,MATCH(yoy!$T$1,Data!$A$1:$AN$1,),))+1)^12-1)</f>
        <v/>
      </c>
      <c r="U49" s="14">
        <f>IF(VLOOKUP(B49,Data!$A:$AN,MATCH(yoy!$U$1,Data!$A$1:$AN$1,),)=0,"#N/A",(((VLOOKUP(B49,Data!$A:$AN,MATCH(yoy!$U$1,Data!$A$1:$AN$1,),)-VLOOKUP(A49,Data!$A:$AN,MATCH(yoy!$U$1,Data!$A$1:$AN$1,),))/VLOOKUP(A49,Data!$A:$AN,MATCH(yoy!$U$1,Data!$A$1:$AN$1,),))+1)^12-1)</f>
        <v/>
      </c>
      <c r="V49" s="14">
        <f>IF(VLOOKUP(B49,Data!$A:$AN,MATCH(yoy!$V$1,Data!$A$1:$AN$1,),)=0,"#N/A",(((VLOOKUP(B49,Data!$A:$AN,MATCH(yoy!$V$1,Data!$A$1:$AN$1,),)-VLOOKUP(A49,Data!$A:$AN,MATCH(yoy!$V$1,Data!$A$1:$AN$1,),))/VLOOKUP(A49,Data!$A:$AN,MATCH(yoy!$V$1,Data!$A$1:$AN$1,),))+1)^12-1)</f>
        <v/>
      </c>
      <c r="W49" s="14">
        <f>IF(VLOOKUP(B49,Data!$A:$AN,MATCH(yoy!$W$1,Data!$A$1:$AN$1,),)=0,"#N/A",(((VLOOKUP(B49,Data!$A:$AN,MATCH(yoy!$W$1,Data!$A$1:$AN$1,),)-VLOOKUP(A49,Data!$A:$AN,MATCH(yoy!$W$1,Data!$A$1:$AN$1,),))/VLOOKUP(A49,Data!$A:$AN,MATCH(yoy!$W$1,Data!$A$1:$AN$1,),))+1)^12-1)</f>
        <v/>
      </c>
      <c r="X49" s="14">
        <f>IF(VLOOKUP(B49,Data!$A:$AN,MATCH(yoy!$X$1,Data!$A$1:$AN$1,),)=0,"#N/A",(((VLOOKUP(B49,Data!$A:$AN,MATCH(yoy!$X$1,Data!$A$1:$AN$1,),)-VLOOKUP(A49,Data!$A:$AN,MATCH(yoy!$X$1,Data!$A$1:$AN$1,),))/VLOOKUP(A49,Data!$A:$AN,MATCH(yoy!$X$1,Data!$A$1:$AN$1,),))+1)^12-1)</f>
        <v/>
      </c>
      <c r="Y49" s="14">
        <f>IF(VLOOKUP(B49,Data!$A:$AN,MATCH(yoy!$Y$1,Data!$A$1:$AN$1,),)=0,"#N/A",(((VLOOKUP(B49,Data!$A:$AN,MATCH(yoy!$Y$1,Data!$A$1:$AN$1,),)-VLOOKUP(A49,Data!$A:$AN,MATCH(yoy!$Y$1,Data!$A$1:$AN$1,),))/VLOOKUP(A49,Data!$A:$AN,MATCH(yoy!$Y$1,Data!$A$1:$AN$1,),))+1)^12-1)</f>
        <v/>
      </c>
      <c r="Z49" s="14">
        <f>IF(VLOOKUP(B49,Data!$A:$AN,MATCH(yoy!$Z$1,Data!$A$1:$AN$1,),)=0,"#N/A",(((VLOOKUP(B49,Data!$A:$AN,MATCH(yoy!$Z$1,Data!$A$1:$AN$1,),)-VLOOKUP(A49,Data!$A:$AN,MATCH(yoy!$Z$1,Data!$A$1:$AN$1,),))/VLOOKUP(A49,Data!$A:$AN,MATCH(yoy!$Z$1,Data!$A$1:$AN$1,),))+1)^12-1)</f>
        <v/>
      </c>
      <c r="AA49" s="14">
        <f>IF(VLOOKUP(B49,Data!$A:$AN,MATCH(yoy!$AA$1,Data!$A$1:$AN$1,),)=0,"#N/A",(((VLOOKUP(B49,Data!$A:$AN,MATCH(yoy!$AA$1,Data!$A$1:$AN$1,),)-VLOOKUP(A49,Data!$A:$AN,MATCH(yoy!$AA$1,Data!$A$1:$AN$1,),))/VLOOKUP(A49,Data!$A:$AN,MATCH(yoy!$AA$1,Data!$A$1:$AN$1,),))+1)^12-1)</f>
        <v/>
      </c>
    </row>
    <row r="50" customFormat="1" s="77">
      <c r="A50" s="20">
        <f>DATE(YEAR(B50),MONTH(B50)-1,DAY(B50))</f>
        <v/>
      </c>
      <c r="B50" s="12" t="n">
        <v>43374</v>
      </c>
      <c r="C50" s="14">
        <f>IF(VLOOKUP(B50,Data!$A:$AN,MATCH(yoy!$C$1,Data!$A$1:$AN$1,),)=0,"#N/A",(((VLOOKUP(B50,Data!$A:$AN,MATCH(yoy!$C$1,Data!$A$1:$AN$1,),)-VLOOKUP(A50,Data!$A:$AN,MATCH(yoy!$C$1,Data!$A$1:$AN$1,),))/VLOOKUP(A50,Data!$A:$AN,MATCH(yoy!$C$1,Data!$A$1:$AN$1,),))+1)^12-1)</f>
        <v/>
      </c>
      <c r="D50" s="14">
        <f>IF(VLOOKUP(B50,Data!$A:$AN,MATCH(yoy!$D$1,Data!$A$1:$AN$1,),)=0,"#N/A",(((VLOOKUP(B50,Data!$A:$AN,MATCH(yoy!$D$1,Data!$A$1:$AN$1,),)-VLOOKUP(A50,Data!$A:$AN,MATCH(yoy!$D$1,Data!$A$1:$AN$1,),))/VLOOKUP(A50,Data!$A:$AN,MATCH(yoy!$D$1,Data!$A$1:$AN$1,),))+1)^12-1)</f>
        <v/>
      </c>
      <c r="E50" s="14">
        <f>IF(VLOOKUP(B50,Data!$A:$AN,MATCH(yoy!$E$1,Data!$A$1:$AN$1,),)=0,"#N/A",(((VLOOKUP(B50,Data!$A:$AN,MATCH(yoy!$E$1,Data!$A$1:$AN$1,),)-VLOOKUP(A50,Data!$A:$AN,MATCH(yoy!$E$1,Data!$A$1:$AN$1,),))/VLOOKUP(A50,Data!$A:$AN,MATCH(yoy!$E$1,Data!$A$1:$AN$1,),))+1)^12-1)</f>
        <v/>
      </c>
      <c r="F50" s="14">
        <f>IF(VLOOKUP(B50,Data!$A:$AN,MATCH(yoy!$F$1,Data!$A$1:$AN$1,),)=0,"#N/A",(((VLOOKUP(B50,Data!$A:$AN,MATCH(yoy!$F$1,Data!$A$1:$AN$1,),)-VLOOKUP(A50,Data!$A:$AN,MATCH(yoy!$F$1,Data!$A$1:$AN$1,),))/VLOOKUP(A50,Data!$A:$AN,MATCH(yoy!$F$1,Data!$A$1:$AN$1,),))+1)^12-1)</f>
        <v/>
      </c>
      <c r="G50" s="14">
        <f>IF(VLOOKUP(B50,Data!$A:$AN,MATCH(yoy!$G$1,Data!$A$1:$AN$1,),)=0,"#N/A",(((VLOOKUP(B50,Data!$A:$AN,MATCH(yoy!$G$1,Data!$A$1:$AN$1,),)-VLOOKUP(A50,Data!$A:$AN,MATCH(yoy!$G$1,Data!$A$1:$AN$1,),))/VLOOKUP(A50,Data!$A:$AN,MATCH(yoy!$G$1,Data!$A$1:$AN$1,),))+1)^12-1)</f>
        <v/>
      </c>
      <c r="H50" s="14">
        <f>IF(VLOOKUP(B50,Data!$A:$AN,MATCH(yoy!$H$1,Data!$A$1:$AN$1,),)=0,"#N/A",(((VLOOKUP(B50,Data!$A:$AN,MATCH(yoy!$H$1,Data!$A$1:$AN$1,),)-VLOOKUP(A50,Data!$A:$AN,MATCH(yoy!$H$1,Data!$A$1:$AN$1,),))/VLOOKUP(A50,Data!$A:$AN,MATCH(yoy!$H$1,Data!$A$1:$AN$1,),))+1)^12-1)</f>
        <v/>
      </c>
      <c r="I50" s="14">
        <f>IF(VLOOKUP(B50,Data!$A:$AN,MATCH(yoy!$I$1,Data!$A$1:$AN$1,),)=0,"#N/A",(((VLOOKUP(B50,Data!$A:$AN,MATCH(yoy!$I$1,Data!$A$1:$AN$1,),)-VLOOKUP(A50,Data!$A:$AN,MATCH(yoy!$I$1,Data!$A$1:$AN$1,),))/VLOOKUP(A50,Data!$A:$AN,MATCH(yoy!$I$1,Data!$A$1:$AN$1,),))+1)^12-1)</f>
        <v/>
      </c>
      <c r="J50" s="14">
        <f>IF(VLOOKUP(B50,Data!$A:$AN,MATCH(yoy!$J$1,Data!$A$1:$AN$1,),)=0,"#N/A",(((VLOOKUP(B50,Data!$A:$AN,MATCH(yoy!$J$1,Data!$A$1:$AN$1,),)-VLOOKUP(A50,Data!$A:$AN,MATCH(yoy!$J$1,Data!$A$1:$AN$1,),))/VLOOKUP(A50,Data!$A:$AN,MATCH(yoy!$J$1,Data!$A$1:$AN$1,),))+1)^12-1)</f>
        <v/>
      </c>
      <c r="K50" s="14">
        <f>IF(VLOOKUP(B50,Data!$A:$AN,MATCH(yoy!$K$1,Data!$A$1:$AN$1,),)=0,"#N/A",(((VLOOKUP(B50,Data!$A:$AN,MATCH(yoy!$K$1,Data!$A$1:$AN$1,),)-VLOOKUP(A50,Data!$A:$AN,MATCH(yoy!$K$1,Data!$A$1:$AN$1,),))/VLOOKUP(A50,Data!$A:$AN,MATCH(yoy!$K$1,Data!$A$1:$AN$1,),))+1)^12-1)</f>
        <v/>
      </c>
      <c r="L50" s="14">
        <f>IF(VLOOKUP(B50,Data!$A:$AN,MATCH(yoy!$L$1,Data!$A$1:$AN$1,),)=0,"#N/A",(((VLOOKUP(B50,Data!$A:$AN,MATCH(yoy!$L$1,Data!$A$1:$AN$1,),)-VLOOKUP(A50,Data!$A:$AN,MATCH(yoy!$L$1,Data!$A$1:$AN$1,),))/VLOOKUP(A50,Data!$A:$AN,MATCH(yoy!$L$1,Data!$A$1:$AN$1,),))+1)^12-1)</f>
        <v/>
      </c>
      <c r="M50" s="14">
        <f>IF(VLOOKUP(B50,Data!$A:$AN,MATCH(yoy!$M$1,Data!$A$1:$AN$1,),)=0,"#N/A",(((VLOOKUP(B50,Data!$A:$AN,MATCH(yoy!$M$1,Data!$A$1:$AN$1,),)-VLOOKUP(A50,Data!$A:$AN,MATCH(yoy!$M$1,Data!$A$1:$AN$1,),))/VLOOKUP(A50,Data!$A:$AN,MATCH(yoy!$M$1,Data!$A$1:$AN$1,),))+1)^12-1)</f>
        <v/>
      </c>
      <c r="N50" s="14">
        <f>IF(VLOOKUP(B50,Data!$A:$AN,MATCH(yoy!$N$1,Data!$A$1:$AN$1,),)=0,"#N/A",(((VLOOKUP(B50,Data!$A:$AN,MATCH(yoy!$N$1,Data!$A$1:$AN$1,),)-VLOOKUP(A50,Data!$A:$AN,MATCH(yoy!$N$1,Data!$A$1:$AN$1,),))/VLOOKUP(A50,Data!$A:$AN,MATCH(yoy!$N$1,Data!$A$1:$AN$1,),))+1)^12-1)</f>
        <v/>
      </c>
      <c r="O50" s="14">
        <f>IF(VLOOKUP(B50,Data!$A:$AN,MATCH(yoy!$O$1,Data!$A$1:$AN$1,),)=0,"#N/A",(((VLOOKUP(B50,Data!$A:$AN,MATCH(yoy!$O$1,Data!$A$1:$AN$1,),)-VLOOKUP(A50,Data!$A:$AN,MATCH(yoy!$O$1,Data!$A$1:$AN$1,),))/VLOOKUP(A50,Data!$A:$AN,MATCH(yoy!$O$1,Data!$A$1:$AN$1,),))+1)^12-1)</f>
        <v/>
      </c>
      <c r="P50" s="14">
        <f>IF(VLOOKUP(B50,Data!$A:$AN,MATCH(yoy!$P$1,Data!$A$1:$AN$1,),)=0,"#N/A",(((VLOOKUP(B50,Data!$A:$AN,MATCH(yoy!$P$1,Data!$A$1:$AN$1,),)-VLOOKUP(A50,Data!$A:$AN,MATCH(yoy!$P$1,Data!$A$1:$AN$1,),))/VLOOKUP(A50,Data!$A:$AN,MATCH(yoy!$P$1,Data!$A$1:$AN$1,),))+1)^12-1)</f>
        <v/>
      </c>
      <c r="Q50" s="14">
        <f>IF(VLOOKUP(B50,Data!$A:$AN,MATCH(yoy!$Q$1,Data!$A$1:$AN$1,),)=0,"#N/A",(((VLOOKUP(B50,Data!$A:$AN,MATCH(yoy!$Q$1,Data!$A$1:$AN$1,),)-VLOOKUP(A50,Data!$A:$AN,MATCH(yoy!$Q$1,Data!$A$1:$AN$1,),))/VLOOKUP(A50,Data!$A:$AN,MATCH(yoy!$Q$1,Data!$A$1:$AN$1,),))+1)^12-1)</f>
        <v/>
      </c>
      <c r="R50" s="14">
        <f>IF(VLOOKUP(B50,Data!$A:$AN,MATCH(yoy!$R$1,Data!$A$1:$AN$1,),)=0,"#N/A",(((VLOOKUP(B50,Data!$A:$AN,MATCH(yoy!$R$1,Data!$A$1:$AN$1,),)-VLOOKUP(A50,Data!$A:$AN,MATCH(yoy!$R$1,Data!$A$1:$AN$1,),))/VLOOKUP(A50,Data!$A:$AN,MATCH(yoy!$R$1,Data!$A$1:$AN$1,),))+1)^12-1)</f>
        <v/>
      </c>
      <c r="S50" s="14">
        <f>IF(VLOOKUP(B50,Data!$A:$AN,MATCH(yoy!$S$1,Data!$A$1:$AN$1,),)=0,"#N/A",(((VLOOKUP(B50,Data!$A:$AN,MATCH(yoy!$S$1,Data!$A$1:$AN$1,),)-VLOOKUP(A50,Data!$A:$AN,MATCH(yoy!$S$1,Data!$A$1:$AN$1,),))/VLOOKUP(A50,Data!$A:$AN,MATCH(yoy!$S$1,Data!$A$1:$AN$1,),))+1)^12-1)</f>
        <v/>
      </c>
      <c r="T50" s="14">
        <f>IF(VLOOKUP(B50,Data!$A:$AN,MATCH(yoy!$T$1,Data!$A$1:$AN$1,),)=0,"#N/A",(((VLOOKUP(B50,Data!$A:$AN,MATCH(yoy!$T$1,Data!$A$1:$AN$1,),)-VLOOKUP(A50,Data!$A:$AN,MATCH(yoy!$T$1,Data!$A$1:$AN$1,),))/VLOOKUP(A50,Data!$A:$AN,MATCH(yoy!$T$1,Data!$A$1:$AN$1,),))+1)^12-1)</f>
        <v/>
      </c>
      <c r="U50" s="14">
        <f>IF(VLOOKUP(B50,Data!$A:$AN,MATCH(yoy!$U$1,Data!$A$1:$AN$1,),)=0,"#N/A",(((VLOOKUP(B50,Data!$A:$AN,MATCH(yoy!$U$1,Data!$A$1:$AN$1,),)-VLOOKUP(A50,Data!$A:$AN,MATCH(yoy!$U$1,Data!$A$1:$AN$1,),))/VLOOKUP(A50,Data!$A:$AN,MATCH(yoy!$U$1,Data!$A$1:$AN$1,),))+1)^12-1)</f>
        <v/>
      </c>
      <c r="V50" s="14">
        <f>IF(VLOOKUP(B50,Data!$A:$AN,MATCH(yoy!$V$1,Data!$A$1:$AN$1,),)=0,"#N/A",(((VLOOKUP(B50,Data!$A:$AN,MATCH(yoy!$V$1,Data!$A$1:$AN$1,),)-VLOOKUP(A50,Data!$A:$AN,MATCH(yoy!$V$1,Data!$A$1:$AN$1,),))/VLOOKUP(A50,Data!$A:$AN,MATCH(yoy!$V$1,Data!$A$1:$AN$1,),))+1)^12-1)</f>
        <v/>
      </c>
      <c r="W50" s="14">
        <f>IF(VLOOKUP(B50,Data!$A:$AN,MATCH(yoy!$W$1,Data!$A$1:$AN$1,),)=0,"#N/A",(((VLOOKUP(B50,Data!$A:$AN,MATCH(yoy!$W$1,Data!$A$1:$AN$1,),)-VLOOKUP(A50,Data!$A:$AN,MATCH(yoy!$W$1,Data!$A$1:$AN$1,),))/VLOOKUP(A50,Data!$A:$AN,MATCH(yoy!$W$1,Data!$A$1:$AN$1,),))+1)^12-1)</f>
        <v/>
      </c>
      <c r="X50" s="14">
        <f>IF(VLOOKUP(B50,Data!$A:$AN,MATCH(yoy!$X$1,Data!$A$1:$AN$1,),)=0,"#N/A",(((VLOOKUP(B50,Data!$A:$AN,MATCH(yoy!$X$1,Data!$A$1:$AN$1,),)-VLOOKUP(A50,Data!$A:$AN,MATCH(yoy!$X$1,Data!$A$1:$AN$1,),))/VLOOKUP(A50,Data!$A:$AN,MATCH(yoy!$X$1,Data!$A$1:$AN$1,),))+1)^12-1)</f>
        <v/>
      </c>
      <c r="Y50" s="14">
        <f>IF(VLOOKUP(B50,Data!$A:$AN,MATCH(yoy!$Y$1,Data!$A$1:$AN$1,),)=0,"#N/A",(((VLOOKUP(B50,Data!$A:$AN,MATCH(yoy!$Y$1,Data!$A$1:$AN$1,),)-VLOOKUP(A50,Data!$A:$AN,MATCH(yoy!$Y$1,Data!$A$1:$AN$1,),))/VLOOKUP(A50,Data!$A:$AN,MATCH(yoy!$Y$1,Data!$A$1:$AN$1,),))+1)^12-1)</f>
        <v/>
      </c>
      <c r="Z50" s="14">
        <f>IF(VLOOKUP(B50,Data!$A:$AN,MATCH(yoy!$Z$1,Data!$A$1:$AN$1,),)=0,"#N/A",(((VLOOKUP(B50,Data!$A:$AN,MATCH(yoy!$Z$1,Data!$A$1:$AN$1,),)-VLOOKUP(A50,Data!$A:$AN,MATCH(yoy!$Z$1,Data!$A$1:$AN$1,),))/VLOOKUP(A50,Data!$A:$AN,MATCH(yoy!$Z$1,Data!$A$1:$AN$1,),))+1)^12-1)</f>
        <v/>
      </c>
      <c r="AA50" s="14">
        <f>IF(VLOOKUP(B50,Data!$A:$AN,MATCH(yoy!$AA$1,Data!$A$1:$AN$1,),)=0,"#N/A",(((VLOOKUP(B50,Data!$A:$AN,MATCH(yoy!$AA$1,Data!$A$1:$AN$1,),)-VLOOKUP(A50,Data!$A:$AN,MATCH(yoy!$AA$1,Data!$A$1:$AN$1,),))/VLOOKUP(A50,Data!$A:$AN,MATCH(yoy!$AA$1,Data!$A$1:$AN$1,),))+1)^12-1)</f>
        <v/>
      </c>
    </row>
    <row r="51" customFormat="1" s="77">
      <c r="A51" s="20">
        <f>DATE(YEAR(B51),MONTH(B51)-1,DAY(B51))</f>
        <v/>
      </c>
      <c r="B51" s="12" t="n">
        <v>43405</v>
      </c>
      <c r="C51" s="14">
        <f>IF(VLOOKUP(B51,Data!$A:$AN,MATCH(yoy!$C$1,Data!$A$1:$AN$1,),)=0,"#N/A",(((VLOOKUP(B51,Data!$A:$AN,MATCH(yoy!$C$1,Data!$A$1:$AN$1,),)-VLOOKUP(A51,Data!$A:$AN,MATCH(yoy!$C$1,Data!$A$1:$AN$1,),))/VLOOKUP(A51,Data!$A:$AN,MATCH(yoy!$C$1,Data!$A$1:$AN$1,),))+1)^12-1)</f>
        <v/>
      </c>
      <c r="D51" s="14">
        <f>IF(VLOOKUP(B51,Data!$A:$AN,MATCH(yoy!$D$1,Data!$A$1:$AN$1,),)=0,"#N/A",(((VLOOKUP(B51,Data!$A:$AN,MATCH(yoy!$D$1,Data!$A$1:$AN$1,),)-VLOOKUP(A51,Data!$A:$AN,MATCH(yoy!$D$1,Data!$A$1:$AN$1,),))/VLOOKUP(A51,Data!$A:$AN,MATCH(yoy!$D$1,Data!$A$1:$AN$1,),))+1)^12-1)</f>
        <v/>
      </c>
      <c r="E51" s="14">
        <f>IF(VLOOKUP(B51,Data!$A:$AN,MATCH(yoy!$E$1,Data!$A$1:$AN$1,),)=0,"#N/A",(((VLOOKUP(B51,Data!$A:$AN,MATCH(yoy!$E$1,Data!$A$1:$AN$1,),)-VLOOKUP(A51,Data!$A:$AN,MATCH(yoy!$E$1,Data!$A$1:$AN$1,),))/VLOOKUP(A51,Data!$A:$AN,MATCH(yoy!$E$1,Data!$A$1:$AN$1,),))+1)^12-1)</f>
        <v/>
      </c>
      <c r="F51" s="14">
        <f>IF(VLOOKUP(B51,Data!$A:$AN,MATCH(yoy!$F$1,Data!$A$1:$AN$1,),)=0,"#N/A",(((VLOOKUP(B51,Data!$A:$AN,MATCH(yoy!$F$1,Data!$A$1:$AN$1,),)-VLOOKUP(A51,Data!$A:$AN,MATCH(yoy!$F$1,Data!$A$1:$AN$1,),))/VLOOKUP(A51,Data!$A:$AN,MATCH(yoy!$F$1,Data!$A$1:$AN$1,),))+1)^12-1)</f>
        <v/>
      </c>
      <c r="G51" s="14">
        <f>IF(VLOOKUP(B51,Data!$A:$AN,MATCH(yoy!$G$1,Data!$A$1:$AN$1,),)=0,"#N/A",(((VLOOKUP(B51,Data!$A:$AN,MATCH(yoy!$G$1,Data!$A$1:$AN$1,),)-VLOOKUP(A51,Data!$A:$AN,MATCH(yoy!$G$1,Data!$A$1:$AN$1,),))/VLOOKUP(A51,Data!$A:$AN,MATCH(yoy!$G$1,Data!$A$1:$AN$1,),))+1)^12-1)</f>
        <v/>
      </c>
      <c r="H51" s="14">
        <f>IF(VLOOKUP(B51,Data!$A:$AN,MATCH(yoy!$H$1,Data!$A$1:$AN$1,),)=0,"#N/A",(((VLOOKUP(B51,Data!$A:$AN,MATCH(yoy!$H$1,Data!$A$1:$AN$1,),)-VLOOKUP(A51,Data!$A:$AN,MATCH(yoy!$H$1,Data!$A$1:$AN$1,),))/VLOOKUP(A51,Data!$A:$AN,MATCH(yoy!$H$1,Data!$A$1:$AN$1,),))+1)^12-1)</f>
        <v/>
      </c>
      <c r="I51" s="14">
        <f>IF(VLOOKUP(B51,Data!$A:$AN,MATCH(yoy!$I$1,Data!$A$1:$AN$1,),)=0,"#N/A",(((VLOOKUP(B51,Data!$A:$AN,MATCH(yoy!$I$1,Data!$A$1:$AN$1,),)-VLOOKUP(A51,Data!$A:$AN,MATCH(yoy!$I$1,Data!$A$1:$AN$1,),))/VLOOKUP(A51,Data!$A:$AN,MATCH(yoy!$I$1,Data!$A$1:$AN$1,),))+1)^12-1)</f>
        <v/>
      </c>
      <c r="J51" s="14">
        <f>IF(VLOOKUP(B51,Data!$A:$AN,MATCH(yoy!$J$1,Data!$A$1:$AN$1,),)=0,"#N/A",(((VLOOKUP(B51,Data!$A:$AN,MATCH(yoy!$J$1,Data!$A$1:$AN$1,),)-VLOOKUP(A51,Data!$A:$AN,MATCH(yoy!$J$1,Data!$A$1:$AN$1,),))/VLOOKUP(A51,Data!$A:$AN,MATCH(yoy!$J$1,Data!$A$1:$AN$1,),))+1)^12-1)</f>
        <v/>
      </c>
      <c r="K51" s="14">
        <f>IF(VLOOKUP(B51,Data!$A:$AN,MATCH(yoy!$K$1,Data!$A$1:$AN$1,),)=0,"#N/A",(((VLOOKUP(B51,Data!$A:$AN,MATCH(yoy!$K$1,Data!$A$1:$AN$1,),)-VLOOKUP(A51,Data!$A:$AN,MATCH(yoy!$K$1,Data!$A$1:$AN$1,),))/VLOOKUP(A51,Data!$A:$AN,MATCH(yoy!$K$1,Data!$A$1:$AN$1,),))+1)^12-1)</f>
        <v/>
      </c>
      <c r="L51" s="14">
        <f>IF(VLOOKUP(B51,Data!$A:$AN,MATCH(yoy!$L$1,Data!$A$1:$AN$1,),)=0,"#N/A",(((VLOOKUP(B51,Data!$A:$AN,MATCH(yoy!$L$1,Data!$A$1:$AN$1,),)-VLOOKUP(A51,Data!$A:$AN,MATCH(yoy!$L$1,Data!$A$1:$AN$1,),))/VLOOKUP(A51,Data!$A:$AN,MATCH(yoy!$L$1,Data!$A$1:$AN$1,),))+1)^12-1)</f>
        <v/>
      </c>
      <c r="M51" s="14">
        <f>IF(VLOOKUP(B51,Data!$A:$AN,MATCH(yoy!$M$1,Data!$A$1:$AN$1,),)=0,"#N/A",(((VLOOKUP(B51,Data!$A:$AN,MATCH(yoy!$M$1,Data!$A$1:$AN$1,),)-VLOOKUP(A51,Data!$A:$AN,MATCH(yoy!$M$1,Data!$A$1:$AN$1,),))/VLOOKUP(A51,Data!$A:$AN,MATCH(yoy!$M$1,Data!$A$1:$AN$1,),))+1)^12-1)</f>
        <v/>
      </c>
      <c r="N51" s="14">
        <f>IF(VLOOKUP(B51,Data!$A:$AN,MATCH(yoy!$N$1,Data!$A$1:$AN$1,),)=0,"#N/A",(((VLOOKUP(B51,Data!$A:$AN,MATCH(yoy!$N$1,Data!$A$1:$AN$1,),)-VLOOKUP(A51,Data!$A:$AN,MATCH(yoy!$N$1,Data!$A$1:$AN$1,),))/VLOOKUP(A51,Data!$A:$AN,MATCH(yoy!$N$1,Data!$A$1:$AN$1,),))+1)^12-1)</f>
        <v/>
      </c>
      <c r="O51" s="14">
        <f>IF(VLOOKUP(B51,Data!$A:$AN,MATCH(yoy!$O$1,Data!$A$1:$AN$1,),)=0,"#N/A",(((VLOOKUP(B51,Data!$A:$AN,MATCH(yoy!$O$1,Data!$A$1:$AN$1,),)-VLOOKUP(A51,Data!$A:$AN,MATCH(yoy!$O$1,Data!$A$1:$AN$1,),))/VLOOKUP(A51,Data!$A:$AN,MATCH(yoy!$O$1,Data!$A$1:$AN$1,),))+1)^12-1)</f>
        <v/>
      </c>
      <c r="P51" s="14">
        <f>IF(VLOOKUP(B51,Data!$A:$AN,MATCH(yoy!$P$1,Data!$A$1:$AN$1,),)=0,"#N/A",(((VLOOKUP(B51,Data!$A:$AN,MATCH(yoy!$P$1,Data!$A$1:$AN$1,),)-VLOOKUP(A51,Data!$A:$AN,MATCH(yoy!$P$1,Data!$A$1:$AN$1,),))/VLOOKUP(A51,Data!$A:$AN,MATCH(yoy!$P$1,Data!$A$1:$AN$1,),))+1)^12-1)</f>
        <v/>
      </c>
      <c r="Q51" s="14">
        <f>IF(VLOOKUP(B51,Data!$A:$AN,MATCH(yoy!$Q$1,Data!$A$1:$AN$1,),)=0,"#N/A",(((VLOOKUP(B51,Data!$A:$AN,MATCH(yoy!$Q$1,Data!$A$1:$AN$1,),)-VLOOKUP(A51,Data!$A:$AN,MATCH(yoy!$Q$1,Data!$A$1:$AN$1,),))/VLOOKUP(A51,Data!$A:$AN,MATCH(yoy!$Q$1,Data!$A$1:$AN$1,),))+1)^12-1)</f>
        <v/>
      </c>
      <c r="R51" s="14">
        <f>IF(VLOOKUP(B51,Data!$A:$AN,MATCH(yoy!$R$1,Data!$A$1:$AN$1,),)=0,"#N/A",(((VLOOKUP(B51,Data!$A:$AN,MATCH(yoy!$R$1,Data!$A$1:$AN$1,),)-VLOOKUP(A51,Data!$A:$AN,MATCH(yoy!$R$1,Data!$A$1:$AN$1,),))/VLOOKUP(A51,Data!$A:$AN,MATCH(yoy!$R$1,Data!$A$1:$AN$1,),))+1)^12-1)</f>
        <v/>
      </c>
      <c r="S51" s="14">
        <f>IF(VLOOKUP(B51,Data!$A:$AN,MATCH(yoy!$S$1,Data!$A$1:$AN$1,),)=0,"#N/A",(((VLOOKUP(B51,Data!$A:$AN,MATCH(yoy!$S$1,Data!$A$1:$AN$1,),)-VLOOKUP(A51,Data!$A:$AN,MATCH(yoy!$S$1,Data!$A$1:$AN$1,),))/VLOOKUP(A51,Data!$A:$AN,MATCH(yoy!$S$1,Data!$A$1:$AN$1,),))+1)^12-1)</f>
        <v/>
      </c>
      <c r="T51" s="14">
        <f>IF(VLOOKUP(B51,Data!$A:$AN,MATCH(yoy!$T$1,Data!$A$1:$AN$1,),)=0,"#N/A",(((VLOOKUP(B51,Data!$A:$AN,MATCH(yoy!$T$1,Data!$A$1:$AN$1,),)-VLOOKUP(A51,Data!$A:$AN,MATCH(yoy!$T$1,Data!$A$1:$AN$1,),))/VLOOKUP(A51,Data!$A:$AN,MATCH(yoy!$T$1,Data!$A$1:$AN$1,),))+1)^12-1)</f>
        <v/>
      </c>
      <c r="U51" s="14">
        <f>IF(VLOOKUP(B51,Data!$A:$AN,MATCH(yoy!$U$1,Data!$A$1:$AN$1,),)=0,"#N/A",(((VLOOKUP(B51,Data!$A:$AN,MATCH(yoy!$U$1,Data!$A$1:$AN$1,),)-VLOOKUP(A51,Data!$A:$AN,MATCH(yoy!$U$1,Data!$A$1:$AN$1,),))/VLOOKUP(A51,Data!$A:$AN,MATCH(yoy!$U$1,Data!$A$1:$AN$1,),))+1)^12-1)</f>
        <v/>
      </c>
      <c r="V51" s="14">
        <f>IF(VLOOKUP(B51,Data!$A:$AN,MATCH(yoy!$V$1,Data!$A$1:$AN$1,),)=0,"#N/A",(((VLOOKUP(B51,Data!$A:$AN,MATCH(yoy!$V$1,Data!$A$1:$AN$1,),)-VLOOKUP(A51,Data!$A:$AN,MATCH(yoy!$V$1,Data!$A$1:$AN$1,),))/VLOOKUP(A51,Data!$A:$AN,MATCH(yoy!$V$1,Data!$A$1:$AN$1,),))+1)^12-1)</f>
        <v/>
      </c>
      <c r="W51" s="14">
        <f>IF(VLOOKUP(B51,Data!$A:$AN,MATCH(yoy!$W$1,Data!$A$1:$AN$1,),)=0,"#N/A",(((VLOOKUP(B51,Data!$A:$AN,MATCH(yoy!$W$1,Data!$A$1:$AN$1,),)-VLOOKUP(A51,Data!$A:$AN,MATCH(yoy!$W$1,Data!$A$1:$AN$1,),))/VLOOKUP(A51,Data!$A:$AN,MATCH(yoy!$W$1,Data!$A$1:$AN$1,),))+1)^12-1)</f>
        <v/>
      </c>
      <c r="X51" s="14">
        <f>IF(VLOOKUP(B51,Data!$A:$AN,MATCH(yoy!$X$1,Data!$A$1:$AN$1,),)=0,"#N/A",(((VLOOKUP(B51,Data!$A:$AN,MATCH(yoy!$X$1,Data!$A$1:$AN$1,),)-VLOOKUP(A51,Data!$A:$AN,MATCH(yoy!$X$1,Data!$A$1:$AN$1,),))/VLOOKUP(A51,Data!$A:$AN,MATCH(yoy!$X$1,Data!$A$1:$AN$1,),))+1)^12-1)</f>
        <v/>
      </c>
      <c r="Y51" s="14">
        <f>IF(VLOOKUP(B51,Data!$A:$AN,MATCH(yoy!$Y$1,Data!$A$1:$AN$1,),)=0,"#N/A",(((VLOOKUP(B51,Data!$A:$AN,MATCH(yoy!$Y$1,Data!$A$1:$AN$1,),)-VLOOKUP(A51,Data!$A:$AN,MATCH(yoy!$Y$1,Data!$A$1:$AN$1,),))/VLOOKUP(A51,Data!$A:$AN,MATCH(yoy!$Y$1,Data!$A$1:$AN$1,),))+1)^12-1)</f>
        <v/>
      </c>
      <c r="Z51" s="14">
        <f>IF(VLOOKUP(B51,Data!$A:$AN,MATCH(yoy!$Z$1,Data!$A$1:$AN$1,),)=0,"#N/A",(((VLOOKUP(B51,Data!$A:$AN,MATCH(yoy!$Z$1,Data!$A$1:$AN$1,),)-VLOOKUP(A51,Data!$A:$AN,MATCH(yoy!$Z$1,Data!$A$1:$AN$1,),))/VLOOKUP(A51,Data!$A:$AN,MATCH(yoy!$Z$1,Data!$A$1:$AN$1,),))+1)^12-1)</f>
        <v/>
      </c>
      <c r="AA51" s="14">
        <f>IF(VLOOKUP(B51,Data!$A:$AN,MATCH(yoy!$AA$1,Data!$A$1:$AN$1,),)=0,"#N/A",(((VLOOKUP(B51,Data!$A:$AN,MATCH(yoy!$AA$1,Data!$A$1:$AN$1,),)-VLOOKUP(A51,Data!$A:$AN,MATCH(yoy!$AA$1,Data!$A$1:$AN$1,),))/VLOOKUP(A51,Data!$A:$AN,MATCH(yoy!$AA$1,Data!$A$1:$AN$1,),))+1)^12-1)</f>
        <v/>
      </c>
    </row>
    <row r="52" customFormat="1" s="77">
      <c r="A52" s="20">
        <f>DATE(YEAR(B52),MONTH(B52)-1,DAY(B52))</f>
        <v/>
      </c>
      <c r="B52" s="12" t="n">
        <v>43435</v>
      </c>
      <c r="C52" s="14">
        <f>IF(VLOOKUP(B52,Data!$A:$AN,MATCH(yoy!$C$1,Data!$A$1:$AN$1,),)=0,"#N/A",(((VLOOKUP(B52,Data!$A:$AN,MATCH(yoy!$C$1,Data!$A$1:$AN$1,),)-VLOOKUP(A52,Data!$A:$AN,MATCH(yoy!$C$1,Data!$A$1:$AN$1,),))/VLOOKUP(A52,Data!$A:$AN,MATCH(yoy!$C$1,Data!$A$1:$AN$1,),))+1)^12-1)</f>
        <v/>
      </c>
      <c r="D52" s="14">
        <f>IF(VLOOKUP(B52,Data!$A:$AN,MATCH(yoy!$D$1,Data!$A$1:$AN$1,),)=0,"#N/A",(((VLOOKUP(B52,Data!$A:$AN,MATCH(yoy!$D$1,Data!$A$1:$AN$1,),)-VLOOKUP(A52,Data!$A:$AN,MATCH(yoy!$D$1,Data!$A$1:$AN$1,),))/VLOOKUP(A52,Data!$A:$AN,MATCH(yoy!$D$1,Data!$A$1:$AN$1,),))+1)^12-1)</f>
        <v/>
      </c>
      <c r="E52" s="14">
        <f>IF(VLOOKUP(B52,Data!$A:$AN,MATCH(yoy!$E$1,Data!$A$1:$AN$1,),)=0,"#N/A",(((VLOOKUP(B52,Data!$A:$AN,MATCH(yoy!$E$1,Data!$A$1:$AN$1,),)-VLOOKUP(A52,Data!$A:$AN,MATCH(yoy!$E$1,Data!$A$1:$AN$1,),))/VLOOKUP(A52,Data!$A:$AN,MATCH(yoy!$E$1,Data!$A$1:$AN$1,),))+1)^12-1)</f>
        <v/>
      </c>
      <c r="F52" s="14">
        <f>IF(VLOOKUP(B52,Data!$A:$AN,MATCH(yoy!$F$1,Data!$A$1:$AN$1,),)=0,"#N/A",(((VLOOKUP(B52,Data!$A:$AN,MATCH(yoy!$F$1,Data!$A$1:$AN$1,),)-VLOOKUP(A52,Data!$A:$AN,MATCH(yoy!$F$1,Data!$A$1:$AN$1,),))/VLOOKUP(A52,Data!$A:$AN,MATCH(yoy!$F$1,Data!$A$1:$AN$1,),))+1)^12-1)</f>
        <v/>
      </c>
      <c r="G52" s="14">
        <f>IF(VLOOKUP(B52,Data!$A:$AN,MATCH(yoy!$G$1,Data!$A$1:$AN$1,),)=0,"#N/A",(((VLOOKUP(B52,Data!$A:$AN,MATCH(yoy!$G$1,Data!$A$1:$AN$1,),)-VLOOKUP(A52,Data!$A:$AN,MATCH(yoy!$G$1,Data!$A$1:$AN$1,),))/VLOOKUP(A52,Data!$A:$AN,MATCH(yoy!$G$1,Data!$A$1:$AN$1,),))+1)^12-1)</f>
        <v/>
      </c>
      <c r="H52" s="14">
        <f>IF(VLOOKUP(B52,Data!$A:$AN,MATCH(yoy!$H$1,Data!$A$1:$AN$1,),)=0,"#N/A",(((VLOOKUP(B52,Data!$A:$AN,MATCH(yoy!$H$1,Data!$A$1:$AN$1,),)-VLOOKUP(A52,Data!$A:$AN,MATCH(yoy!$H$1,Data!$A$1:$AN$1,),))/VLOOKUP(A52,Data!$A:$AN,MATCH(yoy!$H$1,Data!$A$1:$AN$1,),))+1)^12-1)</f>
        <v/>
      </c>
      <c r="I52" s="14">
        <f>IF(VLOOKUP(B52,Data!$A:$AN,MATCH(yoy!$I$1,Data!$A$1:$AN$1,),)=0,"#N/A",(((VLOOKUP(B52,Data!$A:$AN,MATCH(yoy!$I$1,Data!$A$1:$AN$1,),)-VLOOKUP(A52,Data!$A:$AN,MATCH(yoy!$I$1,Data!$A$1:$AN$1,),))/VLOOKUP(A52,Data!$A:$AN,MATCH(yoy!$I$1,Data!$A$1:$AN$1,),))+1)^12-1)</f>
        <v/>
      </c>
      <c r="J52" s="14">
        <f>IF(VLOOKUP(B52,Data!$A:$AN,MATCH(yoy!$J$1,Data!$A$1:$AN$1,),)=0,"#N/A",(((VLOOKUP(B52,Data!$A:$AN,MATCH(yoy!$J$1,Data!$A$1:$AN$1,),)-VLOOKUP(A52,Data!$A:$AN,MATCH(yoy!$J$1,Data!$A$1:$AN$1,),))/VLOOKUP(A52,Data!$A:$AN,MATCH(yoy!$J$1,Data!$A$1:$AN$1,),))+1)^12-1)</f>
        <v/>
      </c>
      <c r="K52" s="14">
        <f>IF(VLOOKUP(B52,Data!$A:$AN,MATCH(yoy!$K$1,Data!$A$1:$AN$1,),)=0,"#N/A",(((VLOOKUP(B52,Data!$A:$AN,MATCH(yoy!$K$1,Data!$A$1:$AN$1,),)-VLOOKUP(A52,Data!$A:$AN,MATCH(yoy!$K$1,Data!$A$1:$AN$1,),))/VLOOKUP(A52,Data!$A:$AN,MATCH(yoy!$K$1,Data!$A$1:$AN$1,),))+1)^12-1)</f>
        <v/>
      </c>
      <c r="L52" s="14">
        <f>IF(VLOOKUP(B52,Data!$A:$AN,MATCH(yoy!$L$1,Data!$A$1:$AN$1,),)=0,"#N/A",(((VLOOKUP(B52,Data!$A:$AN,MATCH(yoy!$L$1,Data!$A$1:$AN$1,),)-VLOOKUP(A52,Data!$A:$AN,MATCH(yoy!$L$1,Data!$A$1:$AN$1,),))/VLOOKUP(A52,Data!$A:$AN,MATCH(yoy!$L$1,Data!$A$1:$AN$1,),))+1)^12-1)</f>
        <v/>
      </c>
      <c r="M52" s="14">
        <f>IF(VLOOKUP(B52,Data!$A:$AN,MATCH(yoy!$M$1,Data!$A$1:$AN$1,),)=0,"#N/A",(((VLOOKUP(B52,Data!$A:$AN,MATCH(yoy!$M$1,Data!$A$1:$AN$1,),)-VLOOKUP(A52,Data!$A:$AN,MATCH(yoy!$M$1,Data!$A$1:$AN$1,),))/VLOOKUP(A52,Data!$A:$AN,MATCH(yoy!$M$1,Data!$A$1:$AN$1,),))+1)^12-1)</f>
        <v/>
      </c>
      <c r="N52" s="14">
        <f>IF(VLOOKUP(B52,Data!$A:$AN,MATCH(yoy!$N$1,Data!$A$1:$AN$1,),)=0,"#N/A",(((VLOOKUP(B52,Data!$A:$AN,MATCH(yoy!$N$1,Data!$A$1:$AN$1,),)-VLOOKUP(A52,Data!$A:$AN,MATCH(yoy!$N$1,Data!$A$1:$AN$1,),))/VLOOKUP(A52,Data!$A:$AN,MATCH(yoy!$N$1,Data!$A$1:$AN$1,),))+1)^12-1)</f>
        <v/>
      </c>
      <c r="O52" s="14">
        <f>IF(VLOOKUP(B52,Data!$A:$AN,MATCH(yoy!$O$1,Data!$A$1:$AN$1,),)=0,"#N/A",(((VLOOKUP(B52,Data!$A:$AN,MATCH(yoy!$O$1,Data!$A$1:$AN$1,),)-VLOOKUP(A52,Data!$A:$AN,MATCH(yoy!$O$1,Data!$A$1:$AN$1,),))/VLOOKUP(A52,Data!$A:$AN,MATCH(yoy!$O$1,Data!$A$1:$AN$1,),))+1)^12-1)</f>
        <v/>
      </c>
      <c r="P52" s="14">
        <f>IF(VLOOKUP(B52,Data!$A:$AN,MATCH(yoy!$P$1,Data!$A$1:$AN$1,),)=0,"#N/A",(((VLOOKUP(B52,Data!$A:$AN,MATCH(yoy!$P$1,Data!$A$1:$AN$1,),)-VLOOKUP(A52,Data!$A:$AN,MATCH(yoy!$P$1,Data!$A$1:$AN$1,),))/VLOOKUP(A52,Data!$A:$AN,MATCH(yoy!$P$1,Data!$A$1:$AN$1,),))+1)^12-1)</f>
        <v/>
      </c>
      <c r="Q52" s="14">
        <f>IF(VLOOKUP(B52,Data!$A:$AN,MATCH(yoy!$Q$1,Data!$A$1:$AN$1,),)=0,"#N/A",(((VLOOKUP(B52,Data!$A:$AN,MATCH(yoy!$Q$1,Data!$A$1:$AN$1,),)-VLOOKUP(A52,Data!$A:$AN,MATCH(yoy!$Q$1,Data!$A$1:$AN$1,),))/VLOOKUP(A52,Data!$A:$AN,MATCH(yoy!$Q$1,Data!$A$1:$AN$1,),))+1)^12-1)</f>
        <v/>
      </c>
      <c r="R52" s="14">
        <f>IF(VLOOKUP(B52,Data!$A:$AN,MATCH(yoy!$R$1,Data!$A$1:$AN$1,),)=0,"#N/A",(((VLOOKUP(B52,Data!$A:$AN,MATCH(yoy!$R$1,Data!$A$1:$AN$1,),)-VLOOKUP(A52,Data!$A:$AN,MATCH(yoy!$R$1,Data!$A$1:$AN$1,),))/VLOOKUP(A52,Data!$A:$AN,MATCH(yoy!$R$1,Data!$A$1:$AN$1,),))+1)^12-1)</f>
        <v/>
      </c>
      <c r="S52" s="14">
        <f>IF(VLOOKUP(B52,Data!$A:$AN,MATCH(yoy!$S$1,Data!$A$1:$AN$1,),)=0,"#N/A",(((VLOOKUP(B52,Data!$A:$AN,MATCH(yoy!$S$1,Data!$A$1:$AN$1,),)-VLOOKUP(A52,Data!$A:$AN,MATCH(yoy!$S$1,Data!$A$1:$AN$1,),))/VLOOKUP(A52,Data!$A:$AN,MATCH(yoy!$S$1,Data!$A$1:$AN$1,),))+1)^12-1)</f>
        <v/>
      </c>
      <c r="T52" s="14">
        <f>IF(VLOOKUP(B52,Data!$A:$AN,MATCH(yoy!$T$1,Data!$A$1:$AN$1,),)=0,"#N/A",(((VLOOKUP(B52,Data!$A:$AN,MATCH(yoy!$T$1,Data!$A$1:$AN$1,),)-VLOOKUP(A52,Data!$A:$AN,MATCH(yoy!$T$1,Data!$A$1:$AN$1,),))/VLOOKUP(A52,Data!$A:$AN,MATCH(yoy!$T$1,Data!$A$1:$AN$1,),))+1)^12-1)</f>
        <v/>
      </c>
      <c r="U52" s="14">
        <f>IF(VLOOKUP(B52,Data!$A:$AN,MATCH(yoy!$U$1,Data!$A$1:$AN$1,),)=0,"#N/A",(((VLOOKUP(B52,Data!$A:$AN,MATCH(yoy!$U$1,Data!$A$1:$AN$1,),)-VLOOKUP(A52,Data!$A:$AN,MATCH(yoy!$U$1,Data!$A$1:$AN$1,),))/VLOOKUP(A52,Data!$A:$AN,MATCH(yoy!$U$1,Data!$A$1:$AN$1,),))+1)^12-1)</f>
        <v/>
      </c>
      <c r="V52" s="14">
        <f>IF(VLOOKUP(B52,Data!$A:$AN,MATCH(yoy!$V$1,Data!$A$1:$AN$1,),)=0,"#N/A",(((VLOOKUP(B52,Data!$A:$AN,MATCH(yoy!$V$1,Data!$A$1:$AN$1,),)-VLOOKUP(A52,Data!$A:$AN,MATCH(yoy!$V$1,Data!$A$1:$AN$1,),))/VLOOKUP(A52,Data!$A:$AN,MATCH(yoy!$V$1,Data!$A$1:$AN$1,),))+1)^12-1)</f>
        <v/>
      </c>
      <c r="W52" s="14">
        <f>IF(VLOOKUP(B52,Data!$A:$AN,MATCH(yoy!$W$1,Data!$A$1:$AN$1,),)=0,"#N/A",(((VLOOKUP(B52,Data!$A:$AN,MATCH(yoy!$W$1,Data!$A$1:$AN$1,),)-VLOOKUP(A52,Data!$A:$AN,MATCH(yoy!$W$1,Data!$A$1:$AN$1,),))/VLOOKUP(A52,Data!$A:$AN,MATCH(yoy!$W$1,Data!$A$1:$AN$1,),))+1)^12-1)</f>
        <v/>
      </c>
      <c r="X52" s="14">
        <f>IF(VLOOKUP(B52,Data!$A:$AN,MATCH(yoy!$X$1,Data!$A$1:$AN$1,),)=0,"#N/A",(((VLOOKUP(B52,Data!$A:$AN,MATCH(yoy!$X$1,Data!$A$1:$AN$1,),)-VLOOKUP(A52,Data!$A:$AN,MATCH(yoy!$X$1,Data!$A$1:$AN$1,),))/VLOOKUP(A52,Data!$A:$AN,MATCH(yoy!$X$1,Data!$A$1:$AN$1,),))+1)^12-1)</f>
        <v/>
      </c>
      <c r="Y52" s="14">
        <f>IF(VLOOKUP(B52,Data!$A:$AN,MATCH(yoy!$Y$1,Data!$A$1:$AN$1,),)=0,"#N/A",(((VLOOKUP(B52,Data!$A:$AN,MATCH(yoy!$Y$1,Data!$A$1:$AN$1,),)-VLOOKUP(A52,Data!$A:$AN,MATCH(yoy!$Y$1,Data!$A$1:$AN$1,),))/VLOOKUP(A52,Data!$A:$AN,MATCH(yoy!$Y$1,Data!$A$1:$AN$1,),))+1)^12-1)</f>
        <v/>
      </c>
      <c r="Z52" s="14">
        <f>IF(VLOOKUP(B52,Data!$A:$AN,MATCH(yoy!$Z$1,Data!$A$1:$AN$1,),)=0,"#N/A",(((VLOOKUP(B52,Data!$A:$AN,MATCH(yoy!$Z$1,Data!$A$1:$AN$1,),)-VLOOKUP(A52,Data!$A:$AN,MATCH(yoy!$Z$1,Data!$A$1:$AN$1,),))/VLOOKUP(A52,Data!$A:$AN,MATCH(yoy!$Z$1,Data!$A$1:$AN$1,),))+1)^12-1)</f>
        <v/>
      </c>
      <c r="AA52" s="14">
        <f>IF(VLOOKUP(B52,Data!$A:$AN,MATCH(yoy!$AA$1,Data!$A$1:$AN$1,),)=0,"#N/A",(((VLOOKUP(B52,Data!$A:$AN,MATCH(yoy!$AA$1,Data!$A$1:$AN$1,),)-VLOOKUP(A52,Data!$A:$AN,MATCH(yoy!$AA$1,Data!$A$1:$AN$1,),))/VLOOKUP(A52,Data!$A:$AN,MATCH(yoy!$AA$1,Data!$A$1:$AN$1,),))+1)^12-1)</f>
        <v/>
      </c>
    </row>
    <row r="53" customFormat="1" s="77">
      <c r="A53" s="20">
        <f>DATE(YEAR(B53),MONTH(B53)-1,DAY(B53))</f>
        <v/>
      </c>
      <c r="B53" s="12" t="n">
        <v>43466</v>
      </c>
      <c r="C53" s="14">
        <f>IF(VLOOKUP(B53,Data!$A:$AN,MATCH(yoy!$C$1,Data!$A$1:$AN$1,),)=0,"#N/A",(((VLOOKUP(B53,Data!$A:$AN,MATCH(yoy!$C$1,Data!$A$1:$AN$1,),)-VLOOKUP(A53,Data!$A:$AN,MATCH(yoy!$C$1,Data!$A$1:$AN$1,),))/VLOOKUP(A53,Data!$A:$AN,MATCH(yoy!$C$1,Data!$A$1:$AN$1,),))+1)^12-1)</f>
        <v/>
      </c>
      <c r="D53" s="14">
        <f>IF(VLOOKUP(B53,Data!$A:$AN,MATCH(yoy!$D$1,Data!$A$1:$AN$1,),)=0,"#N/A",(((VLOOKUP(B53,Data!$A:$AN,MATCH(yoy!$D$1,Data!$A$1:$AN$1,),)-VLOOKUP(A53,Data!$A:$AN,MATCH(yoy!$D$1,Data!$A$1:$AN$1,),))/VLOOKUP(A53,Data!$A:$AN,MATCH(yoy!$D$1,Data!$A$1:$AN$1,),))+1)^12-1)</f>
        <v/>
      </c>
      <c r="E53" s="14">
        <f>IF(VLOOKUP(B53,Data!$A:$AN,MATCH(yoy!$E$1,Data!$A$1:$AN$1,),)=0,"#N/A",(((VLOOKUP(B53,Data!$A:$AN,MATCH(yoy!$E$1,Data!$A$1:$AN$1,),)-VLOOKUP(A53,Data!$A:$AN,MATCH(yoy!$E$1,Data!$A$1:$AN$1,),))/VLOOKUP(A53,Data!$A:$AN,MATCH(yoy!$E$1,Data!$A$1:$AN$1,),))+1)^12-1)</f>
        <v/>
      </c>
      <c r="F53" s="14">
        <f>IF(VLOOKUP(B53,Data!$A:$AN,MATCH(yoy!$F$1,Data!$A$1:$AN$1,),)=0,"#N/A",(((VLOOKUP(B53,Data!$A:$AN,MATCH(yoy!$F$1,Data!$A$1:$AN$1,),)-VLOOKUP(A53,Data!$A:$AN,MATCH(yoy!$F$1,Data!$A$1:$AN$1,),))/VLOOKUP(A53,Data!$A:$AN,MATCH(yoy!$F$1,Data!$A$1:$AN$1,),))+1)^12-1)</f>
        <v/>
      </c>
      <c r="G53" s="14">
        <f>IF(VLOOKUP(B53,Data!$A:$AN,MATCH(yoy!$G$1,Data!$A$1:$AN$1,),)=0,"#N/A",(((VLOOKUP(B53,Data!$A:$AN,MATCH(yoy!$G$1,Data!$A$1:$AN$1,),)-VLOOKUP(A53,Data!$A:$AN,MATCH(yoy!$G$1,Data!$A$1:$AN$1,),))/VLOOKUP(A53,Data!$A:$AN,MATCH(yoy!$G$1,Data!$A$1:$AN$1,),))+1)^12-1)</f>
        <v/>
      </c>
      <c r="H53" s="14">
        <f>IF(VLOOKUP(B53,Data!$A:$AN,MATCH(yoy!$H$1,Data!$A$1:$AN$1,),)=0,"#N/A",(((VLOOKUP(B53,Data!$A:$AN,MATCH(yoy!$H$1,Data!$A$1:$AN$1,),)-VLOOKUP(A53,Data!$A:$AN,MATCH(yoy!$H$1,Data!$A$1:$AN$1,),))/VLOOKUP(A53,Data!$A:$AN,MATCH(yoy!$H$1,Data!$A$1:$AN$1,),))+1)^12-1)</f>
        <v/>
      </c>
      <c r="I53" s="14">
        <f>IF(VLOOKUP(B53,Data!$A:$AN,MATCH(yoy!$I$1,Data!$A$1:$AN$1,),)=0,"#N/A",(((VLOOKUP(B53,Data!$A:$AN,MATCH(yoy!$I$1,Data!$A$1:$AN$1,),)-VLOOKUP(A53,Data!$A:$AN,MATCH(yoy!$I$1,Data!$A$1:$AN$1,),))/VLOOKUP(A53,Data!$A:$AN,MATCH(yoy!$I$1,Data!$A$1:$AN$1,),))+1)^12-1)</f>
        <v/>
      </c>
      <c r="J53" s="14">
        <f>IF(VLOOKUP(B53,Data!$A:$AN,MATCH(yoy!$J$1,Data!$A$1:$AN$1,),)=0,"#N/A",(((VLOOKUP(B53,Data!$A:$AN,MATCH(yoy!$J$1,Data!$A$1:$AN$1,),)-VLOOKUP(A53,Data!$A:$AN,MATCH(yoy!$J$1,Data!$A$1:$AN$1,),))/VLOOKUP(A53,Data!$A:$AN,MATCH(yoy!$J$1,Data!$A$1:$AN$1,),))+1)^12-1)</f>
        <v/>
      </c>
      <c r="K53" s="14">
        <f>IF(VLOOKUP(B53,Data!$A:$AN,MATCH(yoy!$K$1,Data!$A$1:$AN$1,),)=0,"#N/A",(((VLOOKUP(B53,Data!$A:$AN,MATCH(yoy!$K$1,Data!$A$1:$AN$1,),)-VLOOKUP(A53,Data!$A:$AN,MATCH(yoy!$K$1,Data!$A$1:$AN$1,),))/VLOOKUP(A53,Data!$A:$AN,MATCH(yoy!$K$1,Data!$A$1:$AN$1,),))+1)^12-1)</f>
        <v/>
      </c>
      <c r="L53" s="14">
        <f>IF(VLOOKUP(B53,Data!$A:$AN,MATCH(yoy!$L$1,Data!$A$1:$AN$1,),)=0,"#N/A",(((VLOOKUP(B53,Data!$A:$AN,MATCH(yoy!$L$1,Data!$A$1:$AN$1,),)-VLOOKUP(A53,Data!$A:$AN,MATCH(yoy!$L$1,Data!$A$1:$AN$1,),))/VLOOKUP(A53,Data!$A:$AN,MATCH(yoy!$L$1,Data!$A$1:$AN$1,),))+1)^12-1)</f>
        <v/>
      </c>
      <c r="M53" s="14">
        <f>IF(VLOOKUP(B53,Data!$A:$AN,MATCH(yoy!$M$1,Data!$A$1:$AN$1,),)=0,"#N/A",(((VLOOKUP(B53,Data!$A:$AN,MATCH(yoy!$M$1,Data!$A$1:$AN$1,),)-VLOOKUP(A53,Data!$A:$AN,MATCH(yoy!$M$1,Data!$A$1:$AN$1,),))/VLOOKUP(A53,Data!$A:$AN,MATCH(yoy!$M$1,Data!$A$1:$AN$1,),))+1)^12-1)</f>
        <v/>
      </c>
      <c r="N53" s="14">
        <f>IF(VLOOKUP(B53,Data!$A:$AN,MATCH(yoy!$N$1,Data!$A$1:$AN$1,),)=0,"#N/A",(((VLOOKUP(B53,Data!$A:$AN,MATCH(yoy!$N$1,Data!$A$1:$AN$1,),)-VLOOKUP(A53,Data!$A:$AN,MATCH(yoy!$N$1,Data!$A$1:$AN$1,),))/VLOOKUP(A53,Data!$A:$AN,MATCH(yoy!$N$1,Data!$A$1:$AN$1,),))+1)^12-1)</f>
        <v/>
      </c>
      <c r="O53" s="14">
        <f>IF(VLOOKUP(B53,Data!$A:$AN,MATCH(yoy!$O$1,Data!$A$1:$AN$1,),)=0,"#N/A",(((VLOOKUP(B53,Data!$A:$AN,MATCH(yoy!$O$1,Data!$A$1:$AN$1,),)-VLOOKUP(A53,Data!$A:$AN,MATCH(yoy!$O$1,Data!$A$1:$AN$1,),))/VLOOKUP(A53,Data!$A:$AN,MATCH(yoy!$O$1,Data!$A$1:$AN$1,),))+1)^12-1)</f>
        <v/>
      </c>
      <c r="P53" s="14">
        <f>IF(VLOOKUP(B53,Data!$A:$AN,MATCH(yoy!$P$1,Data!$A$1:$AN$1,),)=0,"#N/A",(((VLOOKUP(B53,Data!$A:$AN,MATCH(yoy!$P$1,Data!$A$1:$AN$1,),)-VLOOKUP(A53,Data!$A:$AN,MATCH(yoy!$P$1,Data!$A$1:$AN$1,),))/VLOOKUP(A53,Data!$A:$AN,MATCH(yoy!$P$1,Data!$A$1:$AN$1,),))+1)^12-1)</f>
        <v/>
      </c>
      <c r="Q53" s="14">
        <f>IF(VLOOKUP(B53,Data!$A:$AN,MATCH(yoy!$Q$1,Data!$A$1:$AN$1,),)=0,"#N/A",(((VLOOKUP(B53,Data!$A:$AN,MATCH(yoy!$Q$1,Data!$A$1:$AN$1,),)-VLOOKUP(A53,Data!$A:$AN,MATCH(yoy!$Q$1,Data!$A$1:$AN$1,),))/VLOOKUP(A53,Data!$A:$AN,MATCH(yoy!$Q$1,Data!$A$1:$AN$1,),))+1)^12-1)</f>
        <v/>
      </c>
      <c r="R53" s="14">
        <f>IF(VLOOKUP(B53,Data!$A:$AN,MATCH(yoy!$R$1,Data!$A$1:$AN$1,),)=0,"#N/A",(((VLOOKUP(B53,Data!$A:$AN,MATCH(yoy!$R$1,Data!$A$1:$AN$1,),)-VLOOKUP(A53,Data!$A:$AN,MATCH(yoy!$R$1,Data!$A$1:$AN$1,),))/VLOOKUP(A53,Data!$A:$AN,MATCH(yoy!$R$1,Data!$A$1:$AN$1,),))+1)^12-1)</f>
        <v/>
      </c>
      <c r="S53" s="14">
        <f>IF(VLOOKUP(B53,Data!$A:$AN,MATCH(yoy!$S$1,Data!$A$1:$AN$1,),)=0,"#N/A",(((VLOOKUP(B53,Data!$A:$AN,MATCH(yoy!$S$1,Data!$A$1:$AN$1,),)-VLOOKUP(A53,Data!$A:$AN,MATCH(yoy!$S$1,Data!$A$1:$AN$1,),))/VLOOKUP(A53,Data!$A:$AN,MATCH(yoy!$S$1,Data!$A$1:$AN$1,),))+1)^12-1)</f>
        <v/>
      </c>
      <c r="T53" s="14">
        <f>IF(VLOOKUP(B53,Data!$A:$AN,MATCH(yoy!$T$1,Data!$A$1:$AN$1,),)=0,"#N/A",(((VLOOKUP(B53,Data!$A:$AN,MATCH(yoy!$T$1,Data!$A$1:$AN$1,),)-VLOOKUP(A53,Data!$A:$AN,MATCH(yoy!$T$1,Data!$A$1:$AN$1,),))/VLOOKUP(A53,Data!$A:$AN,MATCH(yoy!$T$1,Data!$A$1:$AN$1,),))+1)^12-1)</f>
        <v/>
      </c>
      <c r="U53" s="14">
        <f>IF(VLOOKUP(B53,Data!$A:$AN,MATCH(yoy!$U$1,Data!$A$1:$AN$1,),)=0,"#N/A",(((VLOOKUP(B53,Data!$A:$AN,MATCH(yoy!$U$1,Data!$A$1:$AN$1,),)-VLOOKUP(A53,Data!$A:$AN,MATCH(yoy!$U$1,Data!$A$1:$AN$1,),))/VLOOKUP(A53,Data!$A:$AN,MATCH(yoy!$U$1,Data!$A$1:$AN$1,),))+1)^12-1)</f>
        <v/>
      </c>
      <c r="V53" s="14">
        <f>IF(VLOOKUP(B53,Data!$A:$AN,MATCH(yoy!$V$1,Data!$A$1:$AN$1,),)=0,"#N/A",(((VLOOKUP(B53,Data!$A:$AN,MATCH(yoy!$V$1,Data!$A$1:$AN$1,),)-VLOOKUP(A53,Data!$A:$AN,MATCH(yoy!$V$1,Data!$A$1:$AN$1,),))/VLOOKUP(A53,Data!$A:$AN,MATCH(yoy!$V$1,Data!$A$1:$AN$1,),))+1)^12-1)</f>
        <v/>
      </c>
      <c r="W53" s="14">
        <f>IF(VLOOKUP(B53,Data!$A:$AN,MATCH(yoy!$W$1,Data!$A$1:$AN$1,),)=0,"#N/A",(((VLOOKUP(B53,Data!$A:$AN,MATCH(yoy!$W$1,Data!$A$1:$AN$1,),)-VLOOKUP(A53,Data!$A:$AN,MATCH(yoy!$W$1,Data!$A$1:$AN$1,),))/VLOOKUP(A53,Data!$A:$AN,MATCH(yoy!$W$1,Data!$A$1:$AN$1,),))+1)^12-1)</f>
        <v/>
      </c>
      <c r="X53" s="14">
        <f>IF(VLOOKUP(B53,Data!$A:$AN,MATCH(yoy!$X$1,Data!$A$1:$AN$1,),)=0,"#N/A",(((VLOOKUP(B53,Data!$A:$AN,MATCH(yoy!$X$1,Data!$A$1:$AN$1,),)-VLOOKUP(A53,Data!$A:$AN,MATCH(yoy!$X$1,Data!$A$1:$AN$1,),))/VLOOKUP(A53,Data!$A:$AN,MATCH(yoy!$X$1,Data!$A$1:$AN$1,),))+1)^12-1)</f>
        <v/>
      </c>
      <c r="Y53" s="14">
        <f>IF(VLOOKUP(B53,Data!$A:$AN,MATCH(yoy!$Y$1,Data!$A$1:$AN$1,),)=0,"#N/A",(((VLOOKUP(B53,Data!$A:$AN,MATCH(yoy!$Y$1,Data!$A$1:$AN$1,),)-VLOOKUP(A53,Data!$A:$AN,MATCH(yoy!$Y$1,Data!$A$1:$AN$1,),))/VLOOKUP(A53,Data!$A:$AN,MATCH(yoy!$Y$1,Data!$A$1:$AN$1,),))+1)^12-1)</f>
        <v/>
      </c>
      <c r="Z53" s="14">
        <f>IF(VLOOKUP(B53,Data!$A:$AN,MATCH(yoy!$Z$1,Data!$A$1:$AN$1,),)=0,"#N/A",(((VLOOKUP(B53,Data!$A:$AN,MATCH(yoy!$Z$1,Data!$A$1:$AN$1,),)-VLOOKUP(A53,Data!$A:$AN,MATCH(yoy!$Z$1,Data!$A$1:$AN$1,),))/VLOOKUP(A53,Data!$A:$AN,MATCH(yoy!$Z$1,Data!$A$1:$AN$1,),))+1)^12-1)</f>
        <v/>
      </c>
      <c r="AA53" s="14">
        <f>IF(VLOOKUP(B53,Data!$A:$AN,MATCH(yoy!$AA$1,Data!$A$1:$AN$1,),)=0,"#N/A",(((VLOOKUP(B53,Data!$A:$AN,MATCH(yoy!$AA$1,Data!$A$1:$AN$1,),)-VLOOKUP(A53,Data!$A:$AN,MATCH(yoy!$AA$1,Data!$A$1:$AN$1,),))/VLOOKUP(A53,Data!$A:$AN,MATCH(yoy!$AA$1,Data!$A$1:$AN$1,),))+1)^12-1)</f>
        <v/>
      </c>
    </row>
    <row r="54" customFormat="1" s="77">
      <c r="A54" s="20">
        <f>DATE(YEAR(B54),MONTH(B54)-1,DAY(B54))</f>
        <v/>
      </c>
      <c r="B54" s="12" t="n">
        <v>43497</v>
      </c>
      <c r="C54" s="14">
        <f>IF(VLOOKUP(B54,Data!$A:$AN,MATCH(yoy!$C$1,Data!$A$1:$AN$1,),)=0,"#N/A",(((VLOOKUP(B54,Data!$A:$AN,MATCH(yoy!$C$1,Data!$A$1:$AN$1,),)-VLOOKUP(A54,Data!$A:$AN,MATCH(yoy!$C$1,Data!$A$1:$AN$1,),))/VLOOKUP(A54,Data!$A:$AN,MATCH(yoy!$C$1,Data!$A$1:$AN$1,),))+1)^12-1)</f>
        <v/>
      </c>
      <c r="D54" s="14">
        <f>IF(VLOOKUP(B54,Data!$A:$AN,MATCH(yoy!$D$1,Data!$A$1:$AN$1,),)=0,"#N/A",(((VLOOKUP(B54,Data!$A:$AN,MATCH(yoy!$D$1,Data!$A$1:$AN$1,),)-VLOOKUP(A54,Data!$A:$AN,MATCH(yoy!$D$1,Data!$A$1:$AN$1,),))/VLOOKUP(A54,Data!$A:$AN,MATCH(yoy!$D$1,Data!$A$1:$AN$1,),))+1)^12-1)</f>
        <v/>
      </c>
      <c r="E54" s="14">
        <f>IF(VLOOKUP(B54,Data!$A:$AN,MATCH(yoy!$E$1,Data!$A$1:$AN$1,),)=0,"#N/A",(((VLOOKUP(B54,Data!$A:$AN,MATCH(yoy!$E$1,Data!$A$1:$AN$1,),)-VLOOKUP(A54,Data!$A:$AN,MATCH(yoy!$E$1,Data!$A$1:$AN$1,),))/VLOOKUP(A54,Data!$A:$AN,MATCH(yoy!$E$1,Data!$A$1:$AN$1,),))+1)^12-1)</f>
        <v/>
      </c>
      <c r="F54" s="14">
        <f>IF(VLOOKUP(B54,Data!$A:$AN,MATCH(yoy!$F$1,Data!$A$1:$AN$1,),)=0,"#N/A",(((VLOOKUP(B54,Data!$A:$AN,MATCH(yoy!$F$1,Data!$A$1:$AN$1,),)-VLOOKUP(A54,Data!$A:$AN,MATCH(yoy!$F$1,Data!$A$1:$AN$1,),))/VLOOKUP(A54,Data!$A:$AN,MATCH(yoy!$F$1,Data!$A$1:$AN$1,),))+1)^12-1)</f>
        <v/>
      </c>
      <c r="G54" s="14">
        <f>IF(VLOOKUP(B54,Data!$A:$AN,MATCH(yoy!$G$1,Data!$A$1:$AN$1,),)=0,"#N/A",(((VLOOKUP(B54,Data!$A:$AN,MATCH(yoy!$G$1,Data!$A$1:$AN$1,),)-VLOOKUP(A54,Data!$A:$AN,MATCH(yoy!$G$1,Data!$A$1:$AN$1,),))/VLOOKUP(A54,Data!$A:$AN,MATCH(yoy!$G$1,Data!$A$1:$AN$1,),))+1)^12-1)</f>
        <v/>
      </c>
      <c r="H54" s="14">
        <f>IF(VLOOKUP(B54,Data!$A:$AN,MATCH(yoy!$H$1,Data!$A$1:$AN$1,),)=0,"#N/A",(((VLOOKUP(B54,Data!$A:$AN,MATCH(yoy!$H$1,Data!$A$1:$AN$1,),)-VLOOKUP(A54,Data!$A:$AN,MATCH(yoy!$H$1,Data!$A$1:$AN$1,),))/VLOOKUP(A54,Data!$A:$AN,MATCH(yoy!$H$1,Data!$A$1:$AN$1,),))+1)^12-1)</f>
        <v/>
      </c>
      <c r="I54" s="14">
        <f>IF(VLOOKUP(B54,Data!$A:$AN,MATCH(yoy!$I$1,Data!$A$1:$AN$1,),)=0,"#N/A",(((VLOOKUP(B54,Data!$A:$AN,MATCH(yoy!$I$1,Data!$A$1:$AN$1,),)-VLOOKUP(A54,Data!$A:$AN,MATCH(yoy!$I$1,Data!$A$1:$AN$1,),))/VLOOKUP(A54,Data!$A:$AN,MATCH(yoy!$I$1,Data!$A$1:$AN$1,),))+1)^12-1)</f>
        <v/>
      </c>
      <c r="J54" s="14">
        <f>IF(VLOOKUP(B54,Data!$A:$AN,MATCH(yoy!$J$1,Data!$A$1:$AN$1,),)=0,"#N/A",(((VLOOKUP(B54,Data!$A:$AN,MATCH(yoy!$J$1,Data!$A$1:$AN$1,),)-VLOOKUP(A54,Data!$A:$AN,MATCH(yoy!$J$1,Data!$A$1:$AN$1,),))/VLOOKUP(A54,Data!$A:$AN,MATCH(yoy!$J$1,Data!$A$1:$AN$1,),))+1)^12-1)</f>
        <v/>
      </c>
      <c r="K54" s="14">
        <f>IF(VLOOKUP(B54,Data!$A:$AN,MATCH(yoy!$K$1,Data!$A$1:$AN$1,),)=0,"#N/A",(((VLOOKUP(B54,Data!$A:$AN,MATCH(yoy!$K$1,Data!$A$1:$AN$1,),)-VLOOKUP(A54,Data!$A:$AN,MATCH(yoy!$K$1,Data!$A$1:$AN$1,),))/VLOOKUP(A54,Data!$A:$AN,MATCH(yoy!$K$1,Data!$A$1:$AN$1,),))+1)^12-1)</f>
        <v/>
      </c>
      <c r="L54" s="14">
        <f>IF(VLOOKUP(B54,Data!$A:$AN,MATCH(yoy!$L$1,Data!$A$1:$AN$1,),)=0,"#N/A",(((VLOOKUP(B54,Data!$A:$AN,MATCH(yoy!$L$1,Data!$A$1:$AN$1,),)-VLOOKUP(A54,Data!$A:$AN,MATCH(yoy!$L$1,Data!$A$1:$AN$1,),))/VLOOKUP(A54,Data!$A:$AN,MATCH(yoy!$L$1,Data!$A$1:$AN$1,),))+1)^12-1)</f>
        <v/>
      </c>
      <c r="M54" s="14">
        <f>IF(VLOOKUP(B54,Data!$A:$AN,MATCH(yoy!$M$1,Data!$A$1:$AN$1,),)=0,"#N/A",(((VLOOKUP(B54,Data!$A:$AN,MATCH(yoy!$M$1,Data!$A$1:$AN$1,),)-VLOOKUP(A54,Data!$A:$AN,MATCH(yoy!$M$1,Data!$A$1:$AN$1,),))/VLOOKUP(A54,Data!$A:$AN,MATCH(yoy!$M$1,Data!$A$1:$AN$1,),))+1)^12-1)</f>
        <v/>
      </c>
      <c r="N54" s="14">
        <f>IF(VLOOKUP(B54,Data!$A:$AN,MATCH(yoy!$N$1,Data!$A$1:$AN$1,),)=0,"#N/A",(((VLOOKUP(B54,Data!$A:$AN,MATCH(yoy!$N$1,Data!$A$1:$AN$1,),)-VLOOKUP(A54,Data!$A:$AN,MATCH(yoy!$N$1,Data!$A$1:$AN$1,),))/VLOOKUP(A54,Data!$A:$AN,MATCH(yoy!$N$1,Data!$A$1:$AN$1,),))+1)^12-1)</f>
        <v/>
      </c>
      <c r="O54" s="14">
        <f>IF(VLOOKUP(B54,Data!$A:$AN,MATCH(yoy!$O$1,Data!$A$1:$AN$1,),)=0,"#N/A",(((VLOOKUP(B54,Data!$A:$AN,MATCH(yoy!$O$1,Data!$A$1:$AN$1,),)-VLOOKUP(A54,Data!$A:$AN,MATCH(yoy!$O$1,Data!$A$1:$AN$1,),))/VLOOKUP(A54,Data!$A:$AN,MATCH(yoy!$O$1,Data!$A$1:$AN$1,),))+1)^12-1)</f>
        <v/>
      </c>
      <c r="P54" s="14">
        <f>IF(VLOOKUP(B54,Data!$A:$AN,MATCH(yoy!$P$1,Data!$A$1:$AN$1,),)=0,"#N/A",(((VLOOKUP(B54,Data!$A:$AN,MATCH(yoy!$P$1,Data!$A$1:$AN$1,),)-VLOOKUP(A54,Data!$A:$AN,MATCH(yoy!$P$1,Data!$A$1:$AN$1,),))/VLOOKUP(A54,Data!$A:$AN,MATCH(yoy!$P$1,Data!$A$1:$AN$1,),))+1)^12-1)</f>
        <v/>
      </c>
      <c r="Q54" s="14">
        <f>IF(VLOOKUP(B54,Data!$A:$AN,MATCH(yoy!$Q$1,Data!$A$1:$AN$1,),)=0,"#N/A",(((VLOOKUP(B54,Data!$A:$AN,MATCH(yoy!$Q$1,Data!$A$1:$AN$1,),)-VLOOKUP(A54,Data!$A:$AN,MATCH(yoy!$Q$1,Data!$A$1:$AN$1,),))/VLOOKUP(A54,Data!$A:$AN,MATCH(yoy!$Q$1,Data!$A$1:$AN$1,),))+1)^12-1)</f>
        <v/>
      </c>
      <c r="R54" s="14">
        <f>IF(VLOOKUP(B54,Data!$A:$AN,MATCH(yoy!$R$1,Data!$A$1:$AN$1,),)=0,"#N/A",(((VLOOKUP(B54,Data!$A:$AN,MATCH(yoy!$R$1,Data!$A$1:$AN$1,),)-VLOOKUP(A54,Data!$A:$AN,MATCH(yoy!$R$1,Data!$A$1:$AN$1,),))/VLOOKUP(A54,Data!$A:$AN,MATCH(yoy!$R$1,Data!$A$1:$AN$1,),))+1)^12-1)</f>
        <v/>
      </c>
      <c r="S54" s="14">
        <f>IF(VLOOKUP(B54,Data!$A:$AN,MATCH(yoy!$S$1,Data!$A$1:$AN$1,),)=0,"#N/A",(((VLOOKUP(B54,Data!$A:$AN,MATCH(yoy!$S$1,Data!$A$1:$AN$1,),)-VLOOKUP(A54,Data!$A:$AN,MATCH(yoy!$S$1,Data!$A$1:$AN$1,),))/VLOOKUP(A54,Data!$A:$AN,MATCH(yoy!$S$1,Data!$A$1:$AN$1,),))+1)^12-1)</f>
        <v/>
      </c>
      <c r="T54" s="14">
        <f>IF(VLOOKUP(B54,Data!$A:$AN,MATCH(yoy!$T$1,Data!$A$1:$AN$1,),)=0,"#N/A",(((VLOOKUP(B54,Data!$A:$AN,MATCH(yoy!$T$1,Data!$A$1:$AN$1,),)-VLOOKUP(A54,Data!$A:$AN,MATCH(yoy!$T$1,Data!$A$1:$AN$1,),))/VLOOKUP(A54,Data!$A:$AN,MATCH(yoy!$T$1,Data!$A$1:$AN$1,),))+1)^12-1)</f>
        <v/>
      </c>
      <c r="U54" s="14">
        <f>IF(VLOOKUP(B54,Data!$A:$AN,MATCH(yoy!$U$1,Data!$A$1:$AN$1,),)=0,"#N/A",(((VLOOKUP(B54,Data!$A:$AN,MATCH(yoy!$U$1,Data!$A$1:$AN$1,),)-VLOOKUP(A54,Data!$A:$AN,MATCH(yoy!$U$1,Data!$A$1:$AN$1,),))/VLOOKUP(A54,Data!$A:$AN,MATCH(yoy!$U$1,Data!$A$1:$AN$1,),))+1)^12-1)</f>
        <v/>
      </c>
      <c r="V54" s="14">
        <f>IF(VLOOKUP(B54,Data!$A:$AN,MATCH(yoy!$V$1,Data!$A$1:$AN$1,),)=0,"#N/A",(((VLOOKUP(B54,Data!$A:$AN,MATCH(yoy!$V$1,Data!$A$1:$AN$1,),)-VLOOKUP(A54,Data!$A:$AN,MATCH(yoy!$V$1,Data!$A$1:$AN$1,),))/VLOOKUP(A54,Data!$A:$AN,MATCH(yoy!$V$1,Data!$A$1:$AN$1,),))+1)^12-1)</f>
        <v/>
      </c>
      <c r="W54" s="14">
        <f>IF(VLOOKUP(B54,Data!$A:$AN,MATCH(yoy!$W$1,Data!$A$1:$AN$1,),)=0,"#N/A",(((VLOOKUP(B54,Data!$A:$AN,MATCH(yoy!$W$1,Data!$A$1:$AN$1,),)-VLOOKUP(A54,Data!$A:$AN,MATCH(yoy!$W$1,Data!$A$1:$AN$1,),))/VLOOKUP(A54,Data!$A:$AN,MATCH(yoy!$W$1,Data!$A$1:$AN$1,),))+1)^12-1)</f>
        <v/>
      </c>
      <c r="X54" s="14">
        <f>IF(VLOOKUP(B54,Data!$A:$AN,MATCH(yoy!$X$1,Data!$A$1:$AN$1,),)=0,"#N/A",(((VLOOKUP(B54,Data!$A:$AN,MATCH(yoy!$X$1,Data!$A$1:$AN$1,),)-VLOOKUP(A54,Data!$A:$AN,MATCH(yoy!$X$1,Data!$A$1:$AN$1,),))/VLOOKUP(A54,Data!$A:$AN,MATCH(yoy!$X$1,Data!$A$1:$AN$1,),))+1)^12-1)</f>
        <v/>
      </c>
      <c r="Y54" s="14">
        <f>IF(VLOOKUP(B54,Data!$A:$AN,MATCH(yoy!$Y$1,Data!$A$1:$AN$1,),)=0,"#N/A",(((VLOOKUP(B54,Data!$A:$AN,MATCH(yoy!$Y$1,Data!$A$1:$AN$1,),)-VLOOKUP(A54,Data!$A:$AN,MATCH(yoy!$Y$1,Data!$A$1:$AN$1,),))/VLOOKUP(A54,Data!$A:$AN,MATCH(yoy!$Y$1,Data!$A$1:$AN$1,),))+1)^12-1)</f>
        <v/>
      </c>
      <c r="Z54" s="14">
        <f>IF(VLOOKUP(B54,Data!$A:$AN,MATCH(yoy!$Z$1,Data!$A$1:$AN$1,),)=0,"#N/A",(((VLOOKUP(B54,Data!$A:$AN,MATCH(yoy!$Z$1,Data!$A$1:$AN$1,),)-VLOOKUP(A54,Data!$A:$AN,MATCH(yoy!$Z$1,Data!$A$1:$AN$1,),))/VLOOKUP(A54,Data!$A:$AN,MATCH(yoy!$Z$1,Data!$A$1:$AN$1,),))+1)^12-1)</f>
        <v/>
      </c>
      <c r="AA54" s="14">
        <f>IF(VLOOKUP(B54,Data!$A:$AN,MATCH(yoy!$AA$1,Data!$A$1:$AN$1,),)=0,"#N/A",(((VLOOKUP(B54,Data!$A:$AN,MATCH(yoy!$AA$1,Data!$A$1:$AN$1,),)-VLOOKUP(A54,Data!$A:$AN,MATCH(yoy!$AA$1,Data!$A$1:$AN$1,),))/VLOOKUP(A54,Data!$A:$AN,MATCH(yoy!$AA$1,Data!$A$1:$AN$1,),))+1)^12-1)</f>
        <v/>
      </c>
    </row>
    <row r="55" customFormat="1" s="77">
      <c r="A55" s="20">
        <f>DATE(YEAR(B55),MONTH(B55)-1,DAY(B55))</f>
        <v/>
      </c>
      <c r="B55" s="12" t="n">
        <v>43525</v>
      </c>
      <c r="C55" s="14">
        <f>IF(VLOOKUP(B55,Data!$A:$AN,MATCH(yoy!$C$1,Data!$A$1:$AN$1,),)=0,"#N/A",(((VLOOKUP(B55,Data!$A:$AN,MATCH(yoy!$C$1,Data!$A$1:$AN$1,),)-VLOOKUP(A55,Data!$A:$AN,MATCH(yoy!$C$1,Data!$A$1:$AN$1,),))/VLOOKUP(A55,Data!$A:$AN,MATCH(yoy!$C$1,Data!$A$1:$AN$1,),))+1)^12-1)</f>
        <v/>
      </c>
      <c r="D55" s="14">
        <f>IF(VLOOKUP(B55,Data!$A:$AN,MATCH(yoy!$D$1,Data!$A$1:$AN$1,),)=0,"#N/A",(((VLOOKUP(B55,Data!$A:$AN,MATCH(yoy!$D$1,Data!$A$1:$AN$1,),)-VLOOKUP(A55,Data!$A:$AN,MATCH(yoy!$D$1,Data!$A$1:$AN$1,),))/VLOOKUP(A55,Data!$A:$AN,MATCH(yoy!$D$1,Data!$A$1:$AN$1,),))+1)^12-1)</f>
        <v/>
      </c>
      <c r="E55" s="14">
        <f>IF(VLOOKUP(B55,Data!$A:$AN,MATCH(yoy!$E$1,Data!$A$1:$AN$1,),)=0,"#N/A",(((VLOOKUP(B55,Data!$A:$AN,MATCH(yoy!$E$1,Data!$A$1:$AN$1,),)-VLOOKUP(A55,Data!$A:$AN,MATCH(yoy!$E$1,Data!$A$1:$AN$1,),))/VLOOKUP(A55,Data!$A:$AN,MATCH(yoy!$E$1,Data!$A$1:$AN$1,),))+1)^12-1)</f>
        <v/>
      </c>
      <c r="F55" s="14">
        <f>IF(VLOOKUP(B55,Data!$A:$AN,MATCH(yoy!$F$1,Data!$A$1:$AN$1,),)=0,"#N/A",(((VLOOKUP(B55,Data!$A:$AN,MATCH(yoy!$F$1,Data!$A$1:$AN$1,),)-VLOOKUP(A55,Data!$A:$AN,MATCH(yoy!$F$1,Data!$A$1:$AN$1,),))/VLOOKUP(A55,Data!$A:$AN,MATCH(yoy!$F$1,Data!$A$1:$AN$1,),))+1)^12-1)</f>
        <v/>
      </c>
      <c r="G55" s="14">
        <f>IF(VLOOKUP(B55,Data!$A:$AN,MATCH(yoy!$G$1,Data!$A$1:$AN$1,),)=0,"#N/A",(((VLOOKUP(B55,Data!$A:$AN,MATCH(yoy!$G$1,Data!$A$1:$AN$1,),)-VLOOKUP(A55,Data!$A:$AN,MATCH(yoy!$G$1,Data!$A$1:$AN$1,),))/VLOOKUP(A55,Data!$A:$AN,MATCH(yoy!$G$1,Data!$A$1:$AN$1,),))+1)^12-1)</f>
        <v/>
      </c>
      <c r="H55" s="14">
        <f>IF(VLOOKUP(B55,Data!$A:$AN,MATCH(yoy!$H$1,Data!$A$1:$AN$1,),)=0,"#N/A",(((VLOOKUP(B55,Data!$A:$AN,MATCH(yoy!$H$1,Data!$A$1:$AN$1,),)-VLOOKUP(A55,Data!$A:$AN,MATCH(yoy!$H$1,Data!$A$1:$AN$1,),))/VLOOKUP(A55,Data!$A:$AN,MATCH(yoy!$H$1,Data!$A$1:$AN$1,),))+1)^12-1)</f>
        <v/>
      </c>
      <c r="I55" s="14">
        <f>IF(VLOOKUP(B55,Data!$A:$AN,MATCH(yoy!$I$1,Data!$A$1:$AN$1,),)=0,"#N/A",(((VLOOKUP(B55,Data!$A:$AN,MATCH(yoy!$I$1,Data!$A$1:$AN$1,),)-VLOOKUP(A55,Data!$A:$AN,MATCH(yoy!$I$1,Data!$A$1:$AN$1,),))/VLOOKUP(A55,Data!$A:$AN,MATCH(yoy!$I$1,Data!$A$1:$AN$1,),))+1)^12-1)</f>
        <v/>
      </c>
      <c r="J55" s="14">
        <f>IF(VLOOKUP(B55,Data!$A:$AN,MATCH(yoy!$J$1,Data!$A$1:$AN$1,),)=0,"#N/A",(((VLOOKUP(B55,Data!$A:$AN,MATCH(yoy!$J$1,Data!$A$1:$AN$1,),)-VLOOKUP(A55,Data!$A:$AN,MATCH(yoy!$J$1,Data!$A$1:$AN$1,),))/VLOOKUP(A55,Data!$A:$AN,MATCH(yoy!$J$1,Data!$A$1:$AN$1,),))+1)^12-1)</f>
        <v/>
      </c>
      <c r="K55" s="14">
        <f>IF(VLOOKUP(B55,Data!$A:$AN,MATCH(yoy!$K$1,Data!$A$1:$AN$1,),)=0,"#N/A",(((VLOOKUP(B55,Data!$A:$AN,MATCH(yoy!$K$1,Data!$A$1:$AN$1,),)-VLOOKUP(A55,Data!$A:$AN,MATCH(yoy!$K$1,Data!$A$1:$AN$1,),))/VLOOKUP(A55,Data!$A:$AN,MATCH(yoy!$K$1,Data!$A$1:$AN$1,),))+1)^12-1)</f>
        <v/>
      </c>
      <c r="L55" s="14">
        <f>IF(VLOOKUP(B55,Data!$A:$AN,MATCH(yoy!$L$1,Data!$A$1:$AN$1,),)=0,"#N/A",(((VLOOKUP(B55,Data!$A:$AN,MATCH(yoy!$L$1,Data!$A$1:$AN$1,),)-VLOOKUP(A55,Data!$A:$AN,MATCH(yoy!$L$1,Data!$A$1:$AN$1,),))/VLOOKUP(A55,Data!$A:$AN,MATCH(yoy!$L$1,Data!$A$1:$AN$1,),))+1)^12-1)</f>
        <v/>
      </c>
      <c r="M55" s="14">
        <f>IF(VLOOKUP(B55,Data!$A:$AN,MATCH(yoy!$M$1,Data!$A$1:$AN$1,),)=0,"#N/A",(((VLOOKUP(B55,Data!$A:$AN,MATCH(yoy!$M$1,Data!$A$1:$AN$1,),)-VLOOKUP(A55,Data!$A:$AN,MATCH(yoy!$M$1,Data!$A$1:$AN$1,),))/VLOOKUP(A55,Data!$A:$AN,MATCH(yoy!$M$1,Data!$A$1:$AN$1,),))+1)^12-1)</f>
        <v/>
      </c>
      <c r="N55" s="14">
        <f>IF(VLOOKUP(B55,Data!$A:$AN,MATCH(yoy!$N$1,Data!$A$1:$AN$1,),)=0,"#N/A",(((VLOOKUP(B55,Data!$A:$AN,MATCH(yoy!$N$1,Data!$A$1:$AN$1,),)-VLOOKUP(A55,Data!$A:$AN,MATCH(yoy!$N$1,Data!$A$1:$AN$1,),))/VLOOKUP(A55,Data!$A:$AN,MATCH(yoy!$N$1,Data!$A$1:$AN$1,),))+1)^12-1)</f>
        <v/>
      </c>
      <c r="O55" s="14">
        <f>IF(VLOOKUP(B55,Data!$A:$AN,MATCH(yoy!$O$1,Data!$A$1:$AN$1,),)=0,"#N/A",(((VLOOKUP(B55,Data!$A:$AN,MATCH(yoy!$O$1,Data!$A$1:$AN$1,),)-VLOOKUP(A55,Data!$A:$AN,MATCH(yoy!$O$1,Data!$A$1:$AN$1,),))/VLOOKUP(A55,Data!$A:$AN,MATCH(yoy!$O$1,Data!$A$1:$AN$1,),))+1)^12-1)</f>
        <v/>
      </c>
      <c r="P55" s="14">
        <f>IF(VLOOKUP(B55,Data!$A:$AN,MATCH(yoy!$P$1,Data!$A$1:$AN$1,),)=0,"#N/A",(((VLOOKUP(B55,Data!$A:$AN,MATCH(yoy!$P$1,Data!$A$1:$AN$1,),)-VLOOKUP(A55,Data!$A:$AN,MATCH(yoy!$P$1,Data!$A$1:$AN$1,),))/VLOOKUP(A55,Data!$A:$AN,MATCH(yoy!$P$1,Data!$A$1:$AN$1,),))+1)^12-1)</f>
        <v/>
      </c>
      <c r="Q55" s="14">
        <f>IF(VLOOKUP(B55,Data!$A:$AN,MATCH(yoy!$Q$1,Data!$A$1:$AN$1,),)=0,"#N/A",(((VLOOKUP(B55,Data!$A:$AN,MATCH(yoy!$Q$1,Data!$A$1:$AN$1,),)-VLOOKUP(A55,Data!$A:$AN,MATCH(yoy!$Q$1,Data!$A$1:$AN$1,),))/VLOOKUP(A55,Data!$A:$AN,MATCH(yoy!$Q$1,Data!$A$1:$AN$1,),))+1)^12-1)</f>
        <v/>
      </c>
      <c r="R55" s="14">
        <f>IF(VLOOKUP(B55,Data!$A:$AN,MATCH(yoy!$R$1,Data!$A$1:$AN$1,),)=0,"#N/A",(((VLOOKUP(B55,Data!$A:$AN,MATCH(yoy!$R$1,Data!$A$1:$AN$1,),)-VLOOKUP(A55,Data!$A:$AN,MATCH(yoy!$R$1,Data!$A$1:$AN$1,),))/VLOOKUP(A55,Data!$A:$AN,MATCH(yoy!$R$1,Data!$A$1:$AN$1,),))+1)^12-1)</f>
        <v/>
      </c>
      <c r="S55" s="14">
        <f>IF(VLOOKUP(B55,Data!$A:$AN,MATCH(yoy!$S$1,Data!$A$1:$AN$1,),)=0,"#N/A",(((VLOOKUP(B55,Data!$A:$AN,MATCH(yoy!$S$1,Data!$A$1:$AN$1,),)-VLOOKUP(A55,Data!$A:$AN,MATCH(yoy!$S$1,Data!$A$1:$AN$1,),))/VLOOKUP(A55,Data!$A:$AN,MATCH(yoy!$S$1,Data!$A$1:$AN$1,),))+1)^12-1)</f>
        <v/>
      </c>
      <c r="T55" s="14">
        <f>IF(VLOOKUP(B55,Data!$A:$AN,MATCH(yoy!$T$1,Data!$A$1:$AN$1,),)=0,"#N/A",(((VLOOKUP(B55,Data!$A:$AN,MATCH(yoy!$T$1,Data!$A$1:$AN$1,),)-VLOOKUP(A55,Data!$A:$AN,MATCH(yoy!$T$1,Data!$A$1:$AN$1,),))/VLOOKUP(A55,Data!$A:$AN,MATCH(yoy!$T$1,Data!$A$1:$AN$1,),))+1)^12-1)</f>
        <v/>
      </c>
      <c r="U55" s="14">
        <f>IF(VLOOKUP(B55,Data!$A:$AN,MATCH(yoy!$U$1,Data!$A$1:$AN$1,),)=0,"#N/A",(((VLOOKUP(B55,Data!$A:$AN,MATCH(yoy!$U$1,Data!$A$1:$AN$1,),)-VLOOKUP(A55,Data!$A:$AN,MATCH(yoy!$U$1,Data!$A$1:$AN$1,),))/VLOOKUP(A55,Data!$A:$AN,MATCH(yoy!$U$1,Data!$A$1:$AN$1,),))+1)^12-1)</f>
        <v/>
      </c>
      <c r="V55" s="14">
        <f>IF(VLOOKUP(B55,Data!$A:$AN,MATCH(yoy!$V$1,Data!$A$1:$AN$1,),)=0,"#N/A",(((VLOOKUP(B55,Data!$A:$AN,MATCH(yoy!$V$1,Data!$A$1:$AN$1,),)-VLOOKUP(A55,Data!$A:$AN,MATCH(yoy!$V$1,Data!$A$1:$AN$1,),))/VLOOKUP(A55,Data!$A:$AN,MATCH(yoy!$V$1,Data!$A$1:$AN$1,),))+1)^12-1)</f>
        <v/>
      </c>
      <c r="W55" s="14">
        <f>IF(VLOOKUP(B55,Data!$A:$AN,MATCH(yoy!$W$1,Data!$A$1:$AN$1,),)=0,"#N/A",(((VLOOKUP(B55,Data!$A:$AN,MATCH(yoy!$W$1,Data!$A$1:$AN$1,),)-VLOOKUP(A55,Data!$A:$AN,MATCH(yoy!$W$1,Data!$A$1:$AN$1,),))/VLOOKUP(A55,Data!$A:$AN,MATCH(yoy!$W$1,Data!$A$1:$AN$1,),))+1)^12-1)</f>
        <v/>
      </c>
      <c r="X55" s="14">
        <f>IF(VLOOKUP(B55,Data!$A:$AN,MATCH(yoy!$X$1,Data!$A$1:$AN$1,),)=0,"#N/A",(((VLOOKUP(B55,Data!$A:$AN,MATCH(yoy!$X$1,Data!$A$1:$AN$1,),)-VLOOKUP(A55,Data!$A:$AN,MATCH(yoy!$X$1,Data!$A$1:$AN$1,),))/VLOOKUP(A55,Data!$A:$AN,MATCH(yoy!$X$1,Data!$A$1:$AN$1,),))+1)^12-1)</f>
        <v/>
      </c>
      <c r="Y55" s="14">
        <f>IF(VLOOKUP(B55,Data!$A:$AN,MATCH(yoy!$Y$1,Data!$A$1:$AN$1,),)=0,"#N/A",(((VLOOKUP(B55,Data!$A:$AN,MATCH(yoy!$Y$1,Data!$A$1:$AN$1,),)-VLOOKUP(A55,Data!$A:$AN,MATCH(yoy!$Y$1,Data!$A$1:$AN$1,),))/VLOOKUP(A55,Data!$A:$AN,MATCH(yoy!$Y$1,Data!$A$1:$AN$1,),))+1)^12-1)</f>
        <v/>
      </c>
      <c r="Z55" s="14">
        <f>IF(VLOOKUP(B55,Data!$A:$AN,MATCH(yoy!$Z$1,Data!$A$1:$AN$1,),)=0,"#N/A",(((VLOOKUP(B55,Data!$A:$AN,MATCH(yoy!$Z$1,Data!$A$1:$AN$1,),)-VLOOKUP(A55,Data!$A:$AN,MATCH(yoy!$Z$1,Data!$A$1:$AN$1,),))/VLOOKUP(A55,Data!$A:$AN,MATCH(yoy!$Z$1,Data!$A$1:$AN$1,),))+1)^12-1)</f>
        <v/>
      </c>
      <c r="AA55" s="14">
        <f>IF(VLOOKUP(B55,Data!$A:$AN,MATCH(yoy!$AA$1,Data!$A$1:$AN$1,),)=0,"#N/A",(((VLOOKUP(B55,Data!$A:$AN,MATCH(yoy!$AA$1,Data!$A$1:$AN$1,),)-VLOOKUP(A55,Data!$A:$AN,MATCH(yoy!$AA$1,Data!$A$1:$AN$1,),))/VLOOKUP(A55,Data!$A:$AN,MATCH(yoy!$AA$1,Data!$A$1:$AN$1,),))+1)^12-1)</f>
        <v/>
      </c>
    </row>
    <row r="56" customFormat="1" s="77">
      <c r="A56" s="20">
        <f>DATE(YEAR(B56),MONTH(B56)-1,DAY(B56))</f>
        <v/>
      </c>
      <c r="B56" s="12" t="n">
        <v>43556</v>
      </c>
      <c r="C56" s="14">
        <f>IF(VLOOKUP(B56,Data!$A:$AN,MATCH(yoy!$C$1,Data!$A$1:$AN$1,),)=0,"#N/A",(((VLOOKUP(B56,Data!$A:$AN,MATCH(yoy!$C$1,Data!$A$1:$AN$1,),)-VLOOKUP(A56,Data!$A:$AN,MATCH(yoy!$C$1,Data!$A$1:$AN$1,),))/VLOOKUP(A56,Data!$A:$AN,MATCH(yoy!$C$1,Data!$A$1:$AN$1,),))+1)^12-1)</f>
        <v/>
      </c>
      <c r="D56" s="14">
        <f>IF(VLOOKUP(B56,Data!$A:$AN,MATCH(yoy!$D$1,Data!$A$1:$AN$1,),)=0,"#N/A",(((VLOOKUP(B56,Data!$A:$AN,MATCH(yoy!$D$1,Data!$A$1:$AN$1,),)-VLOOKUP(A56,Data!$A:$AN,MATCH(yoy!$D$1,Data!$A$1:$AN$1,),))/VLOOKUP(A56,Data!$A:$AN,MATCH(yoy!$D$1,Data!$A$1:$AN$1,),))+1)^12-1)</f>
        <v/>
      </c>
      <c r="E56" s="14">
        <f>IF(VLOOKUP(B56,Data!$A:$AN,MATCH(yoy!$E$1,Data!$A$1:$AN$1,),)=0,"#N/A",(((VLOOKUP(B56,Data!$A:$AN,MATCH(yoy!$E$1,Data!$A$1:$AN$1,),)-VLOOKUP(A56,Data!$A:$AN,MATCH(yoy!$E$1,Data!$A$1:$AN$1,),))/VLOOKUP(A56,Data!$A:$AN,MATCH(yoy!$E$1,Data!$A$1:$AN$1,),))+1)^12-1)</f>
        <v/>
      </c>
      <c r="F56" s="14">
        <f>IF(VLOOKUP(B56,Data!$A:$AN,MATCH(yoy!$F$1,Data!$A$1:$AN$1,),)=0,"#N/A",(((VLOOKUP(B56,Data!$A:$AN,MATCH(yoy!$F$1,Data!$A$1:$AN$1,),)-VLOOKUP(A56,Data!$A:$AN,MATCH(yoy!$F$1,Data!$A$1:$AN$1,),))/VLOOKUP(A56,Data!$A:$AN,MATCH(yoy!$F$1,Data!$A$1:$AN$1,),))+1)^12-1)</f>
        <v/>
      </c>
      <c r="G56" s="14">
        <f>IF(VLOOKUP(B56,Data!$A:$AN,MATCH(yoy!$G$1,Data!$A$1:$AN$1,),)=0,"#N/A",(((VLOOKUP(B56,Data!$A:$AN,MATCH(yoy!$G$1,Data!$A$1:$AN$1,),)-VLOOKUP(A56,Data!$A:$AN,MATCH(yoy!$G$1,Data!$A$1:$AN$1,),))/VLOOKUP(A56,Data!$A:$AN,MATCH(yoy!$G$1,Data!$A$1:$AN$1,),))+1)^12-1)</f>
        <v/>
      </c>
      <c r="H56" s="14">
        <f>IF(VLOOKUP(B56,Data!$A:$AN,MATCH(yoy!$H$1,Data!$A$1:$AN$1,),)=0,"#N/A",(((VLOOKUP(B56,Data!$A:$AN,MATCH(yoy!$H$1,Data!$A$1:$AN$1,),)-VLOOKUP(A56,Data!$A:$AN,MATCH(yoy!$H$1,Data!$A$1:$AN$1,),))/VLOOKUP(A56,Data!$A:$AN,MATCH(yoy!$H$1,Data!$A$1:$AN$1,),))+1)^12-1)</f>
        <v/>
      </c>
      <c r="I56" s="14">
        <f>IF(VLOOKUP(B56,Data!$A:$AN,MATCH(yoy!$I$1,Data!$A$1:$AN$1,),)=0,"#N/A",(((VLOOKUP(B56,Data!$A:$AN,MATCH(yoy!$I$1,Data!$A$1:$AN$1,),)-VLOOKUP(A56,Data!$A:$AN,MATCH(yoy!$I$1,Data!$A$1:$AN$1,),))/VLOOKUP(A56,Data!$A:$AN,MATCH(yoy!$I$1,Data!$A$1:$AN$1,),))+1)^12-1)</f>
        <v/>
      </c>
      <c r="J56" s="14">
        <f>IF(VLOOKUP(B56,Data!$A:$AN,MATCH(yoy!$J$1,Data!$A$1:$AN$1,),)=0,"#N/A",(((VLOOKUP(B56,Data!$A:$AN,MATCH(yoy!$J$1,Data!$A$1:$AN$1,),)-VLOOKUP(A56,Data!$A:$AN,MATCH(yoy!$J$1,Data!$A$1:$AN$1,),))/VLOOKUP(A56,Data!$A:$AN,MATCH(yoy!$J$1,Data!$A$1:$AN$1,),))+1)^12-1)</f>
        <v/>
      </c>
      <c r="K56" s="14">
        <f>IF(VLOOKUP(B56,Data!$A:$AN,MATCH(yoy!$K$1,Data!$A$1:$AN$1,),)=0,"#N/A",(((VLOOKUP(B56,Data!$A:$AN,MATCH(yoy!$K$1,Data!$A$1:$AN$1,),)-VLOOKUP(A56,Data!$A:$AN,MATCH(yoy!$K$1,Data!$A$1:$AN$1,),))/VLOOKUP(A56,Data!$A:$AN,MATCH(yoy!$K$1,Data!$A$1:$AN$1,),))+1)^12-1)</f>
        <v/>
      </c>
      <c r="L56" s="14">
        <f>IF(VLOOKUP(B56,Data!$A:$AN,MATCH(yoy!$L$1,Data!$A$1:$AN$1,),)=0,"#N/A",(((VLOOKUP(B56,Data!$A:$AN,MATCH(yoy!$L$1,Data!$A$1:$AN$1,),)-VLOOKUP(A56,Data!$A:$AN,MATCH(yoy!$L$1,Data!$A$1:$AN$1,),))/VLOOKUP(A56,Data!$A:$AN,MATCH(yoy!$L$1,Data!$A$1:$AN$1,),))+1)^12-1)</f>
        <v/>
      </c>
      <c r="M56" s="14">
        <f>IF(VLOOKUP(B56,Data!$A:$AN,MATCH(yoy!$M$1,Data!$A$1:$AN$1,),)=0,"#N/A",(((VLOOKUP(B56,Data!$A:$AN,MATCH(yoy!$M$1,Data!$A$1:$AN$1,),)-VLOOKUP(A56,Data!$A:$AN,MATCH(yoy!$M$1,Data!$A$1:$AN$1,),))/VLOOKUP(A56,Data!$A:$AN,MATCH(yoy!$M$1,Data!$A$1:$AN$1,),))+1)^12-1)</f>
        <v/>
      </c>
      <c r="N56" s="14">
        <f>IF(VLOOKUP(B56,Data!$A:$AN,MATCH(yoy!$N$1,Data!$A$1:$AN$1,),)=0,"#N/A",(((VLOOKUP(B56,Data!$A:$AN,MATCH(yoy!$N$1,Data!$A$1:$AN$1,),)-VLOOKUP(A56,Data!$A:$AN,MATCH(yoy!$N$1,Data!$A$1:$AN$1,),))/VLOOKUP(A56,Data!$A:$AN,MATCH(yoy!$N$1,Data!$A$1:$AN$1,),))+1)^12-1)</f>
        <v/>
      </c>
      <c r="O56" s="14">
        <f>IF(VLOOKUP(B56,Data!$A:$AN,MATCH(yoy!$O$1,Data!$A$1:$AN$1,),)=0,"#N/A",(((VLOOKUP(B56,Data!$A:$AN,MATCH(yoy!$O$1,Data!$A$1:$AN$1,),)-VLOOKUP(A56,Data!$A:$AN,MATCH(yoy!$O$1,Data!$A$1:$AN$1,),))/VLOOKUP(A56,Data!$A:$AN,MATCH(yoy!$O$1,Data!$A$1:$AN$1,),))+1)^12-1)</f>
        <v/>
      </c>
      <c r="P56" s="14">
        <f>IF(VLOOKUP(B56,Data!$A:$AN,MATCH(yoy!$P$1,Data!$A$1:$AN$1,),)=0,"#N/A",(((VLOOKUP(B56,Data!$A:$AN,MATCH(yoy!$P$1,Data!$A$1:$AN$1,),)-VLOOKUP(A56,Data!$A:$AN,MATCH(yoy!$P$1,Data!$A$1:$AN$1,),))/VLOOKUP(A56,Data!$A:$AN,MATCH(yoy!$P$1,Data!$A$1:$AN$1,),))+1)^12-1)</f>
        <v/>
      </c>
      <c r="Q56" s="14">
        <f>IF(VLOOKUP(B56,Data!$A:$AN,MATCH(yoy!$Q$1,Data!$A$1:$AN$1,),)=0,"#N/A",(((VLOOKUP(B56,Data!$A:$AN,MATCH(yoy!$Q$1,Data!$A$1:$AN$1,),)-VLOOKUP(A56,Data!$A:$AN,MATCH(yoy!$Q$1,Data!$A$1:$AN$1,),))/VLOOKUP(A56,Data!$A:$AN,MATCH(yoy!$Q$1,Data!$A$1:$AN$1,),))+1)^12-1)</f>
        <v/>
      </c>
      <c r="R56" s="14">
        <f>IF(VLOOKUP(B56,Data!$A:$AN,MATCH(yoy!$R$1,Data!$A$1:$AN$1,),)=0,"#N/A",(((VLOOKUP(B56,Data!$A:$AN,MATCH(yoy!$R$1,Data!$A$1:$AN$1,),)-VLOOKUP(A56,Data!$A:$AN,MATCH(yoy!$R$1,Data!$A$1:$AN$1,),))/VLOOKUP(A56,Data!$A:$AN,MATCH(yoy!$R$1,Data!$A$1:$AN$1,),))+1)^12-1)</f>
        <v/>
      </c>
      <c r="S56" s="14">
        <f>IF(VLOOKUP(B56,Data!$A:$AN,MATCH(yoy!$S$1,Data!$A$1:$AN$1,),)=0,"#N/A",(((VLOOKUP(B56,Data!$A:$AN,MATCH(yoy!$S$1,Data!$A$1:$AN$1,),)-VLOOKUP(A56,Data!$A:$AN,MATCH(yoy!$S$1,Data!$A$1:$AN$1,),))/VLOOKUP(A56,Data!$A:$AN,MATCH(yoy!$S$1,Data!$A$1:$AN$1,),))+1)^12-1)</f>
        <v/>
      </c>
      <c r="T56" s="14">
        <f>IF(VLOOKUP(B56,Data!$A:$AN,MATCH(yoy!$T$1,Data!$A$1:$AN$1,),)=0,"#N/A",(((VLOOKUP(B56,Data!$A:$AN,MATCH(yoy!$T$1,Data!$A$1:$AN$1,),)-VLOOKUP(A56,Data!$A:$AN,MATCH(yoy!$T$1,Data!$A$1:$AN$1,),))/VLOOKUP(A56,Data!$A:$AN,MATCH(yoy!$T$1,Data!$A$1:$AN$1,),))+1)^12-1)</f>
        <v/>
      </c>
      <c r="U56" s="14">
        <f>IF(VLOOKUP(B56,Data!$A:$AN,MATCH(yoy!$U$1,Data!$A$1:$AN$1,),)=0,"#N/A",(((VLOOKUP(B56,Data!$A:$AN,MATCH(yoy!$U$1,Data!$A$1:$AN$1,),)-VLOOKUP(A56,Data!$A:$AN,MATCH(yoy!$U$1,Data!$A$1:$AN$1,),))/VLOOKUP(A56,Data!$A:$AN,MATCH(yoy!$U$1,Data!$A$1:$AN$1,),))+1)^12-1)</f>
        <v/>
      </c>
      <c r="V56" s="14">
        <f>IF(VLOOKUP(B56,Data!$A:$AN,MATCH(yoy!$V$1,Data!$A$1:$AN$1,),)=0,"#N/A",(((VLOOKUP(B56,Data!$A:$AN,MATCH(yoy!$V$1,Data!$A$1:$AN$1,),)-VLOOKUP(A56,Data!$A:$AN,MATCH(yoy!$V$1,Data!$A$1:$AN$1,),))/VLOOKUP(A56,Data!$A:$AN,MATCH(yoy!$V$1,Data!$A$1:$AN$1,),))+1)^12-1)</f>
        <v/>
      </c>
      <c r="W56" s="14">
        <f>IF(VLOOKUP(B56,Data!$A:$AN,MATCH(yoy!$W$1,Data!$A$1:$AN$1,),)=0,"#N/A",(((VLOOKUP(B56,Data!$A:$AN,MATCH(yoy!$W$1,Data!$A$1:$AN$1,),)-VLOOKUP(A56,Data!$A:$AN,MATCH(yoy!$W$1,Data!$A$1:$AN$1,),))/VLOOKUP(A56,Data!$A:$AN,MATCH(yoy!$W$1,Data!$A$1:$AN$1,),))+1)^12-1)</f>
        <v/>
      </c>
      <c r="X56" s="14">
        <f>IF(VLOOKUP(B56,Data!$A:$AN,MATCH(yoy!$X$1,Data!$A$1:$AN$1,),)=0,"#N/A",(((VLOOKUP(B56,Data!$A:$AN,MATCH(yoy!$X$1,Data!$A$1:$AN$1,),)-VLOOKUP(A56,Data!$A:$AN,MATCH(yoy!$X$1,Data!$A$1:$AN$1,),))/VLOOKUP(A56,Data!$A:$AN,MATCH(yoy!$X$1,Data!$A$1:$AN$1,),))+1)^12-1)</f>
        <v/>
      </c>
      <c r="Y56" s="14">
        <f>IF(VLOOKUP(B56,Data!$A:$AN,MATCH(yoy!$Y$1,Data!$A$1:$AN$1,),)=0,"#N/A",(((VLOOKUP(B56,Data!$A:$AN,MATCH(yoy!$Y$1,Data!$A$1:$AN$1,),)-VLOOKUP(A56,Data!$A:$AN,MATCH(yoy!$Y$1,Data!$A$1:$AN$1,),))/VLOOKUP(A56,Data!$A:$AN,MATCH(yoy!$Y$1,Data!$A$1:$AN$1,),))+1)^12-1)</f>
        <v/>
      </c>
      <c r="Z56" s="14">
        <f>IF(VLOOKUP(B56,Data!$A:$AN,MATCH(yoy!$Z$1,Data!$A$1:$AN$1,),)=0,"#N/A",(((VLOOKUP(B56,Data!$A:$AN,MATCH(yoy!$Z$1,Data!$A$1:$AN$1,),)-VLOOKUP(A56,Data!$A:$AN,MATCH(yoy!$Z$1,Data!$A$1:$AN$1,),))/VLOOKUP(A56,Data!$A:$AN,MATCH(yoy!$Z$1,Data!$A$1:$AN$1,),))+1)^12-1)</f>
        <v/>
      </c>
      <c r="AA56" s="14">
        <f>IF(VLOOKUP(B56,Data!$A:$AN,MATCH(yoy!$AA$1,Data!$A$1:$AN$1,),)=0,"#N/A",(((VLOOKUP(B56,Data!$A:$AN,MATCH(yoy!$AA$1,Data!$A$1:$AN$1,),)-VLOOKUP(A56,Data!$A:$AN,MATCH(yoy!$AA$1,Data!$A$1:$AN$1,),))/VLOOKUP(A56,Data!$A:$AN,MATCH(yoy!$AA$1,Data!$A$1:$AN$1,),))+1)^12-1)</f>
        <v/>
      </c>
    </row>
    <row r="57" customFormat="1" s="77">
      <c r="A57" s="20">
        <f>DATE(YEAR(B57),MONTH(B57)-1,DAY(B57))</f>
        <v/>
      </c>
      <c r="B57" s="12" t="n">
        <v>43586</v>
      </c>
      <c r="C57" s="14">
        <f>IF(VLOOKUP(B57,Data!$A:$AN,MATCH(yoy!$C$1,Data!$A$1:$AN$1,),)=0,"#N/A",(((VLOOKUP(B57,Data!$A:$AN,MATCH(yoy!$C$1,Data!$A$1:$AN$1,),)-VLOOKUP(A57,Data!$A:$AN,MATCH(yoy!$C$1,Data!$A$1:$AN$1,),))/VLOOKUP(A57,Data!$A:$AN,MATCH(yoy!$C$1,Data!$A$1:$AN$1,),))+1)^12-1)</f>
        <v/>
      </c>
      <c r="D57" s="14">
        <f>IF(VLOOKUP(B57,Data!$A:$AN,MATCH(yoy!$D$1,Data!$A$1:$AN$1,),)=0,"#N/A",(((VLOOKUP(B57,Data!$A:$AN,MATCH(yoy!$D$1,Data!$A$1:$AN$1,),)-VLOOKUP(A57,Data!$A:$AN,MATCH(yoy!$D$1,Data!$A$1:$AN$1,),))/VLOOKUP(A57,Data!$A:$AN,MATCH(yoy!$D$1,Data!$A$1:$AN$1,),))+1)^12-1)</f>
        <v/>
      </c>
      <c r="E57" s="14">
        <f>IF(VLOOKUP(B57,Data!$A:$AN,MATCH(yoy!$E$1,Data!$A$1:$AN$1,),)=0,"#N/A",(((VLOOKUP(B57,Data!$A:$AN,MATCH(yoy!$E$1,Data!$A$1:$AN$1,),)-VLOOKUP(A57,Data!$A:$AN,MATCH(yoy!$E$1,Data!$A$1:$AN$1,),))/VLOOKUP(A57,Data!$A:$AN,MATCH(yoy!$E$1,Data!$A$1:$AN$1,),))+1)^12-1)</f>
        <v/>
      </c>
      <c r="F57" s="14">
        <f>IF(VLOOKUP(B57,Data!$A:$AN,MATCH(yoy!$F$1,Data!$A$1:$AN$1,),)=0,"#N/A",(((VLOOKUP(B57,Data!$A:$AN,MATCH(yoy!$F$1,Data!$A$1:$AN$1,),)-VLOOKUP(A57,Data!$A:$AN,MATCH(yoy!$F$1,Data!$A$1:$AN$1,),))/VLOOKUP(A57,Data!$A:$AN,MATCH(yoy!$F$1,Data!$A$1:$AN$1,),))+1)^12-1)</f>
        <v/>
      </c>
      <c r="G57" s="14">
        <f>IF(VLOOKUP(B57,Data!$A:$AN,MATCH(yoy!$G$1,Data!$A$1:$AN$1,),)=0,"#N/A",(((VLOOKUP(B57,Data!$A:$AN,MATCH(yoy!$G$1,Data!$A$1:$AN$1,),)-VLOOKUP(A57,Data!$A:$AN,MATCH(yoy!$G$1,Data!$A$1:$AN$1,),))/VLOOKUP(A57,Data!$A:$AN,MATCH(yoy!$G$1,Data!$A$1:$AN$1,),))+1)^12-1)</f>
        <v/>
      </c>
      <c r="H57" s="14">
        <f>IF(VLOOKUP(B57,Data!$A:$AN,MATCH(yoy!$H$1,Data!$A$1:$AN$1,),)=0,"#N/A",(((VLOOKUP(B57,Data!$A:$AN,MATCH(yoy!$H$1,Data!$A$1:$AN$1,),)-VLOOKUP(A57,Data!$A:$AN,MATCH(yoy!$H$1,Data!$A$1:$AN$1,),))/VLOOKUP(A57,Data!$A:$AN,MATCH(yoy!$H$1,Data!$A$1:$AN$1,),))+1)^12-1)</f>
        <v/>
      </c>
      <c r="I57" s="14">
        <f>IF(VLOOKUP(B57,Data!$A:$AN,MATCH(yoy!$I$1,Data!$A$1:$AN$1,),)=0,"#N/A",(((VLOOKUP(B57,Data!$A:$AN,MATCH(yoy!$I$1,Data!$A$1:$AN$1,),)-VLOOKUP(A57,Data!$A:$AN,MATCH(yoy!$I$1,Data!$A$1:$AN$1,),))/VLOOKUP(A57,Data!$A:$AN,MATCH(yoy!$I$1,Data!$A$1:$AN$1,),))+1)^12-1)</f>
        <v/>
      </c>
      <c r="J57" s="14">
        <f>IF(VLOOKUP(B57,Data!$A:$AN,MATCH(yoy!$J$1,Data!$A$1:$AN$1,),)=0,"#N/A",(((VLOOKUP(B57,Data!$A:$AN,MATCH(yoy!$J$1,Data!$A$1:$AN$1,),)-VLOOKUP(A57,Data!$A:$AN,MATCH(yoy!$J$1,Data!$A$1:$AN$1,),))/VLOOKUP(A57,Data!$A:$AN,MATCH(yoy!$J$1,Data!$A$1:$AN$1,),))+1)^12-1)</f>
        <v/>
      </c>
      <c r="K57" s="14">
        <f>IF(VLOOKUP(B57,Data!$A:$AN,MATCH(yoy!$K$1,Data!$A$1:$AN$1,),)=0,"#N/A",(((VLOOKUP(B57,Data!$A:$AN,MATCH(yoy!$K$1,Data!$A$1:$AN$1,),)-VLOOKUP(A57,Data!$A:$AN,MATCH(yoy!$K$1,Data!$A$1:$AN$1,),))/VLOOKUP(A57,Data!$A:$AN,MATCH(yoy!$K$1,Data!$A$1:$AN$1,),))+1)^12-1)</f>
        <v/>
      </c>
      <c r="L57" s="14">
        <f>IF(VLOOKUP(B57,Data!$A:$AN,MATCH(yoy!$L$1,Data!$A$1:$AN$1,),)=0,"#N/A",(((VLOOKUP(B57,Data!$A:$AN,MATCH(yoy!$L$1,Data!$A$1:$AN$1,),)-VLOOKUP(A57,Data!$A:$AN,MATCH(yoy!$L$1,Data!$A$1:$AN$1,),))/VLOOKUP(A57,Data!$A:$AN,MATCH(yoy!$L$1,Data!$A$1:$AN$1,),))+1)^12-1)</f>
        <v/>
      </c>
      <c r="M57" s="14">
        <f>IF(VLOOKUP(B57,Data!$A:$AN,MATCH(yoy!$M$1,Data!$A$1:$AN$1,),)=0,"#N/A",(((VLOOKUP(B57,Data!$A:$AN,MATCH(yoy!$M$1,Data!$A$1:$AN$1,),)-VLOOKUP(A57,Data!$A:$AN,MATCH(yoy!$M$1,Data!$A$1:$AN$1,),))/VLOOKUP(A57,Data!$A:$AN,MATCH(yoy!$M$1,Data!$A$1:$AN$1,),))+1)^12-1)</f>
        <v/>
      </c>
      <c r="N57" s="14">
        <f>IF(VLOOKUP(B57,Data!$A:$AN,MATCH(yoy!$N$1,Data!$A$1:$AN$1,),)=0,"#N/A",(((VLOOKUP(B57,Data!$A:$AN,MATCH(yoy!$N$1,Data!$A$1:$AN$1,),)-VLOOKUP(A57,Data!$A:$AN,MATCH(yoy!$N$1,Data!$A$1:$AN$1,),))/VLOOKUP(A57,Data!$A:$AN,MATCH(yoy!$N$1,Data!$A$1:$AN$1,),))+1)^12-1)</f>
        <v/>
      </c>
      <c r="O57" s="14">
        <f>IF(VLOOKUP(B57,Data!$A:$AN,MATCH(yoy!$O$1,Data!$A$1:$AN$1,),)=0,"#N/A",(((VLOOKUP(B57,Data!$A:$AN,MATCH(yoy!$O$1,Data!$A$1:$AN$1,),)-VLOOKUP(A57,Data!$A:$AN,MATCH(yoy!$O$1,Data!$A$1:$AN$1,),))/VLOOKUP(A57,Data!$A:$AN,MATCH(yoy!$O$1,Data!$A$1:$AN$1,),))+1)^12-1)</f>
        <v/>
      </c>
      <c r="P57" s="14">
        <f>IF(VLOOKUP(B57,Data!$A:$AN,MATCH(yoy!$P$1,Data!$A$1:$AN$1,),)=0,"#N/A",(((VLOOKUP(B57,Data!$A:$AN,MATCH(yoy!$P$1,Data!$A$1:$AN$1,),)-VLOOKUP(A57,Data!$A:$AN,MATCH(yoy!$P$1,Data!$A$1:$AN$1,),))/VLOOKUP(A57,Data!$A:$AN,MATCH(yoy!$P$1,Data!$A$1:$AN$1,),))+1)^12-1)</f>
        <v/>
      </c>
      <c r="Q57" s="14">
        <f>IF(VLOOKUP(B57,Data!$A:$AN,MATCH(yoy!$Q$1,Data!$A$1:$AN$1,),)=0,"#N/A",(((VLOOKUP(B57,Data!$A:$AN,MATCH(yoy!$Q$1,Data!$A$1:$AN$1,),)-VLOOKUP(A57,Data!$A:$AN,MATCH(yoy!$Q$1,Data!$A$1:$AN$1,),))/VLOOKUP(A57,Data!$A:$AN,MATCH(yoy!$Q$1,Data!$A$1:$AN$1,),))+1)^12-1)</f>
        <v/>
      </c>
      <c r="R57" s="14">
        <f>IF(VLOOKUP(B57,Data!$A:$AN,MATCH(yoy!$R$1,Data!$A$1:$AN$1,),)=0,"#N/A",(((VLOOKUP(B57,Data!$A:$AN,MATCH(yoy!$R$1,Data!$A$1:$AN$1,),)-VLOOKUP(A57,Data!$A:$AN,MATCH(yoy!$R$1,Data!$A$1:$AN$1,),))/VLOOKUP(A57,Data!$A:$AN,MATCH(yoy!$R$1,Data!$A$1:$AN$1,),))+1)^12-1)</f>
        <v/>
      </c>
      <c r="S57" s="14">
        <f>IF(VLOOKUP(B57,Data!$A:$AN,MATCH(yoy!$S$1,Data!$A$1:$AN$1,),)=0,"#N/A",(((VLOOKUP(B57,Data!$A:$AN,MATCH(yoy!$S$1,Data!$A$1:$AN$1,),)-VLOOKUP(A57,Data!$A:$AN,MATCH(yoy!$S$1,Data!$A$1:$AN$1,),))/VLOOKUP(A57,Data!$A:$AN,MATCH(yoy!$S$1,Data!$A$1:$AN$1,),))+1)^12-1)</f>
        <v/>
      </c>
      <c r="T57" s="14">
        <f>IF(VLOOKUP(B57,Data!$A:$AN,MATCH(yoy!$T$1,Data!$A$1:$AN$1,),)=0,"#N/A",(((VLOOKUP(B57,Data!$A:$AN,MATCH(yoy!$T$1,Data!$A$1:$AN$1,),)-VLOOKUP(A57,Data!$A:$AN,MATCH(yoy!$T$1,Data!$A$1:$AN$1,),))/VLOOKUP(A57,Data!$A:$AN,MATCH(yoy!$T$1,Data!$A$1:$AN$1,),))+1)^12-1)</f>
        <v/>
      </c>
      <c r="U57" s="14">
        <f>IF(VLOOKUP(B57,Data!$A:$AN,MATCH(yoy!$U$1,Data!$A$1:$AN$1,),)=0,"#N/A",(((VLOOKUP(B57,Data!$A:$AN,MATCH(yoy!$U$1,Data!$A$1:$AN$1,),)-VLOOKUP(A57,Data!$A:$AN,MATCH(yoy!$U$1,Data!$A$1:$AN$1,),))/VLOOKUP(A57,Data!$A:$AN,MATCH(yoy!$U$1,Data!$A$1:$AN$1,),))+1)^12-1)</f>
        <v/>
      </c>
      <c r="V57" s="14">
        <f>IF(VLOOKUP(B57,Data!$A:$AN,MATCH(yoy!$V$1,Data!$A$1:$AN$1,),)=0,"#N/A",(((VLOOKUP(B57,Data!$A:$AN,MATCH(yoy!$V$1,Data!$A$1:$AN$1,),)-VLOOKUP(A57,Data!$A:$AN,MATCH(yoy!$V$1,Data!$A$1:$AN$1,),))/VLOOKUP(A57,Data!$A:$AN,MATCH(yoy!$V$1,Data!$A$1:$AN$1,),))+1)^12-1)</f>
        <v/>
      </c>
      <c r="W57" s="14">
        <f>IF(VLOOKUP(B57,Data!$A:$AN,MATCH(yoy!$W$1,Data!$A$1:$AN$1,),)=0,"#N/A",(((VLOOKUP(B57,Data!$A:$AN,MATCH(yoy!$W$1,Data!$A$1:$AN$1,),)-VLOOKUP(A57,Data!$A:$AN,MATCH(yoy!$W$1,Data!$A$1:$AN$1,),))/VLOOKUP(A57,Data!$A:$AN,MATCH(yoy!$W$1,Data!$A$1:$AN$1,),))+1)^12-1)</f>
        <v/>
      </c>
      <c r="X57" s="14">
        <f>IF(VLOOKUP(B57,Data!$A:$AN,MATCH(yoy!$X$1,Data!$A$1:$AN$1,),)=0,"#N/A",(((VLOOKUP(B57,Data!$A:$AN,MATCH(yoy!$X$1,Data!$A$1:$AN$1,),)-VLOOKUP(A57,Data!$A:$AN,MATCH(yoy!$X$1,Data!$A$1:$AN$1,),))/VLOOKUP(A57,Data!$A:$AN,MATCH(yoy!$X$1,Data!$A$1:$AN$1,),))+1)^12-1)</f>
        <v/>
      </c>
      <c r="Y57" s="14">
        <f>IF(VLOOKUP(B57,Data!$A:$AN,MATCH(yoy!$Y$1,Data!$A$1:$AN$1,),)=0,"#N/A",(((VLOOKUP(B57,Data!$A:$AN,MATCH(yoy!$Y$1,Data!$A$1:$AN$1,),)-VLOOKUP(A57,Data!$A:$AN,MATCH(yoy!$Y$1,Data!$A$1:$AN$1,),))/VLOOKUP(A57,Data!$A:$AN,MATCH(yoy!$Y$1,Data!$A$1:$AN$1,),))+1)^12-1)</f>
        <v/>
      </c>
      <c r="Z57" s="14">
        <f>IF(VLOOKUP(B57,Data!$A:$AN,MATCH(yoy!$Z$1,Data!$A$1:$AN$1,),)=0,"#N/A",(((VLOOKUP(B57,Data!$A:$AN,MATCH(yoy!$Z$1,Data!$A$1:$AN$1,),)-VLOOKUP(A57,Data!$A:$AN,MATCH(yoy!$Z$1,Data!$A$1:$AN$1,),))/VLOOKUP(A57,Data!$A:$AN,MATCH(yoy!$Z$1,Data!$A$1:$AN$1,),))+1)^12-1)</f>
        <v/>
      </c>
      <c r="AA57" s="14">
        <f>IF(VLOOKUP(B57,Data!$A:$AN,MATCH(yoy!$AA$1,Data!$A$1:$AN$1,),)=0,"#N/A",(((VLOOKUP(B57,Data!$A:$AN,MATCH(yoy!$AA$1,Data!$A$1:$AN$1,),)-VLOOKUP(A57,Data!$A:$AN,MATCH(yoy!$AA$1,Data!$A$1:$AN$1,),))/VLOOKUP(A57,Data!$A:$AN,MATCH(yoy!$AA$1,Data!$A$1:$AN$1,),))+1)^12-1)</f>
        <v/>
      </c>
    </row>
    <row r="58" customFormat="1" s="77">
      <c r="A58" s="20">
        <f>DATE(YEAR(B58),MONTH(B58)-1,DAY(B58))</f>
        <v/>
      </c>
      <c r="B58" s="12" t="n">
        <v>43617</v>
      </c>
      <c r="C58" s="14">
        <f>IF(VLOOKUP(B58,Data!$A:$AN,MATCH(yoy!$C$1,Data!$A$1:$AN$1,),)=0,"#N/A",(((VLOOKUP(B58,Data!$A:$AN,MATCH(yoy!$C$1,Data!$A$1:$AN$1,),)-VLOOKUP(A58,Data!$A:$AN,MATCH(yoy!$C$1,Data!$A$1:$AN$1,),))/VLOOKUP(A58,Data!$A:$AN,MATCH(yoy!$C$1,Data!$A$1:$AN$1,),))+1)^12-1)</f>
        <v/>
      </c>
      <c r="D58" s="14">
        <f>IF(VLOOKUP(B58,Data!$A:$AN,MATCH(yoy!$D$1,Data!$A$1:$AN$1,),)=0,"#N/A",(((VLOOKUP(B58,Data!$A:$AN,MATCH(yoy!$D$1,Data!$A$1:$AN$1,),)-VLOOKUP(A58,Data!$A:$AN,MATCH(yoy!$D$1,Data!$A$1:$AN$1,),))/VLOOKUP(A58,Data!$A:$AN,MATCH(yoy!$D$1,Data!$A$1:$AN$1,),))+1)^12-1)</f>
        <v/>
      </c>
      <c r="E58" s="14">
        <f>IF(VLOOKUP(B58,Data!$A:$AN,MATCH(yoy!$E$1,Data!$A$1:$AN$1,),)=0,"#N/A",(((VLOOKUP(B58,Data!$A:$AN,MATCH(yoy!$E$1,Data!$A$1:$AN$1,),)-VLOOKUP(A58,Data!$A:$AN,MATCH(yoy!$E$1,Data!$A$1:$AN$1,),))/VLOOKUP(A58,Data!$A:$AN,MATCH(yoy!$E$1,Data!$A$1:$AN$1,),))+1)^12-1)</f>
        <v/>
      </c>
      <c r="F58" s="14">
        <f>IF(VLOOKUP(B58,Data!$A:$AN,MATCH(yoy!$F$1,Data!$A$1:$AN$1,),)=0,"#N/A",(((VLOOKUP(B58,Data!$A:$AN,MATCH(yoy!$F$1,Data!$A$1:$AN$1,),)-VLOOKUP(A58,Data!$A:$AN,MATCH(yoy!$F$1,Data!$A$1:$AN$1,),))/VLOOKUP(A58,Data!$A:$AN,MATCH(yoy!$F$1,Data!$A$1:$AN$1,),))+1)^12-1)</f>
        <v/>
      </c>
      <c r="G58" s="14">
        <f>IF(VLOOKUP(B58,Data!$A:$AN,MATCH(yoy!$G$1,Data!$A$1:$AN$1,),)=0,"#N/A",(((VLOOKUP(B58,Data!$A:$AN,MATCH(yoy!$G$1,Data!$A$1:$AN$1,),)-VLOOKUP(A58,Data!$A:$AN,MATCH(yoy!$G$1,Data!$A$1:$AN$1,),))/VLOOKUP(A58,Data!$A:$AN,MATCH(yoy!$G$1,Data!$A$1:$AN$1,),))+1)^12-1)</f>
        <v/>
      </c>
      <c r="H58" s="14">
        <f>IF(VLOOKUP(B58,Data!$A:$AN,MATCH(yoy!$H$1,Data!$A$1:$AN$1,),)=0,"#N/A",(((VLOOKUP(B58,Data!$A:$AN,MATCH(yoy!$H$1,Data!$A$1:$AN$1,),)-VLOOKUP(A58,Data!$A:$AN,MATCH(yoy!$H$1,Data!$A$1:$AN$1,),))/VLOOKUP(A58,Data!$A:$AN,MATCH(yoy!$H$1,Data!$A$1:$AN$1,),))+1)^12-1)</f>
        <v/>
      </c>
      <c r="I58" s="14">
        <f>IF(VLOOKUP(B58,Data!$A:$AN,MATCH(yoy!$I$1,Data!$A$1:$AN$1,),)=0,"#N/A",(((VLOOKUP(B58,Data!$A:$AN,MATCH(yoy!$I$1,Data!$A$1:$AN$1,),)-VLOOKUP(A58,Data!$A:$AN,MATCH(yoy!$I$1,Data!$A$1:$AN$1,),))/VLOOKUP(A58,Data!$A:$AN,MATCH(yoy!$I$1,Data!$A$1:$AN$1,),))+1)^12-1)</f>
        <v/>
      </c>
      <c r="J58" s="14">
        <f>IF(VLOOKUP(B58,Data!$A:$AN,MATCH(yoy!$J$1,Data!$A$1:$AN$1,),)=0,"#N/A",(((VLOOKUP(B58,Data!$A:$AN,MATCH(yoy!$J$1,Data!$A$1:$AN$1,),)-VLOOKUP(A58,Data!$A:$AN,MATCH(yoy!$J$1,Data!$A$1:$AN$1,),))/VLOOKUP(A58,Data!$A:$AN,MATCH(yoy!$J$1,Data!$A$1:$AN$1,),))+1)^12-1)</f>
        <v/>
      </c>
      <c r="K58" s="14">
        <f>IF(VLOOKUP(B58,Data!$A:$AN,MATCH(yoy!$K$1,Data!$A$1:$AN$1,),)=0,"#N/A",(((VLOOKUP(B58,Data!$A:$AN,MATCH(yoy!$K$1,Data!$A$1:$AN$1,),)-VLOOKUP(A58,Data!$A:$AN,MATCH(yoy!$K$1,Data!$A$1:$AN$1,),))/VLOOKUP(A58,Data!$A:$AN,MATCH(yoy!$K$1,Data!$A$1:$AN$1,),))+1)^12-1)</f>
        <v/>
      </c>
      <c r="L58" s="14">
        <f>IF(VLOOKUP(B58,Data!$A:$AN,MATCH(yoy!$L$1,Data!$A$1:$AN$1,),)=0,"#N/A",(((VLOOKUP(B58,Data!$A:$AN,MATCH(yoy!$L$1,Data!$A$1:$AN$1,),)-VLOOKUP(A58,Data!$A:$AN,MATCH(yoy!$L$1,Data!$A$1:$AN$1,),))/VLOOKUP(A58,Data!$A:$AN,MATCH(yoy!$L$1,Data!$A$1:$AN$1,),))+1)^12-1)</f>
        <v/>
      </c>
      <c r="M58" s="14">
        <f>IF(VLOOKUP(B58,Data!$A:$AN,MATCH(yoy!$M$1,Data!$A$1:$AN$1,),)=0,"#N/A",(((VLOOKUP(B58,Data!$A:$AN,MATCH(yoy!$M$1,Data!$A$1:$AN$1,),)-VLOOKUP(A58,Data!$A:$AN,MATCH(yoy!$M$1,Data!$A$1:$AN$1,),))/VLOOKUP(A58,Data!$A:$AN,MATCH(yoy!$M$1,Data!$A$1:$AN$1,),))+1)^12-1)</f>
        <v/>
      </c>
      <c r="N58" s="14">
        <f>IF(VLOOKUP(B58,Data!$A:$AN,MATCH(yoy!$N$1,Data!$A$1:$AN$1,),)=0,"#N/A",(((VLOOKUP(B58,Data!$A:$AN,MATCH(yoy!$N$1,Data!$A$1:$AN$1,),)-VLOOKUP(A58,Data!$A:$AN,MATCH(yoy!$N$1,Data!$A$1:$AN$1,),))/VLOOKUP(A58,Data!$A:$AN,MATCH(yoy!$N$1,Data!$A$1:$AN$1,),))+1)^12-1)</f>
        <v/>
      </c>
      <c r="O58" s="14">
        <f>IF(VLOOKUP(B58,Data!$A:$AN,MATCH(yoy!$O$1,Data!$A$1:$AN$1,),)=0,"#N/A",(((VLOOKUP(B58,Data!$A:$AN,MATCH(yoy!$O$1,Data!$A$1:$AN$1,),)-VLOOKUP(A58,Data!$A:$AN,MATCH(yoy!$O$1,Data!$A$1:$AN$1,),))/VLOOKUP(A58,Data!$A:$AN,MATCH(yoy!$O$1,Data!$A$1:$AN$1,),))+1)^12-1)</f>
        <v/>
      </c>
      <c r="P58" s="14">
        <f>IF(VLOOKUP(B58,Data!$A:$AN,MATCH(yoy!$P$1,Data!$A$1:$AN$1,),)=0,"#N/A",(((VLOOKUP(B58,Data!$A:$AN,MATCH(yoy!$P$1,Data!$A$1:$AN$1,),)-VLOOKUP(A58,Data!$A:$AN,MATCH(yoy!$P$1,Data!$A$1:$AN$1,),))/VLOOKUP(A58,Data!$A:$AN,MATCH(yoy!$P$1,Data!$A$1:$AN$1,),))+1)^12-1)</f>
        <v/>
      </c>
      <c r="Q58" s="14">
        <f>IF(VLOOKUP(B58,Data!$A:$AN,MATCH(yoy!$Q$1,Data!$A$1:$AN$1,),)=0,"#N/A",(((VLOOKUP(B58,Data!$A:$AN,MATCH(yoy!$Q$1,Data!$A$1:$AN$1,),)-VLOOKUP(A58,Data!$A:$AN,MATCH(yoy!$Q$1,Data!$A$1:$AN$1,),))/VLOOKUP(A58,Data!$A:$AN,MATCH(yoy!$Q$1,Data!$A$1:$AN$1,),))+1)^12-1)</f>
        <v/>
      </c>
      <c r="R58" s="14">
        <f>IF(VLOOKUP(B58,Data!$A:$AN,MATCH(yoy!$R$1,Data!$A$1:$AN$1,),)=0,"#N/A",(((VLOOKUP(B58,Data!$A:$AN,MATCH(yoy!$R$1,Data!$A$1:$AN$1,),)-VLOOKUP(A58,Data!$A:$AN,MATCH(yoy!$R$1,Data!$A$1:$AN$1,),))/VLOOKUP(A58,Data!$A:$AN,MATCH(yoy!$R$1,Data!$A$1:$AN$1,),))+1)^12-1)</f>
        <v/>
      </c>
      <c r="S58" s="14">
        <f>IF(VLOOKUP(B58,Data!$A:$AN,MATCH(yoy!$S$1,Data!$A$1:$AN$1,),)=0,"#N/A",(((VLOOKUP(B58,Data!$A:$AN,MATCH(yoy!$S$1,Data!$A$1:$AN$1,),)-VLOOKUP(A58,Data!$A:$AN,MATCH(yoy!$S$1,Data!$A$1:$AN$1,),))/VLOOKUP(A58,Data!$A:$AN,MATCH(yoy!$S$1,Data!$A$1:$AN$1,),))+1)^12-1)</f>
        <v/>
      </c>
      <c r="T58" s="14">
        <f>IF(VLOOKUP(B58,Data!$A:$AN,MATCH(yoy!$T$1,Data!$A$1:$AN$1,),)=0,"#N/A",(((VLOOKUP(B58,Data!$A:$AN,MATCH(yoy!$T$1,Data!$A$1:$AN$1,),)-VLOOKUP(A58,Data!$A:$AN,MATCH(yoy!$T$1,Data!$A$1:$AN$1,),))/VLOOKUP(A58,Data!$A:$AN,MATCH(yoy!$T$1,Data!$A$1:$AN$1,),))+1)^12-1)</f>
        <v/>
      </c>
      <c r="U58" s="14">
        <f>IF(VLOOKUP(B58,Data!$A:$AN,MATCH(yoy!$U$1,Data!$A$1:$AN$1,),)=0,"#N/A",(((VLOOKUP(B58,Data!$A:$AN,MATCH(yoy!$U$1,Data!$A$1:$AN$1,),)-VLOOKUP(A58,Data!$A:$AN,MATCH(yoy!$U$1,Data!$A$1:$AN$1,),))/VLOOKUP(A58,Data!$A:$AN,MATCH(yoy!$U$1,Data!$A$1:$AN$1,),))+1)^12-1)</f>
        <v/>
      </c>
      <c r="V58" s="14">
        <f>IF(VLOOKUP(B58,Data!$A:$AN,MATCH(yoy!$V$1,Data!$A$1:$AN$1,),)=0,"#N/A",(((VLOOKUP(B58,Data!$A:$AN,MATCH(yoy!$V$1,Data!$A$1:$AN$1,),)-VLOOKUP(A58,Data!$A:$AN,MATCH(yoy!$V$1,Data!$A$1:$AN$1,),))/VLOOKUP(A58,Data!$A:$AN,MATCH(yoy!$V$1,Data!$A$1:$AN$1,),))+1)^12-1)</f>
        <v/>
      </c>
      <c r="W58" s="14">
        <f>IF(VLOOKUP(B58,Data!$A:$AN,MATCH(yoy!$W$1,Data!$A$1:$AN$1,),)=0,"#N/A",(((VLOOKUP(B58,Data!$A:$AN,MATCH(yoy!$W$1,Data!$A$1:$AN$1,),)-VLOOKUP(A58,Data!$A:$AN,MATCH(yoy!$W$1,Data!$A$1:$AN$1,),))/VLOOKUP(A58,Data!$A:$AN,MATCH(yoy!$W$1,Data!$A$1:$AN$1,),))+1)^12-1)</f>
        <v/>
      </c>
      <c r="X58" s="14">
        <f>IF(VLOOKUP(B58,Data!$A:$AN,MATCH(yoy!$X$1,Data!$A$1:$AN$1,),)=0,"#N/A",(((VLOOKUP(B58,Data!$A:$AN,MATCH(yoy!$X$1,Data!$A$1:$AN$1,),)-VLOOKUP(A58,Data!$A:$AN,MATCH(yoy!$X$1,Data!$A$1:$AN$1,),))/VLOOKUP(A58,Data!$A:$AN,MATCH(yoy!$X$1,Data!$A$1:$AN$1,),))+1)^12-1)</f>
        <v/>
      </c>
      <c r="Y58" s="14">
        <f>IF(VLOOKUP(B58,Data!$A:$AN,MATCH(yoy!$Y$1,Data!$A$1:$AN$1,),)=0,"#N/A",(((VLOOKUP(B58,Data!$A:$AN,MATCH(yoy!$Y$1,Data!$A$1:$AN$1,),)-VLOOKUP(A58,Data!$A:$AN,MATCH(yoy!$Y$1,Data!$A$1:$AN$1,),))/VLOOKUP(A58,Data!$A:$AN,MATCH(yoy!$Y$1,Data!$A$1:$AN$1,),))+1)^12-1)</f>
        <v/>
      </c>
      <c r="Z58" s="14">
        <f>IF(VLOOKUP(B58,Data!$A:$AN,MATCH(yoy!$Z$1,Data!$A$1:$AN$1,),)=0,"#N/A",(((VLOOKUP(B58,Data!$A:$AN,MATCH(yoy!$Z$1,Data!$A$1:$AN$1,),)-VLOOKUP(A58,Data!$A:$AN,MATCH(yoy!$Z$1,Data!$A$1:$AN$1,),))/VLOOKUP(A58,Data!$A:$AN,MATCH(yoy!$Z$1,Data!$A$1:$AN$1,),))+1)^12-1)</f>
        <v/>
      </c>
      <c r="AA58" s="14">
        <f>IF(VLOOKUP(B58,Data!$A:$AN,MATCH(yoy!$AA$1,Data!$A$1:$AN$1,),)=0,"#N/A",(((VLOOKUP(B58,Data!$A:$AN,MATCH(yoy!$AA$1,Data!$A$1:$AN$1,),)-VLOOKUP(A58,Data!$A:$AN,MATCH(yoy!$AA$1,Data!$A$1:$AN$1,),))/VLOOKUP(A58,Data!$A:$AN,MATCH(yoy!$AA$1,Data!$A$1:$AN$1,),))+1)^12-1)</f>
        <v/>
      </c>
    </row>
    <row r="59" customFormat="1" s="77">
      <c r="A59" s="20">
        <f>DATE(YEAR(B59),MONTH(B59)-1,DAY(B59))</f>
        <v/>
      </c>
      <c r="B59" s="12" t="n">
        <v>43647</v>
      </c>
      <c r="C59" s="14">
        <f>IF(VLOOKUP(B59,Data!$A:$AN,MATCH(yoy!$C$1,Data!$A$1:$AN$1,),)=0,"#N/A",(((VLOOKUP(B59,Data!$A:$AN,MATCH(yoy!$C$1,Data!$A$1:$AN$1,),)-VLOOKUP(A59,Data!$A:$AN,MATCH(yoy!$C$1,Data!$A$1:$AN$1,),))/VLOOKUP(A59,Data!$A:$AN,MATCH(yoy!$C$1,Data!$A$1:$AN$1,),))+1)^12-1)</f>
        <v/>
      </c>
      <c r="D59" s="14">
        <f>IF(VLOOKUP(B59,Data!$A:$AN,MATCH(yoy!$D$1,Data!$A$1:$AN$1,),)=0,"#N/A",(((VLOOKUP(B59,Data!$A:$AN,MATCH(yoy!$D$1,Data!$A$1:$AN$1,),)-VLOOKUP(A59,Data!$A:$AN,MATCH(yoy!$D$1,Data!$A$1:$AN$1,),))/VLOOKUP(A59,Data!$A:$AN,MATCH(yoy!$D$1,Data!$A$1:$AN$1,),))+1)^12-1)</f>
        <v/>
      </c>
      <c r="E59" s="14">
        <f>IF(VLOOKUP(B59,Data!$A:$AN,MATCH(yoy!$E$1,Data!$A$1:$AN$1,),)=0,"#N/A",(((VLOOKUP(B59,Data!$A:$AN,MATCH(yoy!$E$1,Data!$A$1:$AN$1,),)-VLOOKUP(A59,Data!$A:$AN,MATCH(yoy!$E$1,Data!$A$1:$AN$1,),))/VLOOKUP(A59,Data!$A:$AN,MATCH(yoy!$E$1,Data!$A$1:$AN$1,),))+1)^12-1)</f>
        <v/>
      </c>
      <c r="F59" s="14">
        <f>IF(VLOOKUP(B59,Data!$A:$AN,MATCH(yoy!$F$1,Data!$A$1:$AN$1,),)=0,"#N/A",(((VLOOKUP(B59,Data!$A:$AN,MATCH(yoy!$F$1,Data!$A$1:$AN$1,),)-VLOOKUP(A59,Data!$A:$AN,MATCH(yoy!$F$1,Data!$A$1:$AN$1,),))/VLOOKUP(A59,Data!$A:$AN,MATCH(yoy!$F$1,Data!$A$1:$AN$1,),))+1)^12-1)</f>
        <v/>
      </c>
      <c r="G59" s="14">
        <f>IF(VLOOKUP(B59,Data!$A:$AN,MATCH(yoy!$G$1,Data!$A$1:$AN$1,),)=0,"#N/A",(((VLOOKUP(B59,Data!$A:$AN,MATCH(yoy!$G$1,Data!$A$1:$AN$1,),)-VLOOKUP(A59,Data!$A:$AN,MATCH(yoy!$G$1,Data!$A$1:$AN$1,),))/VLOOKUP(A59,Data!$A:$AN,MATCH(yoy!$G$1,Data!$A$1:$AN$1,),))+1)^12-1)</f>
        <v/>
      </c>
      <c r="H59" s="14">
        <f>IF(VLOOKUP(B59,Data!$A:$AN,MATCH(yoy!$H$1,Data!$A$1:$AN$1,),)=0,"#N/A",(((VLOOKUP(B59,Data!$A:$AN,MATCH(yoy!$H$1,Data!$A$1:$AN$1,),)-VLOOKUP(A59,Data!$A:$AN,MATCH(yoy!$H$1,Data!$A$1:$AN$1,),))/VLOOKUP(A59,Data!$A:$AN,MATCH(yoy!$H$1,Data!$A$1:$AN$1,),))+1)^12-1)</f>
        <v/>
      </c>
      <c r="I59" s="14">
        <f>IF(VLOOKUP(B59,Data!$A:$AN,MATCH(yoy!$I$1,Data!$A$1:$AN$1,),)=0,"#N/A",(((VLOOKUP(B59,Data!$A:$AN,MATCH(yoy!$I$1,Data!$A$1:$AN$1,),)-VLOOKUP(A59,Data!$A:$AN,MATCH(yoy!$I$1,Data!$A$1:$AN$1,),))/VLOOKUP(A59,Data!$A:$AN,MATCH(yoy!$I$1,Data!$A$1:$AN$1,),))+1)^12-1)</f>
        <v/>
      </c>
      <c r="J59" s="14">
        <f>IF(VLOOKUP(B59,Data!$A:$AN,MATCH(yoy!$J$1,Data!$A$1:$AN$1,),)=0,"#N/A",(((VLOOKUP(B59,Data!$A:$AN,MATCH(yoy!$J$1,Data!$A$1:$AN$1,),)-VLOOKUP(A59,Data!$A:$AN,MATCH(yoy!$J$1,Data!$A$1:$AN$1,),))/VLOOKUP(A59,Data!$A:$AN,MATCH(yoy!$J$1,Data!$A$1:$AN$1,),))+1)^12-1)</f>
        <v/>
      </c>
      <c r="K59" s="14">
        <f>IF(VLOOKUP(B59,Data!$A:$AN,MATCH(yoy!$K$1,Data!$A$1:$AN$1,),)=0,"#N/A",(((VLOOKUP(B59,Data!$A:$AN,MATCH(yoy!$K$1,Data!$A$1:$AN$1,),)-VLOOKUP(A59,Data!$A:$AN,MATCH(yoy!$K$1,Data!$A$1:$AN$1,),))/VLOOKUP(A59,Data!$A:$AN,MATCH(yoy!$K$1,Data!$A$1:$AN$1,),))+1)^12-1)</f>
        <v/>
      </c>
      <c r="L59" s="14">
        <f>IF(VLOOKUP(B59,Data!$A:$AN,MATCH(yoy!$L$1,Data!$A$1:$AN$1,),)=0,"#N/A",(((VLOOKUP(B59,Data!$A:$AN,MATCH(yoy!$L$1,Data!$A$1:$AN$1,),)-VLOOKUP(A59,Data!$A:$AN,MATCH(yoy!$L$1,Data!$A$1:$AN$1,),))/VLOOKUP(A59,Data!$A:$AN,MATCH(yoy!$L$1,Data!$A$1:$AN$1,),))+1)^12-1)</f>
        <v/>
      </c>
      <c r="M59" s="14">
        <f>IF(VLOOKUP(B59,Data!$A:$AN,MATCH(yoy!$M$1,Data!$A$1:$AN$1,),)=0,"#N/A",(((VLOOKUP(B59,Data!$A:$AN,MATCH(yoy!$M$1,Data!$A$1:$AN$1,),)-VLOOKUP(A59,Data!$A:$AN,MATCH(yoy!$M$1,Data!$A$1:$AN$1,),))/VLOOKUP(A59,Data!$A:$AN,MATCH(yoy!$M$1,Data!$A$1:$AN$1,),))+1)^12-1)</f>
        <v/>
      </c>
      <c r="N59" s="14">
        <f>IF(VLOOKUP(B59,Data!$A:$AN,MATCH(yoy!$N$1,Data!$A$1:$AN$1,),)=0,"#N/A",(((VLOOKUP(B59,Data!$A:$AN,MATCH(yoy!$N$1,Data!$A$1:$AN$1,),)-VLOOKUP(A59,Data!$A:$AN,MATCH(yoy!$N$1,Data!$A$1:$AN$1,),))/VLOOKUP(A59,Data!$A:$AN,MATCH(yoy!$N$1,Data!$A$1:$AN$1,),))+1)^12-1)</f>
        <v/>
      </c>
      <c r="O59" s="14">
        <f>IF(VLOOKUP(B59,Data!$A:$AN,MATCH(yoy!$O$1,Data!$A$1:$AN$1,),)=0,"#N/A",(((VLOOKUP(B59,Data!$A:$AN,MATCH(yoy!$O$1,Data!$A$1:$AN$1,),)-VLOOKUP(A59,Data!$A:$AN,MATCH(yoy!$O$1,Data!$A$1:$AN$1,),))/VLOOKUP(A59,Data!$A:$AN,MATCH(yoy!$O$1,Data!$A$1:$AN$1,),))+1)^12-1)</f>
        <v/>
      </c>
      <c r="P59" s="14">
        <f>IF(VLOOKUP(B59,Data!$A:$AN,MATCH(yoy!$P$1,Data!$A$1:$AN$1,),)=0,"#N/A",(((VLOOKUP(B59,Data!$A:$AN,MATCH(yoy!$P$1,Data!$A$1:$AN$1,),)-VLOOKUP(A59,Data!$A:$AN,MATCH(yoy!$P$1,Data!$A$1:$AN$1,),))/VLOOKUP(A59,Data!$A:$AN,MATCH(yoy!$P$1,Data!$A$1:$AN$1,),))+1)^12-1)</f>
        <v/>
      </c>
      <c r="Q59" s="14">
        <f>IF(VLOOKUP(B59,Data!$A:$AN,MATCH(yoy!$Q$1,Data!$A$1:$AN$1,),)=0,"#N/A",(((VLOOKUP(B59,Data!$A:$AN,MATCH(yoy!$Q$1,Data!$A$1:$AN$1,),)-VLOOKUP(A59,Data!$A:$AN,MATCH(yoy!$Q$1,Data!$A$1:$AN$1,),))/VLOOKUP(A59,Data!$A:$AN,MATCH(yoy!$Q$1,Data!$A$1:$AN$1,),))+1)^12-1)</f>
        <v/>
      </c>
      <c r="R59" s="14">
        <f>IF(VLOOKUP(B59,Data!$A:$AN,MATCH(yoy!$R$1,Data!$A$1:$AN$1,),)=0,"#N/A",(((VLOOKUP(B59,Data!$A:$AN,MATCH(yoy!$R$1,Data!$A$1:$AN$1,),)-VLOOKUP(A59,Data!$A:$AN,MATCH(yoy!$R$1,Data!$A$1:$AN$1,),))/VLOOKUP(A59,Data!$A:$AN,MATCH(yoy!$R$1,Data!$A$1:$AN$1,),))+1)^12-1)</f>
        <v/>
      </c>
      <c r="S59" s="14">
        <f>IF(VLOOKUP(B59,Data!$A:$AN,MATCH(yoy!$S$1,Data!$A$1:$AN$1,),)=0,"#N/A",(((VLOOKUP(B59,Data!$A:$AN,MATCH(yoy!$S$1,Data!$A$1:$AN$1,),)-VLOOKUP(A59,Data!$A:$AN,MATCH(yoy!$S$1,Data!$A$1:$AN$1,),))/VLOOKUP(A59,Data!$A:$AN,MATCH(yoy!$S$1,Data!$A$1:$AN$1,),))+1)^12-1)</f>
        <v/>
      </c>
      <c r="T59" s="14">
        <f>IF(VLOOKUP(B59,Data!$A:$AN,MATCH(yoy!$T$1,Data!$A$1:$AN$1,),)=0,"#N/A",(((VLOOKUP(B59,Data!$A:$AN,MATCH(yoy!$T$1,Data!$A$1:$AN$1,),)-VLOOKUP(A59,Data!$A:$AN,MATCH(yoy!$T$1,Data!$A$1:$AN$1,),))/VLOOKUP(A59,Data!$A:$AN,MATCH(yoy!$T$1,Data!$A$1:$AN$1,),))+1)^12-1)</f>
        <v/>
      </c>
      <c r="U59" s="14">
        <f>IF(VLOOKUP(B59,Data!$A:$AN,MATCH(yoy!$U$1,Data!$A$1:$AN$1,),)=0,"#N/A",(((VLOOKUP(B59,Data!$A:$AN,MATCH(yoy!$U$1,Data!$A$1:$AN$1,),)-VLOOKUP(A59,Data!$A:$AN,MATCH(yoy!$U$1,Data!$A$1:$AN$1,),))/VLOOKUP(A59,Data!$A:$AN,MATCH(yoy!$U$1,Data!$A$1:$AN$1,),))+1)^12-1)</f>
        <v/>
      </c>
      <c r="V59" s="14">
        <f>IF(VLOOKUP(B59,Data!$A:$AN,MATCH(yoy!$V$1,Data!$A$1:$AN$1,),)=0,"#N/A",(((VLOOKUP(B59,Data!$A:$AN,MATCH(yoy!$V$1,Data!$A$1:$AN$1,),)-VLOOKUP(A59,Data!$A:$AN,MATCH(yoy!$V$1,Data!$A$1:$AN$1,),))/VLOOKUP(A59,Data!$A:$AN,MATCH(yoy!$V$1,Data!$A$1:$AN$1,),))+1)^12-1)</f>
        <v/>
      </c>
      <c r="W59" s="14">
        <f>IF(VLOOKUP(B59,Data!$A:$AN,MATCH(yoy!$W$1,Data!$A$1:$AN$1,),)=0,"#N/A",(((VLOOKUP(B59,Data!$A:$AN,MATCH(yoy!$W$1,Data!$A$1:$AN$1,),)-VLOOKUP(A59,Data!$A:$AN,MATCH(yoy!$W$1,Data!$A$1:$AN$1,),))/VLOOKUP(A59,Data!$A:$AN,MATCH(yoy!$W$1,Data!$A$1:$AN$1,),))+1)^12-1)</f>
        <v/>
      </c>
      <c r="X59" s="14">
        <f>IF(VLOOKUP(B59,Data!$A:$AN,MATCH(yoy!$X$1,Data!$A$1:$AN$1,),)=0,"#N/A",(((VLOOKUP(B59,Data!$A:$AN,MATCH(yoy!$X$1,Data!$A$1:$AN$1,),)-VLOOKUP(A59,Data!$A:$AN,MATCH(yoy!$X$1,Data!$A$1:$AN$1,),))/VLOOKUP(A59,Data!$A:$AN,MATCH(yoy!$X$1,Data!$A$1:$AN$1,),))+1)^12-1)</f>
        <v/>
      </c>
      <c r="Y59" s="14">
        <f>IF(VLOOKUP(B59,Data!$A:$AN,MATCH(yoy!$Y$1,Data!$A$1:$AN$1,),)=0,"#N/A",(((VLOOKUP(B59,Data!$A:$AN,MATCH(yoy!$Y$1,Data!$A$1:$AN$1,),)-VLOOKUP(A59,Data!$A:$AN,MATCH(yoy!$Y$1,Data!$A$1:$AN$1,),))/VLOOKUP(A59,Data!$A:$AN,MATCH(yoy!$Y$1,Data!$A$1:$AN$1,),))+1)^12-1)</f>
        <v/>
      </c>
      <c r="Z59" s="14">
        <f>IF(VLOOKUP(B59,Data!$A:$AN,MATCH(yoy!$Z$1,Data!$A$1:$AN$1,),)=0,"#N/A",(((VLOOKUP(B59,Data!$A:$AN,MATCH(yoy!$Z$1,Data!$A$1:$AN$1,),)-VLOOKUP(A59,Data!$A:$AN,MATCH(yoy!$Z$1,Data!$A$1:$AN$1,),))/VLOOKUP(A59,Data!$A:$AN,MATCH(yoy!$Z$1,Data!$A$1:$AN$1,),))+1)^12-1)</f>
        <v/>
      </c>
      <c r="AA59" s="14">
        <f>IF(VLOOKUP(B59,Data!$A:$AN,MATCH(yoy!$AA$1,Data!$A$1:$AN$1,),)=0,"#N/A",(((VLOOKUP(B59,Data!$A:$AN,MATCH(yoy!$AA$1,Data!$A$1:$AN$1,),)-VLOOKUP(A59,Data!$A:$AN,MATCH(yoy!$AA$1,Data!$A$1:$AN$1,),))/VLOOKUP(A59,Data!$A:$AN,MATCH(yoy!$AA$1,Data!$A$1:$AN$1,),))+1)^12-1)</f>
        <v/>
      </c>
    </row>
    <row r="60" customFormat="1" s="77">
      <c r="A60" s="20">
        <f>DATE(YEAR(B60),MONTH(B60)-1,DAY(B60))</f>
        <v/>
      </c>
      <c r="B60" s="12" t="n">
        <v>43678</v>
      </c>
      <c r="C60" s="14">
        <f>IF(VLOOKUP(B60,Data!$A:$AN,MATCH(yoy!$C$1,Data!$A$1:$AN$1,),)=0,"#N/A",(((VLOOKUP(B60,Data!$A:$AN,MATCH(yoy!$C$1,Data!$A$1:$AN$1,),)-VLOOKUP(A60,Data!$A:$AN,MATCH(yoy!$C$1,Data!$A$1:$AN$1,),))/VLOOKUP(A60,Data!$A:$AN,MATCH(yoy!$C$1,Data!$A$1:$AN$1,),))+1)^12-1)</f>
        <v/>
      </c>
      <c r="D60" s="14">
        <f>IF(VLOOKUP(B60,Data!$A:$AN,MATCH(yoy!$D$1,Data!$A$1:$AN$1,),)=0,"#N/A",(((VLOOKUP(B60,Data!$A:$AN,MATCH(yoy!$D$1,Data!$A$1:$AN$1,),)-VLOOKUP(A60,Data!$A:$AN,MATCH(yoy!$D$1,Data!$A$1:$AN$1,),))/VLOOKUP(A60,Data!$A:$AN,MATCH(yoy!$D$1,Data!$A$1:$AN$1,),))+1)^12-1)</f>
        <v/>
      </c>
      <c r="E60" s="14">
        <f>IF(VLOOKUP(B60,Data!$A:$AN,MATCH(yoy!$E$1,Data!$A$1:$AN$1,),)=0,"#N/A",(((VLOOKUP(B60,Data!$A:$AN,MATCH(yoy!$E$1,Data!$A$1:$AN$1,),)-VLOOKUP(A60,Data!$A:$AN,MATCH(yoy!$E$1,Data!$A$1:$AN$1,),))/VLOOKUP(A60,Data!$A:$AN,MATCH(yoy!$E$1,Data!$A$1:$AN$1,),))+1)^12-1)</f>
        <v/>
      </c>
      <c r="F60" s="14">
        <f>IF(VLOOKUP(B60,Data!$A:$AN,MATCH(yoy!$F$1,Data!$A$1:$AN$1,),)=0,"#N/A",(((VLOOKUP(B60,Data!$A:$AN,MATCH(yoy!$F$1,Data!$A$1:$AN$1,),)-VLOOKUP(A60,Data!$A:$AN,MATCH(yoy!$F$1,Data!$A$1:$AN$1,),))/VLOOKUP(A60,Data!$A:$AN,MATCH(yoy!$F$1,Data!$A$1:$AN$1,),))+1)^12-1)</f>
        <v/>
      </c>
      <c r="G60" s="14">
        <f>IF(VLOOKUP(B60,Data!$A:$AN,MATCH(yoy!$G$1,Data!$A$1:$AN$1,),)=0,"#N/A",(((VLOOKUP(B60,Data!$A:$AN,MATCH(yoy!$G$1,Data!$A$1:$AN$1,),)-VLOOKUP(A60,Data!$A:$AN,MATCH(yoy!$G$1,Data!$A$1:$AN$1,),))/VLOOKUP(A60,Data!$A:$AN,MATCH(yoy!$G$1,Data!$A$1:$AN$1,),))+1)^12-1)</f>
        <v/>
      </c>
      <c r="H60" s="14">
        <f>IF(VLOOKUP(B60,Data!$A:$AN,MATCH(yoy!$H$1,Data!$A$1:$AN$1,),)=0,"#N/A",(((VLOOKUP(B60,Data!$A:$AN,MATCH(yoy!$H$1,Data!$A$1:$AN$1,),)-VLOOKUP(A60,Data!$A:$AN,MATCH(yoy!$H$1,Data!$A$1:$AN$1,),))/VLOOKUP(A60,Data!$A:$AN,MATCH(yoy!$H$1,Data!$A$1:$AN$1,),))+1)^12-1)</f>
        <v/>
      </c>
      <c r="I60" s="14">
        <f>IF(VLOOKUP(B60,Data!$A:$AN,MATCH(yoy!$I$1,Data!$A$1:$AN$1,),)=0,"#N/A",(((VLOOKUP(B60,Data!$A:$AN,MATCH(yoy!$I$1,Data!$A$1:$AN$1,),)-VLOOKUP(A60,Data!$A:$AN,MATCH(yoy!$I$1,Data!$A$1:$AN$1,),))/VLOOKUP(A60,Data!$A:$AN,MATCH(yoy!$I$1,Data!$A$1:$AN$1,),))+1)^12-1)</f>
        <v/>
      </c>
      <c r="J60" s="14">
        <f>IF(VLOOKUP(B60,Data!$A:$AN,MATCH(yoy!$J$1,Data!$A$1:$AN$1,),)=0,"#N/A",(((VLOOKUP(B60,Data!$A:$AN,MATCH(yoy!$J$1,Data!$A$1:$AN$1,),)-VLOOKUP(A60,Data!$A:$AN,MATCH(yoy!$J$1,Data!$A$1:$AN$1,),))/VLOOKUP(A60,Data!$A:$AN,MATCH(yoy!$J$1,Data!$A$1:$AN$1,),))+1)^12-1)</f>
        <v/>
      </c>
      <c r="K60" s="14">
        <f>IF(VLOOKUP(B60,Data!$A:$AN,MATCH(yoy!$K$1,Data!$A$1:$AN$1,),)=0,"#N/A",(((VLOOKUP(B60,Data!$A:$AN,MATCH(yoy!$K$1,Data!$A$1:$AN$1,),)-VLOOKUP(A60,Data!$A:$AN,MATCH(yoy!$K$1,Data!$A$1:$AN$1,),))/VLOOKUP(A60,Data!$A:$AN,MATCH(yoy!$K$1,Data!$A$1:$AN$1,),))+1)^12-1)</f>
        <v/>
      </c>
      <c r="L60" s="14">
        <f>IF(VLOOKUP(B60,Data!$A:$AN,MATCH(yoy!$L$1,Data!$A$1:$AN$1,),)=0,"#N/A",(((VLOOKUP(B60,Data!$A:$AN,MATCH(yoy!$L$1,Data!$A$1:$AN$1,),)-VLOOKUP(A60,Data!$A:$AN,MATCH(yoy!$L$1,Data!$A$1:$AN$1,),))/VLOOKUP(A60,Data!$A:$AN,MATCH(yoy!$L$1,Data!$A$1:$AN$1,),))+1)^12-1)</f>
        <v/>
      </c>
      <c r="M60" s="14">
        <f>IF(VLOOKUP(B60,Data!$A:$AN,MATCH(yoy!$M$1,Data!$A$1:$AN$1,),)=0,"#N/A",(((VLOOKUP(B60,Data!$A:$AN,MATCH(yoy!$M$1,Data!$A$1:$AN$1,),)-VLOOKUP(A60,Data!$A:$AN,MATCH(yoy!$M$1,Data!$A$1:$AN$1,),))/VLOOKUP(A60,Data!$A:$AN,MATCH(yoy!$M$1,Data!$A$1:$AN$1,),))+1)^12-1)</f>
        <v/>
      </c>
      <c r="N60" s="14">
        <f>IF(VLOOKUP(B60,Data!$A:$AN,MATCH(yoy!$N$1,Data!$A$1:$AN$1,),)=0,"#N/A",(((VLOOKUP(B60,Data!$A:$AN,MATCH(yoy!$N$1,Data!$A$1:$AN$1,),)-VLOOKUP(A60,Data!$A:$AN,MATCH(yoy!$N$1,Data!$A$1:$AN$1,),))/VLOOKUP(A60,Data!$A:$AN,MATCH(yoy!$N$1,Data!$A$1:$AN$1,),))+1)^12-1)</f>
        <v/>
      </c>
      <c r="O60" s="14">
        <f>IF(VLOOKUP(B60,Data!$A:$AN,MATCH(yoy!$O$1,Data!$A$1:$AN$1,),)=0,"#N/A",(((VLOOKUP(B60,Data!$A:$AN,MATCH(yoy!$O$1,Data!$A$1:$AN$1,),)-VLOOKUP(A60,Data!$A:$AN,MATCH(yoy!$O$1,Data!$A$1:$AN$1,),))/VLOOKUP(A60,Data!$A:$AN,MATCH(yoy!$O$1,Data!$A$1:$AN$1,),))+1)^12-1)</f>
        <v/>
      </c>
      <c r="P60" s="14">
        <f>IF(VLOOKUP(B60,Data!$A:$AN,MATCH(yoy!$P$1,Data!$A$1:$AN$1,),)=0,"#N/A",(((VLOOKUP(B60,Data!$A:$AN,MATCH(yoy!$P$1,Data!$A$1:$AN$1,),)-VLOOKUP(A60,Data!$A:$AN,MATCH(yoy!$P$1,Data!$A$1:$AN$1,),))/VLOOKUP(A60,Data!$A:$AN,MATCH(yoy!$P$1,Data!$A$1:$AN$1,),))+1)^12-1)</f>
        <v/>
      </c>
      <c r="Q60" s="14">
        <f>IF(VLOOKUP(B60,Data!$A:$AN,MATCH(yoy!$Q$1,Data!$A$1:$AN$1,),)=0,"#N/A",(((VLOOKUP(B60,Data!$A:$AN,MATCH(yoy!$Q$1,Data!$A$1:$AN$1,),)-VLOOKUP(A60,Data!$A:$AN,MATCH(yoy!$Q$1,Data!$A$1:$AN$1,),))/VLOOKUP(A60,Data!$A:$AN,MATCH(yoy!$Q$1,Data!$A$1:$AN$1,),))+1)^12-1)</f>
        <v/>
      </c>
      <c r="R60" s="14">
        <f>IF(VLOOKUP(B60,Data!$A:$AN,MATCH(yoy!$R$1,Data!$A$1:$AN$1,),)=0,"#N/A",(((VLOOKUP(B60,Data!$A:$AN,MATCH(yoy!$R$1,Data!$A$1:$AN$1,),)-VLOOKUP(A60,Data!$A:$AN,MATCH(yoy!$R$1,Data!$A$1:$AN$1,),))/VLOOKUP(A60,Data!$A:$AN,MATCH(yoy!$R$1,Data!$A$1:$AN$1,),))+1)^12-1)</f>
        <v/>
      </c>
      <c r="S60" s="14">
        <f>IF(VLOOKUP(B60,Data!$A:$AN,MATCH(yoy!$S$1,Data!$A$1:$AN$1,),)=0,"#N/A",(((VLOOKUP(B60,Data!$A:$AN,MATCH(yoy!$S$1,Data!$A$1:$AN$1,),)-VLOOKUP(A60,Data!$A:$AN,MATCH(yoy!$S$1,Data!$A$1:$AN$1,),))/VLOOKUP(A60,Data!$A:$AN,MATCH(yoy!$S$1,Data!$A$1:$AN$1,),))+1)^12-1)</f>
        <v/>
      </c>
      <c r="T60" s="14">
        <f>IF(VLOOKUP(B60,Data!$A:$AN,MATCH(yoy!$T$1,Data!$A$1:$AN$1,),)=0,"#N/A",(((VLOOKUP(B60,Data!$A:$AN,MATCH(yoy!$T$1,Data!$A$1:$AN$1,),)-VLOOKUP(A60,Data!$A:$AN,MATCH(yoy!$T$1,Data!$A$1:$AN$1,),))/VLOOKUP(A60,Data!$A:$AN,MATCH(yoy!$T$1,Data!$A$1:$AN$1,),))+1)^12-1)</f>
        <v/>
      </c>
      <c r="U60" s="14">
        <f>IF(VLOOKUP(B60,Data!$A:$AN,MATCH(yoy!$U$1,Data!$A$1:$AN$1,),)=0,"#N/A",(((VLOOKUP(B60,Data!$A:$AN,MATCH(yoy!$U$1,Data!$A$1:$AN$1,),)-VLOOKUP(A60,Data!$A:$AN,MATCH(yoy!$U$1,Data!$A$1:$AN$1,),))/VLOOKUP(A60,Data!$A:$AN,MATCH(yoy!$U$1,Data!$A$1:$AN$1,),))+1)^12-1)</f>
        <v/>
      </c>
      <c r="V60" s="14">
        <f>IF(VLOOKUP(B60,Data!$A:$AN,MATCH(yoy!$V$1,Data!$A$1:$AN$1,),)=0,"#N/A",(((VLOOKUP(B60,Data!$A:$AN,MATCH(yoy!$V$1,Data!$A$1:$AN$1,),)-VLOOKUP(A60,Data!$A:$AN,MATCH(yoy!$V$1,Data!$A$1:$AN$1,),))/VLOOKUP(A60,Data!$A:$AN,MATCH(yoy!$V$1,Data!$A$1:$AN$1,),))+1)^12-1)</f>
        <v/>
      </c>
      <c r="W60" s="14">
        <f>IF(VLOOKUP(B60,Data!$A:$AN,MATCH(yoy!$W$1,Data!$A$1:$AN$1,),)=0,"#N/A",(((VLOOKUP(B60,Data!$A:$AN,MATCH(yoy!$W$1,Data!$A$1:$AN$1,),)-VLOOKUP(A60,Data!$A:$AN,MATCH(yoy!$W$1,Data!$A$1:$AN$1,),))/VLOOKUP(A60,Data!$A:$AN,MATCH(yoy!$W$1,Data!$A$1:$AN$1,),))+1)^12-1)</f>
        <v/>
      </c>
      <c r="X60" s="14">
        <f>IF(VLOOKUP(B60,Data!$A:$AN,MATCH(yoy!$X$1,Data!$A$1:$AN$1,),)=0,"#N/A",(((VLOOKUP(B60,Data!$A:$AN,MATCH(yoy!$X$1,Data!$A$1:$AN$1,),)-VLOOKUP(A60,Data!$A:$AN,MATCH(yoy!$X$1,Data!$A$1:$AN$1,),))/VLOOKUP(A60,Data!$A:$AN,MATCH(yoy!$X$1,Data!$A$1:$AN$1,),))+1)^12-1)</f>
        <v/>
      </c>
      <c r="Y60" s="14">
        <f>IF(VLOOKUP(B60,Data!$A:$AN,MATCH(yoy!$Y$1,Data!$A$1:$AN$1,),)=0,"#N/A",(((VLOOKUP(B60,Data!$A:$AN,MATCH(yoy!$Y$1,Data!$A$1:$AN$1,),)-VLOOKUP(A60,Data!$A:$AN,MATCH(yoy!$Y$1,Data!$A$1:$AN$1,),))/VLOOKUP(A60,Data!$A:$AN,MATCH(yoy!$Y$1,Data!$A$1:$AN$1,),))+1)^12-1)</f>
        <v/>
      </c>
      <c r="Z60" s="14">
        <f>IF(VLOOKUP(B60,Data!$A:$AN,MATCH(yoy!$Z$1,Data!$A$1:$AN$1,),)=0,"#N/A",(((VLOOKUP(B60,Data!$A:$AN,MATCH(yoy!$Z$1,Data!$A$1:$AN$1,),)-VLOOKUP(A60,Data!$A:$AN,MATCH(yoy!$Z$1,Data!$A$1:$AN$1,),))/VLOOKUP(A60,Data!$A:$AN,MATCH(yoy!$Z$1,Data!$A$1:$AN$1,),))+1)^12-1)</f>
        <v/>
      </c>
      <c r="AA60" s="14">
        <f>IF(VLOOKUP(B60,Data!$A:$AN,MATCH(yoy!$AA$1,Data!$A$1:$AN$1,),)=0,"#N/A",(((VLOOKUP(B60,Data!$A:$AN,MATCH(yoy!$AA$1,Data!$A$1:$AN$1,),)-VLOOKUP(A60,Data!$A:$AN,MATCH(yoy!$AA$1,Data!$A$1:$AN$1,),))/VLOOKUP(A60,Data!$A:$AN,MATCH(yoy!$AA$1,Data!$A$1:$AN$1,),))+1)^12-1)</f>
        <v/>
      </c>
    </row>
    <row r="61" customFormat="1" s="77">
      <c r="A61" s="20">
        <f>DATE(YEAR(B61),MONTH(B61)-1,DAY(B61))</f>
        <v/>
      </c>
      <c r="B61" s="12" t="n">
        <v>43709</v>
      </c>
      <c r="C61" s="14">
        <f>IF(VLOOKUP(B61,Data!$A:$AN,MATCH(yoy!$C$1,Data!$A$1:$AN$1,),)=0,"#N/A",(((VLOOKUP(B61,Data!$A:$AN,MATCH(yoy!$C$1,Data!$A$1:$AN$1,),)-VLOOKUP(A61,Data!$A:$AN,MATCH(yoy!$C$1,Data!$A$1:$AN$1,),))/VLOOKUP(A61,Data!$A:$AN,MATCH(yoy!$C$1,Data!$A$1:$AN$1,),))+1)^12-1)</f>
        <v/>
      </c>
      <c r="D61" s="14">
        <f>IF(VLOOKUP(B61,Data!$A:$AN,MATCH(yoy!$D$1,Data!$A$1:$AN$1,),)=0,"#N/A",(((VLOOKUP(B61,Data!$A:$AN,MATCH(yoy!$D$1,Data!$A$1:$AN$1,),)-VLOOKUP(A61,Data!$A:$AN,MATCH(yoy!$D$1,Data!$A$1:$AN$1,),))/VLOOKUP(A61,Data!$A:$AN,MATCH(yoy!$D$1,Data!$A$1:$AN$1,),))+1)^12-1)</f>
        <v/>
      </c>
      <c r="E61" s="14">
        <f>IF(VLOOKUP(B61,Data!$A:$AN,MATCH(yoy!$E$1,Data!$A$1:$AN$1,),)=0,"#N/A",(((VLOOKUP(B61,Data!$A:$AN,MATCH(yoy!$E$1,Data!$A$1:$AN$1,),)-VLOOKUP(A61,Data!$A:$AN,MATCH(yoy!$E$1,Data!$A$1:$AN$1,),))/VLOOKUP(A61,Data!$A:$AN,MATCH(yoy!$E$1,Data!$A$1:$AN$1,),))+1)^12-1)</f>
        <v/>
      </c>
      <c r="F61" s="14">
        <f>IF(VLOOKUP(B61,Data!$A:$AN,MATCH(yoy!$F$1,Data!$A$1:$AN$1,),)=0,"#N/A",(((VLOOKUP(B61,Data!$A:$AN,MATCH(yoy!$F$1,Data!$A$1:$AN$1,),)-VLOOKUP(A61,Data!$A:$AN,MATCH(yoy!$F$1,Data!$A$1:$AN$1,),))/VLOOKUP(A61,Data!$A:$AN,MATCH(yoy!$F$1,Data!$A$1:$AN$1,),))+1)^12-1)</f>
        <v/>
      </c>
      <c r="G61" s="14">
        <f>IF(VLOOKUP(B61,Data!$A:$AN,MATCH(yoy!$G$1,Data!$A$1:$AN$1,),)=0,"#N/A",(((VLOOKUP(B61,Data!$A:$AN,MATCH(yoy!$G$1,Data!$A$1:$AN$1,),)-VLOOKUP(A61,Data!$A:$AN,MATCH(yoy!$G$1,Data!$A$1:$AN$1,),))/VLOOKUP(A61,Data!$A:$AN,MATCH(yoy!$G$1,Data!$A$1:$AN$1,),))+1)^12-1)</f>
        <v/>
      </c>
      <c r="H61" s="14">
        <f>IF(VLOOKUP(B61,Data!$A:$AN,MATCH(yoy!$H$1,Data!$A$1:$AN$1,),)=0,"#N/A",(((VLOOKUP(B61,Data!$A:$AN,MATCH(yoy!$H$1,Data!$A$1:$AN$1,),)-VLOOKUP(A61,Data!$A:$AN,MATCH(yoy!$H$1,Data!$A$1:$AN$1,),))/VLOOKUP(A61,Data!$A:$AN,MATCH(yoy!$H$1,Data!$A$1:$AN$1,),))+1)^12-1)</f>
        <v/>
      </c>
      <c r="I61" s="14">
        <f>IF(VLOOKUP(B61,Data!$A:$AN,MATCH(yoy!$I$1,Data!$A$1:$AN$1,),)=0,"#N/A",(((VLOOKUP(B61,Data!$A:$AN,MATCH(yoy!$I$1,Data!$A$1:$AN$1,),)-VLOOKUP(A61,Data!$A:$AN,MATCH(yoy!$I$1,Data!$A$1:$AN$1,),))/VLOOKUP(A61,Data!$A:$AN,MATCH(yoy!$I$1,Data!$A$1:$AN$1,),))+1)^12-1)</f>
        <v/>
      </c>
      <c r="J61" s="14">
        <f>IF(VLOOKUP(B61,Data!$A:$AN,MATCH(yoy!$J$1,Data!$A$1:$AN$1,),)=0,"#N/A",(((VLOOKUP(B61,Data!$A:$AN,MATCH(yoy!$J$1,Data!$A$1:$AN$1,),)-VLOOKUP(A61,Data!$A:$AN,MATCH(yoy!$J$1,Data!$A$1:$AN$1,),))/VLOOKUP(A61,Data!$A:$AN,MATCH(yoy!$J$1,Data!$A$1:$AN$1,),))+1)^12-1)</f>
        <v/>
      </c>
      <c r="K61" s="14">
        <f>IF(VLOOKUP(B61,Data!$A:$AN,MATCH(yoy!$K$1,Data!$A$1:$AN$1,),)=0,"#N/A",(((VLOOKUP(B61,Data!$A:$AN,MATCH(yoy!$K$1,Data!$A$1:$AN$1,),)-VLOOKUP(A61,Data!$A:$AN,MATCH(yoy!$K$1,Data!$A$1:$AN$1,),))/VLOOKUP(A61,Data!$A:$AN,MATCH(yoy!$K$1,Data!$A$1:$AN$1,),))+1)^12-1)</f>
        <v/>
      </c>
      <c r="L61" s="14">
        <f>IF(VLOOKUP(B61,Data!$A:$AN,MATCH(yoy!$L$1,Data!$A$1:$AN$1,),)=0,"#N/A",(((VLOOKUP(B61,Data!$A:$AN,MATCH(yoy!$L$1,Data!$A$1:$AN$1,),)-VLOOKUP(A61,Data!$A:$AN,MATCH(yoy!$L$1,Data!$A$1:$AN$1,),))/VLOOKUP(A61,Data!$A:$AN,MATCH(yoy!$L$1,Data!$A$1:$AN$1,),))+1)^12-1)</f>
        <v/>
      </c>
      <c r="M61" s="14">
        <f>IF(VLOOKUP(B61,Data!$A:$AN,MATCH(yoy!$M$1,Data!$A$1:$AN$1,),)=0,"#N/A",(((VLOOKUP(B61,Data!$A:$AN,MATCH(yoy!$M$1,Data!$A$1:$AN$1,),)-VLOOKUP(A61,Data!$A:$AN,MATCH(yoy!$M$1,Data!$A$1:$AN$1,),))/VLOOKUP(A61,Data!$A:$AN,MATCH(yoy!$M$1,Data!$A$1:$AN$1,),))+1)^12-1)</f>
        <v/>
      </c>
      <c r="N61" s="14">
        <f>IF(VLOOKUP(B61,Data!$A:$AN,MATCH(yoy!$N$1,Data!$A$1:$AN$1,),)=0,"#N/A",(((VLOOKUP(B61,Data!$A:$AN,MATCH(yoy!$N$1,Data!$A$1:$AN$1,),)-VLOOKUP(A61,Data!$A:$AN,MATCH(yoy!$N$1,Data!$A$1:$AN$1,),))/VLOOKUP(A61,Data!$A:$AN,MATCH(yoy!$N$1,Data!$A$1:$AN$1,),))+1)^12-1)</f>
        <v/>
      </c>
      <c r="O61" s="14">
        <f>IF(VLOOKUP(B61,Data!$A:$AN,MATCH(yoy!$O$1,Data!$A$1:$AN$1,),)=0,"#N/A",(((VLOOKUP(B61,Data!$A:$AN,MATCH(yoy!$O$1,Data!$A$1:$AN$1,),)-VLOOKUP(A61,Data!$A:$AN,MATCH(yoy!$O$1,Data!$A$1:$AN$1,),))/VLOOKUP(A61,Data!$A:$AN,MATCH(yoy!$O$1,Data!$A$1:$AN$1,),))+1)^12-1)</f>
        <v/>
      </c>
      <c r="P61" s="14">
        <f>IF(VLOOKUP(B61,Data!$A:$AN,MATCH(yoy!$P$1,Data!$A$1:$AN$1,),)=0,"#N/A",(((VLOOKUP(B61,Data!$A:$AN,MATCH(yoy!$P$1,Data!$A$1:$AN$1,),)-VLOOKUP(A61,Data!$A:$AN,MATCH(yoy!$P$1,Data!$A$1:$AN$1,),))/VLOOKUP(A61,Data!$A:$AN,MATCH(yoy!$P$1,Data!$A$1:$AN$1,),))+1)^12-1)</f>
        <v/>
      </c>
      <c r="Q61" s="14">
        <f>IF(VLOOKUP(B61,Data!$A:$AN,MATCH(yoy!$Q$1,Data!$A$1:$AN$1,),)=0,"#N/A",(((VLOOKUP(B61,Data!$A:$AN,MATCH(yoy!$Q$1,Data!$A$1:$AN$1,),)-VLOOKUP(A61,Data!$A:$AN,MATCH(yoy!$Q$1,Data!$A$1:$AN$1,),))/VLOOKUP(A61,Data!$A:$AN,MATCH(yoy!$Q$1,Data!$A$1:$AN$1,),))+1)^12-1)</f>
        <v/>
      </c>
      <c r="R61" s="14">
        <f>IF(VLOOKUP(B61,Data!$A:$AN,MATCH(yoy!$R$1,Data!$A$1:$AN$1,),)=0,"#N/A",(((VLOOKUP(B61,Data!$A:$AN,MATCH(yoy!$R$1,Data!$A$1:$AN$1,),)-VLOOKUP(A61,Data!$A:$AN,MATCH(yoy!$R$1,Data!$A$1:$AN$1,),))/VLOOKUP(A61,Data!$A:$AN,MATCH(yoy!$R$1,Data!$A$1:$AN$1,),))+1)^12-1)</f>
        <v/>
      </c>
      <c r="S61" s="14">
        <f>IF(VLOOKUP(B61,Data!$A:$AN,MATCH(yoy!$S$1,Data!$A$1:$AN$1,),)=0,"#N/A",(((VLOOKUP(B61,Data!$A:$AN,MATCH(yoy!$S$1,Data!$A$1:$AN$1,),)-VLOOKUP(A61,Data!$A:$AN,MATCH(yoy!$S$1,Data!$A$1:$AN$1,),))/VLOOKUP(A61,Data!$A:$AN,MATCH(yoy!$S$1,Data!$A$1:$AN$1,),))+1)^12-1)</f>
        <v/>
      </c>
      <c r="T61" s="14">
        <f>IF(VLOOKUP(B61,Data!$A:$AN,MATCH(yoy!$T$1,Data!$A$1:$AN$1,),)=0,"#N/A",(((VLOOKUP(B61,Data!$A:$AN,MATCH(yoy!$T$1,Data!$A$1:$AN$1,),)-VLOOKUP(A61,Data!$A:$AN,MATCH(yoy!$T$1,Data!$A$1:$AN$1,),))/VLOOKUP(A61,Data!$A:$AN,MATCH(yoy!$T$1,Data!$A$1:$AN$1,),))+1)^12-1)</f>
        <v/>
      </c>
      <c r="U61" s="14">
        <f>IF(VLOOKUP(B61,Data!$A:$AN,MATCH(yoy!$U$1,Data!$A$1:$AN$1,),)=0,"#N/A",(((VLOOKUP(B61,Data!$A:$AN,MATCH(yoy!$U$1,Data!$A$1:$AN$1,),)-VLOOKUP(A61,Data!$A:$AN,MATCH(yoy!$U$1,Data!$A$1:$AN$1,),))/VLOOKUP(A61,Data!$A:$AN,MATCH(yoy!$U$1,Data!$A$1:$AN$1,),))+1)^12-1)</f>
        <v/>
      </c>
      <c r="V61" s="14">
        <f>IF(VLOOKUP(B61,Data!$A:$AN,MATCH(yoy!$V$1,Data!$A$1:$AN$1,),)=0,"#N/A",(((VLOOKUP(B61,Data!$A:$AN,MATCH(yoy!$V$1,Data!$A$1:$AN$1,),)-VLOOKUP(A61,Data!$A:$AN,MATCH(yoy!$V$1,Data!$A$1:$AN$1,),))/VLOOKUP(A61,Data!$A:$AN,MATCH(yoy!$V$1,Data!$A$1:$AN$1,),))+1)^12-1)</f>
        <v/>
      </c>
      <c r="W61" s="14">
        <f>IF(VLOOKUP(B61,Data!$A:$AN,MATCH(yoy!$W$1,Data!$A$1:$AN$1,),)=0,"#N/A",(((VLOOKUP(B61,Data!$A:$AN,MATCH(yoy!$W$1,Data!$A$1:$AN$1,),)-VLOOKUP(A61,Data!$A:$AN,MATCH(yoy!$W$1,Data!$A$1:$AN$1,),))/VLOOKUP(A61,Data!$A:$AN,MATCH(yoy!$W$1,Data!$A$1:$AN$1,),))+1)^12-1)</f>
        <v/>
      </c>
      <c r="X61" s="14">
        <f>IF(VLOOKUP(B61,Data!$A:$AN,MATCH(yoy!$X$1,Data!$A$1:$AN$1,),)=0,"#N/A",(((VLOOKUP(B61,Data!$A:$AN,MATCH(yoy!$X$1,Data!$A$1:$AN$1,),)-VLOOKUP(A61,Data!$A:$AN,MATCH(yoy!$X$1,Data!$A$1:$AN$1,),))/VLOOKUP(A61,Data!$A:$AN,MATCH(yoy!$X$1,Data!$A$1:$AN$1,),))+1)^12-1)</f>
        <v/>
      </c>
      <c r="Y61" s="14">
        <f>IF(VLOOKUP(B61,Data!$A:$AN,MATCH(yoy!$Y$1,Data!$A$1:$AN$1,),)=0,"#N/A",(((VLOOKUP(B61,Data!$A:$AN,MATCH(yoy!$Y$1,Data!$A$1:$AN$1,),)-VLOOKUP(A61,Data!$A:$AN,MATCH(yoy!$Y$1,Data!$A$1:$AN$1,),))/VLOOKUP(A61,Data!$A:$AN,MATCH(yoy!$Y$1,Data!$A$1:$AN$1,),))+1)^12-1)</f>
        <v/>
      </c>
      <c r="Z61" s="14">
        <f>IF(VLOOKUP(B61,Data!$A:$AN,MATCH(yoy!$Z$1,Data!$A$1:$AN$1,),)=0,"#N/A",(((VLOOKUP(B61,Data!$A:$AN,MATCH(yoy!$Z$1,Data!$A$1:$AN$1,),)-VLOOKUP(A61,Data!$A:$AN,MATCH(yoy!$Z$1,Data!$A$1:$AN$1,),))/VLOOKUP(A61,Data!$A:$AN,MATCH(yoy!$Z$1,Data!$A$1:$AN$1,),))+1)^12-1)</f>
        <v/>
      </c>
      <c r="AA61" s="14">
        <f>IF(VLOOKUP(B61,Data!$A:$AN,MATCH(yoy!$AA$1,Data!$A$1:$AN$1,),)=0,"#N/A",(((VLOOKUP(B61,Data!$A:$AN,MATCH(yoy!$AA$1,Data!$A$1:$AN$1,),)-VLOOKUP(A61,Data!$A:$AN,MATCH(yoy!$AA$1,Data!$A$1:$AN$1,),))/VLOOKUP(A61,Data!$A:$AN,MATCH(yoy!$AA$1,Data!$A$1:$AN$1,),))+1)^12-1)</f>
        <v/>
      </c>
    </row>
    <row r="62" customFormat="1" s="77">
      <c r="A62" s="20">
        <f>DATE(YEAR(B62),MONTH(B62)-1,DAY(B62))</f>
        <v/>
      </c>
      <c r="B62" s="12" t="n">
        <v>43739</v>
      </c>
      <c r="C62" s="14">
        <f>IF(VLOOKUP(B62,Data!$A:$AN,MATCH(yoy!$C$1,Data!$A$1:$AN$1,),)=0,"#N/A",(((VLOOKUP(B62,Data!$A:$AN,MATCH(yoy!$C$1,Data!$A$1:$AN$1,),)-VLOOKUP(A62,Data!$A:$AN,MATCH(yoy!$C$1,Data!$A$1:$AN$1,),))/VLOOKUP(A62,Data!$A:$AN,MATCH(yoy!$C$1,Data!$A$1:$AN$1,),))+1)^12-1)</f>
        <v/>
      </c>
      <c r="D62" s="14">
        <f>IF(VLOOKUP(B62,Data!$A:$AN,MATCH(yoy!$D$1,Data!$A$1:$AN$1,),)=0,"#N/A",(((VLOOKUP(B62,Data!$A:$AN,MATCH(yoy!$D$1,Data!$A$1:$AN$1,),)-VLOOKUP(A62,Data!$A:$AN,MATCH(yoy!$D$1,Data!$A$1:$AN$1,),))/VLOOKUP(A62,Data!$A:$AN,MATCH(yoy!$D$1,Data!$A$1:$AN$1,),))+1)^12-1)</f>
        <v/>
      </c>
      <c r="E62" s="14">
        <f>IF(VLOOKUP(B62,Data!$A:$AN,MATCH(yoy!$E$1,Data!$A$1:$AN$1,),)=0,"#N/A",(((VLOOKUP(B62,Data!$A:$AN,MATCH(yoy!$E$1,Data!$A$1:$AN$1,),)-VLOOKUP(A62,Data!$A:$AN,MATCH(yoy!$E$1,Data!$A$1:$AN$1,),))/VLOOKUP(A62,Data!$A:$AN,MATCH(yoy!$E$1,Data!$A$1:$AN$1,),))+1)^12-1)</f>
        <v/>
      </c>
      <c r="F62" s="14">
        <f>IF(VLOOKUP(B62,Data!$A:$AN,MATCH(yoy!$F$1,Data!$A$1:$AN$1,),)=0,"#N/A",(((VLOOKUP(B62,Data!$A:$AN,MATCH(yoy!$F$1,Data!$A$1:$AN$1,),)-VLOOKUP(A62,Data!$A:$AN,MATCH(yoy!$F$1,Data!$A$1:$AN$1,),))/VLOOKUP(A62,Data!$A:$AN,MATCH(yoy!$F$1,Data!$A$1:$AN$1,),))+1)^12-1)</f>
        <v/>
      </c>
      <c r="G62" s="14">
        <f>IF(VLOOKUP(B62,Data!$A:$AN,MATCH(yoy!$G$1,Data!$A$1:$AN$1,),)=0,"#N/A",(((VLOOKUP(B62,Data!$A:$AN,MATCH(yoy!$G$1,Data!$A$1:$AN$1,),)-VLOOKUP(A62,Data!$A:$AN,MATCH(yoy!$G$1,Data!$A$1:$AN$1,),))/VLOOKUP(A62,Data!$A:$AN,MATCH(yoy!$G$1,Data!$A$1:$AN$1,),))+1)^12-1)</f>
        <v/>
      </c>
      <c r="H62" s="14">
        <f>IF(VLOOKUP(B62,Data!$A:$AN,MATCH(yoy!$H$1,Data!$A$1:$AN$1,),)=0,"#N/A",(((VLOOKUP(B62,Data!$A:$AN,MATCH(yoy!$H$1,Data!$A$1:$AN$1,),)-VLOOKUP(A62,Data!$A:$AN,MATCH(yoy!$H$1,Data!$A$1:$AN$1,),))/VLOOKUP(A62,Data!$A:$AN,MATCH(yoy!$H$1,Data!$A$1:$AN$1,),))+1)^12-1)</f>
        <v/>
      </c>
      <c r="I62" s="14">
        <f>IF(VLOOKUP(B62,Data!$A:$AN,MATCH(yoy!$I$1,Data!$A$1:$AN$1,),)=0,"#N/A",(((VLOOKUP(B62,Data!$A:$AN,MATCH(yoy!$I$1,Data!$A$1:$AN$1,),)-VLOOKUP(A62,Data!$A:$AN,MATCH(yoy!$I$1,Data!$A$1:$AN$1,),))/VLOOKUP(A62,Data!$A:$AN,MATCH(yoy!$I$1,Data!$A$1:$AN$1,),))+1)^12-1)</f>
        <v/>
      </c>
      <c r="J62" s="14">
        <f>IF(VLOOKUP(B62,Data!$A:$AN,MATCH(yoy!$J$1,Data!$A$1:$AN$1,),)=0,"#N/A",(((VLOOKUP(B62,Data!$A:$AN,MATCH(yoy!$J$1,Data!$A$1:$AN$1,),)-VLOOKUP(A62,Data!$A:$AN,MATCH(yoy!$J$1,Data!$A$1:$AN$1,),))/VLOOKUP(A62,Data!$A:$AN,MATCH(yoy!$J$1,Data!$A$1:$AN$1,),))+1)^12-1)</f>
        <v/>
      </c>
      <c r="K62" s="14">
        <f>IF(VLOOKUP(B62,Data!$A:$AN,MATCH(yoy!$K$1,Data!$A$1:$AN$1,),)=0,"#N/A",(((VLOOKUP(B62,Data!$A:$AN,MATCH(yoy!$K$1,Data!$A$1:$AN$1,),)-VLOOKUP(A62,Data!$A:$AN,MATCH(yoy!$K$1,Data!$A$1:$AN$1,),))/VLOOKUP(A62,Data!$A:$AN,MATCH(yoy!$K$1,Data!$A$1:$AN$1,),))+1)^12-1)</f>
        <v/>
      </c>
      <c r="L62" s="14">
        <f>IF(VLOOKUP(B62,Data!$A:$AN,MATCH(yoy!$L$1,Data!$A$1:$AN$1,),)=0,"#N/A",(((VLOOKUP(B62,Data!$A:$AN,MATCH(yoy!$L$1,Data!$A$1:$AN$1,),)-VLOOKUP(A62,Data!$A:$AN,MATCH(yoy!$L$1,Data!$A$1:$AN$1,),))/VLOOKUP(A62,Data!$A:$AN,MATCH(yoy!$L$1,Data!$A$1:$AN$1,),))+1)^12-1)</f>
        <v/>
      </c>
      <c r="M62" s="14">
        <f>IF(VLOOKUP(B62,Data!$A:$AN,MATCH(yoy!$M$1,Data!$A$1:$AN$1,),)=0,"#N/A",(((VLOOKUP(B62,Data!$A:$AN,MATCH(yoy!$M$1,Data!$A$1:$AN$1,),)-VLOOKUP(A62,Data!$A:$AN,MATCH(yoy!$M$1,Data!$A$1:$AN$1,),))/VLOOKUP(A62,Data!$A:$AN,MATCH(yoy!$M$1,Data!$A$1:$AN$1,),))+1)^12-1)</f>
        <v/>
      </c>
      <c r="N62" s="14">
        <f>IF(VLOOKUP(B62,Data!$A:$AN,MATCH(yoy!$N$1,Data!$A$1:$AN$1,),)=0,"#N/A",(((VLOOKUP(B62,Data!$A:$AN,MATCH(yoy!$N$1,Data!$A$1:$AN$1,),)-VLOOKUP(A62,Data!$A:$AN,MATCH(yoy!$N$1,Data!$A$1:$AN$1,),))/VLOOKUP(A62,Data!$A:$AN,MATCH(yoy!$N$1,Data!$A$1:$AN$1,),))+1)^12-1)</f>
        <v/>
      </c>
      <c r="O62" s="14">
        <f>IF(VLOOKUP(B62,Data!$A:$AN,MATCH(yoy!$O$1,Data!$A$1:$AN$1,),)=0,"#N/A",(((VLOOKUP(B62,Data!$A:$AN,MATCH(yoy!$O$1,Data!$A$1:$AN$1,),)-VLOOKUP(A62,Data!$A:$AN,MATCH(yoy!$O$1,Data!$A$1:$AN$1,),))/VLOOKUP(A62,Data!$A:$AN,MATCH(yoy!$O$1,Data!$A$1:$AN$1,),))+1)^12-1)</f>
        <v/>
      </c>
      <c r="P62" s="14">
        <f>IF(VLOOKUP(B62,Data!$A:$AN,MATCH(yoy!$P$1,Data!$A$1:$AN$1,),)=0,"#N/A",(((VLOOKUP(B62,Data!$A:$AN,MATCH(yoy!$P$1,Data!$A$1:$AN$1,),)-VLOOKUP(A62,Data!$A:$AN,MATCH(yoy!$P$1,Data!$A$1:$AN$1,),))/VLOOKUP(A62,Data!$A:$AN,MATCH(yoy!$P$1,Data!$A$1:$AN$1,),))+1)^12-1)</f>
        <v/>
      </c>
      <c r="Q62" s="14">
        <f>IF(VLOOKUP(B62,Data!$A:$AN,MATCH(yoy!$Q$1,Data!$A$1:$AN$1,),)=0,"#N/A",(((VLOOKUP(B62,Data!$A:$AN,MATCH(yoy!$Q$1,Data!$A$1:$AN$1,),)-VLOOKUP(A62,Data!$A:$AN,MATCH(yoy!$Q$1,Data!$A$1:$AN$1,),))/VLOOKUP(A62,Data!$A:$AN,MATCH(yoy!$Q$1,Data!$A$1:$AN$1,),))+1)^12-1)</f>
        <v/>
      </c>
      <c r="R62" s="14">
        <f>IF(VLOOKUP(B62,Data!$A:$AN,MATCH(yoy!$R$1,Data!$A$1:$AN$1,),)=0,"#N/A",(((VLOOKUP(B62,Data!$A:$AN,MATCH(yoy!$R$1,Data!$A$1:$AN$1,),)-VLOOKUP(A62,Data!$A:$AN,MATCH(yoy!$R$1,Data!$A$1:$AN$1,),))/VLOOKUP(A62,Data!$A:$AN,MATCH(yoy!$R$1,Data!$A$1:$AN$1,),))+1)^12-1)</f>
        <v/>
      </c>
      <c r="S62" s="14">
        <f>IF(VLOOKUP(B62,Data!$A:$AN,MATCH(yoy!$S$1,Data!$A$1:$AN$1,),)=0,"#N/A",(((VLOOKUP(B62,Data!$A:$AN,MATCH(yoy!$S$1,Data!$A$1:$AN$1,),)-VLOOKUP(A62,Data!$A:$AN,MATCH(yoy!$S$1,Data!$A$1:$AN$1,),))/VLOOKUP(A62,Data!$A:$AN,MATCH(yoy!$S$1,Data!$A$1:$AN$1,),))+1)^12-1)</f>
        <v/>
      </c>
      <c r="T62" s="14">
        <f>IF(VLOOKUP(B62,Data!$A:$AN,MATCH(yoy!$T$1,Data!$A$1:$AN$1,),)=0,"#N/A",(((VLOOKUP(B62,Data!$A:$AN,MATCH(yoy!$T$1,Data!$A$1:$AN$1,),)-VLOOKUP(A62,Data!$A:$AN,MATCH(yoy!$T$1,Data!$A$1:$AN$1,),))/VLOOKUP(A62,Data!$A:$AN,MATCH(yoy!$T$1,Data!$A$1:$AN$1,),))+1)^12-1)</f>
        <v/>
      </c>
      <c r="U62" s="14">
        <f>IF(VLOOKUP(B62,Data!$A:$AN,MATCH(yoy!$U$1,Data!$A$1:$AN$1,),)=0,"#N/A",(((VLOOKUP(B62,Data!$A:$AN,MATCH(yoy!$U$1,Data!$A$1:$AN$1,),)-VLOOKUP(A62,Data!$A:$AN,MATCH(yoy!$U$1,Data!$A$1:$AN$1,),))/VLOOKUP(A62,Data!$A:$AN,MATCH(yoy!$U$1,Data!$A$1:$AN$1,),))+1)^12-1)</f>
        <v/>
      </c>
      <c r="V62" s="14">
        <f>IF(VLOOKUP(B62,Data!$A:$AN,MATCH(yoy!$V$1,Data!$A$1:$AN$1,),)=0,"#N/A",(((VLOOKUP(B62,Data!$A:$AN,MATCH(yoy!$V$1,Data!$A$1:$AN$1,),)-VLOOKUP(A62,Data!$A:$AN,MATCH(yoy!$V$1,Data!$A$1:$AN$1,),))/VLOOKUP(A62,Data!$A:$AN,MATCH(yoy!$V$1,Data!$A$1:$AN$1,),))+1)^12-1)</f>
        <v/>
      </c>
      <c r="W62" s="14">
        <f>IF(VLOOKUP(B62,Data!$A:$AN,MATCH(yoy!$W$1,Data!$A$1:$AN$1,),)=0,"#N/A",(((VLOOKUP(B62,Data!$A:$AN,MATCH(yoy!$W$1,Data!$A$1:$AN$1,),)-VLOOKUP(A62,Data!$A:$AN,MATCH(yoy!$W$1,Data!$A$1:$AN$1,),))/VLOOKUP(A62,Data!$A:$AN,MATCH(yoy!$W$1,Data!$A$1:$AN$1,),))+1)^12-1)</f>
        <v/>
      </c>
      <c r="X62" s="14">
        <f>IF(VLOOKUP(B62,Data!$A:$AN,MATCH(yoy!$X$1,Data!$A$1:$AN$1,),)=0,"#N/A",(((VLOOKUP(B62,Data!$A:$AN,MATCH(yoy!$X$1,Data!$A$1:$AN$1,),)-VLOOKUP(A62,Data!$A:$AN,MATCH(yoy!$X$1,Data!$A$1:$AN$1,),))/VLOOKUP(A62,Data!$A:$AN,MATCH(yoy!$X$1,Data!$A$1:$AN$1,),))+1)^12-1)</f>
        <v/>
      </c>
      <c r="Y62" s="14">
        <f>IF(VLOOKUP(B62,Data!$A:$AN,MATCH(yoy!$Y$1,Data!$A$1:$AN$1,),)=0,"#N/A",(((VLOOKUP(B62,Data!$A:$AN,MATCH(yoy!$Y$1,Data!$A$1:$AN$1,),)-VLOOKUP(A62,Data!$A:$AN,MATCH(yoy!$Y$1,Data!$A$1:$AN$1,),))/VLOOKUP(A62,Data!$A:$AN,MATCH(yoy!$Y$1,Data!$A$1:$AN$1,),))+1)^12-1)</f>
        <v/>
      </c>
      <c r="Z62" s="14">
        <f>IF(VLOOKUP(B62,Data!$A:$AN,MATCH(yoy!$Z$1,Data!$A$1:$AN$1,),)=0,"#N/A",(((VLOOKUP(B62,Data!$A:$AN,MATCH(yoy!$Z$1,Data!$A$1:$AN$1,),)-VLOOKUP(A62,Data!$A:$AN,MATCH(yoy!$Z$1,Data!$A$1:$AN$1,),))/VLOOKUP(A62,Data!$A:$AN,MATCH(yoy!$Z$1,Data!$A$1:$AN$1,),))+1)^12-1)</f>
        <v/>
      </c>
      <c r="AA62" s="14">
        <f>IF(VLOOKUP(B62,Data!$A:$AN,MATCH(yoy!$AA$1,Data!$A$1:$AN$1,),)=0,"#N/A",(((VLOOKUP(B62,Data!$A:$AN,MATCH(yoy!$AA$1,Data!$A$1:$AN$1,),)-VLOOKUP(A62,Data!$A:$AN,MATCH(yoy!$AA$1,Data!$A$1:$AN$1,),))/VLOOKUP(A62,Data!$A:$AN,MATCH(yoy!$AA$1,Data!$A$1:$AN$1,),))+1)^12-1)</f>
        <v/>
      </c>
    </row>
    <row r="63" customFormat="1" s="77">
      <c r="A63" s="20">
        <f>DATE(YEAR(B63),MONTH(B63)-1,DAY(B63))</f>
        <v/>
      </c>
      <c r="B63" s="12" t="n">
        <v>43770</v>
      </c>
      <c r="C63" s="14">
        <f>IF(VLOOKUP(B63,Data!$A:$AN,MATCH(yoy!$C$1,Data!$A$1:$AN$1,),)=0,"#N/A",(((VLOOKUP(B63,Data!$A:$AN,MATCH(yoy!$C$1,Data!$A$1:$AN$1,),)-VLOOKUP(A63,Data!$A:$AN,MATCH(yoy!$C$1,Data!$A$1:$AN$1,),))/VLOOKUP(A63,Data!$A:$AN,MATCH(yoy!$C$1,Data!$A$1:$AN$1,),))+1)^12-1)</f>
        <v/>
      </c>
      <c r="D63" s="14">
        <f>IF(VLOOKUP(B63,Data!$A:$AN,MATCH(yoy!$D$1,Data!$A$1:$AN$1,),)=0,"#N/A",(((VLOOKUP(B63,Data!$A:$AN,MATCH(yoy!$D$1,Data!$A$1:$AN$1,),)-VLOOKUP(A63,Data!$A:$AN,MATCH(yoy!$D$1,Data!$A$1:$AN$1,),))/VLOOKUP(A63,Data!$A:$AN,MATCH(yoy!$D$1,Data!$A$1:$AN$1,),))+1)^12-1)</f>
        <v/>
      </c>
      <c r="E63" s="14">
        <f>IF(VLOOKUP(B63,Data!$A:$AN,MATCH(yoy!$E$1,Data!$A$1:$AN$1,),)=0,"#N/A",(((VLOOKUP(B63,Data!$A:$AN,MATCH(yoy!$E$1,Data!$A$1:$AN$1,),)-VLOOKUP(A63,Data!$A:$AN,MATCH(yoy!$E$1,Data!$A$1:$AN$1,),))/VLOOKUP(A63,Data!$A:$AN,MATCH(yoy!$E$1,Data!$A$1:$AN$1,),))+1)^12-1)</f>
        <v/>
      </c>
      <c r="F63" s="14">
        <f>IF(VLOOKUP(B63,Data!$A:$AN,MATCH(yoy!$F$1,Data!$A$1:$AN$1,),)=0,"#N/A",(((VLOOKUP(B63,Data!$A:$AN,MATCH(yoy!$F$1,Data!$A$1:$AN$1,),)-VLOOKUP(A63,Data!$A:$AN,MATCH(yoy!$F$1,Data!$A$1:$AN$1,),))/VLOOKUP(A63,Data!$A:$AN,MATCH(yoy!$F$1,Data!$A$1:$AN$1,),))+1)^12-1)</f>
        <v/>
      </c>
      <c r="G63" s="14">
        <f>IF(VLOOKUP(B63,Data!$A:$AN,MATCH(yoy!$G$1,Data!$A$1:$AN$1,),)=0,"#N/A",(((VLOOKUP(B63,Data!$A:$AN,MATCH(yoy!$G$1,Data!$A$1:$AN$1,),)-VLOOKUP(A63,Data!$A:$AN,MATCH(yoy!$G$1,Data!$A$1:$AN$1,),))/VLOOKUP(A63,Data!$A:$AN,MATCH(yoy!$G$1,Data!$A$1:$AN$1,),))+1)^12-1)</f>
        <v/>
      </c>
      <c r="H63" s="14">
        <f>IF(VLOOKUP(B63,Data!$A:$AN,MATCH(yoy!$H$1,Data!$A$1:$AN$1,),)=0,"#N/A",(((VLOOKUP(B63,Data!$A:$AN,MATCH(yoy!$H$1,Data!$A$1:$AN$1,),)-VLOOKUP(A63,Data!$A:$AN,MATCH(yoy!$H$1,Data!$A$1:$AN$1,),))/VLOOKUP(A63,Data!$A:$AN,MATCH(yoy!$H$1,Data!$A$1:$AN$1,),))+1)^12-1)</f>
        <v/>
      </c>
      <c r="I63" s="14">
        <f>IF(VLOOKUP(B63,Data!$A:$AN,MATCH(yoy!$I$1,Data!$A$1:$AN$1,),)=0,"#N/A",(((VLOOKUP(B63,Data!$A:$AN,MATCH(yoy!$I$1,Data!$A$1:$AN$1,),)-VLOOKUP(A63,Data!$A:$AN,MATCH(yoy!$I$1,Data!$A$1:$AN$1,),))/VLOOKUP(A63,Data!$A:$AN,MATCH(yoy!$I$1,Data!$A$1:$AN$1,),))+1)^12-1)</f>
        <v/>
      </c>
      <c r="J63" s="14">
        <f>IF(VLOOKUP(B63,Data!$A:$AN,MATCH(yoy!$J$1,Data!$A$1:$AN$1,),)=0,"#N/A",(((VLOOKUP(B63,Data!$A:$AN,MATCH(yoy!$J$1,Data!$A$1:$AN$1,),)-VLOOKUP(A63,Data!$A:$AN,MATCH(yoy!$J$1,Data!$A$1:$AN$1,),))/VLOOKUP(A63,Data!$A:$AN,MATCH(yoy!$J$1,Data!$A$1:$AN$1,),))+1)^12-1)</f>
        <v/>
      </c>
      <c r="K63" s="14">
        <f>IF(VLOOKUP(B63,Data!$A:$AN,MATCH(yoy!$K$1,Data!$A$1:$AN$1,),)=0,"#N/A",(((VLOOKUP(B63,Data!$A:$AN,MATCH(yoy!$K$1,Data!$A$1:$AN$1,),)-VLOOKUP(A63,Data!$A:$AN,MATCH(yoy!$K$1,Data!$A$1:$AN$1,),))/VLOOKUP(A63,Data!$A:$AN,MATCH(yoy!$K$1,Data!$A$1:$AN$1,),))+1)^12-1)</f>
        <v/>
      </c>
      <c r="L63" s="14">
        <f>IF(VLOOKUP(B63,Data!$A:$AN,MATCH(yoy!$L$1,Data!$A$1:$AN$1,),)=0,"#N/A",(((VLOOKUP(B63,Data!$A:$AN,MATCH(yoy!$L$1,Data!$A$1:$AN$1,),)-VLOOKUP(A63,Data!$A:$AN,MATCH(yoy!$L$1,Data!$A$1:$AN$1,),))/VLOOKUP(A63,Data!$A:$AN,MATCH(yoy!$L$1,Data!$A$1:$AN$1,),))+1)^12-1)</f>
        <v/>
      </c>
      <c r="M63" s="14">
        <f>IF(VLOOKUP(B63,Data!$A:$AN,MATCH(yoy!$M$1,Data!$A$1:$AN$1,),)=0,"#N/A",(((VLOOKUP(B63,Data!$A:$AN,MATCH(yoy!$M$1,Data!$A$1:$AN$1,),)-VLOOKUP(A63,Data!$A:$AN,MATCH(yoy!$M$1,Data!$A$1:$AN$1,),))/VLOOKUP(A63,Data!$A:$AN,MATCH(yoy!$M$1,Data!$A$1:$AN$1,),))+1)^12-1)</f>
        <v/>
      </c>
      <c r="N63" s="14">
        <f>IF(VLOOKUP(B63,Data!$A:$AN,MATCH(yoy!$N$1,Data!$A$1:$AN$1,),)=0,"#N/A",(((VLOOKUP(B63,Data!$A:$AN,MATCH(yoy!$N$1,Data!$A$1:$AN$1,),)-VLOOKUP(A63,Data!$A:$AN,MATCH(yoy!$N$1,Data!$A$1:$AN$1,),))/VLOOKUP(A63,Data!$A:$AN,MATCH(yoy!$N$1,Data!$A$1:$AN$1,),))+1)^12-1)</f>
        <v/>
      </c>
      <c r="O63" s="14">
        <f>IF(VLOOKUP(B63,Data!$A:$AN,MATCH(yoy!$O$1,Data!$A$1:$AN$1,),)=0,"#N/A",(((VLOOKUP(B63,Data!$A:$AN,MATCH(yoy!$O$1,Data!$A$1:$AN$1,),)-VLOOKUP(A63,Data!$A:$AN,MATCH(yoy!$O$1,Data!$A$1:$AN$1,),))/VLOOKUP(A63,Data!$A:$AN,MATCH(yoy!$O$1,Data!$A$1:$AN$1,),))+1)^12-1)</f>
        <v/>
      </c>
      <c r="P63" s="14">
        <f>IF(VLOOKUP(B63,Data!$A:$AN,MATCH(yoy!$P$1,Data!$A$1:$AN$1,),)=0,"#N/A",(((VLOOKUP(B63,Data!$A:$AN,MATCH(yoy!$P$1,Data!$A$1:$AN$1,),)-VLOOKUP(A63,Data!$A:$AN,MATCH(yoy!$P$1,Data!$A$1:$AN$1,),))/VLOOKUP(A63,Data!$A:$AN,MATCH(yoy!$P$1,Data!$A$1:$AN$1,),))+1)^12-1)</f>
        <v/>
      </c>
      <c r="Q63" s="14">
        <f>IF(VLOOKUP(B63,Data!$A:$AN,MATCH(yoy!$Q$1,Data!$A$1:$AN$1,),)=0,"#N/A",(((VLOOKUP(B63,Data!$A:$AN,MATCH(yoy!$Q$1,Data!$A$1:$AN$1,),)-VLOOKUP(A63,Data!$A:$AN,MATCH(yoy!$Q$1,Data!$A$1:$AN$1,),))/VLOOKUP(A63,Data!$A:$AN,MATCH(yoy!$Q$1,Data!$A$1:$AN$1,),))+1)^12-1)</f>
        <v/>
      </c>
      <c r="R63" s="14">
        <f>IF(VLOOKUP(B63,Data!$A:$AN,MATCH(yoy!$R$1,Data!$A$1:$AN$1,),)=0,"#N/A",(((VLOOKUP(B63,Data!$A:$AN,MATCH(yoy!$R$1,Data!$A$1:$AN$1,),)-VLOOKUP(A63,Data!$A:$AN,MATCH(yoy!$R$1,Data!$A$1:$AN$1,),))/VLOOKUP(A63,Data!$A:$AN,MATCH(yoy!$R$1,Data!$A$1:$AN$1,),))+1)^12-1)</f>
        <v/>
      </c>
      <c r="S63" s="14">
        <f>IF(VLOOKUP(B63,Data!$A:$AN,MATCH(yoy!$S$1,Data!$A$1:$AN$1,),)=0,"#N/A",(((VLOOKUP(B63,Data!$A:$AN,MATCH(yoy!$S$1,Data!$A$1:$AN$1,),)-VLOOKUP(A63,Data!$A:$AN,MATCH(yoy!$S$1,Data!$A$1:$AN$1,),))/VLOOKUP(A63,Data!$A:$AN,MATCH(yoy!$S$1,Data!$A$1:$AN$1,),))+1)^12-1)</f>
        <v/>
      </c>
      <c r="T63" s="14">
        <f>IF(VLOOKUP(B63,Data!$A:$AN,MATCH(yoy!$T$1,Data!$A$1:$AN$1,),)=0,"#N/A",(((VLOOKUP(B63,Data!$A:$AN,MATCH(yoy!$T$1,Data!$A$1:$AN$1,),)-VLOOKUP(A63,Data!$A:$AN,MATCH(yoy!$T$1,Data!$A$1:$AN$1,),))/VLOOKUP(A63,Data!$A:$AN,MATCH(yoy!$T$1,Data!$A$1:$AN$1,),))+1)^12-1)</f>
        <v/>
      </c>
      <c r="U63" s="14">
        <f>IF(VLOOKUP(B63,Data!$A:$AN,MATCH(yoy!$U$1,Data!$A$1:$AN$1,),)=0,"#N/A",(((VLOOKUP(B63,Data!$A:$AN,MATCH(yoy!$U$1,Data!$A$1:$AN$1,),)-VLOOKUP(A63,Data!$A:$AN,MATCH(yoy!$U$1,Data!$A$1:$AN$1,),))/VLOOKUP(A63,Data!$A:$AN,MATCH(yoy!$U$1,Data!$A$1:$AN$1,),))+1)^12-1)</f>
        <v/>
      </c>
      <c r="V63" s="14">
        <f>IF(VLOOKUP(B63,Data!$A:$AN,MATCH(yoy!$V$1,Data!$A$1:$AN$1,),)=0,"#N/A",(((VLOOKUP(B63,Data!$A:$AN,MATCH(yoy!$V$1,Data!$A$1:$AN$1,),)-VLOOKUP(A63,Data!$A:$AN,MATCH(yoy!$V$1,Data!$A$1:$AN$1,),))/VLOOKUP(A63,Data!$A:$AN,MATCH(yoy!$V$1,Data!$A$1:$AN$1,),))+1)^12-1)</f>
        <v/>
      </c>
      <c r="W63" s="14">
        <f>IF(VLOOKUP(B63,Data!$A:$AN,MATCH(yoy!$W$1,Data!$A$1:$AN$1,),)=0,"#N/A",(((VLOOKUP(B63,Data!$A:$AN,MATCH(yoy!$W$1,Data!$A$1:$AN$1,),)-VLOOKUP(A63,Data!$A:$AN,MATCH(yoy!$W$1,Data!$A$1:$AN$1,),))/VLOOKUP(A63,Data!$A:$AN,MATCH(yoy!$W$1,Data!$A$1:$AN$1,),))+1)^12-1)</f>
        <v/>
      </c>
      <c r="X63" s="14">
        <f>IF(VLOOKUP(B63,Data!$A:$AN,MATCH(yoy!$X$1,Data!$A$1:$AN$1,),)=0,"#N/A",(((VLOOKUP(B63,Data!$A:$AN,MATCH(yoy!$X$1,Data!$A$1:$AN$1,),)-VLOOKUP(A63,Data!$A:$AN,MATCH(yoy!$X$1,Data!$A$1:$AN$1,),))/VLOOKUP(A63,Data!$A:$AN,MATCH(yoy!$X$1,Data!$A$1:$AN$1,),))+1)^12-1)</f>
        <v/>
      </c>
      <c r="Y63" s="14">
        <f>IF(VLOOKUP(B63,Data!$A:$AN,MATCH(yoy!$Y$1,Data!$A$1:$AN$1,),)=0,"#N/A",(((VLOOKUP(B63,Data!$A:$AN,MATCH(yoy!$Y$1,Data!$A$1:$AN$1,),)-VLOOKUP(A63,Data!$A:$AN,MATCH(yoy!$Y$1,Data!$A$1:$AN$1,),))/VLOOKUP(A63,Data!$A:$AN,MATCH(yoy!$Y$1,Data!$A$1:$AN$1,),))+1)^12-1)</f>
        <v/>
      </c>
      <c r="Z63" s="14">
        <f>IF(VLOOKUP(B63,Data!$A:$AN,MATCH(yoy!$Z$1,Data!$A$1:$AN$1,),)=0,"#N/A",(((VLOOKUP(B63,Data!$A:$AN,MATCH(yoy!$Z$1,Data!$A$1:$AN$1,),)-VLOOKUP(A63,Data!$A:$AN,MATCH(yoy!$Z$1,Data!$A$1:$AN$1,),))/VLOOKUP(A63,Data!$A:$AN,MATCH(yoy!$Z$1,Data!$A$1:$AN$1,),))+1)^12-1)</f>
        <v/>
      </c>
      <c r="AA63" s="14">
        <f>IF(VLOOKUP(B63,Data!$A:$AN,MATCH(yoy!$AA$1,Data!$A$1:$AN$1,),)=0,"#N/A",(((VLOOKUP(B63,Data!$A:$AN,MATCH(yoy!$AA$1,Data!$A$1:$AN$1,),)-VLOOKUP(A63,Data!$A:$AN,MATCH(yoy!$AA$1,Data!$A$1:$AN$1,),))/VLOOKUP(A63,Data!$A:$AN,MATCH(yoy!$AA$1,Data!$A$1:$AN$1,),))+1)^12-1)</f>
        <v/>
      </c>
    </row>
    <row r="64" customFormat="1" s="77">
      <c r="A64" s="20">
        <f>DATE(YEAR(B64),MONTH(B64)-1,DAY(B64))</f>
        <v/>
      </c>
      <c r="B64" s="12" t="n">
        <v>43800</v>
      </c>
      <c r="C64" s="14">
        <f>IF(VLOOKUP(B64,Data!$A:$AN,MATCH(yoy!$C$1,Data!$A$1:$AN$1,),)=0,"#N/A",(((VLOOKUP(B64,Data!$A:$AN,MATCH(yoy!$C$1,Data!$A$1:$AN$1,),)-VLOOKUP(A64,Data!$A:$AN,MATCH(yoy!$C$1,Data!$A$1:$AN$1,),))/VLOOKUP(A64,Data!$A:$AN,MATCH(yoy!$C$1,Data!$A$1:$AN$1,),))+1)^12-1)</f>
        <v/>
      </c>
      <c r="D64" s="14">
        <f>IF(VLOOKUP(B64,Data!$A:$AN,MATCH(yoy!$D$1,Data!$A$1:$AN$1,),)=0,"#N/A",(((VLOOKUP(B64,Data!$A:$AN,MATCH(yoy!$D$1,Data!$A$1:$AN$1,),)-VLOOKUP(A64,Data!$A:$AN,MATCH(yoy!$D$1,Data!$A$1:$AN$1,),))/VLOOKUP(A64,Data!$A:$AN,MATCH(yoy!$D$1,Data!$A$1:$AN$1,),))+1)^12-1)</f>
        <v/>
      </c>
      <c r="E64" s="14">
        <f>IF(VLOOKUP(B64,Data!$A:$AN,MATCH(yoy!$E$1,Data!$A$1:$AN$1,),)=0,"#N/A",(((VLOOKUP(B64,Data!$A:$AN,MATCH(yoy!$E$1,Data!$A$1:$AN$1,),)-VLOOKUP(A64,Data!$A:$AN,MATCH(yoy!$E$1,Data!$A$1:$AN$1,),))/VLOOKUP(A64,Data!$A:$AN,MATCH(yoy!$E$1,Data!$A$1:$AN$1,),))+1)^12-1)</f>
        <v/>
      </c>
      <c r="F64" s="14">
        <f>IF(VLOOKUP(B64,Data!$A:$AN,MATCH(yoy!$F$1,Data!$A$1:$AN$1,),)=0,"#N/A",(((VLOOKUP(B64,Data!$A:$AN,MATCH(yoy!$F$1,Data!$A$1:$AN$1,),)-VLOOKUP(A64,Data!$A:$AN,MATCH(yoy!$F$1,Data!$A$1:$AN$1,),))/VLOOKUP(A64,Data!$A:$AN,MATCH(yoy!$F$1,Data!$A$1:$AN$1,),))+1)^12-1)</f>
        <v/>
      </c>
      <c r="G64" s="14">
        <f>IF(VLOOKUP(B64,Data!$A:$AN,MATCH(yoy!$G$1,Data!$A$1:$AN$1,),)=0,"#N/A",(((VLOOKUP(B64,Data!$A:$AN,MATCH(yoy!$G$1,Data!$A$1:$AN$1,),)-VLOOKUP(A64,Data!$A:$AN,MATCH(yoy!$G$1,Data!$A$1:$AN$1,),))/VLOOKUP(A64,Data!$A:$AN,MATCH(yoy!$G$1,Data!$A$1:$AN$1,),))+1)^12-1)</f>
        <v/>
      </c>
      <c r="H64" s="14">
        <f>IF(VLOOKUP(B64,Data!$A:$AN,MATCH(yoy!$H$1,Data!$A$1:$AN$1,),)=0,"#N/A",(((VLOOKUP(B64,Data!$A:$AN,MATCH(yoy!$H$1,Data!$A$1:$AN$1,),)-VLOOKUP(A64,Data!$A:$AN,MATCH(yoy!$H$1,Data!$A$1:$AN$1,),))/VLOOKUP(A64,Data!$A:$AN,MATCH(yoy!$H$1,Data!$A$1:$AN$1,),))+1)^12-1)</f>
        <v/>
      </c>
      <c r="I64" s="14">
        <f>IF(VLOOKUP(B64,Data!$A:$AN,MATCH(yoy!$I$1,Data!$A$1:$AN$1,),)=0,"#N/A",(((VLOOKUP(B64,Data!$A:$AN,MATCH(yoy!$I$1,Data!$A$1:$AN$1,),)-VLOOKUP(A64,Data!$A:$AN,MATCH(yoy!$I$1,Data!$A$1:$AN$1,),))/VLOOKUP(A64,Data!$A:$AN,MATCH(yoy!$I$1,Data!$A$1:$AN$1,),))+1)^12-1)</f>
        <v/>
      </c>
      <c r="J64" s="14">
        <f>IF(VLOOKUP(B64,Data!$A:$AN,MATCH(yoy!$J$1,Data!$A$1:$AN$1,),)=0,"#N/A",(((VLOOKUP(B64,Data!$A:$AN,MATCH(yoy!$J$1,Data!$A$1:$AN$1,),)-VLOOKUP(A64,Data!$A:$AN,MATCH(yoy!$J$1,Data!$A$1:$AN$1,),))/VLOOKUP(A64,Data!$A:$AN,MATCH(yoy!$J$1,Data!$A$1:$AN$1,),))+1)^12-1)</f>
        <v/>
      </c>
      <c r="K64" s="14">
        <f>IF(VLOOKUP(B64,Data!$A:$AN,MATCH(yoy!$K$1,Data!$A$1:$AN$1,),)=0,"#N/A",(((VLOOKUP(B64,Data!$A:$AN,MATCH(yoy!$K$1,Data!$A$1:$AN$1,),)-VLOOKUP(A64,Data!$A:$AN,MATCH(yoy!$K$1,Data!$A$1:$AN$1,),))/VLOOKUP(A64,Data!$A:$AN,MATCH(yoy!$K$1,Data!$A$1:$AN$1,),))+1)^12-1)</f>
        <v/>
      </c>
      <c r="L64" s="14">
        <f>IF(VLOOKUP(B64,Data!$A:$AN,MATCH(yoy!$L$1,Data!$A$1:$AN$1,),)=0,"#N/A",(((VLOOKUP(B64,Data!$A:$AN,MATCH(yoy!$L$1,Data!$A$1:$AN$1,),)-VLOOKUP(A64,Data!$A:$AN,MATCH(yoy!$L$1,Data!$A$1:$AN$1,),))/VLOOKUP(A64,Data!$A:$AN,MATCH(yoy!$L$1,Data!$A$1:$AN$1,),))+1)^12-1)</f>
        <v/>
      </c>
      <c r="M64" s="14">
        <f>IF(VLOOKUP(B64,Data!$A:$AN,MATCH(yoy!$M$1,Data!$A$1:$AN$1,),)=0,"#N/A",(((VLOOKUP(B64,Data!$A:$AN,MATCH(yoy!$M$1,Data!$A$1:$AN$1,),)-VLOOKUP(A64,Data!$A:$AN,MATCH(yoy!$M$1,Data!$A$1:$AN$1,),))/VLOOKUP(A64,Data!$A:$AN,MATCH(yoy!$M$1,Data!$A$1:$AN$1,),))+1)^12-1)</f>
        <v/>
      </c>
      <c r="N64" s="14">
        <f>IF(VLOOKUP(B64,Data!$A:$AN,MATCH(yoy!$N$1,Data!$A$1:$AN$1,),)=0,"#N/A",(((VLOOKUP(B64,Data!$A:$AN,MATCH(yoy!$N$1,Data!$A$1:$AN$1,),)-VLOOKUP(A64,Data!$A:$AN,MATCH(yoy!$N$1,Data!$A$1:$AN$1,),))/VLOOKUP(A64,Data!$A:$AN,MATCH(yoy!$N$1,Data!$A$1:$AN$1,),))+1)^12-1)</f>
        <v/>
      </c>
      <c r="O64" s="14">
        <f>IF(VLOOKUP(B64,Data!$A:$AN,MATCH(yoy!$O$1,Data!$A$1:$AN$1,),)=0,"#N/A",(((VLOOKUP(B64,Data!$A:$AN,MATCH(yoy!$O$1,Data!$A$1:$AN$1,),)-VLOOKUP(A64,Data!$A:$AN,MATCH(yoy!$O$1,Data!$A$1:$AN$1,),))/VLOOKUP(A64,Data!$A:$AN,MATCH(yoy!$O$1,Data!$A$1:$AN$1,),))+1)^12-1)</f>
        <v/>
      </c>
      <c r="P64" s="14">
        <f>IF(VLOOKUP(B64,Data!$A:$AN,MATCH(yoy!$P$1,Data!$A$1:$AN$1,),)=0,"#N/A",(((VLOOKUP(B64,Data!$A:$AN,MATCH(yoy!$P$1,Data!$A$1:$AN$1,),)-VLOOKUP(A64,Data!$A:$AN,MATCH(yoy!$P$1,Data!$A$1:$AN$1,),))/VLOOKUP(A64,Data!$A:$AN,MATCH(yoy!$P$1,Data!$A$1:$AN$1,),))+1)^12-1)</f>
        <v/>
      </c>
      <c r="Q64" s="14">
        <f>IF(VLOOKUP(B64,Data!$A:$AN,MATCH(yoy!$Q$1,Data!$A$1:$AN$1,),)=0,"#N/A",(((VLOOKUP(B64,Data!$A:$AN,MATCH(yoy!$Q$1,Data!$A$1:$AN$1,),)-VLOOKUP(A64,Data!$A:$AN,MATCH(yoy!$Q$1,Data!$A$1:$AN$1,),))/VLOOKUP(A64,Data!$A:$AN,MATCH(yoy!$Q$1,Data!$A$1:$AN$1,),))+1)^12-1)</f>
        <v/>
      </c>
      <c r="R64" s="14">
        <f>IF(VLOOKUP(B64,Data!$A:$AN,MATCH(yoy!$R$1,Data!$A$1:$AN$1,),)=0,"#N/A",(((VLOOKUP(B64,Data!$A:$AN,MATCH(yoy!$R$1,Data!$A$1:$AN$1,),)-VLOOKUP(A64,Data!$A:$AN,MATCH(yoy!$R$1,Data!$A$1:$AN$1,),))/VLOOKUP(A64,Data!$A:$AN,MATCH(yoy!$R$1,Data!$A$1:$AN$1,),))+1)^12-1)</f>
        <v/>
      </c>
      <c r="S64" s="14">
        <f>IF(VLOOKUP(B64,Data!$A:$AN,MATCH(yoy!$S$1,Data!$A$1:$AN$1,),)=0,"#N/A",(((VLOOKUP(B64,Data!$A:$AN,MATCH(yoy!$S$1,Data!$A$1:$AN$1,),)-VLOOKUP(A64,Data!$A:$AN,MATCH(yoy!$S$1,Data!$A$1:$AN$1,),))/VLOOKUP(A64,Data!$A:$AN,MATCH(yoy!$S$1,Data!$A$1:$AN$1,),))+1)^12-1)</f>
        <v/>
      </c>
      <c r="T64" s="14">
        <f>IF(VLOOKUP(B64,Data!$A:$AN,MATCH(yoy!$T$1,Data!$A$1:$AN$1,),)=0,"#N/A",(((VLOOKUP(B64,Data!$A:$AN,MATCH(yoy!$T$1,Data!$A$1:$AN$1,),)-VLOOKUP(A64,Data!$A:$AN,MATCH(yoy!$T$1,Data!$A$1:$AN$1,),))/VLOOKUP(A64,Data!$A:$AN,MATCH(yoy!$T$1,Data!$A$1:$AN$1,),))+1)^12-1)</f>
        <v/>
      </c>
      <c r="U64" s="14">
        <f>IF(VLOOKUP(B64,Data!$A:$AN,MATCH(yoy!$U$1,Data!$A$1:$AN$1,),)=0,"#N/A",(((VLOOKUP(B64,Data!$A:$AN,MATCH(yoy!$U$1,Data!$A$1:$AN$1,),)-VLOOKUP(A64,Data!$A:$AN,MATCH(yoy!$U$1,Data!$A$1:$AN$1,),))/VLOOKUP(A64,Data!$A:$AN,MATCH(yoy!$U$1,Data!$A$1:$AN$1,),))+1)^12-1)</f>
        <v/>
      </c>
      <c r="V64" s="14">
        <f>IF(VLOOKUP(B64,Data!$A:$AN,MATCH(yoy!$V$1,Data!$A$1:$AN$1,),)=0,"#N/A",(((VLOOKUP(B64,Data!$A:$AN,MATCH(yoy!$V$1,Data!$A$1:$AN$1,),)-VLOOKUP(A64,Data!$A:$AN,MATCH(yoy!$V$1,Data!$A$1:$AN$1,),))/VLOOKUP(A64,Data!$A:$AN,MATCH(yoy!$V$1,Data!$A$1:$AN$1,),))+1)^12-1)</f>
        <v/>
      </c>
      <c r="W64" s="14">
        <f>IF(VLOOKUP(B64,Data!$A:$AN,MATCH(yoy!$W$1,Data!$A$1:$AN$1,),)=0,"#N/A",(((VLOOKUP(B64,Data!$A:$AN,MATCH(yoy!$W$1,Data!$A$1:$AN$1,),)-VLOOKUP(A64,Data!$A:$AN,MATCH(yoy!$W$1,Data!$A$1:$AN$1,),))/VLOOKUP(A64,Data!$A:$AN,MATCH(yoy!$W$1,Data!$A$1:$AN$1,),))+1)^12-1)</f>
        <v/>
      </c>
      <c r="X64" s="14">
        <f>IF(VLOOKUP(B64,Data!$A:$AN,MATCH(yoy!$X$1,Data!$A$1:$AN$1,),)=0,"#N/A",(((VLOOKUP(B64,Data!$A:$AN,MATCH(yoy!$X$1,Data!$A$1:$AN$1,),)-VLOOKUP(A64,Data!$A:$AN,MATCH(yoy!$X$1,Data!$A$1:$AN$1,),))/VLOOKUP(A64,Data!$A:$AN,MATCH(yoy!$X$1,Data!$A$1:$AN$1,),))+1)^12-1)</f>
        <v/>
      </c>
      <c r="Y64" s="14">
        <f>IF(VLOOKUP(B64,Data!$A:$AN,MATCH(yoy!$Y$1,Data!$A$1:$AN$1,),)=0,"#N/A",(((VLOOKUP(B64,Data!$A:$AN,MATCH(yoy!$Y$1,Data!$A$1:$AN$1,),)-VLOOKUP(A64,Data!$A:$AN,MATCH(yoy!$Y$1,Data!$A$1:$AN$1,),))/VLOOKUP(A64,Data!$A:$AN,MATCH(yoy!$Y$1,Data!$A$1:$AN$1,),))+1)^12-1)</f>
        <v/>
      </c>
      <c r="Z64" s="14">
        <f>IF(VLOOKUP(B64,Data!$A:$AN,MATCH(yoy!$Z$1,Data!$A$1:$AN$1,),)=0,"#N/A",(((VLOOKUP(B64,Data!$A:$AN,MATCH(yoy!$Z$1,Data!$A$1:$AN$1,),)-VLOOKUP(A64,Data!$A:$AN,MATCH(yoy!$Z$1,Data!$A$1:$AN$1,),))/VLOOKUP(A64,Data!$A:$AN,MATCH(yoy!$Z$1,Data!$A$1:$AN$1,),))+1)^12-1)</f>
        <v/>
      </c>
      <c r="AA64" s="14">
        <f>IF(VLOOKUP(B64,Data!$A:$AN,MATCH(yoy!$AA$1,Data!$A$1:$AN$1,),)=0,"#N/A",(((VLOOKUP(B64,Data!$A:$AN,MATCH(yoy!$AA$1,Data!$A$1:$AN$1,),)-VLOOKUP(A64,Data!$A:$AN,MATCH(yoy!$AA$1,Data!$A$1:$AN$1,),))/VLOOKUP(A64,Data!$A:$AN,MATCH(yoy!$AA$1,Data!$A$1:$AN$1,),))+1)^12-1)</f>
        <v/>
      </c>
    </row>
    <row r="65" customFormat="1" s="77">
      <c r="A65" s="20">
        <f>DATE(YEAR(B65),MONTH(B65)-1,DAY(B65))</f>
        <v/>
      </c>
      <c r="B65" s="12" t="n">
        <v>43831</v>
      </c>
      <c r="C65" s="14">
        <f>IF(VLOOKUP(B65,Data!$A:$AN,MATCH(yoy!$C$1,Data!$A$1:$AN$1,),)=0,"#N/A",(((VLOOKUP(B65,Data!$A:$AN,MATCH(yoy!$C$1,Data!$A$1:$AN$1,),)-VLOOKUP(A65,Data!$A:$AN,MATCH(yoy!$C$1,Data!$A$1:$AN$1,),))/VLOOKUP(A65,Data!$A:$AN,MATCH(yoy!$C$1,Data!$A$1:$AN$1,),))+1)^12-1)</f>
        <v/>
      </c>
      <c r="D65" s="14">
        <f>IF(VLOOKUP(B65,Data!$A:$AN,MATCH(yoy!$D$1,Data!$A$1:$AN$1,),)=0,"#N/A",(((VLOOKUP(B65,Data!$A:$AN,MATCH(yoy!$D$1,Data!$A$1:$AN$1,),)-VLOOKUP(A65,Data!$A:$AN,MATCH(yoy!$D$1,Data!$A$1:$AN$1,),))/VLOOKUP(A65,Data!$A:$AN,MATCH(yoy!$D$1,Data!$A$1:$AN$1,),))+1)^12-1)</f>
        <v/>
      </c>
      <c r="E65" s="14">
        <f>IF(VLOOKUP(B65,Data!$A:$AN,MATCH(yoy!$E$1,Data!$A$1:$AN$1,),)=0,"#N/A",(((VLOOKUP(B65,Data!$A:$AN,MATCH(yoy!$E$1,Data!$A$1:$AN$1,),)-VLOOKUP(A65,Data!$A:$AN,MATCH(yoy!$E$1,Data!$A$1:$AN$1,),))/VLOOKUP(A65,Data!$A:$AN,MATCH(yoy!$E$1,Data!$A$1:$AN$1,),))+1)^12-1)</f>
        <v/>
      </c>
      <c r="F65" s="14">
        <f>IF(VLOOKUP(B65,Data!$A:$AN,MATCH(yoy!$F$1,Data!$A$1:$AN$1,),)=0,"#N/A",(((VLOOKUP(B65,Data!$A:$AN,MATCH(yoy!$F$1,Data!$A$1:$AN$1,),)-VLOOKUP(A65,Data!$A:$AN,MATCH(yoy!$F$1,Data!$A$1:$AN$1,),))/VLOOKUP(A65,Data!$A:$AN,MATCH(yoy!$F$1,Data!$A$1:$AN$1,),))+1)^12-1)</f>
        <v/>
      </c>
      <c r="G65" s="14">
        <f>IF(VLOOKUP(B65,Data!$A:$AN,MATCH(yoy!$G$1,Data!$A$1:$AN$1,),)=0,"#N/A",(((VLOOKUP(B65,Data!$A:$AN,MATCH(yoy!$G$1,Data!$A$1:$AN$1,),)-VLOOKUP(A65,Data!$A:$AN,MATCH(yoy!$G$1,Data!$A$1:$AN$1,),))/VLOOKUP(A65,Data!$A:$AN,MATCH(yoy!$G$1,Data!$A$1:$AN$1,),))+1)^12-1)</f>
        <v/>
      </c>
      <c r="H65" s="14">
        <f>IF(VLOOKUP(B65,Data!$A:$AN,MATCH(yoy!$H$1,Data!$A$1:$AN$1,),)=0,"#N/A",(((VLOOKUP(B65,Data!$A:$AN,MATCH(yoy!$H$1,Data!$A$1:$AN$1,),)-VLOOKUP(A65,Data!$A:$AN,MATCH(yoy!$H$1,Data!$A$1:$AN$1,),))/VLOOKUP(A65,Data!$A:$AN,MATCH(yoy!$H$1,Data!$A$1:$AN$1,),))+1)^12-1)</f>
        <v/>
      </c>
      <c r="I65" s="14">
        <f>IF(VLOOKUP(B65,Data!$A:$AN,MATCH(yoy!$I$1,Data!$A$1:$AN$1,),)=0,"#N/A",(((VLOOKUP(B65,Data!$A:$AN,MATCH(yoy!$I$1,Data!$A$1:$AN$1,),)-VLOOKUP(A65,Data!$A:$AN,MATCH(yoy!$I$1,Data!$A$1:$AN$1,),))/VLOOKUP(A65,Data!$A:$AN,MATCH(yoy!$I$1,Data!$A$1:$AN$1,),))+1)^12-1)</f>
        <v/>
      </c>
      <c r="J65" s="14">
        <f>IF(VLOOKUP(B65,Data!$A:$AN,MATCH(yoy!$J$1,Data!$A$1:$AN$1,),)=0,"#N/A",(((VLOOKUP(B65,Data!$A:$AN,MATCH(yoy!$J$1,Data!$A$1:$AN$1,),)-VLOOKUP(A65,Data!$A:$AN,MATCH(yoy!$J$1,Data!$A$1:$AN$1,),))/VLOOKUP(A65,Data!$A:$AN,MATCH(yoy!$J$1,Data!$A$1:$AN$1,),))+1)^12-1)</f>
        <v/>
      </c>
      <c r="K65" s="14">
        <f>IF(VLOOKUP(B65,Data!$A:$AN,MATCH(yoy!$K$1,Data!$A$1:$AN$1,),)=0,"#N/A",(((VLOOKUP(B65,Data!$A:$AN,MATCH(yoy!$K$1,Data!$A$1:$AN$1,),)-VLOOKUP(A65,Data!$A:$AN,MATCH(yoy!$K$1,Data!$A$1:$AN$1,),))/VLOOKUP(A65,Data!$A:$AN,MATCH(yoy!$K$1,Data!$A$1:$AN$1,),))+1)^12-1)</f>
        <v/>
      </c>
      <c r="L65" s="14">
        <f>IF(VLOOKUP(B65,Data!$A:$AN,MATCH(yoy!$L$1,Data!$A$1:$AN$1,),)=0,"#N/A",(((VLOOKUP(B65,Data!$A:$AN,MATCH(yoy!$L$1,Data!$A$1:$AN$1,),)-VLOOKUP(A65,Data!$A:$AN,MATCH(yoy!$L$1,Data!$A$1:$AN$1,),))/VLOOKUP(A65,Data!$A:$AN,MATCH(yoy!$L$1,Data!$A$1:$AN$1,),))+1)^12-1)</f>
        <v/>
      </c>
      <c r="M65" s="14">
        <f>IF(VLOOKUP(B65,Data!$A:$AN,MATCH(yoy!$M$1,Data!$A$1:$AN$1,),)=0,"#N/A",(((VLOOKUP(B65,Data!$A:$AN,MATCH(yoy!$M$1,Data!$A$1:$AN$1,),)-VLOOKUP(A65,Data!$A:$AN,MATCH(yoy!$M$1,Data!$A$1:$AN$1,),))/VLOOKUP(A65,Data!$A:$AN,MATCH(yoy!$M$1,Data!$A$1:$AN$1,),))+1)^12-1)</f>
        <v/>
      </c>
      <c r="N65" s="14">
        <f>IF(VLOOKUP(B65,Data!$A:$AN,MATCH(yoy!$N$1,Data!$A$1:$AN$1,),)=0,"#N/A",(((VLOOKUP(B65,Data!$A:$AN,MATCH(yoy!$N$1,Data!$A$1:$AN$1,),)-VLOOKUP(A65,Data!$A:$AN,MATCH(yoy!$N$1,Data!$A$1:$AN$1,),))/VLOOKUP(A65,Data!$A:$AN,MATCH(yoy!$N$1,Data!$A$1:$AN$1,),))+1)^12-1)</f>
        <v/>
      </c>
      <c r="O65" s="14">
        <f>IF(VLOOKUP(B65,Data!$A:$AN,MATCH(yoy!$O$1,Data!$A$1:$AN$1,),)=0,"#N/A",(((VLOOKUP(B65,Data!$A:$AN,MATCH(yoy!$O$1,Data!$A$1:$AN$1,),)-VLOOKUP(A65,Data!$A:$AN,MATCH(yoy!$O$1,Data!$A$1:$AN$1,),))/VLOOKUP(A65,Data!$A:$AN,MATCH(yoy!$O$1,Data!$A$1:$AN$1,),))+1)^12-1)</f>
        <v/>
      </c>
      <c r="P65" s="14">
        <f>IF(VLOOKUP(B65,Data!$A:$AN,MATCH(yoy!$P$1,Data!$A$1:$AN$1,),)=0,"#N/A",(((VLOOKUP(B65,Data!$A:$AN,MATCH(yoy!$P$1,Data!$A$1:$AN$1,),)-VLOOKUP(A65,Data!$A:$AN,MATCH(yoy!$P$1,Data!$A$1:$AN$1,),))/VLOOKUP(A65,Data!$A:$AN,MATCH(yoy!$P$1,Data!$A$1:$AN$1,),))+1)^12-1)</f>
        <v/>
      </c>
      <c r="Q65" s="14">
        <f>IF(VLOOKUP(B65,Data!$A:$AN,MATCH(yoy!$Q$1,Data!$A$1:$AN$1,),)=0,"#N/A",(((VLOOKUP(B65,Data!$A:$AN,MATCH(yoy!$Q$1,Data!$A$1:$AN$1,),)-VLOOKUP(A65,Data!$A:$AN,MATCH(yoy!$Q$1,Data!$A$1:$AN$1,),))/VLOOKUP(A65,Data!$A:$AN,MATCH(yoy!$Q$1,Data!$A$1:$AN$1,),))+1)^12-1)</f>
        <v/>
      </c>
      <c r="R65" s="14">
        <f>IF(VLOOKUP(B65,Data!$A:$AN,MATCH(yoy!$R$1,Data!$A$1:$AN$1,),)=0,"#N/A",(((VLOOKUP(B65,Data!$A:$AN,MATCH(yoy!$R$1,Data!$A$1:$AN$1,),)-VLOOKUP(A65,Data!$A:$AN,MATCH(yoy!$R$1,Data!$A$1:$AN$1,),))/VLOOKUP(A65,Data!$A:$AN,MATCH(yoy!$R$1,Data!$A$1:$AN$1,),))+1)^12-1)</f>
        <v/>
      </c>
      <c r="S65" s="14">
        <f>IF(VLOOKUP(B65,Data!$A:$AN,MATCH(yoy!$S$1,Data!$A$1:$AN$1,),)=0,"#N/A",(((VLOOKUP(B65,Data!$A:$AN,MATCH(yoy!$S$1,Data!$A$1:$AN$1,),)-VLOOKUP(A65,Data!$A:$AN,MATCH(yoy!$S$1,Data!$A$1:$AN$1,),))/VLOOKUP(A65,Data!$A:$AN,MATCH(yoy!$S$1,Data!$A$1:$AN$1,),))+1)^12-1)</f>
        <v/>
      </c>
      <c r="T65" s="14">
        <f>IF(VLOOKUP(B65,Data!$A:$AN,MATCH(yoy!$T$1,Data!$A$1:$AN$1,),)=0,"#N/A",(((VLOOKUP(B65,Data!$A:$AN,MATCH(yoy!$T$1,Data!$A$1:$AN$1,),)-VLOOKUP(A65,Data!$A:$AN,MATCH(yoy!$T$1,Data!$A$1:$AN$1,),))/VLOOKUP(A65,Data!$A:$AN,MATCH(yoy!$T$1,Data!$A$1:$AN$1,),))+1)^12-1)</f>
        <v/>
      </c>
      <c r="U65" s="14">
        <f>IF(VLOOKUP(B65,Data!$A:$AN,MATCH(yoy!$U$1,Data!$A$1:$AN$1,),)=0,"#N/A",(((VLOOKUP(B65,Data!$A:$AN,MATCH(yoy!$U$1,Data!$A$1:$AN$1,),)-VLOOKUP(A65,Data!$A:$AN,MATCH(yoy!$U$1,Data!$A$1:$AN$1,),))/VLOOKUP(A65,Data!$A:$AN,MATCH(yoy!$U$1,Data!$A$1:$AN$1,),))+1)^12-1)</f>
        <v/>
      </c>
      <c r="V65" s="14">
        <f>IF(VLOOKUP(B65,Data!$A:$AN,MATCH(yoy!$V$1,Data!$A$1:$AN$1,),)=0,"#N/A",(((VLOOKUP(B65,Data!$A:$AN,MATCH(yoy!$V$1,Data!$A$1:$AN$1,),)-VLOOKUP(A65,Data!$A:$AN,MATCH(yoy!$V$1,Data!$A$1:$AN$1,),))/VLOOKUP(A65,Data!$A:$AN,MATCH(yoy!$V$1,Data!$A$1:$AN$1,),))+1)^12-1)</f>
        <v/>
      </c>
      <c r="W65" s="14">
        <f>IF(VLOOKUP(B65,Data!$A:$AN,MATCH(yoy!$W$1,Data!$A$1:$AN$1,),)=0,"#N/A",(((VLOOKUP(B65,Data!$A:$AN,MATCH(yoy!$W$1,Data!$A$1:$AN$1,),)-VLOOKUP(A65,Data!$A:$AN,MATCH(yoy!$W$1,Data!$A$1:$AN$1,),))/VLOOKUP(A65,Data!$A:$AN,MATCH(yoy!$W$1,Data!$A$1:$AN$1,),))+1)^12-1)</f>
        <v/>
      </c>
      <c r="X65" s="14">
        <f>IF(VLOOKUP(B65,Data!$A:$AN,MATCH(yoy!$X$1,Data!$A$1:$AN$1,),)=0,"#N/A",(((VLOOKUP(B65,Data!$A:$AN,MATCH(yoy!$X$1,Data!$A$1:$AN$1,),)-VLOOKUP(A65,Data!$A:$AN,MATCH(yoy!$X$1,Data!$A$1:$AN$1,),))/VLOOKUP(A65,Data!$A:$AN,MATCH(yoy!$X$1,Data!$A$1:$AN$1,),))+1)^12-1)</f>
        <v/>
      </c>
      <c r="Y65" s="14">
        <f>IF(VLOOKUP(B65,Data!$A:$AN,MATCH(yoy!$Y$1,Data!$A$1:$AN$1,),)=0,"#N/A",(((VLOOKUP(B65,Data!$A:$AN,MATCH(yoy!$Y$1,Data!$A$1:$AN$1,),)-VLOOKUP(A65,Data!$A:$AN,MATCH(yoy!$Y$1,Data!$A$1:$AN$1,),))/VLOOKUP(A65,Data!$A:$AN,MATCH(yoy!$Y$1,Data!$A$1:$AN$1,),))+1)^12-1)</f>
        <v/>
      </c>
      <c r="Z65" s="14">
        <f>IF(VLOOKUP(B65,Data!$A:$AN,MATCH(yoy!$Z$1,Data!$A$1:$AN$1,),)=0,"#N/A",(((VLOOKUP(B65,Data!$A:$AN,MATCH(yoy!$Z$1,Data!$A$1:$AN$1,),)-VLOOKUP(A65,Data!$A:$AN,MATCH(yoy!$Z$1,Data!$A$1:$AN$1,),))/VLOOKUP(A65,Data!$A:$AN,MATCH(yoy!$Z$1,Data!$A$1:$AN$1,),))+1)^12-1)</f>
        <v/>
      </c>
      <c r="AA65" s="14">
        <f>IF(VLOOKUP(B65,Data!$A:$AN,MATCH(yoy!$AA$1,Data!$A$1:$AN$1,),)=0,"#N/A",(((VLOOKUP(B65,Data!$A:$AN,MATCH(yoy!$AA$1,Data!$A$1:$AN$1,),)-VLOOKUP(A65,Data!$A:$AN,MATCH(yoy!$AA$1,Data!$A$1:$AN$1,),))/VLOOKUP(A65,Data!$A:$AN,MATCH(yoy!$AA$1,Data!$A$1:$AN$1,),))+1)^12-1)</f>
        <v/>
      </c>
    </row>
    <row r="66" customFormat="1" s="77">
      <c r="A66" s="20">
        <f>DATE(YEAR(B66),MONTH(B66)-1,DAY(B66))</f>
        <v/>
      </c>
      <c r="B66" s="12" t="n">
        <v>43862</v>
      </c>
      <c r="C66" s="14">
        <f>IF(VLOOKUP(B66,Data!$A:$AN,MATCH(yoy!$C$1,Data!$A$1:$AN$1,),)=0,"#N/A",(((VLOOKUP(B66,Data!$A:$AN,MATCH(yoy!$C$1,Data!$A$1:$AN$1,),)-VLOOKUP(A66,Data!$A:$AN,MATCH(yoy!$C$1,Data!$A$1:$AN$1,),))/VLOOKUP(A66,Data!$A:$AN,MATCH(yoy!$C$1,Data!$A$1:$AN$1,),))+1)^12-1)</f>
        <v/>
      </c>
      <c r="D66" s="14">
        <f>IF(VLOOKUP(B66,Data!$A:$AN,MATCH(yoy!$D$1,Data!$A$1:$AN$1,),)=0,"#N/A",(((VLOOKUP(B66,Data!$A:$AN,MATCH(yoy!$D$1,Data!$A$1:$AN$1,),)-VLOOKUP(A66,Data!$A:$AN,MATCH(yoy!$D$1,Data!$A$1:$AN$1,),))/VLOOKUP(A66,Data!$A:$AN,MATCH(yoy!$D$1,Data!$A$1:$AN$1,),))+1)^12-1)</f>
        <v/>
      </c>
      <c r="E66" s="14">
        <f>IF(VLOOKUP(B66,Data!$A:$AN,MATCH(yoy!$E$1,Data!$A$1:$AN$1,),)=0,"#N/A",(((VLOOKUP(B66,Data!$A:$AN,MATCH(yoy!$E$1,Data!$A$1:$AN$1,),)-VLOOKUP(A66,Data!$A:$AN,MATCH(yoy!$E$1,Data!$A$1:$AN$1,),))/VLOOKUP(A66,Data!$A:$AN,MATCH(yoy!$E$1,Data!$A$1:$AN$1,),))+1)^12-1)</f>
        <v/>
      </c>
      <c r="F66" s="14">
        <f>IF(VLOOKUP(B66,Data!$A:$AN,MATCH(yoy!$F$1,Data!$A$1:$AN$1,),)=0,"#N/A",(((VLOOKUP(B66,Data!$A:$AN,MATCH(yoy!$F$1,Data!$A$1:$AN$1,),)-VLOOKUP(A66,Data!$A:$AN,MATCH(yoy!$F$1,Data!$A$1:$AN$1,),))/VLOOKUP(A66,Data!$A:$AN,MATCH(yoy!$F$1,Data!$A$1:$AN$1,),))+1)^12-1)</f>
        <v/>
      </c>
      <c r="G66" s="14">
        <f>IF(VLOOKUP(B66,Data!$A:$AN,MATCH(yoy!$G$1,Data!$A$1:$AN$1,),)=0,"#N/A",(((VLOOKUP(B66,Data!$A:$AN,MATCH(yoy!$G$1,Data!$A$1:$AN$1,),)-VLOOKUP(A66,Data!$A:$AN,MATCH(yoy!$G$1,Data!$A$1:$AN$1,),))/VLOOKUP(A66,Data!$A:$AN,MATCH(yoy!$G$1,Data!$A$1:$AN$1,),))+1)^12-1)</f>
        <v/>
      </c>
      <c r="H66" s="14">
        <f>IF(VLOOKUP(B66,Data!$A:$AN,MATCH(yoy!$H$1,Data!$A$1:$AN$1,),)=0,"#N/A",(((VLOOKUP(B66,Data!$A:$AN,MATCH(yoy!$H$1,Data!$A$1:$AN$1,),)-VLOOKUP(A66,Data!$A:$AN,MATCH(yoy!$H$1,Data!$A$1:$AN$1,),))/VLOOKUP(A66,Data!$A:$AN,MATCH(yoy!$H$1,Data!$A$1:$AN$1,),))+1)^12-1)</f>
        <v/>
      </c>
      <c r="I66" s="14">
        <f>IF(VLOOKUP(B66,Data!$A:$AN,MATCH(yoy!$I$1,Data!$A$1:$AN$1,),)=0,"#N/A",(((VLOOKUP(B66,Data!$A:$AN,MATCH(yoy!$I$1,Data!$A$1:$AN$1,),)-VLOOKUP(A66,Data!$A:$AN,MATCH(yoy!$I$1,Data!$A$1:$AN$1,),))/VLOOKUP(A66,Data!$A:$AN,MATCH(yoy!$I$1,Data!$A$1:$AN$1,),))+1)^12-1)</f>
        <v/>
      </c>
      <c r="J66" s="14">
        <f>IF(VLOOKUP(B66,Data!$A:$AN,MATCH(yoy!$J$1,Data!$A$1:$AN$1,),)=0,"#N/A",(((VLOOKUP(B66,Data!$A:$AN,MATCH(yoy!$J$1,Data!$A$1:$AN$1,),)-VLOOKUP(A66,Data!$A:$AN,MATCH(yoy!$J$1,Data!$A$1:$AN$1,),))/VLOOKUP(A66,Data!$A:$AN,MATCH(yoy!$J$1,Data!$A$1:$AN$1,),))+1)^12-1)</f>
        <v/>
      </c>
      <c r="K66" s="14">
        <f>IF(VLOOKUP(B66,Data!$A:$AN,MATCH(yoy!$K$1,Data!$A$1:$AN$1,),)=0,"#N/A",(((VLOOKUP(B66,Data!$A:$AN,MATCH(yoy!$K$1,Data!$A$1:$AN$1,),)-VLOOKUP(A66,Data!$A:$AN,MATCH(yoy!$K$1,Data!$A$1:$AN$1,),))/VLOOKUP(A66,Data!$A:$AN,MATCH(yoy!$K$1,Data!$A$1:$AN$1,),))+1)^12-1)</f>
        <v/>
      </c>
      <c r="L66" s="14">
        <f>IF(VLOOKUP(B66,Data!$A:$AN,MATCH(yoy!$L$1,Data!$A$1:$AN$1,),)=0,"#N/A",(((VLOOKUP(B66,Data!$A:$AN,MATCH(yoy!$L$1,Data!$A$1:$AN$1,),)-VLOOKUP(A66,Data!$A:$AN,MATCH(yoy!$L$1,Data!$A$1:$AN$1,),))/VLOOKUP(A66,Data!$A:$AN,MATCH(yoy!$L$1,Data!$A$1:$AN$1,),))+1)^12-1)</f>
        <v/>
      </c>
      <c r="M66" s="14">
        <f>IF(VLOOKUP(B66,Data!$A:$AN,MATCH(yoy!$M$1,Data!$A$1:$AN$1,),)=0,"#N/A",(((VLOOKUP(B66,Data!$A:$AN,MATCH(yoy!$M$1,Data!$A$1:$AN$1,),)-VLOOKUP(A66,Data!$A:$AN,MATCH(yoy!$M$1,Data!$A$1:$AN$1,),))/VLOOKUP(A66,Data!$A:$AN,MATCH(yoy!$M$1,Data!$A$1:$AN$1,),))+1)^12-1)</f>
        <v/>
      </c>
      <c r="N66" s="14">
        <f>IF(VLOOKUP(B66,Data!$A:$AN,MATCH(yoy!$N$1,Data!$A$1:$AN$1,),)=0,"#N/A",(((VLOOKUP(B66,Data!$A:$AN,MATCH(yoy!$N$1,Data!$A$1:$AN$1,),)-VLOOKUP(A66,Data!$A:$AN,MATCH(yoy!$N$1,Data!$A$1:$AN$1,),))/VLOOKUP(A66,Data!$A:$AN,MATCH(yoy!$N$1,Data!$A$1:$AN$1,),))+1)^12-1)</f>
        <v/>
      </c>
      <c r="O66" s="14">
        <f>IF(VLOOKUP(B66,Data!$A:$AN,MATCH(yoy!$O$1,Data!$A$1:$AN$1,),)=0,"#N/A",(((VLOOKUP(B66,Data!$A:$AN,MATCH(yoy!$O$1,Data!$A$1:$AN$1,),)-VLOOKUP(A66,Data!$A:$AN,MATCH(yoy!$O$1,Data!$A$1:$AN$1,),))/VLOOKUP(A66,Data!$A:$AN,MATCH(yoy!$O$1,Data!$A$1:$AN$1,),))+1)^12-1)</f>
        <v/>
      </c>
      <c r="P66" s="14">
        <f>IF(VLOOKUP(B66,Data!$A:$AN,MATCH(yoy!$P$1,Data!$A$1:$AN$1,),)=0,"#N/A",(((VLOOKUP(B66,Data!$A:$AN,MATCH(yoy!$P$1,Data!$A$1:$AN$1,),)-VLOOKUP(A66,Data!$A:$AN,MATCH(yoy!$P$1,Data!$A$1:$AN$1,),))/VLOOKUP(A66,Data!$A:$AN,MATCH(yoy!$P$1,Data!$A$1:$AN$1,),))+1)^12-1)</f>
        <v/>
      </c>
      <c r="Q66" s="14">
        <f>IF(VLOOKUP(B66,Data!$A:$AN,MATCH(yoy!$Q$1,Data!$A$1:$AN$1,),)=0,"#N/A",(((VLOOKUP(B66,Data!$A:$AN,MATCH(yoy!$Q$1,Data!$A$1:$AN$1,),)-VLOOKUP(A66,Data!$A:$AN,MATCH(yoy!$Q$1,Data!$A$1:$AN$1,),))/VLOOKUP(A66,Data!$A:$AN,MATCH(yoy!$Q$1,Data!$A$1:$AN$1,),))+1)^12-1)</f>
        <v/>
      </c>
      <c r="R66" s="14">
        <f>IF(VLOOKUP(B66,Data!$A:$AN,MATCH(yoy!$R$1,Data!$A$1:$AN$1,),)=0,"#N/A",(((VLOOKUP(B66,Data!$A:$AN,MATCH(yoy!$R$1,Data!$A$1:$AN$1,),)-VLOOKUP(A66,Data!$A:$AN,MATCH(yoy!$R$1,Data!$A$1:$AN$1,),))/VLOOKUP(A66,Data!$A:$AN,MATCH(yoy!$R$1,Data!$A$1:$AN$1,),))+1)^12-1)</f>
        <v/>
      </c>
      <c r="S66" s="14">
        <f>IF(VLOOKUP(B66,Data!$A:$AN,MATCH(yoy!$S$1,Data!$A$1:$AN$1,),)=0,"#N/A",(((VLOOKUP(B66,Data!$A:$AN,MATCH(yoy!$S$1,Data!$A$1:$AN$1,),)-VLOOKUP(A66,Data!$A:$AN,MATCH(yoy!$S$1,Data!$A$1:$AN$1,),))/VLOOKUP(A66,Data!$A:$AN,MATCH(yoy!$S$1,Data!$A$1:$AN$1,),))+1)^12-1)</f>
        <v/>
      </c>
      <c r="T66" s="14">
        <f>IF(VLOOKUP(B66,Data!$A:$AN,MATCH(yoy!$T$1,Data!$A$1:$AN$1,),)=0,"#N/A",(((VLOOKUP(B66,Data!$A:$AN,MATCH(yoy!$T$1,Data!$A$1:$AN$1,),)-VLOOKUP(A66,Data!$A:$AN,MATCH(yoy!$T$1,Data!$A$1:$AN$1,),))/VLOOKUP(A66,Data!$A:$AN,MATCH(yoy!$T$1,Data!$A$1:$AN$1,),))+1)^12-1)</f>
        <v/>
      </c>
      <c r="U66" s="14">
        <f>IF(VLOOKUP(B66,Data!$A:$AN,MATCH(yoy!$U$1,Data!$A$1:$AN$1,),)=0,"#N/A",(((VLOOKUP(B66,Data!$A:$AN,MATCH(yoy!$U$1,Data!$A$1:$AN$1,),)-VLOOKUP(A66,Data!$A:$AN,MATCH(yoy!$U$1,Data!$A$1:$AN$1,),))/VLOOKUP(A66,Data!$A:$AN,MATCH(yoy!$U$1,Data!$A$1:$AN$1,),))+1)^12-1)</f>
        <v/>
      </c>
      <c r="V66" s="14">
        <f>IF(VLOOKUP(B66,Data!$A:$AN,MATCH(yoy!$V$1,Data!$A$1:$AN$1,),)=0,"#N/A",(((VLOOKUP(B66,Data!$A:$AN,MATCH(yoy!$V$1,Data!$A$1:$AN$1,),)-VLOOKUP(A66,Data!$A:$AN,MATCH(yoy!$V$1,Data!$A$1:$AN$1,),))/VLOOKUP(A66,Data!$A:$AN,MATCH(yoy!$V$1,Data!$A$1:$AN$1,),))+1)^12-1)</f>
        <v/>
      </c>
      <c r="W66" s="14">
        <f>IF(VLOOKUP(B66,Data!$A:$AN,MATCH(yoy!$W$1,Data!$A$1:$AN$1,),)=0,"#N/A",(((VLOOKUP(B66,Data!$A:$AN,MATCH(yoy!$W$1,Data!$A$1:$AN$1,),)-VLOOKUP(A66,Data!$A:$AN,MATCH(yoy!$W$1,Data!$A$1:$AN$1,),))/VLOOKUP(A66,Data!$A:$AN,MATCH(yoy!$W$1,Data!$A$1:$AN$1,),))+1)^12-1)</f>
        <v/>
      </c>
      <c r="X66" s="14">
        <f>IF(VLOOKUP(B66,Data!$A:$AN,MATCH(yoy!$X$1,Data!$A$1:$AN$1,),)=0,"#N/A",(((VLOOKUP(B66,Data!$A:$AN,MATCH(yoy!$X$1,Data!$A$1:$AN$1,),)-VLOOKUP(A66,Data!$A:$AN,MATCH(yoy!$X$1,Data!$A$1:$AN$1,),))/VLOOKUP(A66,Data!$A:$AN,MATCH(yoy!$X$1,Data!$A$1:$AN$1,),))+1)^12-1)</f>
        <v/>
      </c>
      <c r="Y66" s="14">
        <f>IF(VLOOKUP(B66,Data!$A:$AN,MATCH(yoy!$Y$1,Data!$A$1:$AN$1,),)=0,"#N/A",(((VLOOKUP(B66,Data!$A:$AN,MATCH(yoy!$Y$1,Data!$A$1:$AN$1,),)-VLOOKUP(A66,Data!$A:$AN,MATCH(yoy!$Y$1,Data!$A$1:$AN$1,),))/VLOOKUP(A66,Data!$A:$AN,MATCH(yoy!$Y$1,Data!$A$1:$AN$1,),))+1)^12-1)</f>
        <v/>
      </c>
      <c r="Z66" s="14">
        <f>IF(VLOOKUP(B66,Data!$A:$AN,MATCH(yoy!$Z$1,Data!$A$1:$AN$1,),)=0,"#N/A",(((VLOOKUP(B66,Data!$A:$AN,MATCH(yoy!$Z$1,Data!$A$1:$AN$1,),)-VLOOKUP(A66,Data!$A:$AN,MATCH(yoy!$Z$1,Data!$A$1:$AN$1,),))/VLOOKUP(A66,Data!$A:$AN,MATCH(yoy!$Z$1,Data!$A$1:$AN$1,),))+1)^12-1)</f>
        <v/>
      </c>
      <c r="AA66" s="14">
        <f>IF(VLOOKUP(B66,Data!$A:$AN,MATCH(yoy!$AA$1,Data!$A$1:$AN$1,),)=0,"#N/A",(((VLOOKUP(B66,Data!$A:$AN,MATCH(yoy!$AA$1,Data!$A$1:$AN$1,),)-VLOOKUP(A66,Data!$A:$AN,MATCH(yoy!$AA$1,Data!$A$1:$AN$1,),))/VLOOKUP(A66,Data!$A:$AN,MATCH(yoy!$AA$1,Data!$A$1:$AN$1,),))+1)^12-1)</f>
        <v/>
      </c>
    </row>
    <row r="67" customFormat="1" s="77">
      <c r="A67" s="20">
        <f>DATE(YEAR(B67),MONTH(B67)-1,DAY(B67))</f>
        <v/>
      </c>
      <c r="B67" s="12" t="n">
        <v>43891</v>
      </c>
      <c r="C67" s="14">
        <f>IF(VLOOKUP(B67,Data!$A:$AN,MATCH(yoy!$C$1,Data!$A$1:$AN$1,),)=0,"#N/A",(((VLOOKUP(B67,Data!$A:$AN,MATCH(yoy!$C$1,Data!$A$1:$AN$1,),)-VLOOKUP(A67,Data!$A:$AN,MATCH(yoy!$C$1,Data!$A$1:$AN$1,),))/VLOOKUP(A67,Data!$A:$AN,MATCH(yoy!$C$1,Data!$A$1:$AN$1,),))+1)^12-1)</f>
        <v/>
      </c>
      <c r="D67" s="14">
        <f>IF(VLOOKUP(B67,Data!$A:$AN,MATCH(yoy!$D$1,Data!$A$1:$AN$1,),)=0,"#N/A",(((VLOOKUP(B67,Data!$A:$AN,MATCH(yoy!$D$1,Data!$A$1:$AN$1,),)-VLOOKUP(A67,Data!$A:$AN,MATCH(yoy!$D$1,Data!$A$1:$AN$1,),))/VLOOKUP(A67,Data!$A:$AN,MATCH(yoy!$D$1,Data!$A$1:$AN$1,),))+1)^12-1)</f>
        <v/>
      </c>
      <c r="E67" s="14">
        <f>IF(VLOOKUP(B67,Data!$A:$AN,MATCH(yoy!$E$1,Data!$A$1:$AN$1,),)=0,"#N/A",(((VLOOKUP(B67,Data!$A:$AN,MATCH(yoy!$E$1,Data!$A$1:$AN$1,),)-VLOOKUP(A67,Data!$A:$AN,MATCH(yoy!$E$1,Data!$A$1:$AN$1,),))/VLOOKUP(A67,Data!$A:$AN,MATCH(yoy!$E$1,Data!$A$1:$AN$1,),))+1)^12-1)</f>
        <v/>
      </c>
      <c r="F67" s="14">
        <f>IF(VLOOKUP(B67,Data!$A:$AN,MATCH(yoy!$F$1,Data!$A$1:$AN$1,),)=0,"#N/A",(((VLOOKUP(B67,Data!$A:$AN,MATCH(yoy!$F$1,Data!$A$1:$AN$1,),)-VLOOKUP(A67,Data!$A:$AN,MATCH(yoy!$F$1,Data!$A$1:$AN$1,),))/VLOOKUP(A67,Data!$A:$AN,MATCH(yoy!$F$1,Data!$A$1:$AN$1,),))+1)^12-1)</f>
        <v/>
      </c>
      <c r="G67" s="14">
        <f>IF(VLOOKUP(B67,Data!$A:$AN,MATCH(yoy!$G$1,Data!$A$1:$AN$1,),)=0,"#N/A",(((VLOOKUP(B67,Data!$A:$AN,MATCH(yoy!$G$1,Data!$A$1:$AN$1,),)-VLOOKUP(A67,Data!$A:$AN,MATCH(yoy!$G$1,Data!$A$1:$AN$1,),))/VLOOKUP(A67,Data!$A:$AN,MATCH(yoy!$G$1,Data!$A$1:$AN$1,),))+1)^12-1)</f>
        <v/>
      </c>
      <c r="H67" s="14">
        <f>IF(VLOOKUP(B67,Data!$A:$AN,MATCH(yoy!$H$1,Data!$A$1:$AN$1,),)=0,"#N/A",(((VLOOKUP(B67,Data!$A:$AN,MATCH(yoy!$H$1,Data!$A$1:$AN$1,),)-VLOOKUP(A67,Data!$A:$AN,MATCH(yoy!$H$1,Data!$A$1:$AN$1,),))/VLOOKUP(A67,Data!$A:$AN,MATCH(yoy!$H$1,Data!$A$1:$AN$1,),))+1)^12-1)</f>
        <v/>
      </c>
      <c r="I67" s="14">
        <f>IF(VLOOKUP(B67,Data!$A:$AN,MATCH(yoy!$I$1,Data!$A$1:$AN$1,),)=0,"#N/A",(((VLOOKUP(B67,Data!$A:$AN,MATCH(yoy!$I$1,Data!$A$1:$AN$1,),)-VLOOKUP(A67,Data!$A:$AN,MATCH(yoy!$I$1,Data!$A$1:$AN$1,),))/VLOOKUP(A67,Data!$A:$AN,MATCH(yoy!$I$1,Data!$A$1:$AN$1,),))+1)^12-1)</f>
        <v/>
      </c>
      <c r="J67" s="14">
        <f>IF(VLOOKUP(B67,Data!$A:$AN,MATCH(yoy!$J$1,Data!$A$1:$AN$1,),)=0,"#N/A",(((VLOOKUP(B67,Data!$A:$AN,MATCH(yoy!$J$1,Data!$A$1:$AN$1,),)-VLOOKUP(A67,Data!$A:$AN,MATCH(yoy!$J$1,Data!$A$1:$AN$1,),))/VLOOKUP(A67,Data!$A:$AN,MATCH(yoy!$J$1,Data!$A$1:$AN$1,),))+1)^12-1)</f>
        <v/>
      </c>
      <c r="K67" s="14">
        <f>IF(VLOOKUP(B67,Data!$A:$AN,MATCH(yoy!$K$1,Data!$A$1:$AN$1,),)=0,"#N/A",(((VLOOKUP(B67,Data!$A:$AN,MATCH(yoy!$K$1,Data!$A$1:$AN$1,),)-VLOOKUP(A67,Data!$A:$AN,MATCH(yoy!$K$1,Data!$A$1:$AN$1,),))/VLOOKUP(A67,Data!$A:$AN,MATCH(yoy!$K$1,Data!$A$1:$AN$1,),))+1)^12-1)</f>
        <v/>
      </c>
      <c r="L67" s="14">
        <f>IF(VLOOKUP(B67,Data!$A:$AN,MATCH(yoy!$L$1,Data!$A$1:$AN$1,),)=0,"#N/A",(((VLOOKUP(B67,Data!$A:$AN,MATCH(yoy!$L$1,Data!$A$1:$AN$1,),)-VLOOKUP(A67,Data!$A:$AN,MATCH(yoy!$L$1,Data!$A$1:$AN$1,),))/VLOOKUP(A67,Data!$A:$AN,MATCH(yoy!$L$1,Data!$A$1:$AN$1,),))+1)^12-1)</f>
        <v/>
      </c>
      <c r="M67" s="14">
        <f>IF(VLOOKUP(B67,Data!$A:$AN,MATCH(yoy!$M$1,Data!$A$1:$AN$1,),)=0,"#N/A",(((VLOOKUP(B67,Data!$A:$AN,MATCH(yoy!$M$1,Data!$A$1:$AN$1,),)-VLOOKUP(A67,Data!$A:$AN,MATCH(yoy!$M$1,Data!$A$1:$AN$1,),))/VLOOKUP(A67,Data!$A:$AN,MATCH(yoy!$M$1,Data!$A$1:$AN$1,),))+1)^12-1)</f>
        <v/>
      </c>
      <c r="N67" s="14">
        <f>IF(VLOOKUP(B67,Data!$A:$AN,MATCH(yoy!$N$1,Data!$A$1:$AN$1,),)=0,"#N/A",(((VLOOKUP(B67,Data!$A:$AN,MATCH(yoy!$N$1,Data!$A$1:$AN$1,),)-VLOOKUP(A67,Data!$A:$AN,MATCH(yoy!$N$1,Data!$A$1:$AN$1,),))/VLOOKUP(A67,Data!$A:$AN,MATCH(yoy!$N$1,Data!$A$1:$AN$1,),))+1)^12-1)</f>
        <v/>
      </c>
      <c r="O67" s="14">
        <f>IF(VLOOKUP(B67,Data!$A:$AN,MATCH(yoy!$O$1,Data!$A$1:$AN$1,),)=0,"#N/A",(((VLOOKUP(B67,Data!$A:$AN,MATCH(yoy!$O$1,Data!$A$1:$AN$1,),)-VLOOKUP(A67,Data!$A:$AN,MATCH(yoy!$O$1,Data!$A$1:$AN$1,),))/VLOOKUP(A67,Data!$A:$AN,MATCH(yoy!$O$1,Data!$A$1:$AN$1,),))+1)^12-1)</f>
        <v/>
      </c>
      <c r="P67" s="14">
        <f>IF(VLOOKUP(B67,Data!$A:$AN,MATCH(yoy!$P$1,Data!$A$1:$AN$1,),)=0,"#N/A",(((VLOOKUP(B67,Data!$A:$AN,MATCH(yoy!$P$1,Data!$A$1:$AN$1,),)-VLOOKUP(A67,Data!$A:$AN,MATCH(yoy!$P$1,Data!$A$1:$AN$1,),))/VLOOKUP(A67,Data!$A:$AN,MATCH(yoy!$P$1,Data!$A$1:$AN$1,),))+1)^12-1)</f>
        <v/>
      </c>
      <c r="Q67" s="14">
        <f>IF(VLOOKUP(B67,Data!$A:$AN,MATCH(yoy!$Q$1,Data!$A$1:$AN$1,),)=0,"#N/A",(((VLOOKUP(B67,Data!$A:$AN,MATCH(yoy!$Q$1,Data!$A$1:$AN$1,),)-VLOOKUP(A67,Data!$A:$AN,MATCH(yoy!$Q$1,Data!$A$1:$AN$1,),))/VLOOKUP(A67,Data!$A:$AN,MATCH(yoy!$Q$1,Data!$A$1:$AN$1,),))+1)^12-1)</f>
        <v/>
      </c>
      <c r="R67" s="14">
        <f>IF(VLOOKUP(B67,Data!$A:$AN,MATCH(yoy!$R$1,Data!$A$1:$AN$1,),)=0,"#N/A",(((VLOOKUP(B67,Data!$A:$AN,MATCH(yoy!$R$1,Data!$A$1:$AN$1,),)-VLOOKUP(A67,Data!$A:$AN,MATCH(yoy!$R$1,Data!$A$1:$AN$1,),))/VLOOKUP(A67,Data!$A:$AN,MATCH(yoy!$R$1,Data!$A$1:$AN$1,),))+1)^12-1)</f>
        <v/>
      </c>
      <c r="S67" s="14">
        <f>IF(VLOOKUP(B67,Data!$A:$AN,MATCH(yoy!$S$1,Data!$A$1:$AN$1,),)=0,"#N/A",(((VLOOKUP(B67,Data!$A:$AN,MATCH(yoy!$S$1,Data!$A$1:$AN$1,),)-VLOOKUP(A67,Data!$A:$AN,MATCH(yoy!$S$1,Data!$A$1:$AN$1,),))/VLOOKUP(A67,Data!$A:$AN,MATCH(yoy!$S$1,Data!$A$1:$AN$1,),))+1)^12-1)</f>
        <v/>
      </c>
      <c r="T67" s="14">
        <f>IF(VLOOKUP(B67,Data!$A:$AN,MATCH(yoy!$T$1,Data!$A$1:$AN$1,),)=0,"#N/A",(((VLOOKUP(B67,Data!$A:$AN,MATCH(yoy!$T$1,Data!$A$1:$AN$1,),)-VLOOKUP(A67,Data!$A:$AN,MATCH(yoy!$T$1,Data!$A$1:$AN$1,),))/VLOOKUP(A67,Data!$A:$AN,MATCH(yoy!$T$1,Data!$A$1:$AN$1,),))+1)^12-1)</f>
        <v/>
      </c>
      <c r="U67" s="14">
        <f>IF(VLOOKUP(B67,Data!$A:$AN,MATCH(yoy!$U$1,Data!$A$1:$AN$1,),)=0,"#N/A",(((VLOOKUP(B67,Data!$A:$AN,MATCH(yoy!$U$1,Data!$A$1:$AN$1,),)-VLOOKUP(A67,Data!$A:$AN,MATCH(yoy!$U$1,Data!$A$1:$AN$1,),))/VLOOKUP(A67,Data!$A:$AN,MATCH(yoy!$U$1,Data!$A$1:$AN$1,),))+1)^12-1)</f>
        <v/>
      </c>
      <c r="V67" s="14">
        <f>IF(VLOOKUP(B67,Data!$A:$AN,MATCH(yoy!$V$1,Data!$A$1:$AN$1,),)=0,"#N/A",(((VLOOKUP(B67,Data!$A:$AN,MATCH(yoy!$V$1,Data!$A$1:$AN$1,),)-VLOOKUP(A67,Data!$A:$AN,MATCH(yoy!$V$1,Data!$A$1:$AN$1,),))/VLOOKUP(A67,Data!$A:$AN,MATCH(yoy!$V$1,Data!$A$1:$AN$1,),))+1)^12-1)</f>
        <v/>
      </c>
      <c r="W67" s="14">
        <f>IF(VLOOKUP(B67,Data!$A:$AN,MATCH(yoy!$W$1,Data!$A$1:$AN$1,),)=0,"#N/A",(((VLOOKUP(B67,Data!$A:$AN,MATCH(yoy!$W$1,Data!$A$1:$AN$1,),)-VLOOKUP(A67,Data!$A:$AN,MATCH(yoy!$W$1,Data!$A$1:$AN$1,),))/VLOOKUP(A67,Data!$A:$AN,MATCH(yoy!$W$1,Data!$A$1:$AN$1,),))+1)^12-1)</f>
        <v/>
      </c>
      <c r="X67" s="14">
        <f>IF(VLOOKUP(B67,Data!$A:$AN,MATCH(yoy!$X$1,Data!$A$1:$AN$1,),)=0,"#N/A",(((VLOOKUP(B67,Data!$A:$AN,MATCH(yoy!$X$1,Data!$A$1:$AN$1,),)-VLOOKUP(A67,Data!$A:$AN,MATCH(yoy!$X$1,Data!$A$1:$AN$1,),))/VLOOKUP(A67,Data!$A:$AN,MATCH(yoy!$X$1,Data!$A$1:$AN$1,),))+1)^12-1)</f>
        <v/>
      </c>
      <c r="Y67" s="14">
        <f>IF(VLOOKUP(B67,Data!$A:$AN,MATCH(yoy!$Y$1,Data!$A$1:$AN$1,),)=0,"#N/A",(((VLOOKUP(B67,Data!$A:$AN,MATCH(yoy!$Y$1,Data!$A$1:$AN$1,),)-VLOOKUP(A67,Data!$A:$AN,MATCH(yoy!$Y$1,Data!$A$1:$AN$1,),))/VLOOKUP(A67,Data!$A:$AN,MATCH(yoy!$Y$1,Data!$A$1:$AN$1,),))+1)^12-1)</f>
        <v/>
      </c>
      <c r="Z67" s="14">
        <f>IF(VLOOKUP(B67,Data!$A:$AN,MATCH(yoy!$Z$1,Data!$A$1:$AN$1,),)=0,"#N/A",(((VLOOKUP(B67,Data!$A:$AN,MATCH(yoy!$Z$1,Data!$A$1:$AN$1,),)-VLOOKUP(A67,Data!$A:$AN,MATCH(yoy!$Z$1,Data!$A$1:$AN$1,),))/VLOOKUP(A67,Data!$A:$AN,MATCH(yoy!$Z$1,Data!$A$1:$AN$1,),))+1)^12-1)</f>
        <v/>
      </c>
      <c r="AA67" s="14">
        <f>IF(VLOOKUP(B67,Data!$A:$AN,MATCH(yoy!$AA$1,Data!$A$1:$AN$1,),)=0,"#N/A",(((VLOOKUP(B67,Data!$A:$AN,MATCH(yoy!$AA$1,Data!$A$1:$AN$1,),)-VLOOKUP(A67,Data!$A:$AN,MATCH(yoy!$AA$1,Data!$A$1:$AN$1,),))/VLOOKUP(A67,Data!$A:$AN,MATCH(yoy!$AA$1,Data!$A$1:$AN$1,),))+1)^12-1)</f>
        <v/>
      </c>
    </row>
    <row r="68" customFormat="1" s="77">
      <c r="A68" s="20">
        <f>DATE(YEAR(B68),MONTH(B68)-1,DAY(B68))</f>
        <v/>
      </c>
      <c r="B68" s="12" t="n">
        <v>43922</v>
      </c>
      <c r="C68" s="14">
        <f>IF(VLOOKUP(B68,Data!$A:$AN,MATCH(yoy!$C$1,Data!$A$1:$AN$1,),)=0,"#N/A",(((VLOOKUP(B68,Data!$A:$AN,MATCH(yoy!$C$1,Data!$A$1:$AN$1,),)-VLOOKUP(A68,Data!$A:$AN,MATCH(yoy!$C$1,Data!$A$1:$AN$1,),))/VLOOKUP(A68,Data!$A:$AN,MATCH(yoy!$C$1,Data!$A$1:$AN$1,),))+1)^12-1)</f>
        <v/>
      </c>
      <c r="D68" s="14">
        <f>IF(VLOOKUP(B68,Data!$A:$AN,MATCH(yoy!$D$1,Data!$A$1:$AN$1,),)=0,"#N/A",(((VLOOKUP(B68,Data!$A:$AN,MATCH(yoy!$D$1,Data!$A$1:$AN$1,),)-VLOOKUP(A68,Data!$A:$AN,MATCH(yoy!$D$1,Data!$A$1:$AN$1,),))/VLOOKUP(A68,Data!$A:$AN,MATCH(yoy!$D$1,Data!$A$1:$AN$1,),))+1)^12-1)</f>
        <v/>
      </c>
      <c r="E68" s="14">
        <f>IF(VLOOKUP(B68,Data!$A:$AN,MATCH(yoy!$E$1,Data!$A$1:$AN$1,),)=0,"#N/A",(((VLOOKUP(B68,Data!$A:$AN,MATCH(yoy!$E$1,Data!$A$1:$AN$1,),)-VLOOKUP(A68,Data!$A:$AN,MATCH(yoy!$E$1,Data!$A$1:$AN$1,),))/VLOOKUP(A68,Data!$A:$AN,MATCH(yoy!$E$1,Data!$A$1:$AN$1,),))+1)^12-1)</f>
        <v/>
      </c>
      <c r="F68" s="14">
        <f>IF(VLOOKUP(B68,Data!$A:$AN,MATCH(yoy!$F$1,Data!$A$1:$AN$1,),)=0,"#N/A",(((VLOOKUP(B68,Data!$A:$AN,MATCH(yoy!$F$1,Data!$A$1:$AN$1,),)-VLOOKUP(A68,Data!$A:$AN,MATCH(yoy!$F$1,Data!$A$1:$AN$1,),))/VLOOKUP(A68,Data!$A:$AN,MATCH(yoy!$F$1,Data!$A$1:$AN$1,),))+1)^12-1)</f>
        <v/>
      </c>
      <c r="G68" s="14">
        <f>IF(VLOOKUP(B68,Data!$A:$AN,MATCH(yoy!$G$1,Data!$A$1:$AN$1,),)=0,"#N/A",(((VLOOKUP(B68,Data!$A:$AN,MATCH(yoy!$G$1,Data!$A$1:$AN$1,),)-VLOOKUP(A68,Data!$A:$AN,MATCH(yoy!$G$1,Data!$A$1:$AN$1,),))/VLOOKUP(A68,Data!$A:$AN,MATCH(yoy!$G$1,Data!$A$1:$AN$1,),))+1)^12-1)</f>
        <v/>
      </c>
      <c r="H68" s="14">
        <f>IF(VLOOKUP(B68,Data!$A:$AN,MATCH(yoy!$H$1,Data!$A$1:$AN$1,),)=0,"#N/A",(((VLOOKUP(B68,Data!$A:$AN,MATCH(yoy!$H$1,Data!$A$1:$AN$1,),)-VLOOKUP(A68,Data!$A:$AN,MATCH(yoy!$H$1,Data!$A$1:$AN$1,),))/VLOOKUP(A68,Data!$A:$AN,MATCH(yoy!$H$1,Data!$A$1:$AN$1,),))+1)^12-1)</f>
        <v/>
      </c>
      <c r="I68" s="14">
        <f>IF(VLOOKUP(B68,Data!$A:$AN,MATCH(yoy!$I$1,Data!$A$1:$AN$1,),)=0,"#N/A",(((VLOOKUP(B68,Data!$A:$AN,MATCH(yoy!$I$1,Data!$A$1:$AN$1,),)-VLOOKUP(A68,Data!$A:$AN,MATCH(yoy!$I$1,Data!$A$1:$AN$1,),))/VLOOKUP(A68,Data!$A:$AN,MATCH(yoy!$I$1,Data!$A$1:$AN$1,),))+1)^12-1)</f>
        <v/>
      </c>
      <c r="J68" s="14">
        <f>IF(VLOOKUP(B68,Data!$A:$AN,MATCH(yoy!$J$1,Data!$A$1:$AN$1,),)=0,"#N/A",(((VLOOKUP(B68,Data!$A:$AN,MATCH(yoy!$J$1,Data!$A$1:$AN$1,),)-VLOOKUP(A68,Data!$A:$AN,MATCH(yoy!$J$1,Data!$A$1:$AN$1,),))/VLOOKUP(A68,Data!$A:$AN,MATCH(yoy!$J$1,Data!$A$1:$AN$1,),))+1)^12-1)</f>
        <v/>
      </c>
      <c r="K68" s="14">
        <f>IF(VLOOKUP(B68,Data!$A:$AN,MATCH(yoy!$K$1,Data!$A$1:$AN$1,),)=0,"#N/A",(((VLOOKUP(B68,Data!$A:$AN,MATCH(yoy!$K$1,Data!$A$1:$AN$1,),)-VLOOKUP(A68,Data!$A:$AN,MATCH(yoy!$K$1,Data!$A$1:$AN$1,),))/VLOOKUP(A68,Data!$A:$AN,MATCH(yoy!$K$1,Data!$A$1:$AN$1,),))+1)^12-1)</f>
        <v/>
      </c>
      <c r="L68" s="14">
        <f>IF(VLOOKUP(B68,Data!$A:$AN,MATCH(yoy!$L$1,Data!$A$1:$AN$1,),)=0,"#N/A",(((VLOOKUP(B68,Data!$A:$AN,MATCH(yoy!$L$1,Data!$A$1:$AN$1,),)-VLOOKUP(A68,Data!$A:$AN,MATCH(yoy!$L$1,Data!$A$1:$AN$1,),))/VLOOKUP(A68,Data!$A:$AN,MATCH(yoy!$L$1,Data!$A$1:$AN$1,),))+1)^12-1)</f>
        <v/>
      </c>
      <c r="M68" s="14">
        <f>IF(VLOOKUP(B68,Data!$A:$AN,MATCH(yoy!$M$1,Data!$A$1:$AN$1,),)=0,"#N/A",(((VLOOKUP(B68,Data!$A:$AN,MATCH(yoy!$M$1,Data!$A$1:$AN$1,),)-VLOOKUP(A68,Data!$A:$AN,MATCH(yoy!$M$1,Data!$A$1:$AN$1,),))/VLOOKUP(A68,Data!$A:$AN,MATCH(yoy!$M$1,Data!$A$1:$AN$1,),))+1)^12-1)</f>
        <v/>
      </c>
      <c r="N68" s="14">
        <f>IF(VLOOKUP(B68,Data!$A:$AN,MATCH(yoy!$N$1,Data!$A$1:$AN$1,),)=0,"#N/A",(((VLOOKUP(B68,Data!$A:$AN,MATCH(yoy!$N$1,Data!$A$1:$AN$1,),)-VLOOKUP(A68,Data!$A:$AN,MATCH(yoy!$N$1,Data!$A$1:$AN$1,),))/VLOOKUP(A68,Data!$A:$AN,MATCH(yoy!$N$1,Data!$A$1:$AN$1,),))+1)^12-1)</f>
        <v/>
      </c>
      <c r="O68" s="14">
        <f>IF(VLOOKUP(B68,Data!$A:$AN,MATCH(yoy!$O$1,Data!$A$1:$AN$1,),)=0,"#N/A",(((VLOOKUP(B68,Data!$A:$AN,MATCH(yoy!$O$1,Data!$A$1:$AN$1,),)-VLOOKUP(A68,Data!$A:$AN,MATCH(yoy!$O$1,Data!$A$1:$AN$1,),))/VLOOKUP(A68,Data!$A:$AN,MATCH(yoy!$O$1,Data!$A$1:$AN$1,),))+1)^12-1)</f>
        <v/>
      </c>
      <c r="P68" s="14">
        <f>IF(VLOOKUP(B68,Data!$A:$AN,MATCH(yoy!$P$1,Data!$A$1:$AN$1,),)=0,"#N/A",(((VLOOKUP(B68,Data!$A:$AN,MATCH(yoy!$P$1,Data!$A$1:$AN$1,),)-VLOOKUP(A68,Data!$A:$AN,MATCH(yoy!$P$1,Data!$A$1:$AN$1,),))/VLOOKUP(A68,Data!$A:$AN,MATCH(yoy!$P$1,Data!$A$1:$AN$1,),))+1)^12-1)</f>
        <v/>
      </c>
      <c r="Q68" s="14">
        <f>IF(VLOOKUP(B68,Data!$A:$AN,MATCH(yoy!$Q$1,Data!$A$1:$AN$1,),)=0,"#N/A",(((VLOOKUP(B68,Data!$A:$AN,MATCH(yoy!$Q$1,Data!$A$1:$AN$1,),)-VLOOKUP(A68,Data!$A:$AN,MATCH(yoy!$Q$1,Data!$A$1:$AN$1,),))/VLOOKUP(A68,Data!$A:$AN,MATCH(yoy!$Q$1,Data!$A$1:$AN$1,),))+1)^12-1)</f>
        <v/>
      </c>
      <c r="R68" s="14">
        <f>IF(VLOOKUP(B68,Data!$A:$AN,MATCH(yoy!$R$1,Data!$A$1:$AN$1,),)=0,"#N/A",(((VLOOKUP(B68,Data!$A:$AN,MATCH(yoy!$R$1,Data!$A$1:$AN$1,),)-VLOOKUP(A68,Data!$A:$AN,MATCH(yoy!$R$1,Data!$A$1:$AN$1,),))/VLOOKUP(A68,Data!$A:$AN,MATCH(yoy!$R$1,Data!$A$1:$AN$1,),))+1)^12-1)</f>
        <v/>
      </c>
      <c r="S68" s="14">
        <f>IF(VLOOKUP(B68,Data!$A:$AN,MATCH(yoy!$S$1,Data!$A$1:$AN$1,),)=0,"#N/A",(((VLOOKUP(B68,Data!$A:$AN,MATCH(yoy!$S$1,Data!$A$1:$AN$1,),)-VLOOKUP(A68,Data!$A:$AN,MATCH(yoy!$S$1,Data!$A$1:$AN$1,),))/VLOOKUP(A68,Data!$A:$AN,MATCH(yoy!$S$1,Data!$A$1:$AN$1,),))+1)^12-1)</f>
        <v/>
      </c>
      <c r="T68" s="14">
        <f>IF(VLOOKUP(B68,Data!$A:$AN,MATCH(yoy!$T$1,Data!$A$1:$AN$1,),)=0,"#N/A",(((VLOOKUP(B68,Data!$A:$AN,MATCH(yoy!$T$1,Data!$A$1:$AN$1,),)-VLOOKUP(A68,Data!$A:$AN,MATCH(yoy!$T$1,Data!$A$1:$AN$1,),))/VLOOKUP(A68,Data!$A:$AN,MATCH(yoy!$T$1,Data!$A$1:$AN$1,),))+1)^12-1)</f>
        <v/>
      </c>
      <c r="U68" s="14">
        <f>IF(VLOOKUP(B68,Data!$A:$AN,MATCH(yoy!$U$1,Data!$A$1:$AN$1,),)=0,"#N/A",(((VLOOKUP(B68,Data!$A:$AN,MATCH(yoy!$U$1,Data!$A$1:$AN$1,),)-VLOOKUP(A68,Data!$A:$AN,MATCH(yoy!$U$1,Data!$A$1:$AN$1,),))/VLOOKUP(A68,Data!$A:$AN,MATCH(yoy!$U$1,Data!$A$1:$AN$1,),))+1)^12-1)</f>
        <v/>
      </c>
      <c r="V68" s="14">
        <f>IF(VLOOKUP(B68,Data!$A:$AN,MATCH(yoy!$V$1,Data!$A$1:$AN$1,),)=0,"#N/A",(((VLOOKUP(B68,Data!$A:$AN,MATCH(yoy!$V$1,Data!$A$1:$AN$1,),)-VLOOKUP(A68,Data!$A:$AN,MATCH(yoy!$V$1,Data!$A$1:$AN$1,),))/VLOOKUP(A68,Data!$A:$AN,MATCH(yoy!$V$1,Data!$A$1:$AN$1,),))+1)^12-1)</f>
        <v/>
      </c>
      <c r="W68" s="14">
        <f>IF(VLOOKUP(B68,Data!$A:$AN,MATCH(yoy!$W$1,Data!$A$1:$AN$1,),)=0,"#N/A",(((VLOOKUP(B68,Data!$A:$AN,MATCH(yoy!$W$1,Data!$A$1:$AN$1,),)-VLOOKUP(A68,Data!$A:$AN,MATCH(yoy!$W$1,Data!$A$1:$AN$1,),))/VLOOKUP(A68,Data!$A:$AN,MATCH(yoy!$W$1,Data!$A$1:$AN$1,),))+1)^12-1)</f>
        <v/>
      </c>
      <c r="X68" s="14">
        <f>IF(VLOOKUP(B68,Data!$A:$AN,MATCH(yoy!$X$1,Data!$A$1:$AN$1,),)=0,"#N/A",(((VLOOKUP(B68,Data!$A:$AN,MATCH(yoy!$X$1,Data!$A$1:$AN$1,),)-VLOOKUP(A68,Data!$A:$AN,MATCH(yoy!$X$1,Data!$A$1:$AN$1,),))/VLOOKUP(A68,Data!$A:$AN,MATCH(yoy!$X$1,Data!$A$1:$AN$1,),))+1)^12-1)</f>
        <v/>
      </c>
      <c r="Y68" s="14">
        <f>IF(VLOOKUP(B68,Data!$A:$AN,MATCH(yoy!$Y$1,Data!$A$1:$AN$1,),)=0,"#N/A",(((VLOOKUP(B68,Data!$A:$AN,MATCH(yoy!$Y$1,Data!$A$1:$AN$1,),)-VLOOKUP(A68,Data!$A:$AN,MATCH(yoy!$Y$1,Data!$A$1:$AN$1,),))/VLOOKUP(A68,Data!$A:$AN,MATCH(yoy!$Y$1,Data!$A$1:$AN$1,),))+1)^12-1)</f>
        <v/>
      </c>
      <c r="Z68" s="14">
        <f>IF(VLOOKUP(B68,Data!$A:$AN,MATCH(yoy!$Z$1,Data!$A$1:$AN$1,),)=0,"#N/A",(((VLOOKUP(B68,Data!$A:$AN,MATCH(yoy!$Z$1,Data!$A$1:$AN$1,),)-VLOOKUP(A68,Data!$A:$AN,MATCH(yoy!$Z$1,Data!$A$1:$AN$1,),))/VLOOKUP(A68,Data!$A:$AN,MATCH(yoy!$Z$1,Data!$A$1:$AN$1,),))+1)^12-1)</f>
        <v/>
      </c>
      <c r="AA68" s="14">
        <f>IF(VLOOKUP(B68,Data!$A:$AN,MATCH(yoy!$AA$1,Data!$A$1:$AN$1,),)=0,"#N/A",(((VLOOKUP(B68,Data!$A:$AN,MATCH(yoy!$AA$1,Data!$A$1:$AN$1,),)-VLOOKUP(A68,Data!$A:$AN,MATCH(yoy!$AA$1,Data!$A$1:$AN$1,),))/VLOOKUP(A68,Data!$A:$AN,MATCH(yoy!$AA$1,Data!$A$1:$AN$1,),))+1)^12-1)</f>
        <v/>
      </c>
    </row>
    <row r="69" customFormat="1" s="77">
      <c r="A69" s="20">
        <f>DATE(YEAR(B69),MONTH(B69)-1,DAY(B69))</f>
        <v/>
      </c>
      <c r="B69" s="12" t="n">
        <v>43952</v>
      </c>
      <c r="C69" s="14">
        <f>IF(VLOOKUP(B69,Data!$A:$AN,MATCH(yoy!$C$1,Data!$A$1:$AN$1,),)=0,"#N/A",(((VLOOKUP(B69,Data!$A:$AN,MATCH(yoy!$C$1,Data!$A$1:$AN$1,),)-VLOOKUP(A69,Data!$A:$AN,MATCH(yoy!$C$1,Data!$A$1:$AN$1,),))/VLOOKUP(A69,Data!$A:$AN,MATCH(yoy!$C$1,Data!$A$1:$AN$1,),))+1)^12-1)</f>
        <v/>
      </c>
      <c r="D69" s="14">
        <f>IF(VLOOKUP(B69,Data!$A:$AN,MATCH(yoy!$D$1,Data!$A$1:$AN$1,),)=0,"#N/A",(((VLOOKUP(B69,Data!$A:$AN,MATCH(yoy!$D$1,Data!$A$1:$AN$1,),)-VLOOKUP(A69,Data!$A:$AN,MATCH(yoy!$D$1,Data!$A$1:$AN$1,),))/VLOOKUP(A69,Data!$A:$AN,MATCH(yoy!$D$1,Data!$A$1:$AN$1,),))+1)^12-1)</f>
        <v/>
      </c>
      <c r="E69" s="14">
        <f>IF(VLOOKUP(B69,Data!$A:$AN,MATCH(yoy!$E$1,Data!$A$1:$AN$1,),)=0,"#N/A",(((VLOOKUP(B69,Data!$A:$AN,MATCH(yoy!$E$1,Data!$A$1:$AN$1,),)-VLOOKUP(A69,Data!$A:$AN,MATCH(yoy!$E$1,Data!$A$1:$AN$1,),))/VLOOKUP(A69,Data!$A:$AN,MATCH(yoy!$E$1,Data!$A$1:$AN$1,),))+1)^12-1)</f>
        <v/>
      </c>
      <c r="F69" s="14">
        <f>IF(VLOOKUP(B69,Data!$A:$AN,MATCH(yoy!$F$1,Data!$A$1:$AN$1,),)=0,"#N/A",(((VLOOKUP(B69,Data!$A:$AN,MATCH(yoy!$F$1,Data!$A$1:$AN$1,),)-VLOOKUP(A69,Data!$A:$AN,MATCH(yoy!$F$1,Data!$A$1:$AN$1,),))/VLOOKUP(A69,Data!$A:$AN,MATCH(yoy!$F$1,Data!$A$1:$AN$1,),))+1)^12-1)</f>
        <v/>
      </c>
      <c r="G69" s="14">
        <f>IF(VLOOKUP(B69,Data!$A:$AN,MATCH(yoy!$G$1,Data!$A$1:$AN$1,),)=0,"#N/A",(((VLOOKUP(B69,Data!$A:$AN,MATCH(yoy!$G$1,Data!$A$1:$AN$1,),)-VLOOKUP(A69,Data!$A:$AN,MATCH(yoy!$G$1,Data!$A$1:$AN$1,),))/VLOOKUP(A69,Data!$A:$AN,MATCH(yoy!$G$1,Data!$A$1:$AN$1,),))+1)^12-1)</f>
        <v/>
      </c>
      <c r="H69" s="14">
        <f>IF(VLOOKUP(B69,Data!$A:$AN,MATCH(yoy!$H$1,Data!$A$1:$AN$1,),)=0,"#N/A",(((VLOOKUP(B69,Data!$A:$AN,MATCH(yoy!$H$1,Data!$A$1:$AN$1,),)-VLOOKUP(A69,Data!$A:$AN,MATCH(yoy!$H$1,Data!$A$1:$AN$1,),))/VLOOKUP(A69,Data!$A:$AN,MATCH(yoy!$H$1,Data!$A$1:$AN$1,),))+1)^12-1)</f>
        <v/>
      </c>
      <c r="I69" s="14">
        <f>IF(VLOOKUP(B69,Data!$A:$AN,MATCH(yoy!$I$1,Data!$A$1:$AN$1,),)=0,"#N/A",(((VLOOKUP(B69,Data!$A:$AN,MATCH(yoy!$I$1,Data!$A$1:$AN$1,),)-VLOOKUP(A69,Data!$A:$AN,MATCH(yoy!$I$1,Data!$A$1:$AN$1,),))/VLOOKUP(A69,Data!$A:$AN,MATCH(yoy!$I$1,Data!$A$1:$AN$1,),))+1)^12-1)</f>
        <v/>
      </c>
      <c r="J69" s="14">
        <f>IF(VLOOKUP(B69,Data!$A:$AN,MATCH(yoy!$J$1,Data!$A$1:$AN$1,),)=0,"#N/A",(((VLOOKUP(B69,Data!$A:$AN,MATCH(yoy!$J$1,Data!$A$1:$AN$1,),)-VLOOKUP(A69,Data!$A:$AN,MATCH(yoy!$J$1,Data!$A$1:$AN$1,),))/VLOOKUP(A69,Data!$A:$AN,MATCH(yoy!$J$1,Data!$A$1:$AN$1,),))+1)^12-1)</f>
        <v/>
      </c>
      <c r="K69" s="14">
        <f>IF(VLOOKUP(B69,Data!$A:$AN,MATCH(yoy!$K$1,Data!$A$1:$AN$1,),)=0,"#N/A",(((VLOOKUP(B69,Data!$A:$AN,MATCH(yoy!$K$1,Data!$A$1:$AN$1,),)-VLOOKUP(A69,Data!$A:$AN,MATCH(yoy!$K$1,Data!$A$1:$AN$1,),))/VLOOKUP(A69,Data!$A:$AN,MATCH(yoy!$K$1,Data!$A$1:$AN$1,),))+1)^12-1)</f>
        <v/>
      </c>
      <c r="L69" s="14">
        <f>IF(VLOOKUP(B69,Data!$A:$AN,MATCH(yoy!$L$1,Data!$A$1:$AN$1,),)=0,"#N/A",(((VLOOKUP(B69,Data!$A:$AN,MATCH(yoy!$L$1,Data!$A$1:$AN$1,),)-VLOOKUP(A69,Data!$A:$AN,MATCH(yoy!$L$1,Data!$A$1:$AN$1,),))/VLOOKUP(A69,Data!$A:$AN,MATCH(yoy!$L$1,Data!$A$1:$AN$1,),))+1)^12-1)</f>
        <v/>
      </c>
      <c r="M69" s="14">
        <f>IF(VLOOKUP(B69,Data!$A:$AN,MATCH(yoy!$M$1,Data!$A$1:$AN$1,),)=0,"#N/A",(((VLOOKUP(B69,Data!$A:$AN,MATCH(yoy!$M$1,Data!$A$1:$AN$1,),)-VLOOKUP(A69,Data!$A:$AN,MATCH(yoy!$M$1,Data!$A$1:$AN$1,),))/VLOOKUP(A69,Data!$A:$AN,MATCH(yoy!$M$1,Data!$A$1:$AN$1,),))+1)^12-1)</f>
        <v/>
      </c>
      <c r="N69" s="14">
        <f>IF(VLOOKUP(B69,Data!$A:$AN,MATCH(yoy!$N$1,Data!$A$1:$AN$1,),)=0,"#N/A",(((VLOOKUP(B69,Data!$A:$AN,MATCH(yoy!$N$1,Data!$A$1:$AN$1,),)-VLOOKUP(A69,Data!$A:$AN,MATCH(yoy!$N$1,Data!$A$1:$AN$1,),))/VLOOKUP(A69,Data!$A:$AN,MATCH(yoy!$N$1,Data!$A$1:$AN$1,),))+1)^12-1)</f>
        <v/>
      </c>
      <c r="O69" s="14">
        <f>IF(VLOOKUP(B69,Data!$A:$AN,MATCH(yoy!$O$1,Data!$A$1:$AN$1,),)=0,"#N/A",(((VLOOKUP(B69,Data!$A:$AN,MATCH(yoy!$O$1,Data!$A$1:$AN$1,),)-VLOOKUP(A69,Data!$A:$AN,MATCH(yoy!$O$1,Data!$A$1:$AN$1,),))/VLOOKUP(A69,Data!$A:$AN,MATCH(yoy!$O$1,Data!$A$1:$AN$1,),))+1)^12-1)</f>
        <v/>
      </c>
      <c r="P69" s="14">
        <f>IF(VLOOKUP(B69,Data!$A:$AN,MATCH(yoy!$P$1,Data!$A$1:$AN$1,),)=0,"#N/A",(((VLOOKUP(B69,Data!$A:$AN,MATCH(yoy!$P$1,Data!$A$1:$AN$1,),)-VLOOKUP(A69,Data!$A:$AN,MATCH(yoy!$P$1,Data!$A$1:$AN$1,),))/VLOOKUP(A69,Data!$A:$AN,MATCH(yoy!$P$1,Data!$A$1:$AN$1,),))+1)^12-1)</f>
        <v/>
      </c>
      <c r="Q69" s="14">
        <f>IF(VLOOKUP(B69,Data!$A:$AN,MATCH(yoy!$Q$1,Data!$A$1:$AN$1,),)=0,"#N/A",(((VLOOKUP(B69,Data!$A:$AN,MATCH(yoy!$Q$1,Data!$A$1:$AN$1,),)-VLOOKUP(A69,Data!$A:$AN,MATCH(yoy!$Q$1,Data!$A$1:$AN$1,),))/VLOOKUP(A69,Data!$A:$AN,MATCH(yoy!$Q$1,Data!$A$1:$AN$1,),))+1)^12-1)</f>
        <v/>
      </c>
      <c r="R69" s="14">
        <f>IF(VLOOKUP(B69,Data!$A:$AN,MATCH(yoy!$R$1,Data!$A$1:$AN$1,),)=0,"#N/A",(((VLOOKUP(B69,Data!$A:$AN,MATCH(yoy!$R$1,Data!$A$1:$AN$1,),)-VLOOKUP(A69,Data!$A:$AN,MATCH(yoy!$R$1,Data!$A$1:$AN$1,),))/VLOOKUP(A69,Data!$A:$AN,MATCH(yoy!$R$1,Data!$A$1:$AN$1,),))+1)^12-1)</f>
        <v/>
      </c>
      <c r="S69" s="14">
        <f>IF(VLOOKUP(B69,Data!$A:$AN,MATCH(yoy!$S$1,Data!$A$1:$AN$1,),)=0,"#N/A",(((VLOOKUP(B69,Data!$A:$AN,MATCH(yoy!$S$1,Data!$A$1:$AN$1,),)-VLOOKUP(A69,Data!$A:$AN,MATCH(yoy!$S$1,Data!$A$1:$AN$1,),))/VLOOKUP(A69,Data!$A:$AN,MATCH(yoy!$S$1,Data!$A$1:$AN$1,),))+1)^12-1)</f>
        <v/>
      </c>
      <c r="T69" s="14">
        <f>IF(VLOOKUP(B69,Data!$A:$AN,MATCH(yoy!$T$1,Data!$A$1:$AN$1,),)=0,"#N/A",(((VLOOKUP(B69,Data!$A:$AN,MATCH(yoy!$T$1,Data!$A$1:$AN$1,),)-VLOOKUP(A69,Data!$A:$AN,MATCH(yoy!$T$1,Data!$A$1:$AN$1,),))/VLOOKUP(A69,Data!$A:$AN,MATCH(yoy!$T$1,Data!$A$1:$AN$1,),))+1)^12-1)</f>
        <v/>
      </c>
      <c r="U69" s="14">
        <f>IF(VLOOKUP(B69,Data!$A:$AN,MATCH(yoy!$U$1,Data!$A$1:$AN$1,),)=0,"#N/A",(((VLOOKUP(B69,Data!$A:$AN,MATCH(yoy!$U$1,Data!$A$1:$AN$1,),)-VLOOKUP(A69,Data!$A:$AN,MATCH(yoy!$U$1,Data!$A$1:$AN$1,),))/VLOOKUP(A69,Data!$A:$AN,MATCH(yoy!$U$1,Data!$A$1:$AN$1,),))+1)^12-1)</f>
        <v/>
      </c>
      <c r="V69" s="14">
        <f>IF(VLOOKUP(B69,Data!$A:$AN,MATCH(yoy!$V$1,Data!$A$1:$AN$1,),)=0,"#N/A",(((VLOOKUP(B69,Data!$A:$AN,MATCH(yoy!$V$1,Data!$A$1:$AN$1,),)-VLOOKUP(A69,Data!$A:$AN,MATCH(yoy!$V$1,Data!$A$1:$AN$1,),))/VLOOKUP(A69,Data!$A:$AN,MATCH(yoy!$V$1,Data!$A$1:$AN$1,),))+1)^12-1)</f>
        <v/>
      </c>
      <c r="W69" s="14">
        <f>IF(VLOOKUP(B69,Data!$A:$AN,MATCH(yoy!$W$1,Data!$A$1:$AN$1,),)=0,"#N/A",(((VLOOKUP(B69,Data!$A:$AN,MATCH(yoy!$W$1,Data!$A$1:$AN$1,),)-VLOOKUP(A69,Data!$A:$AN,MATCH(yoy!$W$1,Data!$A$1:$AN$1,),))/VLOOKUP(A69,Data!$A:$AN,MATCH(yoy!$W$1,Data!$A$1:$AN$1,),))+1)^12-1)</f>
        <v/>
      </c>
      <c r="X69" s="14">
        <f>IF(VLOOKUP(B69,Data!$A:$AN,MATCH(yoy!$X$1,Data!$A$1:$AN$1,),)=0,"#N/A",(((VLOOKUP(B69,Data!$A:$AN,MATCH(yoy!$X$1,Data!$A$1:$AN$1,),)-VLOOKUP(A69,Data!$A:$AN,MATCH(yoy!$X$1,Data!$A$1:$AN$1,),))/VLOOKUP(A69,Data!$A:$AN,MATCH(yoy!$X$1,Data!$A$1:$AN$1,),))+1)^12-1)</f>
        <v/>
      </c>
      <c r="Y69" s="14">
        <f>IF(VLOOKUP(B69,Data!$A:$AN,MATCH(yoy!$Y$1,Data!$A$1:$AN$1,),)=0,"#N/A",(((VLOOKUP(B69,Data!$A:$AN,MATCH(yoy!$Y$1,Data!$A$1:$AN$1,),)-VLOOKUP(A69,Data!$A:$AN,MATCH(yoy!$Y$1,Data!$A$1:$AN$1,),))/VLOOKUP(A69,Data!$A:$AN,MATCH(yoy!$Y$1,Data!$A$1:$AN$1,),))+1)^12-1)</f>
        <v/>
      </c>
      <c r="Z69" s="14">
        <f>IF(VLOOKUP(B69,Data!$A:$AN,MATCH(yoy!$Z$1,Data!$A$1:$AN$1,),)=0,"#N/A",(((VLOOKUP(B69,Data!$A:$AN,MATCH(yoy!$Z$1,Data!$A$1:$AN$1,),)-VLOOKUP(A69,Data!$A:$AN,MATCH(yoy!$Z$1,Data!$A$1:$AN$1,),))/VLOOKUP(A69,Data!$A:$AN,MATCH(yoy!$Z$1,Data!$A$1:$AN$1,),))+1)^12-1)</f>
        <v/>
      </c>
      <c r="AA69" s="14">
        <f>IF(VLOOKUP(B69,Data!$A:$AN,MATCH(yoy!$AA$1,Data!$A$1:$AN$1,),)=0,"#N/A",(((VLOOKUP(B69,Data!$A:$AN,MATCH(yoy!$AA$1,Data!$A$1:$AN$1,),)-VLOOKUP(A69,Data!$A:$AN,MATCH(yoy!$AA$1,Data!$A$1:$AN$1,),))/VLOOKUP(A69,Data!$A:$AN,MATCH(yoy!$AA$1,Data!$A$1:$AN$1,),))+1)^12-1)</f>
        <v/>
      </c>
    </row>
    <row r="70" customFormat="1" s="77">
      <c r="A70" s="20">
        <f>DATE(YEAR(B70),MONTH(B70)-1,DAY(B70))</f>
        <v/>
      </c>
      <c r="B70" s="12" t="n">
        <v>43983</v>
      </c>
      <c r="C70" s="14">
        <f>IF(VLOOKUP(B70,Data!$A:$AN,MATCH(yoy!$C$1,Data!$A$1:$AN$1,),)=0,"#N/A",(((VLOOKUP(B70,Data!$A:$AN,MATCH(yoy!$C$1,Data!$A$1:$AN$1,),)-VLOOKUP(A70,Data!$A:$AN,MATCH(yoy!$C$1,Data!$A$1:$AN$1,),))/VLOOKUP(A70,Data!$A:$AN,MATCH(yoy!$C$1,Data!$A$1:$AN$1,),))+1)^12-1)</f>
        <v/>
      </c>
      <c r="D70" s="14">
        <f>IF(VLOOKUP(B70,Data!$A:$AN,MATCH(yoy!$D$1,Data!$A$1:$AN$1,),)=0,"#N/A",(((VLOOKUP(B70,Data!$A:$AN,MATCH(yoy!$D$1,Data!$A$1:$AN$1,),)-VLOOKUP(A70,Data!$A:$AN,MATCH(yoy!$D$1,Data!$A$1:$AN$1,),))/VLOOKUP(A70,Data!$A:$AN,MATCH(yoy!$D$1,Data!$A$1:$AN$1,),))+1)^12-1)</f>
        <v/>
      </c>
      <c r="E70" s="14">
        <f>IF(VLOOKUP(B70,Data!$A:$AN,MATCH(yoy!$E$1,Data!$A$1:$AN$1,),)=0,"#N/A",(((VLOOKUP(B70,Data!$A:$AN,MATCH(yoy!$E$1,Data!$A$1:$AN$1,),)-VLOOKUP(A70,Data!$A:$AN,MATCH(yoy!$E$1,Data!$A$1:$AN$1,),))/VLOOKUP(A70,Data!$A:$AN,MATCH(yoy!$E$1,Data!$A$1:$AN$1,),))+1)^12-1)</f>
        <v/>
      </c>
      <c r="F70" s="14">
        <f>IF(VLOOKUP(B70,Data!$A:$AN,MATCH(yoy!$F$1,Data!$A$1:$AN$1,),)=0,"#N/A",(((VLOOKUP(B70,Data!$A:$AN,MATCH(yoy!$F$1,Data!$A$1:$AN$1,),)-VLOOKUP(A70,Data!$A:$AN,MATCH(yoy!$F$1,Data!$A$1:$AN$1,),))/VLOOKUP(A70,Data!$A:$AN,MATCH(yoy!$F$1,Data!$A$1:$AN$1,),))+1)^12-1)</f>
        <v/>
      </c>
      <c r="G70" s="14">
        <f>IF(VLOOKUP(B70,Data!$A:$AN,MATCH(yoy!$G$1,Data!$A$1:$AN$1,),)=0,"#N/A",(((VLOOKUP(B70,Data!$A:$AN,MATCH(yoy!$G$1,Data!$A$1:$AN$1,),)-VLOOKUP(A70,Data!$A:$AN,MATCH(yoy!$G$1,Data!$A$1:$AN$1,),))/VLOOKUP(A70,Data!$A:$AN,MATCH(yoy!$G$1,Data!$A$1:$AN$1,),))+1)^12-1)</f>
        <v/>
      </c>
      <c r="H70" s="14">
        <f>IF(VLOOKUP(B70,Data!$A:$AN,MATCH(yoy!$H$1,Data!$A$1:$AN$1,),)=0,"#N/A",(((VLOOKUP(B70,Data!$A:$AN,MATCH(yoy!$H$1,Data!$A$1:$AN$1,),)-VLOOKUP(A70,Data!$A:$AN,MATCH(yoy!$H$1,Data!$A$1:$AN$1,),))/VLOOKUP(A70,Data!$A:$AN,MATCH(yoy!$H$1,Data!$A$1:$AN$1,),))+1)^12-1)</f>
        <v/>
      </c>
      <c r="I70" s="14">
        <f>IF(VLOOKUP(B70,Data!$A:$AN,MATCH(yoy!$I$1,Data!$A$1:$AN$1,),)=0,"#N/A",(((VLOOKUP(B70,Data!$A:$AN,MATCH(yoy!$I$1,Data!$A$1:$AN$1,),)-VLOOKUP(A70,Data!$A:$AN,MATCH(yoy!$I$1,Data!$A$1:$AN$1,),))/VLOOKUP(A70,Data!$A:$AN,MATCH(yoy!$I$1,Data!$A$1:$AN$1,),))+1)^12-1)</f>
        <v/>
      </c>
      <c r="J70" s="14">
        <f>IF(VLOOKUP(B70,Data!$A:$AN,MATCH(yoy!$J$1,Data!$A$1:$AN$1,),)=0,"#N/A",(((VLOOKUP(B70,Data!$A:$AN,MATCH(yoy!$J$1,Data!$A$1:$AN$1,),)-VLOOKUP(A70,Data!$A:$AN,MATCH(yoy!$J$1,Data!$A$1:$AN$1,),))/VLOOKUP(A70,Data!$A:$AN,MATCH(yoy!$J$1,Data!$A$1:$AN$1,),))+1)^12-1)</f>
        <v/>
      </c>
      <c r="K70" s="14">
        <f>IF(VLOOKUP(B70,Data!$A:$AN,MATCH(yoy!$K$1,Data!$A$1:$AN$1,),)=0,"#N/A",(((VLOOKUP(B70,Data!$A:$AN,MATCH(yoy!$K$1,Data!$A$1:$AN$1,),)-VLOOKUP(A70,Data!$A:$AN,MATCH(yoy!$K$1,Data!$A$1:$AN$1,),))/VLOOKUP(A70,Data!$A:$AN,MATCH(yoy!$K$1,Data!$A$1:$AN$1,),))+1)^12-1)</f>
        <v/>
      </c>
      <c r="L70" s="14">
        <f>IF(VLOOKUP(B70,Data!$A:$AN,MATCH(yoy!$L$1,Data!$A$1:$AN$1,),)=0,"#N/A",(((VLOOKUP(B70,Data!$A:$AN,MATCH(yoy!$L$1,Data!$A$1:$AN$1,),)-VLOOKUP(A70,Data!$A:$AN,MATCH(yoy!$L$1,Data!$A$1:$AN$1,),))/VLOOKUP(A70,Data!$A:$AN,MATCH(yoy!$L$1,Data!$A$1:$AN$1,),))+1)^12-1)</f>
        <v/>
      </c>
      <c r="M70" s="14">
        <f>IF(VLOOKUP(B70,Data!$A:$AN,MATCH(yoy!$M$1,Data!$A$1:$AN$1,),)=0,"#N/A",(((VLOOKUP(B70,Data!$A:$AN,MATCH(yoy!$M$1,Data!$A$1:$AN$1,),)-VLOOKUP(A70,Data!$A:$AN,MATCH(yoy!$M$1,Data!$A$1:$AN$1,),))/VLOOKUP(A70,Data!$A:$AN,MATCH(yoy!$M$1,Data!$A$1:$AN$1,),))+1)^12-1)</f>
        <v/>
      </c>
      <c r="N70" s="14">
        <f>IF(VLOOKUP(B70,Data!$A:$AN,MATCH(yoy!$N$1,Data!$A$1:$AN$1,),)=0,"#N/A",(((VLOOKUP(B70,Data!$A:$AN,MATCH(yoy!$N$1,Data!$A$1:$AN$1,),)-VLOOKUP(A70,Data!$A:$AN,MATCH(yoy!$N$1,Data!$A$1:$AN$1,),))/VLOOKUP(A70,Data!$A:$AN,MATCH(yoy!$N$1,Data!$A$1:$AN$1,),))+1)^12-1)</f>
        <v/>
      </c>
      <c r="O70" s="14">
        <f>IF(VLOOKUP(B70,Data!$A:$AN,MATCH(yoy!$O$1,Data!$A$1:$AN$1,),)=0,"#N/A",(((VLOOKUP(B70,Data!$A:$AN,MATCH(yoy!$O$1,Data!$A$1:$AN$1,),)-VLOOKUP(A70,Data!$A:$AN,MATCH(yoy!$O$1,Data!$A$1:$AN$1,),))/VLOOKUP(A70,Data!$A:$AN,MATCH(yoy!$O$1,Data!$A$1:$AN$1,),))+1)^12-1)</f>
        <v/>
      </c>
      <c r="P70" s="14">
        <f>IF(VLOOKUP(B70,Data!$A:$AN,MATCH(yoy!$P$1,Data!$A$1:$AN$1,),)=0,"#N/A",(((VLOOKUP(B70,Data!$A:$AN,MATCH(yoy!$P$1,Data!$A$1:$AN$1,),)-VLOOKUP(A70,Data!$A:$AN,MATCH(yoy!$P$1,Data!$A$1:$AN$1,),))/VLOOKUP(A70,Data!$A:$AN,MATCH(yoy!$P$1,Data!$A$1:$AN$1,),))+1)^12-1)</f>
        <v/>
      </c>
      <c r="Q70" s="14">
        <f>IF(VLOOKUP(B70,Data!$A:$AN,MATCH(yoy!$Q$1,Data!$A$1:$AN$1,),)=0,"#N/A",(((VLOOKUP(B70,Data!$A:$AN,MATCH(yoy!$Q$1,Data!$A$1:$AN$1,),)-VLOOKUP(A70,Data!$A:$AN,MATCH(yoy!$Q$1,Data!$A$1:$AN$1,),))/VLOOKUP(A70,Data!$A:$AN,MATCH(yoy!$Q$1,Data!$A$1:$AN$1,),))+1)^12-1)</f>
        <v/>
      </c>
      <c r="R70" s="14">
        <f>IF(VLOOKUP(B70,Data!$A:$AN,MATCH(yoy!$R$1,Data!$A$1:$AN$1,),)=0,"#N/A",(((VLOOKUP(B70,Data!$A:$AN,MATCH(yoy!$R$1,Data!$A$1:$AN$1,),)-VLOOKUP(A70,Data!$A:$AN,MATCH(yoy!$R$1,Data!$A$1:$AN$1,),))/VLOOKUP(A70,Data!$A:$AN,MATCH(yoy!$R$1,Data!$A$1:$AN$1,),))+1)^12-1)</f>
        <v/>
      </c>
      <c r="S70" s="14">
        <f>IF(VLOOKUP(B70,Data!$A:$AN,MATCH(yoy!$S$1,Data!$A$1:$AN$1,),)=0,"#N/A",(((VLOOKUP(B70,Data!$A:$AN,MATCH(yoy!$S$1,Data!$A$1:$AN$1,),)-VLOOKUP(A70,Data!$A:$AN,MATCH(yoy!$S$1,Data!$A$1:$AN$1,),))/VLOOKUP(A70,Data!$A:$AN,MATCH(yoy!$S$1,Data!$A$1:$AN$1,),))+1)^12-1)</f>
        <v/>
      </c>
      <c r="T70" s="14">
        <f>IF(VLOOKUP(B70,Data!$A:$AN,MATCH(yoy!$T$1,Data!$A$1:$AN$1,),)=0,"#N/A",(((VLOOKUP(B70,Data!$A:$AN,MATCH(yoy!$T$1,Data!$A$1:$AN$1,),)-VLOOKUP(A70,Data!$A:$AN,MATCH(yoy!$T$1,Data!$A$1:$AN$1,),))/VLOOKUP(A70,Data!$A:$AN,MATCH(yoy!$T$1,Data!$A$1:$AN$1,),))+1)^12-1)</f>
        <v/>
      </c>
      <c r="U70" s="14">
        <f>IF(VLOOKUP(B70,Data!$A:$AN,MATCH(yoy!$U$1,Data!$A$1:$AN$1,),)=0,"#N/A",(((VLOOKUP(B70,Data!$A:$AN,MATCH(yoy!$U$1,Data!$A$1:$AN$1,),)-VLOOKUP(A70,Data!$A:$AN,MATCH(yoy!$U$1,Data!$A$1:$AN$1,),))/VLOOKUP(A70,Data!$A:$AN,MATCH(yoy!$U$1,Data!$A$1:$AN$1,),))+1)^12-1)</f>
        <v/>
      </c>
      <c r="V70" s="14">
        <f>IF(VLOOKUP(B70,Data!$A:$AN,MATCH(yoy!$V$1,Data!$A$1:$AN$1,),)=0,"#N/A",(((VLOOKUP(B70,Data!$A:$AN,MATCH(yoy!$V$1,Data!$A$1:$AN$1,),)-VLOOKUP(A70,Data!$A:$AN,MATCH(yoy!$V$1,Data!$A$1:$AN$1,),))/VLOOKUP(A70,Data!$A:$AN,MATCH(yoy!$V$1,Data!$A$1:$AN$1,),))+1)^12-1)</f>
        <v/>
      </c>
      <c r="W70" s="14">
        <f>IF(VLOOKUP(B70,Data!$A:$AN,MATCH(yoy!$W$1,Data!$A$1:$AN$1,),)=0,"#N/A",(((VLOOKUP(B70,Data!$A:$AN,MATCH(yoy!$W$1,Data!$A$1:$AN$1,),)-VLOOKUP(A70,Data!$A:$AN,MATCH(yoy!$W$1,Data!$A$1:$AN$1,),))/VLOOKUP(A70,Data!$A:$AN,MATCH(yoy!$W$1,Data!$A$1:$AN$1,),))+1)^12-1)</f>
        <v/>
      </c>
      <c r="X70" s="14">
        <f>IF(VLOOKUP(B70,Data!$A:$AN,MATCH(yoy!$X$1,Data!$A$1:$AN$1,),)=0,"#N/A",(((VLOOKUP(B70,Data!$A:$AN,MATCH(yoy!$X$1,Data!$A$1:$AN$1,),)-VLOOKUP(A70,Data!$A:$AN,MATCH(yoy!$X$1,Data!$A$1:$AN$1,),))/VLOOKUP(A70,Data!$A:$AN,MATCH(yoy!$X$1,Data!$A$1:$AN$1,),))+1)^12-1)</f>
        <v/>
      </c>
      <c r="Y70" s="14">
        <f>IF(VLOOKUP(B70,Data!$A:$AN,MATCH(yoy!$Y$1,Data!$A$1:$AN$1,),)=0,"#N/A",(((VLOOKUP(B70,Data!$A:$AN,MATCH(yoy!$Y$1,Data!$A$1:$AN$1,),)-VLOOKUP(A70,Data!$A:$AN,MATCH(yoy!$Y$1,Data!$A$1:$AN$1,),))/VLOOKUP(A70,Data!$A:$AN,MATCH(yoy!$Y$1,Data!$A$1:$AN$1,),))+1)^12-1)</f>
        <v/>
      </c>
      <c r="Z70" s="14">
        <f>IF(VLOOKUP(B70,Data!$A:$AN,MATCH(yoy!$Z$1,Data!$A$1:$AN$1,),)=0,"#N/A",(((VLOOKUP(B70,Data!$A:$AN,MATCH(yoy!$Z$1,Data!$A$1:$AN$1,),)-VLOOKUP(A70,Data!$A:$AN,MATCH(yoy!$Z$1,Data!$A$1:$AN$1,),))/VLOOKUP(A70,Data!$A:$AN,MATCH(yoy!$Z$1,Data!$A$1:$AN$1,),))+1)^12-1)</f>
        <v/>
      </c>
      <c r="AA70" s="14">
        <f>IF(VLOOKUP(B70,Data!$A:$AN,MATCH(yoy!$AA$1,Data!$A$1:$AN$1,),)=0,"#N/A",(((VLOOKUP(B70,Data!$A:$AN,MATCH(yoy!$AA$1,Data!$A$1:$AN$1,),)-VLOOKUP(A70,Data!$A:$AN,MATCH(yoy!$AA$1,Data!$A$1:$AN$1,),))/VLOOKUP(A70,Data!$A:$AN,MATCH(yoy!$AA$1,Data!$A$1:$AN$1,),))+1)^12-1)</f>
        <v/>
      </c>
    </row>
    <row r="71" customFormat="1" s="77">
      <c r="A71" s="20">
        <f>DATE(YEAR(B71),MONTH(B71)-1,DAY(B71))</f>
        <v/>
      </c>
      <c r="B71" s="12" t="n">
        <v>44013</v>
      </c>
      <c r="C71" s="14">
        <f>IF(VLOOKUP(B71,Data!$A:$AN,MATCH(yoy!$C$1,Data!$A$1:$AN$1,),)=0,"#N/A",(((VLOOKUP(B71,Data!$A:$AN,MATCH(yoy!$C$1,Data!$A$1:$AN$1,),)-VLOOKUP(A71,Data!$A:$AN,MATCH(yoy!$C$1,Data!$A$1:$AN$1,),))/VLOOKUP(A71,Data!$A:$AN,MATCH(yoy!$C$1,Data!$A$1:$AN$1,),))+1)^12-1)</f>
        <v/>
      </c>
      <c r="D71" s="14">
        <f>IF(VLOOKUP(B71,Data!$A:$AN,MATCH(yoy!$D$1,Data!$A$1:$AN$1,),)=0,"#N/A",(((VLOOKUP(B71,Data!$A:$AN,MATCH(yoy!$D$1,Data!$A$1:$AN$1,),)-VLOOKUP(A71,Data!$A:$AN,MATCH(yoy!$D$1,Data!$A$1:$AN$1,),))/VLOOKUP(A71,Data!$A:$AN,MATCH(yoy!$D$1,Data!$A$1:$AN$1,),))+1)^12-1)</f>
        <v/>
      </c>
      <c r="E71" s="14">
        <f>IF(VLOOKUP(B71,Data!$A:$AN,MATCH(yoy!$E$1,Data!$A$1:$AN$1,),)=0,"#N/A",(((VLOOKUP(B71,Data!$A:$AN,MATCH(yoy!$E$1,Data!$A$1:$AN$1,),)-VLOOKUP(A71,Data!$A:$AN,MATCH(yoy!$E$1,Data!$A$1:$AN$1,),))/VLOOKUP(A71,Data!$A:$AN,MATCH(yoy!$E$1,Data!$A$1:$AN$1,),))+1)^12-1)</f>
        <v/>
      </c>
      <c r="F71" s="14">
        <f>IF(VLOOKUP(B71,Data!$A:$AN,MATCH(yoy!$F$1,Data!$A$1:$AN$1,),)=0,"#N/A",(((VLOOKUP(B71,Data!$A:$AN,MATCH(yoy!$F$1,Data!$A$1:$AN$1,),)-VLOOKUP(A71,Data!$A:$AN,MATCH(yoy!$F$1,Data!$A$1:$AN$1,),))/VLOOKUP(A71,Data!$A:$AN,MATCH(yoy!$F$1,Data!$A$1:$AN$1,),))+1)^12-1)</f>
        <v/>
      </c>
      <c r="G71" s="14">
        <f>IF(VLOOKUP(B71,Data!$A:$AN,MATCH(yoy!$G$1,Data!$A$1:$AN$1,),)=0,"#N/A",(((VLOOKUP(B71,Data!$A:$AN,MATCH(yoy!$G$1,Data!$A$1:$AN$1,),)-VLOOKUP(A71,Data!$A:$AN,MATCH(yoy!$G$1,Data!$A$1:$AN$1,),))/VLOOKUP(A71,Data!$A:$AN,MATCH(yoy!$G$1,Data!$A$1:$AN$1,),))+1)^12-1)</f>
        <v/>
      </c>
      <c r="H71" s="14">
        <f>IF(VLOOKUP(B71,Data!$A:$AN,MATCH(yoy!$H$1,Data!$A$1:$AN$1,),)=0,"#N/A",(((VLOOKUP(B71,Data!$A:$AN,MATCH(yoy!$H$1,Data!$A$1:$AN$1,),)-VLOOKUP(A71,Data!$A:$AN,MATCH(yoy!$H$1,Data!$A$1:$AN$1,),))/VLOOKUP(A71,Data!$A:$AN,MATCH(yoy!$H$1,Data!$A$1:$AN$1,),))+1)^12-1)</f>
        <v/>
      </c>
      <c r="I71" s="14">
        <f>IF(VLOOKUP(B71,Data!$A:$AN,MATCH(yoy!$I$1,Data!$A$1:$AN$1,),)=0,"#N/A",(((VLOOKUP(B71,Data!$A:$AN,MATCH(yoy!$I$1,Data!$A$1:$AN$1,),)-VLOOKUP(A71,Data!$A:$AN,MATCH(yoy!$I$1,Data!$A$1:$AN$1,),))/VLOOKUP(A71,Data!$A:$AN,MATCH(yoy!$I$1,Data!$A$1:$AN$1,),))+1)^12-1)</f>
        <v/>
      </c>
      <c r="J71" s="14">
        <f>IF(VLOOKUP(B71,Data!$A:$AN,MATCH(yoy!$J$1,Data!$A$1:$AN$1,),)=0,"#N/A",(((VLOOKUP(B71,Data!$A:$AN,MATCH(yoy!$J$1,Data!$A$1:$AN$1,),)-VLOOKUP(A71,Data!$A:$AN,MATCH(yoy!$J$1,Data!$A$1:$AN$1,),))/VLOOKUP(A71,Data!$A:$AN,MATCH(yoy!$J$1,Data!$A$1:$AN$1,),))+1)^12-1)</f>
        <v/>
      </c>
      <c r="K71" s="14">
        <f>IF(VLOOKUP(B71,Data!$A:$AN,MATCH(yoy!$K$1,Data!$A$1:$AN$1,),)=0,"#N/A",(((VLOOKUP(B71,Data!$A:$AN,MATCH(yoy!$K$1,Data!$A$1:$AN$1,),)-VLOOKUP(A71,Data!$A:$AN,MATCH(yoy!$K$1,Data!$A$1:$AN$1,),))/VLOOKUP(A71,Data!$A:$AN,MATCH(yoy!$K$1,Data!$A$1:$AN$1,),))+1)^12-1)</f>
        <v/>
      </c>
      <c r="L71" s="14">
        <f>IF(VLOOKUP(B71,Data!$A:$AN,MATCH(yoy!$L$1,Data!$A$1:$AN$1,),)=0,"#N/A",(((VLOOKUP(B71,Data!$A:$AN,MATCH(yoy!$L$1,Data!$A$1:$AN$1,),)-VLOOKUP(A71,Data!$A:$AN,MATCH(yoy!$L$1,Data!$A$1:$AN$1,),))/VLOOKUP(A71,Data!$A:$AN,MATCH(yoy!$L$1,Data!$A$1:$AN$1,),))+1)^12-1)</f>
        <v/>
      </c>
      <c r="M71" s="14">
        <f>IF(VLOOKUP(B71,Data!$A:$AN,MATCH(yoy!$M$1,Data!$A$1:$AN$1,),)=0,"#N/A",(((VLOOKUP(B71,Data!$A:$AN,MATCH(yoy!$M$1,Data!$A$1:$AN$1,),)-VLOOKUP(A71,Data!$A:$AN,MATCH(yoy!$M$1,Data!$A$1:$AN$1,),))/VLOOKUP(A71,Data!$A:$AN,MATCH(yoy!$M$1,Data!$A$1:$AN$1,),))+1)^12-1)</f>
        <v/>
      </c>
      <c r="N71" s="14">
        <f>IF(VLOOKUP(B71,Data!$A:$AN,MATCH(yoy!$N$1,Data!$A$1:$AN$1,),)=0,"#N/A",(((VLOOKUP(B71,Data!$A:$AN,MATCH(yoy!$N$1,Data!$A$1:$AN$1,),)-VLOOKUP(A71,Data!$A:$AN,MATCH(yoy!$N$1,Data!$A$1:$AN$1,),))/VLOOKUP(A71,Data!$A:$AN,MATCH(yoy!$N$1,Data!$A$1:$AN$1,),))+1)^12-1)</f>
        <v/>
      </c>
      <c r="O71" s="14">
        <f>IF(VLOOKUP(B71,Data!$A:$AN,MATCH(yoy!$O$1,Data!$A$1:$AN$1,),)=0,"#N/A",(((VLOOKUP(B71,Data!$A:$AN,MATCH(yoy!$O$1,Data!$A$1:$AN$1,),)-VLOOKUP(A71,Data!$A:$AN,MATCH(yoy!$O$1,Data!$A$1:$AN$1,),))/VLOOKUP(A71,Data!$A:$AN,MATCH(yoy!$O$1,Data!$A$1:$AN$1,),))+1)^12-1)</f>
        <v/>
      </c>
      <c r="P71" s="14">
        <f>IF(VLOOKUP(B71,Data!$A:$AN,MATCH(yoy!$P$1,Data!$A$1:$AN$1,),)=0,"#N/A",(((VLOOKUP(B71,Data!$A:$AN,MATCH(yoy!$P$1,Data!$A$1:$AN$1,),)-VLOOKUP(A71,Data!$A:$AN,MATCH(yoy!$P$1,Data!$A$1:$AN$1,),))/VLOOKUP(A71,Data!$A:$AN,MATCH(yoy!$P$1,Data!$A$1:$AN$1,),))+1)^12-1)</f>
        <v/>
      </c>
      <c r="Q71" s="14">
        <f>IF(VLOOKUP(B71,Data!$A:$AN,MATCH(yoy!$Q$1,Data!$A$1:$AN$1,),)=0,"#N/A",(((VLOOKUP(B71,Data!$A:$AN,MATCH(yoy!$Q$1,Data!$A$1:$AN$1,),)-VLOOKUP(A71,Data!$A:$AN,MATCH(yoy!$Q$1,Data!$A$1:$AN$1,),))/VLOOKUP(A71,Data!$A:$AN,MATCH(yoy!$Q$1,Data!$A$1:$AN$1,),))+1)^12-1)</f>
        <v/>
      </c>
      <c r="R71" s="14">
        <f>IF(VLOOKUP(B71,Data!$A:$AN,MATCH(yoy!$R$1,Data!$A$1:$AN$1,),)=0,"#N/A",(((VLOOKUP(B71,Data!$A:$AN,MATCH(yoy!$R$1,Data!$A$1:$AN$1,),)-VLOOKUP(A71,Data!$A:$AN,MATCH(yoy!$R$1,Data!$A$1:$AN$1,),))/VLOOKUP(A71,Data!$A:$AN,MATCH(yoy!$R$1,Data!$A$1:$AN$1,),))+1)^12-1)</f>
        <v/>
      </c>
      <c r="S71" s="14">
        <f>IF(VLOOKUP(B71,Data!$A:$AN,MATCH(yoy!$S$1,Data!$A$1:$AN$1,),)=0,"#N/A",(((VLOOKUP(B71,Data!$A:$AN,MATCH(yoy!$S$1,Data!$A$1:$AN$1,),)-VLOOKUP(A71,Data!$A:$AN,MATCH(yoy!$S$1,Data!$A$1:$AN$1,),))/VLOOKUP(A71,Data!$A:$AN,MATCH(yoy!$S$1,Data!$A$1:$AN$1,),))+1)^12-1)</f>
        <v/>
      </c>
      <c r="T71" s="14">
        <f>IF(VLOOKUP(B71,Data!$A:$AN,MATCH(yoy!$T$1,Data!$A$1:$AN$1,),)=0,"#N/A",(((VLOOKUP(B71,Data!$A:$AN,MATCH(yoy!$T$1,Data!$A$1:$AN$1,),)-VLOOKUP(A71,Data!$A:$AN,MATCH(yoy!$T$1,Data!$A$1:$AN$1,),))/VLOOKUP(A71,Data!$A:$AN,MATCH(yoy!$T$1,Data!$A$1:$AN$1,),))+1)^12-1)</f>
        <v/>
      </c>
      <c r="U71" s="14">
        <f>IF(VLOOKUP(B71,Data!$A:$AN,MATCH(yoy!$U$1,Data!$A$1:$AN$1,),)=0,"#N/A",(((VLOOKUP(B71,Data!$A:$AN,MATCH(yoy!$U$1,Data!$A$1:$AN$1,),)-VLOOKUP(A71,Data!$A:$AN,MATCH(yoy!$U$1,Data!$A$1:$AN$1,),))/VLOOKUP(A71,Data!$A:$AN,MATCH(yoy!$U$1,Data!$A$1:$AN$1,),))+1)^12-1)</f>
        <v/>
      </c>
      <c r="V71" s="14">
        <f>IF(VLOOKUP(B71,Data!$A:$AN,MATCH(yoy!$V$1,Data!$A$1:$AN$1,),)=0,"#N/A",(((VLOOKUP(B71,Data!$A:$AN,MATCH(yoy!$V$1,Data!$A$1:$AN$1,),)-VLOOKUP(A71,Data!$A:$AN,MATCH(yoy!$V$1,Data!$A$1:$AN$1,),))/VLOOKUP(A71,Data!$A:$AN,MATCH(yoy!$V$1,Data!$A$1:$AN$1,),))+1)^12-1)</f>
        <v/>
      </c>
      <c r="W71" s="14">
        <f>IF(VLOOKUP(B71,Data!$A:$AN,MATCH(yoy!$W$1,Data!$A$1:$AN$1,),)=0,"#N/A",(((VLOOKUP(B71,Data!$A:$AN,MATCH(yoy!$W$1,Data!$A$1:$AN$1,),)-VLOOKUP(A71,Data!$A:$AN,MATCH(yoy!$W$1,Data!$A$1:$AN$1,),))/VLOOKUP(A71,Data!$A:$AN,MATCH(yoy!$W$1,Data!$A$1:$AN$1,),))+1)^12-1)</f>
        <v/>
      </c>
      <c r="X71" s="14">
        <f>IF(VLOOKUP(B71,Data!$A:$AN,MATCH(yoy!$X$1,Data!$A$1:$AN$1,),)=0,"#N/A",(((VLOOKUP(B71,Data!$A:$AN,MATCH(yoy!$X$1,Data!$A$1:$AN$1,),)-VLOOKUP(A71,Data!$A:$AN,MATCH(yoy!$X$1,Data!$A$1:$AN$1,),))/VLOOKUP(A71,Data!$A:$AN,MATCH(yoy!$X$1,Data!$A$1:$AN$1,),))+1)^12-1)</f>
        <v/>
      </c>
      <c r="Y71" s="14">
        <f>IF(VLOOKUP(B71,Data!$A:$AN,MATCH(yoy!$Y$1,Data!$A$1:$AN$1,),)=0,"#N/A",(((VLOOKUP(B71,Data!$A:$AN,MATCH(yoy!$Y$1,Data!$A$1:$AN$1,),)-VLOOKUP(A71,Data!$A:$AN,MATCH(yoy!$Y$1,Data!$A$1:$AN$1,),))/VLOOKUP(A71,Data!$A:$AN,MATCH(yoy!$Y$1,Data!$A$1:$AN$1,),))+1)^12-1)</f>
        <v/>
      </c>
      <c r="Z71" s="14">
        <f>IF(VLOOKUP(B71,Data!$A:$AN,MATCH(yoy!$Z$1,Data!$A$1:$AN$1,),)=0,"#N/A",(((VLOOKUP(B71,Data!$A:$AN,MATCH(yoy!$Z$1,Data!$A$1:$AN$1,),)-VLOOKUP(A71,Data!$A:$AN,MATCH(yoy!$Z$1,Data!$A$1:$AN$1,),))/VLOOKUP(A71,Data!$A:$AN,MATCH(yoy!$Z$1,Data!$A$1:$AN$1,),))+1)^12-1)</f>
        <v/>
      </c>
      <c r="AA71" s="14">
        <f>IF(VLOOKUP(B71,Data!$A:$AN,MATCH(yoy!$AA$1,Data!$A$1:$AN$1,),)=0,"#N/A",(((VLOOKUP(B71,Data!$A:$AN,MATCH(yoy!$AA$1,Data!$A$1:$AN$1,),)-VLOOKUP(A71,Data!$A:$AN,MATCH(yoy!$AA$1,Data!$A$1:$AN$1,),))/VLOOKUP(A71,Data!$A:$AN,MATCH(yoy!$AA$1,Data!$A$1:$AN$1,),))+1)^12-1)</f>
        <v/>
      </c>
    </row>
    <row r="72" customFormat="1" s="77">
      <c r="A72" s="20">
        <f>DATE(YEAR(B72),MONTH(B72)-1,DAY(B72))</f>
        <v/>
      </c>
      <c r="B72" s="12" t="n">
        <v>44044</v>
      </c>
      <c r="C72" s="14">
        <f>IF(VLOOKUP(B72,Data!$A:$AN,MATCH(yoy!$C$1,Data!$A$1:$AN$1,),)=0,"#N/A",(((VLOOKUP(B72,Data!$A:$AN,MATCH(yoy!$C$1,Data!$A$1:$AN$1,),)-VLOOKUP(A72,Data!$A:$AN,MATCH(yoy!$C$1,Data!$A$1:$AN$1,),))/VLOOKUP(A72,Data!$A:$AN,MATCH(yoy!$C$1,Data!$A$1:$AN$1,),))+1)^12-1)</f>
        <v/>
      </c>
      <c r="D72" s="14">
        <f>IF(VLOOKUP(B72,Data!$A:$AN,MATCH(yoy!$D$1,Data!$A$1:$AN$1,),)=0,"#N/A",(((VLOOKUP(B72,Data!$A:$AN,MATCH(yoy!$D$1,Data!$A$1:$AN$1,),)-VLOOKUP(A72,Data!$A:$AN,MATCH(yoy!$D$1,Data!$A$1:$AN$1,),))/VLOOKUP(A72,Data!$A:$AN,MATCH(yoy!$D$1,Data!$A$1:$AN$1,),))+1)^12-1)</f>
        <v/>
      </c>
      <c r="E72" s="14">
        <f>IF(VLOOKUP(B72,Data!$A:$AN,MATCH(yoy!$E$1,Data!$A$1:$AN$1,),)=0,"#N/A",(((VLOOKUP(B72,Data!$A:$AN,MATCH(yoy!$E$1,Data!$A$1:$AN$1,),)-VLOOKUP(A72,Data!$A:$AN,MATCH(yoy!$E$1,Data!$A$1:$AN$1,),))/VLOOKUP(A72,Data!$A:$AN,MATCH(yoy!$E$1,Data!$A$1:$AN$1,),))+1)^12-1)</f>
        <v/>
      </c>
      <c r="F72" s="14">
        <f>IF(VLOOKUP(B72,Data!$A:$AN,MATCH(yoy!$F$1,Data!$A$1:$AN$1,),)=0,"#N/A",(((VLOOKUP(B72,Data!$A:$AN,MATCH(yoy!$F$1,Data!$A$1:$AN$1,),)-VLOOKUP(A72,Data!$A:$AN,MATCH(yoy!$F$1,Data!$A$1:$AN$1,),))/VLOOKUP(A72,Data!$A:$AN,MATCH(yoy!$F$1,Data!$A$1:$AN$1,),))+1)^12-1)</f>
        <v/>
      </c>
      <c r="G72" s="14">
        <f>IF(VLOOKUP(B72,Data!$A:$AN,MATCH(yoy!$G$1,Data!$A$1:$AN$1,),)=0,"#N/A",(((VLOOKUP(B72,Data!$A:$AN,MATCH(yoy!$G$1,Data!$A$1:$AN$1,),)-VLOOKUP(A72,Data!$A:$AN,MATCH(yoy!$G$1,Data!$A$1:$AN$1,),))/VLOOKUP(A72,Data!$A:$AN,MATCH(yoy!$G$1,Data!$A$1:$AN$1,),))+1)^12-1)</f>
        <v/>
      </c>
      <c r="H72" s="14">
        <f>IF(VLOOKUP(B72,Data!$A:$AN,MATCH(yoy!$H$1,Data!$A$1:$AN$1,),)=0,"#N/A",(((VLOOKUP(B72,Data!$A:$AN,MATCH(yoy!$H$1,Data!$A$1:$AN$1,),)-VLOOKUP(A72,Data!$A:$AN,MATCH(yoy!$H$1,Data!$A$1:$AN$1,),))/VLOOKUP(A72,Data!$A:$AN,MATCH(yoy!$H$1,Data!$A$1:$AN$1,),))+1)^12-1)</f>
        <v/>
      </c>
      <c r="I72" s="14">
        <f>IF(VLOOKUP(B72,Data!$A:$AN,MATCH(yoy!$I$1,Data!$A$1:$AN$1,),)=0,"#N/A",(((VLOOKUP(B72,Data!$A:$AN,MATCH(yoy!$I$1,Data!$A$1:$AN$1,),)-VLOOKUP(A72,Data!$A:$AN,MATCH(yoy!$I$1,Data!$A$1:$AN$1,),))/VLOOKUP(A72,Data!$A:$AN,MATCH(yoy!$I$1,Data!$A$1:$AN$1,),))+1)^12-1)</f>
        <v/>
      </c>
      <c r="J72" s="14">
        <f>IF(VLOOKUP(B72,Data!$A:$AN,MATCH(yoy!$J$1,Data!$A$1:$AN$1,),)=0,"#N/A",(((VLOOKUP(B72,Data!$A:$AN,MATCH(yoy!$J$1,Data!$A$1:$AN$1,),)-VLOOKUP(A72,Data!$A:$AN,MATCH(yoy!$J$1,Data!$A$1:$AN$1,),))/VLOOKUP(A72,Data!$A:$AN,MATCH(yoy!$J$1,Data!$A$1:$AN$1,),))+1)^12-1)</f>
        <v/>
      </c>
      <c r="K72" s="14">
        <f>IF(VLOOKUP(B72,Data!$A:$AN,MATCH(yoy!$K$1,Data!$A$1:$AN$1,),)=0,"#N/A",(((VLOOKUP(B72,Data!$A:$AN,MATCH(yoy!$K$1,Data!$A$1:$AN$1,),)-VLOOKUP(A72,Data!$A:$AN,MATCH(yoy!$K$1,Data!$A$1:$AN$1,),))/VLOOKUP(A72,Data!$A:$AN,MATCH(yoy!$K$1,Data!$A$1:$AN$1,),))+1)^12-1)</f>
        <v/>
      </c>
      <c r="L72" s="14">
        <f>IF(VLOOKUP(B72,Data!$A:$AN,MATCH(yoy!$L$1,Data!$A$1:$AN$1,),)=0,"#N/A",(((VLOOKUP(B72,Data!$A:$AN,MATCH(yoy!$L$1,Data!$A$1:$AN$1,),)-VLOOKUP(A72,Data!$A:$AN,MATCH(yoy!$L$1,Data!$A$1:$AN$1,),))/VLOOKUP(A72,Data!$A:$AN,MATCH(yoy!$L$1,Data!$A$1:$AN$1,),))+1)^12-1)</f>
        <v/>
      </c>
      <c r="M72" s="14">
        <f>IF(VLOOKUP(B72,Data!$A:$AN,MATCH(yoy!$M$1,Data!$A$1:$AN$1,),)=0,"#N/A",(((VLOOKUP(B72,Data!$A:$AN,MATCH(yoy!$M$1,Data!$A$1:$AN$1,),)-VLOOKUP(A72,Data!$A:$AN,MATCH(yoy!$M$1,Data!$A$1:$AN$1,),))/VLOOKUP(A72,Data!$A:$AN,MATCH(yoy!$M$1,Data!$A$1:$AN$1,),))+1)^12-1)</f>
        <v/>
      </c>
      <c r="N72" s="14">
        <f>IF(VLOOKUP(B72,Data!$A:$AN,MATCH(yoy!$N$1,Data!$A$1:$AN$1,),)=0,"#N/A",(((VLOOKUP(B72,Data!$A:$AN,MATCH(yoy!$N$1,Data!$A$1:$AN$1,),)-VLOOKUP(A72,Data!$A:$AN,MATCH(yoy!$N$1,Data!$A$1:$AN$1,),))/VLOOKUP(A72,Data!$A:$AN,MATCH(yoy!$N$1,Data!$A$1:$AN$1,),))+1)^12-1)</f>
        <v/>
      </c>
      <c r="O72" s="14">
        <f>IF(VLOOKUP(B72,Data!$A:$AN,MATCH(yoy!$O$1,Data!$A$1:$AN$1,),)=0,"#N/A",(((VLOOKUP(B72,Data!$A:$AN,MATCH(yoy!$O$1,Data!$A$1:$AN$1,),)-VLOOKUP(A72,Data!$A:$AN,MATCH(yoy!$O$1,Data!$A$1:$AN$1,),))/VLOOKUP(A72,Data!$A:$AN,MATCH(yoy!$O$1,Data!$A$1:$AN$1,),))+1)^12-1)</f>
        <v/>
      </c>
      <c r="P72" s="14">
        <f>IF(VLOOKUP(B72,Data!$A:$AN,MATCH(yoy!$P$1,Data!$A$1:$AN$1,),)=0,"#N/A",(((VLOOKUP(B72,Data!$A:$AN,MATCH(yoy!$P$1,Data!$A$1:$AN$1,),)-VLOOKUP(A72,Data!$A:$AN,MATCH(yoy!$P$1,Data!$A$1:$AN$1,),))/VLOOKUP(A72,Data!$A:$AN,MATCH(yoy!$P$1,Data!$A$1:$AN$1,),))+1)^12-1)</f>
        <v/>
      </c>
      <c r="Q72" s="14">
        <f>IF(VLOOKUP(B72,Data!$A:$AN,MATCH(yoy!$Q$1,Data!$A$1:$AN$1,),)=0,"#N/A",(((VLOOKUP(B72,Data!$A:$AN,MATCH(yoy!$Q$1,Data!$A$1:$AN$1,),)-VLOOKUP(A72,Data!$A:$AN,MATCH(yoy!$Q$1,Data!$A$1:$AN$1,),))/VLOOKUP(A72,Data!$A:$AN,MATCH(yoy!$Q$1,Data!$A$1:$AN$1,),))+1)^12-1)</f>
        <v/>
      </c>
      <c r="R72" s="14">
        <f>IF(VLOOKUP(B72,Data!$A:$AN,MATCH(yoy!$R$1,Data!$A$1:$AN$1,),)=0,"#N/A",(((VLOOKUP(B72,Data!$A:$AN,MATCH(yoy!$R$1,Data!$A$1:$AN$1,),)-VLOOKUP(A72,Data!$A:$AN,MATCH(yoy!$R$1,Data!$A$1:$AN$1,),))/VLOOKUP(A72,Data!$A:$AN,MATCH(yoy!$R$1,Data!$A$1:$AN$1,),))+1)^12-1)</f>
        <v/>
      </c>
      <c r="S72" s="14">
        <f>IF(VLOOKUP(B72,Data!$A:$AN,MATCH(yoy!$S$1,Data!$A$1:$AN$1,),)=0,"#N/A",(((VLOOKUP(B72,Data!$A:$AN,MATCH(yoy!$S$1,Data!$A$1:$AN$1,),)-VLOOKUP(A72,Data!$A:$AN,MATCH(yoy!$S$1,Data!$A$1:$AN$1,),))/VLOOKUP(A72,Data!$A:$AN,MATCH(yoy!$S$1,Data!$A$1:$AN$1,),))+1)^12-1)</f>
        <v/>
      </c>
      <c r="T72" s="14">
        <f>IF(VLOOKUP(B72,Data!$A:$AN,MATCH(yoy!$T$1,Data!$A$1:$AN$1,),)=0,"#N/A",(((VLOOKUP(B72,Data!$A:$AN,MATCH(yoy!$T$1,Data!$A$1:$AN$1,),)-VLOOKUP(A72,Data!$A:$AN,MATCH(yoy!$T$1,Data!$A$1:$AN$1,),))/VLOOKUP(A72,Data!$A:$AN,MATCH(yoy!$T$1,Data!$A$1:$AN$1,),))+1)^12-1)</f>
        <v/>
      </c>
      <c r="U72" s="14">
        <f>IF(VLOOKUP(B72,Data!$A:$AN,MATCH(yoy!$U$1,Data!$A$1:$AN$1,),)=0,"#N/A",(((VLOOKUP(B72,Data!$A:$AN,MATCH(yoy!$U$1,Data!$A$1:$AN$1,),)-VLOOKUP(A72,Data!$A:$AN,MATCH(yoy!$U$1,Data!$A$1:$AN$1,),))/VLOOKUP(A72,Data!$A:$AN,MATCH(yoy!$U$1,Data!$A$1:$AN$1,),))+1)^12-1)</f>
        <v/>
      </c>
      <c r="V72" s="14">
        <f>IF(VLOOKUP(B72,Data!$A:$AN,MATCH(yoy!$V$1,Data!$A$1:$AN$1,),)=0,"#N/A",(((VLOOKUP(B72,Data!$A:$AN,MATCH(yoy!$V$1,Data!$A$1:$AN$1,),)-VLOOKUP(A72,Data!$A:$AN,MATCH(yoy!$V$1,Data!$A$1:$AN$1,),))/VLOOKUP(A72,Data!$A:$AN,MATCH(yoy!$V$1,Data!$A$1:$AN$1,),))+1)^12-1)</f>
        <v/>
      </c>
      <c r="W72" s="14">
        <f>IF(VLOOKUP(B72,Data!$A:$AN,MATCH(yoy!$W$1,Data!$A$1:$AN$1,),)=0,"#N/A",(((VLOOKUP(B72,Data!$A:$AN,MATCH(yoy!$W$1,Data!$A$1:$AN$1,),)-VLOOKUP(A72,Data!$A:$AN,MATCH(yoy!$W$1,Data!$A$1:$AN$1,),))/VLOOKUP(A72,Data!$A:$AN,MATCH(yoy!$W$1,Data!$A$1:$AN$1,),))+1)^12-1)</f>
        <v/>
      </c>
      <c r="X72" s="14">
        <f>IF(VLOOKUP(B72,Data!$A:$AN,MATCH(yoy!$X$1,Data!$A$1:$AN$1,),)=0,"#N/A",(((VLOOKUP(B72,Data!$A:$AN,MATCH(yoy!$X$1,Data!$A$1:$AN$1,),)-VLOOKUP(A72,Data!$A:$AN,MATCH(yoy!$X$1,Data!$A$1:$AN$1,),))/VLOOKUP(A72,Data!$A:$AN,MATCH(yoy!$X$1,Data!$A$1:$AN$1,),))+1)^12-1)</f>
        <v/>
      </c>
      <c r="Y72" s="14">
        <f>IF(VLOOKUP(B72,Data!$A:$AN,MATCH(yoy!$Y$1,Data!$A$1:$AN$1,),)=0,"#N/A",(((VLOOKUP(B72,Data!$A:$AN,MATCH(yoy!$Y$1,Data!$A$1:$AN$1,),)-VLOOKUP(A72,Data!$A:$AN,MATCH(yoy!$Y$1,Data!$A$1:$AN$1,),))/VLOOKUP(A72,Data!$A:$AN,MATCH(yoy!$Y$1,Data!$A$1:$AN$1,),))+1)^12-1)</f>
        <v/>
      </c>
      <c r="Z72" s="14">
        <f>IF(VLOOKUP(B72,Data!$A:$AN,MATCH(yoy!$Z$1,Data!$A$1:$AN$1,),)=0,"#N/A",(((VLOOKUP(B72,Data!$A:$AN,MATCH(yoy!$Z$1,Data!$A$1:$AN$1,),)-VLOOKUP(A72,Data!$A:$AN,MATCH(yoy!$Z$1,Data!$A$1:$AN$1,),))/VLOOKUP(A72,Data!$A:$AN,MATCH(yoy!$Z$1,Data!$A$1:$AN$1,),))+1)^12-1)</f>
        <v/>
      </c>
      <c r="AA72" s="14">
        <f>IF(VLOOKUP(B72,Data!$A:$AN,MATCH(yoy!$AA$1,Data!$A$1:$AN$1,),)=0,"#N/A",(((VLOOKUP(B72,Data!$A:$AN,MATCH(yoy!$AA$1,Data!$A$1:$AN$1,),)-VLOOKUP(A72,Data!$A:$AN,MATCH(yoy!$AA$1,Data!$A$1:$AN$1,),))/VLOOKUP(A72,Data!$A:$AN,MATCH(yoy!$AA$1,Data!$A$1:$AN$1,),))+1)^12-1)</f>
        <v/>
      </c>
    </row>
    <row r="73" customFormat="1" s="77">
      <c r="A73" s="20">
        <f>DATE(YEAR(B73),MONTH(B73)-1,DAY(B73))</f>
        <v/>
      </c>
      <c r="B73" s="12" t="n">
        <v>44075</v>
      </c>
      <c r="C73" s="14">
        <f>IF(VLOOKUP(B73,Data!$A:$AN,MATCH(yoy!$C$1,Data!$A$1:$AN$1,),)=0,"#N/A",(((VLOOKUP(B73,Data!$A:$AN,MATCH(yoy!$C$1,Data!$A$1:$AN$1,),)-VLOOKUP(A73,Data!$A:$AN,MATCH(yoy!$C$1,Data!$A$1:$AN$1,),))/VLOOKUP(A73,Data!$A:$AN,MATCH(yoy!$C$1,Data!$A$1:$AN$1,),))+1)^12-1)</f>
        <v/>
      </c>
      <c r="D73" s="14">
        <f>IF(VLOOKUP(B73,Data!$A:$AN,MATCH(yoy!$D$1,Data!$A$1:$AN$1,),)=0,"#N/A",(((VLOOKUP(B73,Data!$A:$AN,MATCH(yoy!$D$1,Data!$A$1:$AN$1,),)-VLOOKUP(A73,Data!$A:$AN,MATCH(yoy!$D$1,Data!$A$1:$AN$1,),))/VLOOKUP(A73,Data!$A:$AN,MATCH(yoy!$D$1,Data!$A$1:$AN$1,),))+1)^12-1)</f>
        <v/>
      </c>
      <c r="E73" s="14">
        <f>IF(VLOOKUP(B73,Data!$A:$AN,MATCH(yoy!$E$1,Data!$A$1:$AN$1,),)=0,"#N/A",(((VLOOKUP(B73,Data!$A:$AN,MATCH(yoy!$E$1,Data!$A$1:$AN$1,),)-VLOOKUP(A73,Data!$A:$AN,MATCH(yoy!$E$1,Data!$A$1:$AN$1,),))/VLOOKUP(A73,Data!$A:$AN,MATCH(yoy!$E$1,Data!$A$1:$AN$1,),))+1)^12-1)</f>
        <v/>
      </c>
      <c r="F73" s="14">
        <f>IF(VLOOKUP(B73,Data!$A:$AN,MATCH(yoy!$F$1,Data!$A$1:$AN$1,),)=0,"#N/A",(((VLOOKUP(B73,Data!$A:$AN,MATCH(yoy!$F$1,Data!$A$1:$AN$1,),)-VLOOKUP(A73,Data!$A:$AN,MATCH(yoy!$F$1,Data!$A$1:$AN$1,),))/VLOOKUP(A73,Data!$A:$AN,MATCH(yoy!$F$1,Data!$A$1:$AN$1,),))+1)^12-1)</f>
        <v/>
      </c>
      <c r="G73" s="14">
        <f>IF(VLOOKUP(B73,Data!$A:$AN,MATCH(yoy!$G$1,Data!$A$1:$AN$1,),)=0,"#N/A",(((VLOOKUP(B73,Data!$A:$AN,MATCH(yoy!$G$1,Data!$A$1:$AN$1,),)-VLOOKUP(A73,Data!$A:$AN,MATCH(yoy!$G$1,Data!$A$1:$AN$1,),))/VLOOKUP(A73,Data!$A:$AN,MATCH(yoy!$G$1,Data!$A$1:$AN$1,),))+1)^12-1)</f>
        <v/>
      </c>
      <c r="H73" s="14">
        <f>IF(VLOOKUP(B73,Data!$A:$AN,MATCH(yoy!$H$1,Data!$A$1:$AN$1,),)=0,"#N/A",(((VLOOKUP(B73,Data!$A:$AN,MATCH(yoy!$H$1,Data!$A$1:$AN$1,),)-VLOOKUP(A73,Data!$A:$AN,MATCH(yoy!$H$1,Data!$A$1:$AN$1,),))/VLOOKUP(A73,Data!$A:$AN,MATCH(yoy!$H$1,Data!$A$1:$AN$1,),))+1)^12-1)</f>
        <v/>
      </c>
      <c r="I73" s="14">
        <f>IF(VLOOKUP(B73,Data!$A:$AN,MATCH(yoy!$I$1,Data!$A$1:$AN$1,),)=0,"#N/A",(((VLOOKUP(B73,Data!$A:$AN,MATCH(yoy!$I$1,Data!$A$1:$AN$1,),)-VLOOKUP(A73,Data!$A:$AN,MATCH(yoy!$I$1,Data!$A$1:$AN$1,),))/VLOOKUP(A73,Data!$A:$AN,MATCH(yoy!$I$1,Data!$A$1:$AN$1,),))+1)^12-1)</f>
        <v/>
      </c>
      <c r="J73" s="14">
        <f>IF(VLOOKUP(B73,Data!$A:$AN,MATCH(yoy!$J$1,Data!$A$1:$AN$1,),)=0,"#N/A",(((VLOOKUP(B73,Data!$A:$AN,MATCH(yoy!$J$1,Data!$A$1:$AN$1,),)-VLOOKUP(A73,Data!$A:$AN,MATCH(yoy!$J$1,Data!$A$1:$AN$1,),))/VLOOKUP(A73,Data!$A:$AN,MATCH(yoy!$J$1,Data!$A$1:$AN$1,),))+1)^12-1)</f>
        <v/>
      </c>
      <c r="K73" s="14">
        <f>IF(VLOOKUP(B73,Data!$A:$AN,MATCH(yoy!$K$1,Data!$A$1:$AN$1,),)=0,"#N/A",(((VLOOKUP(B73,Data!$A:$AN,MATCH(yoy!$K$1,Data!$A$1:$AN$1,),)-VLOOKUP(A73,Data!$A:$AN,MATCH(yoy!$K$1,Data!$A$1:$AN$1,),))/VLOOKUP(A73,Data!$A:$AN,MATCH(yoy!$K$1,Data!$A$1:$AN$1,),))+1)^12-1)</f>
        <v/>
      </c>
      <c r="L73" s="14">
        <f>IF(VLOOKUP(B73,Data!$A:$AN,MATCH(yoy!$L$1,Data!$A$1:$AN$1,),)=0,"#N/A",(((VLOOKUP(B73,Data!$A:$AN,MATCH(yoy!$L$1,Data!$A$1:$AN$1,),)-VLOOKUP(A73,Data!$A:$AN,MATCH(yoy!$L$1,Data!$A$1:$AN$1,),))/VLOOKUP(A73,Data!$A:$AN,MATCH(yoy!$L$1,Data!$A$1:$AN$1,),))+1)^12-1)</f>
        <v/>
      </c>
      <c r="M73" s="14">
        <f>IF(VLOOKUP(B73,Data!$A:$AN,MATCH(yoy!$M$1,Data!$A$1:$AN$1,),)=0,"#N/A",(((VLOOKUP(B73,Data!$A:$AN,MATCH(yoy!$M$1,Data!$A$1:$AN$1,),)-VLOOKUP(A73,Data!$A:$AN,MATCH(yoy!$M$1,Data!$A$1:$AN$1,),))/VLOOKUP(A73,Data!$A:$AN,MATCH(yoy!$M$1,Data!$A$1:$AN$1,),))+1)^12-1)</f>
        <v/>
      </c>
      <c r="N73" s="14">
        <f>IF(VLOOKUP(B73,Data!$A:$AN,MATCH(yoy!$N$1,Data!$A$1:$AN$1,),)=0,"#N/A",(((VLOOKUP(B73,Data!$A:$AN,MATCH(yoy!$N$1,Data!$A$1:$AN$1,),)-VLOOKUP(A73,Data!$A:$AN,MATCH(yoy!$N$1,Data!$A$1:$AN$1,),))/VLOOKUP(A73,Data!$A:$AN,MATCH(yoy!$N$1,Data!$A$1:$AN$1,),))+1)^12-1)</f>
        <v/>
      </c>
      <c r="O73" s="14">
        <f>IF(VLOOKUP(B73,Data!$A:$AN,MATCH(yoy!$O$1,Data!$A$1:$AN$1,),)=0,"#N/A",(((VLOOKUP(B73,Data!$A:$AN,MATCH(yoy!$O$1,Data!$A$1:$AN$1,),)-VLOOKUP(A73,Data!$A:$AN,MATCH(yoy!$O$1,Data!$A$1:$AN$1,),))/VLOOKUP(A73,Data!$A:$AN,MATCH(yoy!$O$1,Data!$A$1:$AN$1,),))+1)^12-1)</f>
        <v/>
      </c>
      <c r="P73" s="14">
        <f>IF(VLOOKUP(B73,Data!$A:$AN,MATCH(yoy!$P$1,Data!$A$1:$AN$1,),)=0,"#N/A",(((VLOOKUP(B73,Data!$A:$AN,MATCH(yoy!$P$1,Data!$A$1:$AN$1,),)-VLOOKUP(A73,Data!$A:$AN,MATCH(yoy!$P$1,Data!$A$1:$AN$1,),))/VLOOKUP(A73,Data!$A:$AN,MATCH(yoy!$P$1,Data!$A$1:$AN$1,),))+1)^12-1)</f>
        <v/>
      </c>
      <c r="Q73" s="14">
        <f>IF(VLOOKUP(B73,Data!$A:$AN,MATCH(yoy!$Q$1,Data!$A$1:$AN$1,),)=0,"#N/A",(((VLOOKUP(B73,Data!$A:$AN,MATCH(yoy!$Q$1,Data!$A$1:$AN$1,),)-VLOOKUP(A73,Data!$A:$AN,MATCH(yoy!$Q$1,Data!$A$1:$AN$1,),))/VLOOKUP(A73,Data!$A:$AN,MATCH(yoy!$Q$1,Data!$A$1:$AN$1,),))+1)^12-1)</f>
        <v/>
      </c>
      <c r="R73" s="14">
        <f>IF(VLOOKUP(B73,Data!$A:$AN,MATCH(yoy!$R$1,Data!$A$1:$AN$1,),)=0,"#N/A",(((VLOOKUP(B73,Data!$A:$AN,MATCH(yoy!$R$1,Data!$A$1:$AN$1,),)-VLOOKUP(A73,Data!$A:$AN,MATCH(yoy!$R$1,Data!$A$1:$AN$1,),))/VLOOKUP(A73,Data!$A:$AN,MATCH(yoy!$R$1,Data!$A$1:$AN$1,),))+1)^12-1)</f>
        <v/>
      </c>
      <c r="S73" s="14">
        <f>IF(VLOOKUP(B73,Data!$A:$AN,MATCH(yoy!$S$1,Data!$A$1:$AN$1,),)=0,"#N/A",(((VLOOKUP(B73,Data!$A:$AN,MATCH(yoy!$S$1,Data!$A$1:$AN$1,),)-VLOOKUP(A73,Data!$A:$AN,MATCH(yoy!$S$1,Data!$A$1:$AN$1,),))/VLOOKUP(A73,Data!$A:$AN,MATCH(yoy!$S$1,Data!$A$1:$AN$1,),))+1)^12-1)</f>
        <v/>
      </c>
      <c r="T73" s="14">
        <f>IF(VLOOKUP(B73,Data!$A:$AN,MATCH(yoy!$T$1,Data!$A$1:$AN$1,),)=0,"#N/A",(((VLOOKUP(B73,Data!$A:$AN,MATCH(yoy!$T$1,Data!$A$1:$AN$1,),)-VLOOKUP(A73,Data!$A:$AN,MATCH(yoy!$T$1,Data!$A$1:$AN$1,),))/VLOOKUP(A73,Data!$A:$AN,MATCH(yoy!$T$1,Data!$A$1:$AN$1,),))+1)^12-1)</f>
        <v/>
      </c>
      <c r="U73" s="14">
        <f>IF(VLOOKUP(B73,Data!$A:$AN,MATCH(yoy!$U$1,Data!$A$1:$AN$1,),)=0,"#N/A",(((VLOOKUP(B73,Data!$A:$AN,MATCH(yoy!$U$1,Data!$A$1:$AN$1,),)-VLOOKUP(A73,Data!$A:$AN,MATCH(yoy!$U$1,Data!$A$1:$AN$1,),))/VLOOKUP(A73,Data!$A:$AN,MATCH(yoy!$U$1,Data!$A$1:$AN$1,),))+1)^12-1)</f>
        <v/>
      </c>
      <c r="V73" s="14">
        <f>IF(VLOOKUP(B73,Data!$A:$AN,MATCH(yoy!$V$1,Data!$A$1:$AN$1,),)=0,"#N/A",(((VLOOKUP(B73,Data!$A:$AN,MATCH(yoy!$V$1,Data!$A$1:$AN$1,),)-VLOOKUP(A73,Data!$A:$AN,MATCH(yoy!$V$1,Data!$A$1:$AN$1,),))/VLOOKUP(A73,Data!$A:$AN,MATCH(yoy!$V$1,Data!$A$1:$AN$1,),))+1)^12-1)</f>
        <v/>
      </c>
      <c r="W73" s="14">
        <f>IF(VLOOKUP(B73,Data!$A:$AN,MATCH(yoy!$W$1,Data!$A$1:$AN$1,),)=0,"#N/A",(((VLOOKUP(B73,Data!$A:$AN,MATCH(yoy!$W$1,Data!$A$1:$AN$1,),)-VLOOKUP(A73,Data!$A:$AN,MATCH(yoy!$W$1,Data!$A$1:$AN$1,),))/VLOOKUP(A73,Data!$A:$AN,MATCH(yoy!$W$1,Data!$A$1:$AN$1,),))+1)^12-1)</f>
        <v/>
      </c>
      <c r="X73" s="14">
        <f>IF(VLOOKUP(B73,Data!$A:$AN,MATCH(yoy!$X$1,Data!$A$1:$AN$1,),)=0,"#N/A",(((VLOOKUP(B73,Data!$A:$AN,MATCH(yoy!$X$1,Data!$A$1:$AN$1,),)-VLOOKUP(A73,Data!$A:$AN,MATCH(yoy!$X$1,Data!$A$1:$AN$1,),))/VLOOKUP(A73,Data!$A:$AN,MATCH(yoy!$X$1,Data!$A$1:$AN$1,),))+1)^12-1)</f>
        <v/>
      </c>
      <c r="Y73" s="14">
        <f>IF(VLOOKUP(B73,Data!$A:$AN,MATCH(yoy!$Y$1,Data!$A$1:$AN$1,),)=0,"#N/A",(((VLOOKUP(B73,Data!$A:$AN,MATCH(yoy!$Y$1,Data!$A$1:$AN$1,),)-VLOOKUP(A73,Data!$A:$AN,MATCH(yoy!$Y$1,Data!$A$1:$AN$1,),))/VLOOKUP(A73,Data!$A:$AN,MATCH(yoy!$Y$1,Data!$A$1:$AN$1,),))+1)^12-1)</f>
        <v/>
      </c>
      <c r="Z73" s="14">
        <f>IF(VLOOKUP(B73,Data!$A:$AN,MATCH(yoy!$Z$1,Data!$A$1:$AN$1,),)=0,"#N/A",(((VLOOKUP(B73,Data!$A:$AN,MATCH(yoy!$Z$1,Data!$A$1:$AN$1,),)-VLOOKUP(A73,Data!$A:$AN,MATCH(yoy!$Z$1,Data!$A$1:$AN$1,),))/VLOOKUP(A73,Data!$A:$AN,MATCH(yoy!$Z$1,Data!$A$1:$AN$1,),))+1)^12-1)</f>
        <v/>
      </c>
      <c r="AA73" s="14">
        <f>IF(VLOOKUP(B73,Data!$A:$AN,MATCH(yoy!$AA$1,Data!$A$1:$AN$1,),)=0,"#N/A",(((VLOOKUP(B73,Data!$A:$AN,MATCH(yoy!$AA$1,Data!$A$1:$AN$1,),)-VLOOKUP(A73,Data!$A:$AN,MATCH(yoy!$AA$1,Data!$A$1:$AN$1,),))/VLOOKUP(A73,Data!$A:$AN,MATCH(yoy!$AA$1,Data!$A$1:$AN$1,),))+1)^12-1)</f>
        <v/>
      </c>
    </row>
    <row r="74" customFormat="1" s="77">
      <c r="A74" s="20">
        <f>DATE(YEAR(B74),MONTH(B74)-1,DAY(B74))</f>
        <v/>
      </c>
      <c r="B74" s="12" t="n">
        <v>44105</v>
      </c>
      <c r="C74" s="14">
        <f>IF(VLOOKUP(B74,Data!$A:$AN,MATCH(yoy!$C$1,Data!$A$1:$AN$1,),)=0,"#N/A",(((VLOOKUP(B74,Data!$A:$AN,MATCH(yoy!$C$1,Data!$A$1:$AN$1,),)-VLOOKUP(A74,Data!$A:$AN,MATCH(yoy!$C$1,Data!$A$1:$AN$1,),))/VLOOKUP(A74,Data!$A:$AN,MATCH(yoy!$C$1,Data!$A$1:$AN$1,),))+1)^12-1)</f>
        <v/>
      </c>
      <c r="D74" s="14">
        <f>IF(VLOOKUP(B74,Data!$A:$AN,MATCH(yoy!$D$1,Data!$A$1:$AN$1,),)=0,"#N/A",(((VLOOKUP(B74,Data!$A:$AN,MATCH(yoy!$D$1,Data!$A$1:$AN$1,),)-VLOOKUP(A74,Data!$A:$AN,MATCH(yoy!$D$1,Data!$A$1:$AN$1,),))/VLOOKUP(A74,Data!$A:$AN,MATCH(yoy!$D$1,Data!$A$1:$AN$1,),))+1)^12-1)</f>
        <v/>
      </c>
      <c r="E74" s="14">
        <f>IF(VLOOKUP(B74,Data!$A:$AN,MATCH(yoy!$E$1,Data!$A$1:$AN$1,),)=0,"#N/A",(((VLOOKUP(B74,Data!$A:$AN,MATCH(yoy!$E$1,Data!$A$1:$AN$1,),)-VLOOKUP(A74,Data!$A:$AN,MATCH(yoy!$E$1,Data!$A$1:$AN$1,),))/VLOOKUP(A74,Data!$A:$AN,MATCH(yoy!$E$1,Data!$A$1:$AN$1,),))+1)^12-1)</f>
        <v/>
      </c>
      <c r="F74" s="14">
        <f>IF(VLOOKUP(B74,Data!$A:$AN,MATCH(yoy!$F$1,Data!$A$1:$AN$1,),)=0,"#N/A",(((VLOOKUP(B74,Data!$A:$AN,MATCH(yoy!$F$1,Data!$A$1:$AN$1,),)-VLOOKUP(A74,Data!$A:$AN,MATCH(yoy!$F$1,Data!$A$1:$AN$1,),))/VLOOKUP(A74,Data!$A:$AN,MATCH(yoy!$F$1,Data!$A$1:$AN$1,),))+1)^12-1)</f>
        <v/>
      </c>
      <c r="G74" s="14">
        <f>IF(VLOOKUP(B74,Data!$A:$AN,MATCH(yoy!$G$1,Data!$A$1:$AN$1,),)=0,"#N/A",(((VLOOKUP(B74,Data!$A:$AN,MATCH(yoy!$G$1,Data!$A$1:$AN$1,),)-VLOOKUP(A74,Data!$A:$AN,MATCH(yoy!$G$1,Data!$A$1:$AN$1,),))/VLOOKUP(A74,Data!$A:$AN,MATCH(yoy!$G$1,Data!$A$1:$AN$1,),))+1)^12-1)</f>
        <v/>
      </c>
      <c r="H74" s="14">
        <f>IF(VLOOKUP(B74,Data!$A:$AN,MATCH(yoy!$H$1,Data!$A$1:$AN$1,),)=0,"#N/A",(((VLOOKUP(B74,Data!$A:$AN,MATCH(yoy!$H$1,Data!$A$1:$AN$1,),)-VLOOKUP(A74,Data!$A:$AN,MATCH(yoy!$H$1,Data!$A$1:$AN$1,),))/VLOOKUP(A74,Data!$A:$AN,MATCH(yoy!$H$1,Data!$A$1:$AN$1,),))+1)^12-1)</f>
        <v/>
      </c>
      <c r="I74" s="14">
        <f>IF(VLOOKUP(B74,Data!$A:$AN,MATCH(yoy!$I$1,Data!$A$1:$AN$1,),)=0,"#N/A",(((VLOOKUP(B74,Data!$A:$AN,MATCH(yoy!$I$1,Data!$A$1:$AN$1,),)-VLOOKUP(A74,Data!$A:$AN,MATCH(yoy!$I$1,Data!$A$1:$AN$1,),))/VLOOKUP(A74,Data!$A:$AN,MATCH(yoy!$I$1,Data!$A$1:$AN$1,),))+1)^12-1)</f>
        <v/>
      </c>
      <c r="J74" s="14">
        <f>IF(VLOOKUP(B74,Data!$A:$AN,MATCH(yoy!$J$1,Data!$A$1:$AN$1,),)=0,"#N/A",(((VLOOKUP(B74,Data!$A:$AN,MATCH(yoy!$J$1,Data!$A$1:$AN$1,),)-VLOOKUP(A74,Data!$A:$AN,MATCH(yoy!$J$1,Data!$A$1:$AN$1,),))/VLOOKUP(A74,Data!$A:$AN,MATCH(yoy!$J$1,Data!$A$1:$AN$1,),))+1)^12-1)</f>
        <v/>
      </c>
      <c r="K74" s="14">
        <f>IF(VLOOKUP(B74,Data!$A:$AN,MATCH(yoy!$K$1,Data!$A$1:$AN$1,),)=0,"#N/A",(((VLOOKUP(B74,Data!$A:$AN,MATCH(yoy!$K$1,Data!$A$1:$AN$1,),)-VLOOKUP(A74,Data!$A:$AN,MATCH(yoy!$K$1,Data!$A$1:$AN$1,),))/VLOOKUP(A74,Data!$A:$AN,MATCH(yoy!$K$1,Data!$A$1:$AN$1,),))+1)^12-1)</f>
        <v/>
      </c>
      <c r="L74" s="14">
        <f>IF(VLOOKUP(B74,Data!$A:$AN,MATCH(yoy!$L$1,Data!$A$1:$AN$1,),)=0,"#N/A",(((VLOOKUP(B74,Data!$A:$AN,MATCH(yoy!$L$1,Data!$A$1:$AN$1,),)-VLOOKUP(A74,Data!$A:$AN,MATCH(yoy!$L$1,Data!$A$1:$AN$1,),))/VLOOKUP(A74,Data!$A:$AN,MATCH(yoy!$L$1,Data!$A$1:$AN$1,),))+1)^12-1)</f>
        <v/>
      </c>
      <c r="M74" s="14">
        <f>IF(VLOOKUP(B74,Data!$A:$AN,MATCH(yoy!$M$1,Data!$A$1:$AN$1,),)=0,"#N/A",(((VLOOKUP(B74,Data!$A:$AN,MATCH(yoy!$M$1,Data!$A$1:$AN$1,),)-VLOOKUP(A74,Data!$A:$AN,MATCH(yoy!$M$1,Data!$A$1:$AN$1,),))/VLOOKUP(A74,Data!$A:$AN,MATCH(yoy!$M$1,Data!$A$1:$AN$1,),))+1)^12-1)</f>
        <v/>
      </c>
      <c r="N74" s="14">
        <f>IF(VLOOKUP(B74,Data!$A:$AN,MATCH(yoy!$N$1,Data!$A$1:$AN$1,),)=0,"#N/A",(((VLOOKUP(B74,Data!$A:$AN,MATCH(yoy!$N$1,Data!$A$1:$AN$1,),)-VLOOKUP(A74,Data!$A:$AN,MATCH(yoy!$N$1,Data!$A$1:$AN$1,),))/VLOOKUP(A74,Data!$A:$AN,MATCH(yoy!$N$1,Data!$A$1:$AN$1,),))+1)^12-1)</f>
        <v/>
      </c>
      <c r="O74" s="14">
        <f>IF(VLOOKUP(B74,Data!$A:$AN,MATCH(yoy!$O$1,Data!$A$1:$AN$1,),)=0,"#N/A",(((VLOOKUP(B74,Data!$A:$AN,MATCH(yoy!$O$1,Data!$A$1:$AN$1,),)-VLOOKUP(A74,Data!$A:$AN,MATCH(yoy!$O$1,Data!$A$1:$AN$1,),))/VLOOKUP(A74,Data!$A:$AN,MATCH(yoy!$O$1,Data!$A$1:$AN$1,),))+1)^12-1)</f>
        <v/>
      </c>
      <c r="P74" s="14">
        <f>IF(VLOOKUP(B74,Data!$A:$AN,MATCH(yoy!$P$1,Data!$A$1:$AN$1,),)=0,"#N/A",(((VLOOKUP(B74,Data!$A:$AN,MATCH(yoy!$P$1,Data!$A$1:$AN$1,),)-VLOOKUP(A74,Data!$A:$AN,MATCH(yoy!$P$1,Data!$A$1:$AN$1,),))/VLOOKUP(A74,Data!$A:$AN,MATCH(yoy!$P$1,Data!$A$1:$AN$1,),))+1)^12-1)</f>
        <v/>
      </c>
      <c r="Q74" s="14">
        <f>IF(VLOOKUP(B74,Data!$A:$AN,MATCH(yoy!$Q$1,Data!$A$1:$AN$1,),)=0,"#N/A",(((VLOOKUP(B74,Data!$A:$AN,MATCH(yoy!$Q$1,Data!$A$1:$AN$1,),)-VLOOKUP(A74,Data!$A:$AN,MATCH(yoy!$Q$1,Data!$A$1:$AN$1,),))/VLOOKUP(A74,Data!$A:$AN,MATCH(yoy!$Q$1,Data!$A$1:$AN$1,),))+1)^12-1)</f>
        <v/>
      </c>
      <c r="R74" s="14">
        <f>IF(VLOOKUP(B74,Data!$A:$AN,MATCH(yoy!$R$1,Data!$A$1:$AN$1,),)=0,"#N/A",(((VLOOKUP(B74,Data!$A:$AN,MATCH(yoy!$R$1,Data!$A$1:$AN$1,),)-VLOOKUP(A74,Data!$A:$AN,MATCH(yoy!$R$1,Data!$A$1:$AN$1,),))/VLOOKUP(A74,Data!$A:$AN,MATCH(yoy!$R$1,Data!$A$1:$AN$1,),))+1)^12-1)</f>
        <v/>
      </c>
      <c r="S74" s="14">
        <f>IF(VLOOKUP(B74,Data!$A:$AN,MATCH(yoy!$S$1,Data!$A$1:$AN$1,),)=0,"#N/A",(((VLOOKUP(B74,Data!$A:$AN,MATCH(yoy!$S$1,Data!$A$1:$AN$1,),)-VLOOKUP(A74,Data!$A:$AN,MATCH(yoy!$S$1,Data!$A$1:$AN$1,),))/VLOOKUP(A74,Data!$A:$AN,MATCH(yoy!$S$1,Data!$A$1:$AN$1,),))+1)^12-1)</f>
        <v/>
      </c>
      <c r="T74" s="14">
        <f>IF(VLOOKUP(B74,Data!$A:$AN,MATCH(yoy!$T$1,Data!$A$1:$AN$1,),)=0,"#N/A",(((VLOOKUP(B74,Data!$A:$AN,MATCH(yoy!$T$1,Data!$A$1:$AN$1,),)-VLOOKUP(A74,Data!$A:$AN,MATCH(yoy!$T$1,Data!$A$1:$AN$1,),))/VLOOKUP(A74,Data!$A:$AN,MATCH(yoy!$T$1,Data!$A$1:$AN$1,),))+1)^12-1)</f>
        <v/>
      </c>
      <c r="U74" s="14">
        <f>IF(VLOOKUP(B74,Data!$A:$AN,MATCH(yoy!$U$1,Data!$A$1:$AN$1,),)=0,"#N/A",(((VLOOKUP(B74,Data!$A:$AN,MATCH(yoy!$U$1,Data!$A$1:$AN$1,),)-VLOOKUP(A74,Data!$A:$AN,MATCH(yoy!$U$1,Data!$A$1:$AN$1,),))/VLOOKUP(A74,Data!$A:$AN,MATCH(yoy!$U$1,Data!$A$1:$AN$1,),))+1)^12-1)</f>
        <v/>
      </c>
      <c r="V74" s="14">
        <f>IF(VLOOKUP(B74,Data!$A:$AN,MATCH(yoy!$V$1,Data!$A$1:$AN$1,),)=0,"#N/A",(((VLOOKUP(B74,Data!$A:$AN,MATCH(yoy!$V$1,Data!$A$1:$AN$1,),)-VLOOKUP(A74,Data!$A:$AN,MATCH(yoy!$V$1,Data!$A$1:$AN$1,),))/VLOOKUP(A74,Data!$A:$AN,MATCH(yoy!$V$1,Data!$A$1:$AN$1,),))+1)^12-1)</f>
        <v/>
      </c>
      <c r="W74" s="14">
        <f>IF(VLOOKUP(B74,Data!$A:$AN,MATCH(yoy!$W$1,Data!$A$1:$AN$1,),)=0,"#N/A",(((VLOOKUP(B74,Data!$A:$AN,MATCH(yoy!$W$1,Data!$A$1:$AN$1,),)-VLOOKUP(A74,Data!$A:$AN,MATCH(yoy!$W$1,Data!$A$1:$AN$1,),))/VLOOKUP(A74,Data!$A:$AN,MATCH(yoy!$W$1,Data!$A$1:$AN$1,),))+1)^12-1)</f>
        <v/>
      </c>
      <c r="X74" s="14">
        <f>IF(VLOOKUP(B74,Data!$A:$AN,MATCH(yoy!$X$1,Data!$A$1:$AN$1,),)=0,"#N/A",(((VLOOKUP(B74,Data!$A:$AN,MATCH(yoy!$X$1,Data!$A$1:$AN$1,),)-VLOOKUP(A74,Data!$A:$AN,MATCH(yoy!$X$1,Data!$A$1:$AN$1,),))/VLOOKUP(A74,Data!$A:$AN,MATCH(yoy!$X$1,Data!$A$1:$AN$1,),))+1)^12-1)</f>
        <v/>
      </c>
      <c r="Y74" s="14">
        <f>IF(VLOOKUP(B74,Data!$A:$AN,MATCH(yoy!$Y$1,Data!$A$1:$AN$1,),)=0,"#N/A",(((VLOOKUP(B74,Data!$A:$AN,MATCH(yoy!$Y$1,Data!$A$1:$AN$1,),)-VLOOKUP(A74,Data!$A:$AN,MATCH(yoy!$Y$1,Data!$A$1:$AN$1,),))/VLOOKUP(A74,Data!$A:$AN,MATCH(yoy!$Y$1,Data!$A$1:$AN$1,),))+1)^12-1)</f>
        <v/>
      </c>
      <c r="Z74" s="14">
        <f>IF(VLOOKUP(B74,Data!$A:$AN,MATCH(yoy!$Z$1,Data!$A$1:$AN$1,),)=0,"#N/A",(((VLOOKUP(B74,Data!$A:$AN,MATCH(yoy!$Z$1,Data!$A$1:$AN$1,),)-VLOOKUP(A74,Data!$A:$AN,MATCH(yoy!$Z$1,Data!$A$1:$AN$1,),))/VLOOKUP(A74,Data!$A:$AN,MATCH(yoy!$Z$1,Data!$A$1:$AN$1,),))+1)^12-1)</f>
        <v/>
      </c>
      <c r="AA74" s="14">
        <f>IF(VLOOKUP(B74,Data!$A:$AN,MATCH(yoy!$AA$1,Data!$A$1:$AN$1,),)=0,"#N/A",(((VLOOKUP(B74,Data!$A:$AN,MATCH(yoy!$AA$1,Data!$A$1:$AN$1,),)-VLOOKUP(A74,Data!$A:$AN,MATCH(yoy!$AA$1,Data!$A$1:$AN$1,),))/VLOOKUP(A74,Data!$A:$AN,MATCH(yoy!$AA$1,Data!$A$1:$AN$1,),))+1)^12-1)</f>
        <v/>
      </c>
    </row>
    <row r="75" customFormat="1" s="77">
      <c r="A75" s="20">
        <f>DATE(YEAR(B75),MONTH(B75)-1,DAY(B75))</f>
        <v/>
      </c>
      <c r="B75" s="12" t="n">
        <v>44136</v>
      </c>
      <c r="C75" s="14">
        <f>IF(VLOOKUP(B75,Data!$A:$AN,MATCH(yoy!$C$1,Data!$A$1:$AN$1,),)=0,"#N/A",(((VLOOKUP(B75,Data!$A:$AN,MATCH(yoy!$C$1,Data!$A$1:$AN$1,),)-VLOOKUP(A75,Data!$A:$AN,MATCH(yoy!$C$1,Data!$A$1:$AN$1,),))/VLOOKUP(A75,Data!$A:$AN,MATCH(yoy!$C$1,Data!$A$1:$AN$1,),))+1)^12-1)</f>
        <v/>
      </c>
      <c r="D75" s="14">
        <f>IF(VLOOKUP(B75,Data!$A:$AN,MATCH(yoy!$D$1,Data!$A$1:$AN$1,),)=0,"#N/A",(((VLOOKUP(B75,Data!$A:$AN,MATCH(yoy!$D$1,Data!$A$1:$AN$1,),)-VLOOKUP(A75,Data!$A:$AN,MATCH(yoy!$D$1,Data!$A$1:$AN$1,),))/VLOOKUP(A75,Data!$A:$AN,MATCH(yoy!$D$1,Data!$A$1:$AN$1,),))+1)^12-1)</f>
        <v/>
      </c>
      <c r="E75" s="14">
        <f>IF(VLOOKUP(B75,Data!$A:$AN,MATCH(yoy!$E$1,Data!$A$1:$AN$1,),)=0,"#N/A",(((VLOOKUP(B75,Data!$A:$AN,MATCH(yoy!$E$1,Data!$A$1:$AN$1,),)-VLOOKUP(A75,Data!$A:$AN,MATCH(yoy!$E$1,Data!$A$1:$AN$1,),))/VLOOKUP(A75,Data!$A:$AN,MATCH(yoy!$E$1,Data!$A$1:$AN$1,),))+1)^12-1)</f>
        <v/>
      </c>
      <c r="F75" s="14">
        <f>IF(VLOOKUP(B75,Data!$A:$AN,MATCH(yoy!$F$1,Data!$A$1:$AN$1,),)=0,"#N/A",(((VLOOKUP(B75,Data!$A:$AN,MATCH(yoy!$F$1,Data!$A$1:$AN$1,),)-VLOOKUP(A75,Data!$A:$AN,MATCH(yoy!$F$1,Data!$A$1:$AN$1,),))/VLOOKUP(A75,Data!$A:$AN,MATCH(yoy!$F$1,Data!$A$1:$AN$1,),))+1)^12-1)</f>
        <v/>
      </c>
      <c r="G75" s="14">
        <f>IF(VLOOKUP(B75,Data!$A:$AN,MATCH(yoy!$G$1,Data!$A$1:$AN$1,),)=0,"#N/A",(((VLOOKUP(B75,Data!$A:$AN,MATCH(yoy!$G$1,Data!$A$1:$AN$1,),)-VLOOKUP(A75,Data!$A:$AN,MATCH(yoy!$G$1,Data!$A$1:$AN$1,),))/VLOOKUP(A75,Data!$A:$AN,MATCH(yoy!$G$1,Data!$A$1:$AN$1,),))+1)^12-1)</f>
        <v/>
      </c>
      <c r="H75" s="14">
        <f>IF(VLOOKUP(B75,Data!$A:$AN,MATCH(yoy!$H$1,Data!$A$1:$AN$1,),)=0,"#N/A",(((VLOOKUP(B75,Data!$A:$AN,MATCH(yoy!$H$1,Data!$A$1:$AN$1,),)-VLOOKUP(A75,Data!$A:$AN,MATCH(yoy!$H$1,Data!$A$1:$AN$1,),))/VLOOKUP(A75,Data!$A:$AN,MATCH(yoy!$H$1,Data!$A$1:$AN$1,),))+1)^12-1)</f>
        <v/>
      </c>
      <c r="I75" s="14">
        <f>IF(VLOOKUP(B75,Data!$A:$AN,MATCH(yoy!$I$1,Data!$A$1:$AN$1,),)=0,"#N/A",(((VLOOKUP(B75,Data!$A:$AN,MATCH(yoy!$I$1,Data!$A$1:$AN$1,),)-VLOOKUP(A75,Data!$A:$AN,MATCH(yoy!$I$1,Data!$A$1:$AN$1,),))/VLOOKUP(A75,Data!$A:$AN,MATCH(yoy!$I$1,Data!$A$1:$AN$1,),))+1)^12-1)</f>
        <v/>
      </c>
      <c r="J75" s="14">
        <f>IF(VLOOKUP(B75,Data!$A:$AN,MATCH(yoy!$J$1,Data!$A$1:$AN$1,),)=0,"#N/A",(((VLOOKUP(B75,Data!$A:$AN,MATCH(yoy!$J$1,Data!$A$1:$AN$1,),)-VLOOKUP(A75,Data!$A:$AN,MATCH(yoy!$J$1,Data!$A$1:$AN$1,),))/VLOOKUP(A75,Data!$A:$AN,MATCH(yoy!$J$1,Data!$A$1:$AN$1,),))+1)^12-1)</f>
        <v/>
      </c>
      <c r="K75" s="14">
        <f>IF(VLOOKUP(B75,Data!$A:$AN,MATCH(yoy!$K$1,Data!$A$1:$AN$1,),)=0,"#N/A",(((VLOOKUP(B75,Data!$A:$AN,MATCH(yoy!$K$1,Data!$A$1:$AN$1,),)-VLOOKUP(A75,Data!$A:$AN,MATCH(yoy!$K$1,Data!$A$1:$AN$1,),))/VLOOKUP(A75,Data!$A:$AN,MATCH(yoy!$K$1,Data!$A$1:$AN$1,),))+1)^12-1)</f>
        <v/>
      </c>
      <c r="L75" s="14">
        <f>IF(VLOOKUP(B75,Data!$A:$AN,MATCH(yoy!$L$1,Data!$A$1:$AN$1,),)=0,"#N/A",(((VLOOKUP(B75,Data!$A:$AN,MATCH(yoy!$L$1,Data!$A$1:$AN$1,),)-VLOOKUP(A75,Data!$A:$AN,MATCH(yoy!$L$1,Data!$A$1:$AN$1,),))/VLOOKUP(A75,Data!$A:$AN,MATCH(yoy!$L$1,Data!$A$1:$AN$1,),))+1)^12-1)</f>
        <v/>
      </c>
      <c r="M75" s="14">
        <f>IF(VLOOKUP(B75,Data!$A:$AN,MATCH(yoy!$M$1,Data!$A$1:$AN$1,),)=0,"#N/A",(((VLOOKUP(B75,Data!$A:$AN,MATCH(yoy!$M$1,Data!$A$1:$AN$1,),)-VLOOKUP(A75,Data!$A:$AN,MATCH(yoy!$M$1,Data!$A$1:$AN$1,),))/VLOOKUP(A75,Data!$A:$AN,MATCH(yoy!$M$1,Data!$A$1:$AN$1,),))+1)^12-1)</f>
        <v/>
      </c>
      <c r="N75" s="14">
        <f>IF(VLOOKUP(B75,Data!$A:$AN,MATCH(yoy!$N$1,Data!$A$1:$AN$1,),)=0,"#N/A",(((VLOOKUP(B75,Data!$A:$AN,MATCH(yoy!$N$1,Data!$A$1:$AN$1,),)-VLOOKUP(A75,Data!$A:$AN,MATCH(yoy!$N$1,Data!$A$1:$AN$1,),))/VLOOKUP(A75,Data!$A:$AN,MATCH(yoy!$N$1,Data!$A$1:$AN$1,),))+1)^12-1)</f>
        <v/>
      </c>
      <c r="O75" s="14">
        <f>IF(VLOOKUP(B75,Data!$A:$AN,MATCH(yoy!$O$1,Data!$A$1:$AN$1,),)=0,"#N/A",(((VLOOKUP(B75,Data!$A:$AN,MATCH(yoy!$O$1,Data!$A$1:$AN$1,),)-VLOOKUP(A75,Data!$A:$AN,MATCH(yoy!$O$1,Data!$A$1:$AN$1,),))/VLOOKUP(A75,Data!$A:$AN,MATCH(yoy!$O$1,Data!$A$1:$AN$1,),))+1)^12-1)</f>
        <v/>
      </c>
      <c r="P75" s="14">
        <f>IF(VLOOKUP(B75,Data!$A:$AN,MATCH(yoy!$P$1,Data!$A$1:$AN$1,),)=0,"#N/A",(((VLOOKUP(B75,Data!$A:$AN,MATCH(yoy!$P$1,Data!$A$1:$AN$1,),)-VLOOKUP(A75,Data!$A:$AN,MATCH(yoy!$P$1,Data!$A$1:$AN$1,),))/VLOOKUP(A75,Data!$A:$AN,MATCH(yoy!$P$1,Data!$A$1:$AN$1,),))+1)^12-1)</f>
        <v/>
      </c>
      <c r="Q75" s="14">
        <f>IF(VLOOKUP(B75,Data!$A:$AN,MATCH(yoy!$Q$1,Data!$A$1:$AN$1,),)=0,"#N/A",(((VLOOKUP(B75,Data!$A:$AN,MATCH(yoy!$Q$1,Data!$A$1:$AN$1,),)-VLOOKUP(A75,Data!$A:$AN,MATCH(yoy!$Q$1,Data!$A$1:$AN$1,),))/VLOOKUP(A75,Data!$A:$AN,MATCH(yoy!$Q$1,Data!$A$1:$AN$1,),))+1)^12-1)</f>
        <v/>
      </c>
      <c r="R75" s="14">
        <f>IF(VLOOKUP(B75,Data!$A:$AN,MATCH(yoy!$R$1,Data!$A$1:$AN$1,),)=0,"#N/A",(((VLOOKUP(B75,Data!$A:$AN,MATCH(yoy!$R$1,Data!$A$1:$AN$1,),)-VLOOKUP(A75,Data!$A:$AN,MATCH(yoy!$R$1,Data!$A$1:$AN$1,),))/VLOOKUP(A75,Data!$A:$AN,MATCH(yoy!$R$1,Data!$A$1:$AN$1,),))+1)^12-1)</f>
        <v/>
      </c>
      <c r="S75" s="14">
        <f>IF(VLOOKUP(B75,Data!$A:$AN,MATCH(yoy!$S$1,Data!$A$1:$AN$1,),)=0,"#N/A",(((VLOOKUP(B75,Data!$A:$AN,MATCH(yoy!$S$1,Data!$A$1:$AN$1,),)-VLOOKUP(A75,Data!$A:$AN,MATCH(yoy!$S$1,Data!$A$1:$AN$1,),))/VLOOKUP(A75,Data!$A:$AN,MATCH(yoy!$S$1,Data!$A$1:$AN$1,),))+1)^12-1)</f>
        <v/>
      </c>
      <c r="T75" s="14">
        <f>IF(VLOOKUP(B75,Data!$A:$AN,MATCH(yoy!$T$1,Data!$A$1:$AN$1,),)=0,"#N/A",(((VLOOKUP(B75,Data!$A:$AN,MATCH(yoy!$T$1,Data!$A$1:$AN$1,),)-VLOOKUP(A75,Data!$A:$AN,MATCH(yoy!$T$1,Data!$A$1:$AN$1,),))/VLOOKUP(A75,Data!$A:$AN,MATCH(yoy!$T$1,Data!$A$1:$AN$1,),))+1)^12-1)</f>
        <v/>
      </c>
      <c r="U75" s="14">
        <f>IF(VLOOKUP(B75,Data!$A:$AN,MATCH(yoy!$U$1,Data!$A$1:$AN$1,),)=0,"#N/A",(((VLOOKUP(B75,Data!$A:$AN,MATCH(yoy!$U$1,Data!$A$1:$AN$1,),)-VLOOKUP(A75,Data!$A:$AN,MATCH(yoy!$U$1,Data!$A$1:$AN$1,),))/VLOOKUP(A75,Data!$A:$AN,MATCH(yoy!$U$1,Data!$A$1:$AN$1,),))+1)^12-1)</f>
        <v/>
      </c>
      <c r="V75" s="14">
        <f>IF(VLOOKUP(B75,Data!$A:$AN,MATCH(yoy!$V$1,Data!$A$1:$AN$1,),)=0,"#N/A",(((VLOOKUP(B75,Data!$A:$AN,MATCH(yoy!$V$1,Data!$A$1:$AN$1,),)-VLOOKUP(A75,Data!$A:$AN,MATCH(yoy!$V$1,Data!$A$1:$AN$1,),))/VLOOKUP(A75,Data!$A:$AN,MATCH(yoy!$V$1,Data!$A$1:$AN$1,),))+1)^12-1)</f>
        <v/>
      </c>
      <c r="W75" s="14">
        <f>IF(VLOOKUP(B75,Data!$A:$AN,MATCH(yoy!$W$1,Data!$A$1:$AN$1,),)=0,"#N/A",(((VLOOKUP(B75,Data!$A:$AN,MATCH(yoy!$W$1,Data!$A$1:$AN$1,),)-VLOOKUP(A75,Data!$A:$AN,MATCH(yoy!$W$1,Data!$A$1:$AN$1,),))/VLOOKUP(A75,Data!$A:$AN,MATCH(yoy!$W$1,Data!$A$1:$AN$1,),))+1)^12-1)</f>
        <v/>
      </c>
      <c r="X75" s="14">
        <f>IF(VLOOKUP(B75,Data!$A:$AN,MATCH(yoy!$X$1,Data!$A$1:$AN$1,),)=0,"#N/A",(((VLOOKUP(B75,Data!$A:$AN,MATCH(yoy!$X$1,Data!$A$1:$AN$1,),)-VLOOKUP(A75,Data!$A:$AN,MATCH(yoy!$X$1,Data!$A$1:$AN$1,),))/VLOOKUP(A75,Data!$A:$AN,MATCH(yoy!$X$1,Data!$A$1:$AN$1,),))+1)^12-1)</f>
        <v/>
      </c>
      <c r="Y75" s="14">
        <f>IF(VLOOKUP(B75,Data!$A:$AN,MATCH(yoy!$Y$1,Data!$A$1:$AN$1,),)=0,"#N/A",(((VLOOKUP(B75,Data!$A:$AN,MATCH(yoy!$Y$1,Data!$A$1:$AN$1,),)-VLOOKUP(A75,Data!$A:$AN,MATCH(yoy!$Y$1,Data!$A$1:$AN$1,),))/VLOOKUP(A75,Data!$A:$AN,MATCH(yoy!$Y$1,Data!$A$1:$AN$1,),))+1)^12-1)</f>
        <v/>
      </c>
      <c r="Z75" s="14">
        <f>IF(VLOOKUP(B75,Data!$A:$AN,MATCH(yoy!$Z$1,Data!$A$1:$AN$1,),)=0,"#N/A",(((VLOOKUP(B75,Data!$A:$AN,MATCH(yoy!$Z$1,Data!$A$1:$AN$1,),)-VLOOKUP(A75,Data!$A:$AN,MATCH(yoy!$Z$1,Data!$A$1:$AN$1,),))/VLOOKUP(A75,Data!$A:$AN,MATCH(yoy!$Z$1,Data!$A$1:$AN$1,),))+1)^12-1)</f>
        <v/>
      </c>
      <c r="AA75" s="14">
        <f>IF(VLOOKUP(B75,Data!$A:$AN,MATCH(yoy!$AA$1,Data!$A$1:$AN$1,),)=0,"#N/A",(((VLOOKUP(B75,Data!$A:$AN,MATCH(yoy!$AA$1,Data!$A$1:$AN$1,),)-VLOOKUP(A75,Data!$A:$AN,MATCH(yoy!$AA$1,Data!$A$1:$AN$1,),))/VLOOKUP(A75,Data!$A:$AN,MATCH(yoy!$AA$1,Data!$A$1:$AN$1,),))+1)^12-1)</f>
        <v/>
      </c>
    </row>
    <row r="76" customFormat="1" s="77">
      <c r="A76" s="20">
        <f>DATE(YEAR(B76),MONTH(B76)-1,DAY(B76))</f>
        <v/>
      </c>
      <c r="B76" s="12" t="n">
        <v>44166</v>
      </c>
      <c r="C76" s="14">
        <f>IF(VLOOKUP(B76,Data!$A:$AN,MATCH(yoy!$C$1,Data!$A$1:$AN$1,),)=0,"#N/A",(((VLOOKUP(B76,Data!$A:$AN,MATCH(yoy!$C$1,Data!$A$1:$AN$1,),)-VLOOKUP(A76,Data!$A:$AN,MATCH(yoy!$C$1,Data!$A$1:$AN$1,),))/VLOOKUP(A76,Data!$A:$AN,MATCH(yoy!$C$1,Data!$A$1:$AN$1,),))+1)^12-1)</f>
        <v/>
      </c>
      <c r="D76" s="14">
        <f>IF(VLOOKUP(B76,Data!$A:$AN,MATCH(yoy!$D$1,Data!$A$1:$AN$1,),)=0,"#N/A",(((VLOOKUP(B76,Data!$A:$AN,MATCH(yoy!$D$1,Data!$A$1:$AN$1,),)-VLOOKUP(A76,Data!$A:$AN,MATCH(yoy!$D$1,Data!$A$1:$AN$1,),))/VLOOKUP(A76,Data!$A:$AN,MATCH(yoy!$D$1,Data!$A$1:$AN$1,),))+1)^12-1)</f>
        <v/>
      </c>
      <c r="E76" s="14">
        <f>IF(VLOOKUP(B76,Data!$A:$AN,MATCH(yoy!$E$1,Data!$A$1:$AN$1,),)=0,"#N/A",(((VLOOKUP(B76,Data!$A:$AN,MATCH(yoy!$E$1,Data!$A$1:$AN$1,),)-VLOOKUP(A76,Data!$A:$AN,MATCH(yoy!$E$1,Data!$A$1:$AN$1,),))/VLOOKUP(A76,Data!$A:$AN,MATCH(yoy!$E$1,Data!$A$1:$AN$1,),))+1)^12-1)</f>
        <v/>
      </c>
      <c r="F76" s="14">
        <f>IF(VLOOKUP(B76,Data!$A:$AN,MATCH(yoy!$F$1,Data!$A$1:$AN$1,),)=0,"#N/A",(((VLOOKUP(B76,Data!$A:$AN,MATCH(yoy!$F$1,Data!$A$1:$AN$1,),)-VLOOKUP(A76,Data!$A:$AN,MATCH(yoy!$F$1,Data!$A$1:$AN$1,),))/VLOOKUP(A76,Data!$A:$AN,MATCH(yoy!$F$1,Data!$A$1:$AN$1,),))+1)^12-1)</f>
        <v/>
      </c>
      <c r="G76" s="14">
        <f>IF(VLOOKUP(B76,Data!$A:$AN,MATCH(yoy!$G$1,Data!$A$1:$AN$1,),)=0,"#N/A",(((VLOOKUP(B76,Data!$A:$AN,MATCH(yoy!$G$1,Data!$A$1:$AN$1,),)-VLOOKUP(A76,Data!$A:$AN,MATCH(yoy!$G$1,Data!$A$1:$AN$1,),))/VLOOKUP(A76,Data!$A:$AN,MATCH(yoy!$G$1,Data!$A$1:$AN$1,),))+1)^12-1)</f>
        <v/>
      </c>
      <c r="H76" s="14">
        <f>IF(VLOOKUP(B76,Data!$A:$AN,MATCH(yoy!$H$1,Data!$A$1:$AN$1,),)=0,"#N/A",(((VLOOKUP(B76,Data!$A:$AN,MATCH(yoy!$H$1,Data!$A$1:$AN$1,),)-VLOOKUP(A76,Data!$A:$AN,MATCH(yoy!$H$1,Data!$A$1:$AN$1,),))/VLOOKUP(A76,Data!$A:$AN,MATCH(yoy!$H$1,Data!$A$1:$AN$1,),))+1)^12-1)</f>
        <v/>
      </c>
      <c r="I76" s="14">
        <f>IF(VLOOKUP(B76,Data!$A:$AN,MATCH(yoy!$I$1,Data!$A$1:$AN$1,),)=0,"#N/A",(((VLOOKUP(B76,Data!$A:$AN,MATCH(yoy!$I$1,Data!$A$1:$AN$1,),)-VLOOKUP(A76,Data!$A:$AN,MATCH(yoy!$I$1,Data!$A$1:$AN$1,),))/VLOOKUP(A76,Data!$A:$AN,MATCH(yoy!$I$1,Data!$A$1:$AN$1,),))+1)^12-1)</f>
        <v/>
      </c>
      <c r="J76" s="14">
        <f>IF(VLOOKUP(B76,Data!$A:$AN,MATCH(yoy!$J$1,Data!$A$1:$AN$1,),)=0,"#N/A",(((VLOOKUP(B76,Data!$A:$AN,MATCH(yoy!$J$1,Data!$A$1:$AN$1,),)-VLOOKUP(A76,Data!$A:$AN,MATCH(yoy!$J$1,Data!$A$1:$AN$1,),))/VLOOKUP(A76,Data!$A:$AN,MATCH(yoy!$J$1,Data!$A$1:$AN$1,),))+1)^12-1)</f>
        <v/>
      </c>
      <c r="K76" s="14">
        <f>IF(VLOOKUP(B76,Data!$A:$AN,MATCH(yoy!$K$1,Data!$A$1:$AN$1,),)=0,"#N/A",(((VLOOKUP(B76,Data!$A:$AN,MATCH(yoy!$K$1,Data!$A$1:$AN$1,),)-VLOOKUP(A76,Data!$A:$AN,MATCH(yoy!$K$1,Data!$A$1:$AN$1,),))/VLOOKUP(A76,Data!$A:$AN,MATCH(yoy!$K$1,Data!$A$1:$AN$1,),))+1)^12-1)</f>
        <v/>
      </c>
      <c r="L76" s="14">
        <f>IF(VLOOKUP(B76,Data!$A:$AN,MATCH(yoy!$L$1,Data!$A$1:$AN$1,),)=0,"#N/A",(((VLOOKUP(B76,Data!$A:$AN,MATCH(yoy!$L$1,Data!$A$1:$AN$1,),)-VLOOKUP(A76,Data!$A:$AN,MATCH(yoy!$L$1,Data!$A$1:$AN$1,),))/VLOOKUP(A76,Data!$A:$AN,MATCH(yoy!$L$1,Data!$A$1:$AN$1,),))+1)^12-1)</f>
        <v/>
      </c>
      <c r="M76" s="14">
        <f>IF(VLOOKUP(B76,Data!$A:$AN,MATCH(yoy!$M$1,Data!$A$1:$AN$1,),)=0,"#N/A",(((VLOOKUP(B76,Data!$A:$AN,MATCH(yoy!$M$1,Data!$A$1:$AN$1,),)-VLOOKUP(A76,Data!$A:$AN,MATCH(yoy!$M$1,Data!$A$1:$AN$1,),))/VLOOKUP(A76,Data!$A:$AN,MATCH(yoy!$M$1,Data!$A$1:$AN$1,),))+1)^12-1)</f>
        <v/>
      </c>
      <c r="N76" s="14">
        <f>IF(VLOOKUP(B76,Data!$A:$AN,MATCH(yoy!$N$1,Data!$A$1:$AN$1,),)=0,"#N/A",(((VLOOKUP(B76,Data!$A:$AN,MATCH(yoy!$N$1,Data!$A$1:$AN$1,),)-VLOOKUP(A76,Data!$A:$AN,MATCH(yoy!$N$1,Data!$A$1:$AN$1,),))/VLOOKUP(A76,Data!$A:$AN,MATCH(yoy!$N$1,Data!$A$1:$AN$1,),))+1)^12-1)</f>
        <v/>
      </c>
      <c r="O76" s="14">
        <f>IF(VLOOKUP(B76,Data!$A:$AN,MATCH(yoy!$O$1,Data!$A$1:$AN$1,),)=0,"#N/A",(((VLOOKUP(B76,Data!$A:$AN,MATCH(yoy!$O$1,Data!$A$1:$AN$1,),)-VLOOKUP(A76,Data!$A:$AN,MATCH(yoy!$O$1,Data!$A$1:$AN$1,),))/VLOOKUP(A76,Data!$A:$AN,MATCH(yoy!$O$1,Data!$A$1:$AN$1,),))+1)^12-1)</f>
        <v/>
      </c>
      <c r="P76" s="14">
        <f>IF(VLOOKUP(B76,Data!$A:$AN,MATCH(yoy!$P$1,Data!$A$1:$AN$1,),)=0,"#N/A",(((VLOOKUP(B76,Data!$A:$AN,MATCH(yoy!$P$1,Data!$A$1:$AN$1,),)-VLOOKUP(A76,Data!$A:$AN,MATCH(yoy!$P$1,Data!$A$1:$AN$1,),))/VLOOKUP(A76,Data!$A:$AN,MATCH(yoy!$P$1,Data!$A$1:$AN$1,),))+1)^12-1)</f>
        <v/>
      </c>
      <c r="Q76" s="14">
        <f>IF(VLOOKUP(B76,Data!$A:$AN,MATCH(yoy!$Q$1,Data!$A$1:$AN$1,),)=0,"#N/A",(((VLOOKUP(B76,Data!$A:$AN,MATCH(yoy!$Q$1,Data!$A$1:$AN$1,),)-VLOOKUP(A76,Data!$A:$AN,MATCH(yoy!$Q$1,Data!$A$1:$AN$1,),))/VLOOKUP(A76,Data!$A:$AN,MATCH(yoy!$Q$1,Data!$A$1:$AN$1,),))+1)^12-1)</f>
        <v/>
      </c>
      <c r="R76" s="14">
        <f>IF(VLOOKUP(B76,Data!$A:$AN,MATCH(yoy!$R$1,Data!$A$1:$AN$1,),)=0,"#N/A",(((VLOOKUP(B76,Data!$A:$AN,MATCH(yoy!$R$1,Data!$A$1:$AN$1,),)-VLOOKUP(A76,Data!$A:$AN,MATCH(yoy!$R$1,Data!$A$1:$AN$1,),))/VLOOKUP(A76,Data!$A:$AN,MATCH(yoy!$R$1,Data!$A$1:$AN$1,),))+1)^12-1)</f>
        <v/>
      </c>
      <c r="S76" s="14">
        <f>IF(VLOOKUP(B76,Data!$A:$AN,MATCH(yoy!$S$1,Data!$A$1:$AN$1,),)=0,"#N/A",(((VLOOKUP(B76,Data!$A:$AN,MATCH(yoy!$S$1,Data!$A$1:$AN$1,),)-VLOOKUP(A76,Data!$A:$AN,MATCH(yoy!$S$1,Data!$A$1:$AN$1,),))/VLOOKUP(A76,Data!$A:$AN,MATCH(yoy!$S$1,Data!$A$1:$AN$1,),))+1)^12-1)</f>
        <v/>
      </c>
      <c r="T76" s="14">
        <f>IF(VLOOKUP(B76,Data!$A:$AN,MATCH(yoy!$T$1,Data!$A$1:$AN$1,),)=0,"#N/A",(((VLOOKUP(B76,Data!$A:$AN,MATCH(yoy!$T$1,Data!$A$1:$AN$1,),)-VLOOKUP(A76,Data!$A:$AN,MATCH(yoy!$T$1,Data!$A$1:$AN$1,),))/VLOOKUP(A76,Data!$A:$AN,MATCH(yoy!$T$1,Data!$A$1:$AN$1,),))+1)^12-1)</f>
        <v/>
      </c>
      <c r="U76" s="14">
        <f>IF(VLOOKUP(B76,Data!$A:$AN,MATCH(yoy!$U$1,Data!$A$1:$AN$1,),)=0,"#N/A",(((VLOOKUP(B76,Data!$A:$AN,MATCH(yoy!$U$1,Data!$A$1:$AN$1,),)-VLOOKUP(A76,Data!$A:$AN,MATCH(yoy!$U$1,Data!$A$1:$AN$1,),))/VLOOKUP(A76,Data!$A:$AN,MATCH(yoy!$U$1,Data!$A$1:$AN$1,),))+1)^12-1)</f>
        <v/>
      </c>
      <c r="V76" s="14">
        <f>IF(VLOOKUP(B76,Data!$A:$AN,MATCH(yoy!$V$1,Data!$A$1:$AN$1,),)=0,"#N/A",(((VLOOKUP(B76,Data!$A:$AN,MATCH(yoy!$V$1,Data!$A$1:$AN$1,),)-VLOOKUP(A76,Data!$A:$AN,MATCH(yoy!$V$1,Data!$A$1:$AN$1,),))/VLOOKUP(A76,Data!$A:$AN,MATCH(yoy!$V$1,Data!$A$1:$AN$1,),))+1)^12-1)</f>
        <v/>
      </c>
      <c r="W76" s="14">
        <f>IF(VLOOKUP(B76,Data!$A:$AN,MATCH(yoy!$W$1,Data!$A$1:$AN$1,),)=0,"#N/A",(((VLOOKUP(B76,Data!$A:$AN,MATCH(yoy!$W$1,Data!$A$1:$AN$1,),)-VLOOKUP(A76,Data!$A:$AN,MATCH(yoy!$W$1,Data!$A$1:$AN$1,),))/VLOOKUP(A76,Data!$A:$AN,MATCH(yoy!$W$1,Data!$A$1:$AN$1,),))+1)^12-1)</f>
        <v/>
      </c>
      <c r="X76" s="14">
        <f>IF(VLOOKUP(B76,Data!$A:$AN,MATCH(yoy!$X$1,Data!$A$1:$AN$1,),)=0,"#N/A",(((VLOOKUP(B76,Data!$A:$AN,MATCH(yoy!$X$1,Data!$A$1:$AN$1,),)-VLOOKUP(A76,Data!$A:$AN,MATCH(yoy!$X$1,Data!$A$1:$AN$1,),))/VLOOKUP(A76,Data!$A:$AN,MATCH(yoy!$X$1,Data!$A$1:$AN$1,),))+1)^12-1)</f>
        <v/>
      </c>
      <c r="Y76" s="14">
        <f>IF(VLOOKUP(B76,Data!$A:$AN,MATCH(yoy!$Y$1,Data!$A$1:$AN$1,),)=0,"#N/A",(((VLOOKUP(B76,Data!$A:$AN,MATCH(yoy!$Y$1,Data!$A$1:$AN$1,),)-VLOOKUP(A76,Data!$A:$AN,MATCH(yoy!$Y$1,Data!$A$1:$AN$1,),))/VLOOKUP(A76,Data!$A:$AN,MATCH(yoy!$Y$1,Data!$A$1:$AN$1,),))+1)^12-1)</f>
        <v/>
      </c>
      <c r="Z76" s="14">
        <f>IF(VLOOKUP(B76,Data!$A:$AN,MATCH(yoy!$Z$1,Data!$A$1:$AN$1,),)=0,"#N/A",(((VLOOKUP(B76,Data!$A:$AN,MATCH(yoy!$Z$1,Data!$A$1:$AN$1,),)-VLOOKUP(A76,Data!$A:$AN,MATCH(yoy!$Z$1,Data!$A$1:$AN$1,),))/VLOOKUP(A76,Data!$A:$AN,MATCH(yoy!$Z$1,Data!$A$1:$AN$1,),))+1)^12-1)</f>
        <v/>
      </c>
      <c r="AA76" s="14">
        <f>IF(VLOOKUP(B76,Data!$A:$AN,MATCH(yoy!$AA$1,Data!$A$1:$AN$1,),)=0,"#N/A",(((VLOOKUP(B76,Data!$A:$AN,MATCH(yoy!$AA$1,Data!$A$1:$AN$1,),)-VLOOKUP(A76,Data!$A:$AN,MATCH(yoy!$AA$1,Data!$A$1:$AN$1,),))/VLOOKUP(A76,Data!$A:$AN,MATCH(yoy!$AA$1,Data!$A$1:$AN$1,),))+1)^12-1)</f>
        <v/>
      </c>
    </row>
    <row r="77" customFormat="1" s="77">
      <c r="A77" s="20">
        <f>DATE(YEAR(B77),MONTH(B77)-1,DAY(B77))</f>
        <v/>
      </c>
      <c r="B77" s="12" t="n">
        <v>44197</v>
      </c>
      <c r="C77" s="14">
        <f>IF(VLOOKUP(B77,Data!$A:$AN,MATCH(yoy!$C$1,Data!$A$1:$AN$1,),)=0,"#N/A",(((VLOOKUP(B77,Data!$A:$AN,MATCH(yoy!$C$1,Data!$A$1:$AN$1,),)-VLOOKUP(A77,Data!$A:$AN,MATCH(yoy!$C$1,Data!$A$1:$AN$1,),))/VLOOKUP(A77,Data!$A:$AN,MATCH(yoy!$C$1,Data!$A$1:$AN$1,),))+1)^12-1)</f>
        <v/>
      </c>
      <c r="D77" s="14">
        <f>IF(VLOOKUP(B77,Data!$A:$AN,MATCH(yoy!$D$1,Data!$A$1:$AN$1,),)=0,"#N/A",(((VLOOKUP(B77,Data!$A:$AN,MATCH(yoy!$D$1,Data!$A$1:$AN$1,),)-VLOOKUP(A77,Data!$A:$AN,MATCH(yoy!$D$1,Data!$A$1:$AN$1,),))/VLOOKUP(A77,Data!$A:$AN,MATCH(yoy!$D$1,Data!$A$1:$AN$1,),))+1)^12-1)</f>
        <v/>
      </c>
      <c r="E77" s="14">
        <f>IF(VLOOKUP(B77,Data!$A:$AN,MATCH(yoy!$E$1,Data!$A$1:$AN$1,),)=0,"#N/A",(((VLOOKUP(B77,Data!$A:$AN,MATCH(yoy!$E$1,Data!$A$1:$AN$1,),)-VLOOKUP(A77,Data!$A:$AN,MATCH(yoy!$E$1,Data!$A$1:$AN$1,),))/VLOOKUP(A77,Data!$A:$AN,MATCH(yoy!$E$1,Data!$A$1:$AN$1,),))+1)^12-1)</f>
        <v/>
      </c>
      <c r="F77" s="14">
        <f>IF(VLOOKUP(B77,Data!$A:$AN,MATCH(yoy!$F$1,Data!$A$1:$AN$1,),)=0,"#N/A",(((VLOOKUP(B77,Data!$A:$AN,MATCH(yoy!$F$1,Data!$A$1:$AN$1,),)-VLOOKUP(A77,Data!$A:$AN,MATCH(yoy!$F$1,Data!$A$1:$AN$1,),))/VLOOKUP(A77,Data!$A:$AN,MATCH(yoy!$F$1,Data!$A$1:$AN$1,),))+1)^12-1)</f>
        <v/>
      </c>
      <c r="G77" s="14">
        <f>IF(VLOOKUP(B77,Data!$A:$AN,MATCH(yoy!$G$1,Data!$A$1:$AN$1,),)=0,"#N/A",(((VLOOKUP(B77,Data!$A:$AN,MATCH(yoy!$G$1,Data!$A$1:$AN$1,),)-VLOOKUP(A77,Data!$A:$AN,MATCH(yoy!$G$1,Data!$A$1:$AN$1,),))/VLOOKUP(A77,Data!$A:$AN,MATCH(yoy!$G$1,Data!$A$1:$AN$1,),))+1)^12-1)</f>
        <v/>
      </c>
      <c r="H77" s="14">
        <f>IF(VLOOKUP(B77,Data!$A:$AN,MATCH(yoy!$H$1,Data!$A$1:$AN$1,),)=0,"#N/A",(((VLOOKUP(B77,Data!$A:$AN,MATCH(yoy!$H$1,Data!$A$1:$AN$1,),)-VLOOKUP(A77,Data!$A:$AN,MATCH(yoy!$H$1,Data!$A$1:$AN$1,),))/VLOOKUP(A77,Data!$A:$AN,MATCH(yoy!$H$1,Data!$A$1:$AN$1,),))+1)^12-1)</f>
        <v/>
      </c>
      <c r="I77" s="14">
        <f>IF(VLOOKUP(B77,Data!$A:$AN,MATCH(yoy!$I$1,Data!$A$1:$AN$1,),)=0,"#N/A",(((VLOOKUP(B77,Data!$A:$AN,MATCH(yoy!$I$1,Data!$A$1:$AN$1,),)-VLOOKUP(A77,Data!$A:$AN,MATCH(yoy!$I$1,Data!$A$1:$AN$1,),))/VLOOKUP(A77,Data!$A:$AN,MATCH(yoy!$I$1,Data!$A$1:$AN$1,),))+1)^12-1)</f>
        <v/>
      </c>
      <c r="J77" s="14">
        <f>IF(VLOOKUP(B77,Data!$A:$AN,MATCH(yoy!$J$1,Data!$A$1:$AN$1,),)=0,"#N/A",(((VLOOKUP(B77,Data!$A:$AN,MATCH(yoy!$J$1,Data!$A$1:$AN$1,),)-VLOOKUP(A77,Data!$A:$AN,MATCH(yoy!$J$1,Data!$A$1:$AN$1,),))/VLOOKUP(A77,Data!$A:$AN,MATCH(yoy!$J$1,Data!$A$1:$AN$1,),))+1)^12-1)</f>
        <v/>
      </c>
      <c r="K77" s="14">
        <f>IF(VLOOKUP(B77,Data!$A:$AN,MATCH(yoy!$K$1,Data!$A$1:$AN$1,),)=0,"#N/A",(((VLOOKUP(B77,Data!$A:$AN,MATCH(yoy!$K$1,Data!$A$1:$AN$1,),)-VLOOKUP(A77,Data!$A:$AN,MATCH(yoy!$K$1,Data!$A$1:$AN$1,),))/VLOOKUP(A77,Data!$A:$AN,MATCH(yoy!$K$1,Data!$A$1:$AN$1,),))+1)^12-1)</f>
        <v/>
      </c>
      <c r="L77" s="14">
        <f>IF(VLOOKUP(B77,Data!$A:$AN,MATCH(yoy!$L$1,Data!$A$1:$AN$1,),)=0,"#N/A",(((VLOOKUP(B77,Data!$A:$AN,MATCH(yoy!$L$1,Data!$A$1:$AN$1,),)-VLOOKUP(A77,Data!$A:$AN,MATCH(yoy!$L$1,Data!$A$1:$AN$1,),))/VLOOKUP(A77,Data!$A:$AN,MATCH(yoy!$L$1,Data!$A$1:$AN$1,),))+1)^12-1)</f>
        <v/>
      </c>
      <c r="M77" s="14">
        <f>IF(VLOOKUP(B77,Data!$A:$AN,MATCH(yoy!$M$1,Data!$A$1:$AN$1,),)=0,"#N/A",(((VLOOKUP(B77,Data!$A:$AN,MATCH(yoy!$M$1,Data!$A$1:$AN$1,),)-VLOOKUP(A77,Data!$A:$AN,MATCH(yoy!$M$1,Data!$A$1:$AN$1,),))/VLOOKUP(A77,Data!$A:$AN,MATCH(yoy!$M$1,Data!$A$1:$AN$1,),))+1)^12-1)</f>
        <v/>
      </c>
      <c r="N77" s="14">
        <f>IF(VLOOKUP(B77,Data!$A:$AN,MATCH(yoy!$N$1,Data!$A$1:$AN$1,),)=0,"#N/A",(((VLOOKUP(B77,Data!$A:$AN,MATCH(yoy!$N$1,Data!$A$1:$AN$1,),)-VLOOKUP(A77,Data!$A:$AN,MATCH(yoy!$N$1,Data!$A$1:$AN$1,),))/VLOOKUP(A77,Data!$A:$AN,MATCH(yoy!$N$1,Data!$A$1:$AN$1,),))+1)^12-1)</f>
        <v/>
      </c>
      <c r="O77" s="14">
        <f>IF(VLOOKUP(B77,Data!$A:$AN,MATCH(yoy!$O$1,Data!$A$1:$AN$1,),)=0,"#N/A",(((VLOOKUP(B77,Data!$A:$AN,MATCH(yoy!$O$1,Data!$A$1:$AN$1,),)-VLOOKUP(A77,Data!$A:$AN,MATCH(yoy!$O$1,Data!$A$1:$AN$1,),))/VLOOKUP(A77,Data!$A:$AN,MATCH(yoy!$O$1,Data!$A$1:$AN$1,),))+1)^12-1)</f>
        <v/>
      </c>
      <c r="P77" s="14">
        <f>IF(VLOOKUP(B77,Data!$A:$AN,MATCH(yoy!$P$1,Data!$A$1:$AN$1,),)=0,"#N/A",(((VLOOKUP(B77,Data!$A:$AN,MATCH(yoy!$P$1,Data!$A$1:$AN$1,),)-VLOOKUP(A77,Data!$A:$AN,MATCH(yoy!$P$1,Data!$A$1:$AN$1,),))/VLOOKUP(A77,Data!$A:$AN,MATCH(yoy!$P$1,Data!$A$1:$AN$1,),))+1)^12-1)</f>
        <v/>
      </c>
      <c r="Q77" s="14">
        <f>IF(VLOOKUP(B77,Data!$A:$AN,MATCH(yoy!$Q$1,Data!$A$1:$AN$1,),)=0,"#N/A",(((VLOOKUP(B77,Data!$A:$AN,MATCH(yoy!$Q$1,Data!$A$1:$AN$1,),)-VLOOKUP(A77,Data!$A:$AN,MATCH(yoy!$Q$1,Data!$A$1:$AN$1,),))/VLOOKUP(A77,Data!$A:$AN,MATCH(yoy!$Q$1,Data!$A$1:$AN$1,),))+1)^12-1)</f>
        <v/>
      </c>
      <c r="R77" s="14">
        <f>IF(VLOOKUP(B77,Data!$A:$AN,MATCH(yoy!$R$1,Data!$A$1:$AN$1,),)=0,"#N/A",(((VLOOKUP(B77,Data!$A:$AN,MATCH(yoy!$R$1,Data!$A$1:$AN$1,),)-VLOOKUP(A77,Data!$A:$AN,MATCH(yoy!$R$1,Data!$A$1:$AN$1,),))/VLOOKUP(A77,Data!$A:$AN,MATCH(yoy!$R$1,Data!$A$1:$AN$1,),))+1)^12-1)</f>
        <v/>
      </c>
      <c r="S77" s="14">
        <f>IF(VLOOKUP(B77,Data!$A:$AN,MATCH(yoy!$S$1,Data!$A$1:$AN$1,),)=0,"#N/A",(((VLOOKUP(B77,Data!$A:$AN,MATCH(yoy!$S$1,Data!$A$1:$AN$1,),)-VLOOKUP(A77,Data!$A:$AN,MATCH(yoy!$S$1,Data!$A$1:$AN$1,),))/VLOOKUP(A77,Data!$A:$AN,MATCH(yoy!$S$1,Data!$A$1:$AN$1,),))+1)^12-1)</f>
        <v/>
      </c>
      <c r="T77" s="14">
        <f>IF(VLOOKUP(B77,Data!$A:$AN,MATCH(yoy!$T$1,Data!$A$1:$AN$1,),)=0,"#N/A",(((VLOOKUP(B77,Data!$A:$AN,MATCH(yoy!$T$1,Data!$A$1:$AN$1,),)-VLOOKUP(A77,Data!$A:$AN,MATCH(yoy!$T$1,Data!$A$1:$AN$1,),))/VLOOKUP(A77,Data!$A:$AN,MATCH(yoy!$T$1,Data!$A$1:$AN$1,),))+1)^12-1)</f>
        <v/>
      </c>
      <c r="U77" s="14">
        <f>IF(VLOOKUP(B77,Data!$A:$AN,MATCH(yoy!$U$1,Data!$A$1:$AN$1,),)=0,"#N/A",(((VLOOKUP(B77,Data!$A:$AN,MATCH(yoy!$U$1,Data!$A$1:$AN$1,),)-VLOOKUP(A77,Data!$A:$AN,MATCH(yoy!$U$1,Data!$A$1:$AN$1,),))/VLOOKUP(A77,Data!$A:$AN,MATCH(yoy!$U$1,Data!$A$1:$AN$1,),))+1)^12-1)</f>
        <v/>
      </c>
      <c r="V77" s="14">
        <f>IF(VLOOKUP(B77,Data!$A:$AN,MATCH(yoy!$V$1,Data!$A$1:$AN$1,),)=0,"#N/A",(((VLOOKUP(B77,Data!$A:$AN,MATCH(yoy!$V$1,Data!$A$1:$AN$1,),)-VLOOKUP(A77,Data!$A:$AN,MATCH(yoy!$V$1,Data!$A$1:$AN$1,),))/VLOOKUP(A77,Data!$A:$AN,MATCH(yoy!$V$1,Data!$A$1:$AN$1,),))+1)^12-1)</f>
        <v/>
      </c>
      <c r="W77" s="14">
        <f>IF(VLOOKUP(B77,Data!$A:$AN,MATCH(yoy!$W$1,Data!$A$1:$AN$1,),)=0,"#N/A",(((VLOOKUP(B77,Data!$A:$AN,MATCH(yoy!$W$1,Data!$A$1:$AN$1,),)-VLOOKUP(A77,Data!$A:$AN,MATCH(yoy!$W$1,Data!$A$1:$AN$1,),))/VLOOKUP(A77,Data!$A:$AN,MATCH(yoy!$W$1,Data!$A$1:$AN$1,),))+1)^12-1)</f>
        <v/>
      </c>
      <c r="X77" s="14">
        <f>IF(VLOOKUP(B77,Data!$A:$AN,MATCH(yoy!$X$1,Data!$A$1:$AN$1,),)=0,"#N/A",(((VLOOKUP(B77,Data!$A:$AN,MATCH(yoy!$X$1,Data!$A$1:$AN$1,),)-VLOOKUP(A77,Data!$A:$AN,MATCH(yoy!$X$1,Data!$A$1:$AN$1,),))/VLOOKUP(A77,Data!$A:$AN,MATCH(yoy!$X$1,Data!$A$1:$AN$1,),))+1)^12-1)</f>
        <v/>
      </c>
      <c r="Y77" s="14">
        <f>IF(VLOOKUP(B77,Data!$A:$AN,MATCH(yoy!$Y$1,Data!$A$1:$AN$1,),)=0,"#N/A",(((VLOOKUP(B77,Data!$A:$AN,MATCH(yoy!$Y$1,Data!$A$1:$AN$1,),)-VLOOKUP(A77,Data!$A:$AN,MATCH(yoy!$Y$1,Data!$A$1:$AN$1,),))/VLOOKUP(A77,Data!$A:$AN,MATCH(yoy!$Y$1,Data!$A$1:$AN$1,),))+1)^12-1)</f>
        <v/>
      </c>
      <c r="Z77" s="14">
        <f>IF(VLOOKUP(B77,Data!$A:$AN,MATCH(yoy!$Z$1,Data!$A$1:$AN$1,),)=0,"#N/A",(((VLOOKUP(B77,Data!$A:$AN,MATCH(yoy!$Z$1,Data!$A$1:$AN$1,),)-VLOOKUP(A77,Data!$A:$AN,MATCH(yoy!$Z$1,Data!$A$1:$AN$1,),))/VLOOKUP(A77,Data!$A:$AN,MATCH(yoy!$Z$1,Data!$A$1:$AN$1,),))+1)^12-1)</f>
        <v/>
      </c>
      <c r="AA77" s="14">
        <f>IF(VLOOKUP(B77,Data!$A:$AN,MATCH(yoy!$AA$1,Data!$A$1:$AN$1,),)=0,"#N/A",(((VLOOKUP(B77,Data!$A:$AN,MATCH(yoy!$AA$1,Data!$A$1:$AN$1,),)-VLOOKUP(A77,Data!$A:$AN,MATCH(yoy!$AA$1,Data!$A$1:$AN$1,),))/VLOOKUP(A77,Data!$A:$AN,MATCH(yoy!$AA$1,Data!$A$1:$AN$1,),))+1)^12-1)</f>
        <v/>
      </c>
    </row>
    <row r="78" customFormat="1" s="77">
      <c r="A78" s="20">
        <f>DATE(YEAR(B78),MONTH(B78)-1,DAY(B78))</f>
        <v/>
      </c>
      <c r="B78" s="12" t="n">
        <v>44228</v>
      </c>
      <c r="C78" s="14">
        <f>IF(VLOOKUP(B78,Data!$A:$AN,MATCH(yoy!$C$1,Data!$A$1:$AN$1,),)=0,"#N/A",(((VLOOKUP(B78,Data!$A:$AN,MATCH(yoy!$C$1,Data!$A$1:$AN$1,),)-VLOOKUP(A78,Data!$A:$AN,MATCH(yoy!$C$1,Data!$A$1:$AN$1,),))/VLOOKUP(A78,Data!$A:$AN,MATCH(yoy!$C$1,Data!$A$1:$AN$1,),))+1)^12-1)</f>
        <v/>
      </c>
      <c r="D78" s="14">
        <f>IF(VLOOKUP(B78,Data!$A:$AN,MATCH(yoy!$D$1,Data!$A$1:$AN$1,),)=0,"#N/A",(((VLOOKUP(B78,Data!$A:$AN,MATCH(yoy!$D$1,Data!$A$1:$AN$1,),)-VLOOKUP(A78,Data!$A:$AN,MATCH(yoy!$D$1,Data!$A$1:$AN$1,),))/VLOOKUP(A78,Data!$A:$AN,MATCH(yoy!$D$1,Data!$A$1:$AN$1,),))+1)^12-1)</f>
        <v/>
      </c>
      <c r="E78" s="14">
        <f>IF(VLOOKUP(B78,Data!$A:$AN,MATCH(yoy!$E$1,Data!$A$1:$AN$1,),)=0,"#N/A",(((VLOOKUP(B78,Data!$A:$AN,MATCH(yoy!$E$1,Data!$A$1:$AN$1,),)-VLOOKUP(A78,Data!$A:$AN,MATCH(yoy!$E$1,Data!$A$1:$AN$1,),))/VLOOKUP(A78,Data!$A:$AN,MATCH(yoy!$E$1,Data!$A$1:$AN$1,),))+1)^12-1)</f>
        <v/>
      </c>
      <c r="F78" s="14">
        <f>IF(VLOOKUP(B78,Data!$A:$AN,MATCH(yoy!$F$1,Data!$A$1:$AN$1,),)=0,"#N/A",(((VLOOKUP(B78,Data!$A:$AN,MATCH(yoy!$F$1,Data!$A$1:$AN$1,),)-VLOOKUP(A78,Data!$A:$AN,MATCH(yoy!$F$1,Data!$A$1:$AN$1,),))/VLOOKUP(A78,Data!$A:$AN,MATCH(yoy!$F$1,Data!$A$1:$AN$1,),))+1)^12-1)</f>
        <v/>
      </c>
      <c r="G78" s="14">
        <f>IF(VLOOKUP(B78,Data!$A:$AN,MATCH(yoy!$G$1,Data!$A$1:$AN$1,),)=0,"#N/A",(((VLOOKUP(B78,Data!$A:$AN,MATCH(yoy!$G$1,Data!$A$1:$AN$1,),)-VLOOKUP(A78,Data!$A:$AN,MATCH(yoy!$G$1,Data!$A$1:$AN$1,),))/VLOOKUP(A78,Data!$A:$AN,MATCH(yoy!$G$1,Data!$A$1:$AN$1,),))+1)^12-1)</f>
        <v/>
      </c>
      <c r="H78" s="14">
        <f>IF(VLOOKUP(B78,Data!$A:$AN,MATCH(yoy!$H$1,Data!$A$1:$AN$1,),)=0,"#N/A",(((VLOOKUP(B78,Data!$A:$AN,MATCH(yoy!$H$1,Data!$A$1:$AN$1,),)-VLOOKUP(A78,Data!$A:$AN,MATCH(yoy!$H$1,Data!$A$1:$AN$1,),))/VLOOKUP(A78,Data!$A:$AN,MATCH(yoy!$H$1,Data!$A$1:$AN$1,),))+1)^12-1)</f>
        <v/>
      </c>
      <c r="I78" s="14">
        <f>IF(VLOOKUP(B78,Data!$A:$AN,MATCH(yoy!$I$1,Data!$A$1:$AN$1,),)=0,"#N/A",(((VLOOKUP(B78,Data!$A:$AN,MATCH(yoy!$I$1,Data!$A$1:$AN$1,),)-VLOOKUP(A78,Data!$A:$AN,MATCH(yoy!$I$1,Data!$A$1:$AN$1,),))/VLOOKUP(A78,Data!$A:$AN,MATCH(yoy!$I$1,Data!$A$1:$AN$1,),))+1)^12-1)</f>
        <v/>
      </c>
      <c r="J78" s="14">
        <f>IF(VLOOKUP(B78,Data!$A:$AN,MATCH(yoy!$J$1,Data!$A$1:$AN$1,),)=0,"#N/A",(((VLOOKUP(B78,Data!$A:$AN,MATCH(yoy!$J$1,Data!$A$1:$AN$1,),)-VLOOKUP(A78,Data!$A:$AN,MATCH(yoy!$J$1,Data!$A$1:$AN$1,),))/VLOOKUP(A78,Data!$A:$AN,MATCH(yoy!$J$1,Data!$A$1:$AN$1,),))+1)^12-1)</f>
        <v/>
      </c>
      <c r="K78" s="14">
        <f>IF(VLOOKUP(B78,Data!$A:$AN,MATCH(yoy!$K$1,Data!$A$1:$AN$1,),)=0,"#N/A",(((VLOOKUP(B78,Data!$A:$AN,MATCH(yoy!$K$1,Data!$A$1:$AN$1,),)-VLOOKUP(A78,Data!$A:$AN,MATCH(yoy!$K$1,Data!$A$1:$AN$1,),))/VLOOKUP(A78,Data!$A:$AN,MATCH(yoy!$K$1,Data!$A$1:$AN$1,),))+1)^12-1)</f>
        <v/>
      </c>
      <c r="L78" s="14">
        <f>IF(VLOOKUP(B78,Data!$A:$AN,MATCH(yoy!$L$1,Data!$A$1:$AN$1,),)=0,"#N/A",(((VLOOKUP(B78,Data!$A:$AN,MATCH(yoy!$L$1,Data!$A$1:$AN$1,),)-VLOOKUP(A78,Data!$A:$AN,MATCH(yoy!$L$1,Data!$A$1:$AN$1,),))/VLOOKUP(A78,Data!$A:$AN,MATCH(yoy!$L$1,Data!$A$1:$AN$1,),))+1)^12-1)</f>
        <v/>
      </c>
      <c r="M78" s="14">
        <f>IF(VLOOKUP(B78,Data!$A:$AN,MATCH(yoy!$M$1,Data!$A$1:$AN$1,),)=0,"#N/A",(((VLOOKUP(B78,Data!$A:$AN,MATCH(yoy!$M$1,Data!$A$1:$AN$1,),)-VLOOKUP(A78,Data!$A:$AN,MATCH(yoy!$M$1,Data!$A$1:$AN$1,),))/VLOOKUP(A78,Data!$A:$AN,MATCH(yoy!$M$1,Data!$A$1:$AN$1,),))+1)^12-1)</f>
        <v/>
      </c>
      <c r="N78" s="14">
        <f>IF(VLOOKUP(B78,Data!$A:$AN,MATCH(yoy!$N$1,Data!$A$1:$AN$1,),)=0,"#N/A",(((VLOOKUP(B78,Data!$A:$AN,MATCH(yoy!$N$1,Data!$A$1:$AN$1,),)-VLOOKUP(A78,Data!$A:$AN,MATCH(yoy!$N$1,Data!$A$1:$AN$1,),))/VLOOKUP(A78,Data!$A:$AN,MATCH(yoy!$N$1,Data!$A$1:$AN$1,),))+1)^12-1)</f>
        <v/>
      </c>
      <c r="O78" s="14">
        <f>IF(VLOOKUP(B78,Data!$A:$AN,MATCH(yoy!$O$1,Data!$A$1:$AN$1,),)=0,"#N/A",(((VLOOKUP(B78,Data!$A:$AN,MATCH(yoy!$O$1,Data!$A$1:$AN$1,),)-VLOOKUP(A78,Data!$A:$AN,MATCH(yoy!$O$1,Data!$A$1:$AN$1,),))/VLOOKUP(A78,Data!$A:$AN,MATCH(yoy!$O$1,Data!$A$1:$AN$1,),))+1)^12-1)</f>
        <v/>
      </c>
      <c r="P78" s="14">
        <f>IF(VLOOKUP(B78,Data!$A:$AN,MATCH(yoy!$P$1,Data!$A$1:$AN$1,),)=0,"#N/A",(((VLOOKUP(B78,Data!$A:$AN,MATCH(yoy!$P$1,Data!$A$1:$AN$1,),)-VLOOKUP(A78,Data!$A:$AN,MATCH(yoy!$P$1,Data!$A$1:$AN$1,),))/VLOOKUP(A78,Data!$A:$AN,MATCH(yoy!$P$1,Data!$A$1:$AN$1,),))+1)^12-1)</f>
        <v/>
      </c>
      <c r="Q78" s="14">
        <f>IF(VLOOKUP(B78,Data!$A:$AN,MATCH(yoy!$Q$1,Data!$A$1:$AN$1,),)=0,"#N/A",(((VLOOKUP(B78,Data!$A:$AN,MATCH(yoy!$Q$1,Data!$A$1:$AN$1,),)-VLOOKUP(A78,Data!$A:$AN,MATCH(yoy!$Q$1,Data!$A$1:$AN$1,),))/VLOOKUP(A78,Data!$A:$AN,MATCH(yoy!$Q$1,Data!$A$1:$AN$1,),))+1)^12-1)</f>
        <v/>
      </c>
      <c r="R78" s="14">
        <f>IF(VLOOKUP(B78,Data!$A:$AN,MATCH(yoy!$R$1,Data!$A$1:$AN$1,),)=0,"#N/A",(((VLOOKUP(B78,Data!$A:$AN,MATCH(yoy!$R$1,Data!$A$1:$AN$1,),)-VLOOKUP(A78,Data!$A:$AN,MATCH(yoy!$R$1,Data!$A$1:$AN$1,),))/VLOOKUP(A78,Data!$A:$AN,MATCH(yoy!$R$1,Data!$A$1:$AN$1,),))+1)^12-1)</f>
        <v/>
      </c>
      <c r="S78" s="14">
        <f>IF(VLOOKUP(B78,Data!$A:$AN,MATCH(yoy!$S$1,Data!$A$1:$AN$1,),)=0,"#N/A",(((VLOOKUP(B78,Data!$A:$AN,MATCH(yoy!$S$1,Data!$A$1:$AN$1,),)-VLOOKUP(A78,Data!$A:$AN,MATCH(yoy!$S$1,Data!$A$1:$AN$1,),))/VLOOKUP(A78,Data!$A:$AN,MATCH(yoy!$S$1,Data!$A$1:$AN$1,),))+1)^12-1)</f>
        <v/>
      </c>
      <c r="T78" s="14">
        <f>IF(VLOOKUP(B78,Data!$A:$AN,MATCH(yoy!$T$1,Data!$A$1:$AN$1,),)=0,"#N/A",(((VLOOKUP(B78,Data!$A:$AN,MATCH(yoy!$T$1,Data!$A$1:$AN$1,),)-VLOOKUP(A78,Data!$A:$AN,MATCH(yoy!$T$1,Data!$A$1:$AN$1,),))/VLOOKUP(A78,Data!$A:$AN,MATCH(yoy!$T$1,Data!$A$1:$AN$1,),))+1)^12-1)</f>
        <v/>
      </c>
      <c r="U78" s="14">
        <f>IF(VLOOKUP(B78,Data!$A:$AN,MATCH(yoy!$U$1,Data!$A$1:$AN$1,),)=0,"#N/A",(((VLOOKUP(B78,Data!$A:$AN,MATCH(yoy!$U$1,Data!$A$1:$AN$1,),)-VLOOKUP(A78,Data!$A:$AN,MATCH(yoy!$U$1,Data!$A$1:$AN$1,),))/VLOOKUP(A78,Data!$A:$AN,MATCH(yoy!$U$1,Data!$A$1:$AN$1,),))+1)^12-1)</f>
        <v/>
      </c>
      <c r="V78" s="14">
        <f>IF(VLOOKUP(B78,Data!$A:$AN,MATCH(yoy!$V$1,Data!$A$1:$AN$1,),)=0,"#N/A",(((VLOOKUP(B78,Data!$A:$AN,MATCH(yoy!$V$1,Data!$A$1:$AN$1,),)-VLOOKUP(A78,Data!$A:$AN,MATCH(yoy!$V$1,Data!$A$1:$AN$1,),))/VLOOKUP(A78,Data!$A:$AN,MATCH(yoy!$V$1,Data!$A$1:$AN$1,),))+1)^12-1)</f>
        <v/>
      </c>
      <c r="W78" s="14">
        <f>IF(VLOOKUP(B78,Data!$A:$AN,MATCH(yoy!$W$1,Data!$A$1:$AN$1,),)=0,"#N/A",(((VLOOKUP(B78,Data!$A:$AN,MATCH(yoy!$W$1,Data!$A$1:$AN$1,),)-VLOOKUP(A78,Data!$A:$AN,MATCH(yoy!$W$1,Data!$A$1:$AN$1,),))/VLOOKUP(A78,Data!$A:$AN,MATCH(yoy!$W$1,Data!$A$1:$AN$1,),))+1)^12-1)</f>
        <v/>
      </c>
      <c r="X78" s="14">
        <f>IF(VLOOKUP(B78,Data!$A:$AN,MATCH(yoy!$X$1,Data!$A$1:$AN$1,),)=0,"#N/A",(((VLOOKUP(B78,Data!$A:$AN,MATCH(yoy!$X$1,Data!$A$1:$AN$1,),)-VLOOKUP(A78,Data!$A:$AN,MATCH(yoy!$X$1,Data!$A$1:$AN$1,),))/VLOOKUP(A78,Data!$A:$AN,MATCH(yoy!$X$1,Data!$A$1:$AN$1,),))+1)^12-1)</f>
        <v/>
      </c>
      <c r="Y78" s="14">
        <f>IF(VLOOKUP(B78,Data!$A:$AN,MATCH(yoy!$Y$1,Data!$A$1:$AN$1,),)=0,"#N/A",(((VLOOKUP(B78,Data!$A:$AN,MATCH(yoy!$Y$1,Data!$A$1:$AN$1,),)-VLOOKUP(A78,Data!$A:$AN,MATCH(yoy!$Y$1,Data!$A$1:$AN$1,),))/VLOOKUP(A78,Data!$A:$AN,MATCH(yoy!$Y$1,Data!$A$1:$AN$1,),))+1)^12-1)</f>
        <v/>
      </c>
      <c r="Z78" s="14">
        <f>IF(VLOOKUP(B78,Data!$A:$AN,MATCH(yoy!$Z$1,Data!$A$1:$AN$1,),)=0,"#N/A",(((VLOOKUP(B78,Data!$A:$AN,MATCH(yoy!$Z$1,Data!$A$1:$AN$1,),)-VLOOKUP(A78,Data!$A:$AN,MATCH(yoy!$Z$1,Data!$A$1:$AN$1,),))/VLOOKUP(A78,Data!$A:$AN,MATCH(yoy!$Z$1,Data!$A$1:$AN$1,),))+1)^12-1)</f>
        <v/>
      </c>
      <c r="AA78" s="14">
        <f>IF(VLOOKUP(B78,Data!$A:$AN,MATCH(yoy!$AA$1,Data!$A$1:$AN$1,),)=0,"#N/A",(((VLOOKUP(B78,Data!$A:$AN,MATCH(yoy!$AA$1,Data!$A$1:$AN$1,),)-VLOOKUP(A78,Data!$A:$AN,MATCH(yoy!$AA$1,Data!$A$1:$AN$1,),))/VLOOKUP(A78,Data!$A:$AN,MATCH(yoy!$AA$1,Data!$A$1:$AN$1,),))+1)^12-1)</f>
        <v/>
      </c>
    </row>
    <row r="79" customFormat="1" s="77">
      <c r="A79" s="20">
        <f>DATE(YEAR(B79),MONTH(B79)-1,DAY(B79))</f>
        <v/>
      </c>
      <c r="B79" s="12" t="n">
        <v>44256</v>
      </c>
      <c r="C79" s="14">
        <f>IF(VLOOKUP(B79,Data!$A:$AN,MATCH(yoy!$C$1,Data!$A$1:$AN$1,),)=0,"#N/A",(((VLOOKUP(B79,Data!$A:$AN,MATCH(yoy!$C$1,Data!$A$1:$AN$1,),)-VLOOKUP(A79,Data!$A:$AN,MATCH(yoy!$C$1,Data!$A$1:$AN$1,),))/VLOOKUP(A79,Data!$A:$AN,MATCH(yoy!$C$1,Data!$A$1:$AN$1,),))+1)^12-1)</f>
        <v/>
      </c>
      <c r="D79" s="14">
        <f>IF(VLOOKUP(B79,Data!$A:$AN,MATCH(yoy!$D$1,Data!$A$1:$AN$1,),)=0,"#N/A",(((VLOOKUP(B79,Data!$A:$AN,MATCH(yoy!$D$1,Data!$A$1:$AN$1,),)-VLOOKUP(A79,Data!$A:$AN,MATCH(yoy!$D$1,Data!$A$1:$AN$1,),))/VLOOKUP(A79,Data!$A:$AN,MATCH(yoy!$D$1,Data!$A$1:$AN$1,),))+1)^12-1)</f>
        <v/>
      </c>
      <c r="E79" s="14">
        <f>IF(VLOOKUP(B79,Data!$A:$AN,MATCH(yoy!$E$1,Data!$A$1:$AN$1,),)=0,"#N/A",(((VLOOKUP(B79,Data!$A:$AN,MATCH(yoy!$E$1,Data!$A$1:$AN$1,),)-VLOOKUP(A79,Data!$A:$AN,MATCH(yoy!$E$1,Data!$A$1:$AN$1,),))/VLOOKUP(A79,Data!$A:$AN,MATCH(yoy!$E$1,Data!$A$1:$AN$1,),))+1)^12-1)</f>
        <v/>
      </c>
      <c r="F79" s="14">
        <f>IF(VLOOKUP(B79,Data!$A:$AN,MATCH(yoy!$F$1,Data!$A$1:$AN$1,),)=0,"#N/A",(((VLOOKUP(B79,Data!$A:$AN,MATCH(yoy!$F$1,Data!$A$1:$AN$1,),)-VLOOKUP(A79,Data!$A:$AN,MATCH(yoy!$F$1,Data!$A$1:$AN$1,),))/VLOOKUP(A79,Data!$A:$AN,MATCH(yoy!$F$1,Data!$A$1:$AN$1,),))+1)^12-1)</f>
        <v/>
      </c>
      <c r="G79" s="14">
        <f>IF(VLOOKUP(B79,Data!$A:$AN,MATCH(yoy!$G$1,Data!$A$1:$AN$1,),)=0,"#N/A",(((VLOOKUP(B79,Data!$A:$AN,MATCH(yoy!$G$1,Data!$A$1:$AN$1,),)-VLOOKUP(A79,Data!$A:$AN,MATCH(yoy!$G$1,Data!$A$1:$AN$1,),))/VLOOKUP(A79,Data!$A:$AN,MATCH(yoy!$G$1,Data!$A$1:$AN$1,),))+1)^12-1)</f>
        <v/>
      </c>
      <c r="H79" s="14">
        <f>IF(VLOOKUP(B79,Data!$A:$AN,MATCH(yoy!$H$1,Data!$A$1:$AN$1,),)=0,"#N/A",(((VLOOKUP(B79,Data!$A:$AN,MATCH(yoy!$H$1,Data!$A$1:$AN$1,),)-VLOOKUP(A79,Data!$A:$AN,MATCH(yoy!$H$1,Data!$A$1:$AN$1,),))/VLOOKUP(A79,Data!$A:$AN,MATCH(yoy!$H$1,Data!$A$1:$AN$1,),))+1)^12-1)</f>
        <v/>
      </c>
      <c r="I79" s="14">
        <f>IF(VLOOKUP(B79,Data!$A:$AN,MATCH(yoy!$I$1,Data!$A$1:$AN$1,),)=0,"#N/A",(((VLOOKUP(B79,Data!$A:$AN,MATCH(yoy!$I$1,Data!$A$1:$AN$1,),)-VLOOKUP(A79,Data!$A:$AN,MATCH(yoy!$I$1,Data!$A$1:$AN$1,),))/VLOOKUP(A79,Data!$A:$AN,MATCH(yoy!$I$1,Data!$A$1:$AN$1,),))+1)^12-1)</f>
        <v/>
      </c>
      <c r="J79" s="14">
        <f>IF(VLOOKUP(B79,Data!$A:$AN,MATCH(yoy!$J$1,Data!$A$1:$AN$1,),)=0,"#N/A",(((VLOOKUP(B79,Data!$A:$AN,MATCH(yoy!$J$1,Data!$A$1:$AN$1,),)-VLOOKUP(A79,Data!$A:$AN,MATCH(yoy!$J$1,Data!$A$1:$AN$1,),))/VLOOKUP(A79,Data!$A:$AN,MATCH(yoy!$J$1,Data!$A$1:$AN$1,),))+1)^12-1)</f>
        <v/>
      </c>
      <c r="K79" s="14">
        <f>IF(VLOOKUP(B79,Data!$A:$AN,MATCH(yoy!$K$1,Data!$A$1:$AN$1,),)=0,"#N/A",(((VLOOKUP(B79,Data!$A:$AN,MATCH(yoy!$K$1,Data!$A$1:$AN$1,),)-VLOOKUP(A79,Data!$A:$AN,MATCH(yoy!$K$1,Data!$A$1:$AN$1,),))/VLOOKUP(A79,Data!$A:$AN,MATCH(yoy!$K$1,Data!$A$1:$AN$1,),))+1)^12-1)</f>
        <v/>
      </c>
      <c r="L79" s="14">
        <f>IF(VLOOKUP(B79,Data!$A:$AN,MATCH(yoy!$L$1,Data!$A$1:$AN$1,),)=0,"#N/A",(((VLOOKUP(B79,Data!$A:$AN,MATCH(yoy!$L$1,Data!$A$1:$AN$1,),)-VLOOKUP(A79,Data!$A:$AN,MATCH(yoy!$L$1,Data!$A$1:$AN$1,),))/VLOOKUP(A79,Data!$A:$AN,MATCH(yoy!$L$1,Data!$A$1:$AN$1,),))+1)^12-1)</f>
        <v/>
      </c>
      <c r="M79" s="14">
        <f>IF(VLOOKUP(B79,Data!$A:$AN,MATCH(yoy!$M$1,Data!$A$1:$AN$1,),)=0,"#N/A",(((VLOOKUP(B79,Data!$A:$AN,MATCH(yoy!$M$1,Data!$A$1:$AN$1,),)-VLOOKUP(A79,Data!$A:$AN,MATCH(yoy!$M$1,Data!$A$1:$AN$1,),))/VLOOKUP(A79,Data!$A:$AN,MATCH(yoy!$M$1,Data!$A$1:$AN$1,),))+1)^12-1)</f>
        <v/>
      </c>
      <c r="N79" s="14">
        <f>IF(VLOOKUP(B79,Data!$A:$AN,MATCH(yoy!$N$1,Data!$A$1:$AN$1,),)=0,"#N/A",(((VLOOKUP(B79,Data!$A:$AN,MATCH(yoy!$N$1,Data!$A$1:$AN$1,),)-VLOOKUP(A79,Data!$A:$AN,MATCH(yoy!$N$1,Data!$A$1:$AN$1,),))/VLOOKUP(A79,Data!$A:$AN,MATCH(yoy!$N$1,Data!$A$1:$AN$1,),))+1)^12-1)</f>
        <v/>
      </c>
      <c r="O79" s="14">
        <f>IF(VLOOKUP(B79,Data!$A:$AN,MATCH(yoy!$O$1,Data!$A$1:$AN$1,),)=0,"#N/A",(((VLOOKUP(B79,Data!$A:$AN,MATCH(yoy!$O$1,Data!$A$1:$AN$1,),)-VLOOKUP(A79,Data!$A:$AN,MATCH(yoy!$O$1,Data!$A$1:$AN$1,),))/VLOOKUP(A79,Data!$A:$AN,MATCH(yoy!$O$1,Data!$A$1:$AN$1,),))+1)^12-1)</f>
        <v/>
      </c>
      <c r="P79" s="14">
        <f>IF(VLOOKUP(B79,Data!$A:$AN,MATCH(yoy!$P$1,Data!$A$1:$AN$1,),)=0,"#N/A",(((VLOOKUP(B79,Data!$A:$AN,MATCH(yoy!$P$1,Data!$A$1:$AN$1,),)-VLOOKUP(A79,Data!$A:$AN,MATCH(yoy!$P$1,Data!$A$1:$AN$1,),))/VLOOKUP(A79,Data!$A:$AN,MATCH(yoy!$P$1,Data!$A$1:$AN$1,),))+1)^12-1)</f>
        <v/>
      </c>
      <c r="Q79" s="14">
        <f>IF(VLOOKUP(B79,Data!$A:$AN,MATCH(yoy!$Q$1,Data!$A$1:$AN$1,),)=0,"#N/A",(((VLOOKUP(B79,Data!$A:$AN,MATCH(yoy!$Q$1,Data!$A$1:$AN$1,),)-VLOOKUP(A79,Data!$A:$AN,MATCH(yoy!$Q$1,Data!$A$1:$AN$1,),))/VLOOKUP(A79,Data!$A:$AN,MATCH(yoy!$Q$1,Data!$A$1:$AN$1,),))+1)^12-1)</f>
        <v/>
      </c>
      <c r="R79" s="14">
        <f>IF(VLOOKUP(B79,Data!$A:$AN,MATCH(yoy!$R$1,Data!$A$1:$AN$1,),)=0,"#N/A",(((VLOOKUP(B79,Data!$A:$AN,MATCH(yoy!$R$1,Data!$A$1:$AN$1,),)-VLOOKUP(A79,Data!$A:$AN,MATCH(yoy!$R$1,Data!$A$1:$AN$1,),))/VLOOKUP(A79,Data!$A:$AN,MATCH(yoy!$R$1,Data!$A$1:$AN$1,),))+1)^12-1)</f>
        <v/>
      </c>
      <c r="S79" s="14">
        <f>IF(VLOOKUP(B79,Data!$A:$AN,MATCH(yoy!$S$1,Data!$A$1:$AN$1,),)=0,"#N/A",(((VLOOKUP(B79,Data!$A:$AN,MATCH(yoy!$S$1,Data!$A$1:$AN$1,),)-VLOOKUP(A79,Data!$A:$AN,MATCH(yoy!$S$1,Data!$A$1:$AN$1,),))/VLOOKUP(A79,Data!$A:$AN,MATCH(yoy!$S$1,Data!$A$1:$AN$1,),))+1)^12-1)</f>
        <v/>
      </c>
      <c r="T79" s="14">
        <f>IF(VLOOKUP(B79,Data!$A:$AN,MATCH(yoy!$T$1,Data!$A$1:$AN$1,),)=0,"#N/A",(((VLOOKUP(B79,Data!$A:$AN,MATCH(yoy!$T$1,Data!$A$1:$AN$1,),)-VLOOKUP(A79,Data!$A:$AN,MATCH(yoy!$T$1,Data!$A$1:$AN$1,),))/VLOOKUP(A79,Data!$A:$AN,MATCH(yoy!$T$1,Data!$A$1:$AN$1,),))+1)^12-1)</f>
        <v/>
      </c>
      <c r="U79" s="14">
        <f>IF(VLOOKUP(B79,Data!$A:$AN,MATCH(yoy!$U$1,Data!$A$1:$AN$1,),)=0,"#N/A",(((VLOOKUP(B79,Data!$A:$AN,MATCH(yoy!$U$1,Data!$A$1:$AN$1,),)-VLOOKUP(A79,Data!$A:$AN,MATCH(yoy!$U$1,Data!$A$1:$AN$1,),))/VLOOKUP(A79,Data!$A:$AN,MATCH(yoy!$U$1,Data!$A$1:$AN$1,),))+1)^12-1)</f>
        <v/>
      </c>
      <c r="V79" s="14">
        <f>IF(VLOOKUP(B79,Data!$A:$AN,MATCH(yoy!$V$1,Data!$A$1:$AN$1,),)=0,"#N/A",(((VLOOKUP(B79,Data!$A:$AN,MATCH(yoy!$V$1,Data!$A$1:$AN$1,),)-VLOOKUP(A79,Data!$A:$AN,MATCH(yoy!$V$1,Data!$A$1:$AN$1,),))/VLOOKUP(A79,Data!$A:$AN,MATCH(yoy!$V$1,Data!$A$1:$AN$1,),))+1)^12-1)</f>
        <v/>
      </c>
      <c r="W79" s="14">
        <f>IF(VLOOKUP(B79,Data!$A:$AN,MATCH(yoy!$W$1,Data!$A$1:$AN$1,),)=0,"#N/A",(((VLOOKUP(B79,Data!$A:$AN,MATCH(yoy!$W$1,Data!$A$1:$AN$1,),)-VLOOKUP(A79,Data!$A:$AN,MATCH(yoy!$W$1,Data!$A$1:$AN$1,),))/VLOOKUP(A79,Data!$A:$AN,MATCH(yoy!$W$1,Data!$A$1:$AN$1,),))+1)^12-1)</f>
        <v/>
      </c>
      <c r="X79" s="14">
        <f>IF(VLOOKUP(B79,Data!$A:$AN,MATCH(yoy!$X$1,Data!$A$1:$AN$1,),)=0,"#N/A",(((VLOOKUP(B79,Data!$A:$AN,MATCH(yoy!$X$1,Data!$A$1:$AN$1,),)-VLOOKUP(A79,Data!$A:$AN,MATCH(yoy!$X$1,Data!$A$1:$AN$1,),))/VLOOKUP(A79,Data!$A:$AN,MATCH(yoy!$X$1,Data!$A$1:$AN$1,),))+1)^12-1)</f>
        <v/>
      </c>
      <c r="Y79" s="14">
        <f>IF(VLOOKUP(B79,Data!$A:$AN,MATCH(yoy!$Y$1,Data!$A$1:$AN$1,),)=0,"#N/A",(((VLOOKUP(B79,Data!$A:$AN,MATCH(yoy!$Y$1,Data!$A$1:$AN$1,),)-VLOOKUP(A79,Data!$A:$AN,MATCH(yoy!$Y$1,Data!$A$1:$AN$1,),))/VLOOKUP(A79,Data!$A:$AN,MATCH(yoy!$Y$1,Data!$A$1:$AN$1,),))+1)^12-1)</f>
        <v/>
      </c>
      <c r="Z79" s="14">
        <f>IF(VLOOKUP(B79,Data!$A:$AN,MATCH(yoy!$Z$1,Data!$A$1:$AN$1,),)=0,"#N/A",(((VLOOKUP(B79,Data!$A:$AN,MATCH(yoy!$Z$1,Data!$A$1:$AN$1,),)-VLOOKUP(A79,Data!$A:$AN,MATCH(yoy!$Z$1,Data!$A$1:$AN$1,),))/VLOOKUP(A79,Data!$A:$AN,MATCH(yoy!$Z$1,Data!$A$1:$AN$1,),))+1)^12-1)</f>
        <v/>
      </c>
      <c r="AA79" s="14">
        <f>IF(VLOOKUP(B79,Data!$A:$AN,MATCH(yoy!$AA$1,Data!$A$1:$AN$1,),)=0,"#N/A",(((VLOOKUP(B79,Data!$A:$AN,MATCH(yoy!$AA$1,Data!$A$1:$AN$1,),)-VLOOKUP(A79,Data!$A:$AN,MATCH(yoy!$AA$1,Data!$A$1:$AN$1,),))/VLOOKUP(A79,Data!$A:$AN,MATCH(yoy!$AA$1,Data!$A$1:$AN$1,),))+1)^12-1)</f>
        <v/>
      </c>
    </row>
    <row r="80" customFormat="1" s="77">
      <c r="A80" s="20">
        <f>DATE(YEAR(B80),MONTH(B80)-1,DAY(B80))</f>
        <v/>
      </c>
      <c r="B80" s="12" t="n">
        <v>44287</v>
      </c>
      <c r="C80" s="14">
        <f>IF(VLOOKUP(B80,Data!$A:$AN,MATCH(yoy!$C$1,Data!$A$1:$AN$1,),)=0,"#N/A",(((VLOOKUP(B80,Data!$A:$AN,MATCH(yoy!$C$1,Data!$A$1:$AN$1,),)-VLOOKUP(A80,Data!$A:$AN,MATCH(yoy!$C$1,Data!$A$1:$AN$1,),))/VLOOKUP(A80,Data!$A:$AN,MATCH(yoy!$C$1,Data!$A$1:$AN$1,),))+1)^12-1)</f>
        <v/>
      </c>
      <c r="D80" s="14">
        <f>IF(VLOOKUP(B80,Data!$A:$AN,MATCH(yoy!$D$1,Data!$A$1:$AN$1,),)=0,"#N/A",(((VLOOKUP(B80,Data!$A:$AN,MATCH(yoy!$D$1,Data!$A$1:$AN$1,),)-VLOOKUP(A80,Data!$A:$AN,MATCH(yoy!$D$1,Data!$A$1:$AN$1,),))/VLOOKUP(A80,Data!$A:$AN,MATCH(yoy!$D$1,Data!$A$1:$AN$1,),))+1)^12-1)</f>
        <v/>
      </c>
      <c r="E80" s="14">
        <f>IF(VLOOKUP(B80,Data!$A:$AN,MATCH(yoy!$E$1,Data!$A$1:$AN$1,),)=0,"#N/A",(((VLOOKUP(B80,Data!$A:$AN,MATCH(yoy!$E$1,Data!$A$1:$AN$1,),)-VLOOKUP(A80,Data!$A:$AN,MATCH(yoy!$E$1,Data!$A$1:$AN$1,),))/VLOOKUP(A80,Data!$A:$AN,MATCH(yoy!$E$1,Data!$A$1:$AN$1,),))+1)^12-1)</f>
        <v/>
      </c>
      <c r="F80" s="14">
        <f>IF(VLOOKUP(B80,Data!$A:$AN,MATCH(yoy!$F$1,Data!$A$1:$AN$1,),)=0,"#N/A",(((VLOOKUP(B80,Data!$A:$AN,MATCH(yoy!$F$1,Data!$A$1:$AN$1,),)-VLOOKUP(A80,Data!$A:$AN,MATCH(yoy!$F$1,Data!$A$1:$AN$1,),))/VLOOKUP(A80,Data!$A:$AN,MATCH(yoy!$F$1,Data!$A$1:$AN$1,),))+1)^12-1)</f>
        <v/>
      </c>
      <c r="G80" s="14">
        <f>IF(VLOOKUP(B80,Data!$A:$AN,MATCH(yoy!$G$1,Data!$A$1:$AN$1,),)=0,"#N/A",(((VLOOKUP(B80,Data!$A:$AN,MATCH(yoy!$G$1,Data!$A$1:$AN$1,),)-VLOOKUP(A80,Data!$A:$AN,MATCH(yoy!$G$1,Data!$A$1:$AN$1,),))/VLOOKUP(A80,Data!$A:$AN,MATCH(yoy!$G$1,Data!$A$1:$AN$1,),))+1)^12-1)</f>
        <v/>
      </c>
      <c r="H80" s="14">
        <f>IF(VLOOKUP(B80,Data!$A:$AN,MATCH(yoy!$H$1,Data!$A$1:$AN$1,),)=0,"#N/A",(((VLOOKUP(B80,Data!$A:$AN,MATCH(yoy!$H$1,Data!$A$1:$AN$1,),)-VLOOKUP(A80,Data!$A:$AN,MATCH(yoy!$H$1,Data!$A$1:$AN$1,),))/VLOOKUP(A80,Data!$A:$AN,MATCH(yoy!$H$1,Data!$A$1:$AN$1,),))+1)^12-1)</f>
        <v/>
      </c>
      <c r="I80" s="14">
        <f>IF(VLOOKUP(B80,Data!$A:$AN,MATCH(yoy!$I$1,Data!$A$1:$AN$1,),)=0,"#N/A",(((VLOOKUP(B80,Data!$A:$AN,MATCH(yoy!$I$1,Data!$A$1:$AN$1,),)-VLOOKUP(A80,Data!$A:$AN,MATCH(yoy!$I$1,Data!$A$1:$AN$1,),))/VLOOKUP(A80,Data!$A:$AN,MATCH(yoy!$I$1,Data!$A$1:$AN$1,),))+1)^12-1)</f>
        <v/>
      </c>
      <c r="J80" s="14">
        <f>IF(VLOOKUP(B80,Data!$A:$AN,MATCH(yoy!$J$1,Data!$A$1:$AN$1,),)=0,"#N/A",(((VLOOKUP(B80,Data!$A:$AN,MATCH(yoy!$J$1,Data!$A$1:$AN$1,),)-VLOOKUP(A80,Data!$A:$AN,MATCH(yoy!$J$1,Data!$A$1:$AN$1,),))/VLOOKUP(A80,Data!$A:$AN,MATCH(yoy!$J$1,Data!$A$1:$AN$1,),))+1)^12-1)</f>
        <v/>
      </c>
      <c r="K80" s="14">
        <f>IF(VLOOKUP(B80,Data!$A:$AN,MATCH(yoy!$K$1,Data!$A$1:$AN$1,),)=0,"#N/A",(((VLOOKUP(B80,Data!$A:$AN,MATCH(yoy!$K$1,Data!$A$1:$AN$1,),)-VLOOKUP(A80,Data!$A:$AN,MATCH(yoy!$K$1,Data!$A$1:$AN$1,),))/VLOOKUP(A80,Data!$A:$AN,MATCH(yoy!$K$1,Data!$A$1:$AN$1,),))+1)^12-1)</f>
        <v/>
      </c>
      <c r="L80" s="14">
        <f>IF(VLOOKUP(B80,Data!$A:$AN,MATCH(yoy!$L$1,Data!$A$1:$AN$1,),)=0,"#N/A",(((VLOOKUP(B80,Data!$A:$AN,MATCH(yoy!$L$1,Data!$A$1:$AN$1,),)-VLOOKUP(A80,Data!$A:$AN,MATCH(yoy!$L$1,Data!$A$1:$AN$1,),))/VLOOKUP(A80,Data!$A:$AN,MATCH(yoy!$L$1,Data!$A$1:$AN$1,),))+1)^12-1)</f>
        <v/>
      </c>
      <c r="M80" s="14">
        <f>IF(VLOOKUP(B80,Data!$A:$AN,MATCH(yoy!$M$1,Data!$A$1:$AN$1,),)=0,"#N/A",(((VLOOKUP(B80,Data!$A:$AN,MATCH(yoy!$M$1,Data!$A$1:$AN$1,),)-VLOOKUP(A80,Data!$A:$AN,MATCH(yoy!$M$1,Data!$A$1:$AN$1,),))/VLOOKUP(A80,Data!$A:$AN,MATCH(yoy!$M$1,Data!$A$1:$AN$1,),))+1)^12-1)</f>
        <v/>
      </c>
      <c r="N80" s="14">
        <f>IF(VLOOKUP(B80,Data!$A:$AN,MATCH(yoy!$N$1,Data!$A$1:$AN$1,),)=0,"#N/A",(((VLOOKUP(B80,Data!$A:$AN,MATCH(yoy!$N$1,Data!$A$1:$AN$1,),)-VLOOKUP(A80,Data!$A:$AN,MATCH(yoy!$N$1,Data!$A$1:$AN$1,),))/VLOOKUP(A80,Data!$A:$AN,MATCH(yoy!$N$1,Data!$A$1:$AN$1,),))+1)^12-1)</f>
        <v/>
      </c>
      <c r="O80" s="14">
        <f>IF(VLOOKUP(B80,Data!$A:$AN,MATCH(yoy!$O$1,Data!$A$1:$AN$1,),)=0,"#N/A",(((VLOOKUP(B80,Data!$A:$AN,MATCH(yoy!$O$1,Data!$A$1:$AN$1,),)-VLOOKUP(A80,Data!$A:$AN,MATCH(yoy!$O$1,Data!$A$1:$AN$1,),))/VLOOKUP(A80,Data!$A:$AN,MATCH(yoy!$O$1,Data!$A$1:$AN$1,),))+1)^12-1)</f>
        <v/>
      </c>
      <c r="P80" s="14">
        <f>IF(VLOOKUP(B80,Data!$A:$AN,MATCH(yoy!$P$1,Data!$A$1:$AN$1,),)=0,"#N/A",(((VLOOKUP(B80,Data!$A:$AN,MATCH(yoy!$P$1,Data!$A$1:$AN$1,),)-VLOOKUP(A80,Data!$A:$AN,MATCH(yoy!$P$1,Data!$A$1:$AN$1,),))/VLOOKUP(A80,Data!$A:$AN,MATCH(yoy!$P$1,Data!$A$1:$AN$1,),))+1)^12-1)</f>
        <v/>
      </c>
      <c r="Q80" s="14">
        <f>IF(VLOOKUP(B80,Data!$A:$AN,MATCH(yoy!$Q$1,Data!$A$1:$AN$1,),)=0,"#N/A",(((VLOOKUP(B80,Data!$A:$AN,MATCH(yoy!$Q$1,Data!$A$1:$AN$1,),)-VLOOKUP(A80,Data!$A:$AN,MATCH(yoy!$Q$1,Data!$A$1:$AN$1,),))/VLOOKUP(A80,Data!$A:$AN,MATCH(yoy!$Q$1,Data!$A$1:$AN$1,),))+1)^12-1)</f>
        <v/>
      </c>
      <c r="R80" s="14">
        <f>IF(VLOOKUP(B80,Data!$A:$AN,MATCH(yoy!$R$1,Data!$A$1:$AN$1,),)=0,"#N/A",(((VLOOKUP(B80,Data!$A:$AN,MATCH(yoy!$R$1,Data!$A$1:$AN$1,),)-VLOOKUP(A80,Data!$A:$AN,MATCH(yoy!$R$1,Data!$A$1:$AN$1,),))/VLOOKUP(A80,Data!$A:$AN,MATCH(yoy!$R$1,Data!$A$1:$AN$1,),))+1)^12-1)</f>
        <v/>
      </c>
      <c r="S80" s="14">
        <f>IF(VLOOKUP(B80,Data!$A:$AN,MATCH(yoy!$S$1,Data!$A$1:$AN$1,),)=0,"#N/A",(((VLOOKUP(B80,Data!$A:$AN,MATCH(yoy!$S$1,Data!$A$1:$AN$1,),)-VLOOKUP(A80,Data!$A:$AN,MATCH(yoy!$S$1,Data!$A$1:$AN$1,),))/VLOOKUP(A80,Data!$A:$AN,MATCH(yoy!$S$1,Data!$A$1:$AN$1,),))+1)^12-1)</f>
        <v/>
      </c>
      <c r="T80" s="14">
        <f>IF(VLOOKUP(B80,Data!$A:$AN,MATCH(yoy!$T$1,Data!$A$1:$AN$1,),)=0,"#N/A",(((VLOOKUP(B80,Data!$A:$AN,MATCH(yoy!$T$1,Data!$A$1:$AN$1,),)-VLOOKUP(A80,Data!$A:$AN,MATCH(yoy!$T$1,Data!$A$1:$AN$1,),))/VLOOKUP(A80,Data!$A:$AN,MATCH(yoy!$T$1,Data!$A$1:$AN$1,),))+1)^12-1)</f>
        <v/>
      </c>
      <c r="U80" s="14">
        <f>IF(VLOOKUP(B80,Data!$A:$AN,MATCH(yoy!$U$1,Data!$A$1:$AN$1,),)=0,"#N/A",(((VLOOKUP(B80,Data!$A:$AN,MATCH(yoy!$U$1,Data!$A$1:$AN$1,),)-VLOOKUP(A80,Data!$A:$AN,MATCH(yoy!$U$1,Data!$A$1:$AN$1,),))/VLOOKUP(A80,Data!$A:$AN,MATCH(yoy!$U$1,Data!$A$1:$AN$1,),))+1)^12-1)</f>
        <v/>
      </c>
      <c r="V80" s="14">
        <f>IF(VLOOKUP(B80,Data!$A:$AN,MATCH(yoy!$V$1,Data!$A$1:$AN$1,),)=0,"#N/A",(((VLOOKUP(B80,Data!$A:$AN,MATCH(yoy!$V$1,Data!$A$1:$AN$1,),)-VLOOKUP(A80,Data!$A:$AN,MATCH(yoy!$V$1,Data!$A$1:$AN$1,),))/VLOOKUP(A80,Data!$A:$AN,MATCH(yoy!$V$1,Data!$A$1:$AN$1,),))+1)^12-1)</f>
        <v/>
      </c>
      <c r="W80" s="14">
        <f>IF(VLOOKUP(B80,Data!$A:$AN,MATCH(yoy!$W$1,Data!$A$1:$AN$1,),)=0,"#N/A",(((VLOOKUP(B80,Data!$A:$AN,MATCH(yoy!$W$1,Data!$A$1:$AN$1,),)-VLOOKUP(A80,Data!$A:$AN,MATCH(yoy!$W$1,Data!$A$1:$AN$1,),))/VLOOKUP(A80,Data!$A:$AN,MATCH(yoy!$W$1,Data!$A$1:$AN$1,),))+1)^12-1)</f>
        <v/>
      </c>
      <c r="X80" s="14">
        <f>IF(VLOOKUP(B80,Data!$A:$AN,MATCH(yoy!$X$1,Data!$A$1:$AN$1,),)=0,"#N/A",(((VLOOKUP(B80,Data!$A:$AN,MATCH(yoy!$X$1,Data!$A$1:$AN$1,),)-VLOOKUP(A80,Data!$A:$AN,MATCH(yoy!$X$1,Data!$A$1:$AN$1,),))/VLOOKUP(A80,Data!$A:$AN,MATCH(yoy!$X$1,Data!$A$1:$AN$1,),))+1)^12-1)</f>
        <v/>
      </c>
      <c r="Y80" s="14">
        <f>IF(VLOOKUP(B80,Data!$A:$AN,MATCH(yoy!$Y$1,Data!$A$1:$AN$1,),)=0,"#N/A",(((VLOOKUP(B80,Data!$A:$AN,MATCH(yoy!$Y$1,Data!$A$1:$AN$1,),)-VLOOKUP(A80,Data!$A:$AN,MATCH(yoy!$Y$1,Data!$A$1:$AN$1,),))/VLOOKUP(A80,Data!$A:$AN,MATCH(yoy!$Y$1,Data!$A$1:$AN$1,),))+1)^12-1)</f>
        <v/>
      </c>
      <c r="Z80" s="14">
        <f>IF(VLOOKUP(B80,Data!$A:$AN,MATCH(yoy!$Z$1,Data!$A$1:$AN$1,),)=0,"#N/A",(((VLOOKUP(B80,Data!$A:$AN,MATCH(yoy!$Z$1,Data!$A$1:$AN$1,),)-VLOOKUP(A80,Data!$A:$AN,MATCH(yoy!$Z$1,Data!$A$1:$AN$1,),))/VLOOKUP(A80,Data!$A:$AN,MATCH(yoy!$Z$1,Data!$A$1:$AN$1,),))+1)^12-1)</f>
        <v/>
      </c>
      <c r="AA80" s="14">
        <f>IF(VLOOKUP(B80,Data!$A:$AN,MATCH(yoy!$AA$1,Data!$A$1:$AN$1,),)=0,"#N/A",(((VLOOKUP(B80,Data!$A:$AN,MATCH(yoy!$AA$1,Data!$A$1:$AN$1,),)-VLOOKUP(A80,Data!$A:$AN,MATCH(yoy!$AA$1,Data!$A$1:$AN$1,),))/VLOOKUP(A80,Data!$A:$AN,MATCH(yoy!$AA$1,Data!$A$1:$AN$1,),))+1)^12-1)</f>
        <v/>
      </c>
    </row>
    <row r="81" customFormat="1" s="77">
      <c r="A81" s="20">
        <f>DATE(YEAR(B81),MONTH(B81)-1,DAY(B81))</f>
        <v/>
      </c>
      <c r="B81" s="12" t="n">
        <v>44317</v>
      </c>
      <c r="C81" s="14">
        <f>IF(VLOOKUP(B81,Data!$A:$AN,MATCH(yoy!$C$1,Data!$A$1:$AN$1,),)=0,"#N/A",(((VLOOKUP(B81,Data!$A:$AN,MATCH(yoy!$C$1,Data!$A$1:$AN$1,),)-VLOOKUP(A81,Data!$A:$AN,MATCH(yoy!$C$1,Data!$A$1:$AN$1,),))/VLOOKUP(A81,Data!$A:$AN,MATCH(yoy!$C$1,Data!$A$1:$AN$1,),))+1)^12-1)</f>
        <v/>
      </c>
      <c r="D81" s="14">
        <f>IF(VLOOKUP(B81,Data!$A:$AN,MATCH(yoy!$D$1,Data!$A$1:$AN$1,),)=0,"#N/A",(((VLOOKUP(B81,Data!$A:$AN,MATCH(yoy!$D$1,Data!$A$1:$AN$1,),)-VLOOKUP(A81,Data!$A:$AN,MATCH(yoy!$D$1,Data!$A$1:$AN$1,),))/VLOOKUP(A81,Data!$A:$AN,MATCH(yoy!$D$1,Data!$A$1:$AN$1,),))+1)^12-1)</f>
        <v/>
      </c>
      <c r="E81" s="14">
        <f>IF(VLOOKUP(B81,Data!$A:$AN,MATCH(yoy!$E$1,Data!$A$1:$AN$1,),)=0,"#N/A",(((VLOOKUP(B81,Data!$A:$AN,MATCH(yoy!$E$1,Data!$A$1:$AN$1,),)-VLOOKUP(A81,Data!$A:$AN,MATCH(yoy!$E$1,Data!$A$1:$AN$1,),))/VLOOKUP(A81,Data!$A:$AN,MATCH(yoy!$E$1,Data!$A$1:$AN$1,),))+1)^12-1)</f>
        <v/>
      </c>
      <c r="F81" s="14">
        <f>IF(VLOOKUP(B81,Data!$A:$AN,MATCH(yoy!$F$1,Data!$A$1:$AN$1,),)=0,"#N/A",(((VLOOKUP(B81,Data!$A:$AN,MATCH(yoy!$F$1,Data!$A$1:$AN$1,),)-VLOOKUP(A81,Data!$A:$AN,MATCH(yoy!$F$1,Data!$A$1:$AN$1,),))/VLOOKUP(A81,Data!$A:$AN,MATCH(yoy!$F$1,Data!$A$1:$AN$1,),))+1)^12-1)</f>
        <v/>
      </c>
      <c r="G81" s="14">
        <f>IF(VLOOKUP(B81,Data!$A:$AN,MATCH(yoy!$G$1,Data!$A$1:$AN$1,),)=0,"#N/A",(((VLOOKUP(B81,Data!$A:$AN,MATCH(yoy!$G$1,Data!$A$1:$AN$1,),)-VLOOKUP(A81,Data!$A:$AN,MATCH(yoy!$G$1,Data!$A$1:$AN$1,),))/VLOOKUP(A81,Data!$A:$AN,MATCH(yoy!$G$1,Data!$A$1:$AN$1,),))+1)^12-1)</f>
        <v/>
      </c>
      <c r="H81" s="14">
        <f>IF(VLOOKUP(B81,Data!$A:$AN,MATCH(yoy!$H$1,Data!$A$1:$AN$1,),)=0,"#N/A",(((VLOOKUP(B81,Data!$A:$AN,MATCH(yoy!$H$1,Data!$A$1:$AN$1,),)-VLOOKUP(A81,Data!$A:$AN,MATCH(yoy!$H$1,Data!$A$1:$AN$1,),))/VLOOKUP(A81,Data!$A:$AN,MATCH(yoy!$H$1,Data!$A$1:$AN$1,),))+1)^12-1)</f>
        <v/>
      </c>
      <c r="I81" s="14">
        <f>IF(VLOOKUP(B81,Data!$A:$AN,MATCH(yoy!$I$1,Data!$A$1:$AN$1,),)=0,"#N/A",(((VLOOKUP(B81,Data!$A:$AN,MATCH(yoy!$I$1,Data!$A$1:$AN$1,),)-VLOOKUP(A81,Data!$A:$AN,MATCH(yoy!$I$1,Data!$A$1:$AN$1,),))/VLOOKUP(A81,Data!$A:$AN,MATCH(yoy!$I$1,Data!$A$1:$AN$1,),))+1)^12-1)</f>
        <v/>
      </c>
      <c r="J81" s="14">
        <f>IF(VLOOKUP(B81,Data!$A:$AN,MATCH(yoy!$J$1,Data!$A$1:$AN$1,),)=0,"#N/A",(((VLOOKUP(B81,Data!$A:$AN,MATCH(yoy!$J$1,Data!$A$1:$AN$1,),)-VLOOKUP(A81,Data!$A:$AN,MATCH(yoy!$J$1,Data!$A$1:$AN$1,),))/VLOOKUP(A81,Data!$A:$AN,MATCH(yoy!$J$1,Data!$A$1:$AN$1,),))+1)^12-1)</f>
        <v/>
      </c>
      <c r="K81" s="14">
        <f>IF(VLOOKUP(B81,Data!$A:$AN,MATCH(yoy!$K$1,Data!$A$1:$AN$1,),)=0,"#N/A",(((VLOOKUP(B81,Data!$A:$AN,MATCH(yoy!$K$1,Data!$A$1:$AN$1,),)-VLOOKUP(A81,Data!$A:$AN,MATCH(yoy!$K$1,Data!$A$1:$AN$1,),))/VLOOKUP(A81,Data!$A:$AN,MATCH(yoy!$K$1,Data!$A$1:$AN$1,),))+1)^12-1)</f>
        <v/>
      </c>
      <c r="L81" s="14">
        <f>IF(VLOOKUP(B81,Data!$A:$AN,MATCH(yoy!$L$1,Data!$A$1:$AN$1,),)=0,"#N/A",(((VLOOKUP(B81,Data!$A:$AN,MATCH(yoy!$L$1,Data!$A$1:$AN$1,),)-VLOOKUP(A81,Data!$A:$AN,MATCH(yoy!$L$1,Data!$A$1:$AN$1,),))/VLOOKUP(A81,Data!$A:$AN,MATCH(yoy!$L$1,Data!$A$1:$AN$1,),))+1)^12-1)</f>
        <v/>
      </c>
      <c r="M81" s="14">
        <f>IF(VLOOKUP(B81,Data!$A:$AN,MATCH(yoy!$M$1,Data!$A$1:$AN$1,),)=0,"#N/A",(((VLOOKUP(B81,Data!$A:$AN,MATCH(yoy!$M$1,Data!$A$1:$AN$1,),)-VLOOKUP(A81,Data!$A:$AN,MATCH(yoy!$M$1,Data!$A$1:$AN$1,),))/VLOOKUP(A81,Data!$A:$AN,MATCH(yoy!$M$1,Data!$A$1:$AN$1,),))+1)^12-1)</f>
        <v/>
      </c>
      <c r="N81" s="14">
        <f>IF(VLOOKUP(B81,Data!$A:$AN,MATCH(yoy!$N$1,Data!$A$1:$AN$1,),)=0,"#N/A",(((VLOOKUP(B81,Data!$A:$AN,MATCH(yoy!$N$1,Data!$A$1:$AN$1,),)-VLOOKUP(A81,Data!$A:$AN,MATCH(yoy!$N$1,Data!$A$1:$AN$1,),))/VLOOKUP(A81,Data!$A:$AN,MATCH(yoy!$N$1,Data!$A$1:$AN$1,),))+1)^12-1)</f>
        <v/>
      </c>
      <c r="O81" s="14">
        <f>IF(VLOOKUP(B81,Data!$A:$AN,MATCH(yoy!$O$1,Data!$A$1:$AN$1,),)=0,"#N/A",(((VLOOKUP(B81,Data!$A:$AN,MATCH(yoy!$O$1,Data!$A$1:$AN$1,),)-VLOOKUP(A81,Data!$A:$AN,MATCH(yoy!$O$1,Data!$A$1:$AN$1,),))/VLOOKUP(A81,Data!$A:$AN,MATCH(yoy!$O$1,Data!$A$1:$AN$1,),))+1)^12-1)</f>
        <v/>
      </c>
      <c r="P81" s="14">
        <f>IF(VLOOKUP(B81,Data!$A:$AN,MATCH(yoy!$P$1,Data!$A$1:$AN$1,),)=0,"#N/A",(((VLOOKUP(B81,Data!$A:$AN,MATCH(yoy!$P$1,Data!$A$1:$AN$1,),)-VLOOKUP(A81,Data!$A:$AN,MATCH(yoy!$P$1,Data!$A$1:$AN$1,),))/VLOOKUP(A81,Data!$A:$AN,MATCH(yoy!$P$1,Data!$A$1:$AN$1,),))+1)^12-1)</f>
        <v/>
      </c>
      <c r="Q81" s="14">
        <f>IF(VLOOKUP(B81,Data!$A:$AN,MATCH(yoy!$Q$1,Data!$A$1:$AN$1,),)=0,"#N/A",(((VLOOKUP(B81,Data!$A:$AN,MATCH(yoy!$Q$1,Data!$A$1:$AN$1,),)-VLOOKUP(A81,Data!$A:$AN,MATCH(yoy!$Q$1,Data!$A$1:$AN$1,),))/VLOOKUP(A81,Data!$A:$AN,MATCH(yoy!$Q$1,Data!$A$1:$AN$1,),))+1)^12-1)</f>
        <v/>
      </c>
      <c r="R81" s="14">
        <f>IF(VLOOKUP(B81,Data!$A:$AN,MATCH(yoy!$R$1,Data!$A$1:$AN$1,),)=0,"#N/A",(((VLOOKUP(B81,Data!$A:$AN,MATCH(yoy!$R$1,Data!$A$1:$AN$1,),)-VLOOKUP(A81,Data!$A:$AN,MATCH(yoy!$R$1,Data!$A$1:$AN$1,),))/VLOOKUP(A81,Data!$A:$AN,MATCH(yoy!$R$1,Data!$A$1:$AN$1,),))+1)^12-1)</f>
        <v/>
      </c>
      <c r="S81" s="14">
        <f>IF(VLOOKUP(B81,Data!$A:$AN,MATCH(yoy!$S$1,Data!$A$1:$AN$1,),)=0,"#N/A",(((VLOOKUP(B81,Data!$A:$AN,MATCH(yoy!$S$1,Data!$A$1:$AN$1,),)-VLOOKUP(A81,Data!$A:$AN,MATCH(yoy!$S$1,Data!$A$1:$AN$1,),))/VLOOKUP(A81,Data!$A:$AN,MATCH(yoy!$S$1,Data!$A$1:$AN$1,),))+1)^12-1)</f>
        <v/>
      </c>
      <c r="T81" s="14">
        <f>IF(VLOOKUP(B81,Data!$A:$AN,MATCH(yoy!$T$1,Data!$A$1:$AN$1,),)=0,"#N/A",(((VLOOKUP(B81,Data!$A:$AN,MATCH(yoy!$T$1,Data!$A$1:$AN$1,),)-VLOOKUP(A81,Data!$A:$AN,MATCH(yoy!$T$1,Data!$A$1:$AN$1,),))/VLOOKUP(A81,Data!$A:$AN,MATCH(yoy!$T$1,Data!$A$1:$AN$1,),))+1)^12-1)</f>
        <v/>
      </c>
      <c r="U81" s="14">
        <f>IF(VLOOKUP(B81,Data!$A:$AN,MATCH(yoy!$U$1,Data!$A$1:$AN$1,),)=0,"#N/A",(((VLOOKUP(B81,Data!$A:$AN,MATCH(yoy!$U$1,Data!$A$1:$AN$1,),)-VLOOKUP(A81,Data!$A:$AN,MATCH(yoy!$U$1,Data!$A$1:$AN$1,),))/VLOOKUP(A81,Data!$A:$AN,MATCH(yoy!$U$1,Data!$A$1:$AN$1,),))+1)^12-1)</f>
        <v/>
      </c>
      <c r="V81" s="14">
        <f>IF(VLOOKUP(B81,Data!$A:$AN,MATCH(yoy!$V$1,Data!$A$1:$AN$1,),)=0,"#N/A",(((VLOOKUP(B81,Data!$A:$AN,MATCH(yoy!$V$1,Data!$A$1:$AN$1,),)-VLOOKUP(A81,Data!$A:$AN,MATCH(yoy!$V$1,Data!$A$1:$AN$1,),))/VLOOKUP(A81,Data!$A:$AN,MATCH(yoy!$V$1,Data!$A$1:$AN$1,),))+1)^12-1)</f>
        <v/>
      </c>
      <c r="W81" s="14">
        <f>IF(VLOOKUP(B81,Data!$A:$AN,MATCH(yoy!$W$1,Data!$A$1:$AN$1,),)=0,"#N/A",(((VLOOKUP(B81,Data!$A:$AN,MATCH(yoy!$W$1,Data!$A$1:$AN$1,),)-VLOOKUP(A81,Data!$A:$AN,MATCH(yoy!$W$1,Data!$A$1:$AN$1,),))/VLOOKUP(A81,Data!$A:$AN,MATCH(yoy!$W$1,Data!$A$1:$AN$1,),))+1)^12-1)</f>
        <v/>
      </c>
      <c r="X81" s="14">
        <f>IF(VLOOKUP(B81,Data!$A:$AN,MATCH(yoy!$X$1,Data!$A$1:$AN$1,),)=0,"#N/A",(((VLOOKUP(B81,Data!$A:$AN,MATCH(yoy!$X$1,Data!$A$1:$AN$1,),)-VLOOKUP(A81,Data!$A:$AN,MATCH(yoy!$X$1,Data!$A$1:$AN$1,),))/VLOOKUP(A81,Data!$A:$AN,MATCH(yoy!$X$1,Data!$A$1:$AN$1,),))+1)^12-1)</f>
        <v/>
      </c>
      <c r="Y81" s="14">
        <f>IF(VLOOKUP(B81,Data!$A:$AN,MATCH(yoy!$Y$1,Data!$A$1:$AN$1,),)=0,"#N/A",(((VLOOKUP(B81,Data!$A:$AN,MATCH(yoy!$Y$1,Data!$A$1:$AN$1,),)-VLOOKUP(A81,Data!$A:$AN,MATCH(yoy!$Y$1,Data!$A$1:$AN$1,),))/VLOOKUP(A81,Data!$A:$AN,MATCH(yoy!$Y$1,Data!$A$1:$AN$1,),))+1)^12-1)</f>
        <v/>
      </c>
      <c r="Z81" s="14">
        <f>IF(VLOOKUP(B81,Data!$A:$AN,MATCH(yoy!$Z$1,Data!$A$1:$AN$1,),)=0,"#N/A",(((VLOOKUP(B81,Data!$A:$AN,MATCH(yoy!$Z$1,Data!$A$1:$AN$1,),)-VLOOKUP(A81,Data!$A:$AN,MATCH(yoy!$Z$1,Data!$A$1:$AN$1,),))/VLOOKUP(A81,Data!$A:$AN,MATCH(yoy!$Z$1,Data!$A$1:$AN$1,),))+1)^12-1)</f>
        <v/>
      </c>
      <c r="AA81" s="14">
        <f>IF(VLOOKUP(B81,Data!$A:$AN,MATCH(yoy!$AA$1,Data!$A$1:$AN$1,),)=0,"#N/A",(((VLOOKUP(B81,Data!$A:$AN,MATCH(yoy!$AA$1,Data!$A$1:$AN$1,),)-VLOOKUP(A81,Data!$A:$AN,MATCH(yoy!$AA$1,Data!$A$1:$AN$1,),))/VLOOKUP(A81,Data!$A:$AN,MATCH(yoy!$AA$1,Data!$A$1:$AN$1,),))+1)^12-1)</f>
        <v/>
      </c>
    </row>
    <row r="82" customFormat="1" s="77">
      <c r="A82" s="20">
        <f>DATE(YEAR(B82),MONTH(B82)-1,DAY(B82))</f>
        <v/>
      </c>
      <c r="B82" s="12" t="n">
        <v>44348</v>
      </c>
      <c r="C82" s="14">
        <f>IF(VLOOKUP(B82,Data!$A:$AN,MATCH(yoy!$C$1,Data!$A$1:$AN$1,),)=0,"#N/A",(((VLOOKUP(B82,Data!$A:$AN,MATCH(yoy!$C$1,Data!$A$1:$AN$1,),)-VLOOKUP(A82,Data!$A:$AN,MATCH(yoy!$C$1,Data!$A$1:$AN$1,),))/VLOOKUP(A82,Data!$A:$AN,MATCH(yoy!$C$1,Data!$A$1:$AN$1,),))+1)^12-1)</f>
        <v/>
      </c>
      <c r="D82" s="14">
        <f>IF(VLOOKUP(B82,Data!$A:$AN,MATCH(yoy!$D$1,Data!$A$1:$AN$1,),)=0,"#N/A",(((VLOOKUP(B82,Data!$A:$AN,MATCH(yoy!$D$1,Data!$A$1:$AN$1,),)-VLOOKUP(A82,Data!$A:$AN,MATCH(yoy!$D$1,Data!$A$1:$AN$1,),))/VLOOKUP(A82,Data!$A:$AN,MATCH(yoy!$D$1,Data!$A$1:$AN$1,),))+1)^12-1)</f>
        <v/>
      </c>
      <c r="E82" s="14">
        <f>IF(VLOOKUP(B82,Data!$A:$AN,MATCH(yoy!$E$1,Data!$A$1:$AN$1,),)=0,"#N/A",(((VLOOKUP(B82,Data!$A:$AN,MATCH(yoy!$E$1,Data!$A$1:$AN$1,),)-VLOOKUP(A82,Data!$A:$AN,MATCH(yoy!$E$1,Data!$A$1:$AN$1,),))/VLOOKUP(A82,Data!$A:$AN,MATCH(yoy!$E$1,Data!$A$1:$AN$1,),))+1)^12-1)</f>
        <v/>
      </c>
      <c r="F82" s="14">
        <f>IF(VLOOKUP(B82,Data!$A:$AN,MATCH(yoy!$F$1,Data!$A$1:$AN$1,),)=0,"#N/A",(((VLOOKUP(B82,Data!$A:$AN,MATCH(yoy!$F$1,Data!$A$1:$AN$1,),)-VLOOKUP(A82,Data!$A:$AN,MATCH(yoy!$F$1,Data!$A$1:$AN$1,),))/VLOOKUP(A82,Data!$A:$AN,MATCH(yoy!$F$1,Data!$A$1:$AN$1,),))+1)^12-1)</f>
        <v/>
      </c>
      <c r="G82" s="14">
        <f>IF(VLOOKUP(B82,Data!$A:$AN,MATCH(yoy!$G$1,Data!$A$1:$AN$1,),)=0,"#N/A",(((VLOOKUP(B82,Data!$A:$AN,MATCH(yoy!$G$1,Data!$A$1:$AN$1,),)-VLOOKUP(A82,Data!$A:$AN,MATCH(yoy!$G$1,Data!$A$1:$AN$1,),))/VLOOKUP(A82,Data!$A:$AN,MATCH(yoy!$G$1,Data!$A$1:$AN$1,),))+1)^12-1)</f>
        <v/>
      </c>
      <c r="H82" s="14">
        <f>IF(VLOOKUP(B82,Data!$A:$AN,MATCH(yoy!$H$1,Data!$A$1:$AN$1,),)=0,"#N/A",(((VLOOKUP(B82,Data!$A:$AN,MATCH(yoy!$H$1,Data!$A$1:$AN$1,),)-VLOOKUP(A82,Data!$A:$AN,MATCH(yoy!$H$1,Data!$A$1:$AN$1,),))/VLOOKUP(A82,Data!$A:$AN,MATCH(yoy!$H$1,Data!$A$1:$AN$1,),))+1)^12-1)</f>
        <v/>
      </c>
      <c r="I82" s="14">
        <f>IF(VLOOKUP(B82,Data!$A:$AN,MATCH(yoy!$I$1,Data!$A$1:$AN$1,),)=0,"#N/A",(((VLOOKUP(B82,Data!$A:$AN,MATCH(yoy!$I$1,Data!$A$1:$AN$1,),)-VLOOKUP(A82,Data!$A:$AN,MATCH(yoy!$I$1,Data!$A$1:$AN$1,),))/VLOOKUP(A82,Data!$A:$AN,MATCH(yoy!$I$1,Data!$A$1:$AN$1,),))+1)^12-1)</f>
        <v/>
      </c>
      <c r="J82" s="14">
        <f>IF(VLOOKUP(B82,Data!$A:$AN,MATCH(yoy!$J$1,Data!$A$1:$AN$1,),)=0,"#N/A",(((VLOOKUP(B82,Data!$A:$AN,MATCH(yoy!$J$1,Data!$A$1:$AN$1,),)-VLOOKUP(A82,Data!$A:$AN,MATCH(yoy!$J$1,Data!$A$1:$AN$1,),))/VLOOKUP(A82,Data!$A:$AN,MATCH(yoy!$J$1,Data!$A$1:$AN$1,),))+1)^12-1)</f>
        <v/>
      </c>
      <c r="K82" s="14">
        <f>IF(VLOOKUP(B82,Data!$A:$AN,MATCH(yoy!$K$1,Data!$A$1:$AN$1,),)=0,"#N/A",(((VLOOKUP(B82,Data!$A:$AN,MATCH(yoy!$K$1,Data!$A$1:$AN$1,),)-VLOOKUP(A82,Data!$A:$AN,MATCH(yoy!$K$1,Data!$A$1:$AN$1,),))/VLOOKUP(A82,Data!$A:$AN,MATCH(yoy!$K$1,Data!$A$1:$AN$1,),))+1)^12-1)</f>
        <v/>
      </c>
      <c r="L82" s="14">
        <f>IF(VLOOKUP(B82,Data!$A:$AN,MATCH(yoy!$L$1,Data!$A$1:$AN$1,),)=0,"#N/A",(((VLOOKUP(B82,Data!$A:$AN,MATCH(yoy!$L$1,Data!$A$1:$AN$1,),)-VLOOKUP(A82,Data!$A:$AN,MATCH(yoy!$L$1,Data!$A$1:$AN$1,),))/VLOOKUP(A82,Data!$A:$AN,MATCH(yoy!$L$1,Data!$A$1:$AN$1,),))+1)^12-1)</f>
        <v/>
      </c>
      <c r="M82" s="14">
        <f>IF(VLOOKUP(B82,Data!$A:$AN,MATCH(yoy!$M$1,Data!$A$1:$AN$1,),)=0,"#N/A",(((VLOOKUP(B82,Data!$A:$AN,MATCH(yoy!$M$1,Data!$A$1:$AN$1,),)-VLOOKUP(A82,Data!$A:$AN,MATCH(yoy!$M$1,Data!$A$1:$AN$1,),))/VLOOKUP(A82,Data!$A:$AN,MATCH(yoy!$M$1,Data!$A$1:$AN$1,),))+1)^12-1)</f>
        <v/>
      </c>
      <c r="N82" s="14">
        <f>IF(VLOOKUP(B82,Data!$A:$AN,MATCH(yoy!$N$1,Data!$A$1:$AN$1,),)=0,"#N/A",(((VLOOKUP(B82,Data!$A:$AN,MATCH(yoy!$N$1,Data!$A$1:$AN$1,),)-VLOOKUP(A82,Data!$A:$AN,MATCH(yoy!$N$1,Data!$A$1:$AN$1,),))/VLOOKUP(A82,Data!$A:$AN,MATCH(yoy!$N$1,Data!$A$1:$AN$1,),))+1)^12-1)</f>
        <v/>
      </c>
      <c r="O82" s="14">
        <f>IF(VLOOKUP(B82,Data!$A:$AN,MATCH(yoy!$O$1,Data!$A$1:$AN$1,),)=0,"#N/A",(((VLOOKUP(B82,Data!$A:$AN,MATCH(yoy!$O$1,Data!$A$1:$AN$1,),)-VLOOKUP(A82,Data!$A:$AN,MATCH(yoy!$O$1,Data!$A$1:$AN$1,),))/VLOOKUP(A82,Data!$A:$AN,MATCH(yoy!$O$1,Data!$A$1:$AN$1,),))+1)^12-1)</f>
        <v/>
      </c>
      <c r="P82" s="14">
        <f>IF(VLOOKUP(B82,Data!$A:$AN,MATCH(yoy!$P$1,Data!$A$1:$AN$1,),)=0,"#N/A",(((VLOOKUP(B82,Data!$A:$AN,MATCH(yoy!$P$1,Data!$A$1:$AN$1,),)-VLOOKUP(A82,Data!$A:$AN,MATCH(yoy!$P$1,Data!$A$1:$AN$1,),))/VLOOKUP(A82,Data!$A:$AN,MATCH(yoy!$P$1,Data!$A$1:$AN$1,),))+1)^12-1)</f>
        <v/>
      </c>
      <c r="Q82" s="14">
        <f>IF(VLOOKUP(B82,Data!$A:$AN,MATCH(yoy!$Q$1,Data!$A$1:$AN$1,),)=0,"#N/A",(((VLOOKUP(B82,Data!$A:$AN,MATCH(yoy!$Q$1,Data!$A$1:$AN$1,),)-VLOOKUP(A82,Data!$A:$AN,MATCH(yoy!$Q$1,Data!$A$1:$AN$1,),))/VLOOKUP(A82,Data!$A:$AN,MATCH(yoy!$Q$1,Data!$A$1:$AN$1,),))+1)^12-1)</f>
        <v/>
      </c>
      <c r="R82" s="14">
        <f>IF(VLOOKUP(B82,Data!$A:$AN,MATCH(yoy!$R$1,Data!$A$1:$AN$1,),)=0,"#N/A",(((VLOOKUP(B82,Data!$A:$AN,MATCH(yoy!$R$1,Data!$A$1:$AN$1,),)-VLOOKUP(A82,Data!$A:$AN,MATCH(yoy!$R$1,Data!$A$1:$AN$1,),))/VLOOKUP(A82,Data!$A:$AN,MATCH(yoy!$R$1,Data!$A$1:$AN$1,),))+1)^12-1)</f>
        <v/>
      </c>
      <c r="S82" s="14">
        <f>IF(VLOOKUP(B82,Data!$A:$AN,MATCH(yoy!$S$1,Data!$A$1:$AN$1,),)=0,"#N/A",(((VLOOKUP(B82,Data!$A:$AN,MATCH(yoy!$S$1,Data!$A$1:$AN$1,),)-VLOOKUP(A82,Data!$A:$AN,MATCH(yoy!$S$1,Data!$A$1:$AN$1,),))/VLOOKUP(A82,Data!$A:$AN,MATCH(yoy!$S$1,Data!$A$1:$AN$1,),))+1)^12-1)</f>
        <v/>
      </c>
      <c r="T82" s="14">
        <f>IF(VLOOKUP(B82,Data!$A:$AN,MATCH(yoy!$T$1,Data!$A$1:$AN$1,),)=0,"#N/A",(((VLOOKUP(B82,Data!$A:$AN,MATCH(yoy!$T$1,Data!$A$1:$AN$1,),)-VLOOKUP(A82,Data!$A:$AN,MATCH(yoy!$T$1,Data!$A$1:$AN$1,),))/VLOOKUP(A82,Data!$A:$AN,MATCH(yoy!$T$1,Data!$A$1:$AN$1,),))+1)^12-1)</f>
        <v/>
      </c>
      <c r="U82" s="14">
        <f>IF(VLOOKUP(B82,Data!$A:$AN,MATCH(yoy!$U$1,Data!$A$1:$AN$1,),)=0,"#N/A",(((VLOOKUP(B82,Data!$A:$AN,MATCH(yoy!$U$1,Data!$A$1:$AN$1,),)-VLOOKUP(A82,Data!$A:$AN,MATCH(yoy!$U$1,Data!$A$1:$AN$1,),))/VLOOKUP(A82,Data!$A:$AN,MATCH(yoy!$U$1,Data!$A$1:$AN$1,),))+1)^12-1)</f>
        <v/>
      </c>
      <c r="V82" s="14">
        <f>IF(VLOOKUP(B82,Data!$A:$AN,MATCH(yoy!$V$1,Data!$A$1:$AN$1,),)=0,"#N/A",(((VLOOKUP(B82,Data!$A:$AN,MATCH(yoy!$V$1,Data!$A$1:$AN$1,),)-VLOOKUP(A82,Data!$A:$AN,MATCH(yoy!$V$1,Data!$A$1:$AN$1,),))/VLOOKUP(A82,Data!$A:$AN,MATCH(yoy!$V$1,Data!$A$1:$AN$1,),))+1)^12-1)</f>
        <v/>
      </c>
      <c r="W82" s="14">
        <f>IF(VLOOKUP(B82,Data!$A:$AN,MATCH(yoy!$W$1,Data!$A$1:$AN$1,),)=0,"#N/A",(((VLOOKUP(B82,Data!$A:$AN,MATCH(yoy!$W$1,Data!$A$1:$AN$1,),)-VLOOKUP(A82,Data!$A:$AN,MATCH(yoy!$W$1,Data!$A$1:$AN$1,),))/VLOOKUP(A82,Data!$A:$AN,MATCH(yoy!$W$1,Data!$A$1:$AN$1,),))+1)^12-1)</f>
        <v/>
      </c>
      <c r="X82" s="14">
        <f>IF(VLOOKUP(B82,Data!$A:$AN,MATCH(yoy!$X$1,Data!$A$1:$AN$1,),)=0,"#N/A",(((VLOOKUP(B82,Data!$A:$AN,MATCH(yoy!$X$1,Data!$A$1:$AN$1,),)-VLOOKUP(A82,Data!$A:$AN,MATCH(yoy!$X$1,Data!$A$1:$AN$1,),))/VLOOKUP(A82,Data!$A:$AN,MATCH(yoy!$X$1,Data!$A$1:$AN$1,),))+1)^12-1)</f>
        <v/>
      </c>
      <c r="Y82" s="14">
        <f>IF(VLOOKUP(B82,Data!$A:$AN,MATCH(yoy!$Y$1,Data!$A$1:$AN$1,),)=0,"#N/A",(((VLOOKUP(B82,Data!$A:$AN,MATCH(yoy!$Y$1,Data!$A$1:$AN$1,),)-VLOOKUP(A82,Data!$A:$AN,MATCH(yoy!$Y$1,Data!$A$1:$AN$1,),))/VLOOKUP(A82,Data!$A:$AN,MATCH(yoy!$Y$1,Data!$A$1:$AN$1,),))+1)^12-1)</f>
        <v/>
      </c>
      <c r="Z82" s="14">
        <f>IF(VLOOKUP(B82,Data!$A:$AN,MATCH(yoy!$Z$1,Data!$A$1:$AN$1,),)=0,"#N/A",(((VLOOKUP(B82,Data!$A:$AN,MATCH(yoy!$Z$1,Data!$A$1:$AN$1,),)-VLOOKUP(A82,Data!$A:$AN,MATCH(yoy!$Z$1,Data!$A$1:$AN$1,),))/VLOOKUP(A82,Data!$A:$AN,MATCH(yoy!$Z$1,Data!$A$1:$AN$1,),))+1)^12-1)</f>
        <v/>
      </c>
      <c r="AA82" s="14">
        <f>IF(VLOOKUP(B82,Data!$A:$AN,MATCH(yoy!$AA$1,Data!$A$1:$AN$1,),)=0,"#N/A",(((VLOOKUP(B82,Data!$A:$AN,MATCH(yoy!$AA$1,Data!$A$1:$AN$1,),)-VLOOKUP(A82,Data!$A:$AN,MATCH(yoy!$AA$1,Data!$A$1:$AN$1,),))/VLOOKUP(A82,Data!$A:$AN,MATCH(yoy!$AA$1,Data!$A$1:$AN$1,),))+1)^12-1)</f>
        <v/>
      </c>
    </row>
    <row r="83" customFormat="1" s="77">
      <c r="A83" s="20">
        <f>DATE(YEAR(B83),MONTH(B83)-1,DAY(B83))</f>
        <v/>
      </c>
      <c r="B83" s="12" t="n">
        <v>44378</v>
      </c>
      <c r="C83" s="14">
        <f>IF(VLOOKUP(B83,Data!$A:$AN,MATCH(yoy!$C$1,Data!$A$1:$AN$1,),)=0,"#N/A",(((VLOOKUP(B83,Data!$A:$AN,MATCH(yoy!$C$1,Data!$A$1:$AN$1,),)-VLOOKUP(A83,Data!$A:$AN,MATCH(yoy!$C$1,Data!$A$1:$AN$1,),))/VLOOKUP(A83,Data!$A:$AN,MATCH(yoy!$C$1,Data!$A$1:$AN$1,),))+1)^12-1)</f>
        <v/>
      </c>
      <c r="D83" s="14">
        <f>IF(VLOOKUP(B83,Data!$A:$AN,MATCH(yoy!$D$1,Data!$A$1:$AN$1,),)=0,"#N/A",(((VLOOKUP(B83,Data!$A:$AN,MATCH(yoy!$D$1,Data!$A$1:$AN$1,),)-VLOOKUP(A83,Data!$A:$AN,MATCH(yoy!$D$1,Data!$A$1:$AN$1,),))/VLOOKUP(A83,Data!$A:$AN,MATCH(yoy!$D$1,Data!$A$1:$AN$1,),))+1)^12-1)</f>
        <v/>
      </c>
      <c r="E83" s="14">
        <f>IF(VLOOKUP(B83,Data!$A:$AN,MATCH(yoy!$E$1,Data!$A$1:$AN$1,),)=0,"#N/A",(((VLOOKUP(B83,Data!$A:$AN,MATCH(yoy!$E$1,Data!$A$1:$AN$1,),)-VLOOKUP(A83,Data!$A:$AN,MATCH(yoy!$E$1,Data!$A$1:$AN$1,),))/VLOOKUP(A83,Data!$A:$AN,MATCH(yoy!$E$1,Data!$A$1:$AN$1,),))+1)^12-1)</f>
        <v/>
      </c>
      <c r="F83" s="14">
        <f>IF(VLOOKUP(B83,Data!$A:$AN,MATCH(yoy!$F$1,Data!$A$1:$AN$1,),)=0,"#N/A",(((VLOOKUP(B83,Data!$A:$AN,MATCH(yoy!$F$1,Data!$A$1:$AN$1,),)-VLOOKUP(A83,Data!$A:$AN,MATCH(yoy!$F$1,Data!$A$1:$AN$1,),))/VLOOKUP(A83,Data!$A:$AN,MATCH(yoy!$F$1,Data!$A$1:$AN$1,),))+1)^12-1)</f>
        <v/>
      </c>
      <c r="G83" s="14">
        <f>IF(VLOOKUP(B83,Data!$A:$AN,MATCH(yoy!$G$1,Data!$A$1:$AN$1,),)=0,"#N/A",(((VLOOKUP(B83,Data!$A:$AN,MATCH(yoy!$G$1,Data!$A$1:$AN$1,),)-VLOOKUP(A83,Data!$A:$AN,MATCH(yoy!$G$1,Data!$A$1:$AN$1,),))/VLOOKUP(A83,Data!$A:$AN,MATCH(yoy!$G$1,Data!$A$1:$AN$1,),))+1)^12-1)</f>
        <v/>
      </c>
      <c r="H83" s="14">
        <f>IF(VLOOKUP(B83,Data!$A:$AN,MATCH(yoy!$H$1,Data!$A$1:$AN$1,),)=0,"#N/A",(((VLOOKUP(B83,Data!$A:$AN,MATCH(yoy!$H$1,Data!$A$1:$AN$1,),)-VLOOKUP(A83,Data!$A:$AN,MATCH(yoy!$H$1,Data!$A$1:$AN$1,),))/VLOOKUP(A83,Data!$A:$AN,MATCH(yoy!$H$1,Data!$A$1:$AN$1,),))+1)^12-1)</f>
        <v/>
      </c>
      <c r="I83" s="14">
        <f>IF(VLOOKUP(B83,Data!$A:$AN,MATCH(yoy!$I$1,Data!$A$1:$AN$1,),)=0,"#N/A",(((VLOOKUP(B83,Data!$A:$AN,MATCH(yoy!$I$1,Data!$A$1:$AN$1,),)-VLOOKUP(A83,Data!$A:$AN,MATCH(yoy!$I$1,Data!$A$1:$AN$1,),))/VLOOKUP(A83,Data!$A:$AN,MATCH(yoy!$I$1,Data!$A$1:$AN$1,),))+1)^12-1)</f>
        <v/>
      </c>
      <c r="J83" s="14">
        <f>IF(VLOOKUP(B83,Data!$A:$AN,MATCH(yoy!$J$1,Data!$A$1:$AN$1,),)=0,"#N/A",(((VLOOKUP(B83,Data!$A:$AN,MATCH(yoy!$J$1,Data!$A$1:$AN$1,),)-VLOOKUP(A83,Data!$A:$AN,MATCH(yoy!$J$1,Data!$A$1:$AN$1,),))/VLOOKUP(A83,Data!$A:$AN,MATCH(yoy!$J$1,Data!$A$1:$AN$1,),))+1)^12-1)</f>
        <v/>
      </c>
      <c r="K83" s="14">
        <f>IF(VLOOKUP(B83,Data!$A:$AN,MATCH(yoy!$K$1,Data!$A$1:$AN$1,),)=0,"#N/A",(((VLOOKUP(B83,Data!$A:$AN,MATCH(yoy!$K$1,Data!$A$1:$AN$1,),)-VLOOKUP(A83,Data!$A:$AN,MATCH(yoy!$K$1,Data!$A$1:$AN$1,),))/VLOOKUP(A83,Data!$A:$AN,MATCH(yoy!$K$1,Data!$A$1:$AN$1,),))+1)^12-1)</f>
        <v/>
      </c>
      <c r="L83" s="14">
        <f>IF(VLOOKUP(B83,Data!$A:$AN,MATCH(yoy!$L$1,Data!$A$1:$AN$1,),)=0,"#N/A",(((VLOOKUP(B83,Data!$A:$AN,MATCH(yoy!$L$1,Data!$A$1:$AN$1,),)-VLOOKUP(A83,Data!$A:$AN,MATCH(yoy!$L$1,Data!$A$1:$AN$1,),))/VLOOKUP(A83,Data!$A:$AN,MATCH(yoy!$L$1,Data!$A$1:$AN$1,),))+1)^12-1)</f>
        <v/>
      </c>
      <c r="M83" s="14">
        <f>IF(VLOOKUP(B83,Data!$A:$AN,MATCH(yoy!$M$1,Data!$A$1:$AN$1,),)=0,"#N/A",(((VLOOKUP(B83,Data!$A:$AN,MATCH(yoy!$M$1,Data!$A$1:$AN$1,),)-VLOOKUP(A83,Data!$A:$AN,MATCH(yoy!$M$1,Data!$A$1:$AN$1,),))/VLOOKUP(A83,Data!$A:$AN,MATCH(yoy!$M$1,Data!$A$1:$AN$1,),))+1)^12-1)</f>
        <v/>
      </c>
      <c r="N83" s="14">
        <f>IF(VLOOKUP(B83,Data!$A:$AN,MATCH(yoy!$N$1,Data!$A$1:$AN$1,),)=0,"#N/A",(((VLOOKUP(B83,Data!$A:$AN,MATCH(yoy!$N$1,Data!$A$1:$AN$1,),)-VLOOKUP(A83,Data!$A:$AN,MATCH(yoy!$N$1,Data!$A$1:$AN$1,),))/VLOOKUP(A83,Data!$A:$AN,MATCH(yoy!$N$1,Data!$A$1:$AN$1,),))+1)^12-1)</f>
        <v/>
      </c>
      <c r="O83" s="14">
        <f>IF(VLOOKUP(B83,Data!$A:$AN,MATCH(yoy!$O$1,Data!$A$1:$AN$1,),)=0,"#N/A",(((VLOOKUP(B83,Data!$A:$AN,MATCH(yoy!$O$1,Data!$A$1:$AN$1,),)-VLOOKUP(A83,Data!$A:$AN,MATCH(yoy!$O$1,Data!$A$1:$AN$1,),))/VLOOKUP(A83,Data!$A:$AN,MATCH(yoy!$O$1,Data!$A$1:$AN$1,),))+1)^12-1)</f>
        <v/>
      </c>
      <c r="P83" s="14">
        <f>IF(VLOOKUP(B83,Data!$A:$AN,MATCH(yoy!$P$1,Data!$A$1:$AN$1,),)=0,"#N/A",(((VLOOKUP(B83,Data!$A:$AN,MATCH(yoy!$P$1,Data!$A$1:$AN$1,),)-VLOOKUP(A83,Data!$A:$AN,MATCH(yoy!$P$1,Data!$A$1:$AN$1,),))/VLOOKUP(A83,Data!$A:$AN,MATCH(yoy!$P$1,Data!$A$1:$AN$1,),))+1)^12-1)</f>
        <v/>
      </c>
      <c r="Q83" s="14">
        <f>IF(VLOOKUP(B83,Data!$A:$AN,MATCH(yoy!$Q$1,Data!$A$1:$AN$1,),)=0,"#N/A",(((VLOOKUP(B83,Data!$A:$AN,MATCH(yoy!$Q$1,Data!$A$1:$AN$1,),)-VLOOKUP(A83,Data!$A:$AN,MATCH(yoy!$Q$1,Data!$A$1:$AN$1,),))/VLOOKUP(A83,Data!$A:$AN,MATCH(yoy!$Q$1,Data!$A$1:$AN$1,),))+1)^12-1)</f>
        <v/>
      </c>
      <c r="R83" s="14">
        <f>IF(VLOOKUP(B83,Data!$A:$AN,MATCH(yoy!$R$1,Data!$A$1:$AN$1,),)=0,"#N/A",(((VLOOKUP(B83,Data!$A:$AN,MATCH(yoy!$R$1,Data!$A$1:$AN$1,),)-VLOOKUP(A83,Data!$A:$AN,MATCH(yoy!$R$1,Data!$A$1:$AN$1,),))/VLOOKUP(A83,Data!$A:$AN,MATCH(yoy!$R$1,Data!$A$1:$AN$1,),))+1)^12-1)</f>
        <v/>
      </c>
      <c r="S83" s="14">
        <f>IF(VLOOKUP(B83,Data!$A:$AN,MATCH(yoy!$S$1,Data!$A$1:$AN$1,),)=0,"#N/A",(((VLOOKUP(B83,Data!$A:$AN,MATCH(yoy!$S$1,Data!$A$1:$AN$1,),)-VLOOKUP(A83,Data!$A:$AN,MATCH(yoy!$S$1,Data!$A$1:$AN$1,),))/VLOOKUP(A83,Data!$A:$AN,MATCH(yoy!$S$1,Data!$A$1:$AN$1,),))+1)^12-1)</f>
        <v/>
      </c>
      <c r="T83" s="14">
        <f>IF(VLOOKUP(B83,Data!$A:$AN,MATCH(yoy!$T$1,Data!$A$1:$AN$1,),)=0,"#N/A",(((VLOOKUP(B83,Data!$A:$AN,MATCH(yoy!$T$1,Data!$A$1:$AN$1,),)-VLOOKUP(A83,Data!$A:$AN,MATCH(yoy!$T$1,Data!$A$1:$AN$1,),))/VLOOKUP(A83,Data!$A:$AN,MATCH(yoy!$T$1,Data!$A$1:$AN$1,),))+1)^12-1)</f>
        <v/>
      </c>
      <c r="U83" s="14">
        <f>IF(VLOOKUP(B83,Data!$A:$AN,MATCH(yoy!$U$1,Data!$A$1:$AN$1,),)=0,"#N/A",(((VLOOKUP(B83,Data!$A:$AN,MATCH(yoy!$U$1,Data!$A$1:$AN$1,),)-VLOOKUP(A83,Data!$A:$AN,MATCH(yoy!$U$1,Data!$A$1:$AN$1,),))/VLOOKUP(A83,Data!$A:$AN,MATCH(yoy!$U$1,Data!$A$1:$AN$1,),))+1)^12-1)</f>
        <v/>
      </c>
      <c r="V83" s="14">
        <f>IF(VLOOKUP(B83,Data!$A:$AN,MATCH(yoy!$V$1,Data!$A$1:$AN$1,),)=0,"#N/A",(((VLOOKUP(B83,Data!$A:$AN,MATCH(yoy!$V$1,Data!$A$1:$AN$1,),)-VLOOKUP(A83,Data!$A:$AN,MATCH(yoy!$V$1,Data!$A$1:$AN$1,),))/VLOOKUP(A83,Data!$A:$AN,MATCH(yoy!$V$1,Data!$A$1:$AN$1,),))+1)^12-1)</f>
        <v/>
      </c>
      <c r="W83" s="14">
        <f>IF(VLOOKUP(B83,Data!$A:$AN,MATCH(yoy!$W$1,Data!$A$1:$AN$1,),)=0,"#N/A",(((VLOOKUP(B83,Data!$A:$AN,MATCH(yoy!$W$1,Data!$A$1:$AN$1,),)-VLOOKUP(A83,Data!$A:$AN,MATCH(yoy!$W$1,Data!$A$1:$AN$1,),))/VLOOKUP(A83,Data!$A:$AN,MATCH(yoy!$W$1,Data!$A$1:$AN$1,),))+1)^12-1)</f>
        <v/>
      </c>
      <c r="X83" s="14">
        <f>IF(VLOOKUP(B83,Data!$A:$AN,MATCH(yoy!$X$1,Data!$A$1:$AN$1,),)=0,"#N/A",(((VLOOKUP(B83,Data!$A:$AN,MATCH(yoy!$X$1,Data!$A$1:$AN$1,),)-VLOOKUP(A83,Data!$A:$AN,MATCH(yoy!$X$1,Data!$A$1:$AN$1,),))/VLOOKUP(A83,Data!$A:$AN,MATCH(yoy!$X$1,Data!$A$1:$AN$1,),))+1)^12-1)</f>
        <v/>
      </c>
      <c r="Y83" s="14">
        <f>IF(VLOOKUP(B83,Data!$A:$AN,MATCH(yoy!$Y$1,Data!$A$1:$AN$1,),)=0,"#N/A",(((VLOOKUP(B83,Data!$A:$AN,MATCH(yoy!$Y$1,Data!$A$1:$AN$1,),)-VLOOKUP(A83,Data!$A:$AN,MATCH(yoy!$Y$1,Data!$A$1:$AN$1,),))/VLOOKUP(A83,Data!$A:$AN,MATCH(yoy!$Y$1,Data!$A$1:$AN$1,),))+1)^12-1)</f>
        <v/>
      </c>
      <c r="Z83" s="14">
        <f>IF(VLOOKUP(B83,Data!$A:$AN,MATCH(yoy!$Z$1,Data!$A$1:$AN$1,),)=0,"#N/A",(((VLOOKUP(B83,Data!$A:$AN,MATCH(yoy!$Z$1,Data!$A$1:$AN$1,),)-VLOOKUP(A83,Data!$A:$AN,MATCH(yoy!$Z$1,Data!$A$1:$AN$1,),))/VLOOKUP(A83,Data!$A:$AN,MATCH(yoy!$Z$1,Data!$A$1:$AN$1,),))+1)^12-1)</f>
        <v/>
      </c>
      <c r="AA83" s="14">
        <f>IF(VLOOKUP(B83,Data!$A:$AN,MATCH(yoy!$AA$1,Data!$A$1:$AN$1,),)=0,"#N/A",(((VLOOKUP(B83,Data!$A:$AN,MATCH(yoy!$AA$1,Data!$A$1:$AN$1,),)-VLOOKUP(A83,Data!$A:$AN,MATCH(yoy!$AA$1,Data!$A$1:$AN$1,),))/VLOOKUP(A83,Data!$A:$AN,MATCH(yoy!$AA$1,Data!$A$1:$AN$1,),))+1)^12-1)</f>
        <v/>
      </c>
    </row>
    <row r="84" customFormat="1" s="77">
      <c r="A84" s="20">
        <f>DATE(YEAR(B84),MONTH(B84)-1,DAY(B84))</f>
        <v/>
      </c>
      <c r="B84" s="12" t="n">
        <v>44409</v>
      </c>
      <c r="C84" s="14">
        <f>IF(VLOOKUP(B84,Data!$A:$AN,MATCH(yoy!$C$1,Data!$A$1:$AN$1,),)=0,"#N/A",(((VLOOKUP(B84,Data!$A:$AN,MATCH(yoy!$C$1,Data!$A$1:$AN$1,),)-VLOOKUP(A84,Data!$A:$AN,MATCH(yoy!$C$1,Data!$A$1:$AN$1,),))/VLOOKUP(A84,Data!$A:$AN,MATCH(yoy!$C$1,Data!$A$1:$AN$1,),))+1)^12-1)</f>
        <v/>
      </c>
      <c r="D84" s="14">
        <f>IF(VLOOKUP(B84,Data!$A:$AN,MATCH(yoy!$D$1,Data!$A$1:$AN$1,),)=0,"#N/A",(((VLOOKUP(B84,Data!$A:$AN,MATCH(yoy!$D$1,Data!$A$1:$AN$1,),)-VLOOKUP(A84,Data!$A:$AN,MATCH(yoy!$D$1,Data!$A$1:$AN$1,),))/VLOOKUP(A84,Data!$A:$AN,MATCH(yoy!$D$1,Data!$A$1:$AN$1,),))+1)^12-1)</f>
        <v/>
      </c>
      <c r="E84" s="14">
        <f>IF(VLOOKUP(B84,Data!$A:$AN,MATCH(yoy!$E$1,Data!$A$1:$AN$1,),)=0,"#N/A",(((VLOOKUP(B84,Data!$A:$AN,MATCH(yoy!$E$1,Data!$A$1:$AN$1,),)-VLOOKUP(A84,Data!$A:$AN,MATCH(yoy!$E$1,Data!$A$1:$AN$1,),))/VLOOKUP(A84,Data!$A:$AN,MATCH(yoy!$E$1,Data!$A$1:$AN$1,),))+1)^12-1)</f>
        <v/>
      </c>
      <c r="F84" s="14">
        <f>IF(VLOOKUP(B84,Data!$A:$AN,MATCH(yoy!$F$1,Data!$A$1:$AN$1,),)=0,"#N/A",(((VLOOKUP(B84,Data!$A:$AN,MATCH(yoy!$F$1,Data!$A$1:$AN$1,),)-VLOOKUP(A84,Data!$A:$AN,MATCH(yoy!$F$1,Data!$A$1:$AN$1,),))/VLOOKUP(A84,Data!$A:$AN,MATCH(yoy!$F$1,Data!$A$1:$AN$1,),))+1)^12-1)</f>
        <v/>
      </c>
      <c r="G84" s="14">
        <f>IF(VLOOKUP(B84,Data!$A:$AN,MATCH(yoy!$G$1,Data!$A$1:$AN$1,),)=0,"#N/A",(((VLOOKUP(B84,Data!$A:$AN,MATCH(yoy!$G$1,Data!$A$1:$AN$1,),)-VLOOKUP(A84,Data!$A:$AN,MATCH(yoy!$G$1,Data!$A$1:$AN$1,),))/VLOOKUP(A84,Data!$A:$AN,MATCH(yoy!$G$1,Data!$A$1:$AN$1,),))+1)^12-1)</f>
        <v/>
      </c>
      <c r="H84" s="14">
        <f>IF(VLOOKUP(B84,Data!$A:$AN,MATCH(yoy!$H$1,Data!$A$1:$AN$1,),)=0,"#N/A",(((VLOOKUP(B84,Data!$A:$AN,MATCH(yoy!$H$1,Data!$A$1:$AN$1,),)-VLOOKUP(A84,Data!$A:$AN,MATCH(yoy!$H$1,Data!$A$1:$AN$1,),))/VLOOKUP(A84,Data!$A:$AN,MATCH(yoy!$H$1,Data!$A$1:$AN$1,),))+1)^12-1)</f>
        <v/>
      </c>
      <c r="I84" s="14">
        <f>IF(VLOOKUP(B84,Data!$A:$AN,MATCH(yoy!$I$1,Data!$A$1:$AN$1,),)=0,"#N/A",(((VLOOKUP(B84,Data!$A:$AN,MATCH(yoy!$I$1,Data!$A$1:$AN$1,),)-VLOOKUP(A84,Data!$A:$AN,MATCH(yoy!$I$1,Data!$A$1:$AN$1,),))/VLOOKUP(A84,Data!$A:$AN,MATCH(yoy!$I$1,Data!$A$1:$AN$1,),))+1)^12-1)</f>
        <v/>
      </c>
      <c r="J84" s="14">
        <f>IF(VLOOKUP(B84,Data!$A:$AN,MATCH(yoy!$J$1,Data!$A$1:$AN$1,),)=0,"#N/A",(((VLOOKUP(B84,Data!$A:$AN,MATCH(yoy!$J$1,Data!$A$1:$AN$1,),)-VLOOKUP(A84,Data!$A:$AN,MATCH(yoy!$J$1,Data!$A$1:$AN$1,),))/VLOOKUP(A84,Data!$A:$AN,MATCH(yoy!$J$1,Data!$A$1:$AN$1,),))+1)^12-1)</f>
        <v/>
      </c>
      <c r="K84" s="14">
        <f>IF(VLOOKUP(B84,Data!$A:$AN,MATCH(yoy!$K$1,Data!$A$1:$AN$1,),)=0,"#N/A",(((VLOOKUP(B84,Data!$A:$AN,MATCH(yoy!$K$1,Data!$A$1:$AN$1,),)-VLOOKUP(A84,Data!$A:$AN,MATCH(yoy!$K$1,Data!$A$1:$AN$1,),))/VLOOKUP(A84,Data!$A:$AN,MATCH(yoy!$K$1,Data!$A$1:$AN$1,),))+1)^12-1)</f>
        <v/>
      </c>
      <c r="L84" s="14">
        <f>IF(VLOOKUP(B84,Data!$A:$AN,MATCH(yoy!$L$1,Data!$A$1:$AN$1,),)=0,"#N/A",(((VLOOKUP(B84,Data!$A:$AN,MATCH(yoy!$L$1,Data!$A$1:$AN$1,),)-VLOOKUP(A84,Data!$A:$AN,MATCH(yoy!$L$1,Data!$A$1:$AN$1,),))/VLOOKUP(A84,Data!$A:$AN,MATCH(yoy!$L$1,Data!$A$1:$AN$1,),))+1)^12-1)</f>
        <v/>
      </c>
      <c r="M84" s="14">
        <f>IF(VLOOKUP(B84,Data!$A:$AN,MATCH(yoy!$M$1,Data!$A$1:$AN$1,),)=0,"#N/A",(((VLOOKUP(B84,Data!$A:$AN,MATCH(yoy!$M$1,Data!$A$1:$AN$1,),)-VLOOKUP(A84,Data!$A:$AN,MATCH(yoy!$M$1,Data!$A$1:$AN$1,),))/VLOOKUP(A84,Data!$A:$AN,MATCH(yoy!$M$1,Data!$A$1:$AN$1,),))+1)^12-1)</f>
        <v/>
      </c>
      <c r="N84" s="14">
        <f>IF(VLOOKUP(B84,Data!$A:$AN,MATCH(yoy!$N$1,Data!$A$1:$AN$1,),)=0,"#N/A",(((VLOOKUP(B84,Data!$A:$AN,MATCH(yoy!$N$1,Data!$A$1:$AN$1,),)-VLOOKUP(A84,Data!$A:$AN,MATCH(yoy!$N$1,Data!$A$1:$AN$1,),))/VLOOKUP(A84,Data!$A:$AN,MATCH(yoy!$N$1,Data!$A$1:$AN$1,),))+1)^12-1)</f>
        <v/>
      </c>
      <c r="O84" s="14">
        <f>IF(VLOOKUP(B84,Data!$A:$AN,MATCH(yoy!$O$1,Data!$A$1:$AN$1,),)=0,"#N/A",(((VLOOKUP(B84,Data!$A:$AN,MATCH(yoy!$O$1,Data!$A$1:$AN$1,),)-VLOOKUP(A84,Data!$A:$AN,MATCH(yoy!$O$1,Data!$A$1:$AN$1,),))/VLOOKUP(A84,Data!$A:$AN,MATCH(yoy!$O$1,Data!$A$1:$AN$1,),))+1)^12-1)</f>
        <v/>
      </c>
      <c r="P84" s="14">
        <f>IF(VLOOKUP(B84,Data!$A:$AN,MATCH(yoy!$P$1,Data!$A$1:$AN$1,),)=0,"#N/A",(((VLOOKUP(B84,Data!$A:$AN,MATCH(yoy!$P$1,Data!$A$1:$AN$1,),)-VLOOKUP(A84,Data!$A:$AN,MATCH(yoy!$P$1,Data!$A$1:$AN$1,),))/VLOOKUP(A84,Data!$A:$AN,MATCH(yoy!$P$1,Data!$A$1:$AN$1,),))+1)^12-1)</f>
        <v/>
      </c>
      <c r="Q84" s="14">
        <f>IF(VLOOKUP(B84,Data!$A:$AN,MATCH(yoy!$Q$1,Data!$A$1:$AN$1,),)=0,"#N/A",(((VLOOKUP(B84,Data!$A:$AN,MATCH(yoy!$Q$1,Data!$A$1:$AN$1,),)-VLOOKUP(A84,Data!$A:$AN,MATCH(yoy!$Q$1,Data!$A$1:$AN$1,),))/VLOOKUP(A84,Data!$A:$AN,MATCH(yoy!$Q$1,Data!$A$1:$AN$1,),))+1)^12-1)</f>
        <v/>
      </c>
      <c r="R84" s="14">
        <f>IF(VLOOKUP(B84,Data!$A:$AN,MATCH(yoy!$R$1,Data!$A$1:$AN$1,),)=0,"#N/A",(((VLOOKUP(B84,Data!$A:$AN,MATCH(yoy!$R$1,Data!$A$1:$AN$1,),)-VLOOKUP(A84,Data!$A:$AN,MATCH(yoy!$R$1,Data!$A$1:$AN$1,),))/VLOOKUP(A84,Data!$A:$AN,MATCH(yoy!$R$1,Data!$A$1:$AN$1,),))+1)^12-1)</f>
        <v/>
      </c>
      <c r="S84" s="14">
        <f>IF(VLOOKUP(B84,Data!$A:$AN,MATCH(yoy!$S$1,Data!$A$1:$AN$1,),)=0,"#N/A",(((VLOOKUP(B84,Data!$A:$AN,MATCH(yoy!$S$1,Data!$A$1:$AN$1,),)-VLOOKUP(A84,Data!$A:$AN,MATCH(yoy!$S$1,Data!$A$1:$AN$1,),))/VLOOKUP(A84,Data!$A:$AN,MATCH(yoy!$S$1,Data!$A$1:$AN$1,),))+1)^12-1)</f>
        <v/>
      </c>
      <c r="T84" s="14">
        <f>IF(VLOOKUP(B84,Data!$A:$AN,MATCH(yoy!$T$1,Data!$A$1:$AN$1,),)=0,"#N/A",(((VLOOKUP(B84,Data!$A:$AN,MATCH(yoy!$T$1,Data!$A$1:$AN$1,),)-VLOOKUP(A84,Data!$A:$AN,MATCH(yoy!$T$1,Data!$A$1:$AN$1,),))/VLOOKUP(A84,Data!$A:$AN,MATCH(yoy!$T$1,Data!$A$1:$AN$1,),))+1)^12-1)</f>
        <v/>
      </c>
      <c r="U84" s="14">
        <f>IF(VLOOKUP(B84,Data!$A:$AN,MATCH(yoy!$U$1,Data!$A$1:$AN$1,),)=0,"#N/A",(((VLOOKUP(B84,Data!$A:$AN,MATCH(yoy!$U$1,Data!$A$1:$AN$1,),)-VLOOKUP(A84,Data!$A:$AN,MATCH(yoy!$U$1,Data!$A$1:$AN$1,),))/VLOOKUP(A84,Data!$A:$AN,MATCH(yoy!$U$1,Data!$A$1:$AN$1,),))+1)^12-1)</f>
        <v/>
      </c>
      <c r="V84" s="14">
        <f>IF(VLOOKUP(B84,Data!$A:$AN,MATCH(yoy!$V$1,Data!$A$1:$AN$1,),)=0,"#N/A",(((VLOOKUP(B84,Data!$A:$AN,MATCH(yoy!$V$1,Data!$A$1:$AN$1,),)-VLOOKUP(A84,Data!$A:$AN,MATCH(yoy!$V$1,Data!$A$1:$AN$1,),))/VLOOKUP(A84,Data!$A:$AN,MATCH(yoy!$V$1,Data!$A$1:$AN$1,),))+1)^12-1)</f>
        <v/>
      </c>
      <c r="W84" s="14">
        <f>IF(VLOOKUP(B84,Data!$A:$AN,MATCH(yoy!$W$1,Data!$A$1:$AN$1,),)=0,"#N/A",(((VLOOKUP(B84,Data!$A:$AN,MATCH(yoy!$W$1,Data!$A$1:$AN$1,),)-VLOOKUP(A84,Data!$A:$AN,MATCH(yoy!$W$1,Data!$A$1:$AN$1,),))/VLOOKUP(A84,Data!$A:$AN,MATCH(yoy!$W$1,Data!$A$1:$AN$1,),))+1)^12-1)</f>
        <v/>
      </c>
      <c r="X84" s="14">
        <f>IF(VLOOKUP(B84,Data!$A:$AN,MATCH(yoy!$X$1,Data!$A$1:$AN$1,),)=0,"#N/A",(((VLOOKUP(B84,Data!$A:$AN,MATCH(yoy!$X$1,Data!$A$1:$AN$1,),)-VLOOKUP(A84,Data!$A:$AN,MATCH(yoy!$X$1,Data!$A$1:$AN$1,),))/VLOOKUP(A84,Data!$A:$AN,MATCH(yoy!$X$1,Data!$A$1:$AN$1,),))+1)^12-1)</f>
        <v/>
      </c>
      <c r="Y84" s="14">
        <f>IF(VLOOKUP(B84,Data!$A:$AN,MATCH(yoy!$Y$1,Data!$A$1:$AN$1,),)=0,"#N/A",(((VLOOKUP(B84,Data!$A:$AN,MATCH(yoy!$Y$1,Data!$A$1:$AN$1,),)-VLOOKUP(A84,Data!$A:$AN,MATCH(yoy!$Y$1,Data!$A$1:$AN$1,),))/VLOOKUP(A84,Data!$A:$AN,MATCH(yoy!$Y$1,Data!$A$1:$AN$1,),))+1)^12-1)</f>
        <v/>
      </c>
      <c r="Z84" s="14">
        <f>IF(VLOOKUP(B84,Data!$A:$AN,MATCH(yoy!$Z$1,Data!$A$1:$AN$1,),)=0,"#N/A",(((VLOOKUP(B84,Data!$A:$AN,MATCH(yoy!$Z$1,Data!$A$1:$AN$1,),)-VLOOKUP(A84,Data!$A:$AN,MATCH(yoy!$Z$1,Data!$A$1:$AN$1,),))/VLOOKUP(A84,Data!$A:$AN,MATCH(yoy!$Z$1,Data!$A$1:$AN$1,),))+1)^12-1)</f>
        <v/>
      </c>
      <c r="AA84" s="14">
        <f>IF(VLOOKUP(B84,Data!$A:$AN,MATCH(yoy!$AA$1,Data!$A$1:$AN$1,),)=0,"#N/A",(((VLOOKUP(B84,Data!$A:$AN,MATCH(yoy!$AA$1,Data!$A$1:$AN$1,),)-VLOOKUP(A84,Data!$A:$AN,MATCH(yoy!$AA$1,Data!$A$1:$AN$1,),))/VLOOKUP(A84,Data!$A:$AN,MATCH(yoy!$AA$1,Data!$A$1:$AN$1,),))+1)^12-1)</f>
        <v/>
      </c>
    </row>
    <row r="85" customFormat="1" s="77">
      <c r="A85" s="20">
        <f>DATE(YEAR(B85),MONTH(B85)-1,DAY(B85))</f>
        <v/>
      </c>
      <c r="B85" s="12" t="n">
        <v>44440</v>
      </c>
      <c r="C85" s="14">
        <f>IF(VLOOKUP(B85,Data!$A:$AN,MATCH(yoy!$C$1,Data!$A$1:$AN$1,),)=0,"#N/A",(((VLOOKUP(B85,Data!$A:$AN,MATCH(yoy!$C$1,Data!$A$1:$AN$1,),)-VLOOKUP(A85,Data!$A:$AN,MATCH(yoy!$C$1,Data!$A$1:$AN$1,),))/VLOOKUP(A85,Data!$A:$AN,MATCH(yoy!$C$1,Data!$A$1:$AN$1,),))+1)^12-1)</f>
        <v/>
      </c>
      <c r="D85" s="14">
        <f>IF(VLOOKUP(B85,Data!$A:$AN,MATCH(yoy!$D$1,Data!$A$1:$AN$1,),)=0,"#N/A",(((VLOOKUP(B85,Data!$A:$AN,MATCH(yoy!$D$1,Data!$A$1:$AN$1,),)-VLOOKUP(A85,Data!$A:$AN,MATCH(yoy!$D$1,Data!$A$1:$AN$1,),))/VLOOKUP(A85,Data!$A:$AN,MATCH(yoy!$D$1,Data!$A$1:$AN$1,),))+1)^12-1)</f>
        <v/>
      </c>
      <c r="E85" s="14">
        <f>IF(VLOOKUP(B85,Data!$A:$AN,MATCH(yoy!$E$1,Data!$A$1:$AN$1,),)=0,"#N/A",(((VLOOKUP(B85,Data!$A:$AN,MATCH(yoy!$E$1,Data!$A$1:$AN$1,),)-VLOOKUP(A85,Data!$A:$AN,MATCH(yoy!$E$1,Data!$A$1:$AN$1,),))/VLOOKUP(A85,Data!$A:$AN,MATCH(yoy!$E$1,Data!$A$1:$AN$1,),))+1)^12-1)</f>
        <v/>
      </c>
      <c r="F85" s="14">
        <f>IF(VLOOKUP(B85,Data!$A:$AN,MATCH(yoy!$F$1,Data!$A$1:$AN$1,),)=0,"#N/A",(((VLOOKUP(B85,Data!$A:$AN,MATCH(yoy!$F$1,Data!$A$1:$AN$1,),)-VLOOKUP(A85,Data!$A:$AN,MATCH(yoy!$F$1,Data!$A$1:$AN$1,),))/VLOOKUP(A85,Data!$A:$AN,MATCH(yoy!$F$1,Data!$A$1:$AN$1,),))+1)^12-1)</f>
        <v/>
      </c>
      <c r="G85" s="14">
        <f>IF(VLOOKUP(B85,Data!$A:$AN,MATCH(yoy!$G$1,Data!$A$1:$AN$1,),)=0,"#N/A",(((VLOOKUP(B85,Data!$A:$AN,MATCH(yoy!$G$1,Data!$A$1:$AN$1,),)-VLOOKUP(A85,Data!$A:$AN,MATCH(yoy!$G$1,Data!$A$1:$AN$1,),))/VLOOKUP(A85,Data!$A:$AN,MATCH(yoy!$G$1,Data!$A$1:$AN$1,),))+1)^12-1)</f>
        <v/>
      </c>
      <c r="H85" s="14">
        <f>IF(VLOOKUP(B85,Data!$A:$AN,MATCH(yoy!$H$1,Data!$A$1:$AN$1,),)=0,"#N/A",(((VLOOKUP(B85,Data!$A:$AN,MATCH(yoy!$H$1,Data!$A$1:$AN$1,),)-VLOOKUP(A85,Data!$A:$AN,MATCH(yoy!$H$1,Data!$A$1:$AN$1,),))/VLOOKUP(A85,Data!$A:$AN,MATCH(yoy!$H$1,Data!$A$1:$AN$1,),))+1)^12-1)</f>
        <v/>
      </c>
      <c r="I85" s="14">
        <f>IF(VLOOKUP(B85,Data!$A:$AN,MATCH(yoy!$I$1,Data!$A$1:$AN$1,),)=0,"#N/A",(((VLOOKUP(B85,Data!$A:$AN,MATCH(yoy!$I$1,Data!$A$1:$AN$1,),)-VLOOKUP(A85,Data!$A:$AN,MATCH(yoy!$I$1,Data!$A$1:$AN$1,),))/VLOOKUP(A85,Data!$A:$AN,MATCH(yoy!$I$1,Data!$A$1:$AN$1,),))+1)^12-1)</f>
        <v/>
      </c>
      <c r="J85" s="14">
        <f>IF(VLOOKUP(B85,Data!$A:$AN,MATCH(yoy!$J$1,Data!$A$1:$AN$1,),)=0,"#N/A",(((VLOOKUP(B85,Data!$A:$AN,MATCH(yoy!$J$1,Data!$A$1:$AN$1,),)-VLOOKUP(A85,Data!$A:$AN,MATCH(yoy!$J$1,Data!$A$1:$AN$1,),))/VLOOKUP(A85,Data!$A:$AN,MATCH(yoy!$J$1,Data!$A$1:$AN$1,),))+1)^12-1)</f>
        <v/>
      </c>
      <c r="K85" s="14">
        <f>IF(VLOOKUP(B85,Data!$A:$AN,MATCH(yoy!$K$1,Data!$A$1:$AN$1,),)=0,"#N/A",(((VLOOKUP(B85,Data!$A:$AN,MATCH(yoy!$K$1,Data!$A$1:$AN$1,),)-VLOOKUP(A85,Data!$A:$AN,MATCH(yoy!$K$1,Data!$A$1:$AN$1,),))/VLOOKUP(A85,Data!$A:$AN,MATCH(yoy!$K$1,Data!$A$1:$AN$1,),))+1)^12-1)</f>
        <v/>
      </c>
      <c r="L85" s="14">
        <f>IF(VLOOKUP(B85,Data!$A:$AN,MATCH(yoy!$L$1,Data!$A$1:$AN$1,),)=0,"#N/A",(((VLOOKUP(B85,Data!$A:$AN,MATCH(yoy!$L$1,Data!$A$1:$AN$1,),)-VLOOKUP(A85,Data!$A:$AN,MATCH(yoy!$L$1,Data!$A$1:$AN$1,),))/VLOOKUP(A85,Data!$A:$AN,MATCH(yoy!$L$1,Data!$A$1:$AN$1,),))+1)^12-1)</f>
        <v/>
      </c>
      <c r="M85" s="14">
        <f>IF(VLOOKUP(B85,Data!$A:$AN,MATCH(yoy!$M$1,Data!$A$1:$AN$1,),)=0,"#N/A",(((VLOOKUP(B85,Data!$A:$AN,MATCH(yoy!$M$1,Data!$A$1:$AN$1,),)-VLOOKUP(A85,Data!$A:$AN,MATCH(yoy!$M$1,Data!$A$1:$AN$1,),))/VLOOKUP(A85,Data!$A:$AN,MATCH(yoy!$M$1,Data!$A$1:$AN$1,),))+1)^12-1)</f>
        <v/>
      </c>
      <c r="N85" s="14">
        <f>IF(VLOOKUP(B85,Data!$A:$AN,MATCH(yoy!$N$1,Data!$A$1:$AN$1,),)=0,"#N/A",(((VLOOKUP(B85,Data!$A:$AN,MATCH(yoy!$N$1,Data!$A$1:$AN$1,),)-VLOOKUP(A85,Data!$A:$AN,MATCH(yoy!$N$1,Data!$A$1:$AN$1,),))/VLOOKUP(A85,Data!$A:$AN,MATCH(yoy!$N$1,Data!$A$1:$AN$1,),))+1)^12-1)</f>
        <v/>
      </c>
      <c r="O85" s="14">
        <f>IF(VLOOKUP(B85,Data!$A:$AN,MATCH(yoy!$O$1,Data!$A$1:$AN$1,),)=0,"#N/A",(((VLOOKUP(B85,Data!$A:$AN,MATCH(yoy!$O$1,Data!$A$1:$AN$1,),)-VLOOKUP(A85,Data!$A:$AN,MATCH(yoy!$O$1,Data!$A$1:$AN$1,),))/VLOOKUP(A85,Data!$A:$AN,MATCH(yoy!$O$1,Data!$A$1:$AN$1,),))+1)^12-1)</f>
        <v/>
      </c>
      <c r="P85" s="14">
        <f>IF(VLOOKUP(B85,Data!$A:$AN,MATCH(yoy!$P$1,Data!$A$1:$AN$1,),)=0,"#N/A",(((VLOOKUP(B85,Data!$A:$AN,MATCH(yoy!$P$1,Data!$A$1:$AN$1,),)-VLOOKUP(A85,Data!$A:$AN,MATCH(yoy!$P$1,Data!$A$1:$AN$1,),))/VLOOKUP(A85,Data!$A:$AN,MATCH(yoy!$P$1,Data!$A$1:$AN$1,),))+1)^12-1)</f>
        <v/>
      </c>
      <c r="Q85" s="14">
        <f>IF(VLOOKUP(B85,Data!$A:$AN,MATCH(yoy!$Q$1,Data!$A$1:$AN$1,),)=0,"#N/A",(((VLOOKUP(B85,Data!$A:$AN,MATCH(yoy!$Q$1,Data!$A$1:$AN$1,),)-VLOOKUP(A85,Data!$A:$AN,MATCH(yoy!$Q$1,Data!$A$1:$AN$1,),))/VLOOKUP(A85,Data!$A:$AN,MATCH(yoy!$Q$1,Data!$A$1:$AN$1,),))+1)^12-1)</f>
        <v/>
      </c>
      <c r="R85" s="14">
        <f>IF(VLOOKUP(B85,Data!$A:$AN,MATCH(yoy!$R$1,Data!$A$1:$AN$1,),)=0,"#N/A",(((VLOOKUP(B85,Data!$A:$AN,MATCH(yoy!$R$1,Data!$A$1:$AN$1,),)-VLOOKUP(A85,Data!$A:$AN,MATCH(yoy!$R$1,Data!$A$1:$AN$1,),))/VLOOKUP(A85,Data!$A:$AN,MATCH(yoy!$R$1,Data!$A$1:$AN$1,),))+1)^12-1)</f>
        <v/>
      </c>
      <c r="S85" s="14">
        <f>IF(VLOOKUP(B85,Data!$A:$AN,MATCH(yoy!$S$1,Data!$A$1:$AN$1,),)=0,"#N/A",(((VLOOKUP(B85,Data!$A:$AN,MATCH(yoy!$S$1,Data!$A$1:$AN$1,),)-VLOOKUP(A85,Data!$A:$AN,MATCH(yoy!$S$1,Data!$A$1:$AN$1,),))/VLOOKUP(A85,Data!$A:$AN,MATCH(yoy!$S$1,Data!$A$1:$AN$1,),))+1)^12-1)</f>
        <v/>
      </c>
      <c r="T85" s="14">
        <f>IF(VLOOKUP(B85,Data!$A:$AN,MATCH(yoy!$T$1,Data!$A$1:$AN$1,),)=0,"#N/A",(((VLOOKUP(B85,Data!$A:$AN,MATCH(yoy!$T$1,Data!$A$1:$AN$1,),)-VLOOKUP(A85,Data!$A:$AN,MATCH(yoy!$T$1,Data!$A$1:$AN$1,),))/VLOOKUP(A85,Data!$A:$AN,MATCH(yoy!$T$1,Data!$A$1:$AN$1,),))+1)^12-1)</f>
        <v/>
      </c>
      <c r="U85" s="14">
        <f>IF(VLOOKUP(B85,Data!$A:$AN,MATCH(yoy!$U$1,Data!$A$1:$AN$1,),)=0,"#N/A",(((VLOOKUP(B85,Data!$A:$AN,MATCH(yoy!$U$1,Data!$A$1:$AN$1,),)-VLOOKUP(A85,Data!$A:$AN,MATCH(yoy!$U$1,Data!$A$1:$AN$1,),))/VLOOKUP(A85,Data!$A:$AN,MATCH(yoy!$U$1,Data!$A$1:$AN$1,),))+1)^12-1)</f>
        <v/>
      </c>
      <c r="V85" s="14">
        <f>IF(VLOOKUP(B85,Data!$A:$AN,MATCH(yoy!$V$1,Data!$A$1:$AN$1,),)=0,"#N/A",(((VLOOKUP(B85,Data!$A:$AN,MATCH(yoy!$V$1,Data!$A$1:$AN$1,),)-VLOOKUP(A85,Data!$A:$AN,MATCH(yoy!$V$1,Data!$A$1:$AN$1,),))/VLOOKUP(A85,Data!$A:$AN,MATCH(yoy!$V$1,Data!$A$1:$AN$1,),))+1)^12-1)</f>
        <v/>
      </c>
      <c r="W85" s="14">
        <f>IF(VLOOKUP(B85,Data!$A:$AN,MATCH(yoy!$W$1,Data!$A$1:$AN$1,),)=0,"#N/A",(((VLOOKUP(B85,Data!$A:$AN,MATCH(yoy!$W$1,Data!$A$1:$AN$1,),)-VLOOKUP(A85,Data!$A:$AN,MATCH(yoy!$W$1,Data!$A$1:$AN$1,),))/VLOOKUP(A85,Data!$A:$AN,MATCH(yoy!$W$1,Data!$A$1:$AN$1,),))+1)^12-1)</f>
        <v/>
      </c>
      <c r="X85" s="14">
        <f>IF(VLOOKUP(B85,Data!$A:$AN,MATCH(yoy!$X$1,Data!$A$1:$AN$1,),)=0,"#N/A",(((VLOOKUP(B85,Data!$A:$AN,MATCH(yoy!$X$1,Data!$A$1:$AN$1,),)-VLOOKUP(A85,Data!$A:$AN,MATCH(yoy!$X$1,Data!$A$1:$AN$1,),))/VLOOKUP(A85,Data!$A:$AN,MATCH(yoy!$X$1,Data!$A$1:$AN$1,),))+1)^12-1)</f>
        <v/>
      </c>
      <c r="Y85" s="14">
        <f>IF(VLOOKUP(B85,Data!$A:$AN,MATCH(yoy!$Y$1,Data!$A$1:$AN$1,),)=0,"#N/A",(((VLOOKUP(B85,Data!$A:$AN,MATCH(yoy!$Y$1,Data!$A$1:$AN$1,),)-VLOOKUP(A85,Data!$A:$AN,MATCH(yoy!$Y$1,Data!$A$1:$AN$1,),))/VLOOKUP(A85,Data!$A:$AN,MATCH(yoy!$Y$1,Data!$A$1:$AN$1,),))+1)^12-1)</f>
        <v/>
      </c>
      <c r="Z85" s="14">
        <f>IF(VLOOKUP(B85,Data!$A:$AN,MATCH(yoy!$Z$1,Data!$A$1:$AN$1,),)=0,"#N/A",(((VLOOKUP(B85,Data!$A:$AN,MATCH(yoy!$Z$1,Data!$A$1:$AN$1,),)-VLOOKUP(A85,Data!$A:$AN,MATCH(yoy!$Z$1,Data!$A$1:$AN$1,),))/VLOOKUP(A85,Data!$A:$AN,MATCH(yoy!$Z$1,Data!$A$1:$AN$1,),))+1)^12-1)</f>
        <v/>
      </c>
      <c r="AA85" s="14">
        <f>IF(VLOOKUP(B85,Data!$A:$AN,MATCH(yoy!$AA$1,Data!$A$1:$AN$1,),)=0,"#N/A",(((VLOOKUP(B85,Data!$A:$AN,MATCH(yoy!$AA$1,Data!$A$1:$AN$1,),)-VLOOKUP(A85,Data!$A:$AN,MATCH(yoy!$AA$1,Data!$A$1:$AN$1,),))/VLOOKUP(A85,Data!$A:$AN,MATCH(yoy!$AA$1,Data!$A$1:$AN$1,),))+1)^12-1)</f>
        <v/>
      </c>
    </row>
    <row r="86" customFormat="1" s="77">
      <c r="A86" s="20">
        <f>DATE(YEAR(B86),MONTH(B86)-1,DAY(B86))</f>
        <v/>
      </c>
      <c r="B86" s="12" t="n">
        <v>44470</v>
      </c>
      <c r="C86" s="14">
        <f>IF(VLOOKUP(B86,Data!$A:$AN,MATCH(yoy!$C$1,Data!$A$1:$AN$1,),)=0,"#N/A",(((VLOOKUP(B86,Data!$A:$AN,MATCH(yoy!$C$1,Data!$A$1:$AN$1,),)-VLOOKUP(A86,Data!$A:$AN,MATCH(yoy!$C$1,Data!$A$1:$AN$1,),))/VLOOKUP(A86,Data!$A:$AN,MATCH(yoy!$C$1,Data!$A$1:$AN$1,),))+1)^12-1)</f>
        <v/>
      </c>
      <c r="D86" s="14">
        <f>IF(VLOOKUP(B86,Data!$A:$AN,MATCH(yoy!$D$1,Data!$A$1:$AN$1,),)=0,"#N/A",(((VLOOKUP(B86,Data!$A:$AN,MATCH(yoy!$D$1,Data!$A$1:$AN$1,),)-VLOOKUP(A86,Data!$A:$AN,MATCH(yoy!$D$1,Data!$A$1:$AN$1,),))/VLOOKUP(A86,Data!$A:$AN,MATCH(yoy!$D$1,Data!$A$1:$AN$1,),))+1)^12-1)</f>
        <v/>
      </c>
      <c r="E86" s="14">
        <f>IF(VLOOKUP(B86,Data!$A:$AN,MATCH(yoy!$E$1,Data!$A$1:$AN$1,),)=0,"#N/A",(((VLOOKUP(B86,Data!$A:$AN,MATCH(yoy!$E$1,Data!$A$1:$AN$1,),)-VLOOKUP(A86,Data!$A:$AN,MATCH(yoy!$E$1,Data!$A$1:$AN$1,),))/VLOOKUP(A86,Data!$A:$AN,MATCH(yoy!$E$1,Data!$A$1:$AN$1,),))+1)^12-1)</f>
        <v/>
      </c>
      <c r="F86" s="14">
        <f>IF(VLOOKUP(B86,Data!$A:$AN,MATCH(yoy!$F$1,Data!$A$1:$AN$1,),)=0,"#N/A",(((VLOOKUP(B86,Data!$A:$AN,MATCH(yoy!$F$1,Data!$A$1:$AN$1,),)-VLOOKUP(A86,Data!$A:$AN,MATCH(yoy!$F$1,Data!$A$1:$AN$1,),))/VLOOKUP(A86,Data!$A:$AN,MATCH(yoy!$F$1,Data!$A$1:$AN$1,),))+1)^12-1)</f>
        <v/>
      </c>
      <c r="G86" s="14">
        <f>IF(VLOOKUP(B86,Data!$A:$AN,MATCH(yoy!$G$1,Data!$A$1:$AN$1,),)=0,"#N/A",(((VLOOKUP(B86,Data!$A:$AN,MATCH(yoy!$G$1,Data!$A$1:$AN$1,),)-VLOOKUP(A86,Data!$A:$AN,MATCH(yoy!$G$1,Data!$A$1:$AN$1,),))/VLOOKUP(A86,Data!$A:$AN,MATCH(yoy!$G$1,Data!$A$1:$AN$1,),))+1)^12-1)</f>
        <v/>
      </c>
      <c r="H86" s="14">
        <f>IF(VLOOKUP(B86,Data!$A:$AN,MATCH(yoy!$H$1,Data!$A$1:$AN$1,),)=0,"#N/A",(((VLOOKUP(B86,Data!$A:$AN,MATCH(yoy!$H$1,Data!$A$1:$AN$1,),)-VLOOKUP(A86,Data!$A:$AN,MATCH(yoy!$H$1,Data!$A$1:$AN$1,),))/VLOOKUP(A86,Data!$A:$AN,MATCH(yoy!$H$1,Data!$A$1:$AN$1,),))+1)^12-1)</f>
        <v/>
      </c>
      <c r="I86" s="14">
        <f>IF(VLOOKUP(B86,Data!$A:$AN,MATCH(yoy!$I$1,Data!$A$1:$AN$1,),)=0,"#N/A",(((VLOOKUP(B86,Data!$A:$AN,MATCH(yoy!$I$1,Data!$A$1:$AN$1,),)-VLOOKUP(A86,Data!$A:$AN,MATCH(yoy!$I$1,Data!$A$1:$AN$1,),))/VLOOKUP(A86,Data!$A:$AN,MATCH(yoy!$I$1,Data!$A$1:$AN$1,),))+1)^12-1)</f>
        <v/>
      </c>
      <c r="J86" s="14">
        <f>IF(VLOOKUP(B86,Data!$A:$AN,MATCH(yoy!$J$1,Data!$A$1:$AN$1,),)=0,"#N/A",(((VLOOKUP(B86,Data!$A:$AN,MATCH(yoy!$J$1,Data!$A$1:$AN$1,),)-VLOOKUP(A86,Data!$A:$AN,MATCH(yoy!$J$1,Data!$A$1:$AN$1,),))/VLOOKUP(A86,Data!$A:$AN,MATCH(yoy!$J$1,Data!$A$1:$AN$1,),))+1)^12-1)</f>
        <v/>
      </c>
      <c r="K86" s="14">
        <f>IF(VLOOKUP(B86,Data!$A:$AN,MATCH(yoy!$K$1,Data!$A$1:$AN$1,),)=0,"#N/A",(((VLOOKUP(B86,Data!$A:$AN,MATCH(yoy!$K$1,Data!$A$1:$AN$1,),)-VLOOKUP(A86,Data!$A:$AN,MATCH(yoy!$K$1,Data!$A$1:$AN$1,),))/VLOOKUP(A86,Data!$A:$AN,MATCH(yoy!$K$1,Data!$A$1:$AN$1,),))+1)^12-1)</f>
        <v/>
      </c>
      <c r="L86" s="14">
        <f>IF(VLOOKUP(B86,Data!$A:$AN,MATCH(yoy!$L$1,Data!$A$1:$AN$1,),)=0,"#N/A",(((VLOOKUP(B86,Data!$A:$AN,MATCH(yoy!$L$1,Data!$A$1:$AN$1,),)-VLOOKUP(A86,Data!$A:$AN,MATCH(yoy!$L$1,Data!$A$1:$AN$1,),))/VLOOKUP(A86,Data!$A:$AN,MATCH(yoy!$L$1,Data!$A$1:$AN$1,),))+1)^12-1)</f>
        <v/>
      </c>
      <c r="M86" s="14">
        <f>IF(VLOOKUP(B86,Data!$A:$AN,MATCH(yoy!$M$1,Data!$A$1:$AN$1,),)=0,"#N/A",(((VLOOKUP(B86,Data!$A:$AN,MATCH(yoy!$M$1,Data!$A$1:$AN$1,),)-VLOOKUP(A86,Data!$A:$AN,MATCH(yoy!$M$1,Data!$A$1:$AN$1,),))/VLOOKUP(A86,Data!$A:$AN,MATCH(yoy!$M$1,Data!$A$1:$AN$1,),))+1)^12-1)</f>
        <v/>
      </c>
      <c r="N86" s="14">
        <f>IF(VLOOKUP(B86,Data!$A:$AN,MATCH(yoy!$N$1,Data!$A$1:$AN$1,),)=0,"#N/A",(((VLOOKUP(B86,Data!$A:$AN,MATCH(yoy!$N$1,Data!$A$1:$AN$1,),)-VLOOKUP(A86,Data!$A:$AN,MATCH(yoy!$N$1,Data!$A$1:$AN$1,),))/VLOOKUP(A86,Data!$A:$AN,MATCH(yoy!$N$1,Data!$A$1:$AN$1,),))+1)^12-1)</f>
        <v/>
      </c>
      <c r="O86" s="14">
        <f>IF(VLOOKUP(B86,Data!$A:$AN,MATCH(yoy!$O$1,Data!$A$1:$AN$1,),)=0,"#N/A",(((VLOOKUP(B86,Data!$A:$AN,MATCH(yoy!$O$1,Data!$A$1:$AN$1,),)-VLOOKUP(A86,Data!$A:$AN,MATCH(yoy!$O$1,Data!$A$1:$AN$1,),))/VLOOKUP(A86,Data!$A:$AN,MATCH(yoy!$O$1,Data!$A$1:$AN$1,),))+1)^12-1)</f>
        <v/>
      </c>
      <c r="P86" s="14">
        <f>IF(VLOOKUP(B86,Data!$A:$AN,MATCH(yoy!$P$1,Data!$A$1:$AN$1,),)=0,"#N/A",(((VLOOKUP(B86,Data!$A:$AN,MATCH(yoy!$P$1,Data!$A$1:$AN$1,),)-VLOOKUP(A86,Data!$A:$AN,MATCH(yoy!$P$1,Data!$A$1:$AN$1,),))/VLOOKUP(A86,Data!$A:$AN,MATCH(yoy!$P$1,Data!$A$1:$AN$1,),))+1)^12-1)</f>
        <v/>
      </c>
      <c r="Q86" s="14">
        <f>IF(VLOOKUP(B86,Data!$A:$AN,MATCH(yoy!$Q$1,Data!$A$1:$AN$1,),)=0,"#N/A",(((VLOOKUP(B86,Data!$A:$AN,MATCH(yoy!$Q$1,Data!$A$1:$AN$1,),)-VLOOKUP(A86,Data!$A:$AN,MATCH(yoy!$Q$1,Data!$A$1:$AN$1,),))/VLOOKUP(A86,Data!$A:$AN,MATCH(yoy!$Q$1,Data!$A$1:$AN$1,),))+1)^12-1)</f>
        <v/>
      </c>
      <c r="R86" s="14">
        <f>IF(VLOOKUP(B86,Data!$A:$AN,MATCH(yoy!$R$1,Data!$A$1:$AN$1,),)=0,"#N/A",(((VLOOKUP(B86,Data!$A:$AN,MATCH(yoy!$R$1,Data!$A$1:$AN$1,),)-VLOOKUP(A86,Data!$A:$AN,MATCH(yoy!$R$1,Data!$A$1:$AN$1,),))/VLOOKUP(A86,Data!$A:$AN,MATCH(yoy!$R$1,Data!$A$1:$AN$1,),))+1)^12-1)</f>
        <v/>
      </c>
      <c r="S86" s="14">
        <f>IF(VLOOKUP(B86,Data!$A:$AN,MATCH(yoy!$S$1,Data!$A$1:$AN$1,),)=0,"#N/A",(((VLOOKUP(B86,Data!$A:$AN,MATCH(yoy!$S$1,Data!$A$1:$AN$1,),)-VLOOKUP(A86,Data!$A:$AN,MATCH(yoy!$S$1,Data!$A$1:$AN$1,),))/VLOOKUP(A86,Data!$A:$AN,MATCH(yoy!$S$1,Data!$A$1:$AN$1,),))+1)^12-1)</f>
        <v/>
      </c>
      <c r="T86" s="14">
        <f>IF(VLOOKUP(B86,Data!$A:$AN,MATCH(yoy!$T$1,Data!$A$1:$AN$1,),)=0,"#N/A",(((VLOOKUP(B86,Data!$A:$AN,MATCH(yoy!$T$1,Data!$A$1:$AN$1,),)-VLOOKUP(A86,Data!$A:$AN,MATCH(yoy!$T$1,Data!$A$1:$AN$1,),))/VLOOKUP(A86,Data!$A:$AN,MATCH(yoy!$T$1,Data!$A$1:$AN$1,),))+1)^12-1)</f>
        <v/>
      </c>
      <c r="U86" s="14">
        <f>IF(VLOOKUP(B86,Data!$A:$AN,MATCH(yoy!$U$1,Data!$A$1:$AN$1,),)=0,"#N/A",(((VLOOKUP(B86,Data!$A:$AN,MATCH(yoy!$U$1,Data!$A$1:$AN$1,),)-VLOOKUP(A86,Data!$A:$AN,MATCH(yoy!$U$1,Data!$A$1:$AN$1,),))/VLOOKUP(A86,Data!$A:$AN,MATCH(yoy!$U$1,Data!$A$1:$AN$1,),))+1)^12-1)</f>
        <v/>
      </c>
      <c r="V86" s="14">
        <f>IF(VLOOKUP(B86,Data!$A:$AN,MATCH(yoy!$V$1,Data!$A$1:$AN$1,),)=0,"#N/A",(((VLOOKUP(B86,Data!$A:$AN,MATCH(yoy!$V$1,Data!$A$1:$AN$1,),)-VLOOKUP(A86,Data!$A:$AN,MATCH(yoy!$V$1,Data!$A$1:$AN$1,),))/VLOOKUP(A86,Data!$A:$AN,MATCH(yoy!$V$1,Data!$A$1:$AN$1,),))+1)^12-1)</f>
        <v/>
      </c>
      <c r="W86" s="14">
        <f>IF(VLOOKUP(B86,Data!$A:$AN,MATCH(yoy!$W$1,Data!$A$1:$AN$1,),)=0,"#N/A",(((VLOOKUP(B86,Data!$A:$AN,MATCH(yoy!$W$1,Data!$A$1:$AN$1,),)-VLOOKUP(A86,Data!$A:$AN,MATCH(yoy!$W$1,Data!$A$1:$AN$1,),))/VLOOKUP(A86,Data!$A:$AN,MATCH(yoy!$W$1,Data!$A$1:$AN$1,),))+1)^12-1)</f>
        <v/>
      </c>
      <c r="X86" s="14">
        <f>IF(VLOOKUP(B86,Data!$A:$AN,MATCH(yoy!$X$1,Data!$A$1:$AN$1,),)=0,"#N/A",(((VLOOKUP(B86,Data!$A:$AN,MATCH(yoy!$X$1,Data!$A$1:$AN$1,),)-VLOOKUP(A86,Data!$A:$AN,MATCH(yoy!$X$1,Data!$A$1:$AN$1,),))/VLOOKUP(A86,Data!$A:$AN,MATCH(yoy!$X$1,Data!$A$1:$AN$1,),))+1)^12-1)</f>
        <v/>
      </c>
      <c r="Y86" s="14">
        <f>IF(VLOOKUP(B86,Data!$A:$AN,MATCH(yoy!$Y$1,Data!$A$1:$AN$1,),)=0,"#N/A",(((VLOOKUP(B86,Data!$A:$AN,MATCH(yoy!$Y$1,Data!$A$1:$AN$1,),)-VLOOKUP(A86,Data!$A:$AN,MATCH(yoy!$Y$1,Data!$A$1:$AN$1,),))/VLOOKUP(A86,Data!$A:$AN,MATCH(yoy!$Y$1,Data!$A$1:$AN$1,),))+1)^12-1)</f>
        <v/>
      </c>
      <c r="Z86" s="14">
        <f>IF(VLOOKUP(B86,Data!$A:$AN,MATCH(yoy!$Z$1,Data!$A$1:$AN$1,),)=0,"#N/A",(((VLOOKUP(B86,Data!$A:$AN,MATCH(yoy!$Z$1,Data!$A$1:$AN$1,),)-VLOOKUP(A86,Data!$A:$AN,MATCH(yoy!$Z$1,Data!$A$1:$AN$1,),))/VLOOKUP(A86,Data!$A:$AN,MATCH(yoy!$Z$1,Data!$A$1:$AN$1,),))+1)^12-1)</f>
        <v/>
      </c>
      <c r="AA86" s="14">
        <f>IF(VLOOKUP(B86,Data!$A:$AN,MATCH(yoy!$AA$1,Data!$A$1:$AN$1,),)=0,"#N/A",(((VLOOKUP(B86,Data!$A:$AN,MATCH(yoy!$AA$1,Data!$A$1:$AN$1,),)-VLOOKUP(A86,Data!$A:$AN,MATCH(yoy!$AA$1,Data!$A$1:$AN$1,),))/VLOOKUP(A86,Data!$A:$AN,MATCH(yoy!$AA$1,Data!$A$1:$AN$1,),))+1)^12-1)</f>
        <v/>
      </c>
    </row>
    <row r="87" customFormat="1" s="77">
      <c r="A87" s="20">
        <f>DATE(YEAR(B87),MONTH(B87)-1,DAY(B87))</f>
        <v/>
      </c>
      <c r="B87" s="12" t="n">
        <v>44501</v>
      </c>
      <c r="C87" s="14">
        <f>IF(VLOOKUP(B87,Data!$A:$AN,MATCH(yoy!$C$1,Data!$A$1:$AN$1,),)=0,"#N/A",(((VLOOKUP(B87,Data!$A:$AN,MATCH(yoy!$C$1,Data!$A$1:$AN$1,),)-VLOOKUP(A87,Data!$A:$AN,MATCH(yoy!$C$1,Data!$A$1:$AN$1,),))/VLOOKUP(A87,Data!$A:$AN,MATCH(yoy!$C$1,Data!$A$1:$AN$1,),))+1)^12-1)</f>
        <v/>
      </c>
      <c r="D87" s="14">
        <f>IF(VLOOKUP(B87,Data!$A:$AN,MATCH(yoy!$D$1,Data!$A$1:$AN$1,),)=0,"#N/A",(((VLOOKUP(B87,Data!$A:$AN,MATCH(yoy!$D$1,Data!$A$1:$AN$1,),)-VLOOKUP(A87,Data!$A:$AN,MATCH(yoy!$D$1,Data!$A$1:$AN$1,),))/VLOOKUP(A87,Data!$A:$AN,MATCH(yoy!$D$1,Data!$A$1:$AN$1,),))+1)^12-1)</f>
        <v/>
      </c>
      <c r="E87" s="14">
        <f>IF(VLOOKUP(B87,Data!$A:$AN,MATCH(yoy!$E$1,Data!$A$1:$AN$1,),)=0,"#N/A",(((VLOOKUP(B87,Data!$A:$AN,MATCH(yoy!$E$1,Data!$A$1:$AN$1,),)-VLOOKUP(A87,Data!$A:$AN,MATCH(yoy!$E$1,Data!$A$1:$AN$1,),))/VLOOKUP(A87,Data!$A:$AN,MATCH(yoy!$E$1,Data!$A$1:$AN$1,),))+1)^12-1)</f>
        <v/>
      </c>
      <c r="F87" s="14">
        <f>IF(VLOOKUP(B87,Data!$A:$AN,MATCH(yoy!$F$1,Data!$A$1:$AN$1,),)=0,"#N/A",(((VLOOKUP(B87,Data!$A:$AN,MATCH(yoy!$F$1,Data!$A$1:$AN$1,),)-VLOOKUP(A87,Data!$A:$AN,MATCH(yoy!$F$1,Data!$A$1:$AN$1,),))/VLOOKUP(A87,Data!$A:$AN,MATCH(yoy!$F$1,Data!$A$1:$AN$1,),))+1)^12-1)</f>
        <v/>
      </c>
      <c r="G87" s="14">
        <f>IF(VLOOKUP(B87,Data!$A:$AN,MATCH(yoy!$G$1,Data!$A$1:$AN$1,),)=0,"#N/A",(((VLOOKUP(B87,Data!$A:$AN,MATCH(yoy!$G$1,Data!$A$1:$AN$1,),)-VLOOKUP(A87,Data!$A:$AN,MATCH(yoy!$G$1,Data!$A$1:$AN$1,),))/VLOOKUP(A87,Data!$A:$AN,MATCH(yoy!$G$1,Data!$A$1:$AN$1,),))+1)^12-1)</f>
        <v/>
      </c>
      <c r="H87" s="14">
        <f>IF(VLOOKUP(B87,Data!$A:$AN,MATCH(yoy!$H$1,Data!$A$1:$AN$1,),)=0,"#N/A",(((VLOOKUP(B87,Data!$A:$AN,MATCH(yoy!$H$1,Data!$A$1:$AN$1,),)-VLOOKUP(A87,Data!$A:$AN,MATCH(yoy!$H$1,Data!$A$1:$AN$1,),))/VLOOKUP(A87,Data!$A:$AN,MATCH(yoy!$H$1,Data!$A$1:$AN$1,),))+1)^12-1)</f>
        <v/>
      </c>
      <c r="I87" s="14">
        <f>IF(VLOOKUP(B87,Data!$A:$AN,MATCH(yoy!$I$1,Data!$A$1:$AN$1,),)=0,"#N/A",(((VLOOKUP(B87,Data!$A:$AN,MATCH(yoy!$I$1,Data!$A$1:$AN$1,),)-VLOOKUP(A87,Data!$A:$AN,MATCH(yoy!$I$1,Data!$A$1:$AN$1,),))/VLOOKUP(A87,Data!$A:$AN,MATCH(yoy!$I$1,Data!$A$1:$AN$1,),))+1)^12-1)</f>
        <v/>
      </c>
      <c r="J87" s="14">
        <f>IF(VLOOKUP(B87,Data!$A:$AN,MATCH(yoy!$J$1,Data!$A$1:$AN$1,),)=0,"#N/A",(((VLOOKUP(B87,Data!$A:$AN,MATCH(yoy!$J$1,Data!$A$1:$AN$1,),)-VLOOKUP(A87,Data!$A:$AN,MATCH(yoy!$J$1,Data!$A$1:$AN$1,),))/VLOOKUP(A87,Data!$A:$AN,MATCH(yoy!$J$1,Data!$A$1:$AN$1,),))+1)^12-1)</f>
        <v/>
      </c>
      <c r="K87" s="14">
        <f>IF(VLOOKUP(B87,Data!$A:$AN,MATCH(yoy!$K$1,Data!$A$1:$AN$1,),)=0,"#N/A",(((VLOOKUP(B87,Data!$A:$AN,MATCH(yoy!$K$1,Data!$A$1:$AN$1,),)-VLOOKUP(A87,Data!$A:$AN,MATCH(yoy!$K$1,Data!$A$1:$AN$1,),))/VLOOKUP(A87,Data!$A:$AN,MATCH(yoy!$K$1,Data!$A$1:$AN$1,),))+1)^12-1)</f>
        <v/>
      </c>
      <c r="L87" s="14">
        <f>IF(VLOOKUP(B87,Data!$A:$AN,MATCH(yoy!$L$1,Data!$A$1:$AN$1,),)=0,"#N/A",(((VLOOKUP(B87,Data!$A:$AN,MATCH(yoy!$L$1,Data!$A$1:$AN$1,),)-VLOOKUP(A87,Data!$A:$AN,MATCH(yoy!$L$1,Data!$A$1:$AN$1,),))/VLOOKUP(A87,Data!$A:$AN,MATCH(yoy!$L$1,Data!$A$1:$AN$1,),))+1)^12-1)</f>
        <v/>
      </c>
      <c r="M87" s="14">
        <f>IF(VLOOKUP(B87,Data!$A:$AN,MATCH(yoy!$M$1,Data!$A$1:$AN$1,),)=0,"#N/A",(((VLOOKUP(B87,Data!$A:$AN,MATCH(yoy!$M$1,Data!$A$1:$AN$1,),)-VLOOKUP(A87,Data!$A:$AN,MATCH(yoy!$M$1,Data!$A$1:$AN$1,),))/VLOOKUP(A87,Data!$A:$AN,MATCH(yoy!$M$1,Data!$A$1:$AN$1,),))+1)^12-1)</f>
        <v/>
      </c>
      <c r="N87" s="14">
        <f>IF(VLOOKUP(B87,Data!$A:$AN,MATCH(yoy!$N$1,Data!$A$1:$AN$1,),)=0,"#N/A",(((VLOOKUP(B87,Data!$A:$AN,MATCH(yoy!$N$1,Data!$A$1:$AN$1,),)-VLOOKUP(A87,Data!$A:$AN,MATCH(yoy!$N$1,Data!$A$1:$AN$1,),))/VLOOKUP(A87,Data!$A:$AN,MATCH(yoy!$N$1,Data!$A$1:$AN$1,),))+1)^12-1)</f>
        <v/>
      </c>
      <c r="O87" s="14">
        <f>IF(VLOOKUP(B87,Data!$A:$AN,MATCH(yoy!$O$1,Data!$A$1:$AN$1,),)=0,"#N/A",(((VLOOKUP(B87,Data!$A:$AN,MATCH(yoy!$O$1,Data!$A$1:$AN$1,),)-VLOOKUP(A87,Data!$A:$AN,MATCH(yoy!$O$1,Data!$A$1:$AN$1,),))/VLOOKUP(A87,Data!$A:$AN,MATCH(yoy!$O$1,Data!$A$1:$AN$1,),))+1)^12-1)</f>
        <v/>
      </c>
      <c r="P87" s="14">
        <f>IF(VLOOKUP(B87,Data!$A:$AN,MATCH(yoy!$P$1,Data!$A$1:$AN$1,),)=0,"#N/A",(((VLOOKUP(B87,Data!$A:$AN,MATCH(yoy!$P$1,Data!$A$1:$AN$1,),)-VLOOKUP(A87,Data!$A:$AN,MATCH(yoy!$P$1,Data!$A$1:$AN$1,),))/VLOOKUP(A87,Data!$A:$AN,MATCH(yoy!$P$1,Data!$A$1:$AN$1,),))+1)^12-1)</f>
        <v/>
      </c>
      <c r="Q87" s="14">
        <f>IF(VLOOKUP(B87,Data!$A:$AN,MATCH(yoy!$Q$1,Data!$A$1:$AN$1,),)=0,"#N/A",(((VLOOKUP(B87,Data!$A:$AN,MATCH(yoy!$Q$1,Data!$A$1:$AN$1,),)-VLOOKUP(A87,Data!$A:$AN,MATCH(yoy!$Q$1,Data!$A$1:$AN$1,),))/VLOOKUP(A87,Data!$A:$AN,MATCH(yoy!$Q$1,Data!$A$1:$AN$1,),))+1)^12-1)</f>
        <v/>
      </c>
      <c r="R87" s="14">
        <f>IF(VLOOKUP(B87,Data!$A:$AN,MATCH(yoy!$R$1,Data!$A$1:$AN$1,),)=0,"#N/A",(((VLOOKUP(B87,Data!$A:$AN,MATCH(yoy!$R$1,Data!$A$1:$AN$1,),)-VLOOKUP(A87,Data!$A:$AN,MATCH(yoy!$R$1,Data!$A$1:$AN$1,),))/VLOOKUP(A87,Data!$A:$AN,MATCH(yoy!$R$1,Data!$A$1:$AN$1,),))+1)^12-1)</f>
        <v/>
      </c>
      <c r="S87" s="14">
        <f>IF(VLOOKUP(B87,Data!$A:$AN,MATCH(yoy!$S$1,Data!$A$1:$AN$1,),)=0,"#N/A",(((VLOOKUP(B87,Data!$A:$AN,MATCH(yoy!$S$1,Data!$A$1:$AN$1,),)-VLOOKUP(A87,Data!$A:$AN,MATCH(yoy!$S$1,Data!$A$1:$AN$1,),))/VLOOKUP(A87,Data!$A:$AN,MATCH(yoy!$S$1,Data!$A$1:$AN$1,),))+1)^12-1)</f>
        <v/>
      </c>
      <c r="T87" s="14">
        <f>IF(VLOOKUP(B87,Data!$A:$AN,MATCH(yoy!$T$1,Data!$A$1:$AN$1,),)=0,"#N/A",(((VLOOKUP(B87,Data!$A:$AN,MATCH(yoy!$T$1,Data!$A$1:$AN$1,),)-VLOOKUP(A87,Data!$A:$AN,MATCH(yoy!$T$1,Data!$A$1:$AN$1,),))/VLOOKUP(A87,Data!$A:$AN,MATCH(yoy!$T$1,Data!$A$1:$AN$1,),))+1)^12-1)</f>
        <v/>
      </c>
      <c r="U87" s="14">
        <f>IF(VLOOKUP(B87,Data!$A:$AN,MATCH(yoy!$U$1,Data!$A$1:$AN$1,),)=0,"#N/A",(((VLOOKUP(B87,Data!$A:$AN,MATCH(yoy!$U$1,Data!$A$1:$AN$1,),)-VLOOKUP(A87,Data!$A:$AN,MATCH(yoy!$U$1,Data!$A$1:$AN$1,),))/VLOOKUP(A87,Data!$A:$AN,MATCH(yoy!$U$1,Data!$A$1:$AN$1,),))+1)^12-1)</f>
        <v/>
      </c>
      <c r="V87" s="14">
        <f>IF(VLOOKUP(B87,Data!$A:$AN,MATCH(yoy!$V$1,Data!$A$1:$AN$1,),)=0,"#N/A",(((VLOOKUP(B87,Data!$A:$AN,MATCH(yoy!$V$1,Data!$A$1:$AN$1,),)-VLOOKUP(A87,Data!$A:$AN,MATCH(yoy!$V$1,Data!$A$1:$AN$1,),))/VLOOKUP(A87,Data!$A:$AN,MATCH(yoy!$V$1,Data!$A$1:$AN$1,),))+1)^12-1)</f>
        <v/>
      </c>
      <c r="W87" s="14">
        <f>IF(VLOOKUP(B87,Data!$A:$AN,MATCH(yoy!$W$1,Data!$A$1:$AN$1,),)=0,"#N/A",(((VLOOKUP(B87,Data!$A:$AN,MATCH(yoy!$W$1,Data!$A$1:$AN$1,),)-VLOOKUP(A87,Data!$A:$AN,MATCH(yoy!$W$1,Data!$A$1:$AN$1,),))/VLOOKUP(A87,Data!$A:$AN,MATCH(yoy!$W$1,Data!$A$1:$AN$1,),))+1)^12-1)</f>
        <v/>
      </c>
      <c r="X87" s="14">
        <f>IF(VLOOKUP(B87,Data!$A:$AN,MATCH(yoy!$X$1,Data!$A$1:$AN$1,),)=0,"#N/A",(((VLOOKUP(B87,Data!$A:$AN,MATCH(yoy!$X$1,Data!$A$1:$AN$1,),)-VLOOKUP(A87,Data!$A:$AN,MATCH(yoy!$X$1,Data!$A$1:$AN$1,),))/VLOOKUP(A87,Data!$A:$AN,MATCH(yoy!$X$1,Data!$A$1:$AN$1,),))+1)^12-1)</f>
        <v/>
      </c>
      <c r="Y87" s="14">
        <f>IF(VLOOKUP(B87,Data!$A:$AN,MATCH(yoy!$Y$1,Data!$A$1:$AN$1,),)=0,"#N/A",(((VLOOKUP(B87,Data!$A:$AN,MATCH(yoy!$Y$1,Data!$A$1:$AN$1,),)-VLOOKUP(A87,Data!$A:$AN,MATCH(yoy!$Y$1,Data!$A$1:$AN$1,),))/VLOOKUP(A87,Data!$A:$AN,MATCH(yoy!$Y$1,Data!$A$1:$AN$1,),))+1)^12-1)</f>
        <v/>
      </c>
      <c r="Z87" s="14">
        <f>IF(VLOOKUP(B87,Data!$A:$AN,MATCH(yoy!$Z$1,Data!$A$1:$AN$1,),)=0,"#N/A",(((VLOOKUP(B87,Data!$A:$AN,MATCH(yoy!$Z$1,Data!$A$1:$AN$1,),)-VLOOKUP(A87,Data!$A:$AN,MATCH(yoy!$Z$1,Data!$A$1:$AN$1,),))/VLOOKUP(A87,Data!$A:$AN,MATCH(yoy!$Z$1,Data!$A$1:$AN$1,),))+1)^12-1)</f>
        <v/>
      </c>
      <c r="AA87" s="14">
        <f>IF(VLOOKUP(B87,Data!$A:$AN,MATCH(yoy!$AA$1,Data!$A$1:$AN$1,),)=0,"#N/A",(((VLOOKUP(B87,Data!$A:$AN,MATCH(yoy!$AA$1,Data!$A$1:$AN$1,),)-VLOOKUP(A87,Data!$A:$AN,MATCH(yoy!$AA$1,Data!$A$1:$AN$1,),))/VLOOKUP(A87,Data!$A:$AN,MATCH(yoy!$AA$1,Data!$A$1:$AN$1,),))+1)^12-1)</f>
        <v/>
      </c>
    </row>
    <row r="88" customFormat="1" s="77">
      <c r="A88" s="20">
        <f>DATE(YEAR(B88),MONTH(B88)-1,DAY(B88))</f>
        <v/>
      </c>
      <c r="B88" s="12" t="n">
        <v>44531</v>
      </c>
      <c r="C88" s="14">
        <f>IF(VLOOKUP(B88,Data!$A:$AN,MATCH(yoy!$C$1,Data!$A$1:$AN$1,),)=0,"#N/A",(((VLOOKUP(B88,Data!$A:$AN,MATCH(yoy!$C$1,Data!$A$1:$AN$1,),)-VLOOKUP(A88,Data!$A:$AN,MATCH(yoy!$C$1,Data!$A$1:$AN$1,),))/VLOOKUP(A88,Data!$A:$AN,MATCH(yoy!$C$1,Data!$A$1:$AN$1,),))+1)^12-1)</f>
        <v/>
      </c>
      <c r="D88" s="14">
        <f>IF(VLOOKUP(B88,Data!$A:$AN,MATCH(yoy!$D$1,Data!$A$1:$AN$1,),)=0,"#N/A",(((VLOOKUP(B88,Data!$A:$AN,MATCH(yoy!$D$1,Data!$A$1:$AN$1,),)-VLOOKUP(A88,Data!$A:$AN,MATCH(yoy!$D$1,Data!$A$1:$AN$1,),))/VLOOKUP(A88,Data!$A:$AN,MATCH(yoy!$D$1,Data!$A$1:$AN$1,),))+1)^12-1)</f>
        <v/>
      </c>
      <c r="E88" s="14">
        <f>IF(VLOOKUP(B88,Data!$A:$AN,MATCH(yoy!$E$1,Data!$A$1:$AN$1,),)=0,"#N/A",(((VLOOKUP(B88,Data!$A:$AN,MATCH(yoy!$E$1,Data!$A$1:$AN$1,),)-VLOOKUP(A88,Data!$A:$AN,MATCH(yoy!$E$1,Data!$A$1:$AN$1,),))/VLOOKUP(A88,Data!$A:$AN,MATCH(yoy!$E$1,Data!$A$1:$AN$1,),))+1)^12-1)</f>
        <v/>
      </c>
      <c r="F88" s="14">
        <f>IF(VLOOKUP(B88,Data!$A:$AN,MATCH(yoy!$F$1,Data!$A$1:$AN$1,),)=0,"#N/A",(((VLOOKUP(B88,Data!$A:$AN,MATCH(yoy!$F$1,Data!$A$1:$AN$1,),)-VLOOKUP(A88,Data!$A:$AN,MATCH(yoy!$F$1,Data!$A$1:$AN$1,),))/VLOOKUP(A88,Data!$A:$AN,MATCH(yoy!$F$1,Data!$A$1:$AN$1,),))+1)^12-1)</f>
        <v/>
      </c>
      <c r="G88" s="14">
        <f>IF(VLOOKUP(B88,Data!$A:$AN,MATCH(yoy!$G$1,Data!$A$1:$AN$1,),)=0,"#N/A",(((VLOOKUP(B88,Data!$A:$AN,MATCH(yoy!$G$1,Data!$A$1:$AN$1,),)-VLOOKUP(A88,Data!$A:$AN,MATCH(yoy!$G$1,Data!$A$1:$AN$1,),))/VLOOKUP(A88,Data!$A:$AN,MATCH(yoy!$G$1,Data!$A$1:$AN$1,),))+1)^12-1)</f>
        <v/>
      </c>
      <c r="H88" s="14">
        <f>IF(VLOOKUP(B88,Data!$A:$AN,MATCH(yoy!$H$1,Data!$A$1:$AN$1,),)=0,"#N/A",(((VLOOKUP(B88,Data!$A:$AN,MATCH(yoy!$H$1,Data!$A$1:$AN$1,),)-VLOOKUP(A88,Data!$A:$AN,MATCH(yoy!$H$1,Data!$A$1:$AN$1,),))/VLOOKUP(A88,Data!$A:$AN,MATCH(yoy!$H$1,Data!$A$1:$AN$1,),))+1)^12-1)</f>
        <v/>
      </c>
      <c r="I88" s="14">
        <f>IF(VLOOKUP(B88,Data!$A:$AN,MATCH(yoy!$I$1,Data!$A$1:$AN$1,),)=0,"#N/A",(((VLOOKUP(B88,Data!$A:$AN,MATCH(yoy!$I$1,Data!$A$1:$AN$1,),)-VLOOKUP(A88,Data!$A:$AN,MATCH(yoy!$I$1,Data!$A$1:$AN$1,),))/VLOOKUP(A88,Data!$A:$AN,MATCH(yoy!$I$1,Data!$A$1:$AN$1,),))+1)^12-1)</f>
        <v/>
      </c>
      <c r="J88" s="14">
        <f>IF(VLOOKUP(B88,Data!$A:$AN,MATCH(yoy!$J$1,Data!$A$1:$AN$1,),)=0,"#N/A",(((VLOOKUP(B88,Data!$A:$AN,MATCH(yoy!$J$1,Data!$A$1:$AN$1,),)-VLOOKUP(A88,Data!$A:$AN,MATCH(yoy!$J$1,Data!$A$1:$AN$1,),))/VLOOKUP(A88,Data!$A:$AN,MATCH(yoy!$J$1,Data!$A$1:$AN$1,),))+1)^12-1)</f>
        <v/>
      </c>
      <c r="K88" s="14">
        <f>IF(VLOOKUP(B88,Data!$A:$AN,MATCH(yoy!$K$1,Data!$A$1:$AN$1,),)=0,"#N/A",(((VLOOKUP(B88,Data!$A:$AN,MATCH(yoy!$K$1,Data!$A$1:$AN$1,),)-VLOOKUP(A88,Data!$A:$AN,MATCH(yoy!$K$1,Data!$A$1:$AN$1,),))/VLOOKUP(A88,Data!$A:$AN,MATCH(yoy!$K$1,Data!$A$1:$AN$1,),))+1)^12-1)</f>
        <v/>
      </c>
      <c r="L88" s="14">
        <f>IF(VLOOKUP(B88,Data!$A:$AN,MATCH(yoy!$L$1,Data!$A$1:$AN$1,),)=0,"#N/A",(((VLOOKUP(B88,Data!$A:$AN,MATCH(yoy!$L$1,Data!$A$1:$AN$1,),)-VLOOKUP(A88,Data!$A:$AN,MATCH(yoy!$L$1,Data!$A$1:$AN$1,),))/VLOOKUP(A88,Data!$A:$AN,MATCH(yoy!$L$1,Data!$A$1:$AN$1,),))+1)^12-1)</f>
        <v/>
      </c>
      <c r="M88" s="14">
        <f>IF(VLOOKUP(B88,Data!$A:$AN,MATCH(yoy!$M$1,Data!$A$1:$AN$1,),)=0,"#N/A",(((VLOOKUP(B88,Data!$A:$AN,MATCH(yoy!$M$1,Data!$A$1:$AN$1,),)-VLOOKUP(A88,Data!$A:$AN,MATCH(yoy!$M$1,Data!$A$1:$AN$1,),))/VLOOKUP(A88,Data!$A:$AN,MATCH(yoy!$M$1,Data!$A$1:$AN$1,),))+1)^12-1)</f>
        <v/>
      </c>
      <c r="N88" s="14">
        <f>IF(VLOOKUP(B88,Data!$A:$AN,MATCH(yoy!$N$1,Data!$A$1:$AN$1,),)=0,"#N/A",(((VLOOKUP(B88,Data!$A:$AN,MATCH(yoy!$N$1,Data!$A$1:$AN$1,),)-VLOOKUP(A88,Data!$A:$AN,MATCH(yoy!$N$1,Data!$A$1:$AN$1,),))/VLOOKUP(A88,Data!$A:$AN,MATCH(yoy!$N$1,Data!$A$1:$AN$1,),))+1)^12-1)</f>
        <v/>
      </c>
      <c r="O88" s="14">
        <f>IF(VLOOKUP(B88,Data!$A:$AN,MATCH(yoy!$O$1,Data!$A$1:$AN$1,),)=0,"#N/A",(((VLOOKUP(B88,Data!$A:$AN,MATCH(yoy!$O$1,Data!$A$1:$AN$1,),)-VLOOKUP(A88,Data!$A:$AN,MATCH(yoy!$O$1,Data!$A$1:$AN$1,),))/VLOOKUP(A88,Data!$A:$AN,MATCH(yoy!$O$1,Data!$A$1:$AN$1,),))+1)^12-1)</f>
        <v/>
      </c>
      <c r="P88" s="14">
        <f>IF(VLOOKUP(B88,Data!$A:$AN,MATCH(yoy!$P$1,Data!$A$1:$AN$1,),)=0,"#N/A",(((VLOOKUP(B88,Data!$A:$AN,MATCH(yoy!$P$1,Data!$A$1:$AN$1,),)-VLOOKUP(A88,Data!$A:$AN,MATCH(yoy!$P$1,Data!$A$1:$AN$1,),))/VLOOKUP(A88,Data!$A:$AN,MATCH(yoy!$P$1,Data!$A$1:$AN$1,),))+1)^12-1)</f>
        <v/>
      </c>
      <c r="Q88" s="14">
        <f>IF(VLOOKUP(B88,Data!$A:$AN,MATCH(yoy!$Q$1,Data!$A$1:$AN$1,),)=0,"#N/A",(((VLOOKUP(B88,Data!$A:$AN,MATCH(yoy!$Q$1,Data!$A$1:$AN$1,),)-VLOOKUP(A88,Data!$A:$AN,MATCH(yoy!$Q$1,Data!$A$1:$AN$1,),))/VLOOKUP(A88,Data!$A:$AN,MATCH(yoy!$Q$1,Data!$A$1:$AN$1,),))+1)^12-1)</f>
        <v/>
      </c>
      <c r="R88" s="14">
        <f>IF(VLOOKUP(B88,Data!$A:$AN,MATCH(yoy!$R$1,Data!$A$1:$AN$1,),)=0,"#N/A",(((VLOOKUP(B88,Data!$A:$AN,MATCH(yoy!$R$1,Data!$A$1:$AN$1,),)-VLOOKUP(A88,Data!$A:$AN,MATCH(yoy!$R$1,Data!$A$1:$AN$1,),))/VLOOKUP(A88,Data!$A:$AN,MATCH(yoy!$R$1,Data!$A$1:$AN$1,),))+1)^12-1)</f>
        <v/>
      </c>
      <c r="S88" s="14">
        <f>IF(VLOOKUP(B88,Data!$A:$AN,MATCH(yoy!$S$1,Data!$A$1:$AN$1,),)=0,"#N/A",(((VLOOKUP(B88,Data!$A:$AN,MATCH(yoy!$S$1,Data!$A$1:$AN$1,),)-VLOOKUP(A88,Data!$A:$AN,MATCH(yoy!$S$1,Data!$A$1:$AN$1,),))/VLOOKUP(A88,Data!$A:$AN,MATCH(yoy!$S$1,Data!$A$1:$AN$1,),))+1)^12-1)</f>
        <v/>
      </c>
      <c r="T88" s="14">
        <f>IF(VLOOKUP(B88,Data!$A:$AN,MATCH(yoy!$T$1,Data!$A$1:$AN$1,),)=0,"#N/A",(((VLOOKUP(B88,Data!$A:$AN,MATCH(yoy!$T$1,Data!$A$1:$AN$1,),)-VLOOKUP(A88,Data!$A:$AN,MATCH(yoy!$T$1,Data!$A$1:$AN$1,),))/VLOOKUP(A88,Data!$A:$AN,MATCH(yoy!$T$1,Data!$A$1:$AN$1,),))+1)^12-1)</f>
        <v/>
      </c>
      <c r="U88" s="14">
        <f>IF(VLOOKUP(B88,Data!$A:$AN,MATCH(yoy!$U$1,Data!$A$1:$AN$1,),)=0,"#N/A",(((VLOOKUP(B88,Data!$A:$AN,MATCH(yoy!$U$1,Data!$A$1:$AN$1,),)-VLOOKUP(A88,Data!$A:$AN,MATCH(yoy!$U$1,Data!$A$1:$AN$1,),))/VLOOKUP(A88,Data!$A:$AN,MATCH(yoy!$U$1,Data!$A$1:$AN$1,),))+1)^12-1)</f>
        <v/>
      </c>
      <c r="V88" s="14">
        <f>IF(VLOOKUP(B88,Data!$A:$AN,MATCH(yoy!$V$1,Data!$A$1:$AN$1,),)=0,"#N/A",(((VLOOKUP(B88,Data!$A:$AN,MATCH(yoy!$V$1,Data!$A$1:$AN$1,),)-VLOOKUP(A88,Data!$A:$AN,MATCH(yoy!$V$1,Data!$A$1:$AN$1,),))/VLOOKUP(A88,Data!$A:$AN,MATCH(yoy!$V$1,Data!$A$1:$AN$1,),))+1)^12-1)</f>
        <v/>
      </c>
      <c r="W88" s="14">
        <f>IF(VLOOKUP(B88,Data!$A:$AN,MATCH(yoy!$W$1,Data!$A$1:$AN$1,),)=0,"#N/A",(((VLOOKUP(B88,Data!$A:$AN,MATCH(yoy!$W$1,Data!$A$1:$AN$1,),)-VLOOKUP(A88,Data!$A:$AN,MATCH(yoy!$W$1,Data!$A$1:$AN$1,),))/VLOOKUP(A88,Data!$A:$AN,MATCH(yoy!$W$1,Data!$A$1:$AN$1,),))+1)^12-1)</f>
        <v/>
      </c>
      <c r="X88" s="14">
        <f>IF(VLOOKUP(B88,Data!$A:$AN,MATCH(yoy!$X$1,Data!$A$1:$AN$1,),)=0,"#N/A",(((VLOOKUP(B88,Data!$A:$AN,MATCH(yoy!$X$1,Data!$A$1:$AN$1,),)-VLOOKUP(A88,Data!$A:$AN,MATCH(yoy!$X$1,Data!$A$1:$AN$1,),))/VLOOKUP(A88,Data!$A:$AN,MATCH(yoy!$X$1,Data!$A$1:$AN$1,),))+1)^12-1)</f>
        <v/>
      </c>
      <c r="Y88" s="14">
        <f>IF(VLOOKUP(B88,Data!$A:$AN,MATCH(yoy!$Y$1,Data!$A$1:$AN$1,),)=0,"#N/A",(((VLOOKUP(B88,Data!$A:$AN,MATCH(yoy!$Y$1,Data!$A$1:$AN$1,),)-VLOOKUP(A88,Data!$A:$AN,MATCH(yoy!$Y$1,Data!$A$1:$AN$1,),))/VLOOKUP(A88,Data!$A:$AN,MATCH(yoy!$Y$1,Data!$A$1:$AN$1,),))+1)^12-1)</f>
        <v/>
      </c>
      <c r="Z88" s="14">
        <f>IF(VLOOKUP(B88,Data!$A:$AN,MATCH(yoy!$Z$1,Data!$A$1:$AN$1,),)=0,"#N/A",(((VLOOKUP(B88,Data!$A:$AN,MATCH(yoy!$Z$1,Data!$A$1:$AN$1,),)-VLOOKUP(A88,Data!$A:$AN,MATCH(yoy!$Z$1,Data!$A$1:$AN$1,),))/VLOOKUP(A88,Data!$A:$AN,MATCH(yoy!$Z$1,Data!$A$1:$AN$1,),))+1)^12-1)</f>
        <v/>
      </c>
      <c r="AA88" s="14">
        <f>IF(VLOOKUP(B88,Data!$A:$AN,MATCH(yoy!$AA$1,Data!$A$1:$AN$1,),)=0,"#N/A",(((VLOOKUP(B88,Data!$A:$AN,MATCH(yoy!$AA$1,Data!$A$1:$AN$1,),)-VLOOKUP(A88,Data!$A:$AN,MATCH(yoy!$AA$1,Data!$A$1:$AN$1,),))/VLOOKUP(A88,Data!$A:$AN,MATCH(yoy!$AA$1,Data!$A$1:$AN$1,),))+1)^12-1)</f>
        <v/>
      </c>
    </row>
    <row r="89" customFormat="1" s="77">
      <c r="A89" s="20">
        <f>DATE(YEAR(B89),MONTH(B89)-1,DAY(B89))</f>
        <v/>
      </c>
      <c r="B89" s="12" t="n">
        <v>44562</v>
      </c>
      <c r="C89" s="14">
        <f>IF(VLOOKUP(B89,Data!$A:$AN,MATCH(yoy!$C$1,Data!$A$1:$AN$1,),)=0,"#N/A",(((VLOOKUP(B89,Data!$A:$AN,MATCH(yoy!$C$1,Data!$A$1:$AN$1,),)-VLOOKUP(A89,Data!$A:$AN,MATCH(yoy!$C$1,Data!$A$1:$AN$1,),))/VLOOKUP(A89,Data!$A:$AN,MATCH(yoy!$C$1,Data!$A$1:$AN$1,),))+1)^12-1)</f>
        <v/>
      </c>
      <c r="D89" s="14">
        <f>IF(VLOOKUP(B89,Data!$A:$AN,MATCH(yoy!$D$1,Data!$A$1:$AN$1,),)=0,"#N/A",(((VLOOKUP(B89,Data!$A:$AN,MATCH(yoy!$D$1,Data!$A$1:$AN$1,),)-VLOOKUP(A89,Data!$A:$AN,MATCH(yoy!$D$1,Data!$A$1:$AN$1,),))/VLOOKUP(A89,Data!$A:$AN,MATCH(yoy!$D$1,Data!$A$1:$AN$1,),))+1)^12-1)</f>
        <v/>
      </c>
      <c r="E89" s="14">
        <f>IF(VLOOKUP(B89,Data!$A:$AN,MATCH(yoy!$E$1,Data!$A$1:$AN$1,),)=0,"#N/A",(((VLOOKUP(B89,Data!$A:$AN,MATCH(yoy!$E$1,Data!$A$1:$AN$1,),)-VLOOKUP(A89,Data!$A:$AN,MATCH(yoy!$E$1,Data!$A$1:$AN$1,),))/VLOOKUP(A89,Data!$A:$AN,MATCH(yoy!$E$1,Data!$A$1:$AN$1,),))+1)^12-1)</f>
        <v/>
      </c>
      <c r="F89" s="14">
        <f>IF(VLOOKUP(B89,Data!$A:$AN,MATCH(yoy!$F$1,Data!$A$1:$AN$1,),)=0,"#N/A",(((VLOOKUP(B89,Data!$A:$AN,MATCH(yoy!$F$1,Data!$A$1:$AN$1,),)-VLOOKUP(A89,Data!$A:$AN,MATCH(yoy!$F$1,Data!$A$1:$AN$1,),))/VLOOKUP(A89,Data!$A:$AN,MATCH(yoy!$F$1,Data!$A$1:$AN$1,),))+1)^12-1)</f>
        <v/>
      </c>
      <c r="G89" s="14">
        <f>IF(VLOOKUP(B89,Data!$A:$AN,MATCH(yoy!$G$1,Data!$A$1:$AN$1,),)=0,"#N/A",(((VLOOKUP(B89,Data!$A:$AN,MATCH(yoy!$G$1,Data!$A$1:$AN$1,),)-VLOOKUP(A89,Data!$A:$AN,MATCH(yoy!$G$1,Data!$A$1:$AN$1,),))/VLOOKUP(A89,Data!$A:$AN,MATCH(yoy!$G$1,Data!$A$1:$AN$1,),))+1)^12-1)</f>
        <v/>
      </c>
      <c r="H89" s="14">
        <f>IF(VLOOKUP(B89,Data!$A:$AN,MATCH(yoy!$H$1,Data!$A$1:$AN$1,),)=0,"#N/A",(((VLOOKUP(B89,Data!$A:$AN,MATCH(yoy!$H$1,Data!$A$1:$AN$1,),)-VLOOKUP(A89,Data!$A:$AN,MATCH(yoy!$H$1,Data!$A$1:$AN$1,),))/VLOOKUP(A89,Data!$A:$AN,MATCH(yoy!$H$1,Data!$A$1:$AN$1,),))+1)^12-1)</f>
        <v/>
      </c>
      <c r="I89" s="14">
        <f>IF(VLOOKUP(B89,Data!$A:$AN,MATCH(yoy!$I$1,Data!$A$1:$AN$1,),)=0,"#N/A",(((VLOOKUP(B89,Data!$A:$AN,MATCH(yoy!$I$1,Data!$A$1:$AN$1,),)-VLOOKUP(A89,Data!$A:$AN,MATCH(yoy!$I$1,Data!$A$1:$AN$1,),))/VLOOKUP(A89,Data!$A:$AN,MATCH(yoy!$I$1,Data!$A$1:$AN$1,),))+1)^12-1)</f>
        <v/>
      </c>
      <c r="J89" s="14">
        <f>IF(VLOOKUP(B89,Data!$A:$AN,MATCH(yoy!$J$1,Data!$A$1:$AN$1,),)=0,"#N/A",(((VLOOKUP(B89,Data!$A:$AN,MATCH(yoy!$J$1,Data!$A$1:$AN$1,),)-VLOOKUP(A89,Data!$A:$AN,MATCH(yoy!$J$1,Data!$A$1:$AN$1,),))/VLOOKUP(A89,Data!$A:$AN,MATCH(yoy!$J$1,Data!$A$1:$AN$1,),))+1)^12-1)</f>
        <v/>
      </c>
      <c r="K89" s="14">
        <f>IF(VLOOKUP(B89,Data!$A:$AN,MATCH(yoy!$K$1,Data!$A$1:$AN$1,),)=0,"#N/A",(((VLOOKUP(B89,Data!$A:$AN,MATCH(yoy!$K$1,Data!$A$1:$AN$1,),)-VLOOKUP(A89,Data!$A:$AN,MATCH(yoy!$K$1,Data!$A$1:$AN$1,),))/VLOOKUP(A89,Data!$A:$AN,MATCH(yoy!$K$1,Data!$A$1:$AN$1,),))+1)^12-1)</f>
        <v/>
      </c>
      <c r="L89" s="14">
        <f>IF(VLOOKUP(B89,Data!$A:$AN,MATCH(yoy!$L$1,Data!$A$1:$AN$1,),)=0,"#N/A",(((VLOOKUP(B89,Data!$A:$AN,MATCH(yoy!$L$1,Data!$A$1:$AN$1,),)-VLOOKUP(A89,Data!$A:$AN,MATCH(yoy!$L$1,Data!$A$1:$AN$1,),))/VLOOKUP(A89,Data!$A:$AN,MATCH(yoy!$L$1,Data!$A$1:$AN$1,),))+1)^12-1)</f>
        <v/>
      </c>
      <c r="M89" s="14">
        <f>IF(VLOOKUP(B89,Data!$A:$AN,MATCH(yoy!$M$1,Data!$A$1:$AN$1,),)=0,"#N/A",(((VLOOKUP(B89,Data!$A:$AN,MATCH(yoy!$M$1,Data!$A$1:$AN$1,),)-VLOOKUP(A89,Data!$A:$AN,MATCH(yoy!$M$1,Data!$A$1:$AN$1,),))/VLOOKUP(A89,Data!$A:$AN,MATCH(yoy!$M$1,Data!$A$1:$AN$1,),))+1)^12-1)</f>
        <v/>
      </c>
      <c r="N89" s="14">
        <f>IF(VLOOKUP(B89,Data!$A:$AN,MATCH(yoy!$N$1,Data!$A$1:$AN$1,),)=0,"#N/A",(((VLOOKUP(B89,Data!$A:$AN,MATCH(yoy!$N$1,Data!$A$1:$AN$1,),)-VLOOKUP(A89,Data!$A:$AN,MATCH(yoy!$N$1,Data!$A$1:$AN$1,),))/VLOOKUP(A89,Data!$A:$AN,MATCH(yoy!$N$1,Data!$A$1:$AN$1,),))+1)^12-1)</f>
        <v/>
      </c>
      <c r="O89" s="14">
        <f>IF(VLOOKUP(B89,Data!$A:$AN,MATCH(yoy!$O$1,Data!$A$1:$AN$1,),)=0,"#N/A",(((VLOOKUP(B89,Data!$A:$AN,MATCH(yoy!$O$1,Data!$A$1:$AN$1,),)-VLOOKUP(A89,Data!$A:$AN,MATCH(yoy!$O$1,Data!$A$1:$AN$1,),))/VLOOKUP(A89,Data!$A:$AN,MATCH(yoy!$O$1,Data!$A$1:$AN$1,),))+1)^12-1)</f>
        <v/>
      </c>
      <c r="P89" s="14">
        <f>IF(VLOOKUP(B89,Data!$A:$AN,MATCH(yoy!$P$1,Data!$A$1:$AN$1,),)=0,"#N/A",(((VLOOKUP(B89,Data!$A:$AN,MATCH(yoy!$P$1,Data!$A$1:$AN$1,),)-VLOOKUP(A89,Data!$A:$AN,MATCH(yoy!$P$1,Data!$A$1:$AN$1,),))/VLOOKUP(A89,Data!$A:$AN,MATCH(yoy!$P$1,Data!$A$1:$AN$1,),))+1)^12-1)</f>
        <v/>
      </c>
      <c r="Q89" s="14">
        <f>IF(VLOOKUP(B89,Data!$A:$AN,MATCH(yoy!$Q$1,Data!$A$1:$AN$1,),)=0,"#N/A",(((VLOOKUP(B89,Data!$A:$AN,MATCH(yoy!$Q$1,Data!$A$1:$AN$1,),)-VLOOKUP(A89,Data!$A:$AN,MATCH(yoy!$Q$1,Data!$A$1:$AN$1,),))/VLOOKUP(A89,Data!$A:$AN,MATCH(yoy!$Q$1,Data!$A$1:$AN$1,),))+1)^12-1)</f>
        <v/>
      </c>
      <c r="R89" s="14">
        <f>IF(VLOOKUP(B89,Data!$A:$AN,MATCH(yoy!$R$1,Data!$A$1:$AN$1,),)=0,"#N/A",(((VLOOKUP(B89,Data!$A:$AN,MATCH(yoy!$R$1,Data!$A$1:$AN$1,),)-VLOOKUP(A89,Data!$A:$AN,MATCH(yoy!$R$1,Data!$A$1:$AN$1,),))/VLOOKUP(A89,Data!$A:$AN,MATCH(yoy!$R$1,Data!$A$1:$AN$1,),))+1)^12-1)</f>
        <v/>
      </c>
      <c r="S89" s="14">
        <f>IF(VLOOKUP(B89,Data!$A:$AN,MATCH(yoy!$S$1,Data!$A$1:$AN$1,),)=0,"#N/A",(((VLOOKUP(B89,Data!$A:$AN,MATCH(yoy!$S$1,Data!$A$1:$AN$1,),)-VLOOKUP(A89,Data!$A:$AN,MATCH(yoy!$S$1,Data!$A$1:$AN$1,),))/VLOOKUP(A89,Data!$A:$AN,MATCH(yoy!$S$1,Data!$A$1:$AN$1,),))+1)^12-1)</f>
        <v/>
      </c>
      <c r="T89" s="14">
        <f>IF(VLOOKUP(B89,Data!$A:$AN,MATCH(yoy!$T$1,Data!$A$1:$AN$1,),)=0,"#N/A",(((VLOOKUP(B89,Data!$A:$AN,MATCH(yoy!$T$1,Data!$A$1:$AN$1,),)-VLOOKUP(A89,Data!$A:$AN,MATCH(yoy!$T$1,Data!$A$1:$AN$1,),))/VLOOKUP(A89,Data!$A:$AN,MATCH(yoy!$T$1,Data!$A$1:$AN$1,),))+1)^12-1)</f>
        <v/>
      </c>
      <c r="U89" s="14">
        <f>IF(VLOOKUP(B89,Data!$A:$AN,MATCH(yoy!$U$1,Data!$A$1:$AN$1,),)=0,"#N/A",(((VLOOKUP(B89,Data!$A:$AN,MATCH(yoy!$U$1,Data!$A$1:$AN$1,),)-VLOOKUP(A89,Data!$A:$AN,MATCH(yoy!$U$1,Data!$A$1:$AN$1,),))/VLOOKUP(A89,Data!$A:$AN,MATCH(yoy!$U$1,Data!$A$1:$AN$1,),))+1)^12-1)</f>
        <v/>
      </c>
      <c r="V89" s="14">
        <f>IF(VLOOKUP(B89,Data!$A:$AN,MATCH(yoy!$V$1,Data!$A$1:$AN$1,),)=0,"#N/A",(((VLOOKUP(B89,Data!$A:$AN,MATCH(yoy!$V$1,Data!$A$1:$AN$1,),)-VLOOKUP(A89,Data!$A:$AN,MATCH(yoy!$V$1,Data!$A$1:$AN$1,),))/VLOOKUP(A89,Data!$A:$AN,MATCH(yoy!$V$1,Data!$A$1:$AN$1,),))+1)^12-1)</f>
        <v/>
      </c>
      <c r="W89" s="14">
        <f>IF(VLOOKUP(B89,Data!$A:$AN,MATCH(yoy!$W$1,Data!$A$1:$AN$1,),)=0,"#N/A",(((VLOOKUP(B89,Data!$A:$AN,MATCH(yoy!$W$1,Data!$A$1:$AN$1,),)-VLOOKUP(A89,Data!$A:$AN,MATCH(yoy!$W$1,Data!$A$1:$AN$1,),))/VLOOKUP(A89,Data!$A:$AN,MATCH(yoy!$W$1,Data!$A$1:$AN$1,),))+1)^12-1)</f>
        <v/>
      </c>
      <c r="X89" s="14">
        <f>IF(VLOOKUP(B89,Data!$A:$AN,MATCH(yoy!$X$1,Data!$A$1:$AN$1,),)=0,"#N/A",(((VLOOKUP(B89,Data!$A:$AN,MATCH(yoy!$X$1,Data!$A$1:$AN$1,),)-VLOOKUP(A89,Data!$A:$AN,MATCH(yoy!$X$1,Data!$A$1:$AN$1,),))/VLOOKUP(A89,Data!$A:$AN,MATCH(yoy!$X$1,Data!$A$1:$AN$1,),))+1)^12-1)</f>
        <v/>
      </c>
      <c r="Y89" s="14">
        <f>IF(VLOOKUP(B89,Data!$A:$AN,MATCH(yoy!$Y$1,Data!$A$1:$AN$1,),)=0,"#N/A",(((VLOOKUP(B89,Data!$A:$AN,MATCH(yoy!$Y$1,Data!$A$1:$AN$1,),)-VLOOKUP(A89,Data!$A:$AN,MATCH(yoy!$Y$1,Data!$A$1:$AN$1,),))/VLOOKUP(A89,Data!$A:$AN,MATCH(yoy!$Y$1,Data!$A$1:$AN$1,),))+1)^12-1)</f>
        <v/>
      </c>
      <c r="Z89" s="14">
        <f>IF(VLOOKUP(B89,Data!$A:$AN,MATCH(yoy!$Z$1,Data!$A$1:$AN$1,),)=0,"#N/A",(((VLOOKUP(B89,Data!$A:$AN,MATCH(yoy!$Z$1,Data!$A$1:$AN$1,),)-VLOOKUP(A89,Data!$A:$AN,MATCH(yoy!$Z$1,Data!$A$1:$AN$1,),))/VLOOKUP(A89,Data!$A:$AN,MATCH(yoy!$Z$1,Data!$A$1:$AN$1,),))+1)^12-1)</f>
        <v/>
      </c>
      <c r="AA89" s="14">
        <f>IF(VLOOKUP(B89,Data!$A:$AN,MATCH(yoy!$AA$1,Data!$A$1:$AN$1,),)=0,"#N/A",(((VLOOKUP(B89,Data!$A:$AN,MATCH(yoy!$AA$1,Data!$A$1:$AN$1,),)-VLOOKUP(A89,Data!$A:$AN,MATCH(yoy!$AA$1,Data!$A$1:$AN$1,),))/VLOOKUP(A89,Data!$A:$AN,MATCH(yoy!$AA$1,Data!$A$1:$AN$1,),))+1)^12-1)</f>
        <v/>
      </c>
    </row>
    <row r="90" customFormat="1" s="77">
      <c r="A90" s="20">
        <f>DATE(YEAR(B90),MONTH(B90)-1,DAY(B90))</f>
        <v/>
      </c>
      <c r="B90" s="12" t="n">
        <v>44593</v>
      </c>
      <c r="C90" s="14">
        <f>IF(VLOOKUP(B90,Data!$A:$AN,MATCH(yoy!$C$1,Data!$A$1:$AN$1,),)=0,"#N/A",(((VLOOKUP(B90,Data!$A:$AN,MATCH(yoy!$C$1,Data!$A$1:$AN$1,),)-VLOOKUP(A90,Data!$A:$AN,MATCH(yoy!$C$1,Data!$A$1:$AN$1,),))/VLOOKUP(A90,Data!$A:$AN,MATCH(yoy!$C$1,Data!$A$1:$AN$1,),))+1)^12-1)</f>
        <v/>
      </c>
      <c r="D90" s="14">
        <f>IF(VLOOKUP(B90,Data!$A:$AN,MATCH(yoy!$D$1,Data!$A$1:$AN$1,),)=0,"#N/A",(((VLOOKUP(B90,Data!$A:$AN,MATCH(yoy!$D$1,Data!$A$1:$AN$1,),)-VLOOKUP(A90,Data!$A:$AN,MATCH(yoy!$D$1,Data!$A$1:$AN$1,),))/VLOOKUP(A90,Data!$A:$AN,MATCH(yoy!$D$1,Data!$A$1:$AN$1,),))+1)^12-1)</f>
        <v/>
      </c>
      <c r="E90" s="14">
        <f>IF(VLOOKUP(B90,Data!$A:$AN,MATCH(yoy!$E$1,Data!$A$1:$AN$1,),)=0,"#N/A",(((VLOOKUP(B90,Data!$A:$AN,MATCH(yoy!$E$1,Data!$A$1:$AN$1,),)-VLOOKUP(A90,Data!$A:$AN,MATCH(yoy!$E$1,Data!$A$1:$AN$1,),))/VLOOKUP(A90,Data!$A:$AN,MATCH(yoy!$E$1,Data!$A$1:$AN$1,),))+1)^12-1)</f>
        <v/>
      </c>
      <c r="F90" s="14">
        <f>IF(VLOOKUP(B90,Data!$A:$AN,MATCH(yoy!$F$1,Data!$A$1:$AN$1,),)=0,"#N/A",(((VLOOKUP(B90,Data!$A:$AN,MATCH(yoy!$F$1,Data!$A$1:$AN$1,),)-VLOOKUP(A90,Data!$A:$AN,MATCH(yoy!$F$1,Data!$A$1:$AN$1,),))/VLOOKUP(A90,Data!$A:$AN,MATCH(yoy!$F$1,Data!$A$1:$AN$1,),))+1)^12-1)</f>
        <v/>
      </c>
      <c r="G90" s="14">
        <f>IF(VLOOKUP(B90,Data!$A:$AN,MATCH(yoy!$G$1,Data!$A$1:$AN$1,),)=0,"#N/A",(((VLOOKUP(B90,Data!$A:$AN,MATCH(yoy!$G$1,Data!$A$1:$AN$1,),)-VLOOKUP(A90,Data!$A:$AN,MATCH(yoy!$G$1,Data!$A$1:$AN$1,),))/VLOOKUP(A90,Data!$A:$AN,MATCH(yoy!$G$1,Data!$A$1:$AN$1,),))+1)^12-1)</f>
        <v/>
      </c>
      <c r="H90" s="14">
        <f>IF(VLOOKUP(B90,Data!$A:$AN,MATCH(yoy!$H$1,Data!$A$1:$AN$1,),)=0,"#N/A",(((VLOOKUP(B90,Data!$A:$AN,MATCH(yoy!$H$1,Data!$A$1:$AN$1,),)-VLOOKUP(A90,Data!$A:$AN,MATCH(yoy!$H$1,Data!$A$1:$AN$1,),))/VLOOKUP(A90,Data!$A:$AN,MATCH(yoy!$H$1,Data!$A$1:$AN$1,),))+1)^12-1)</f>
        <v/>
      </c>
      <c r="I90" s="14">
        <f>IF(VLOOKUP(B90,Data!$A:$AN,MATCH(yoy!$I$1,Data!$A$1:$AN$1,),)=0,"#N/A",(((VLOOKUP(B90,Data!$A:$AN,MATCH(yoy!$I$1,Data!$A$1:$AN$1,),)-VLOOKUP(A90,Data!$A:$AN,MATCH(yoy!$I$1,Data!$A$1:$AN$1,),))/VLOOKUP(A90,Data!$A:$AN,MATCH(yoy!$I$1,Data!$A$1:$AN$1,),))+1)^12-1)</f>
        <v/>
      </c>
      <c r="J90" s="14">
        <f>IF(VLOOKUP(B90,Data!$A:$AN,MATCH(yoy!$J$1,Data!$A$1:$AN$1,),)=0,"#N/A",(((VLOOKUP(B90,Data!$A:$AN,MATCH(yoy!$J$1,Data!$A$1:$AN$1,),)-VLOOKUP(A90,Data!$A:$AN,MATCH(yoy!$J$1,Data!$A$1:$AN$1,),))/VLOOKUP(A90,Data!$A:$AN,MATCH(yoy!$J$1,Data!$A$1:$AN$1,),))+1)^12-1)</f>
        <v/>
      </c>
      <c r="K90" s="14">
        <f>IF(VLOOKUP(B90,Data!$A:$AN,MATCH(yoy!$K$1,Data!$A$1:$AN$1,),)=0,"#N/A",(((VLOOKUP(B90,Data!$A:$AN,MATCH(yoy!$K$1,Data!$A$1:$AN$1,),)-VLOOKUP(A90,Data!$A:$AN,MATCH(yoy!$K$1,Data!$A$1:$AN$1,),))/VLOOKUP(A90,Data!$A:$AN,MATCH(yoy!$K$1,Data!$A$1:$AN$1,),))+1)^12-1)</f>
        <v/>
      </c>
      <c r="L90" s="14">
        <f>IF(VLOOKUP(B90,Data!$A:$AN,MATCH(yoy!$L$1,Data!$A$1:$AN$1,),)=0,"#N/A",(((VLOOKUP(B90,Data!$A:$AN,MATCH(yoy!$L$1,Data!$A$1:$AN$1,),)-VLOOKUP(A90,Data!$A:$AN,MATCH(yoy!$L$1,Data!$A$1:$AN$1,),))/VLOOKUP(A90,Data!$A:$AN,MATCH(yoy!$L$1,Data!$A$1:$AN$1,),))+1)^12-1)</f>
        <v/>
      </c>
      <c r="M90" s="14">
        <f>IF(VLOOKUP(B90,Data!$A:$AN,MATCH(yoy!$M$1,Data!$A$1:$AN$1,),)=0,"#N/A",(((VLOOKUP(B90,Data!$A:$AN,MATCH(yoy!$M$1,Data!$A$1:$AN$1,),)-VLOOKUP(A90,Data!$A:$AN,MATCH(yoy!$M$1,Data!$A$1:$AN$1,),))/VLOOKUP(A90,Data!$A:$AN,MATCH(yoy!$M$1,Data!$A$1:$AN$1,),))+1)^12-1)</f>
        <v/>
      </c>
      <c r="N90" s="14">
        <f>IF(VLOOKUP(B90,Data!$A:$AN,MATCH(yoy!$N$1,Data!$A$1:$AN$1,),)=0,"#N/A",(((VLOOKUP(B90,Data!$A:$AN,MATCH(yoy!$N$1,Data!$A$1:$AN$1,),)-VLOOKUP(A90,Data!$A:$AN,MATCH(yoy!$N$1,Data!$A$1:$AN$1,),))/VLOOKUP(A90,Data!$A:$AN,MATCH(yoy!$N$1,Data!$A$1:$AN$1,),))+1)^12-1)</f>
        <v/>
      </c>
      <c r="O90" s="14">
        <f>IF(VLOOKUP(B90,Data!$A:$AN,MATCH(yoy!$O$1,Data!$A$1:$AN$1,),)=0,"#N/A",(((VLOOKUP(B90,Data!$A:$AN,MATCH(yoy!$O$1,Data!$A$1:$AN$1,),)-VLOOKUP(A90,Data!$A:$AN,MATCH(yoy!$O$1,Data!$A$1:$AN$1,),))/VLOOKUP(A90,Data!$A:$AN,MATCH(yoy!$O$1,Data!$A$1:$AN$1,),))+1)^12-1)</f>
        <v/>
      </c>
      <c r="P90" s="14">
        <f>IF(VLOOKUP(B90,Data!$A:$AN,MATCH(yoy!$P$1,Data!$A$1:$AN$1,),)=0,"#N/A",(((VLOOKUP(B90,Data!$A:$AN,MATCH(yoy!$P$1,Data!$A$1:$AN$1,),)-VLOOKUP(A90,Data!$A:$AN,MATCH(yoy!$P$1,Data!$A$1:$AN$1,),))/VLOOKUP(A90,Data!$A:$AN,MATCH(yoy!$P$1,Data!$A$1:$AN$1,),))+1)^12-1)</f>
        <v/>
      </c>
      <c r="Q90" s="14">
        <f>IF(VLOOKUP(B90,Data!$A:$AN,MATCH(yoy!$Q$1,Data!$A$1:$AN$1,),)=0,"#N/A",(((VLOOKUP(B90,Data!$A:$AN,MATCH(yoy!$Q$1,Data!$A$1:$AN$1,),)-VLOOKUP(A90,Data!$A:$AN,MATCH(yoy!$Q$1,Data!$A$1:$AN$1,),))/VLOOKUP(A90,Data!$A:$AN,MATCH(yoy!$Q$1,Data!$A$1:$AN$1,),))+1)^12-1)</f>
        <v/>
      </c>
      <c r="R90" s="14">
        <f>IF(VLOOKUP(B90,Data!$A:$AN,MATCH(yoy!$R$1,Data!$A$1:$AN$1,),)=0,"#N/A",(((VLOOKUP(B90,Data!$A:$AN,MATCH(yoy!$R$1,Data!$A$1:$AN$1,),)-VLOOKUP(A90,Data!$A:$AN,MATCH(yoy!$R$1,Data!$A$1:$AN$1,),))/VLOOKUP(A90,Data!$A:$AN,MATCH(yoy!$R$1,Data!$A$1:$AN$1,),))+1)^12-1)</f>
        <v/>
      </c>
      <c r="S90" s="14">
        <f>IF(VLOOKUP(B90,Data!$A:$AN,MATCH(yoy!$S$1,Data!$A$1:$AN$1,),)=0,"#N/A",(((VLOOKUP(B90,Data!$A:$AN,MATCH(yoy!$S$1,Data!$A$1:$AN$1,),)-VLOOKUP(A90,Data!$A:$AN,MATCH(yoy!$S$1,Data!$A$1:$AN$1,),))/VLOOKUP(A90,Data!$A:$AN,MATCH(yoy!$S$1,Data!$A$1:$AN$1,),))+1)^12-1)</f>
        <v/>
      </c>
      <c r="T90" s="14">
        <f>IF(VLOOKUP(B90,Data!$A:$AN,MATCH(yoy!$T$1,Data!$A$1:$AN$1,),)=0,"#N/A",(((VLOOKUP(B90,Data!$A:$AN,MATCH(yoy!$T$1,Data!$A$1:$AN$1,),)-VLOOKUP(A90,Data!$A:$AN,MATCH(yoy!$T$1,Data!$A$1:$AN$1,),))/VLOOKUP(A90,Data!$A:$AN,MATCH(yoy!$T$1,Data!$A$1:$AN$1,),))+1)^12-1)</f>
        <v/>
      </c>
      <c r="U90" s="14">
        <f>IF(VLOOKUP(B90,Data!$A:$AN,MATCH(yoy!$U$1,Data!$A$1:$AN$1,),)=0,"#N/A",(((VLOOKUP(B90,Data!$A:$AN,MATCH(yoy!$U$1,Data!$A$1:$AN$1,),)-VLOOKUP(A90,Data!$A:$AN,MATCH(yoy!$U$1,Data!$A$1:$AN$1,),))/VLOOKUP(A90,Data!$A:$AN,MATCH(yoy!$U$1,Data!$A$1:$AN$1,),))+1)^12-1)</f>
        <v/>
      </c>
      <c r="V90" s="14">
        <f>IF(VLOOKUP(B90,Data!$A:$AN,MATCH(yoy!$V$1,Data!$A$1:$AN$1,),)=0,"#N/A",(((VLOOKUP(B90,Data!$A:$AN,MATCH(yoy!$V$1,Data!$A$1:$AN$1,),)-VLOOKUP(A90,Data!$A:$AN,MATCH(yoy!$V$1,Data!$A$1:$AN$1,),))/VLOOKUP(A90,Data!$A:$AN,MATCH(yoy!$V$1,Data!$A$1:$AN$1,),))+1)^12-1)</f>
        <v/>
      </c>
      <c r="W90" s="14">
        <f>IF(VLOOKUP(B90,Data!$A:$AN,MATCH(yoy!$W$1,Data!$A$1:$AN$1,),)=0,"#N/A",(((VLOOKUP(B90,Data!$A:$AN,MATCH(yoy!$W$1,Data!$A$1:$AN$1,),)-VLOOKUP(A90,Data!$A:$AN,MATCH(yoy!$W$1,Data!$A$1:$AN$1,),))/VLOOKUP(A90,Data!$A:$AN,MATCH(yoy!$W$1,Data!$A$1:$AN$1,),))+1)^12-1)</f>
        <v/>
      </c>
      <c r="X90" s="14">
        <f>IF(VLOOKUP(B90,Data!$A:$AN,MATCH(yoy!$X$1,Data!$A$1:$AN$1,),)=0,"#N/A",(((VLOOKUP(B90,Data!$A:$AN,MATCH(yoy!$X$1,Data!$A$1:$AN$1,),)-VLOOKUP(A90,Data!$A:$AN,MATCH(yoy!$X$1,Data!$A$1:$AN$1,),))/VLOOKUP(A90,Data!$A:$AN,MATCH(yoy!$X$1,Data!$A$1:$AN$1,),))+1)^12-1)</f>
        <v/>
      </c>
      <c r="Y90" s="14">
        <f>IF(VLOOKUP(B90,Data!$A:$AN,MATCH(yoy!$Y$1,Data!$A$1:$AN$1,),)=0,"#N/A",(((VLOOKUP(B90,Data!$A:$AN,MATCH(yoy!$Y$1,Data!$A$1:$AN$1,),)-VLOOKUP(A90,Data!$A:$AN,MATCH(yoy!$Y$1,Data!$A$1:$AN$1,),))/VLOOKUP(A90,Data!$A:$AN,MATCH(yoy!$Y$1,Data!$A$1:$AN$1,),))+1)^12-1)</f>
        <v/>
      </c>
      <c r="Z90" s="14">
        <f>IF(VLOOKUP(B90,Data!$A:$AN,MATCH(yoy!$Z$1,Data!$A$1:$AN$1,),)=0,"#N/A",(((VLOOKUP(B90,Data!$A:$AN,MATCH(yoy!$Z$1,Data!$A$1:$AN$1,),)-VLOOKUP(A90,Data!$A:$AN,MATCH(yoy!$Z$1,Data!$A$1:$AN$1,),))/VLOOKUP(A90,Data!$A:$AN,MATCH(yoy!$Z$1,Data!$A$1:$AN$1,),))+1)^12-1)</f>
        <v/>
      </c>
      <c r="AA90" s="14">
        <f>IF(VLOOKUP(B90,Data!$A:$AN,MATCH(yoy!$AA$1,Data!$A$1:$AN$1,),)=0,"#N/A",(((VLOOKUP(B90,Data!$A:$AN,MATCH(yoy!$AA$1,Data!$A$1:$AN$1,),)-VLOOKUP(A90,Data!$A:$AN,MATCH(yoy!$AA$1,Data!$A$1:$AN$1,),))/VLOOKUP(A90,Data!$A:$AN,MATCH(yoy!$AA$1,Data!$A$1:$AN$1,),))+1)^12-1)</f>
        <v/>
      </c>
    </row>
    <row r="91" customFormat="1" s="77">
      <c r="A91" s="20">
        <f>DATE(YEAR(B91),MONTH(B91)-1,DAY(B91))</f>
        <v/>
      </c>
      <c r="B91" s="12" t="n">
        <v>44621</v>
      </c>
      <c r="C91" s="14">
        <f>IF(VLOOKUP(B91,Data!$A:$AN,MATCH(yoy!$C$1,Data!$A$1:$AN$1,),)=0,"#N/A",(((VLOOKUP(B91,Data!$A:$AN,MATCH(yoy!$C$1,Data!$A$1:$AN$1,),)-VLOOKUP(A91,Data!$A:$AN,MATCH(yoy!$C$1,Data!$A$1:$AN$1,),))/VLOOKUP(A91,Data!$A:$AN,MATCH(yoy!$C$1,Data!$A$1:$AN$1,),))+1)^12-1)</f>
        <v/>
      </c>
      <c r="D91" s="14">
        <f>IF(VLOOKUP(B91,Data!$A:$AN,MATCH(yoy!$D$1,Data!$A$1:$AN$1,),)=0,"#N/A",(((VLOOKUP(B91,Data!$A:$AN,MATCH(yoy!$D$1,Data!$A$1:$AN$1,),)-VLOOKUP(A91,Data!$A:$AN,MATCH(yoy!$D$1,Data!$A$1:$AN$1,),))/VLOOKUP(A91,Data!$A:$AN,MATCH(yoy!$D$1,Data!$A$1:$AN$1,),))+1)^12-1)</f>
        <v/>
      </c>
      <c r="E91" s="14">
        <f>IF(VLOOKUP(B91,Data!$A:$AN,MATCH(yoy!$E$1,Data!$A$1:$AN$1,),)=0,"#N/A",(((VLOOKUP(B91,Data!$A:$AN,MATCH(yoy!$E$1,Data!$A$1:$AN$1,),)-VLOOKUP(A91,Data!$A:$AN,MATCH(yoy!$E$1,Data!$A$1:$AN$1,),))/VLOOKUP(A91,Data!$A:$AN,MATCH(yoy!$E$1,Data!$A$1:$AN$1,),))+1)^12-1)</f>
        <v/>
      </c>
      <c r="F91" s="14">
        <f>IF(VLOOKUP(B91,Data!$A:$AN,MATCH(yoy!$F$1,Data!$A$1:$AN$1,),)=0,"#N/A",(((VLOOKUP(B91,Data!$A:$AN,MATCH(yoy!$F$1,Data!$A$1:$AN$1,),)-VLOOKUP(A91,Data!$A:$AN,MATCH(yoy!$F$1,Data!$A$1:$AN$1,),))/VLOOKUP(A91,Data!$A:$AN,MATCH(yoy!$F$1,Data!$A$1:$AN$1,),))+1)^12-1)</f>
        <v/>
      </c>
      <c r="G91" s="14">
        <f>IF(VLOOKUP(B91,Data!$A:$AN,MATCH(yoy!$G$1,Data!$A$1:$AN$1,),)=0,"#N/A",(((VLOOKUP(B91,Data!$A:$AN,MATCH(yoy!$G$1,Data!$A$1:$AN$1,),)-VLOOKUP(A91,Data!$A:$AN,MATCH(yoy!$G$1,Data!$A$1:$AN$1,),))/VLOOKUP(A91,Data!$A:$AN,MATCH(yoy!$G$1,Data!$A$1:$AN$1,),))+1)^12-1)</f>
        <v/>
      </c>
      <c r="H91" s="14">
        <f>IF(VLOOKUP(B91,Data!$A:$AN,MATCH(yoy!$H$1,Data!$A$1:$AN$1,),)=0,"#N/A",(((VLOOKUP(B91,Data!$A:$AN,MATCH(yoy!$H$1,Data!$A$1:$AN$1,),)-VLOOKUP(A91,Data!$A:$AN,MATCH(yoy!$H$1,Data!$A$1:$AN$1,),))/VLOOKUP(A91,Data!$A:$AN,MATCH(yoy!$H$1,Data!$A$1:$AN$1,),))+1)^12-1)</f>
        <v/>
      </c>
      <c r="I91" s="14">
        <f>IF(VLOOKUP(B91,Data!$A:$AN,MATCH(yoy!$I$1,Data!$A$1:$AN$1,),)=0,"#N/A",(((VLOOKUP(B91,Data!$A:$AN,MATCH(yoy!$I$1,Data!$A$1:$AN$1,),)-VLOOKUP(A91,Data!$A:$AN,MATCH(yoy!$I$1,Data!$A$1:$AN$1,),))/VLOOKUP(A91,Data!$A:$AN,MATCH(yoy!$I$1,Data!$A$1:$AN$1,),))+1)^12-1)</f>
        <v/>
      </c>
      <c r="J91" s="14">
        <f>IF(VLOOKUP(B91,Data!$A:$AN,MATCH(yoy!$J$1,Data!$A$1:$AN$1,),)=0,"#N/A",(((VLOOKUP(B91,Data!$A:$AN,MATCH(yoy!$J$1,Data!$A$1:$AN$1,),)-VLOOKUP(A91,Data!$A:$AN,MATCH(yoy!$J$1,Data!$A$1:$AN$1,),))/VLOOKUP(A91,Data!$A:$AN,MATCH(yoy!$J$1,Data!$A$1:$AN$1,),))+1)^12-1)</f>
        <v/>
      </c>
      <c r="K91" s="14">
        <f>IF(VLOOKUP(B91,Data!$A:$AN,MATCH(yoy!$K$1,Data!$A$1:$AN$1,),)=0,"#N/A",(((VLOOKUP(B91,Data!$A:$AN,MATCH(yoy!$K$1,Data!$A$1:$AN$1,),)-VLOOKUP(A91,Data!$A:$AN,MATCH(yoy!$K$1,Data!$A$1:$AN$1,),))/VLOOKUP(A91,Data!$A:$AN,MATCH(yoy!$K$1,Data!$A$1:$AN$1,),))+1)^12-1)</f>
        <v/>
      </c>
      <c r="L91" s="14">
        <f>IF(VLOOKUP(B91,Data!$A:$AN,MATCH(yoy!$L$1,Data!$A$1:$AN$1,),)=0,"#N/A",(((VLOOKUP(B91,Data!$A:$AN,MATCH(yoy!$L$1,Data!$A$1:$AN$1,),)-VLOOKUP(A91,Data!$A:$AN,MATCH(yoy!$L$1,Data!$A$1:$AN$1,),))/VLOOKUP(A91,Data!$A:$AN,MATCH(yoy!$L$1,Data!$A$1:$AN$1,),))+1)^12-1)</f>
        <v/>
      </c>
      <c r="M91" s="14">
        <f>IF(VLOOKUP(B91,Data!$A:$AN,MATCH(yoy!$M$1,Data!$A$1:$AN$1,),)=0,"#N/A",(((VLOOKUP(B91,Data!$A:$AN,MATCH(yoy!$M$1,Data!$A$1:$AN$1,),)-VLOOKUP(A91,Data!$A:$AN,MATCH(yoy!$M$1,Data!$A$1:$AN$1,),))/VLOOKUP(A91,Data!$A:$AN,MATCH(yoy!$M$1,Data!$A$1:$AN$1,),))+1)^12-1)</f>
        <v/>
      </c>
      <c r="N91" s="14">
        <f>IF(VLOOKUP(B91,Data!$A:$AN,MATCH(yoy!$N$1,Data!$A$1:$AN$1,),)=0,"#N/A",(((VLOOKUP(B91,Data!$A:$AN,MATCH(yoy!$N$1,Data!$A$1:$AN$1,),)-VLOOKUP(A91,Data!$A:$AN,MATCH(yoy!$N$1,Data!$A$1:$AN$1,),))/VLOOKUP(A91,Data!$A:$AN,MATCH(yoy!$N$1,Data!$A$1:$AN$1,),))+1)^12-1)</f>
        <v/>
      </c>
      <c r="O91" s="14">
        <f>IF(VLOOKUP(B91,Data!$A:$AN,MATCH(yoy!$O$1,Data!$A$1:$AN$1,),)=0,"#N/A",(((VLOOKUP(B91,Data!$A:$AN,MATCH(yoy!$O$1,Data!$A$1:$AN$1,),)-VLOOKUP(A91,Data!$A:$AN,MATCH(yoy!$O$1,Data!$A$1:$AN$1,),))/VLOOKUP(A91,Data!$A:$AN,MATCH(yoy!$O$1,Data!$A$1:$AN$1,),))+1)^12-1)</f>
        <v/>
      </c>
      <c r="P91" s="14">
        <f>IF(VLOOKUP(B91,Data!$A:$AN,MATCH(yoy!$P$1,Data!$A$1:$AN$1,),)=0,"#N/A",(((VLOOKUP(B91,Data!$A:$AN,MATCH(yoy!$P$1,Data!$A$1:$AN$1,),)-VLOOKUP(A91,Data!$A:$AN,MATCH(yoy!$P$1,Data!$A$1:$AN$1,),))/VLOOKUP(A91,Data!$A:$AN,MATCH(yoy!$P$1,Data!$A$1:$AN$1,),))+1)^12-1)</f>
        <v/>
      </c>
      <c r="Q91" s="14">
        <f>IF(VLOOKUP(B91,Data!$A:$AN,MATCH(yoy!$Q$1,Data!$A$1:$AN$1,),)=0,"#N/A",(((VLOOKUP(B91,Data!$A:$AN,MATCH(yoy!$Q$1,Data!$A$1:$AN$1,),)-VLOOKUP(A91,Data!$A:$AN,MATCH(yoy!$Q$1,Data!$A$1:$AN$1,),))/VLOOKUP(A91,Data!$A:$AN,MATCH(yoy!$Q$1,Data!$A$1:$AN$1,),))+1)^12-1)</f>
        <v/>
      </c>
      <c r="R91" s="14">
        <f>IF(VLOOKUP(B91,Data!$A:$AN,MATCH(yoy!$R$1,Data!$A$1:$AN$1,),)=0,"#N/A",(((VLOOKUP(B91,Data!$A:$AN,MATCH(yoy!$R$1,Data!$A$1:$AN$1,),)-VLOOKUP(A91,Data!$A:$AN,MATCH(yoy!$R$1,Data!$A$1:$AN$1,),))/VLOOKUP(A91,Data!$A:$AN,MATCH(yoy!$R$1,Data!$A$1:$AN$1,),))+1)^12-1)</f>
        <v/>
      </c>
      <c r="S91" s="14">
        <f>IF(VLOOKUP(B91,Data!$A:$AN,MATCH(yoy!$S$1,Data!$A$1:$AN$1,),)=0,"#N/A",(((VLOOKUP(B91,Data!$A:$AN,MATCH(yoy!$S$1,Data!$A$1:$AN$1,),)-VLOOKUP(A91,Data!$A:$AN,MATCH(yoy!$S$1,Data!$A$1:$AN$1,),))/VLOOKUP(A91,Data!$A:$AN,MATCH(yoy!$S$1,Data!$A$1:$AN$1,),))+1)^12-1)</f>
        <v/>
      </c>
      <c r="T91" s="14">
        <f>IF(VLOOKUP(B91,Data!$A:$AN,MATCH(yoy!$T$1,Data!$A$1:$AN$1,),)=0,"#N/A",(((VLOOKUP(B91,Data!$A:$AN,MATCH(yoy!$T$1,Data!$A$1:$AN$1,),)-VLOOKUP(A91,Data!$A:$AN,MATCH(yoy!$T$1,Data!$A$1:$AN$1,),))/VLOOKUP(A91,Data!$A:$AN,MATCH(yoy!$T$1,Data!$A$1:$AN$1,),))+1)^12-1)</f>
        <v/>
      </c>
      <c r="U91" s="14">
        <f>IF(VLOOKUP(B91,Data!$A:$AN,MATCH(yoy!$U$1,Data!$A$1:$AN$1,),)=0,"#N/A",(((VLOOKUP(B91,Data!$A:$AN,MATCH(yoy!$U$1,Data!$A$1:$AN$1,),)-VLOOKUP(A91,Data!$A:$AN,MATCH(yoy!$U$1,Data!$A$1:$AN$1,),))/VLOOKUP(A91,Data!$A:$AN,MATCH(yoy!$U$1,Data!$A$1:$AN$1,),))+1)^12-1)</f>
        <v/>
      </c>
      <c r="V91" s="14">
        <f>IF(VLOOKUP(B91,Data!$A:$AN,MATCH(yoy!$V$1,Data!$A$1:$AN$1,),)=0,"#N/A",(((VLOOKUP(B91,Data!$A:$AN,MATCH(yoy!$V$1,Data!$A$1:$AN$1,),)-VLOOKUP(A91,Data!$A:$AN,MATCH(yoy!$V$1,Data!$A$1:$AN$1,),))/VLOOKUP(A91,Data!$A:$AN,MATCH(yoy!$V$1,Data!$A$1:$AN$1,),))+1)^12-1)</f>
        <v/>
      </c>
      <c r="W91" s="14">
        <f>IF(VLOOKUP(B91,Data!$A:$AN,MATCH(yoy!$W$1,Data!$A$1:$AN$1,),)=0,"#N/A",(((VLOOKUP(B91,Data!$A:$AN,MATCH(yoy!$W$1,Data!$A$1:$AN$1,),)-VLOOKUP(A91,Data!$A:$AN,MATCH(yoy!$W$1,Data!$A$1:$AN$1,),))/VLOOKUP(A91,Data!$A:$AN,MATCH(yoy!$W$1,Data!$A$1:$AN$1,),))+1)^12-1)</f>
        <v/>
      </c>
      <c r="X91" s="14">
        <f>IF(VLOOKUP(B91,Data!$A:$AN,MATCH(yoy!$X$1,Data!$A$1:$AN$1,),)=0,"#N/A",(((VLOOKUP(B91,Data!$A:$AN,MATCH(yoy!$X$1,Data!$A$1:$AN$1,),)-VLOOKUP(A91,Data!$A:$AN,MATCH(yoy!$X$1,Data!$A$1:$AN$1,),))/VLOOKUP(A91,Data!$A:$AN,MATCH(yoy!$X$1,Data!$A$1:$AN$1,),))+1)^12-1)</f>
        <v/>
      </c>
      <c r="Y91" s="14">
        <f>IF(VLOOKUP(B91,Data!$A:$AN,MATCH(yoy!$Y$1,Data!$A$1:$AN$1,),)=0,"#N/A",(((VLOOKUP(B91,Data!$A:$AN,MATCH(yoy!$Y$1,Data!$A$1:$AN$1,),)-VLOOKUP(A91,Data!$A:$AN,MATCH(yoy!$Y$1,Data!$A$1:$AN$1,),))/VLOOKUP(A91,Data!$A:$AN,MATCH(yoy!$Y$1,Data!$A$1:$AN$1,),))+1)^12-1)</f>
        <v/>
      </c>
      <c r="Z91" s="14">
        <f>IF(VLOOKUP(B91,Data!$A:$AN,MATCH(yoy!$Z$1,Data!$A$1:$AN$1,),)=0,"#N/A",(((VLOOKUP(B91,Data!$A:$AN,MATCH(yoy!$Z$1,Data!$A$1:$AN$1,),)-VLOOKUP(A91,Data!$A:$AN,MATCH(yoy!$Z$1,Data!$A$1:$AN$1,),))/VLOOKUP(A91,Data!$A:$AN,MATCH(yoy!$Z$1,Data!$A$1:$AN$1,),))+1)^12-1)</f>
        <v/>
      </c>
      <c r="AA91" s="14">
        <f>IF(VLOOKUP(B91,Data!$A:$AN,MATCH(yoy!$AA$1,Data!$A$1:$AN$1,),)=0,"#N/A",(((VLOOKUP(B91,Data!$A:$AN,MATCH(yoy!$AA$1,Data!$A$1:$AN$1,),)-VLOOKUP(A91,Data!$A:$AN,MATCH(yoy!$AA$1,Data!$A$1:$AN$1,),))/VLOOKUP(A91,Data!$A:$AN,MATCH(yoy!$AA$1,Data!$A$1:$AN$1,),))+1)^12-1)</f>
        <v/>
      </c>
    </row>
    <row r="92" customFormat="1" s="77">
      <c r="A92" s="20">
        <f>DATE(YEAR(B92),MONTH(B92)-1,DAY(B92))</f>
        <v/>
      </c>
      <c r="B92" s="12" t="n">
        <v>44652</v>
      </c>
      <c r="C92" s="14">
        <f>IF(VLOOKUP(B92,Data!$A:$AN,MATCH(yoy!$C$1,Data!$A$1:$AN$1,),)=0,"#N/A",(((VLOOKUP(B92,Data!$A:$AN,MATCH(yoy!$C$1,Data!$A$1:$AN$1,),)-VLOOKUP(A92,Data!$A:$AN,MATCH(yoy!$C$1,Data!$A$1:$AN$1,),))/VLOOKUP(A92,Data!$A:$AN,MATCH(yoy!$C$1,Data!$A$1:$AN$1,),))+1)^12-1)</f>
        <v/>
      </c>
      <c r="D92" s="14">
        <f>IF(VLOOKUP(B92,Data!$A:$AN,MATCH(yoy!$D$1,Data!$A$1:$AN$1,),)=0,"#N/A",(((VLOOKUP(B92,Data!$A:$AN,MATCH(yoy!$D$1,Data!$A$1:$AN$1,),)-VLOOKUP(A92,Data!$A:$AN,MATCH(yoy!$D$1,Data!$A$1:$AN$1,),))/VLOOKUP(A92,Data!$A:$AN,MATCH(yoy!$D$1,Data!$A$1:$AN$1,),))+1)^12-1)</f>
        <v/>
      </c>
      <c r="E92" s="14">
        <f>IF(VLOOKUP(B92,Data!$A:$AN,MATCH(yoy!$E$1,Data!$A$1:$AN$1,),)=0,"#N/A",(((VLOOKUP(B92,Data!$A:$AN,MATCH(yoy!$E$1,Data!$A$1:$AN$1,),)-VLOOKUP(A92,Data!$A:$AN,MATCH(yoy!$E$1,Data!$A$1:$AN$1,),))/VLOOKUP(A92,Data!$A:$AN,MATCH(yoy!$E$1,Data!$A$1:$AN$1,),))+1)^12-1)</f>
        <v/>
      </c>
      <c r="F92" s="14">
        <f>IF(VLOOKUP(B92,Data!$A:$AN,MATCH(yoy!$F$1,Data!$A$1:$AN$1,),)=0,"#N/A",(((VLOOKUP(B92,Data!$A:$AN,MATCH(yoy!$F$1,Data!$A$1:$AN$1,),)-VLOOKUP(A92,Data!$A:$AN,MATCH(yoy!$F$1,Data!$A$1:$AN$1,),))/VLOOKUP(A92,Data!$A:$AN,MATCH(yoy!$F$1,Data!$A$1:$AN$1,),))+1)^12-1)</f>
        <v/>
      </c>
      <c r="G92" s="14">
        <f>IF(VLOOKUP(B92,Data!$A:$AN,MATCH(yoy!$G$1,Data!$A$1:$AN$1,),)=0,"#N/A",(((VLOOKUP(B92,Data!$A:$AN,MATCH(yoy!$G$1,Data!$A$1:$AN$1,),)-VLOOKUP(A92,Data!$A:$AN,MATCH(yoy!$G$1,Data!$A$1:$AN$1,),))/VLOOKUP(A92,Data!$A:$AN,MATCH(yoy!$G$1,Data!$A$1:$AN$1,),))+1)^12-1)</f>
        <v/>
      </c>
      <c r="H92" s="14">
        <f>IF(VLOOKUP(B92,Data!$A:$AN,MATCH(yoy!$H$1,Data!$A$1:$AN$1,),)=0,"#N/A",(((VLOOKUP(B92,Data!$A:$AN,MATCH(yoy!$H$1,Data!$A$1:$AN$1,),)-VLOOKUP(A92,Data!$A:$AN,MATCH(yoy!$H$1,Data!$A$1:$AN$1,),))/VLOOKUP(A92,Data!$A:$AN,MATCH(yoy!$H$1,Data!$A$1:$AN$1,),))+1)^12-1)</f>
        <v/>
      </c>
      <c r="I92" s="14">
        <f>IF(VLOOKUP(B92,Data!$A:$AN,MATCH(yoy!$I$1,Data!$A$1:$AN$1,),)=0,"#N/A",(((VLOOKUP(B92,Data!$A:$AN,MATCH(yoy!$I$1,Data!$A$1:$AN$1,),)-VLOOKUP(A92,Data!$A:$AN,MATCH(yoy!$I$1,Data!$A$1:$AN$1,),))/VLOOKUP(A92,Data!$A:$AN,MATCH(yoy!$I$1,Data!$A$1:$AN$1,),))+1)^12-1)</f>
        <v/>
      </c>
      <c r="J92" s="14">
        <f>IF(VLOOKUP(B92,Data!$A:$AN,MATCH(yoy!$J$1,Data!$A$1:$AN$1,),)=0,"#N/A",(((VLOOKUP(B92,Data!$A:$AN,MATCH(yoy!$J$1,Data!$A$1:$AN$1,),)-VLOOKUP(A92,Data!$A:$AN,MATCH(yoy!$J$1,Data!$A$1:$AN$1,),))/VLOOKUP(A92,Data!$A:$AN,MATCH(yoy!$J$1,Data!$A$1:$AN$1,),))+1)^12-1)</f>
        <v/>
      </c>
      <c r="K92" s="14">
        <f>IF(VLOOKUP(B92,Data!$A:$AN,MATCH(yoy!$K$1,Data!$A$1:$AN$1,),)=0,"#N/A",(((VLOOKUP(B92,Data!$A:$AN,MATCH(yoy!$K$1,Data!$A$1:$AN$1,),)-VLOOKUP(A92,Data!$A:$AN,MATCH(yoy!$K$1,Data!$A$1:$AN$1,),))/VLOOKUP(A92,Data!$A:$AN,MATCH(yoy!$K$1,Data!$A$1:$AN$1,),))+1)^12-1)</f>
        <v/>
      </c>
      <c r="L92" s="14">
        <f>IF(VLOOKUP(B92,Data!$A:$AN,MATCH(yoy!$L$1,Data!$A$1:$AN$1,),)=0,"#N/A",(((VLOOKUP(B92,Data!$A:$AN,MATCH(yoy!$L$1,Data!$A$1:$AN$1,),)-VLOOKUP(A92,Data!$A:$AN,MATCH(yoy!$L$1,Data!$A$1:$AN$1,),))/VLOOKUP(A92,Data!$A:$AN,MATCH(yoy!$L$1,Data!$A$1:$AN$1,),))+1)^12-1)</f>
        <v/>
      </c>
      <c r="M92" s="14">
        <f>IF(VLOOKUP(B92,Data!$A:$AN,MATCH(yoy!$M$1,Data!$A$1:$AN$1,),)=0,"#N/A",(((VLOOKUP(B92,Data!$A:$AN,MATCH(yoy!$M$1,Data!$A$1:$AN$1,),)-VLOOKUP(A92,Data!$A:$AN,MATCH(yoy!$M$1,Data!$A$1:$AN$1,),))/VLOOKUP(A92,Data!$A:$AN,MATCH(yoy!$M$1,Data!$A$1:$AN$1,),))+1)^12-1)</f>
        <v/>
      </c>
      <c r="N92" s="14">
        <f>IF(VLOOKUP(B92,Data!$A:$AN,MATCH(yoy!$N$1,Data!$A$1:$AN$1,),)=0,"#N/A",(((VLOOKUP(B92,Data!$A:$AN,MATCH(yoy!$N$1,Data!$A$1:$AN$1,),)-VLOOKUP(A92,Data!$A:$AN,MATCH(yoy!$N$1,Data!$A$1:$AN$1,),))/VLOOKUP(A92,Data!$A:$AN,MATCH(yoy!$N$1,Data!$A$1:$AN$1,),))+1)^12-1)</f>
        <v/>
      </c>
      <c r="O92" s="14">
        <f>IF(VLOOKUP(B92,Data!$A:$AN,MATCH(yoy!$O$1,Data!$A$1:$AN$1,),)=0,"#N/A",(((VLOOKUP(B92,Data!$A:$AN,MATCH(yoy!$O$1,Data!$A$1:$AN$1,),)-VLOOKUP(A92,Data!$A:$AN,MATCH(yoy!$O$1,Data!$A$1:$AN$1,),))/VLOOKUP(A92,Data!$A:$AN,MATCH(yoy!$O$1,Data!$A$1:$AN$1,),))+1)^12-1)</f>
        <v/>
      </c>
      <c r="P92" s="14">
        <f>IF(VLOOKUP(B92,Data!$A:$AN,MATCH(yoy!$P$1,Data!$A$1:$AN$1,),)=0,"#N/A",(((VLOOKUP(B92,Data!$A:$AN,MATCH(yoy!$P$1,Data!$A$1:$AN$1,),)-VLOOKUP(A92,Data!$A:$AN,MATCH(yoy!$P$1,Data!$A$1:$AN$1,),))/VLOOKUP(A92,Data!$A:$AN,MATCH(yoy!$P$1,Data!$A$1:$AN$1,),))+1)^12-1)</f>
        <v/>
      </c>
      <c r="Q92" s="14">
        <f>IF(VLOOKUP(B92,Data!$A:$AN,MATCH(yoy!$Q$1,Data!$A$1:$AN$1,),)=0,"#N/A",(((VLOOKUP(B92,Data!$A:$AN,MATCH(yoy!$Q$1,Data!$A$1:$AN$1,),)-VLOOKUP(A92,Data!$A:$AN,MATCH(yoy!$Q$1,Data!$A$1:$AN$1,),))/VLOOKUP(A92,Data!$A:$AN,MATCH(yoy!$Q$1,Data!$A$1:$AN$1,),))+1)^12-1)</f>
        <v/>
      </c>
      <c r="R92" s="14">
        <f>IF(VLOOKUP(B92,Data!$A:$AN,MATCH(yoy!$R$1,Data!$A$1:$AN$1,),)=0,"#N/A",(((VLOOKUP(B92,Data!$A:$AN,MATCH(yoy!$R$1,Data!$A$1:$AN$1,),)-VLOOKUP(A92,Data!$A:$AN,MATCH(yoy!$R$1,Data!$A$1:$AN$1,),))/VLOOKUP(A92,Data!$A:$AN,MATCH(yoy!$R$1,Data!$A$1:$AN$1,),))+1)^12-1)</f>
        <v/>
      </c>
      <c r="S92" s="14">
        <f>IF(VLOOKUP(B92,Data!$A:$AN,MATCH(yoy!$S$1,Data!$A$1:$AN$1,),)=0,"#N/A",(((VLOOKUP(B92,Data!$A:$AN,MATCH(yoy!$S$1,Data!$A$1:$AN$1,),)-VLOOKUP(A92,Data!$A:$AN,MATCH(yoy!$S$1,Data!$A$1:$AN$1,),))/VLOOKUP(A92,Data!$A:$AN,MATCH(yoy!$S$1,Data!$A$1:$AN$1,),))+1)^12-1)</f>
        <v/>
      </c>
      <c r="T92" s="14">
        <f>IF(VLOOKUP(B92,Data!$A:$AN,MATCH(yoy!$T$1,Data!$A$1:$AN$1,),)=0,"#N/A",(((VLOOKUP(B92,Data!$A:$AN,MATCH(yoy!$T$1,Data!$A$1:$AN$1,),)-VLOOKUP(A92,Data!$A:$AN,MATCH(yoy!$T$1,Data!$A$1:$AN$1,),))/VLOOKUP(A92,Data!$A:$AN,MATCH(yoy!$T$1,Data!$A$1:$AN$1,),))+1)^12-1)</f>
        <v/>
      </c>
      <c r="U92" s="14">
        <f>IF(VLOOKUP(B92,Data!$A:$AN,MATCH(yoy!$U$1,Data!$A$1:$AN$1,),)=0,"#N/A",(((VLOOKUP(B92,Data!$A:$AN,MATCH(yoy!$U$1,Data!$A$1:$AN$1,),)-VLOOKUP(A92,Data!$A:$AN,MATCH(yoy!$U$1,Data!$A$1:$AN$1,),))/VLOOKUP(A92,Data!$A:$AN,MATCH(yoy!$U$1,Data!$A$1:$AN$1,),))+1)^12-1)</f>
        <v/>
      </c>
      <c r="V92" s="14">
        <f>IF(VLOOKUP(B92,Data!$A:$AN,MATCH(yoy!$V$1,Data!$A$1:$AN$1,),)=0,"#N/A",(((VLOOKUP(B92,Data!$A:$AN,MATCH(yoy!$V$1,Data!$A$1:$AN$1,),)-VLOOKUP(A92,Data!$A:$AN,MATCH(yoy!$V$1,Data!$A$1:$AN$1,),))/VLOOKUP(A92,Data!$A:$AN,MATCH(yoy!$V$1,Data!$A$1:$AN$1,),))+1)^12-1)</f>
        <v/>
      </c>
      <c r="W92" s="14">
        <f>IF(VLOOKUP(B92,Data!$A:$AN,MATCH(yoy!$W$1,Data!$A$1:$AN$1,),)=0,"#N/A",(((VLOOKUP(B92,Data!$A:$AN,MATCH(yoy!$W$1,Data!$A$1:$AN$1,),)-VLOOKUP(A92,Data!$A:$AN,MATCH(yoy!$W$1,Data!$A$1:$AN$1,),))/VLOOKUP(A92,Data!$A:$AN,MATCH(yoy!$W$1,Data!$A$1:$AN$1,),))+1)^12-1)</f>
        <v/>
      </c>
      <c r="X92" s="14">
        <f>IF(VLOOKUP(B92,Data!$A:$AN,MATCH(yoy!$X$1,Data!$A$1:$AN$1,),)=0,"#N/A",(((VLOOKUP(B92,Data!$A:$AN,MATCH(yoy!$X$1,Data!$A$1:$AN$1,),)-VLOOKUP(A92,Data!$A:$AN,MATCH(yoy!$X$1,Data!$A$1:$AN$1,),))/VLOOKUP(A92,Data!$A:$AN,MATCH(yoy!$X$1,Data!$A$1:$AN$1,),))+1)^12-1)</f>
        <v/>
      </c>
      <c r="Y92" s="14">
        <f>IF(VLOOKUP(B92,Data!$A:$AN,MATCH(yoy!$Y$1,Data!$A$1:$AN$1,),)=0,"#N/A",(((VLOOKUP(B92,Data!$A:$AN,MATCH(yoy!$Y$1,Data!$A$1:$AN$1,),)-VLOOKUP(A92,Data!$A:$AN,MATCH(yoy!$Y$1,Data!$A$1:$AN$1,),))/VLOOKUP(A92,Data!$A:$AN,MATCH(yoy!$Y$1,Data!$A$1:$AN$1,),))+1)^12-1)</f>
        <v/>
      </c>
      <c r="Z92" s="14">
        <f>IF(VLOOKUP(B92,Data!$A:$AN,MATCH(yoy!$Z$1,Data!$A$1:$AN$1,),)=0,"#N/A",(((VLOOKUP(B92,Data!$A:$AN,MATCH(yoy!$Z$1,Data!$A$1:$AN$1,),)-VLOOKUP(A92,Data!$A:$AN,MATCH(yoy!$Z$1,Data!$A$1:$AN$1,),))/VLOOKUP(A92,Data!$A:$AN,MATCH(yoy!$Z$1,Data!$A$1:$AN$1,),))+1)^12-1)</f>
        <v/>
      </c>
      <c r="AA92" s="14">
        <f>IF(VLOOKUP(B92,Data!$A:$AN,MATCH(yoy!$AA$1,Data!$A$1:$AN$1,),)=0,"#N/A",(((VLOOKUP(B92,Data!$A:$AN,MATCH(yoy!$AA$1,Data!$A$1:$AN$1,),)-VLOOKUP(A92,Data!$A:$AN,MATCH(yoy!$AA$1,Data!$A$1:$AN$1,),))/VLOOKUP(A92,Data!$A:$AN,MATCH(yoy!$AA$1,Data!$A$1:$AN$1,),))+1)^12-1)</f>
        <v/>
      </c>
    </row>
    <row r="93" customFormat="1" s="77">
      <c r="A93" s="20">
        <f>DATE(YEAR(B93),MONTH(B93)-1,DAY(B93))</f>
        <v/>
      </c>
      <c r="B93" s="12" t="n">
        <v>44682</v>
      </c>
      <c r="C93" s="14">
        <f>IF(VLOOKUP(B93,Data!$A:$AN,MATCH(yoy!$C$1,Data!$A$1:$AN$1,),)=0,"#N/A",(((VLOOKUP(B93,Data!$A:$AN,MATCH(yoy!$C$1,Data!$A$1:$AN$1,),)-VLOOKUP(A93,Data!$A:$AN,MATCH(yoy!$C$1,Data!$A$1:$AN$1,),))/VLOOKUP(A93,Data!$A:$AN,MATCH(yoy!$C$1,Data!$A$1:$AN$1,),))+1)^12-1)</f>
        <v/>
      </c>
      <c r="D93" s="14">
        <f>IF(VLOOKUP(B93,Data!$A:$AN,MATCH(yoy!$D$1,Data!$A$1:$AN$1,),)=0,"#N/A",(((VLOOKUP(B93,Data!$A:$AN,MATCH(yoy!$D$1,Data!$A$1:$AN$1,),)-VLOOKUP(A93,Data!$A:$AN,MATCH(yoy!$D$1,Data!$A$1:$AN$1,),))/VLOOKUP(A93,Data!$A:$AN,MATCH(yoy!$D$1,Data!$A$1:$AN$1,),))+1)^12-1)</f>
        <v/>
      </c>
      <c r="E93" s="14">
        <f>IF(VLOOKUP(B93,Data!$A:$AN,MATCH(yoy!$E$1,Data!$A$1:$AN$1,),)=0,"#N/A",(((VLOOKUP(B93,Data!$A:$AN,MATCH(yoy!$E$1,Data!$A$1:$AN$1,),)-VLOOKUP(A93,Data!$A:$AN,MATCH(yoy!$E$1,Data!$A$1:$AN$1,),))/VLOOKUP(A93,Data!$A:$AN,MATCH(yoy!$E$1,Data!$A$1:$AN$1,),))+1)^12-1)</f>
        <v/>
      </c>
      <c r="F93" s="14">
        <f>IF(VLOOKUP(B93,Data!$A:$AN,MATCH(yoy!$F$1,Data!$A$1:$AN$1,),)=0,"#N/A",(((VLOOKUP(B93,Data!$A:$AN,MATCH(yoy!$F$1,Data!$A$1:$AN$1,),)-VLOOKUP(A93,Data!$A:$AN,MATCH(yoy!$F$1,Data!$A$1:$AN$1,),))/VLOOKUP(A93,Data!$A:$AN,MATCH(yoy!$F$1,Data!$A$1:$AN$1,),))+1)^12-1)</f>
        <v/>
      </c>
      <c r="G93" s="14">
        <f>IF(VLOOKUP(B93,Data!$A:$AN,MATCH(yoy!$G$1,Data!$A$1:$AN$1,),)=0,"#N/A",(((VLOOKUP(B93,Data!$A:$AN,MATCH(yoy!$G$1,Data!$A$1:$AN$1,),)-VLOOKUP(A93,Data!$A:$AN,MATCH(yoy!$G$1,Data!$A$1:$AN$1,),))/VLOOKUP(A93,Data!$A:$AN,MATCH(yoy!$G$1,Data!$A$1:$AN$1,),))+1)^12-1)</f>
        <v/>
      </c>
      <c r="H93" s="14">
        <f>IF(VLOOKUP(B93,Data!$A:$AN,MATCH(yoy!$H$1,Data!$A$1:$AN$1,),)=0,"#N/A",(((VLOOKUP(B93,Data!$A:$AN,MATCH(yoy!$H$1,Data!$A$1:$AN$1,),)-VLOOKUP(A93,Data!$A:$AN,MATCH(yoy!$H$1,Data!$A$1:$AN$1,),))/VLOOKUP(A93,Data!$A:$AN,MATCH(yoy!$H$1,Data!$A$1:$AN$1,),))+1)^12-1)</f>
        <v/>
      </c>
      <c r="I93" s="14">
        <f>IF(VLOOKUP(B93,Data!$A:$AN,MATCH(yoy!$I$1,Data!$A$1:$AN$1,),)=0,"#N/A",(((VLOOKUP(B93,Data!$A:$AN,MATCH(yoy!$I$1,Data!$A$1:$AN$1,),)-VLOOKUP(A93,Data!$A:$AN,MATCH(yoy!$I$1,Data!$A$1:$AN$1,),))/VLOOKUP(A93,Data!$A:$AN,MATCH(yoy!$I$1,Data!$A$1:$AN$1,),))+1)^12-1)</f>
        <v/>
      </c>
      <c r="J93" s="14">
        <f>IF(VLOOKUP(B93,Data!$A:$AN,MATCH(yoy!$J$1,Data!$A$1:$AN$1,),)=0,"#N/A",(((VLOOKUP(B93,Data!$A:$AN,MATCH(yoy!$J$1,Data!$A$1:$AN$1,),)-VLOOKUP(A93,Data!$A:$AN,MATCH(yoy!$J$1,Data!$A$1:$AN$1,),))/VLOOKUP(A93,Data!$A:$AN,MATCH(yoy!$J$1,Data!$A$1:$AN$1,),))+1)^12-1)</f>
        <v/>
      </c>
      <c r="K93" s="14">
        <f>IF(VLOOKUP(B93,Data!$A:$AN,MATCH(yoy!$K$1,Data!$A$1:$AN$1,),)=0,"#N/A",(((VLOOKUP(B93,Data!$A:$AN,MATCH(yoy!$K$1,Data!$A$1:$AN$1,),)-VLOOKUP(A93,Data!$A:$AN,MATCH(yoy!$K$1,Data!$A$1:$AN$1,),))/VLOOKUP(A93,Data!$A:$AN,MATCH(yoy!$K$1,Data!$A$1:$AN$1,),))+1)^12-1)</f>
        <v/>
      </c>
      <c r="L93" s="14">
        <f>IF(VLOOKUP(B93,Data!$A:$AN,MATCH(yoy!$L$1,Data!$A$1:$AN$1,),)=0,"#N/A",(((VLOOKUP(B93,Data!$A:$AN,MATCH(yoy!$L$1,Data!$A$1:$AN$1,),)-VLOOKUP(A93,Data!$A:$AN,MATCH(yoy!$L$1,Data!$A$1:$AN$1,),))/VLOOKUP(A93,Data!$A:$AN,MATCH(yoy!$L$1,Data!$A$1:$AN$1,),))+1)^12-1)</f>
        <v/>
      </c>
      <c r="M93" s="14">
        <f>IF(VLOOKUP(B93,Data!$A:$AN,MATCH(yoy!$M$1,Data!$A$1:$AN$1,),)=0,"#N/A",(((VLOOKUP(B93,Data!$A:$AN,MATCH(yoy!$M$1,Data!$A$1:$AN$1,),)-VLOOKUP(A93,Data!$A:$AN,MATCH(yoy!$M$1,Data!$A$1:$AN$1,),))/VLOOKUP(A93,Data!$A:$AN,MATCH(yoy!$M$1,Data!$A$1:$AN$1,),))+1)^12-1)</f>
        <v/>
      </c>
      <c r="N93" s="14">
        <f>IF(VLOOKUP(B93,Data!$A:$AN,MATCH(yoy!$N$1,Data!$A$1:$AN$1,),)=0,"#N/A",(((VLOOKUP(B93,Data!$A:$AN,MATCH(yoy!$N$1,Data!$A$1:$AN$1,),)-VLOOKUP(A93,Data!$A:$AN,MATCH(yoy!$N$1,Data!$A$1:$AN$1,),))/VLOOKUP(A93,Data!$A:$AN,MATCH(yoy!$N$1,Data!$A$1:$AN$1,),))+1)^12-1)</f>
        <v/>
      </c>
      <c r="O93" s="14">
        <f>IF(VLOOKUP(B93,Data!$A:$AN,MATCH(yoy!$O$1,Data!$A$1:$AN$1,),)=0,"#N/A",(((VLOOKUP(B93,Data!$A:$AN,MATCH(yoy!$O$1,Data!$A$1:$AN$1,),)-VLOOKUP(A93,Data!$A:$AN,MATCH(yoy!$O$1,Data!$A$1:$AN$1,),))/VLOOKUP(A93,Data!$A:$AN,MATCH(yoy!$O$1,Data!$A$1:$AN$1,),))+1)^12-1)</f>
        <v/>
      </c>
      <c r="P93" s="14">
        <f>IF(VLOOKUP(B93,Data!$A:$AN,MATCH(yoy!$P$1,Data!$A$1:$AN$1,),)=0,"#N/A",(((VLOOKUP(B93,Data!$A:$AN,MATCH(yoy!$P$1,Data!$A$1:$AN$1,),)-VLOOKUP(A93,Data!$A:$AN,MATCH(yoy!$P$1,Data!$A$1:$AN$1,),))/VLOOKUP(A93,Data!$A:$AN,MATCH(yoy!$P$1,Data!$A$1:$AN$1,),))+1)^12-1)</f>
        <v/>
      </c>
      <c r="Q93" s="14">
        <f>IF(VLOOKUP(B93,Data!$A:$AN,MATCH(yoy!$Q$1,Data!$A$1:$AN$1,),)=0,"#N/A",(((VLOOKUP(B93,Data!$A:$AN,MATCH(yoy!$Q$1,Data!$A$1:$AN$1,),)-VLOOKUP(A93,Data!$A:$AN,MATCH(yoy!$Q$1,Data!$A$1:$AN$1,),))/VLOOKUP(A93,Data!$A:$AN,MATCH(yoy!$Q$1,Data!$A$1:$AN$1,),))+1)^12-1)</f>
        <v/>
      </c>
      <c r="R93" s="14">
        <f>IF(VLOOKUP(B93,Data!$A:$AN,MATCH(yoy!$R$1,Data!$A$1:$AN$1,),)=0,"#N/A",(((VLOOKUP(B93,Data!$A:$AN,MATCH(yoy!$R$1,Data!$A$1:$AN$1,),)-VLOOKUP(A93,Data!$A:$AN,MATCH(yoy!$R$1,Data!$A$1:$AN$1,),))/VLOOKUP(A93,Data!$A:$AN,MATCH(yoy!$R$1,Data!$A$1:$AN$1,),))+1)^12-1)</f>
        <v/>
      </c>
      <c r="S93" s="14">
        <f>IF(VLOOKUP(B93,Data!$A:$AN,MATCH(yoy!$S$1,Data!$A$1:$AN$1,),)=0,"#N/A",(((VLOOKUP(B93,Data!$A:$AN,MATCH(yoy!$S$1,Data!$A$1:$AN$1,),)-VLOOKUP(A93,Data!$A:$AN,MATCH(yoy!$S$1,Data!$A$1:$AN$1,),))/VLOOKUP(A93,Data!$A:$AN,MATCH(yoy!$S$1,Data!$A$1:$AN$1,),))+1)^12-1)</f>
        <v/>
      </c>
      <c r="T93" s="14">
        <f>IF(VLOOKUP(B93,Data!$A:$AN,MATCH(yoy!$T$1,Data!$A$1:$AN$1,),)=0,"#N/A",(((VLOOKUP(B93,Data!$A:$AN,MATCH(yoy!$T$1,Data!$A$1:$AN$1,),)-VLOOKUP(A93,Data!$A:$AN,MATCH(yoy!$T$1,Data!$A$1:$AN$1,),))/VLOOKUP(A93,Data!$A:$AN,MATCH(yoy!$T$1,Data!$A$1:$AN$1,),))+1)^12-1)</f>
        <v/>
      </c>
      <c r="U93" s="14">
        <f>IF(VLOOKUP(B93,Data!$A:$AN,MATCH(yoy!$U$1,Data!$A$1:$AN$1,),)=0,"#N/A",(((VLOOKUP(B93,Data!$A:$AN,MATCH(yoy!$U$1,Data!$A$1:$AN$1,),)-VLOOKUP(A93,Data!$A:$AN,MATCH(yoy!$U$1,Data!$A$1:$AN$1,),))/VLOOKUP(A93,Data!$A:$AN,MATCH(yoy!$U$1,Data!$A$1:$AN$1,),))+1)^12-1)</f>
        <v/>
      </c>
      <c r="V93" s="14">
        <f>IF(VLOOKUP(B93,Data!$A:$AN,MATCH(yoy!$V$1,Data!$A$1:$AN$1,),)=0,"#N/A",(((VLOOKUP(B93,Data!$A:$AN,MATCH(yoy!$V$1,Data!$A$1:$AN$1,),)-VLOOKUP(A93,Data!$A:$AN,MATCH(yoy!$V$1,Data!$A$1:$AN$1,),))/VLOOKUP(A93,Data!$A:$AN,MATCH(yoy!$V$1,Data!$A$1:$AN$1,),))+1)^12-1)</f>
        <v/>
      </c>
      <c r="W93" s="14">
        <f>IF(VLOOKUP(B93,Data!$A:$AN,MATCH(yoy!$W$1,Data!$A$1:$AN$1,),)=0,"#N/A",(((VLOOKUP(B93,Data!$A:$AN,MATCH(yoy!$W$1,Data!$A$1:$AN$1,),)-VLOOKUP(A93,Data!$A:$AN,MATCH(yoy!$W$1,Data!$A$1:$AN$1,),))/VLOOKUP(A93,Data!$A:$AN,MATCH(yoy!$W$1,Data!$A$1:$AN$1,),))+1)^12-1)</f>
        <v/>
      </c>
      <c r="X93" s="14">
        <f>IF(VLOOKUP(B93,Data!$A:$AN,MATCH(yoy!$X$1,Data!$A$1:$AN$1,),)=0,"#N/A",(((VLOOKUP(B93,Data!$A:$AN,MATCH(yoy!$X$1,Data!$A$1:$AN$1,),)-VLOOKUP(A93,Data!$A:$AN,MATCH(yoy!$X$1,Data!$A$1:$AN$1,),))/VLOOKUP(A93,Data!$A:$AN,MATCH(yoy!$X$1,Data!$A$1:$AN$1,),))+1)^12-1)</f>
        <v/>
      </c>
      <c r="Y93" s="14">
        <f>IF(VLOOKUP(B93,Data!$A:$AN,MATCH(yoy!$Y$1,Data!$A$1:$AN$1,),)=0,"#N/A",(((VLOOKUP(B93,Data!$A:$AN,MATCH(yoy!$Y$1,Data!$A$1:$AN$1,),)-VLOOKUP(A93,Data!$A:$AN,MATCH(yoy!$Y$1,Data!$A$1:$AN$1,),))/VLOOKUP(A93,Data!$A:$AN,MATCH(yoy!$Y$1,Data!$A$1:$AN$1,),))+1)^12-1)</f>
        <v/>
      </c>
      <c r="Z93" s="14">
        <f>IF(VLOOKUP(B93,Data!$A:$AN,MATCH(yoy!$Z$1,Data!$A$1:$AN$1,),)=0,"#N/A",(((VLOOKUP(B93,Data!$A:$AN,MATCH(yoy!$Z$1,Data!$A$1:$AN$1,),)-VLOOKUP(A93,Data!$A:$AN,MATCH(yoy!$Z$1,Data!$A$1:$AN$1,),))/VLOOKUP(A93,Data!$A:$AN,MATCH(yoy!$Z$1,Data!$A$1:$AN$1,),))+1)^12-1)</f>
        <v/>
      </c>
      <c r="AA93" s="14">
        <f>IF(VLOOKUP(B93,Data!$A:$AN,MATCH(yoy!$AA$1,Data!$A$1:$AN$1,),)=0,"#N/A",(((VLOOKUP(B93,Data!$A:$AN,MATCH(yoy!$AA$1,Data!$A$1:$AN$1,),)-VLOOKUP(A93,Data!$A:$AN,MATCH(yoy!$AA$1,Data!$A$1:$AN$1,),))/VLOOKUP(A93,Data!$A:$AN,MATCH(yoy!$AA$1,Data!$A$1:$AN$1,),))+1)^12-1)</f>
        <v/>
      </c>
    </row>
    <row r="94" customFormat="1" s="77">
      <c r="A94" s="20">
        <f>DATE(YEAR(B94),MONTH(B94)-1,DAY(B94))</f>
        <v/>
      </c>
      <c r="B94" s="12" t="n">
        <v>44713</v>
      </c>
      <c r="C94" s="14">
        <f>IF(VLOOKUP(B94,Data!$A:$AN,MATCH(yoy!$C$1,Data!$A$1:$AN$1,),)=0,"#N/A",(((VLOOKUP(B94,Data!$A:$AN,MATCH(yoy!$C$1,Data!$A$1:$AN$1,),)-VLOOKUP(A94,Data!$A:$AN,MATCH(yoy!$C$1,Data!$A$1:$AN$1,),))/VLOOKUP(A94,Data!$A:$AN,MATCH(yoy!$C$1,Data!$A$1:$AN$1,),))+1)^12-1)</f>
        <v/>
      </c>
      <c r="D94" s="14">
        <f>IF(VLOOKUP(B94,Data!$A:$AN,MATCH(yoy!$D$1,Data!$A$1:$AN$1,),)=0,"#N/A",(((VLOOKUP(B94,Data!$A:$AN,MATCH(yoy!$D$1,Data!$A$1:$AN$1,),)-VLOOKUP(A94,Data!$A:$AN,MATCH(yoy!$D$1,Data!$A$1:$AN$1,),))/VLOOKUP(A94,Data!$A:$AN,MATCH(yoy!$D$1,Data!$A$1:$AN$1,),))+1)^12-1)</f>
        <v/>
      </c>
      <c r="E94" s="14">
        <f>IF(VLOOKUP(B94,Data!$A:$AN,MATCH(yoy!$E$1,Data!$A$1:$AN$1,),)=0,"#N/A",(((VLOOKUP(B94,Data!$A:$AN,MATCH(yoy!$E$1,Data!$A$1:$AN$1,),)-VLOOKUP(A94,Data!$A:$AN,MATCH(yoy!$E$1,Data!$A$1:$AN$1,),))/VLOOKUP(A94,Data!$A:$AN,MATCH(yoy!$E$1,Data!$A$1:$AN$1,),))+1)^12-1)</f>
        <v/>
      </c>
      <c r="F94" s="14">
        <f>IF(VLOOKUP(B94,Data!$A:$AN,MATCH(yoy!$F$1,Data!$A$1:$AN$1,),)=0,"#N/A",(((VLOOKUP(B94,Data!$A:$AN,MATCH(yoy!$F$1,Data!$A$1:$AN$1,),)-VLOOKUP(A94,Data!$A:$AN,MATCH(yoy!$F$1,Data!$A$1:$AN$1,),))/VLOOKUP(A94,Data!$A:$AN,MATCH(yoy!$F$1,Data!$A$1:$AN$1,),))+1)^12-1)</f>
        <v/>
      </c>
      <c r="G94" s="14">
        <f>IF(VLOOKUP(B94,Data!$A:$AN,MATCH(yoy!$G$1,Data!$A$1:$AN$1,),)=0,"#N/A",(((VLOOKUP(B94,Data!$A:$AN,MATCH(yoy!$G$1,Data!$A$1:$AN$1,),)-VLOOKUP(A94,Data!$A:$AN,MATCH(yoy!$G$1,Data!$A$1:$AN$1,),))/VLOOKUP(A94,Data!$A:$AN,MATCH(yoy!$G$1,Data!$A$1:$AN$1,),))+1)^12-1)</f>
        <v/>
      </c>
      <c r="H94" s="14">
        <f>IF(VLOOKUP(B94,Data!$A:$AN,MATCH(yoy!$H$1,Data!$A$1:$AN$1,),)=0,"#N/A",(((VLOOKUP(B94,Data!$A:$AN,MATCH(yoy!$H$1,Data!$A$1:$AN$1,),)-VLOOKUP(A94,Data!$A:$AN,MATCH(yoy!$H$1,Data!$A$1:$AN$1,),))/VLOOKUP(A94,Data!$A:$AN,MATCH(yoy!$H$1,Data!$A$1:$AN$1,),))+1)^12-1)</f>
        <v/>
      </c>
      <c r="I94" s="14">
        <f>IF(VLOOKUP(B94,Data!$A:$AN,MATCH(yoy!$I$1,Data!$A$1:$AN$1,),)=0,"#N/A",(((VLOOKUP(B94,Data!$A:$AN,MATCH(yoy!$I$1,Data!$A$1:$AN$1,),)-VLOOKUP(A94,Data!$A:$AN,MATCH(yoy!$I$1,Data!$A$1:$AN$1,),))/VLOOKUP(A94,Data!$A:$AN,MATCH(yoy!$I$1,Data!$A$1:$AN$1,),))+1)^12-1)</f>
        <v/>
      </c>
      <c r="J94" s="14">
        <f>IF(VLOOKUP(B94,Data!$A:$AN,MATCH(yoy!$J$1,Data!$A$1:$AN$1,),)=0,"#N/A",(((VLOOKUP(B94,Data!$A:$AN,MATCH(yoy!$J$1,Data!$A$1:$AN$1,),)-VLOOKUP(A94,Data!$A:$AN,MATCH(yoy!$J$1,Data!$A$1:$AN$1,),))/VLOOKUP(A94,Data!$A:$AN,MATCH(yoy!$J$1,Data!$A$1:$AN$1,),))+1)^12-1)</f>
        <v/>
      </c>
      <c r="K94" s="14">
        <f>IF(VLOOKUP(B94,Data!$A:$AN,MATCH(yoy!$K$1,Data!$A$1:$AN$1,),)=0,"#N/A",(((VLOOKUP(B94,Data!$A:$AN,MATCH(yoy!$K$1,Data!$A$1:$AN$1,),)-VLOOKUP(A94,Data!$A:$AN,MATCH(yoy!$K$1,Data!$A$1:$AN$1,),))/VLOOKUP(A94,Data!$A:$AN,MATCH(yoy!$K$1,Data!$A$1:$AN$1,),))+1)^12-1)</f>
        <v/>
      </c>
      <c r="L94" s="14">
        <f>IF(VLOOKUP(B94,Data!$A:$AN,MATCH(yoy!$L$1,Data!$A$1:$AN$1,),)=0,"#N/A",(((VLOOKUP(B94,Data!$A:$AN,MATCH(yoy!$L$1,Data!$A$1:$AN$1,),)-VLOOKUP(A94,Data!$A:$AN,MATCH(yoy!$L$1,Data!$A$1:$AN$1,),))/VLOOKUP(A94,Data!$A:$AN,MATCH(yoy!$L$1,Data!$A$1:$AN$1,),))+1)^12-1)</f>
        <v/>
      </c>
      <c r="M94" s="14">
        <f>IF(VLOOKUP(B94,Data!$A:$AN,MATCH(yoy!$M$1,Data!$A$1:$AN$1,),)=0,"#N/A",(((VLOOKUP(B94,Data!$A:$AN,MATCH(yoy!$M$1,Data!$A$1:$AN$1,),)-VLOOKUP(A94,Data!$A:$AN,MATCH(yoy!$M$1,Data!$A$1:$AN$1,),))/VLOOKUP(A94,Data!$A:$AN,MATCH(yoy!$M$1,Data!$A$1:$AN$1,),))+1)^12-1)</f>
        <v/>
      </c>
      <c r="N94" s="14">
        <f>IF(VLOOKUP(B94,Data!$A:$AN,MATCH(yoy!$N$1,Data!$A$1:$AN$1,),)=0,"#N/A",(((VLOOKUP(B94,Data!$A:$AN,MATCH(yoy!$N$1,Data!$A$1:$AN$1,),)-VLOOKUP(A94,Data!$A:$AN,MATCH(yoy!$N$1,Data!$A$1:$AN$1,),))/VLOOKUP(A94,Data!$A:$AN,MATCH(yoy!$N$1,Data!$A$1:$AN$1,),))+1)^12-1)</f>
        <v/>
      </c>
      <c r="O94" s="14">
        <f>IF(VLOOKUP(B94,Data!$A:$AN,MATCH(yoy!$O$1,Data!$A$1:$AN$1,),)=0,"#N/A",(((VLOOKUP(B94,Data!$A:$AN,MATCH(yoy!$O$1,Data!$A$1:$AN$1,),)-VLOOKUP(A94,Data!$A:$AN,MATCH(yoy!$O$1,Data!$A$1:$AN$1,),))/VLOOKUP(A94,Data!$A:$AN,MATCH(yoy!$O$1,Data!$A$1:$AN$1,),))+1)^12-1)</f>
        <v/>
      </c>
      <c r="P94" s="14">
        <f>IF(VLOOKUP(B94,Data!$A:$AN,MATCH(yoy!$P$1,Data!$A$1:$AN$1,),)=0,"#N/A",(((VLOOKUP(B94,Data!$A:$AN,MATCH(yoy!$P$1,Data!$A$1:$AN$1,),)-VLOOKUP(A94,Data!$A:$AN,MATCH(yoy!$P$1,Data!$A$1:$AN$1,),))/VLOOKUP(A94,Data!$A:$AN,MATCH(yoy!$P$1,Data!$A$1:$AN$1,),))+1)^12-1)</f>
        <v/>
      </c>
      <c r="Q94" s="14">
        <f>IF(VLOOKUP(B94,Data!$A:$AN,MATCH(yoy!$Q$1,Data!$A$1:$AN$1,),)=0,"#N/A",(((VLOOKUP(B94,Data!$A:$AN,MATCH(yoy!$Q$1,Data!$A$1:$AN$1,),)-VLOOKUP(A94,Data!$A:$AN,MATCH(yoy!$Q$1,Data!$A$1:$AN$1,),))/VLOOKUP(A94,Data!$A:$AN,MATCH(yoy!$Q$1,Data!$A$1:$AN$1,),))+1)^12-1)</f>
        <v/>
      </c>
      <c r="R94" s="14">
        <f>IF(VLOOKUP(B94,Data!$A:$AN,MATCH(yoy!$R$1,Data!$A$1:$AN$1,),)=0,"#N/A",(((VLOOKUP(B94,Data!$A:$AN,MATCH(yoy!$R$1,Data!$A$1:$AN$1,),)-VLOOKUP(A94,Data!$A:$AN,MATCH(yoy!$R$1,Data!$A$1:$AN$1,),))/VLOOKUP(A94,Data!$A:$AN,MATCH(yoy!$R$1,Data!$A$1:$AN$1,),))+1)^12-1)</f>
        <v/>
      </c>
      <c r="S94" s="14">
        <f>IF(VLOOKUP(B94,Data!$A:$AN,MATCH(yoy!$S$1,Data!$A$1:$AN$1,),)=0,"#N/A",(((VLOOKUP(B94,Data!$A:$AN,MATCH(yoy!$S$1,Data!$A$1:$AN$1,),)-VLOOKUP(A94,Data!$A:$AN,MATCH(yoy!$S$1,Data!$A$1:$AN$1,),))/VLOOKUP(A94,Data!$A:$AN,MATCH(yoy!$S$1,Data!$A$1:$AN$1,),))+1)^12-1)</f>
        <v/>
      </c>
      <c r="T94" s="14">
        <f>IF(VLOOKUP(B94,Data!$A:$AN,MATCH(yoy!$T$1,Data!$A$1:$AN$1,),)=0,"#N/A",(((VLOOKUP(B94,Data!$A:$AN,MATCH(yoy!$T$1,Data!$A$1:$AN$1,),)-VLOOKUP(A94,Data!$A:$AN,MATCH(yoy!$T$1,Data!$A$1:$AN$1,),))/VLOOKUP(A94,Data!$A:$AN,MATCH(yoy!$T$1,Data!$A$1:$AN$1,),))+1)^12-1)</f>
        <v/>
      </c>
      <c r="U94" s="14">
        <f>IF(VLOOKUP(B94,Data!$A:$AN,MATCH(yoy!$U$1,Data!$A$1:$AN$1,),)=0,"#N/A",(((VLOOKUP(B94,Data!$A:$AN,MATCH(yoy!$U$1,Data!$A$1:$AN$1,),)-VLOOKUP(A94,Data!$A:$AN,MATCH(yoy!$U$1,Data!$A$1:$AN$1,),))/VLOOKUP(A94,Data!$A:$AN,MATCH(yoy!$U$1,Data!$A$1:$AN$1,),))+1)^12-1)</f>
        <v/>
      </c>
      <c r="V94" s="14">
        <f>IF(VLOOKUP(B94,Data!$A:$AN,MATCH(yoy!$V$1,Data!$A$1:$AN$1,),)=0,"#N/A",(((VLOOKUP(B94,Data!$A:$AN,MATCH(yoy!$V$1,Data!$A$1:$AN$1,),)-VLOOKUP(A94,Data!$A:$AN,MATCH(yoy!$V$1,Data!$A$1:$AN$1,),))/VLOOKUP(A94,Data!$A:$AN,MATCH(yoy!$V$1,Data!$A$1:$AN$1,),))+1)^12-1)</f>
        <v/>
      </c>
      <c r="W94" s="14">
        <f>IF(VLOOKUP(B94,Data!$A:$AN,MATCH(yoy!$W$1,Data!$A$1:$AN$1,),)=0,"#N/A",(((VLOOKUP(B94,Data!$A:$AN,MATCH(yoy!$W$1,Data!$A$1:$AN$1,),)-VLOOKUP(A94,Data!$A:$AN,MATCH(yoy!$W$1,Data!$A$1:$AN$1,),))/VLOOKUP(A94,Data!$A:$AN,MATCH(yoy!$W$1,Data!$A$1:$AN$1,),))+1)^12-1)</f>
        <v/>
      </c>
      <c r="X94" s="14">
        <f>IF(VLOOKUP(B94,Data!$A:$AN,MATCH(yoy!$X$1,Data!$A$1:$AN$1,),)=0,"#N/A",(((VLOOKUP(B94,Data!$A:$AN,MATCH(yoy!$X$1,Data!$A$1:$AN$1,),)-VLOOKUP(A94,Data!$A:$AN,MATCH(yoy!$X$1,Data!$A$1:$AN$1,),))/VLOOKUP(A94,Data!$A:$AN,MATCH(yoy!$X$1,Data!$A$1:$AN$1,),))+1)^12-1)</f>
        <v/>
      </c>
      <c r="Y94" s="14">
        <f>IF(VLOOKUP(B94,Data!$A:$AN,MATCH(yoy!$Y$1,Data!$A$1:$AN$1,),)=0,"#N/A",(((VLOOKUP(B94,Data!$A:$AN,MATCH(yoy!$Y$1,Data!$A$1:$AN$1,),)-VLOOKUP(A94,Data!$A:$AN,MATCH(yoy!$Y$1,Data!$A$1:$AN$1,),))/VLOOKUP(A94,Data!$A:$AN,MATCH(yoy!$Y$1,Data!$A$1:$AN$1,),))+1)^12-1)</f>
        <v/>
      </c>
      <c r="Z94" s="14">
        <f>IF(VLOOKUP(B94,Data!$A:$AN,MATCH(yoy!$Z$1,Data!$A$1:$AN$1,),)=0,"#N/A",(((VLOOKUP(B94,Data!$A:$AN,MATCH(yoy!$Z$1,Data!$A$1:$AN$1,),)-VLOOKUP(A94,Data!$A:$AN,MATCH(yoy!$Z$1,Data!$A$1:$AN$1,),))/VLOOKUP(A94,Data!$A:$AN,MATCH(yoy!$Z$1,Data!$A$1:$AN$1,),))+1)^12-1)</f>
        <v/>
      </c>
      <c r="AA94" s="14">
        <f>IF(VLOOKUP(B94,Data!$A:$AN,MATCH(yoy!$AA$1,Data!$A$1:$AN$1,),)=0,"#N/A",(((VLOOKUP(B94,Data!$A:$AN,MATCH(yoy!$AA$1,Data!$A$1:$AN$1,),)-VLOOKUP(A94,Data!$A:$AN,MATCH(yoy!$AA$1,Data!$A$1:$AN$1,),))/VLOOKUP(A94,Data!$A:$AN,MATCH(yoy!$AA$1,Data!$A$1:$AN$1,),))+1)^12-1)</f>
        <v/>
      </c>
    </row>
    <row r="95" customFormat="1" s="77">
      <c r="A95" s="20">
        <f>DATE(YEAR(B95),MONTH(B95)-1,DAY(B95))</f>
        <v/>
      </c>
      <c r="B95" s="12" t="n">
        <v>44743</v>
      </c>
      <c r="C95" s="14">
        <f>IF(VLOOKUP(B95,Data!$A:$AN,MATCH(yoy!$C$1,Data!$A$1:$AN$1,),)=0,"#N/A",(((VLOOKUP(B95,Data!$A:$AN,MATCH(yoy!$C$1,Data!$A$1:$AN$1,),)-VLOOKUP(A95,Data!$A:$AN,MATCH(yoy!$C$1,Data!$A$1:$AN$1,),))/VLOOKUP(A95,Data!$A:$AN,MATCH(yoy!$C$1,Data!$A$1:$AN$1,),))+1)^12-1)</f>
        <v/>
      </c>
      <c r="D95" s="14">
        <f>IF(VLOOKUP(B95,Data!$A:$AN,MATCH(yoy!$D$1,Data!$A$1:$AN$1,),)=0,"#N/A",(((VLOOKUP(B95,Data!$A:$AN,MATCH(yoy!$D$1,Data!$A$1:$AN$1,),)-VLOOKUP(A95,Data!$A:$AN,MATCH(yoy!$D$1,Data!$A$1:$AN$1,),))/VLOOKUP(A95,Data!$A:$AN,MATCH(yoy!$D$1,Data!$A$1:$AN$1,),))+1)^12-1)</f>
        <v/>
      </c>
      <c r="E95" s="14">
        <f>IF(VLOOKUP(B95,Data!$A:$AN,MATCH(yoy!$E$1,Data!$A$1:$AN$1,),)=0,"#N/A",(((VLOOKUP(B95,Data!$A:$AN,MATCH(yoy!$E$1,Data!$A$1:$AN$1,),)-VLOOKUP(A95,Data!$A:$AN,MATCH(yoy!$E$1,Data!$A$1:$AN$1,),))/VLOOKUP(A95,Data!$A:$AN,MATCH(yoy!$E$1,Data!$A$1:$AN$1,),))+1)^12-1)</f>
        <v/>
      </c>
      <c r="F95" s="14">
        <f>IF(VLOOKUP(B95,Data!$A:$AN,MATCH(yoy!$F$1,Data!$A$1:$AN$1,),)=0,"#N/A",(((VLOOKUP(B95,Data!$A:$AN,MATCH(yoy!$F$1,Data!$A$1:$AN$1,),)-VLOOKUP(A95,Data!$A:$AN,MATCH(yoy!$F$1,Data!$A$1:$AN$1,),))/VLOOKUP(A95,Data!$A:$AN,MATCH(yoy!$F$1,Data!$A$1:$AN$1,),))+1)^12-1)</f>
        <v/>
      </c>
      <c r="G95" s="14">
        <f>IF(VLOOKUP(B95,Data!$A:$AN,MATCH(yoy!$G$1,Data!$A$1:$AN$1,),)=0,"#N/A",(((VLOOKUP(B95,Data!$A:$AN,MATCH(yoy!$G$1,Data!$A$1:$AN$1,),)-VLOOKUP(A95,Data!$A:$AN,MATCH(yoy!$G$1,Data!$A$1:$AN$1,),))/VLOOKUP(A95,Data!$A:$AN,MATCH(yoy!$G$1,Data!$A$1:$AN$1,),))+1)^12-1)</f>
        <v/>
      </c>
      <c r="H95" s="14">
        <f>IF(VLOOKUP(B95,Data!$A:$AN,MATCH(yoy!$H$1,Data!$A$1:$AN$1,),)=0,"#N/A",(((VLOOKUP(B95,Data!$A:$AN,MATCH(yoy!$H$1,Data!$A$1:$AN$1,),)-VLOOKUP(A95,Data!$A:$AN,MATCH(yoy!$H$1,Data!$A$1:$AN$1,),))/VLOOKUP(A95,Data!$A:$AN,MATCH(yoy!$H$1,Data!$A$1:$AN$1,),))+1)^12-1)</f>
        <v/>
      </c>
      <c r="I95" s="14">
        <f>IF(VLOOKUP(B95,Data!$A:$AN,MATCH(yoy!$I$1,Data!$A$1:$AN$1,),)=0,"#N/A",(((VLOOKUP(B95,Data!$A:$AN,MATCH(yoy!$I$1,Data!$A$1:$AN$1,),)-VLOOKUP(A95,Data!$A:$AN,MATCH(yoy!$I$1,Data!$A$1:$AN$1,),))/VLOOKUP(A95,Data!$A:$AN,MATCH(yoy!$I$1,Data!$A$1:$AN$1,),))+1)^12-1)</f>
        <v/>
      </c>
      <c r="J95" s="14">
        <f>IF(VLOOKUP(B95,Data!$A:$AN,MATCH(yoy!$J$1,Data!$A$1:$AN$1,),)=0,"#N/A",(((VLOOKUP(B95,Data!$A:$AN,MATCH(yoy!$J$1,Data!$A$1:$AN$1,),)-VLOOKUP(A95,Data!$A:$AN,MATCH(yoy!$J$1,Data!$A$1:$AN$1,),))/VLOOKUP(A95,Data!$A:$AN,MATCH(yoy!$J$1,Data!$A$1:$AN$1,),))+1)^12-1)</f>
        <v/>
      </c>
      <c r="K95" s="14">
        <f>IF(VLOOKUP(B95,Data!$A:$AN,MATCH(yoy!$K$1,Data!$A$1:$AN$1,),)=0,"#N/A",(((VLOOKUP(B95,Data!$A:$AN,MATCH(yoy!$K$1,Data!$A$1:$AN$1,),)-VLOOKUP(A95,Data!$A:$AN,MATCH(yoy!$K$1,Data!$A$1:$AN$1,),))/VLOOKUP(A95,Data!$A:$AN,MATCH(yoy!$K$1,Data!$A$1:$AN$1,),))+1)^12-1)</f>
        <v/>
      </c>
      <c r="L95" s="14">
        <f>IF(VLOOKUP(B95,Data!$A:$AN,MATCH(yoy!$L$1,Data!$A$1:$AN$1,),)=0,"#N/A",(((VLOOKUP(B95,Data!$A:$AN,MATCH(yoy!$L$1,Data!$A$1:$AN$1,),)-VLOOKUP(A95,Data!$A:$AN,MATCH(yoy!$L$1,Data!$A$1:$AN$1,),))/VLOOKUP(A95,Data!$A:$AN,MATCH(yoy!$L$1,Data!$A$1:$AN$1,),))+1)^12-1)</f>
        <v/>
      </c>
      <c r="M95" s="14">
        <f>IF(VLOOKUP(B95,Data!$A:$AN,MATCH(yoy!$M$1,Data!$A$1:$AN$1,),)=0,"#N/A",(((VLOOKUP(B95,Data!$A:$AN,MATCH(yoy!$M$1,Data!$A$1:$AN$1,),)-VLOOKUP(A95,Data!$A:$AN,MATCH(yoy!$M$1,Data!$A$1:$AN$1,),))/VLOOKUP(A95,Data!$A:$AN,MATCH(yoy!$M$1,Data!$A$1:$AN$1,),))+1)^12-1)</f>
        <v/>
      </c>
      <c r="N95" s="14">
        <f>IF(VLOOKUP(B95,Data!$A:$AN,MATCH(yoy!$N$1,Data!$A$1:$AN$1,),)=0,"#N/A",(((VLOOKUP(B95,Data!$A:$AN,MATCH(yoy!$N$1,Data!$A$1:$AN$1,),)-VLOOKUP(A95,Data!$A:$AN,MATCH(yoy!$N$1,Data!$A$1:$AN$1,),))/VLOOKUP(A95,Data!$A:$AN,MATCH(yoy!$N$1,Data!$A$1:$AN$1,),))+1)^12-1)</f>
        <v/>
      </c>
      <c r="O95" s="14">
        <f>IF(VLOOKUP(B95,Data!$A:$AN,MATCH(yoy!$O$1,Data!$A$1:$AN$1,),)=0,"#N/A",(((VLOOKUP(B95,Data!$A:$AN,MATCH(yoy!$O$1,Data!$A$1:$AN$1,),)-VLOOKUP(A95,Data!$A:$AN,MATCH(yoy!$O$1,Data!$A$1:$AN$1,),))/VLOOKUP(A95,Data!$A:$AN,MATCH(yoy!$O$1,Data!$A$1:$AN$1,),))+1)^12-1)</f>
        <v/>
      </c>
      <c r="P95" s="14">
        <f>IF(VLOOKUP(B95,Data!$A:$AN,MATCH(yoy!$P$1,Data!$A$1:$AN$1,),)=0,"#N/A",(((VLOOKUP(B95,Data!$A:$AN,MATCH(yoy!$P$1,Data!$A$1:$AN$1,),)-VLOOKUP(A95,Data!$A:$AN,MATCH(yoy!$P$1,Data!$A$1:$AN$1,),))/VLOOKUP(A95,Data!$A:$AN,MATCH(yoy!$P$1,Data!$A$1:$AN$1,),))+1)^12-1)</f>
        <v/>
      </c>
      <c r="Q95" s="14">
        <f>IF(VLOOKUP(B95,Data!$A:$AN,MATCH(yoy!$Q$1,Data!$A$1:$AN$1,),)=0,"#N/A",(((VLOOKUP(B95,Data!$A:$AN,MATCH(yoy!$Q$1,Data!$A$1:$AN$1,),)-VLOOKUP(A95,Data!$A:$AN,MATCH(yoy!$Q$1,Data!$A$1:$AN$1,),))/VLOOKUP(A95,Data!$A:$AN,MATCH(yoy!$Q$1,Data!$A$1:$AN$1,),))+1)^12-1)</f>
        <v/>
      </c>
      <c r="R95" s="14">
        <f>IF(VLOOKUP(B95,Data!$A:$AN,MATCH(yoy!$R$1,Data!$A$1:$AN$1,),)=0,"#N/A",(((VLOOKUP(B95,Data!$A:$AN,MATCH(yoy!$R$1,Data!$A$1:$AN$1,),)-VLOOKUP(A95,Data!$A:$AN,MATCH(yoy!$R$1,Data!$A$1:$AN$1,),))/VLOOKUP(A95,Data!$A:$AN,MATCH(yoy!$R$1,Data!$A$1:$AN$1,),))+1)^12-1)</f>
        <v/>
      </c>
      <c r="S95" s="14">
        <f>IF(VLOOKUP(B95,Data!$A:$AN,MATCH(yoy!$S$1,Data!$A$1:$AN$1,),)=0,"#N/A",(((VLOOKUP(B95,Data!$A:$AN,MATCH(yoy!$S$1,Data!$A$1:$AN$1,),)-VLOOKUP(A95,Data!$A:$AN,MATCH(yoy!$S$1,Data!$A$1:$AN$1,),))/VLOOKUP(A95,Data!$A:$AN,MATCH(yoy!$S$1,Data!$A$1:$AN$1,),))+1)^12-1)</f>
        <v/>
      </c>
      <c r="T95" s="14">
        <f>IF(VLOOKUP(B95,Data!$A:$AN,MATCH(yoy!$T$1,Data!$A$1:$AN$1,),)=0,"#N/A",(((VLOOKUP(B95,Data!$A:$AN,MATCH(yoy!$T$1,Data!$A$1:$AN$1,),)-VLOOKUP(A95,Data!$A:$AN,MATCH(yoy!$T$1,Data!$A$1:$AN$1,),))/VLOOKUP(A95,Data!$A:$AN,MATCH(yoy!$T$1,Data!$A$1:$AN$1,),))+1)^12-1)</f>
        <v/>
      </c>
      <c r="U95" s="14">
        <f>IF(VLOOKUP(B95,Data!$A:$AN,MATCH(yoy!$U$1,Data!$A$1:$AN$1,),)=0,"#N/A",(((VLOOKUP(B95,Data!$A:$AN,MATCH(yoy!$U$1,Data!$A$1:$AN$1,),)-VLOOKUP(A95,Data!$A:$AN,MATCH(yoy!$U$1,Data!$A$1:$AN$1,),))/VLOOKUP(A95,Data!$A:$AN,MATCH(yoy!$U$1,Data!$A$1:$AN$1,),))+1)^12-1)</f>
        <v/>
      </c>
      <c r="V95" s="14">
        <f>IF(VLOOKUP(B95,Data!$A:$AN,MATCH(yoy!$V$1,Data!$A$1:$AN$1,),)=0,"#N/A",(((VLOOKUP(B95,Data!$A:$AN,MATCH(yoy!$V$1,Data!$A$1:$AN$1,),)-VLOOKUP(A95,Data!$A:$AN,MATCH(yoy!$V$1,Data!$A$1:$AN$1,),))/VLOOKUP(A95,Data!$A:$AN,MATCH(yoy!$V$1,Data!$A$1:$AN$1,),))+1)^12-1)</f>
        <v/>
      </c>
      <c r="W95" s="14">
        <f>IF(VLOOKUP(B95,Data!$A:$AN,MATCH(yoy!$W$1,Data!$A$1:$AN$1,),)=0,"#N/A",(((VLOOKUP(B95,Data!$A:$AN,MATCH(yoy!$W$1,Data!$A$1:$AN$1,),)-VLOOKUP(A95,Data!$A:$AN,MATCH(yoy!$W$1,Data!$A$1:$AN$1,),))/VLOOKUP(A95,Data!$A:$AN,MATCH(yoy!$W$1,Data!$A$1:$AN$1,),))+1)^12-1)</f>
        <v/>
      </c>
      <c r="X95" s="14">
        <f>IF(VLOOKUP(B95,Data!$A:$AN,MATCH(yoy!$X$1,Data!$A$1:$AN$1,),)=0,"#N/A",(((VLOOKUP(B95,Data!$A:$AN,MATCH(yoy!$X$1,Data!$A$1:$AN$1,),)-VLOOKUP(A95,Data!$A:$AN,MATCH(yoy!$X$1,Data!$A$1:$AN$1,),))/VLOOKUP(A95,Data!$A:$AN,MATCH(yoy!$X$1,Data!$A$1:$AN$1,),))+1)^12-1)</f>
        <v/>
      </c>
      <c r="Y95" s="14">
        <f>IF(VLOOKUP(B95,Data!$A:$AN,MATCH(yoy!$Y$1,Data!$A$1:$AN$1,),)=0,"#N/A",(((VLOOKUP(B95,Data!$A:$AN,MATCH(yoy!$Y$1,Data!$A$1:$AN$1,),)-VLOOKUP(A95,Data!$A:$AN,MATCH(yoy!$Y$1,Data!$A$1:$AN$1,),))/VLOOKUP(A95,Data!$A:$AN,MATCH(yoy!$Y$1,Data!$A$1:$AN$1,),))+1)^12-1)</f>
        <v/>
      </c>
      <c r="Z95" s="14">
        <f>IF(VLOOKUP(B95,Data!$A:$AN,MATCH(yoy!$Z$1,Data!$A$1:$AN$1,),)=0,"#N/A",(((VLOOKUP(B95,Data!$A:$AN,MATCH(yoy!$Z$1,Data!$A$1:$AN$1,),)-VLOOKUP(A95,Data!$A:$AN,MATCH(yoy!$Z$1,Data!$A$1:$AN$1,),))/VLOOKUP(A95,Data!$A:$AN,MATCH(yoy!$Z$1,Data!$A$1:$AN$1,),))+1)^12-1)</f>
        <v/>
      </c>
      <c r="AA95" s="14">
        <f>IF(VLOOKUP(B95,Data!$A:$AN,MATCH(yoy!$AA$1,Data!$A$1:$AN$1,),)=0,"#N/A",(((VLOOKUP(B95,Data!$A:$AN,MATCH(yoy!$AA$1,Data!$A$1:$AN$1,),)-VLOOKUP(A95,Data!$A:$AN,MATCH(yoy!$AA$1,Data!$A$1:$AN$1,),))/VLOOKUP(A95,Data!$A:$AN,MATCH(yoy!$AA$1,Data!$A$1:$AN$1,),))+1)^12-1)</f>
        <v/>
      </c>
    </row>
    <row r="96" customFormat="1" s="77">
      <c r="A96" s="20">
        <f>DATE(YEAR(B96),MONTH(B96)-1,DAY(B96))</f>
        <v/>
      </c>
      <c r="B96" s="12" t="n">
        <v>44774</v>
      </c>
      <c r="C96" s="14">
        <f>IF(VLOOKUP(B96,Data!$A:$AN,MATCH(yoy!$C$1,Data!$A$1:$AN$1,),)=0,"#N/A",(((VLOOKUP(B96,Data!$A:$AN,MATCH(yoy!$C$1,Data!$A$1:$AN$1,),)-VLOOKUP(A96,Data!$A:$AN,MATCH(yoy!$C$1,Data!$A$1:$AN$1,),))/VLOOKUP(A96,Data!$A:$AN,MATCH(yoy!$C$1,Data!$A$1:$AN$1,),))+1)^12-1)</f>
        <v/>
      </c>
      <c r="D96" s="14">
        <f>IF(VLOOKUP(B96,Data!$A:$AN,MATCH(yoy!$D$1,Data!$A$1:$AN$1,),)=0,"#N/A",(((VLOOKUP(B96,Data!$A:$AN,MATCH(yoy!$D$1,Data!$A$1:$AN$1,),)-VLOOKUP(A96,Data!$A:$AN,MATCH(yoy!$D$1,Data!$A$1:$AN$1,),))/VLOOKUP(A96,Data!$A:$AN,MATCH(yoy!$D$1,Data!$A$1:$AN$1,),))+1)^12-1)</f>
        <v/>
      </c>
      <c r="E96" s="14">
        <f>IF(VLOOKUP(B96,Data!$A:$AN,MATCH(yoy!$E$1,Data!$A$1:$AN$1,),)=0,"#N/A",(((VLOOKUP(B96,Data!$A:$AN,MATCH(yoy!$E$1,Data!$A$1:$AN$1,),)-VLOOKUP(A96,Data!$A:$AN,MATCH(yoy!$E$1,Data!$A$1:$AN$1,),))/VLOOKUP(A96,Data!$A:$AN,MATCH(yoy!$E$1,Data!$A$1:$AN$1,),))+1)^12-1)</f>
        <v/>
      </c>
      <c r="F96" s="14">
        <f>IF(VLOOKUP(B96,Data!$A:$AN,MATCH(yoy!$F$1,Data!$A$1:$AN$1,),)=0,"#N/A",(((VLOOKUP(B96,Data!$A:$AN,MATCH(yoy!$F$1,Data!$A$1:$AN$1,),)-VLOOKUP(A96,Data!$A:$AN,MATCH(yoy!$F$1,Data!$A$1:$AN$1,),))/VLOOKUP(A96,Data!$A:$AN,MATCH(yoy!$F$1,Data!$A$1:$AN$1,),))+1)^12-1)</f>
        <v/>
      </c>
      <c r="G96" s="14">
        <f>IF(VLOOKUP(B96,Data!$A:$AN,MATCH(yoy!$G$1,Data!$A$1:$AN$1,),)=0,"#N/A",(((VLOOKUP(B96,Data!$A:$AN,MATCH(yoy!$G$1,Data!$A$1:$AN$1,),)-VLOOKUP(A96,Data!$A:$AN,MATCH(yoy!$G$1,Data!$A$1:$AN$1,),))/VLOOKUP(A96,Data!$A:$AN,MATCH(yoy!$G$1,Data!$A$1:$AN$1,),))+1)^12-1)</f>
        <v/>
      </c>
      <c r="H96" s="14">
        <f>IF(VLOOKUP(B96,Data!$A:$AN,MATCH(yoy!$H$1,Data!$A$1:$AN$1,),)=0,"#N/A",(((VLOOKUP(B96,Data!$A:$AN,MATCH(yoy!$H$1,Data!$A$1:$AN$1,),)-VLOOKUP(A96,Data!$A:$AN,MATCH(yoy!$H$1,Data!$A$1:$AN$1,),))/VLOOKUP(A96,Data!$A:$AN,MATCH(yoy!$H$1,Data!$A$1:$AN$1,),))+1)^12-1)</f>
        <v/>
      </c>
      <c r="I96" s="14">
        <f>IF(VLOOKUP(B96,Data!$A:$AN,MATCH(yoy!$I$1,Data!$A$1:$AN$1,),)=0,"#N/A",(((VLOOKUP(B96,Data!$A:$AN,MATCH(yoy!$I$1,Data!$A$1:$AN$1,),)-VLOOKUP(A96,Data!$A:$AN,MATCH(yoy!$I$1,Data!$A$1:$AN$1,),))/VLOOKUP(A96,Data!$A:$AN,MATCH(yoy!$I$1,Data!$A$1:$AN$1,),))+1)^12-1)</f>
        <v/>
      </c>
      <c r="J96" s="14">
        <f>IF(VLOOKUP(B96,Data!$A:$AN,MATCH(yoy!$J$1,Data!$A$1:$AN$1,),)=0,"#N/A",(((VLOOKUP(B96,Data!$A:$AN,MATCH(yoy!$J$1,Data!$A$1:$AN$1,),)-VLOOKUP(A96,Data!$A:$AN,MATCH(yoy!$J$1,Data!$A$1:$AN$1,),))/VLOOKUP(A96,Data!$A:$AN,MATCH(yoy!$J$1,Data!$A$1:$AN$1,),))+1)^12-1)</f>
        <v/>
      </c>
      <c r="K96" s="14">
        <f>IF(VLOOKUP(B96,Data!$A:$AN,MATCH(yoy!$K$1,Data!$A$1:$AN$1,),)=0,"#N/A",(((VLOOKUP(B96,Data!$A:$AN,MATCH(yoy!$K$1,Data!$A$1:$AN$1,),)-VLOOKUP(A96,Data!$A:$AN,MATCH(yoy!$K$1,Data!$A$1:$AN$1,),))/VLOOKUP(A96,Data!$A:$AN,MATCH(yoy!$K$1,Data!$A$1:$AN$1,),))+1)^12-1)</f>
        <v/>
      </c>
      <c r="L96" s="14">
        <f>IF(VLOOKUP(B96,Data!$A:$AN,MATCH(yoy!$L$1,Data!$A$1:$AN$1,),)=0,"#N/A",(((VLOOKUP(B96,Data!$A:$AN,MATCH(yoy!$L$1,Data!$A$1:$AN$1,),)-VLOOKUP(A96,Data!$A:$AN,MATCH(yoy!$L$1,Data!$A$1:$AN$1,),))/VLOOKUP(A96,Data!$A:$AN,MATCH(yoy!$L$1,Data!$A$1:$AN$1,),))+1)^12-1)</f>
        <v/>
      </c>
      <c r="M96" s="14">
        <f>IF(VLOOKUP(B96,Data!$A:$AN,MATCH(yoy!$M$1,Data!$A$1:$AN$1,),)=0,"#N/A",(((VLOOKUP(B96,Data!$A:$AN,MATCH(yoy!$M$1,Data!$A$1:$AN$1,),)-VLOOKUP(A96,Data!$A:$AN,MATCH(yoy!$M$1,Data!$A$1:$AN$1,),))/VLOOKUP(A96,Data!$A:$AN,MATCH(yoy!$M$1,Data!$A$1:$AN$1,),))+1)^12-1)</f>
        <v/>
      </c>
      <c r="N96" s="14">
        <f>IF(VLOOKUP(B96,Data!$A:$AN,MATCH(yoy!$N$1,Data!$A$1:$AN$1,),)=0,"#N/A",(((VLOOKUP(B96,Data!$A:$AN,MATCH(yoy!$N$1,Data!$A$1:$AN$1,),)-VLOOKUP(A96,Data!$A:$AN,MATCH(yoy!$N$1,Data!$A$1:$AN$1,),))/VLOOKUP(A96,Data!$A:$AN,MATCH(yoy!$N$1,Data!$A$1:$AN$1,),))+1)^12-1)</f>
        <v/>
      </c>
      <c r="O96" s="14">
        <f>IF(VLOOKUP(B96,Data!$A:$AN,MATCH(yoy!$O$1,Data!$A$1:$AN$1,),)=0,"#N/A",(((VLOOKUP(B96,Data!$A:$AN,MATCH(yoy!$O$1,Data!$A$1:$AN$1,),)-VLOOKUP(A96,Data!$A:$AN,MATCH(yoy!$O$1,Data!$A$1:$AN$1,),))/VLOOKUP(A96,Data!$A:$AN,MATCH(yoy!$O$1,Data!$A$1:$AN$1,),))+1)^12-1)</f>
        <v/>
      </c>
      <c r="P96" s="14">
        <f>IF(VLOOKUP(B96,Data!$A:$AN,MATCH(yoy!$P$1,Data!$A$1:$AN$1,),)=0,"#N/A",(((VLOOKUP(B96,Data!$A:$AN,MATCH(yoy!$P$1,Data!$A$1:$AN$1,),)-VLOOKUP(A96,Data!$A:$AN,MATCH(yoy!$P$1,Data!$A$1:$AN$1,),))/VLOOKUP(A96,Data!$A:$AN,MATCH(yoy!$P$1,Data!$A$1:$AN$1,),))+1)^12-1)</f>
        <v/>
      </c>
      <c r="Q96" s="14">
        <f>IF(VLOOKUP(B96,Data!$A:$AN,MATCH(yoy!$Q$1,Data!$A$1:$AN$1,),)=0,"#N/A",(((VLOOKUP(B96,Data!$A:$AN,MATCH(yoy!$Q$1,Data!$A$1:$AN$1,),)-VLOOKUP(A96,Data!$A:$AN,MATCH(yoy!$Q$1,Data!$A$1:$AN$1,),))/VLOOKUP(A96,Data!$A:$AN,MATCH(yoy!$Q$1,Data!$A$1:$AN$1,),))+1)^12-1)</f>
        <v/>
      </c>
      <c r="R96" s="14">
        <f>IF(VLOOKUP(B96,Data!$A:$AN,MATCH(yoy!$R$1,Data!$A$1:$AN$1,),)=0,"#N/A",(((VLOOKUP(B96,Data!$A:$AN,MATCH(yoy!$R$1,Data!$A$1:$AN$1,),)-VLOOKUP(A96,Data!$A:$AN,MATCH(yoy!$R$1,Data!$A$1:$AN$1,),))/VLOOKUP(A96,Data!$A:$AN,MATCH(yoy!$R$1,Data!$A$1:$AN$1,),))+1)^12-1)</f>
        <v/>
      </c>
      <c r="S96" s="14">
        <f>IF(VLOOKUP(B96,Data!$A:$AN,MATCH(yoy!$S$1,Data!$A$1:$AN$1,),)=0,"#N/A",(((VLOOKUP(B96,Data!$A:$AN,MATCH(yoy!$S$1,Data!$A$1:$AN$1,),)-VLOOKUP(A96,Data!$A:$AN,MATCH(yoy!$S$1,Data!$A$1:$AN$1,),))/VLOOKUP(A96,Data!$A:$AN,MATCH(yoy!$S$1,Data!$A$1:$AN$1,),))+1)^12-1)</f>
        <v/>
      </c>
      <c r="T96" s="14">
        <f>IF(VLOOKUP(B96,Data!$A:$AN,MATCH(yoy!$T$1,Data!$A$1:$AN$1,),)=0,"#N/A",(((VLOOKUP(B96,Data!$A:$AN,MATCH(yoy!$T$1,Data!$A$1:$AN$1,),)-VLOOKUP(A96,Data!$A:$AN,MATCH(yoy!$T$1,Data!$A$1:$AN$1,),))/VLOOKUP(A96,Data!$A:$AN,MATCH(yoy!$T$1,Data!$A$1:$AN$1,),))+1)^12-1)</f>
        <v/>
      </c>
      <c r="U96" s="14">
        <f>IF(VLOOKUP(B96,Data!$A:$AN,MATCH(yoy!$U$1,Data!$A$1:$AN$1,),)=0,"#N/A",(((VLOOKUP(B96,Data!$A:$AN,MATCH(yoy!$U$1,Data!$A$1:$AN$1,),)-VLOOKUP(A96,Data!$A:$AN,MATCH(yoy!$U$1,Data!$A$1:$AN$1,),))/VLOOKUP(A96,Data!$A:$AN,MATCH(yoy!$U$1,Data!$A$1:$AN$1,),))+1)^12-1)</f>
        <v/>
      </c>
      <c r="V96" s="14">
        <f>IF(VLOOKUP(B96,Data!$A:$AN,MATCH(yoy!$V$1,Data!$A$1:$AN$1,),)=0,"#N/A",(((VLOOKUP(B96,Data!$A:$AN,MATCH(yoy!$V$1,Data!$A$1:$AN$1,),)-VLOOKUP(A96,Data!$A:$AN,MATCH(yoy!$V$1,Data!$A$1:$AN$1,),))/VLOOKUP(A96,Data!$A:$AN,MATCH(yoy!$V$1,Data!$A$1:$AN$1,),))+1)^12-1)</f>
        <v/>
      </c>
      <c r="W96" s="14">
        <f>IF(VLOOKUP(B96,Data!$A:$AN,MATCH(yoy!$W$1,Data!$A$1:$AN$1,),)=0,"#N/A",(((VLOOKUP(B96,Data!$A:$AN,MATCH(yoy!$W$1,Data!$A$1:$AN$1,),)-VLOOKUP(A96,Data!$A:$AN,MATCH(yoy!$W$1,Data!$A$1:$AN$1,),))/VLOOKUP(A96,Data!$A:$AN,MATCH(yoy!$W$1,Data!$A$1:$AN$1,),))+1)^12-1)</f>
        <v/>
      </c>
      <c r="X96" s="14">
        <f>IF(VLOOKUP(B96,Data!$A:$AN,MATCH(yoy!$X$1,Data!$A$1:$AN$1,),)=0,"#N/A",(((VLOOKUP(B96,Data!$A:$AN,MATCH(yoy!$X$1,Data!$A$1:$AN$1,),)-VLOOKUP(A96,Data!$A:$AN,MATCH(yoy!$X$1,Data!$A$1:$AN$1,),))/VLOOKUP(A96,Data!$A:$AN,MATCH(yoy!$X$1,Data!$A$1:$AN$1,),))+1)^12-1)</f>
        <v/>
      </c>
      <c r="Y96" s="14">
        <f>IF(VLOOKUP(B96,Data!$A:$AN,MATCH(yoy!$Y$1,Data!$A$1:$AN$1,),)=0,"#N/A",(((VLOOKUP(B96,Data!$A:$AN,MATCH(yoy!$Y$1,Data!$A$1:$AN$1,),)-VLOOKUP(A96,Data!$A:$AN,MATCH(yoy!$Y$1,Data!$A$1:$AN$1,),))/VLOOKUP(A96,Data!$A:$AN,MATCH(yoy!$Y$1,Data!$A$1:$AN$1,),))+1)^12-1)</f>
        <v/>
      </c>
      <c r="Z96" s="14">
        <f>IF(VLOOKUP(B96,Data!$A:$AN,MATCH(yoy!$Z$1,Data!$A$1:$AN$1,),)=0,"#N/A",(((VLOOKUP(B96,Data!$A:$AN,MATCH(yoy!$Z$1,Data!$A$1:$AN$1,),)-VLOOKUP(A96,Data!$A:$AN,MATCH(yoy!$Z$1,Data!$A$1:$AN$1,),))/VLOOKUP(A96,Data!$A:$AN,MATCH(yoy!$Z$1,Data!$A$1:$AN$1,),))+1)^12-1)</f>
        <v/>
      </c>
      <c r="AA96" s="14">
        <f>IF(VLOOKUP(B96,Data!$A:$AN,MATCH(yoy!$AA$1,Data!$A$1:$AN$1,),)=0,"#N/A",(((VLOOKUP(B96,Data!$A:$AN,MATCH(yoy!$AA$1,Data!$A$1:$AN$1,),)-VLOOKUP(A96,Data!$A:$AN,MATCH(yoy!$AA$1,Data!$A$1:$AN$1,),))/VLOOKUP(A96,Data!$A:$AN,MATCH(yoy!$AA$1,Data!$A$1:$AN$1,),))+1)^12-1)</f>
        <v/>
      </c>
    </row>
    <row r="97" customFormat="1" s="77">
      <c r="A97" s="20">
        <f>DATE(YEAR(B97),MONTH(B97)-1,DAY(B97))</f>
        <v/>
      </c>
      <c r="B97" s="12" t="n">
        <v>44805</v>
      </c>
      <c r="C97" s="14">
        <f>IF(VLOOKUP(B97,Data!$A:$AN,MATCH(yoy!$C$1,Data!$A$1:$AN$1,),)=0,"#N/A",(((VLOOKUP(B97,Data!$A:$AN,MATCH(yoy!$C$1,Data!$A$1:$AN$1,),)-VLOOKUP(A97,Data!$A:$AN,MATCH(yoy!$C$1,Data!$A$1:$AN$1,),))/VLOOKUP(A97,Data!$A:$AN,MATCH(yoy!$C$1,Data!$A$1:$AN$1,),))+1)^12-1)</f>
        <v/>
      </c>
      <c r="D97" s="14">
        <f>IF(VLOOKUP(B97,Data!$A:$AN,MATCH(yoy!$D$1,Data!$A$1:$AN$1,),)=0,"#N/A",(((VLOOKUP(B97,Data!$A:$AN,MATCH(yoy!$D$1,Data!$A$1:$AN$1,),)-VLOOKUP(A97,Data!$A:$AN,MATCH(yoy!$D$1,Data!$A$1:$AN$1,),))/VLOOKUP(A97,Data!$A:$AN,MATCH(yoy!$D$1,Data!$A$1:$AN$1,),))+1)^12-1)</f>
        <v/>
      </c>
      <c r="E97" s="14">
        <f>IF(VLOOKUP(B97,Data!$A:$AN,MATCH(yoy!$E$1,Data!$A$1:$AN$1,),)=0,"#N/A",(((VLOOKUP(B97,Data!$A:$AN,MATCH(yoy!$E$1,Data!$A$1:$AN$1,),)-VLOOKUP(A97,Data!$A:$AN,MATCH(yoy!$E$1,Data!$A$1:$AN$1,),))/VLOOKUP(A97,Data!$A:$AN,MATCH(yoy!$E$1,Data!$A$1:$AN$1,),))+1)^12-1)</f>
        <v/>
      </c>
      <c r="F97" s="14">
        <f>IF(VLOOKUP(B97,Data!$A:$AN,MATCH(yoy!$F$1,Data!$A$1:$AN$1,),)=0,"#N/A",(((VLOOKUP(B97,Data!$A:$AN,MATCH(yoy!$F$1,Data!$A$1:$AN$1,),)-VLOOKUP(A97,Data!$A:$AN,MATCH(yoy!$F$1,Data!$A$1:$AN$1,),))/VLOOKUP(A97,Data!$A:$AN,MATCH(yoy!$F$1,Data!$A$1:$AN$1,),))+1)^12-1)</f>
        <v/>
      </c>
      <c r="G97" s="14">
        <f>IF(VLOOKUP(B97,Data!$A:$AN,MATCH(yoy!$G$1,Data!$A$1:$AN$1,),)=0,"#N/A",(((VLOOKUP(B97,Data!$A:$AN,MATCH(yoy!$G$1,Data!$A$1:$AN$1,),)-VLOOKUP(A97,Data!$A:$AN,MATCH(yoy!$G$1,Data!$A$1:$AN$1,),))/VLOOKUP(A97,Data!$A:$AN,MATCH(yoy!$G$1,Data!$A$1:$AN$1,),))+1)^12-1)</f>
        <v/>
      </c>
      <c r="H97" s="14">
        <f>IF(VLOOKUP(B97,Data!$A:$AN,MATCH(yoy!$H$1,Data!$A$1:$AN$1,),)=0,"#N/A",(((VLOOKUP(B97,Data!$A:$AN,MATCH(yoy!$H$1,Data!$A$1:$AN$1,),)-VLOOKUP(A97,Data!$A:$AN,MATCH(yoy!$H$1,Data!$A$1:$AN$1,),))/VLOOKUP(A97,Data!$A:$AN,MATCH(yoy!$H$1,Data!$A$1:$AN$1,),))+1)^12-1)</f>
        <v/>
      </c>
      <c r="I97" s="14">
        <f>IF(VLOOKUP(B97,Data!$A:$AN,MATCH(yoy!$I$1,Data!$A$1:$AN$1,),)=0,"#N/A",(((VLOOKUP(B97,Data!$A:$AN,MATCH(yoy!$I$1,Data!$A$1:$AN$1,),)-VLOOKUP(A97,Data!$A:$AN,MATCH(yoy!$I$1,Data!$A$1:$AN$1,),))/VLOOKUP(A97,Data!$A:$AN,MATCH(yoy!$I$1,Data!$A$1:$AN$1,),))+1)^12-1)</f>
        <v/>
      </c>
      <c r="J97" s="14">
        <f>IF(VLOOKUP(B97,Data!$A:$AN,MATCH(yoy!$J$1,Data!$A$1:$AN$1,),)=0,"#N/A",(((VLOOKUP(B97,Data!$A:$AN,MATCH(yoy!$J$1,Data!$A$1:$AN$1,),)-VLOOKUP(A97,Data!$A:$AN,MATCH(yoy!$J$1,Data!$A$1:$AN$1,),))/VLOOKUP(A97,Data!$A:$AN,MATCH(yoy!$J$1,Data!$A$1:$AN$1,),))+1)^12-1)</f>
        <v/>
      </c>
      <c r="K97" s="14">
        <f>IF(VLOOKUP(B97,Data!$A:$AN,MATCH(yoy!$K$1,Data!$A$1:$AN$1,),)=0,"#N/A",(((VLOOKUP(B97,Data!$A:$AN,MATCH(yoy!$K$1,Data!$A$1:$AN$1,),)-VLOOKUP(A97,Data!$A:$AN,MATCH(yoy!$K$1,Data!$A$1:$AN$1,),))/VLOOKUP(A97,Data!$A:$AN,MATCH(yoy!$K$1,Data!$A$1:$AN$1,),))+1)^12-1)</f>
        <v/>
      </c>
      <c r="L97" s="14">
        <f>IF(VLOOKUP(B97,Data!$A:$AN,MATCH(yoy!$L$1,Data!$A$1:$AN$1,),)=0,"#N/A",(((VLOOKUP(B97,Data!$A:$AN,MATCH(yoy!$L$1,Data!$A$1:$AN$1,),)-VLOOKUP(A97,Data!$A:$AN,MATCH(yoy!$L$1,Data!$A$1:$AN$1,),))/VLOOKUP(A97,Data!$A:$AN,MATCH(yoy!$L$1,Data!$A$1:$AN$1,),))+1)^12-1)</f>
        <v/>
      </c>
      <c r="M97" s="14">
        <f>IF(VLOOKUP(B97,Data!$A:$AN,MATCH(yoy!$M$1,Data!$A$1:$AN$1,),)=0,"#N/A",(((VLOOKUP(B97,Data!$A:$AN,MATCH(yoy!$M$1,Data!$A$1:$AN$1,),)-VLOOKUP(A97,Data!$A:$AN,MATCH(yoy!$M$1,Data!$A$1:$AN$1,),))/VLOOKUP(A97,Data!$A:$AN,MATCH(yoy!$M$1,Data!$A$1:$AN$1,),))+1)^12-1)</f>
        <v/>
      </c>
      <c r="N97" s="14">
        <f>IF(VLOOKUP(B97,Data!$A:$AN,MATCH(yoy!$N$1,Data!$A$1:$AN$1,),)=0,"#N/A",(((VLOOKUP(B97,Data!$A:$AN,MATCH(yoy!$N$1,Data!$A$1:$AN$1,),)-VLOOKUP(A97,Data!$A:$AN,MATCH(yoy!$N$1,Data!$A$1:$AN$1,),))/VLOOKUP(A97,Data!$A:$AN,MATCH(yoy!$N$1,Data!$A$1:$AN$1,),))+1)^12-1)</f>
        <v/>
      </c>
      <c r="O97" s="14">
        <f>IF(VLOOKUP(B97,Data!$A:$AN,MATCH(yoy!$O$1,Data!$A$1:$AN$1,),)=0,"#N/A",(((VLOOKUP(B97,Data!$A:$AN,MATCH(yoy!$O$1,Data!$A$1:$AN$1,),)-VLOOKUP(A97,Data!$A:$AN,MATCH(yoy!$O$1,Data!$A$1:$AN$1,),))/VLOOKUP(A97,Data!$A:$AN,MATCH(yoy!$O$1,Data!$A$1:$AN$1,),))+1)^12-1)</f>
        <v/>
      </c>
      <c r="P97" s="14">
        <f>IF(VLOOKUP(B97,Data!$A:$AN,MATCH(yoy!$P$1,Data!$A$1:$AN$1,),)=0,"#N/A",(((VLOOKUP(B97,Data!$A:$AN,MATCH(yoy!$P$1,Data!$A$1:$AN$1,),)-VLOOKUP(A97,Data!$A:$AN,MATCH(yoy!$P$1,Data!$A$1:$AN$1,),))/VLOOKUP(A97,Data!$A:$AN,MATCH(yoy!$P$1,Data!$A$1:$AN$1,),))+1)^12-1)</f>
        <v/>
      </c>
      <c r="Q97" s="14">
        <f>IF(VLOOKUP(B97,Data!$A:$AN,MATCH(yoy!$Q$1,Data!$A$1:$AN$1,),)=0,"#N/A",(((VLOOKUP(B97,Data!$A:$AN,MATCH(yoy!$Q$1,Data!$A$1:$AN$1,),)-VLOOKUP(A97,Data!$A:$AN,MATCH(yoy!$Q$1,Data!$A$1:$AN$1,),))/VLOOKUP(A97,Data!$A:$AN,MATCH(yoy!$Q$1,Data!$A$1:$AN$1,),))+1)^12-1)</f>
        <v/>
      </c>
      <c r="R97" s="14">
        <f>IF(VLOOKUP(B97,Data!$A:$AN,MATCH(yoy!$R$1,Data!$A$1:$AN$1,),)=0,"#N/A",(((VLOOKUP(B97,Data!$A:$AN,MATCH(yoy!$R$1,Data!$A$1:$AN$1,),)-VLOOKUP(A97,Data!$A:$AN,MATCH(yoy!$R$1,Data!$A$1:$AN$1,),))/VLOOKUP(A97,Data!$A:$AN,MATCH(yoy!$R$1,Data!$A$1:$AN$1,),))+1)^12-1)</f>
        <v/>
      </c>
      <c r="S97" s="14">
        <f>IF(VLOOKUP(B97,Data!$A:$AN,MATCH(yoy!$S$1,Data!$A$1:$AN$1,),)=0,"#N/A",(((VLOOKUP(B97,Data!$A:$AN,MATCH(yoy!$S$1,Data!$A$1:$AN$1,),)-VLOOKUP(A97,Data!$A:$AN,MATCH(yoy!$S$1,Data!$A$1:$AN$1,),))/VLOOKUP(A97,Data!$A:$AN,MATCH(yoy!$S$1,Data!$A$1:$AN$1,),))+1)^12-1)</f>
        <v/>
      </c>
      <c r="T97" s="14">
        <f>IF(VLOOKUP(B97,Data!$A:$AN,MATCH(yoy!$T$1,Data!$A$1:$AN$1,),)=0,"#N/A",(((VLOOKUP(B97,Data!$A:$AN,MATCH(yoy!$T$1,Data!$A$1:$AN$1,),)-VLOOKUP(A97,Data!$A:$AN,MATCH(yoy!$T$1,Data!$A$1:$AN$1,),))/VLOOKUP(A97,Data!$A:$AN,MATCH(yoy!$T$1,Data!$A$1:$AN$1,),))+1)^12-1)</f>
        <v/>
      </c>
      <c r="U97" s="14">
        <f>IF(VLOOKUP(B97,Data!$A:$AN,MATCH(yoy!$U$1,Data!$A$1:$AN$1,),)=0,"#N/A",(((VLOOKUP(B97,Data!$A:$AN,MATCH(yoy!$U$1,Data!$A$1:$AN$1,),)-VLOOKUP(A97,Data!$A:$AN,MATCH(yoy!$U$1,Data!$A$1:$AN$1,),))/VLOOKUP(A97,Data!$A:$AN,MATCH(yoy!$U$1,Data!$A$1:$AN$1,),))+1)^12-1)</f>
        <v/>
      </c>
      <c r="V97" s="14">
        <f>IF(VLOOKUP(B97,Data!$A:$AN,MATCH(yoy!$V$1,Data!$A$1:$AN$1,),)=0,"#N/A",(((VLOOKUP(B97,Data!$A:$AN,MATCH(yoy!$V$1,Data!$A$1:$AN$1,),)-VLOOKUP(A97,Data!$A:$AN,MATCH(yoy!$V$1,Data!$A$1:$AN$1,),))/VLOOKUP(A97,Data!$A:$AN,MATCH(yoy!$V$1,Data!$A$1:$AN$1,),))+1)^12-1)</f>
        <v/>
      </c>
      <c r="W97" s="14">
        <f>IF(VLOOKUP(B97,Data!$A:$AN,MATCH(yoy!$W$1,Data!$A$1:$AN$1,),)=0,"#N/A",(((VLOOKUP(B97,Data!$A:$AN,MATCH(yoy!$W$1,Data!$A$1:$AN$1,),)-VLOOKUP(A97,Data!$A:$AN,MATCH(yoy!$W$1,Data!$A$1:$AN$1,),))/VLOOKUP(A97,Data!$A:$AN,MATCH(yoy!$W$1,Data!$A$1:$AN$1,),))+1)^12-1)</f>
        <v/>
      </c>
      <c r="X97" s="14">
        <f>IF(VLOOKUP(B97,Data!$A:$AN,MATCH(yoy!$X$1,Data!$A$1:$AN$1,),)=0,"#N/A",(((VLOOKUP(B97,Data!$A:$AN,MATCH(yoy!$X$1,Data!$A$1:$AN$1,),)-VLOOKUP(A97,Data!$A:$AN,MATCH(yoy!$X$1,Data!$A$1:$AN$1,),))/VLOOKUP(A97,Data!$A:$AN,MATCH(yoy!$X$1,Data!$A$1:$AN$1,),))+1)^12-1)</f>
        <v/>
      </c>
      <c r="Y97" s="14">
        <f>IF(VLOOKUP(B97,Data!$A:$AN,MATCH(yoy!$Y$1,Data!$A$1:$AN$1,),)=0,"#N/A",(((VLOOKUP(B97,Data!$A:$AN,MATCH(yoy!$Y$1,Data!$A$1:$AN$1,),)-VLOOKUP(A97,Data!$A:$AN,MATCH(yoy!$Y$1,Data!$A$1:$AN$1,),))/VLOOKUP(A97,Data!$A:$AN,MATCH(yoy!$Y$1,Data!$A$1:$AN$1,),))+1)^12-1)</f>
        <v/>
      </c>
      <c r="Z97" s="14">
        <f>IF(VLOOKUP(B97,Data!$A:$AN,MATCH(yoy!$Z$1,Data!$A$1:$AN$1,),)=0,"#N/A",(((VLOOKUP(B97,Data!$A:$AN,MATCH(yoy!$Z$1,Data!$A$1:$AN$1,),)-VLOOKUP(A97,Data!$A:$AN,MATCH(yoy!$Z$1,Data!$A$1:$AN$1,),))/VLOOKUP(A97,Data!$A:$AN,MATCH(yoy!$Z$1,Data!$A$1:$AN$1,),))+1)^12-1)</f>
        <v/>
      </c>
      <c r="AA97" s="14">
        <f>IF(VLOOKUP(B97,Data!$A:$AN,MATCH(yoy!$AA$1,Data!$A$1:$AN$1,),)=0,"#N/A",(((VLOOKUP(B97,Data!$A:$AN,MATCH(yoy!$AA$1,Data!$A$1:$AN$1,),)-VLOOKUP(A97,Data!$A:$AN,MATCH(yoy!$AA$1,Data!$A$1:$AN$1,),))/VLOOKUP(A97,Data!$A:$AN,MATCH(yoy!$AA$1,Data!$A$1:$AN$1,),))+1)^12-1)</f>
        <v/>
      </c>
    </row>
    <row r="98" customFormat="1" s="77">
      <c r="A98" s="20">
        <f>DATE(YEAR(B98),MONTH(B98)-1,DAY(B98))</f>
        <v/>
      </c>
      <c r="B98" s="12" t="n">
        <v>44835</v>
      </c>
      <c r="C98" s="14">
        <f>IF(VLOOKUP(B98,Data!$A:$AN,MATCH(yoy!$C$1,Data!$A$1:$AN$1,),)=0,"#N/A",(((VLOOKUP(B98,Data!$A:$AN,MATCH(yoy!$C$1,Data!$A$1:$AN$1,),)-VLOOKUP(A98,Data!$A:$AN,MATCH(yoy!$C$1,Data!$A$1:$AN$1,),))/VLOOKUP(A98,Data!$A:$AN,MATCH(yoy!$C$1,Data!$A$1:$AN$1,),))+1)^12-1)</f>
        <v/>
      </c>
      <c r="D98" s="14">
        <f>IF(VLOOKUP(B98,Data!$A:$AN,MATCH(yoy!$D$1,Data!$A$1:$AN$1,),)=0,"#N/A",(((VLOOKUP(B98,Data!$A:$AN,MATCH(yoy!$D$1,Data!$A$1:$AN$1,),)-VLOOKUP(A98,Data!$A:$AN,MATCH(yoy!$D$1,Data!$A$1:$AN$1,),))/VLOOKUP(A98,Data!$A:$AN,MATCH(yoy!$D$1,Data!$A$1:$AN$1,),))+1)^12-1)</f>
        <v/>
      </c>
      <c r="E98" s="14">
        <f>IF(VLOOKUP(B98,Data!$A:$AN,MATCH(yoy!$E$1,Data!$A$1:$AN$1,),)=0,"#N/A",(((VLOOKUP(B98,Data!$A:$AN,MATCH(yoy!$E$1,Data!$A$1:$AN$1,),)-VLOOKUP(A98,Data!$A:$AN,MATCH(yoy!$E$1,Data!$A$1:$AN$1,),))/VLOOKUP(A98,Data!$A:$AN,MATCH(yoy!$E$1,Data!$A$1:$AN$1,),))+1)^12-1)</f>
        <v/>
      </c>
      <c r="F98" s="14">
        <f>IF(VLOOKUP(B98,Data!$A:$AN,MATCH(yoy!$F$1,Data!$A$1:$AN$1,),)=0,"#N/A",(((VLOOKUP(B98,Data!$A:$AN,MATCH(yoy!$F$1,Data!$A$1:$AN$1,),)-VLOOKUP(A98,Data!$A:$AN,MATCH(yoy!$F$1,Data!$A$1:$AN$1,),))/VLOOKUP(A98,Data!$A:$AN,MATCH(yoy!$F$1,Data!$A$1:$AN$1,),))+1)^12-1)</f>
        <v/>
      </c>
      <c r="G98" s="14">
        <f>IF(VLOOKUP(B98,Data!$A:$AN,MATCH(yoy!$G$1,Data!$A$1:$AN$1,),)=0,"#N/A",(((VLOOKUP(B98,Data!$A:$AN,MATCH(yoy!$G$1,Data!$A$1:$AN$1,),)-VLOOKUP(A98,Data!$A:$AN,MATCH(yoy!$G$1,Data!$A$1:$AN$1,),))/VLOOKUP(A98,Data!$A:$AN,MATCH(yoy!$G$1,Data!$A$1:$AN$1,),))+1)^12-1)</f>
        <v/>
      </c>
      <c r="H98" s="14">
        <f>IF(VLOOKUP(B98,Data!$A:$AN,MATCH(yoy!$H$1,Data!$A$1:$AN$1,),)=0,"#N/A",(((VLOOKUP(B98,Data!$A:$AN,MATCH(yoy!$H$1,Data!$A$1:$AN$1,),)-VLOOKUP(A98,Data!$A:$AN,MATCH(yoy!$H$1,Data!$A$1:$AN$1,),))/VLOOKUP(A98,Data!$A:$AN,MATCH(yoy!$H$1,Data!$A$1:$AN$1,),))+1)^12-1)</f>
        <v/>
      </c>
      <c r="I98" s="14">
        <f>IF(VLOOKUP(B98,Data!$A:$AN,MATCH(yoy!$I$1,Data!$A$1:$AN$1,),)=0,"#N/A",(((VLOOKUP(B98,Data!$A:$AN,MATCH(yoy!$I$1,Data!$A$1:$AN$1,),)-VLOOKUP(A98,Data!$A:$AN,MATCH(yoy!$I$1,Data!$A$1:$AN$1,),))/VLOOKUP(A98,Data!$A:$AN,MATCH(yoy!$I$1,Data!$A$1:$AN$1,),))+1)^12-1)</f>
        <v/>
      </c>
      <c r="J98" s="14">
        <f>IF(VLOOKUP(B98,Data!$A:$AN,MATCH(yoy!$J$1,Data!$A$1:$AN$1,),)=0,"#N/A",(((VLOOKUP(B98,Data!$A:$AN,MATCH(yoy!$J$1,Data!$A$1:$AN$1,),)-VLOOKUP(A98,Data!$A:$AN,MATCH(yoy!$J$1,Data!$A$1:$AN$1,),))/VLOOKUP(A98,Data!$A:$AN,MATCH(yoy!$J$1,Data!$A$1:$AN$1,),))+1)^12-1)</f>
        <v/>
      </c>
      <c r="K98" s="14">
        <f>IF(VLOOKUP(B98,Data!$A:$AN,MATCH(yoy!$K$1,Data!$A$1:$AN$1,),)=0,"#N/A",(((VLOOKUP(B98,Data!$A:$AN,MATCH(yoy!$K$1,Data!$A$1:$AN$1,),)-VLOOKUP(A98,Data!$A:$AN,MATCH(yoy!$K$1,Data!$A$1:$AN$1,),))/VLOOKUP(A98,Data!$A:$AN,MATCH(yoy!$K$1,Data!$A$1:$AN$1,),))+1)^12-1)</f>
        <v/>
      </c>
      <c r="L98" s="14">
        <f>IF(VLOOKUP(B98,Data!$A:$AN,MATCH(yoy!$L$1,Data!$A$1:$AN$1,),)=0,"#N/A",(((VLOOKUP(B98,Data!$A:$AN,MATCH(yoy!$L$1,Data!$A$1:$AN$1,),)-VLOOKUP(A98,Data!$A:$AN,MATCH(yoy!$L$1,Data!$A$1:$AN$1,),))/VLOOKUP(A98,Data!$A:$AN,MATCH(yoy!$L$1,Data!$A$1:$AN$1,),))+1)^12-1)</f>
        <v/>
      </c>
      <c r="M98" s="14">
        <f>IF(VLOOKUP(B98,Data!$A:$AN,MATCH(yoy!$M$1,Data!$A$1:$AN$1,),)=0,"#N/A",(((VLOOKUP(B98,Data!$A:$AN,MATCH(yoy!$M$1,Data!$A$1:$AN$1,),)-VLOOKUP(A98,Data!$A:$AN,MATCH(yoy!$M$1,Data!$A$1:$AN$1,),))/VLOOKUP(A98,Data!$A:$AN,MATCH(yoy!$M$1,Data!$A$1:$AN$1,),))+1)^12-1)</f>
        <v/>
      </c>
      <c r="N98" s="14">
        <f>IF(VLOOKUP(B98,Data!$A:$AN,MATCH(yoy!$N$1,Data!$A$1:$AN$1,),)=0,"#N/A",(((VLOOKUP(B98,Data!$A:$AN,MATCH(yoy!$N$1,Data!$A$1:$AN$1,),)-VLOOKUP(A98,Data!$A:$AN,MATCH(yoy!$N$1,Data!$A$1:$AN$1,),))/VLOOKUP(A98,Data!$A:$AN,MATCH(yoy!$N$1,Data!$A$1:$AN$1,),))+1)^12-1)</f>
        <v/>
      </c>
      <c r="O98" s="14">
        <f>IF(VLOOKUP(B98,Data!$A:$AN,MATCH(yoy!$O$1,Data!$A$1:$AN$1,),)=0,"#N/A",(((VLOOKUP(B98,Data!$A:$AN,MATCH(yoy!$O$1,Data!$A$1:$AN$1,),)-VLOOKUP(A98,Data!$A:$AN,MATCH(yoy!$O$1,Data!$A$1:$AN$1,),))/VLOOKUP(A98,Data!$A:$AN,MATCH(yoy!$O$1,Data!$A$1:$AN$1,),))+1)^12-1)</f>
        <v/>
      </c>
      <c r="P98" s="14">
        <f>IF(VLOOKUP(B98,Data!$A:$AN,MATCH(yoy!$P$1,Data!$A$1:$AN$1,),)=0,"#N/A",(((VLOOKUP(B98,Data!$A:$AN,MATCH(yoy!$P$1,Data!$A$1:$AN$1,),)-VLOOKUP(A98,Data!$A:$AN,MATCH(yoy!$P$1,Data!$A$1:$AN$1,),))/VLOOKUP(A98,Data!$A:$AN,MATCH(yoy!$P$1,Data!$A$1:$AN$1,),))+1)^12-1)</f>
        <v/>
      </c>
      <c r="Q98" s="14">
        <f>IF(VLOOKUP(B98,Data!$A:$AN,MATCH(yoy!$Q$1,Data!$A$1:$AN$1,),)=0,"#N/A",(((VLOOKUP(B98,Data!$A:$AN,MATCH(yoy!$Q$1,Data!$A$1:$AN$1,),)-VLOOKUP(A98,Data!$A:$AN,MATCH(yoy!$Q$1,Data!$A$1:$AN$1,),))/VLOOKUP(A98,Data!$A:$AN,MATCH(yoy!$Q$1,Data!$A$1:$AN$1,),))+1)^12-1)</f>
        <v/>
      </c>
      <c r="R98" s="14">
        <f>IF(VLOOKUP(B98,Data!$A:$AN,MATCH(yoy!$R$1,Data!$A$1:$AN$1,),)=0,"#N/A",(((VLOOKUP(B98,Data!$A:$AN,MATCH(yoy!$R$1,Data!$A$1:$AN$1,),)-VLOOKUP(A98,Data!$A:$AN,MATCH(yoy!$R$1,Data!$A$1:$AN$1,),))/VLOOKUP(A98,Data!$A:$AN,MATCH(yoy!$R$1,Data!$A$1:$AN$1,),))+1)^12-1)</f>
        <v/>
      </c>
      <c r="S98" s="14">
        <f>IF(VLOOKUP(B98,Data!$A:$AN,MATCH(yoy!$S$1,Data!$A$1:$AN$1,),)=0,"#N/A",(((VLOOKUP(B98,Data!$A:$AN,MATCH(yoy!$S$1,Data!$A$1:$AN$1,),)-VLOOKUP(A98,Data!$A:$AN,MATCH(yoy!$S$1,Data!$A$1:$AN$1,),))/VLOOKUP(A98,Data!$A:$AN,MATCH(yoy!$S$1,Data!$A$1:$AN$1,),))+1)^12-1)</f>
        <v/>
      </c>
      <c r="T98" s="14">
        <f>IF(VLOOKUP(B98,Data!$A:$AN,MATCH(yoy!$T$1,Data!$A$1:$AN$1,),)=0,"#N/A",(((VLOOKUP(B98,Data!$A:$AN,MATCH(yoy!$T$1,Data!$A$1:$AN$1,),)-VLOOKUP(A98,Data!$A:$AN,MATCH(yoy!$T$1,Data!$A$1:$AN$1,),))/VLOOKUP(A98,Data!$A:$AN,MATCH(yoy!$T$1,Data!$A$1:$AN$1,),))+1)^12-1)</f>
        <v/>
      </c>
      <c r="U98" s="14">
        <f>IF(VLOOKUP(B98,Data!$A:$AN,MATCH(yoy!$U$1,Data!$A$1:$AN$1,),)=0,"#N/A",(((VLOOKUP(B98,Data!$A:$AN,MATCH(yoy!$U$1,Data!$A$1:$AN$1,),)-VLOOKUP(A98,Data!$A:$AN,MATCH(yoy!$U$1,Data!$A$1:$AN$1,),))/VLOOKUP(A98,Data!$A:$AN,MATCH(yoy!$U$1,Data!$A$1:$AN$1,),))+1)^12-1)</f>
        <v/>
      </c>
      <c r="V98" s="14">
        <f>IF(VLOOKUP(B98,Data!$A:$AN,MATCH(yoy!$V$1,Data!$A$1:$AN$1,),)=0,"#N/A",(((VLOOKUP(B98,Data!$A:$AN,MATCH(yoy!$V$1,Data!$A$1:$AN$1,),)-VLOOKUP(A98,Data!$A:$AN,MATCH(yoy!$V$1,Data!$A$1:$AN$1,),))/VLOOKUP(A98,Data!$A:$AN,MATCH(yoy!$V$1,Data!$A$1:$AN$1,),))+1)^12-1)</f>
        <v/>
      </c>
      <c r="W98" s="14">
        <f>IF(VLOOKUP(B98,Data!$A:$AN,MATCH(yoy!$W$1,Data!$A$1:$AN$1,),)=0,"#N/A",(((VLOOKUP(B98,Data!$A:$AN,MATCH(yoy!$W$1,Data!$A$1:$AN$1,),)-VLOOKUP(A98,Data!$A:$AN,MATCH(yoy!$W$1,Data!$A$1:$AN$1,),))/VLOOKUP(A98,Data!$A:$AN,MATCH(yoy!$W$1,Data!$A$1:$AN$1,),))+1)^12-1)</f>
        <v/>
      </c>
      <c r="X98" s="14">
        <f>IF(VLOOKUP(B98,Data!$A:$AN,MATCH(yoy!$X$1,Data!$A$1:$AN$1,),)=0,"#N/A",(((VLOOKUP(B98,Data!$A:$AN,MATCH(yoy!$X$1,Data!$A$1:$AN$1,),)-VLOOKUP(A98,Data!$A:$AN,MATCH(yoy!$X$1,Data!$A$1:$AN$1,),))/VLOOKUP(A98,Data!$A:$AN,MATCH(yoy!$X$1,Data!$A$1:$AN$1,),))+1)^12-1)</f>
        <v/>
      </c>
      <c r="Y98" s="14">
        <f>IF(VLOOKUP(B98,Data!$A:$AN,MATCH(yoy!$Y$1,Data!$A$1:$AN$1,),)=0,"#N/A",(((VLOOKUP(B98,Data!$A:$AN,MATCH(yoy!$Y$1,Data!$A$1:$AN$1,),)-VLOOKUP(A98,Data!$A:$AN,MATCH(yoy!$Y$1,Data!$A$1:$AN$1,),))/VLOOKUP(A98,Data!$A:$AN,MATCH(yoy!$Y$1,Data!$A$1:$AN$1,),))+1)^12-1)</f>
        <v/>
      </c>
      <c r="Z98" s="14">
        <f>IF(VLOOKUP(B98,Data!$A:$AN,MATCH(yoy!$Z$1,Data!$A$1:$AN$1,),)=0,"#N/A",(((VLOOKUP(B98,Data!$A:$AN,MATCH(yoy!$Z$1,Data!$A$1:$AN$1,),)-VLOOKUP(A98,Data!$A:$AN,MATCH(yoy!$Z$1,Data!$A$1:$AN$1,),))/VLOOKUP(A98,Data!$A:$AN,MATCH(yoy!$Z$1,Data!$A$1:$AN$1,),))+1)^12-1)</f>
        <v/>
      </c>
      <c r="AA98" s="14">
        <f>IF(VLOOKUP(B98,Data!$A:$AN,MATCH(yoy!$AA$1,Data!$A$1:$AN$1,),)=0,"#N/A",(((VLOOKUP(B98,Data!$A:$AN,MATCH(yoy!$AA$1,Data!$A$1:$AN$1,),)-VLOOKUP(A98,Data!$A:$AN,MATCH(yoy!$AA$1,Data!$A$1:$AN$1,),))/VLOOKUP(A98,Data!$A:$AN,MATCH(yoy!$AA$1,Data!$A$1:$AN$1,),))+1)^12-1)</f>
        <v/>
      </c>
    </row>
    <row r="99" customFormat="1" s="77">
      <c r="A99" s="20">
        <f>DATE(YEAR(B99),MONTH(B99)-1,DAY(B99))</f>
        <v/>
      </c>
      <c r="B99" s="12" t="n">
        <v>44866</v>
      </c>
      <c r="C99" s="14">
        <f>IF(VLOOKUP(B99,Data!$A:$AN,MATCH(yoy!$C$1,Data!$A$1:$AN$1,),)=0,"#N/A",(((VLOOKUP(B99,Data!$A:$AN,MATCH(yoy!$C$1,Data!$A$1:$AN$1,),)-VLOOKUP(A99,Data!$A:$AN,MATCH(yoy!$C$1,Data!$A$1:$AN$1,),))/VLOOKUP(A99,Data!$A:$AN,MATCH(yoy!$C$1,Data!$A$1:$AN$1,),))+1)^12-1)</f>
        <v/>
      </c>
      <c r="D99" s="14">
        <f>IF(VLOOKUP(B99,Data!$A:$AN,MATCH(yoy!$D$1,Data!$A$1:$AN$1,),)=0,"#N/A",(((VLOOKUP(B99,Data!$A:$AN,MATCH(yoy!$D$1,Data!$A$1:$AN$1,),)-VLOOKUP(A99,Data!$A:$AN,MATCH(yoy!$D$1,Data!$A$1:$AN$1,),))/VLOOKUP(A99,Data!$A:$AN,MATCH(yoy!$D$1,Data!$A$1:$AN$1,),))+1)^12-1)</f>
        <v/>
      </c>
      <c r="E99" s="14">
        <f>IF(VLOOKUP(B99,Data!$A:$AN,MATCH(yoy!$E$1,Data!$A$1:$AN$1,),)=0,"#N/A",(((VLOOKUP(B99,Data!$A:$AN,MATCH(yoy!$E$1,Data!$A$1:$AN$1,),)-VLOOKUP(A99,Data!$A:$AN,MATCH(yoy!$E$1,Data!$A$1:$AN$1,),))/VLOOKUP(A99,Data!$A:$AN,MATCH(yoy!$E$1,Data!$A$1:$AN$1,),))+1)^12-1)</f>
        <v/>
      </c>
      <c r="F99" s="14">
        <f>IF(VLOOKUP(B99,Data!$A:$AN,MATCH(yoy!$F$1,Data!$A$1:$AN$1,),)=0,"#N/A",(((VLOOKUP(B99,Data!$A:$AN,MATCH(yoy!$F$1,Data!$A$1:$AN$1,),)-VLOOKUP(A99,Data!$A:$AN,MATCH(yoy!$F$1,Data!$A$1:$AN$1,),))/VLOOKUP(A99,Data!$A:$AN,MATCH(yoy!$F$1,Data!$A$1:$AN$1,),))+1)^12-1)</f>
        <v/>
      </c>
      <c r="G99" s="14">
        <f>IF(VLOOKUP(B99,Data!$A:$AN,MATCH(yoy!$G$1,Data!$A$1:$AN$1,),)=0,"#N/A",(((VLOOKUP(B99,Data!$A:$AN,MATCH(yoy!$G$1,Data!$A$1:$AN$1,),)-VLOOKUP(A99,Data!$A:$AN,MATCH(yoy!$G$1,Data!$A$1:$AN$1,),))/VLOOKUP(A99,Data!$A:$AN,MATCH(yoy!$G$1,Data!$A$1:$AN$1,),))+1)^12-1)</f>
        <v/>
      </c>
      <c r="H99" s="14">
        <f>IF(VLOOKUP(B99,Data!$A:$AN,MATCH(yoy!$H$1,Data!$A$1:$AN$1,),)=0,"#N/A",(((VLOOKUP(B99,Data!$A:$AN,MATCH(yoy!$H$1,Data!$A$1:$AN$1,),)-VLOOKUP(A99,Data!$A:$AN,MATCH(yoy!$H$1,Data!$A$1:$AN$1,),))/VLOOKUP(A99,Data!$A:$AN,MATCH(yoy!$H$1,Data!$A$1:$AN$1,),))+1)^12-1)</f>
        <v/>
      </c>
      <c r="I99" s="14">
        <f>IF(VLOOKUP(B99,Data!$A:$AN,MATCH(yoy!$I$1,Data!$A$1:$AN$1,),)=0,"#N/A",(((VLOOKUP(B99,Data!$A:$AN,MATCH(yoy!$I$1,Data!$A$1:$AN$1,),)-VLOOKUP(A99,Data!$A:$AN,MATCH(yoy!$I$1,Data!$A$1:$AN$1,),))/VLOOKUP(A99,Data!$A:$AN,MATCH(yoy!$I$1,Data!$A$1:$AN$1,),))+1)^12-1)</f>
        <v/>
      </c>
      <c r="J99" s="14">
        <f>IF(VLOOKUP(B99,Data!$A:$AN,MATCH(yoy!$J$1,Data!$A$1:$AN$1,),)=0,"#N/A",(((VLOOKUP(B99,Data!$A:$AN,MATCH(yoy!$J$1,Data!$A$1:$AN$1,),)-VLOOKUP(A99,Data!$A:$AN,MATCH(yoy!$J$1,Data!$A$1:$AN$1,),))/VLOOKUP(A99,Data!$A:$AN,MATCH(yoy!$J$1,Data!$A$1:$AN$1,),))+1)^12-1)</f>
        <v/>
      </c>
      <c r="K99" s="14">
        <f>IF(VLOOKUP(B99,Data!$A:$AN,MATCH(yoy!$K$1,Data!$A$1:$AN$1,),)=0,"#N/A",(((VLOOKUP(B99,Data!$A:$AN,MATCH(yoy!$K$1,Data!$A$1:$AN$1,),)-VLOOKUP(A99,Data!$A:$AN,MATCH(yoy!$K$1,Data!$A$1:$AN$1,),))/VLOOKUP(A99,Data!$A:$AN,MATCH(yoy!$K$1,Data!$A$1:$AN$1,),))+1)^12-1)</f>
        <v/>
      </c>
      <c r="L99" s="14">
        <f>IF(VLOOKUP(B99,Data!$A:$AN,MATCH(yoy!$L$1,Data!$A$1:$AN$1,),)=0,"#N/A",(((VLOOKUP(B99,Data!$A:$AN,MATCH(yoy!$L$1,Data!$A$1:$AN$1,),)-VLOOKUP(A99,Data!$A:$AN,MATCH(yoy!$L$1,Data!$A$1:$AN$1,),))/VLOOKUP(A99,Data!$A:$AN,MATCH(yoy!$L$1,Data!$A$1:$AN$1,),))+1)^12-1)</f>
        <v/>
      </c>
      <c r="M99" s="14">
        <f>IF(VLOOKUP(B99,Data!$A:$AN,MATCH(yoy!$M$1,Data!$A$1:$AN$1,),)=0,"#N/A",(((VLOOKUP(B99,Data!$A:$AN,MATCH(yoy!$M$1,Data!$A$1:$AN$1,),)-VLOOKUP(A99,Data!$A:$AN,MATCH(yoy!$M$1,Data!$A$1:$AN$1,),))/VLOOKUP(A99,Data!$A:$AN,MATCH(yoy!$M$1,Data!$A$1:$AN$1,),))+1)^12-1)</f>
        <v/>
      </c>
      <c r="N99" s="14">
        <f>IF(VLOOKUP(B99,Data!$A:$AN,MATCH(yoy!$N$1,Data!$A$1:$AN$1,),)=0,"#N/A",(((VLOOKUP(B99,Data!$A:$AN,MATCH(yoy!$N$1,Data!$A$1:$AN$1,),)-VLOOKUP(A99,Data!$A:$AN,MATCH(yoy!$N$1,Data!$A$1:$AN$1,),))/VLOOKUP(A99,Data!$A:$AN,MATCH(yoy!$N$1,Data!$A$1:$AN$1,),))+1)^12-1)</f>
        <v/>
      </c>
      <c r="O99" s="14">
        <f>IF(VLOOKUP(B99,Data!$A:$AN,MATCH(yoy!$O$1,Data!$A$1:$AN$1,),)=0,"#N/A",(((VLOOKUP(B99,Data!$A:$AN,MATCH(yoy!$O$1,Data!$A$1:$AN$1,),)-VLOOKUP(A99,Data!$A:$AN,MATCH(yoy!$O$1,Data!$A$1:$AN$1,),))/VLOOKUP(A99,Data!$A:$AN,MATCH(yoy!$O$1,Data!$A$1:$AN$1,),))+1)^12-1)</f>
        <v/>
      </c>
      <c r="P99" s="14">
        <f>IF(VLOOKUP(B99,Data!$A:$AN,MATCH(yoy!$P$1,Data!$A$1:$AN$1,),)=0,"#N/A",(((VLOOKUP(B99,Data!$A:$AN,MATCH(yoy!$P$1,Data!$A$1:$AN$1,),)-VLOOKUP(A99,Data!$A:$AN,MATCH(yoy!$P$1,Data!$A$1:$AN$1,),))/VLOOKUP(A99,Data!$A:$AN,MATCH(yoy!$P$1,Data!$A$1:$AN$1,),))+1)^12-1)</f>
        <v/>
      </c>
      <c r="Q99" s="14">
        <f>IF(VLOOKUP(B99,Data!$A:$AN,MATCH(yoy!$Q$1,Data!$A$1:$AN$1,),)=0,"#N/A",(((VLOOKUP(B99,Data!$A:$AN,MATCH(yoy!$Q$1,Data!$A$1:$AN$1,),)-VLOOKUP(A99,Data!$A:$AN,MATCH(yoy!$Q$1,Data!$A$1:$AN$1,),))/VLOOKUP(A99,Data!$A:$AN,MATCH(yoy!$Q$1,Data!$A$1:$AN$1,),))+1)^12-1)</f>
        <v/>
      </c>
      <c r="R99" s="14">
        <f>IF(VLOOKUP(B99,Data!$A:$AN,MATCH(yoy!$R$1,Data!$A$1:$AN$1,),)=0,"#N/A",(((VLOOKUP(B99,Data!$A:$AN,MATCH(yoy!$R$1,Data!$A$1:$AN$1,),)-VLOOKUP(A99,Data!$A:$AN,MATCH(yoy!$R$1,Data!$A$1:$AN$1,),))/VLOOKUP(A99,Data!$A:$AN,MATCH(yoy!$R$1,Data!$A$1:$AN$1,),))+1)^12-1)</f>
        <v/>
      </c>
      <c r="S99" s="14">
        <f>IF(VLOOKUP(B99,Data!$A:$AN,MATCH(yoy!$S$1,Data!$A$1:$AN$1,),)=0,"#N/A",(((VLOOKUP(B99,Data!$A:$AN,MATCH(yoy!$S$1,Data!$A$1:$AN$1,),)-VLOOKUP(A99,Data!$A:$AN,MATCH(yoy!$S$1,Data!$A$1:$AN$1,),))/VLOOKUP(A99,Data!$A:$AN,MATCH(yoy!$S$1,Data!$A$1:$AN$1,),))+1)^12-1)</f>
        <v/>
      </c>
      <c r="T99" s="14">
        <f>IF(VLOOKUP(B99,Data!$A:$AN,MATCH(yoy!$T$1,Data!$A$1:$AN$1,),)=0,"#N/A",(((VLOOKUP(B99,Data!$A:$AN,MATCH(yoy!$T$1,Data!$A$1:$AN$1,),)-VLOOKUP(A99,Data!$A:$AN,MATCH(yoy!$T$1,Data!$A$1:$AN$1,),))/VLOOKUP(A99,Data!$A:$AN,MATCH(yoy!$T$1,Data!$A$1:$AN$1,),))+1)^12-1)</f>
        <v/>
      </c>
      <c r="U99" s="14">
        <f>IF(VLOOKUP(B99,Data!$A:$AN,MATCH(yoy!$U$1,Data!$A$1:$AN$1,),)=0,"#N/A",(((VLOOKUP(B99,Data!$A:$AN,MATCH(yoy!$U$1,Data!$A$1:$AN$1,),)-VLOOKUP(A99,Data!$A:$AN,MATCH(yoy!$U$1,Data!$A$1:$AN$1,),))/VLOOKUP(A99,Data!$A:$AN,MATCH(yoy!$U$1,Data!$A$1:$AN$1,),))+1)^12-1)</f>
        <v/>
      </c>
      <c r="V99" s="14">
        <f>IF(VLOOKUP(B99,Data!$A:$AN,MATCH(yoy!$V$1,Data!$A$1:$AN$1,),)=0,"#N/A",(((VLOOKUP(B99,Data!$A:$AN,MATCH(yoy!$V$1,Data!$A$1:$AN$1,),)-VLOOKUP(A99,Data!$A:$AN,MATCH(yoy!$V$1,Data!$A$1:$AN$1,),))/VLOOKUP(A99,Data!$A:$AN,MATCH(yoy!$V$1,Data!$A$1:$AN$1,),))+1)^12-1)</f>
        <v/>
      </c>
      <c r="W99" s="14">
        <f>IF(VLOOKUP(B99,Data!$A:$AN,MATCH(yoy!$W$1,Data!$A$1:$AN$1,),)=0,"#N/A",(((VLOOKUP(B99,Data!$A:$AN,MATCH(yoy!$W$1,Data!$A$1:$AN$1,),)-VLOOKUP(A99,Data!$A:$AN,MATCH(yoy!$W$1,Data!$A$1:$AN$1,),))/VLOOKUP(A99,Data!$A:$AN,MATCH(yoy!$W$1,Data!$A$1:$AN$1,),))+1)^12-1)</f>
        <v/>
      </c>
      <c r="X99" s="14">
        <f>IF(VLOOKUP(B99,Data!$A:$AN,MATCH(yoy!$X$1,Data!$A$1:$AN$1,),)=0,"#N/A",(((VLOOKUP(B99,Data!$A:$AN,MATCH(yoy!$X$1,Data!$A$1:$AN$1,),)-VLOOKUP(A99,Data!$A:$AN,MATCH(yoy!$X$1,Data!$A$1:$AN$1,),))/VLOOKUP(A99,Data!$A:$AN,MATCH(yoy!$X$1,Data!$A$1:$AN$1,),))+1)^12-1)</f>
        <v/>
      </c>
      <c r="Y99" s="14">
        <f>IF(VLOOKUP(B99,Data!$A:$AN,MATCH(yoy!$Y$1,Data!$A$1:$AN$1,),)=0,"#N/A",(((VLOOKUP(B99,Data!$A:$AN,MATCH(yoy!$Y$1,Data!$A$1:$AN$1,),)-VLOOKUP(A99,Data!$A:$AN,MATCH(yoy!$Y$1,Data!$A$1:$AN$1,),))/VLOOKUP(A99,Data!$A:$AN,MATCH(yoy!$Y$1,Data!$A$1:$AN$1,),))+1)^12-1)</f>
        <v/>
      </c>
      <c r="Z99" s="14">
        <f>IF(VLOOKUP(B99,Data!$A:$AN,MATCH(yoy!$Z$1,Data!$A$1:$AN$1,),)=0,"#N/A",(((VLOOKUP(B99,Data!$A:$AN,MATCH(yoy!$Z$1,Data!$A$1:$AN$1,),)-VLOOKUP(A99,Data!$A:$AN,MATCH(yoy!$Z$1,Data!$A$1:$AN$1,),))/VLOOKUP(A99,Data!$A:$AN,MATCH(yoy!$Z$1,Data!$A$1:$AN$1,),))+1)^12-1)</f>
        <v/>
      </c>
      <c r="AA99" s="14">
        <f>IF(VLOOKUP(B99,Data!$A:$AN,MATCH(yoy!$AA$1,Data!$A$1:$AN$1,),)=0,"#N/A",(((VLOOKUP(B99,Data!$A:$AN,MATCH(yoy!$AA$1,Data!$A$1:$AN$1,),)-VLOOKUP(A99,Data!$A:$AN,MATCH(yoy!$AA$1,Data!$A$1:$AN$1,),))/VLOOKUP(A99,Data!$A:$AN,MATCH(yoy!$AA$1,Data!$A$1:$AN$1,),))+1)^12-1)</f>
        <v/>
      </c>
    </row>
    <row r="100" customFormat="1" s="77">
      <c r="A100" s="20">
        <f>DATE(YEAR(B100),MONTH(B100)-1,DAY(B100))</f>
        <v/>
      </c>
      <c r="B100" s="12" t="n">
        <v>44896</v>
      </c>
      <c r="C100" s="14">
        <f>IF(VLOOKUP(B100,Data!$A:$AN,MATCH(yoy!$C$1,Data!$A$1:$AN$1,),)=0,"#N/A",(((VLOOKUP(B100,Data!$A:$AN,MATCH(yoy!$C$1,Data!$A$1:$AN$1,),)-VLOOKUP(A100,Data!$A:$AN,MATCH(yoy!$C$1,Data!$A$1:$AN$1,),))/VLOOKUP(A100,Data!$A:$AN,MATCH(yoy!$C$1,Data!$A$1:$AN$1,),))+1)^12-1)</f>
        <v/>
      </c>
      <c r="D100" s="14">
        <f>IF(VLOOKUP(B100,Data!$A:$AN,MATCH(yoy!$D$1,Data!$A$1:$AN$1,),)=0,"#N/A",(((VLOOKUP(B100,Data!$A:$AN,MATCH(yoy!$D$1,Data!$A$1:$AN$1,),)-VLOOKUP(A100,Data!$A:$AN,MATCH(yoy!$D$1,Data!$A$1:$AN$1,),))/VLOOKUP(A100,Data!$A:$AN,MATCH(yoy!$D$1,Data!$A$1:$AN$1,),))+1)^12-1)</f>
        <v/>
      </c>
      <c r="E100" s="14">
        <f>IF(VLOOKUP(B100,Data!$A:$AN,MATCH(yoy!$E$1,Data!$A$1:$AN$1,),)=0,"#N/A",(((VLOOKUP(B100,Data!$A:$AN,MATCH(yoy!$E$1,Data!$A$1:$AN$1,),)-VLOOKUP(A100,Data!$A:$AN,MATCH(yoy!$E$1,Data!$A$1:$AN$1,),))/VLOOKUP(A100,Data!$A:$AN,MATCH(yoy!$E$1,Data!$A$1:$AN$1,),))+1)^12-1)</f>
        <v/>
      </c>
      <c r="F100" s="14">
        <f>IF(VLOOKUP(B100,Data!$A:$AN,MATCH(yoy!$F$1,Data!$A$1:$AN$1,),)=0,"#N/A",(((VLOOKUP(B100,Data!$A:$AN,MATCH(yoy!$F$1,Data!$A$1:$AN$1,),)-VLOOKUP(A100,Data!$A:$AN,MATCH(yoy!$F$1,Data!$A$1:$AN$1,),))/VLOOKUP(A100,Data!$A:$AN,MATCH(yoy!$F$1,Data!$A$1:$AN$1,),))+1)^12-1)</f>
        <v/>
      </c>
      <c r="G100" s="14">
        <f>IF(VLOOKUP(B100,Data!$A:$AN,MATCH(yoy!$G$1,Data!$A$1:$AN$1,),)=0,"#N/A",(((VLOOKUP(B100,Data!$A:$AN,MATCH(yoy!$G$1,Data!$A$1:$AN$1,),)-VLOOKUP(A100,Data!$A:$AN,MATCH(yoy!$G$1,Data!$A$1:$AN$1,),))/VLOOKUP(A100,Data!$A:$AN,MATCH(yoy!$G$1,Data!$A$1:$AN$1,),))+1)^12-1)</f>
        <v/>
      </c>
      <c r="H100" s="14">
        <f>IF(VLOOKUP(B100,Data!$A:$AN,MATCH(yoy!$H$1,Data!$A$1:$AN$1,),)=0,"#N/A",(((VLOOKUP(B100,Data!$A:$AN,MATCH(yoy!$H$1,Data!$A$1:$AN$1,),)-VLOOKUP(A100,Data!$A:$AN,MATCH(yoy!$H$1,Data!$A$1:$AN$1,),))/VLOOKUP(A100,Data!$A:$AN,MATCH(yoy!$H$1,Data!$A$1:$AN$1,),))+1)^12-1)</f>
        <v/>
      </c>
      <c r="I100" s="14">
        <f>IF(VLOOKUP(B100,Data!$A:$AN,MATCH(yoy!$I$1,Data!$A$1:$AN$1,),)=0,"#N/A",(((VLOOKUP(B100,Data!$A:$AN,MATCH(yoy!$I$1,Data!$A$1:$AN$1,),)-VLOOKUP(A100,Data!$A:$AN,MATCH(yoy!$I$1,Data!$A$1:$AN$1,),))/VLOOKUP(A100,Data!$A:$AN,MATCH(yoy!$I$1,Data!$A$1:$AN$1,),))+1)^12-1)</f>
        <v/>
      </c>
      <c r="J100" s="14">
        <f>IF(VLOOKUP(B100,Data!$A:$AN,MATCH(yoy!$J$1,Data!$A$1:$AN$1,),)=0,"#N/A",(((VLOOKUP(B100,Data!$A:$AN,MATCH(yoy!$J$1,Data!$A$1:$AN$1,),)-VLOOKUP(A100,Data!$A:$AN,MATCH(yoy!$J$1,Data!$A$1:$AN$1,),))/VLOOKUP(A100,Data!$A:$AN,MATCH(yoy!$J$1,Data!$A$1:$AN$1,),))+1)^12-1)</f>
        <v/>
      </c>
      <c r="K100" s="14">
        <f>IF(VLOOKUP(B100,Data!$A:$AN,MATCH(yoy!$K$1,Data!$A$1:$AN$1,),)=0,"#N/A",(((VLOOKUP(B100,Data!$A:$AN,MATCH(yoy!$K$1,Data!$A$1:$AN$1,),)-VLOOKUP(A100,Data!$A:$AN,MATCH(yoy!$K$1,Data!$A$1:$AN$1,),))/VLOOKUP(A100,Data!$A:$AN,MATCH(yoy!$K$1,Data!$A$1:$AN$1,),))+1)^12-1)</f>
        <v/>
      </c>
      <c r="L100" s="14">
        <f>IF(VLOOKUP(B100,Data!$A:$AN,MATCH(yoy!$L$1,Data!$A$1:$AN$1,),)=0,"#N/A",(((VLOOKUP(B100,Data!$A:$AN,MATCH(yoy!$L$1,Data!$A$1:$AN$1,),)-VLOOKUP(A100,Data!$A:$AN,MATCH(yoy!$L$1,Data!$A$1:$AN$1,),))/VLOOKUP(A100,Data!$A:$AN,MATCH(yoy!$L$1,Data!$A$1:$AN$1,),))+1)^12-1)</f>
        <v/>
      </c>
      <c r="M100" s="14">
        <f>IF(VLOOKUP(B100,Data!$A:$AN,MATCH(yoy!$M$1,Data!$A$1:$AN$1,),)=0,"#N/A",(((VLOOKUP(B100,Data!$A:$AN,MATCH(yoy!$M$1,Data!$A$1:$AN$1,),)-VLOOKUP(A100,Data!$A:$AN,MATCH(yoy!$M$1,Data!$A$1:$AN$1,),))/VLOOKUP(A100,Data!$A:$AN,MATCH(yoy!$M$1,Data!$A$1:$AN$1,),))+1)^12-1)</f>
        <v/>
      </c>
      <c r="N100" s="14">
        <f>IF(VLOOKUP(B100,Data!$A:$AN,MATCH(yoy!$N$1,Data!$A$1:$AN$1,),)=0,"#N/A",(((VLOOKUP(B100,Data!$A:$AN,MATCH(yoy!$N$1,Data!$A$1:$AN$1,),)-VLOOKUP(A100,Data!$A:$AN,MATCH(yoy!$N$1,Data!$A$1:$AN$1,),))/VLOOKUP(A100,Data!$A:$AN,MATCH(yoy!$N$1,Data!$A$1:$AN$1,),))+1)^12-1)</f>
        <v/>
      </c>
      <c r="O100" s="14">
        <f>IF(VLOOKUP(B100,Data!$A:$AN,MATCH(yoy!$O$1,Data!$A$1:$AN$1,),)=0,"#N/A",(((VLOOKUP(B100,Data!$A:$AN,MATCH(yoy!$O$1,Data!$A$1:$AN$1,),)-VLOOKUP(A100,Data!$A:$AN,MATCH(yoy!$O$1,Data!$A$1:$AN$1,),))/VLOOKUP(A100,Data!$A:$AN,MATCH(yoy!$O$1,Data!$A$1:$AN$1,),))+1)^12-1)</f>
        <v/>
      </c>
      <c r="P100" s="14">
        <f>IF(VLOOKUP(B100,Data!$A:$AN,MATCH(yoy!$P$1,Data!$A$1:$AN$1,),)=0,"#N/A",(((VLOOKUP(B100,Data!$A:$AN,MATCH(yoy!$P$1,Data!$A$1:$AN$1,),)-VLOOKUP(A100,Data!$A:$AN,MATCH(yoy!$P$1,Data!$A$1:$AN$1,),))/VLOOKUP(A100,Data!$A:$AN,MATCH(yoy!$P$1,Data!$A$1:$AN$1,),))+1)^12-1)</f>
        <v/>
      </c>
      <c r="Q100" s="14">
        <f>IF(VLOOKUP(B100,Data!$A:$AN,MATCH(yoy!$Q$1,Data!$A$1:$AN$1,),)=0,"#N/A",(((VLOOKUP(B100,Data!$A:$AN,MATCH(yoy!$Q$1,Data!$A$1:$AN$1,),)-VLOOKUP(A100,Data!$A:$AN,MATCH(yoy!$Q$1,Data!$A$1:$AN$1,),))/VLOOKUP(A100,Data!$A:$AN,MATCH(yoy!$Q$1,Data!$A$1:$AN$1,),))+1)^12-1)</f>
        <v/>
      </c>
      <c r="R100" s="14">
        <f>IF(VLOOKUP(B100,Data!$A:$AN,MATCH(yoy!$R$1,Data!$A$1:$AN$1,),)=0,"#N/A",(((VLOOKUP(B100,Data!$A:$AN,MATCH(yoy!$R$1,Data!$A$1:$AN$1,),)-VLOOKUP(A100,Data!$A:$AN,MATCH(yoy!$R$1,Data!$A$1:$AN$1,),))/VLOOKUP(A100,Data!$A:$AN,MATCH(yoy!$R$1,Data!$A$1:$AN$1,),))+1)^12-1)</f>
        <v/>
      </c>
      <c r="S100" s="14">
        <f>IF(VLOOKUP(B100,Data!$A:$AN,MATCH(yoy!$S$1,Data!$A$1:$AN$1,),)=0,"#N/A",(((VLOOKUP(B100,Data!$A:$AN,MATCH(yoy!$S$1,Data!$A$1:$AN$1,),)-VLOOKUP(A100,Data!$A:$AN,MATCH(yoy!$S$1,Data!$A$1:$AN$1,),))/VLOOKUP(A100,Data!$A:$AN,MATCH(yoy!$S$1,Data!$A$1:$AN$1,),))+1)^12-1)</f>
        <v/>
      </c>
      <c r="T100" s="14">
        <f>IF(VLOOKUP(B100,Data!$A:$AN,MATCH(yoy!$T$1,Data!$A$1:$AN$1,),)=0,"#N/A",(((VLOOKUP(B100,Data!$A:$AN,MATCH(yoy!$T$1,Data!$A$1:$AN$1,),)-VLOOKUP(A100,Data!$A:$AN,MATCH(yoy!$T$1,Data!$A$1:$AN$1,),))/VLOOKUP(A100,Data!$A:$AN,MATCH(yoy!$T$1,Data!$A$1:$AN$1,),))+1)^12-1)</f>
        <v/>
      </c>
      <c r="U100" s="14">
        <f>IF(VLOOKUP(B100,Data!$A:$AN,MATCH(yoy!$U$1,Data!$A$1:$AN$1,),)=0,"#N/A",(((VLOOKUP(B100,Data!$A:$AN,MATCH(yoy!$U$1,Data!$A$1:$AN$1,),)-VLOOKUP(A100,Data!$A:$AN,MATCH(yoy!$U$1,Data!$A$1:$AN$1,),))/VLOOKUP(A100,Data!$A:$AN,MATCH(yoy!$U$1,Data!$A$1:$AN$1,),))+1)^12-1)</f>
        <v/>
      </c>
      <c r="V100" s="14">
        <f>IF(VLOOKUP(B100,Data!$A:$AN,MATCH(yoy!$V$1,Data!$A$1:$AN$1,),)=0,"#N/A",(((VLOOKUP(B100,Data!$A:$AN,MATCH(yoy!$V$1,Data!$A$1:$AN$1,),)-VLOOKUP(A100,Data!$A:$AN,MATCH(yoy!$V$1,Data!$A$1:$AN$1,),))/VLOOKUP(A100,Data!$A:$AN,MATCH(yoy!$V$1,Data!$A$1:$AN$1,),))+1)^12-1)</f>
        <v/>
      </c>
      <c r="W100" s="14">
        <f>IF(VLOOKUP(B100,Data!$A:$AN,MATCH(yoy!$W$1,Data!$A$1:$AN$1,),)=0,"#N/A",(((VLOOKUP(B100,Data!$A:$AN,MATCH(yoy!$W$1,Data!$A$1:$AN$1,),)-VLOOKUP(A100,Data!$A:$AN,MATCH(yoy!$W$1,Data!$A$1:$AN$1,),))/VLOOKUP(A100,Data!$A:$AN,MATCH(yoy!$W$1,Data!$A$1:$AN$1,),))+1)^12-1)</f>
        <v/>
      </c>
      <c r="X100" s="14">
        <f>IF(VLOOKUP(B100,Data!$A:$AN,MATCH(yoy!$X$1,Data!$A$1:$AN$1,),)=0,"#N/A",(((VLOOKUP(B100,Data!$A:$AN,MATCH(yoy!$X$1,Data!$A$1:$AN$1,),)-VLOOKUP(A100,Data!$A:$AN,MATCH(yoy!$X$1,Data!$A$1:$AN$1,),))/VLOOKUP(A100,Data!$A:$AN,MATCH(yoy!$X$1,Data!$A$1:$AN$1,),))+1)^12-1)</f>
        <v/>
      </c>
      <c r="Y100" s="14">
        <f>IF(VLOOKUP(B100,Data!$A:$AN,MATCH(yoy!$Y$1,Data!$A$1:$AN$1,),)=0,"#N/A",(((VLOOKUP(B100,Data!$A:$AN,MATCH(yoy!$Y$1,Data!$A$1:$AN$1,),)-VLOOKUP(A100,Data!$A:$AN,MATCH(yoy!$Y$1,Data!$A$1:$AN$1,),))/VLOOKUP(A100,Data!$A:$AN,MATCH(yoy!$Y$1,Data!$A$1:$AN$1,),))+1)^12-1)</f>
        <v/>
      </c>
      <c r="Z100" s="14">
        <f>IF(VLOOKUP(B100,Data!$A:$AN,MATCH(yoy!$Z$1,Data!$A$1:$AN$1,),)=0,"#N/A",(((VLOOKUP(B100,Data!$A:$AN,MATCH(yoy!$Z$1,Data!$A$1:$AN$1,),)-VLOOKUP(A100,Data!$A:$AN,MATCH(yoy!$Z$1,Data!$A$1:$AN$1,),))/VLOOKUP(A100,Data!$A:$AN,MATCH(yoy!$Z$1,Data!$A$1:$AN$1,),))+1)^12-1)</f>
        <v/>
      </c>
      <c r="AA100" s="14">
        <f>IF(VLOOKUP(B100,Data!$A:$AN,MATCH(yoy!$AA$1,Data!$A$1:$AN$1,),)=0,"#N/A",(((VLOOKUP(B100,Data!$A:$AN,MATCH(yoy!$AA$1,Data!$A$1:$AN$1,),)-VLOOKUP(A100,Data!$A:$AN,MATCH(yoy!$AA$1,Data!$A$1:$AN$1,),))/VLOOKUP(A100,Data!$A:$AN,MATCH(yoy!$AA$1,Data!$A$1:$AN$1,),))+1)^12-1)</f>
        <v/>
      </c>
    </row>
    <row r="101" customFormat="1" s="77">
      <c r="A101" s="20">
        <f>DATE(YEAR(B101),MONTH(B101)-1,DAY(B101))</f>
        <v/>
      </c>
      <c r="B101" s="12" t="n">
        <v>44927</v>
      </c>
      <c r="C101" s="14">
        <f>IF(VLOOKUP(B101,Data!$A:$AN,MATCH(yoy!$C$1,Data!$A$1:$AN$1,),)=0,"#N/A",(((VLOOKUP(B101,Data!$A:$AN,MATCH(yoy!$C$1,Data!$A$1:$AN$1,),)-VLOOKUP(A101,Data!$A:$AN,MATCH(yoy!$C$1,Data!$A$1:$AN$1,),))/VLOOKUP(A101,Data!$A:$AN,MATCH(yoy!$C$1,Data!$A$1:$AN$1,),))+1)^12-1)</f>
        <v/>
      </c>
      <c r="D101" s="14">
        <f>IF(VLOOKUP(B101,Data!$A:$AN,MATCH(yoy!$D$1,Data!$A$1:$AN$1,),)=0,"#N/A",(((VLOOKUP(B101,Data!$A:$AN,MATCH(yoy!$D$1,Data!$A$1:$AN$1,),)-VLOOKUP(A101,Data!$A:$AN,MATCH(yoy!$D$1,Data!$A$1:$AN$1,),))/VLOOKUP(A101,Data!$A:$AN,MATCH(yoy!$D$1,Data!$A$1:$AN$1,),))+1)^12-1)</f>
        <v/>
      </c>
      <c r="E101" s="14">
        <f>IF(VLOOKUP(B101,Data!$A:$AN,MATCH(yoy!$E$1,Data!$A$1:$AN$1,),)=0,"#N/A",(((VLOOKUP(B101,Data!$A:$AN,MATCH(yoy!$E$1,Data!$A$1:$AN$1,),)-VLOOKUP(A101,Data!$A:$AN,MATCH(yoy!$E$1,Data!$A$1:$AN$1,),))/VLOOKUP(A101,Data!$A:$AN,MATCH(yoy!$E$1,Data!$A$1:$AN$1,),))+1)^12-1)</f>
        <v/>
      </c>
      <c r="F101" s="14">
        <f>IF(VLOOKUP(B101,Data!$A:$AN,MATCH(yoy!$F$1,Data!$A$1:$AN$1,),)=0,"#N/A",(((VLOOKUP(B101,Data!$A:$AN,MATCH(yoy!$F$1,Data!$A$1:$AN$1,),)-VLOOKUP(A101,Data!$A:$AN,MATCH(yoy!$F$1,Data!$A$1:$AN$1,),))/VLOOKUP(A101,Data!$A:$AN,MATCH(yoy!$F$1,Data!$A$1:$AN$1,),))+1)^12-1)</f>
        <v/>
      </c>
      <c r="G101" s="14">
        <f>IF(VLOOKUP(B101,Data!$A:$AN,MATCH(yoy!$G$1,Data!$A$1:$AN$1,),)=0,"#N/A",(((VLOOKUP(B101,Data!$A:$AN,MATCH(yoy!$G$1,Data!$A$1:$AN$1,),)-VLOOKUP(A101,Data!$A:$AN,MATCH(yoy!$G$1,Data!$A$1:$AN$1,),))/VLOOKUP(A101,Data!$A:$AN,MATCH(yoy!$G$1,Data!$A$1:$AN$1,),))+1)^12-1)</f>
        <v/>
      </c>
      <c r="H101" s="14">
        <f>IF(VLOOKUP(B101,Data!$A:$AN,MATCH(yoy!$H$1,Data!$A$1:$AN$1,),)=0,"#N/A",(((VLOOKUP(B101,Data!$A:$AN,MATCH(yoy!$H$1,Data!$A$1:$AN$1,),)-VLOOKUP(A101,Data!$A:$AN,MATCH(yoy!$H$1,Data!$A$1:$AN$1,),))/VLOOKUP(A101,Data!$A:$AN,MATCH(yoy!$H$1,Data!$A$1:$AN$1,),))+1)^12-1)</f>
        <v/>
      </c>
      <c r="I101" s="14">
        <f>IF(VLOOKUP(B101,Data!$A:$AN,MATCH(yoy!$I$1,Data!$A$1:$AN$1,),)=0,"#N/A",(((VLOOKUP(B101,Data!$A:$AN,MATCH(yoy!$I$1,Data!$A$1:$AN$1,),)-VLOOKUP(A101,Data!$A:$AN,MATCH(yoy!$I$1,Data!$A$1:$AN$1,),))/VLOOKUP(A101,Data!$A:$AN,MATCH(yoy!$I$1,Data!$A$1:$AN$1,),))+1)^12-1)</f>
        <v/>
      </c>
      <c r="J101" s="14">
        <f>IF(VLOOKUP(B101,Data!$A:$AN,MATCH(yoy!$J$1,Data!$A$1:$AN$1,),)=0,"#N/A",(((VLOOKUP(B101,Data!$A:$AN,MATCH(yoy!$J$1,Data!$A$1:$AN$1,),)-VLOOKUP(A101,Data!$A:$AN,MATCH(yoy!$J$1,Data!$A$1:$AN$1,),))/VLOOKUP(A101,Data!$A:$AN,MATCH(yoy!$J$1,Data!$A$1:$AN$1,),))+1)^12-1)</f>
        <v/>
      </c>
      <c r="K101" s="14">
        <f>IF(VLOOKUP(B101,Data!$A:$AN,MATCH(yoy!$K$1,Data!$A$1:$AN$1,),)=0,"#N/A",(((VLOOKUP(B101,Data!$A:$AN,MATCH(yoy!$K$1,Data!$A$1:$AN$1,),)-VLOOKUP(A101,Data!$A:$AN,MATCH(yoy!$K$1,Data!$A$1:$AN$1,),))/VLOOKUP(A101,Data!$A:$AN,MATCH(yoy!$K$1,Data!$A$1:$AN$1,),))+1)^12-1)</f>
        <v/>
      </c>
      <c r="L101" s="14">
        <f>IF(VLOOKUP(B101,Data!$A:$AN,MATCH(yoy!$L$1,Data!$A$1:$AN$1,),)=0,"#N/A",(((VLOOKUP(B101,Data!$A:$AN,MATCH(yoy!$L$1,Data!$A$1:$AN$1,),)-VLOOKUP(A101,Data!$A:$AN,MATCH(yoy!$L$1,Data!$A$1:$AN$1,),))/VLOOKUP(A101,Data!$A:$AN,MATCH(yoy!$L$1,Data!$A$1:$AN$1,),))+1)^12-1)</f>
        <v/>
      </c>
      <c r="M101" s="14">
        <f>IF(VLOOKUP(B101,Data!$A:$AN,MATCH(yoy!$M$1,Data!$A$1:$AN$1,),)=0,"#N/A",(((VLOOKUP(B101,Data!$A:$AN,MATCH(yoy!$M$1,Data!$A$1:$AN$1,),)-VLOOKUP(A101,Data!$A:$AN,MATCH(yoy!$M$1,Data!$A$1:$AN$1,),))/VLOOKUP(A101,Data!$A:$AN,MATCH(yoy!$M$1,Data!$A$1:$AN$1,),))+1)^12-1)</f>
        <v/>
      </c>
      <c r="N101" s="14">
        <f>IF(VLOOKUP(B101,Data!$A:$AN,MATCH(yoy!$N$1,Data!$A$1:$AN$1,),)=0,"#N/A",(((VLOOKUP(B101,Data!$A:$AN,MATCH(yoy!$N$1,Data!$A$1:$AN$1,),)-VLOOKUP(A101,Data!$A:$AN,MATCH(yoy!$N$1,Data!$A$1:$AN$1,),))/VLOOKUP(A101,Data!$A:$AN,MATCH(yoy!$N$1,Data!$A$1:$AN$1,),))+1)^12-1)</f>
        <v/>
      </c>
      <c r="O101" s="14">
        <f>IF(VLOOKUP(B101,Data!$A:$AN,MATCH(yoy!$O$1,Data!$A$1:$AN$1,),)=0,"#N/A",(((VLOOKUP(B101,Data!$A:$AN,MATCH(yoy!$O$1,Data!$A$1:$AN$1,),)-VLOOKUP(A101,Data!$A:$AN,MATCH(yoy!$O$1,Data!$A$1:$AN$1,),))/VLOOKUP(A101,Data!$A:$AN,MATCH(yoy!$O$1,Data!$A$1:$AN$1,),))+1)^12-1)</f>
        <v/>
      </c>
      <c r="P101" s="14">
        <f>IF(VLOOKUP(B101,Data!$A:$AN,MATCH(yoy!$P$1,Data!$A$1:$AN$1,),)=0,"#N/A",(((VLOOKUP(B101,Data!$A:$AN,MATCH(yoy!$P$1,Data!$A$1:$AN$1,),)-VLOOKUP(A101,Data!$A:$AN,MATCH(yoy!$P$1,Data!$A$1:$AN$1,),))/VLOOKUP(A101,Data!$A:$AN,MATCH(yoy!$P$1,Data!$A$1:$AN$1,),))+1)^12-1)</f>
        <v/>
      </c>
      <c r="Q101" s="14">
        <f>IF(VLOOKUP(B101,Data!$A:$AN,MATCH(yoy!$Q$1,Data!$A$1:$AN$1,),)=0,"#N/A",(((VLOOKUP(B101,Data!$A:$AN,MATCH(yoy!$Q$1,Data!$A$1:$AN$1,),)-VLOOKUP(A101,Data!$A:$AN,MATCH(yoy!$Q$1,Data!$A$1:$AN$1,),))/VLOOKUP(A101,Data!$A:$AN,MATCH(yoy!$Q$1,Data!$A$1:$AN$1,),))+1)^12-1)</f>
        <v/>
      </c>
      <c r="R101" s="14">
        <f>IF(VLOOKUP(B101,Data!$A:$AN,MATCH(yoy!$R$1,Data!$A$1:$AN$1,),)=0,"#N/A",(((VLOOKUP(B101,Data!$A:$AN,MATCH(yoy!$R$1,Data!$A$1:$AN$1,),)-VLOOKUP(A101,Data!$A:$AN,MATCH(yoy!$R$1,Data!$A$1:$AN$1,),))/VLOOKUP(A101,Data!$A:$AN,MATCH(yoy!$R$1,Data!$A$1:$AN$1,),))+1)^12-1)</f>
        <v/>
      </c>
      <c r="S101" s="14">
        <f>IF(VLOOKUP(B101,Data!$A:$AN,MATCH(yoy!$S$1,Data!$A$1:$AN$1,),)=0,"#N/A",(((VLOOKUP(B101,Data!$A:$AN,MATCH(yoy!$S$1,Data!$A$1:$AN$1,),)-VLOOKUP(A101,Data!$A:$AN,MATCH(yoy!$S$1,Data!$A$1:$AN$1,),))/VLOOKUP(A101,Data!$A:$AN,MATCH(yoy!$S$1,Data!$A$1:$AN$1,),))+1)^12-1)</f>
        <v/>
      </c>
      <c r="T101" s="14">
        <f>IF(VLOOKUP(B101,Data!$A:$AN,MATCH(yoy!$T$1,Data!$A$1:$AN$1,),)=0,"#N/A",(((VLOOKUP(B101,Data!$A:$AN,MATCH(yoy!$T$1,Data!$A$1:$AN$1,),)-VLOOKUP(A101,Data!$A:$AN,MATCH(yoy!$T$1,Data!$A$1:$AN$1,),))/VLOOKUP(A101,Data!$A:$AN,MATCH(yoy!$T$1,Data!$A$1:$AN$1,),))+1)^12-1)</f>
        <v/>
      </c>
      <c r="U101" s="14">
        <f>IF(VLOOKUP(B101,Data!$A:$AN,MATCH(yoy!$U$1,Data!$A$1:$AN$1,),)=0,"#N/A",(((VLOOKUP(B101,Data!$A:$AN,MATCH(yoy!$U$1,Data!$A$1:$AN$1,),)-VLOOKUP(A101,Data!$A:$AN,MATCH(yoy!$U$1,Data!$A$1:$AN$1,),))/VLOOKUP(A101,Data!$A:$AN,MATCH(yoy!$U$1,Data!$A$1:$AN$1,),))+1)^12-1)</f>
        <v/>
      </c>
      <c r="V101" s="14">
        <f>IF(VLOOKUP(B101,Data!$A:$AN,MATCH(yoy!$V$1,Data!$A$1:$AN$1,),)=0,"#N/A",(((VLOOKUP(B101,Data!$A:$AN,MATCH(yoy!$V$1,Data!$A$1:$AN$1,),)-VLOOKUP(A101,Data!$A:$AN,MATCH(yoy!$V$1,Data!$A$1:$AN$1,),))/VLOOKUP(A101,Data!$A:$AN,MATCH(yoy!$V$1,Data!$A$1:$AN$1,),))+1)^12-1)</f>
        <v/>
      </c>
      <c r="W101" s="14">
        <f>IF(VLOOKUP(B101,Data!$A:$AN,MATCH(yoy!$W$1,Data!$A$1:$AN$1,),)=0,"#N/A",(((VLOOKUP(B101,Data!$A:$AN,MATCH(yoy!$W$1,Data!$A$1:$AN$1,),)-VLOOKUP(A101,Data!$A:$AN,MATCH(yoy!$W$1,Data!$A$1:$AN$1,),))/VLOOKUP(A101,Data!$A:$AN,MATCH(yoy!$W$1,Data!$A$1:$AN$1,),))+1)^12-1)</f>
        <v/>
      </c>
      <c r="X101" s="14">
        <f>IF(VLOOKUP(B101,Data!$A:$AN,MATCH(yoy!$X$1,Data!$A$1:$AN$1,),)=0,"#N/A",(((VLOOKUP(B101,Data!$A:$AN,MATCH(yoy!$X$1,Data!$A$1:$AN$1,),)-VLOOKUP(A101,Data!$A:$AN,MATCH(yoy!$X$1,Data!$A$1:$AN$1,),))/VLOOKUP(A101,Data!$A:$AN,MATCH(yoy!$X$1,Data!$A$1:$AN$1,),))+1)^12-1)</f>
        <v/>
      </c>
      <c r="Y101" s="14">
        <f>IF(VLOOKUP(B101,Data!$A:$AN,MATCH(yoy!$Y$1,Data!$A$1:$AN$1,),)=0,"#N/A",(((VLOOKUP(B101,Data!$A:$AN,MATCH(yoy!$Y$1,Data!$A$1:$AN$1,),)-VLOOKUP(A101,Data!$A:$AN,MATCH(yoy!$Y$1,Data!$A$1:$AN$1,),))/VLOOKUP(A101,Data!$A:$AN,MATCH(yoy!$Y$1,Data!$A$1:$AN$1,),))+1)^12-1)</f>
        <v/>
      </c>
      <c r="Z101" s="14">
        <f>IF(VLOOKUP(B101,Data!$A:$AN,MATCH(yoy!$Z$1,Data!$A$1:$AN$1,),)=0,"#N/A",(((VLOOKUP(B101,Data!$A:$AN,MATCH(yoy!$Z$1,Data!$A$1:$AN$1,),)-VLOOKUP(A101,Data!$A:$AN,MATCH(yoy!$Z$1,Data!$A$1:$AN$1,),))/VLOOKUP(A101,Data!$A:$AN,MATCH(yoy!$Z$1,Data!$A$1:$AN$1,),))+1)^12-1)</f>
        <v/>
      </c>
      <c r="AA101" s="14">
        <f>IF(VLOOKUP(B101,Data!$A:$AN,MATCH(yoy!$AA$1,Data!$A$1:$AN$1,),)=0,"#N/A",(((VLOOKUP(B101,Data!$A:$AN,MATCH(yoy!$AA$1,Data!$A$1:$AN$1,),)-VLOOKUP(A101,Data!$A:$AN,MATCH(yoy!$AA$1,Data!$A$1:$AN$1,),))/VLOOKUP(A101,Data!$A:$AN,MATCH(yoy!$AA$1,Data!$A$1:$AN$1,),))+1)^12-1)</f>
        <v/>
      </c>
    </row>
    <row r="102" customFormat="1" s="77">
      <c r="A102" s="20">
        <f>DATE(YEAR(B102),MONTH(B102)-1,DAY(B102))</f>
        <v/>
      </c>
      <c r="B102" s="12" t="n">
        <v>44958</v>
      </c>
      <c r="C102" s="14">
        <f>IF(VLOOKUP(B102,Data!$A:$AN,MATCH(yoy!$C$1,Data!$A$1:$AN$1,),)=0,"#N/A",(((VLOOKUP(B102,Data!$A:$AN,MATCH(yoy!$C$1,Data!$A$1:$AN$1,),)-VLOOKUP(A102,Data!$A:$AN,MATCH(yoy!$C$1,Data!$A$1:$AN$1,),))/VLOOKUP(A102,Data!$A:$AN,MATCH(yoy!$C$1,Data!$A$1:$AN$1,),))+1)^12-1)</f>
        <v/>
      </c>
      <c r="D102" s="14">
        <f>IF(VLOOKUP(B102,Data!$A:$AN,MATCH(yoy!$D$1,Data!$A$1:$AN$1,),)=0,"#N/A",(((VLOOKUP(B102,Data!$A:$AN,MATCH(yoy!$D$1,Data!$A$1:$AN$1,),)-VLOOKUP(A102,Data!$A:$AN,MATCH(yoy!$D$1,Data!$A$1:$AN$1,),))/VLOOKUP(A102,Data!$A:$AN,MATCH(yoy!$D$1,Data!$A$1:$AN$1,),))+1)^12-1)</f>
        <v/>
      </c>
      <c r="E102" s="14">
        <f>IF(VLOOKUP(B102,Data!$A:$AN,MATCH(yoy!$E$1,Data!$A$1:$AN$1,),)=0,"#N/A",(((VLOOKUP(B102,Data!$A:$AN,MATCH(yoy!$E$1,Data!$A$1:$AN$1,),)-VLOOKUP(A102,Data!$A:$AN,MATCH(yoy!$E$1,Data!$A$1:$AN$1,),))/VLOOKUP(A102,Data!$A:$AN,MATCH(yoy!$E$1,Data!$A$1:$AN$1,),))+1)^12-1)</f>
        <v/>
      </c>
      <c r="F102" s="14">
        <f>IF(VLOOKUP(B102,Data!$A:$AN,MATCH(yoy!$F$1,Data!$A$1:$AN$1,),)=0,"#N/A",(((VLOOKUP(B102,Data!$A:$AN,MATCH(yoy!$F$1,Data!$A$1:$AN$1,),)-VLOOKUP(A102,Data!$A:$AN,MATCH(yoy!$F$1,Data!$A$1:$AN$1,),))/VLOOKUP(A102,Data!$A:$AN,MATCH(yoy!$F$1,Data!$A$1:$AN$1,),))+1)^12-1)</f>
        <v/>
      </c>
      <c r="G102" s="14">
        <f>IF(VLOOKUP(B102,Data!$A:$AN,MATCH(yoy!$G$1,Data!$A$1:$AN$1,),)=0,"#N/A",(((VLOOKUP(B102,Data!$A:$AN,MATCH(yoy!$G$1,Data!$A$1:$AN$1,),)-VLOOKUP(A102,Data!$A:$AN,MATCH(yoy!$G$1,Data!$A$1:$AN$1,),))/VLOOKUP(A102,Data!$A:$AN,MATCH(yoy!$G$1,Data!$A$1:$AN$1,),))+1)^12-1)</f>
        <v/>
      </c>
      <c r="H102" s="14">
        <f>IF(VLOOKUP(B102,Data!$A:$AN,MATCH(yoy!$H$1,Data!$A$1:$AN$1,),)=0,"#N/A",(((VLOOKUP(B102,Data!$A:$AN,MATCH(yoy!$H$1,Data!$A$1:$AN$1,),)-VLOOKUP(A102,Data!$A:$AN,MATCH(yoy!$H$1,Data!$A$1:$AN$1,),))/VLOOKUP(A102,Data!$A:$AN,MATCH(yoy!$H$1,Data!$A$1:$AN$1,),))+1)^12-1)</f>
        <v/>
      </c>
      <c r="I102" s="14">
        <f>IF(VLOOKUP(B102,Data!$A:$AN,MATCH(yoy!$I$1,Data!$A$1:$AN$1,),)=0,"#N/A",(((VLOOKUP(B102,Data!$A:$AN,MATCH(yoy!$I$1,Data!$A$1:$AN$1,),)-VLOOKUP(A102,Data!$A:$AN,MATCH(yoy!$I$1,Data!$A$1:$AN$1,),))/VLOOKUP(A102,Data!$A:$AN,MATCH(yoy!$I$1,Data!$A$1:$AN$1,),))+1)^12-1)</f>
        <v/>
      </c>
      <c r="J102" s="14">
        <f>IF(VLOOKUP(B102,Data!$A:$AN,MATCH(yoy!$J$1,Data!$A$1:$AN$1,),)=0,"#N/A",(((VLOOKUP(B102,Data!$A:$AN,MATCH(yoy!$J$1,Data!$A$1:$AN$1,),)-VLOOKUP(A102,Data!$A:$AN,MATCH(yoy!$J$1,Data!$A$1:$AN$1,),))/VLOOKUP(A102,Data!$A:$AN,MATCH(yoy!$J$1,Data!$A$1:$AN$1,),))+1)^12-1)</f>
        <v/>
      </c>
      <c r="K102" s="14">
        <f>IF(VLOOKUP(B102,Data!$A:$AN,MATCH(yoy!$K$1,Data!$A$1:$AN$1,),)=0,"#N/A",(((VLOOKUP(B102,Data!$A:$AN,MATCH(yoy!$K$1,Data!$A$1:$AN$1,),)-VLOOKUP(A102,Data!$A:$AN,MATCH(yoy!$K$1,Data!$A$1:$AN$1,),))/VLOOKUP(A102,Data!$A:$AN,MATCH(yoy!$K$1,Data!$A$1:$AN$1,),))+1)^12-1)</f>
        <v/>
      </c>
      <c r="L102" s="14">
        <f>IF(VLOOKUP(B102,Data!$A:$AN,MATCH(yoy!$L$1,Data!$A$1:$AN$1,),)=0,"#N/A",(((VLOOKUP(B102,Data!$A:$AN,MATCH(yoy!$L$1,Data!$A$1:$AN$1,),)-VLOOKUP(A102,Data!$A:$AN,MATCH(yoy!$L$1,Data!$A$1:$AN$1,),))/VLOOKUP(A102,Data!$A:$AN,MATCH(yoy!$L$1,Data!$A$1:$AN$1,),))+1)^12-1)</f>
        <v/>
      </c>
      <c r="M102" s="14">
        <f>IF(VLOOKUP(B102,Data!$A:$AN,MATCH(yoy!$M$1,Data!$A$1:$AN$1,),)=0,"#N/A",(((VLOOKUP(B102,Data!$A:$AN,MATCH(yoy!$M$1,Data!$A$1:$AN$1,),)-VLOOKUP(A102,Data!$A:$AN,MATCH(yoy!$M$1,Data!$A$1:$AN$1,),))/VLOOKUP(A102,Data!$A:$AN,MATCH(yoy!$M$1,Data!$A$1:$AN$1,),))+1)^12-1)</f>
        <v/>
      </c>
      <c r="N102" s="14">
        <f>IF(VLOOKUP(B102,Data!$A:$AN,MATCH(yoy!$N$1,Data!$A$1:$AN$1,),)=0,"#N/A",(((VLOOKUP(B102,Data!$A:$AN,MATCH(yoy!$N$1,Data!$A$1:$AN$1,),)-VLOOKUP(A102,Data!$A:$AN,MATCH(yoy!$N$1,Data!$A$1:$AN$1,),))/VLOOKUP(A102,Data!$A:$AN,MATCH(yoy!$N$1,Data!$A$1:$AN$1,),))+1)^12-1)</f>
        <v/>
      </c>
      <c r="O102" s="14">
        <f>IF(VLOOKUP(B102,Data!$A:$AN,MATCH(yoy!$O$1,Data!$A$1:$AN$1,),)=0,"#N/A",(((VLOOKUP(B102,Data!$A:$AN,MATCH(yoy!$O$1,Data!$A$1:$AN$1,),)-VLOOKUP(A102,Data!$A:$AN,MATCH(yoy!$O$1,Data!$A$1:$AN$1,),))/VLOOKUP(A102,Data!$A:$AN,MATCH(yoy!$O$1,Data!$A$1:$AN$1,),))+1)^12-1)</f>
        <v/>
      </c>
      <c r="P102" s="14">
        <f>IF(VLOOKUP(B102,Data!$A:$AN,MATCH(yoy!$P$1,Data!$A$1:$AN$1,),)=0,"#N/A",(((VLOOKUP(B102,Data!$A:$AN,MATCH(yoy!$P$1,Data!$A$1:$AN$1,),)-VLOOKUP(A102,Data!$A:$AN,MATCH(yoy!$P$1,Data!$A$1:$AN$1,),))/VLOOKUP(A102,Data!$A:$AN,MATCH(yoy!$P$1,Data!$A$1:$AN$1,),))+1)^12-1)</f>
        <v/>
      </c>
      <c r="Q102" s="14">
        <f>IF(VLOOKUP(B102,Data!$A:$AN,MATCH(yoy!$Q$1,Data!$A$1:$AN$1,),)=0,"#N/A",(((VLOOKUP(B102,Data!$A:$AN,MATCH(yoy!$Q$1,Data!$A$1:$AN$1,),)-VLOOKUP(A102,Data!$A:$AN,MATCH(yoy!$Q$1,Data!$A$1:$AN$1,),))/VLOOKUP(A102,Data!$A:$AN,MATCH(yoy!$Q$1,Data!$A$1:$AN$1,),))+1)^12-1)</f>
        <v/>
      </c>
      <c r="R102" s="14">
        <f>IF(VLOOKUP(B102,Data!$A:$AN,MATCH(yoy!$R$1,Data!$A$1:$AN$1,),)=0,"#N/A",(((VLOOKUP(B102,Data!$A:$AN,MATCH(yoy!$R$1,Data!$A$1:$AN$1,),)-VLOOKUP(A102,Data!$A:$AN,MATCH(yoy!$R$1,Data!$A$1:$AN$1,),))/VLOOKUP(A102,Data!$A:$AN,MATCH(yoy!$R$1,Data!$A$1:$AN$1,),))+1)^12-1)</f>
        <v/>
      </c>
      <c r="S102" s="14">
        <f>IF(VLOOKUP(B102,Data!$A:$AN,MATCH(yoy!$S$1,Data!$A$1:$AN$1,),)=0,"#N/A",(((VLOOKUP(B102,Data!$A:$AN,MATCH(yoy!$S$1,Data!$A$1:$AN$1,),)-VLOOKUP(A102,Data!$A:$AN,MATCH(yoy!$S$1,Data!$A$1:$AN$1,),))/VLOOKUP(A102,Data!$A:$AN,MATCH(yoy!$S$1,Data!$A$1:$AN$1,),))+1)^12-1)</f>
        <v/>
      </c>
      <c r="T102" s="14">
        <f>IF(VLOOKUP(B102,Data!$A:$AN,MATCH(yoy!$T$1,Data!$A$1:$AN$1,),)=0,"#N/A",(((VLOOKUP(B102,Data!$A:$AN,MATCH(yoy!$T$1,Data!$A$1:$AN$1,),)-VLOOKUP(A102,Data!$A:$AN,MATCH(yoy!$T$1,Data!$A$1:$AN$1,),))/VLOOKUP(A102,Data!$A:$AN,MATCH(yoy!$T$1,Data!$A$1:$AN$1,),))+1)^12-1)</f>
        <v/>
      </c>
      <c r="U102" s="14">
        <f>IF(VLOOKUP(B102,Data!$A:$AN,MATCH(yoy!$U$1,Data!$A$1:$AN$1,),)=0,"#N/A",(((VLOOKUP(B102,Data!$A:$AN,MATCH(yoy!$U$1,Data!$A$1:$AN$1,),)-VLOOKUP(A102,Data!$A:$AN,MATCH(yoy!$U$1,Data!$A$1:$AN$1,),))/VLOOKUP(A102,Data!$A:$AN,MATCH(yoy!$U$1,Data!$A$1:$AN$1,),))+1)^12-1)</f>
        <v/>
      </c>
      <c r="V102" s="14">
        <f>IF(VLOOKUP(B102,Data!$A:$AN,MATCH(yoy!$V$1,Data!$A$1:$AN$1,),)=0,"#N/A",(((VLOOKUP(B102,Data!$A:$AN,MATCH(yoy!$V$1,Data!$A$1:$AN$1,),)-VLOOKUP(A102,Data!$A:$AN,MATCH(yoy!$V$1,Data!$A$1:$AN$1,),))/VLOOKUP(A102,Data!$A:$AN,MATCH(yoy!$V$1,Data!$A$1:$AN$1,),))+1)^12-1)</f>
        <v/>
      </c>
      <c r="W102" s="14">
        <f>IF(VLOOKUP(B102,Data!$A:$AN,MATCH(yoy!$W$1,Data!$A$1:$AN$1,),)=0,"#N/A",(((VLOOKUP(B102,Data!$A:$AN,MATCH(yoy!$W$1,Data!$A$1:$AN$1,),)-VLOOKUP(A102,Data!$A:$AN,MATCH(yoy!$W$1,Data!$A$1:$AN$1,),))/VLOOKUP(A102,Data!$A:$AN,MATCH(yoy!$W$1,Data!$A$1:$AN$1,),))+1)^12-1)</f>
        <v/>
      </c>
      <c r="X102" s="14">
        <f>IF(VLOOKUP(B102,Data!$A:$AN,MATCH(yoy!$X$1,Data!$A$1:$AN$1,),)=0,"#N/A",(((VLOOKUP(B102,Data!$A:$AN,MATCH(yoy!$X$1,Data!$A$1:$AN$1,),)-VLOOKUP(A102,Data!$A:$AN,MATCH(yoy!$X$1,Data!$A$1:$AN$1,),))/VLOOKUP(A102,Data!$A:$AN,MATCH(yoy!$X$1,Data!$A$1:$AN$1,),))+1)^12-1)</f>
        <v/>
      </c>
      <c r="Y102" s="14">
        <f>IF(VLOOKUP(B102,Data!$A:$AN,MATCH(yoy!$Y$1,Data!$A$1:$AN$1,),)=0,"#N/A",(((VLOOKUP(B102,Data!$A:$AN,MATCH(yoy!$Y$1,Data!$A$1:$AN$1,),)-VLOOKUP(A102,Data!$A:$AN,MATCH(yoy!$Y$1,Data!$A$1:$AN$1,),))/VLOOKUP(A102,Data!$A:$AN,MATCH(yoy!$Y$1,Data!$A$1:$AN$1,),))+1)^12-1)</f>
        <v/>
      </c>
      <c r="Z102" s="14">
        <f>IF(VLOOKUP(B102,Data!$A:$AN,MATCH(yoy!$Z$1,Data!$A$1:$AN$1,),)=0,"#N/A",(((VLOOKUP(B102,Data!$A:$AN,MATCH(yoy!$Z$1,Data!$A$1:$AN$1,),)-VLOOKUP(A102,Data!$A:$AN,MATCH(yoy!$Z$1,Data!$A$1:$AN$1,),))/VLOOKUP(A102,Data!$A:$AN,MATCH(yoy!$Z$1,Data!$A$1:$AN$1,),))+1)^12-1)</f>
        <v/>
      </c>
      <c r="AA102" s="14">
        <f>IF(VLOOKUP(B102,Data!$A:$AN,MATCH(yoy!$AA$1,Data!$A$1:$AN$1,),)=0,"#N/A",(((VLOOKUP(B102,Data!$A:$AN,MATCH(yoy!$AA$1,Data!$A$1:$AN$1,),)-VLOOKUP(A102,Data!$A:$AN,MATCH(yoy!$AA$1,Data!$A$1:$AN$1,),))/VLOOKUP(A102,Data!$A:$AN,MATCH(yoy!$AA$1,Data!$A$1:$AN$1,),))+1)^12-1)</f>
        <v/>
      </c>
    </row>
    <row r="103" customFormat="1" s="77"/>
    <row r="104" customFormat="1" s="77"/>
    <row r="105" customFormat="1" s="77"/>
    <row r="106" customFormat="1" s="77"/>
    <row r="107" customFormat="1" s="77"/>
    <row r="108" customFormat="1" s="77"/>
    <row r="109" customFormat="1" s="77"/>
    <row r="110" customFormat="1" s="77"/>
    <row r="111" customFormat="1" s="77"/>
    <row r="112" customFormat="1" s="77"/>
    <row r="113" customFormat="1" s="77"/>
    <row r="114" customFormat="1" s="77"/>
    <row r="115" customFormat="1" s="77"/>
    <row r="116" customFormat="1" s="77"/>
    <row r="117" customFormat="1" s="77"/>
    <row r="118" customFormat="1" s="77"/>
    <row r="119" customFormat="1" s="77"/>
    <row r="120" customFormat="1" s="77"/>
    <row r="121" customFormat="1" s="77"/>
    <row r="122" customFormat="1" s="77"/>
    <row r="123" customFormat="1" s="77"/>
    <row r="124" customFormat="1" s="77"/>
    <row r="125" customFormat="1" s="77"/>
    <row r="126" customFormat="1" s="77"/>
    <row r="127" customFormat="1" s="77"/>
    <row r="128" customFormat="1" s="77"/>
    <row r="129" customFormat="1" s="77"/>
    <row r="130" customFormat="1" s="77"/>
    <row r="131" customFormat="1" s="77"/>
    <row r="132" customFormat="1" s="77"/>
    <row r="133" customFormat="1" s="77"/>
    <row r="134" customFormat="1" s="77"/>
    <row r="135" customFormat="1" s="77"/>
    <row r="136" customFormat="1" s="77"/>
    <row r="137" customFormat="1" s="77"/>
    <row r="138" customFormat="1" s="77"/>
    <row r="139" customFormat="1" s="77"/>
    <row r="140" customFormat="1" s="77"/>
    <row r="141" customFormat="1" s="77"/>
    <row r="142" customFormat="1" s="77"/>
    <row r="143" customFormat="1" s="77"/>
    <row r="144" customFormat="1" s="77"/>
    <row r="145" customFormat="1" s="77"/>
    <row r="146" customFormat="1" s="77"/>
    <row r="147" customFormat="1" s="77"/>
    <row r="148" customFormat="1" s="77"/>
    <row r="149" customFormat="1" s="77"/>
    <row r="150" customFormat="1" s="77"/>
    <row r="151" customFormat="1" s="77"/>
    <row r="152" customFormat="1" s="77"/>
    <row r="153" customFormat="1" s="77"/>
    <row r="154" customFormat="1" s="77"/>
    <row r="155" customFormat="1" s="77"/>
    <row r="156" customFormat="1" s="77"/>
    <row r="157" customFormat="1" s="77"/>
    <row r="158" customFormat="1" s="77"/>
    <row r="159" customFormat="1" s="77"/>
    <row r="160" customFormat="1" s="77"/>
    <row r="161" customFormat="1" s="77"/>
    <row r="162" customFormat="1" s="77"/>
    <row r="163" customFormat="1" s="77"/>
    <row r="164" customFormat="1" s="77"/>
    <row r="165" customFormat="1" s="77"/>
    <row r="166" customFormat="1" s="77"/>
    <row r="167" customFormat="1" s="77"/>
    <row r="168" customFormat="1" s="77"/>
    <row r="169" customFormat="1" s="77"/>
    <row r="170" customFormat="1" s="77"/>
    <row r="171" customFormat="1" s="77"/>
    <row r="172" customFormat="1" s="77"/>
    <row r="173" customFormat="1" s="77"/>
    <row r="174" customFormat="1" s="77"/>
    <row r="175" customFormat="1" s="77"/>
    <row r="176" customFormat="1" s="77"/>
    <row r="177" customFormat="1" s="77"/>
    <row r="178" customFormat="1" s="77"/>
    <row r="179" customFormat="1" s="77"/>
    <row r="180" customFormat="1" s="77"/>
    <row r="181" customFormat="1" s="77"/>
    <row r="182" customFormat="1" s="77"/>
    <row r="183" customFormat="1" s="77"/>
    <row r="184" customFormat="1" s="77"/>
    <row r="185" customFormat="1" s="77"/>
    <row r="186" customFormat="1" s="77"/>
    <row r="187" customFormat="1" s="77"/>
    <row r="188" customFormat="1" s="77"/>
    <row r="189" customFormat="1" s="77"/>
    <row r="190" customFormat="1" s="77"/>
    <row r="191" customFormat="1" s="77"/>
    <row r="192" customFormat="1" s="77"/>
    <row r="193" customFormat="1" s="77"/>
    <row r="194" customFormat="1" s="77"/>
    <row r="195" customFormat="1" s="77"/>
    <row r="196" customFormat="1" s="77"/>
    <row r="197" customFormat="1" s="77"/>
    <row r="198" customFormat="1" s="77"/>
    <row r="199" customFormat="1" s="77"/>
    <row r="200" customFormat="1" s="77"/>
    <row r="201" customFormat="1" s="77"/>
    <row r="202" customFormat="1" s="77"/>
    <row r="203" customFormat="1" s="77"/>
    <row r="204" customFormat="1" s="77"/>
    <row r="205" customFormat="1" s="77"/>
    <row r="206" customFormat="1" s="77"/>
    <row r="207" customFormat="1" s="77"/>
    <row r="208" customFormat="1" s="77"/>
    <row r="209" customFormat="1" s="77"/>
    <row r="210" customFormat="1" s="77"/>
    <row r="211" customFormat="1" s="77"/>
    <row r="212" customFormat="1" s="77"/>
    <row r="213" customFormat="1" s="77"/>
    <row r="214" customFormat="1" s="77"/>
    <row r="215" customFormat="1" s="77"/>
    <row r="216" customFormat="1" s="77"/>
    <row r="217" customFormat="1" s="77"/>
    <row r="218" customFormat="1" s="77"/>
    <row r="219" customFormat="1" s="77"/>
    <row r="220" customFormat="1" s="77"/>
    <row r="221" customFormat="1" s="77"/>
    <row r="222" customFormat="1" s="77"/>
    <row r="223" customFormat="1" s="77"/>
    <row r="224" customFormat="1" s="77"/>
    <row r="225" customFormat="1" s="77"/>
    <row r="226" customFormat="1" s="77"/>
    <row r="227" customFormat="1" s="77"/>
    <row r="228" customFormat="1" s="77"/>
    <row r="229" customFormat="1" s="77"/>
    <row r="230" customFormat="1" s="77"/>
    <row r="231" customFormat="1" s="77"/>
    <row r="232" customFormat="1" s="77"/>
    <row r="233" customFormat="1" s="77"/>
    <row r="234" customFormat="1" s="77"/>
    <row r="235" customFormat="1" s="77"/>
    <row r="236" customFormat="1" s="77"/>
    <row r="237" customFormat="1" s="77"/>
    <row r="238" customFormat="1" s="77"/>
    <row r="239" customFormat="1" s="77"/>
    <row r="240" customFormat="1" s="77"/>
    <row r="241" customFormat="1" s="77"/>
    <row r="242" customFormat="1" s="77"/>
    <row r="243" customFormat="1" s="77"/>
    <row r="244" customFormat="1" s="77"/>
    <row r="245" customFormat="1" s="77"/>
    <row r="246" customFormat="1" s="77"/>
    <row r="247" customFormat="1" s="77"/>
    <row r="248" customFormat="1" s="77"/>
    <row r="249" customFormat="1" s="77"/>
    <row r="250" customFormat="1" s="77"/>
    <row r="251" customFormat="1" s="77"/>
    <row r="252" customFormat="1" s="77"/>
    <row r="253" customFormat="1" s="77"/>
    <row r="254" customFormat="1" s="77"/>
    <row r="255" customFormat="1" s="77"/>
    <row r="256" customFormat="1" s="77"/>
    <row r="257" customFormat="1" s="77"/>
    <row r="258" customFormat="1" s="77"/>
    <row r="259" customFormat="1" s="77"/>
    <row r="260" customFormat="1" s="77"/>
    <row r="261" customFormat="1" s="77"/>
    <row r="262" customFormat="1" s="77"/>
    <row r="263" customFormat="1" s="77"/>
    <row r="264" customFormat="1" s="77"/>
    <row r="265" customFormat="1" s="77"/>
    <row r="266" customFormat="1" s="77"/>
    <row r="267" customFormat="1" s="77"/>
    <row r="268" customFormat="1" s="77"/>
    <row r="269" customFormat="1" s="77"/>
    <row r="270" customFormat="1" s="77"/>
    <row r="271" customFormat="1" s="77"/>
    <row r="272" customFormat="1" s="77"/>
    <row r="273" customFormat="1" s="77"/>
    <row r="274" customFormat="1" s="77"/>
    <row r="275" customFormat="1" s="77"/>
    <row r="276" customFormat="1" s="77"/>
    <row r="277" customFormat="1" s="77"/>
    <row r="278" customFormat="1" s="77"/>
    <row r="279" customFormat="1" s="77"/>
    <row r="280" customFormat="1" s="77"/>
    <row r="281" customFormat="1" s="77"/>
    <row r="282" customFormat="1" s="77"/>
    <row r="283" customFormat="1" s="77"/>
    <row r="284" customFormat="1" s="77"/>
    <row r="285" customFormat="1" s="77"/>
    <row r="286" customFormat="1" s="77"/>
    <row r="287" customFormat="1" s="77"/>
    <row r="288" customFormat="1" s="77"/>
    <row r="289" customFormat="1" s="77"/>
    <row r="290" customFormat="1" s="77"/>
    <row r="291" customFormat="1" s="77"/>
    <row r="292" customFormat="1" s="77"/>
    <row r="293" customFormat="1" s="77"/>
    <row r="294" customFormat="1" s="77"/>
    <row r="295" customFormat="1" s="77"/>
    <row r="296" customFormat="1" s="77"/>
    <row r="297" customFormat="1" s="77"/>
    <row r="298" customFormat="1" s="77"/>
    <row r="299" customFormat="1" s="77"/>
    <row r="300" customFormat="1" s="77"/>
    <row r="301" customFormat="1" s="77"/>
    <row r="302" customFormat="1" s="77"/>
    <row r="303" customFormat="1" s="77"/>
    <row r="304" customFormat="1" s="77"/>
    <row r="305" customFormat="1" s="77"/>
    <row r="306" customFormat="1" s="77"/>
    <row r="307" customFormat="1" s="77"/>
    <row r="308" customFormat="1" s="77"/>
    <row r="309" customFormat="1" s="77"/>
    <row r="310" customFormat="1" s="77"/>
    <row r="311" customFormat="1" s="77"/>
    <row r="312" customFormat="1" s="77"/>
    <row r="313" customFormat="1" s="77"/>
    <row r="314" customFormat="1" s="77"/>
    <row r="315" customFormat="1" s="77"/>
    <row r="316" customFormat="1" s="77"/>
    <row r="317" customFormat="1" s="77"/>
    <row r="318" customFormat="1" s="77"/>
    <row r="319" customFormat="1" s="77"/>
    <row r="320" customFormat="1" s="77"/>
    <row r="321" customFormat="1" s="77"/>
    <row r="322" customFormat="1" s="77"/>
    <row r="323" customFormat="1" s="77"/>
    <row r="324" customFormat="1" s="77"/>
    <row r="325" customFormat="1" s="77"/>
    <row r="326" customFormat="1" s="77"/>
    <row r="327" customFormat="1" s="77"/>
    <row r="328" customFormat="1" s="77"/>
    <row r="329" customFormat="1" s="77"/>
    <row r="330" customFormat="1" s="77"/>
    <row r="331" customFormat="1" s="77"/>
    <row r="332" customFormat="1" s="77"/>
    <row r="333" customFormat="1" s="77"/>
    <row r="334" customFormat="1" s="77"/>
    <row r="335" customFormat="1" s="77"/>
    <row r="336" customFormat="1" s="77"/>
    <row r="337" customFormat="1" s="77"/>
    <row r="338" customFormat="1" s="77"/>
    <row r="339" customFormat="1" s="77"/>
    <row r="340" customFormat="1" s="77"/>
    <row r="341" customFormat="1" s="77"/>
  </sheetData>
  <conditionalFormatting sqref="U7:V19 C7:S19">
    <cfRule type="colorScale" priority="167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I7:I19">
    <cfRule type="colorScale" priority="1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9">
    <cfRule type="colorScale" priority="1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E19">
    <cfRule type="colorScale" priority="1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9">
    <cfRule type="colorScale" priority="1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9">
    <cfRule type="colorScale" priority="1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9">
    <cfRule type="colorScale" priority="1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9">
    <cfRule type="colorScale" priority="1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9">
    <cfRule type="colorScale" priority="1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9">
    <cfRule type="colorScale" priority="1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9"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Q19">
    <cfRule type="colorScale" priority="1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9">
    <cfRule type="colorScale" priority="1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7:U19"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:V19">
    <cfRule type="colorScale" priority="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9"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9">
    <cfRule type="colorScale" priority="1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7:T19">
    <cfRule type="colorScale" priority="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7:W19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:Z19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7:AA19">
    <cfRule type="colorScale" priority="1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7:Y19"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:D19">
    <cfRule type="colorScale" priority="1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D102">
    <cfRule type="colorScale" priority="7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C102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:D102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:E102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:F102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0:G102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:H102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:I102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:J102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:K102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:L102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:M102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:N10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:O102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102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0:Q102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0:R102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0:S102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0:T102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0:U10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0:V10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0:W10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0:X102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Y10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0:Z10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20:AA10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>
  <sheetPr codeName="Sheet1">
    <outlinePr summaryBelow="1" summaryRight="1"/>
    <pageSetUpPr/>
  </sheetPr>
  <dimension ref="A1:G751"/>
  <sheetViews>
    <sheetView tabSelected="1" zoomScale="80" zoomScaleNormal="80" workbookViewId="0">
      <pane ySplit="5" topLeftCell="A728" activePane="bottomLeft" state="frozen"/>
      <selection activeCell="F826" sqref="F826"/>
      <selection pane="bottomLeft" activeCell="P738" sqref="P738"/>
    </sheetView>
  </sheetViews>
  <sheetFormatPr baseColWidth="8" defaultColWidth="9.1796875" defaultRowHeight="14.5"/>
  <cols>
    <col width="12" customWidth="1" style="77" min="1" max="1"/>
    <col width="14.36328125" customWidth="1" style="77" min="2" max="2"/>
    <col width="11.1796875" customWidth="1" style="16" min="3" max="4"/>
    <col width="9.1796875" customWidth="1" style="77" min="5" max="5"/>
    <col width="20.36328125" customWidth="1" style="77" min="6" max="6"/>
    <col width="14.6328125" customWidth="1" style="77" min="7" max="7"/>
    <col width="9.1796875" customWidth="1" style="77" min="8" max="46"/>
    <col width="9.1796875" customWidth="1" style="77" min="47" max="16384"/>
  </cols>
  <sheetData>
    <row r="1">
      <c r="A1" s="38" t="inlineStr">
        <is>
          <t>USA</t>
        </is>
      </c>
      <c r="C1" s="39" t="inlineStr">
        <is>
          <t>*Country to modify</t>
        </is>
      </c>
      <c r="F1" s="77">
        <f>"Money Supply M3 "&amp;A1</f>
        <v/>
      </c>
      <c r="G1" s="77">
        <f>F1&amp;" mom annualized"</f>
        <v/>
      </c>
    </row>
    <row r="2">
      <c r="F2" s="77" t="inlineStr">
        <is>
          <t>Average last 20 years</t>
        </is>
      </c>
      <c r="G2" s="37">
        <f>AVERAGE(D469:D708)</f>
        <v/>
      </c>
    </row>
    <row r="3">
      <c r="F3" s="77" t="inlineStr">
        <is>
          <t>Minimum last 20 years</t>
        </is>
      </c>
      <c r="G3" s="37">
        <f>MIN(D469:D752)</f>
        <v/>
      </c>
    </row>
    <row r="4" ht="16" customHeight="1" thickBot="1">
      <c r="F4" s="77" t="inlineStr">
        <is>
          <t>Maximum last 20 years</t>
        </is>
      </c>
      <c r="G4" s="37">
        <f>MAX(D469:D753)</f>
        <v/>
      </c>
    </row>
    <row r="5" ht="32" customHeight="1">
      <c r="A5" s="57" t="inlineStr">
        <is>
          <t>Date</t>
        </is>
      </c>
      <c r="B5" s="58" t="inlineStr">
        <is>
          <t>Country</t>
        </is>
      </c>
      <c r="C5" s="45" t="inlineStr">
        <is>
          <t>yoy</t>
        </is>
      </c>
      <c r="D5" s="46" t="inlineStr">
        <is>
          <t>mom annualized</t>
        </is>
      </c>
    </row>
    <row r="6">
      <c r="A6" s="35" t="n">
        <v>22282</v>
      </c>
      <c r="B6" s="36">
        <f>VLOOKUP(A6,Data!$A:$AH,MATCH(Country!$A$1,Data!$A$1:$AH$1,),)</f>
        <v/>
      </c>
      <c r="C6" s="23" t="n"/>
      <c r="D6" s="23" t="n"/>
    </row>
    <row r="7">
      <c r="A7" s="35" t="n">
        <v>22313</v>
      </c>
      <c r="B7" s="36">
        <f>VLOOKUP(A7,Data!$A:$AH,MATCH(Country!$A$1,Data!$A$1:$AH$1,),)</f>
        <v/>
      </c>
      <c r="C7" s="23" t="n"/>
      <c r="D7" s="59">
        <f>IF(Table2[[#This Row],[Country]]&gt;0,(((Table2[[#This Row],[Country]]-B6)/B6)+1)^12-1,"")</f>
        <v/>
      </c>
    </row>
    <row r="8">
      <c r="A8" s="35" t="n">
        <v>22341</v>
      </c>
      <c r="B8" s="36">
        <f>VLOOKUP(A8,Data!$A:$AH,MATCH(Country!$A$1,Data!$A$1:$AH$1,),)</f>
        <v/>
      </c>
      <c r="C8" s="23" t="n"/>
      <c r="D8" s="59">
        <f>IF(Table2[[#This Row],[Country]]&gt;0,(((Table2[[#This Row],[Country]]-B7)/B7)+1)^12-1,"")</f>
        <v/>
      </c>
    </row>
    <row r="9">
      <c r="A9" s="35" t="n">
        <v>22372</v>
      </c>
      <c r="B9" s="36">
        <f>VLOOKUP(A9,Data!$A:$AH,MATCH(Country!$A$1,Data!$A$1:$AH$1,),)</f>
        <v/>
      </c>
      <c r="C9" s="23" t="n"/>
      <c r="D9" s="59">
        <f>IF(Table2[[#This Row],[Country]]&gt;0,(((Table2[[#This Row],[Country]]-B8)/B8)+1)^12-1,"")</f>
        <v/>
      </c>
    </row>
    <row r="10">
      <c r="A10" s="35" t="n">
        <v>22402</v>
      </c>
      <c r="B10" s="36">
        <f>VLOOKUP(A10,Data!$A:$AH,MATCH(Country!$A$1,Data!$A$1:$AH$1,),)</f>
        <v/>
      </c>
      <c r="C10" s="23" t="n"/>
      <c r="D10" s="59">
        <f>IF(Table2[[#This Row],[Country]]&gt;0,(((Table2[[#This Row],[Country]]-B9)/B9)+1)^12-1,"")</f>
        <v/>
      </c>
    </row>
    <row r="11">
      <c r="A11" s="35" t="n">
        <v>22433</v>
      </c>
      <c r="B11" s="36">
        <f>VLOOKUP(A11,Data!$A:$AH,MATCH(Country!$A$1,Data!$A$1:$AH$1,),)</f>
        <v/>
      </c>
      <c r="C11" s="23" t="n"/>
      <c r="D11" s="59">
        <f>IF(Table2[[#This Row],[Country]]&gt;0,(((Table2[[#This Row],[Country]]-B10)/B10)+1)^12-1,"")</f>
        <v/>
      </c>
    </row>
    <row r="12">
      <c r="A12" s="35" t="n">
        <v>22463</v>
      </c>
      <c r="B12" s="36">
        <f>VLOOKUP(A12,Data!$A:$AH,MATCH(Country!$A$1,Data!$A$1:$AH$1,),)</f>
        <v/>
      </c>
      <c r="C12" s="23" t="n"/>
      <c r="D12" s="59">
        <f>IF(Table2[[#This Row],[Country]]&gt;0,(((Table2[[#This Row],[Country]]-B11)/B11)+1)^12-1,"")</f>
        <v/>
      </c>
    </row>
    <row r="13">
      <c r="A13" s="35" t="n">
        <v>22494</v>
      </c>
      <c r="B13" s="36">
        <f>VLOOKUP(A13,Data!$A:$AH,MATCH(Country!$A$1,Data!$A$1:$AH$1,),)</f>
        <v/>
      </c>
      <c r="C13" s="23" t="n"/>
      <c r="D13" s="59">
        <f>IF(Table2[[#This Row],[Country]]&gt;0,(((Table2[[#This Row],[Country]]-B12)/B12)+1)^12-1,"")</f>
        <v/>
      </c>
    </row>
    <row r="14">
      <c r="A14" s="35" t="n">
        <v>22525</v>
      </c>
      <c r="B14" s="36">
        <f>VLOOKUP(A14,Data!$A:$AH,MATCH(Country!$A$1,Data!$A$1:$AH$1,),)</f>
        <v/>
      </c>
      <c r="C14" s="23" t="n"/>
      <c r="D14" s="59">
        <f>IF(Table2[[#This Row],[Country]]&gt;0,(((Table2[[#This Row],[Country]]-B13)/B13)+1)^12-1,"")</f>
        <v/>
      </c>
    </row>
    <row r="15">
      <c r="A15" s="35" t="n">
        <v>22555</v>
      </c>
      <c r="B15" s="36">
        <f>VLOOKUP(A15,Data!$A:$AH,MATCH(Country!$A$1,Data!$A$1:$AH$1,),)</f>
        <v/>
      </c>
      <c r="C15" s="23" t="n"/>
      <c r="D15" s="59">
        <f>IF(Table2[[#This Row],[Country]]&gt;0,(((Table2[[#This Row],[Country]]-B14)/B14)+1)^12-1,"")</f>
        <v/>
      </c>
    </row>
    <row r="16">
      <c r="A16" s="35" t="n">
        <v>22586</v>
      </c>
      <c r="B16" s="36">
        <f>VLOOKUP(A16,Data!$A:$AH,MATCH(Country!$A$1,Data!$A$1:$AH$1,),)</f>
        <v/>
      </c>
      <c r="C16" s="23" t="n"/>
      <c r="D16" s="59">
        <f>IF(Table2[[#This Row],[Country]]&gt;0,(((Table2[[#This Row],[Country]]-B15)/B15)+1)^12-1,"")</f>
        <v/>
      </c>
    </row>
    <row r="17">
      <c r="A17" s="35" t="n">
        <v>22616</v>
      </c>
      <c r="B17" s="36">
        <f>VLOOKUP(A17,Data!$A:$AH,MATCH(Country!$A$1,Data!$A$1:$AH$1,),)</f>
        <v/>
      </c>
      <c r="C17" s="23" t="n"/>
      <c r="D17" s="59">
        <f>IF(Table2[[#This Row],[Country]]&gt;0,(((Table2[[#This Row],[Country]]-B16)/B16)+1)^12-1,"")</f>
        <v/>
      </c>
    </row>
    <row r="18">
      <c r="A18" s="35" t="n">
        <v>22647</v>
      </c>
      <c r="B18" s="36">
        <f>VLOOKUP(A18,Data!$A:$AH,MATCH(Country!$A$1,Data!$A$1:$AH$1,),)</f>
        <v/>
      </c>
      <c r="C18" s="59">
        <f>IF(B6&gt;0,(Table2[[#This Row],[Country]]-B6)/B6,0)</f>
        <v/>
      </c>
      <c r="D18" s="59">
        <f>IF(Table2[[#This Row],[Country]]&gt;0,(((Table2[[#This Row],[Country]]-B17)/B17)+1)^12-1,"")</f>
        <v/>
      </c>
    </row>
    <row r="19">
      <c r="A19" s="35" t="n">
        <v>22678</v>
      </c>
      <c r="B19" s="36">
        <f>VLOOKUP(A19,Data!$A:$AH,MATCH(Country!$A$1,Data!$A$1:$AH$1,),)</f>
        <v/>
      </c>
      <c r="C19" s="59">
        <f>IF(B7&gt;0,(Table2[[#This Row],[Country]]-B7)/B7,0)</f>
        <v/>
      </c>
      <c r="D19" s="59">
        <f>IF(Table2[[#This Row],[Country]]&gt;0,(((Table2[[#This Row],[Country]]-B18)/B18)+1)^12-1,"")</f>
        <v/>
      </c>
    </row>
    <row r="20">
      <c r="A20" s="35" t="n">
        <v>22706</v>
      </c>
      <c r="B20" s="36">
        <f>VLOOKUP(A20,Data!$A:$AH,MATCH(Country!$A$1,Data!$A$1:$AH$1,),)</f>
        <v/>
      </c>
      <c r="C20" s="59">
        <f>IF(B8&gt;0,(Table2[[#This Row],[Country]]-B8)/B8,0)</f>
        <v/>
      </c>
      <c r="D20" s="59">
        <f>IF(Table2[[#This Row],[Country]]&gt;0,(((Table2[[#This Row],[Country]]-B19)/B19)+1)^12-1,"")</f>
        <v/>
      </c>
    </row>
    <row r="21">
      <c r="A21" s="35" t="n">
        <v>22737</v>
      </c>
      <c r="B21" s="36">
        <f>VLOOKUP(A21,Data!$A:$AH,MATCH(Country!$A$1,Data!$A$1:$AH$1,),)</f>
        <v/>
      </c>
      <c r="C21" s="59">
        <f>IF(B9&gt;0,(Table2[[#This Row],[Country]]-B9)/B9,0)</f>
        <v/>
      </c>
      <c r="D21" s="59">
        <f>IF(Table2[[#This Row],[Country]]&gt;0,(((Table2[[#This Row],[Country]]-B20)/B20)+1)^12-1,"")</f>
        <v/>
      </c>
    </row>
    <row r="22">
      <c r="A22" s="35" t="n">
        <v>22767</v>
      </c>
      <c r="B22" s="36">
        <f>VLOOKUP(A22,Data!$A:$AH,MATCH(Country!$A$1,Data!$A$1:$AH$1,),)</f>
        <v/>
      </c>
      <c r="C22" s="59">
        <f>IF(B10&gt;0,(Table2[[#This Row],[Country]]-B10)/B10,0)</f>
        <v/>
      </c>
      <c r="D22" s="59">
        <f>IF(Table2[[#This Row],[Country]]&gt;0,(((Table2[[#This Row],[Country]]-B21)/B21)+1)^12-1,"")</f>
        <v/>
      </c>
    </row>
    <row r="23">
      <c r="A23" s="35" t="n">
        <v>22798</v>
      </c>
      <c r="B23" s="36">
        <f>VLOOKUP(A23,Data!$A:$AH,MATCH(Country!$A$1,Data!$A$1:$AH$1,),)</f>
        <v/>
      </c>
      <c r="C23" s="59">
        <f>IF(B11&gt;0,(Table2[[#This Row],[Country]]-B11)/B11,0)</f>
        <v/>
      </c>
      <c r="D23" s="59">
        <f>IF(Table2[[#This Row],[Country]]&gt;0,(((Table2[[#This Row],[Country]]-B22)/B22)+1)^12-1,"")</f>
        <v/>
      </c>
    </row>
    <row r="24">
      <c r="A24" s="35" t="n">
        <v>22828</v>
      </c>
      <c r="B24" s="36">
        <f>VLOOKUP(A24,Data!$A:$AH,MATCH(Country!$A$1,Data!$A$1:$AH$1,),)</f>
        <v/>
      </c>
      <c r="C24" s="59">
        <f>IF(B12&gt;0,(Table2[[#This Row],[Country]]-B12)/B12,0)</f>
        <v/>
      </c>
      <c r="D24" s="59">
        <f>IF(Table2[[#This Row],[Country]]&gt;0,(((Table2[[#This Row],[Country]]-B23)/B23)+1)^12-1,"")</f>
        <v/>
      </c>
    </row>
    <row r="25">
      <c r="A25" s="35" t="n">
        <v>22859</v>
      </c>
      <c r="B25" s="36">
        <f>VLOOKUP(A25,Data!$A:$AH,MATCH(Country!$A$1,Data!$A$1:$AH$1,),)</f>
        <v/>
      </c>
      <c r="C25" s="59">
        <f>IF(B13&gt;0,(Table2[[#This Row],[Country]]-B13)/B13,0)</f>
        <v/>
      </c>
      <c r="D25" s="59">
        <f>IF(Table2[[#This Row],[Country]]&gt;0,(((Table2[[#This Row],[Country]]-B24)/B24)+1)^12-1,"")</f>
        <v/>
      </c>
    </row>
    <row r="26">
      <c r="A26" s="35" t="n">
        <v>22890</v>
      </c>
      <c r="B26" s="36">
        <f>VLOOKUP(A26,Data!$A:$AH,MATCH(Country!$A$1,Data!$A$1:$AH$1,),)</f>
        <v/>
      </c>
      <c r="C26" s="59">
        <f>IF(B14&gt;0,(Table2[[#This Row],[Country]]-B14)/B14,0)</f>
        <v/>
      </c>
      <c r="D26" s="59">
        <f>IF(Table2[[#This Row],[Country]]&gt;0,(((Table2[[#This Row],[Country]]-B25)/B25)+1)^12-1,"")</f>
        <v/>
      </c>
    </row>
    <row r="27">
      <c r="A27" s="35" t="n">
        <v>22920</v>
      </c>
      <c r="B27" s="36">
        <f>VLOOKUP(A27,Data!$A:$AH,MATCH(Country!$A$1,Data!$A$1:$AH$1,),)</f>
        <v/>
      </c>
      <c r="C27" s="59">
        <f>IF(B15&gt;0,(Table2[[#This Row],[Country]]-B15)/B15,0)</f>
        <v/>
      </c>
      <c r="D27" s="59">
        <f>IF(Table2[[#This Row],[Country]]&gt;0,(((Table2[[#This Row],[Country]]-B26)/B26)+1)^12-1,"")</f>
        <v/>
      </c>
    </row>
    <row r="28">
      <c r="A28" s="35" t="n">
        <v>22951</v>
      </c>
      <c r="B28" s="36">
        <f>VLOOKUP(A28,Data!$A:$AH,MATCH(Country!$A$1,Data!$A$1:$AH$1,),)</f>
        <v/>
      </c>
      <c r="C28" s="59">
        <f>IF(B16&gt;0,(Table2[[#This Row],[Country]]-B16)/B16,0)</f>
        <v/>
      </c>
      <c r="D28" s="59">
        <f>IF(Table2[[#This Row],[Country]]&gt;0,(((Table2[[#This Row],[Country]]-B27)/B27)+1)^12-1,"")</f>
        <v/>
      </c>
    </row>
    <row r="29">
      <c r="A29" s="35" t="n">
        <v>22981</v>
      </c>
      <c r="B29" s="36">
        <f>VLOOKUP(A29,Data!$A:$AH,MATCH(Country!$A$1,Data!$A$1:$AH$1,),)</f>
        <v/>
      </c>
      <c r="C29" s="59">
        <f>IF(B17&gt;0,(Table2[[#This Row],[Country]]-B17)/B17,0)</f>
        <v/>
      </c>
      <c r="D29" s="59">
        <f>IF(Table2[[#This Row],[Country]]&gt;0,(((Table2[[#This Row],[Country]]-B28)/B28)+1)^12-1,"")</f>
        <v/>
      </c>
    </row>
    <row r="30">
      <c r="A30" s="35" t="n">
        <v>23012</v>
      </c>
      <c r="B30" s="36">
        <f>VLOOKUP(A30,Data!$A:$AH,MATCH(Country!$A$1,Data!$A$1:$AH$1,),)</f>
        <v/>
      </c>
      <c r="C30" s="59">
        <f>IF(B18&gt;0,(Table2[[#This Row],[Country]]-B18)/B18,0)</f>
        <v/>
      </c>
      <c r="D30" s="59">
        <f>IF(Table2[[#This Row],[Country]]&gt;0,(((Table2[[#This Row],[Country]]-B29)/B29)+1)^12-1,"")</f>
        <v/>
      </c>
    </row>
    <row r="31">
      <c r="A31" s="35" t="n">
        <v>23043</v>
      </c>
      <c r="B31" s="36">
        <f>VLOOKUP(A31,Data!$A:$AH,MATCH(Country!$A$1,Data!$A$1:$AH$1,),)</f>
        <v/>
      </c>
      <c r="C31" s="59">
        <f>IF(B19&gt;0,(Table2[[#This Row],[Country]]-B19)/B19,0)</f>
        <v/>
      </c>
      <c r="D31" s="59">
        <f>IF(Table2[[#This Row],[Country]]&gt;0,(((Table2[[#This Row],[Country]]-B30)/B30)+1)^12-1,"")</f>
        <v/>
      </c>
    </row>
    <row r="32">
      <c r="A32" s="35" t="n">
        <v>23071</v>
      </c>
      <c r="B32" s="36">
        <f>VLOOKUP(A32,Data!$A:$AH,MATCH(Country!$A$1,Data!$A$1:$AH$1,),)</f>
        <v/>
      </c>
      <c r="C32" s="59">
        <f>IF(B20&gt;0,(Table2[[#This Row],[Country]]-B20)/B20,0)</f>
        <v/>
      </c>
      <c r="D32" s="59">
        <f>IF(Table2[[#This Row],[Country]]&gt;0,(((Table2[[#This Row],[Country]]-B31)/B31)+1)^12-1,"")</f>
        <v/>
      </c>
    </row>
    <row r="33">
      <c r="A33" s="35" t="n">
        <v>23102</v>
      </c>
      <c r="B33" s="36">
        <f>VLOOKUP(A33,Data!$A:$AH,MATCH(Country!$A$1,Data!$A$1:$AH$1,),)</f>
        <v/>
      </c>
      <c r="C33" s="59">
        <f>IF(B21&gt;0,(Table2[[#This Row],[Country]]-B21)/B21,0)</f>
        <v/>
      </c>
      <c r="D33" s="59">
        <f>IF(Table2[[#This Row],[Country]]&gt;0,(((Table2[[#This Row],[Country]]-B32)/B32)+1)^12-1,"")</f>
        <v/>
      </c>
    </row>
    <row r="34">
      <c r="A34" s="35" t="n">
        <v>23132</v>
      </c>
      <c r="B34" s="36">
        <f>VLOOKUP(A34,Data!$A:$AH,MATCH(Country!$A$1,Data!$A$1:$AH$1,),)</f>
        <v/>
      </c>
      <c r="C34" s="59">
        <f>IF(B22&gt;0,(Table2[[#This Row],[Country]]-B22)/B22,0)</f>
        <v/>
      </c>
      <c r="D34" s="59">
        <f>IF(Table2[[#This Row],[Country]]&gt;0,(((Table2[[#This Row],[Country]]-B33)/B33)+1)^12-1,"")</f>
        <v/>
      </c>
    </row>
    <row r="35">
      <c r="A35" s="35" t="n">
        <v>23163</v>
      </c>
      <c r="B35" s="36">
        <f>VLOOKUP(A35,Data!$A:$AH,MATCH(Country!$A$1,Data!$A$1:$AH$1,),)</f>
        <v/>
      </c>
      <c r="C35" s="59">
        <f>IF(B23&gt;0,(Table2[[#This Row],[Country]]-B23)/B23,0)</f>
        <v/>
      </c>
      <c r="D35" s="59">
        <f>IF(Table2[[#This Row],[Country]]&gt;0,(((Table2[[#This Row],[Country]]-B34)/B34)+1)^12-1,"")</f>
        <v/>
      </c>
    </row>
    <row r="36">
      <c r="A36" s="35" t="n">
        <v>23193</v>
      </c>
      <c r="B36" s="36">
        <f>VLOOKUP(A36,Data!$A:$AH,MATCH(Country!$A$1,Data!$A$1:$AH$1,),)</f>
        <v/>
      </c>
      <c r="C36" s="59">
        <f>IF(B24&gt;0,(Table2[[#This Row],[Country]]-B24)/B24,0)</f>
        <v/>
      </c>
      <c r="D36" s="59">
        <f>IF(Table2[[#This Row],[Country]]&gt;0,(((Table2[[#This Row],[Country]]-B35)/B35)+1)^12-1,"")</f>
        <v/>
      </c>
    </row>
    <row r="37">
      <c r="A37" s="35" t="n">
        <v>23224</v>
      </c>
      <c r="B37" s="36">
        <f>VLOOKUP(A37,Data!$A:$AH,MATCH(Country!$A$1,Data!$A$1:$AH$1,),)</f>
        <v/>
      </c>
      <c r="C37" s="59">
        <f>IF(B25&gt;0,(Table2[[#This Row],[Country]]-B25)/B25,0)</f>
        <v/>
      </c>
      <c r="D37" s="59">
        <f>IF(Table2[[#This Row],[Country]]&gt;0,(((Table2[[#This Row],[Country]]-B36)/B36)+1)^12-1,"")</f>
        <v/>
      </c>
    </row>
    <row r="38">
      <c r="A38" s="35" t="n">
        <v>23255</v>
      </c>
      <c r="B38" s="36">
        <f>VLOOKUP(A38,Data!$A:$AH,MATCH(Country!$A$1,Data!$A$1:$AH$1,),)</f>
        <v/>
      </c>
      <c r="C38" s="59">
        <f>IF(B26&gt;0,(Table2[[#This Row],[Country]]-B26)/B26,0)</f>
        <v/>
      </c>
      <c r="D38" s="59">
        <f>IF(Table2[[#This Row],[Country]]&gt;0,(((Table2[[#This Row],[Country]]-B37)/B37)+1)^12-1,"")</f>
        <v/>
      </c>
    </row>
    <row r="39">
      <c r="A39" s="35" t="n">
        <v>23285</v>
      </c>
      <c r="B39" s="36">
        <f>VLOOKUP(A39,Data!$A:$AH,MATCH(Country!$A$1,Data!$A$1:$AH$1,),)</f>
        <v/>
      </c>
      <c r="C39" s="59">
        <f>IF(B27&gt;0,(Table2[[#This Row],[Country]]-B27)/B27,0)</f>
        <v/>
      </c>
      <c r="D39" s="59">
        <f>IF(Table2[[#This Row],[Country]]&gt;0,(((Table2[[#This Row],[Country]]-B38)/B38)+1)^12-1,"")</f>
        <v/>
      </c>
    </row>
    <row r="40">
      <c r="A40" s="35" t="n">
        <v>23316</v>
      </c>
      <c r="B40" s="36">
        <f>VLOOKUP(A40,Data!$A:$AH,MATCH(Country!$A$1,Data!$A$1:$AH$1,),)</f>
        <v/>
      </c>
      <c r="C40" s="59">
        <f>IF(B28&gt;0,(Table2[[#This Row],[Country]]-B28)/B28,0)</f>
        <v/>
      </c>
      <c r="D40" s="59">
        <f>IF(Table2[[#This Row],[Country]]&gt;0,(((Table2[[#This Row],[Country]]-B39)/B39)+1)^12-1,"")</f>
        <v/>
      </c>
    </row>
    <row r="41">
      <c r="A41" s="35" t="n">
        <v>23346</v>
      </c>
      <c r="B41" s="36">
        <f>VLOOKUP(A41,Data!$A:$AH,MATCH(Country!$A$1,Data!$A$1:$AH$1,),)</f>
        <v/>
      </c>
      <c r="C41" s="59">
        <f>IF(B29&gt;0,(Table2[[#This Row],[Country]]-B29)/B29,0)</f>
        <v/>
      </c>
      <c r="D41" s="59">
        <f>IF(Table2[[#This Row],[Country]]&gt;0,(((Table2[[#This Row],[Country]]-B40)/B40)+1)^12-1,"")</f>
        <v/>
      </c>
    </row>
    <row r="42">
      <c r="A42" s="35" t="n">
        <v>23377</v>
      </c>
      <c r="B42" s="36">
        <f>VLOOKUP(A42,Data!$A:$AH,MATCH(Country!$A$1,Data!$A$1:$AH$1,),)</f>
        <v/>
      </c>
      <c r="C42" s="59">
        <f>IF(B30&gt;0,(Table2[[#This Row],[Country]]-B30)/B30,0)</f>
        <v/>
      </c>
      <c r="D42" s="59">
        <f>IF(Table2[[#This Row],[Country]]&gt;0,(((Table2[[#This Row],[Country]]-B41)/B41)+1)^12-1,"")</f>
        <v/>
      </c>
    </row>
    <row r="43">
      <c r="A43" s="35" t="n">
        <v>23408</v>
      </c>
      <c r="B43" s="36">
        <f>VLOOKUP(A43,Data!$A:$AH,MATCH(Country!$A$1,Data!$A$1:$AH$1,),)</f>
        <v/>
      </c>
      <c r="C43" s="59">
        <f>IF(B31&gt;0,(Table2[[#This Row],[Country]]-B31)/B31,0)</f>
        <v/>
      </c>
      <c r="D43" s="59">
        <f>IF(Table2[[#This Row],[Country]]&gt;0,(((Table2[[#This Row],[Country]]-B42)/B42)+1)^12-1,"")</f>
        <v/>
      </c>
    </row>
    <row r="44">
      <c r="A44" s="35" t="n">
        <v>23437</v>
      </c>
      <c r="B44" s="36">
        <f>VLOOKUP(A44,Data!$A:$AH,MATCH(Country!$A$1,Data!$A$1:$AH$1,),)</f>
        <v/>
      </c>
      <c r="C44" s="59">
        <f>IF(B32&gt;0,(Table2[[#This Row],[Country]]-B32)/B32,0)</f>
        <v/>
      </c>
      <c r="D44" s="59">
        <f>IF(Table2[[#This Row],[Country]]&gt;0,(((Table2[[#This Row],[Country]]-B43)/B43)+1)^12-1,"")</f>
        <v/>
      </c>
    </row>
    <row r="45">
      <c r="A45" s="35" t="n">
        <v>23468</v>
      </c>
      <c r="B45" s="36">
        <f>VLOOKUP(A45,Data!$A:$AH,MATCH(Country!$A$1,Data!$A$1:$AH$1,),)</f>
        <v/>
      </c>
      <c r="C45" s="59">
        <f>IF(B33&gt;0,(Table2[[#This Row],[Country]]-B33)/B33,0)</f>
        <v/>
      </c>
      <c r="D45" s="59">
        <f>IF(Table2[[#This Row],[Country]]&gt;0,(((Table2[[#This Row],[Country]]-B44)/B44)+1)^12-1,"")</f>
        <v/>
      </c>
    </row>
    <row r="46">
      <c r="A46" s="35" t="n">
        <v>23498</v>
      </c>
      <c r="B46" s="36">
        <f>VLOOKUP(A46,Data!$A:$AH,MATCH(Country!$A$1,Data!$A$1:$AH$1,),)</f>
        <v/>
      </c>
      <c r="C46" s="59">
        <f>IF(B34&gt;0,(Table2[[#This Row],[Country]]-B34)/B34,0)</f>
        <v/>
      </c>
      <c r="D46" s="59">
        <f>IF(Table2[[#This Row],[Country]]&gt;0,(((Table2[[#This Row],[Country]]-B45)/B45)+1)^12-1,"")</f>
        <v/>
      </c>
    </row>
    <row r="47">
      <c r="A47" s="35" t="n">
        <v>23529</v>
      </c>
      <c r="B47" s="36">
        <f>VLOOKUP(A47,Data!$A:$AH,MATCH(Country!$A$1,Data!$A$1:$AH$1,),)</f>
        <v/>
      </c>
      <c r="C47" s="59">
        <f>IF(B35&gt;0,(Table2[[#This Row],[Country]]-B35)/B35,0)</f>
        <v/>
      </c>
      <c r="D47" s="59">
        <f>IF(Table2[[#This Row],[Country]]&gt;0,(((Table2[[#This Row],[Country]]-B46)/B46)+1)^12-1,"")</f>
        <v/>
      </c>
    </row>
    <row r="48">
      <c r="A48" s="35" t="n">
        <v>23559</v>
      </c>
      <c r="B48" s="36">
        <f>VLOOKUP(A48,Data!$A:$AH,MATCH(Country!$A$1,Data!$A$1:$AH$1,),)</f>
        <v/>
      </c>
      <c r="C48" s="59">
        <f>IF(B36&gt;0,(Table2[[#This Row],[Country]]-B36)/B36,0)</f>
        <v/>
      </c>
      <c r="D48" s="59">
        <f>IF(Table2[[#This Row],[Country]]&gt;0,(((Table2[[#This Row],[Country]]-B47)/B47)+1)^12-1,"")</f>
        <v/>
      </c>
    </row>
    <row r="49">
      <c r="A49" s="35" t="n">
        <v>23590</v>
      </c>
      <c r="B49" s="36">
        <f>VLOOKUP(A49,Data!$A:$AH,MATCH(Country!$A$1,Data!$A$1:$AH$1,),)</f>
        <v/>
      </c>
      <c r="C49" s="59">
        <f>IF(B37&gt;0,(Table2[[#This Row],[Country]]-B37)/B37,0)</f>
        <v/>
      </c>
      <c r="D49" s="59">
        <f>IF(Table2[[#This Row],[Country]]&gt;0,(((Table2[[#This Row],[Country]]-B48)/B48)+1)^12-1,"")</f>
        <v/>
      </c>
    </row>
    <row r="50">
      <c r="A50" s="35" t="n">
        <v>23621</v>
      </c>
      <c r="B50" s="36">
        <f>VLOOKUP(A50,Data!$A:$AH,MATCH(Country!$A$1,Data!$A$1:$AH$1,),)</f>
        <v/>
      </c>
      <c r="C50" s="59">
        <f>IF(B38&gt;0,(Table2[[#This Row],[Country]]-B38)/B38,0)</f>
        <v/>
      </c>
      <c r="D50" s="59">
        <f>IF(Table2[[#This Row],[Country]]&gt;0,(((Table2[[#This Row],[Country]]-B49)/B49)+1)^12-1,"")</f>
        <v/>
      </c>
    </row>
    <row r="51">
      <c r="A51" s="35" t="n">
        <v>23651</v>
      </c>
      <c r="B51" s="36">
        <f>VLOOKUP(A51,Data!$A:$AH,MATCH(Country!$A$1,Data!$A$1:$AH$1,),)</f>
        <v/>
      </c>
      <c r="C51" s="59">
        <f>IF(B39&gt;0,(Table2[[#This Row],[Country]]-B39)/B39,0)</f>
        <v/>
      </c>
      <c r="D51" s="59">
        <f>IF(Table2[[#This Row],[Country]]&gt;0,(((Table2[[#This Row],[Country]]-B50)/B50)+1)^12-1,"")</f>
        <v/>
      </c>
    </row>
    <row r="52">
      <c r="A52" s="35" t="n">
        <v>23682</v>
      </c>
      <c r="B52" s="36">
        <f>VLOOKUP(A52,Data!$A:$AH,MATCH(Country!$A$1,Data!$A$1:$AH$1,),)</f>
        <v/>
      </c>
      <c r="C52" s="59">
        <f>IF(B40&gt;0,(Table2[[#This Row],[Country]]-B40)/B40,0)</f>
        <v/>
      </c>
      <c r="D52" s="59">
        <f>IF(Table2[[#This Row],[Country]]&gt;0,(((Table2[[#This Row],[Country]]-B51)/B51)+1)^12-1,"")</f>
        <v/>
      </c>
    </row>
    <row r="53">
      <c r="A53" s="35" t="n">
        <v>23712</v>
      </c>
      <c r="B53" s="36">
        <f>VLOOKUP(A53,Data!$A:$AH,MATCH(Country!$A$1,Data!$A$1:$AH$1,),)</f>
        <v/>
      </c>
      <c r="C53" s="59">
        <f>IF(B41&gt;0,(Table2[[#This Row],[Country]]-B41)/B41,0)</f>
        <v/>
      </c>
      <c r="D53" s="59">
        <f>IF(Table2[[#This Row],[Country]]&gt;0,(((Table2[[#This Row],[Country]]-B52)/B52)+1)^12-1,"")</f>
        <v/>
      </c>
    </row>
    <row r="54">
      <c r="A54" s="35" t="n">
        <v>23743</v>
      </c>
      <c r="B54" s="36">
        <f>VLOOKUP(A54,Data!$A:$AH,MATCH(Country!$A$1,Data!$A$1:$AH$1,),)</f>
        <v/>
      </c>
      <c r="C54" s="59">
        <f>IF(B42&gt;0,(Table2[[#This Row],[Country]]-B42)/B42,0)</f>
        <v/>
      </c>
      <c r="D54" s="59">
        <f>IF(Table2[[#This Row],[Country]]&gt;0,(((Table2[[#This Row],[Country]]-B53)/B53)+1)^12-1,"")</f>
        <v/>
      </c>
    </row>
    <row r="55">
      <c r="A55" s="35" t="n">
        <v>23774</v>
      </c>
      <c r="B55" s="36">
        <f>VLOOKUP(A55,Data!$A:$AH,MATCH(Country!$A$1,Data!$A$1:$AH$1,),)</f>
        <v/>
      </c>
      <c r="C55" s="59">
        <f>IF(B43&gt;0,(Table2[[#This Row],[Country]]-B43)/B43,0)</f>
        <v/>
      </c>
      <c r="D55" s="59">
        <f>IF(Table2[[#This Row],[Country]]&gt;0,(((Table2[[#This Row],[Country]]-B54)/B54)+1)^12-1,"")</f>
        <v/>
      </c>
    </row>
    <row r="56">
      <c r="A56" s="35" t="n">
        <v>23802</v>
      </c>
      <c r="B56" s="36">
        <f>VLOOKUP(A56,Data!$A:$AH,MATCH(Country!$A$1,Data!$A$1:$AH$1,),)</f>
        <v/>
      </c>
      <c r="C56" s="59">
        <f>IF(B44&gt;0,(Table2[[#This Row],[Country]]-B44)/B44,0)</f>
        <v/>
      </c>
      <c r="D56" s="59">
        <f>IF(Table2[[#This Row],[Country]]&gt;0,(((Table2[[#This Row],[Country]]-B55)/B55)+1)^12-1,"")</f>
        <v/>
      </c>
    </row>
    <row r="57">
      <c r="A57" s="35" t="n">
        <v>23833</v>
      </c>
      <c r="B57" s="36">
        <f>VLOOKUP(A57,Data!$A:$AH,MATCH(Country!$A$1,Data!$A$1:$AH$1,),)</f>
        <v/>
      </c>
      <c r="C57" s="59">
        <f>IF(B45&gt;0,(Table2[[#This Row],[Country]]-B45)/B45,0)</f>
        <v/>
      </c>
      <c r="D57" s="59">
        <f>IF(Table2[[#This Row],[Country]]&gt;0,(((Table2[[#This Row],[Country]]-B56)/B56)+1)^12-1,"")</f>
        <v/>
      </c>
    </row>
    <row r="58">
      <c r="A58" s="35" t="n">
        <v>23863</v>
      </c>
      <c r="B58" s="36">
        <f>VLOOKUP(A58,Data!$A:$AH,MATCH(Country!$A$1,Data!$A$1:$AH$1,),)</f>
        <v/>
      </c>
      <c r="C58" s="59">
        <f>IF(B46&gt;0,(Table2[[#This Row],[Country]]-B46)/B46,0)</f>
        <v/>
      </c>
      <c r="D58" s="59">
        <f>IF(Table2[[#This Row],[Country]]&gt;0,(((Table2[[#This Row],[Country]]-B57)/B57)+1)^12-1,"")</f>
        <v/>
      </c>
    </row>
    <row r="59">
      <c r="A59" s="35" t="n">
        <v>23894</v>
      </c>
      <c r="B59" s="36">
        <f>VLOOKUP(A59,Data!$A:$AH,MATCH(Country!$A$1,Data!$A$1:$AH$1,),)</f>
        <v/>
      </c>
      <c r="C59" s="59">
        <f>IF(B47&gt;0,(Table2[[#This Row],[Country]]-B47)/B47,0)</f>
        <v/>
      </c>
      <c r="D59" s="59">
        <f>IF(Table2[[#This Row],[Country]]&gt;0,(((Table2[[#This Row],[Country]]-B58)/B58)+1)^12-1,"")</f>
        <v/>
      </c>
    </row>
    <row r="60">
      <c r="A60" s="35" t="n">
        <v>23924</v>
      </c>
      <c r="B60" s="36">
        <f>VLOOKUP(A60,Data!$A:$AH,MATCH(Country!$A$1,Data!$A$1:$AH$1,),)</f>
        <v/>
      </c>
      <c r="C60" s="59">
        <f>IF(B48&gt;0,(Table2[[#This Row],[Country]]-B48)/B48,0)</f>
        <v/>
      </c>
      <c r="D60" s="59">
        <f>IF(Table2[[#This Row],[Country]]&gt;0,(((Table2[[#This Row],[Country]]-B59)/B59)+1)^12-1,"")</f>
        <v/>
      </c>
    </row>
    <row r="61">
      <c r="A61" s="35" t="n">
        <v>23955</v>
      </c>
      <c r="B61" s="36">
        <f>VLOOKUP(A61,Data!$A:$AH,MATCH(Country!$A$1,Data!$A$1:$AH$1,),)</f>
        <v/>
      </c>
      <c r="C61" s="59">
        <f>IF(B49&gt;0,(Table2[[#This Row],[Country]]-B49)/B49,0)</f>
        <v/>
      </c>
      <c r="D61" s="59">
        <f>IF(Table2[[#This Row],[Country]]&gt;0,(((Table2[[#This Row],[Country]]-B60)/B60)+1)^12-1,"")</f>
        <v/>
      </c>
    </row>
    <row r="62">
      <c r="A62" s="35" t="n">
        <v>23986</v>
      </c>
      <c r="B62" s="36">
        <f>VLOOKUP(A62,Data!$A:$AH,MATCH(Country!$A$1,Data!$A$1:$AH$1,),)</f>
        <v/>
      </c>
      <c r="C62" s="59">
        <f>IF(B50&gt;0,(Table2[[#This Row],[Country]]-B50)/B50,0)</f>
        <v/>
      </c>
      <c r="D62" s="59">
        <f>IF(Table2[[#This Row],[Country]]&gt;0,(((Table2[[#This Row],[Country]]-B61)/B61)+1)^12-1,"")</f>
        <v/>
      </c>
    </row>
    <row r="63">
      <c r="A63" s="35" t="n">
        <v>24016</v>
      </c>
      <c r="B63" s="36">
        <f>VLOOKUP(A63,Data!$A:$AH,MATCH(Country!$A$1,Data!$A$1:$AH$1,),)</f>
        <v/>
      </c>
      <c r="C63" s="59">
        <f>IF(B51&gt;0,(Table2[[#This Row],[Country]]-B51)/B51,0)</f>
        <v/>
      </c>
      <c r="D63" s="59">
        <f>IF(Table2[[#This Row],[Country]]&gt;0,(((Table2[[#This Row],[Country]]-B62)/B62)+1)^12-1,"")</f>
        <v/>
      </c>
    </row>
    <row r="64">
      <c r="A64" s="35" t="n">
        <v>24047</v>
      </c>
      <c r="B64" s="36">
        <f>VLOOKUP(A64,Data!$A:$AH,MATCH(Country!$A$1,Data!$A$1:$AH$1,),)</f>
        <v/>
      </c>
      <c r="C64" s="59">
        <f>IF(B52&gt;0,(Table2[[#This Row],[Country]]-B52)/B52,0)</f>
        <v/>
      </c>
      <c r="D64" s="59">
        <f>IF(Table2[[#This Row],[Country]]&gt;0,(((Table2[[#This Row],[Country]]-B63)/B63)+1)^12-1,"")</f>
        <v/>
      </c>
    </row>
    <row r="65">
      <c r="A65" s="35" t="n">
        <v>24077</v>
      </c>
      <c r="B65" s="36">
        <f>VLOOKUP(A65,Data!$A:$AH,MATCH(Country!$A$1,Data!$A$1:$AH$1,),)</f>
        <v/>
      </c>
      <c r="C65" s="59">
        <f>IF(B53&gt;0,(Table2[[#This Row],[Country]]-B53)/B53,0)</f>
        <v/>
      </c>
      <c r="D65" s="59">
        <f>IF(Table2[[#This Row],[Country]]&gt;0,(((Table2[[#This Row],[Country]]-B64)/B64)+1)^12-1,"")</f>
        <v/>
      </c>
    </row>
    <row r="66">
      <c r="A66" s="35" t="n">
        <v>24108</v>
      </c>
      <c r="B66" s="36">
        <f>VLOOKUP(A66,Data!$A:$AH,MATCH(Country!$A$1,Data!$A$1:$AH$1,),)</f>
        <v/>
      </c>
      <c r="C66" s="59">
        <f>IF(B54&gt;0,(Table2[[#This Row],[Country]]-B54)/B54,0)</f>
        <v/>
      </c>
      <c r="D66" s="59">
        <f>IF(Table2[[#This Row],[Country]]&gt;0,(((Table2[[#This Row],[Country]]-B65)/B65)+1)^12-1,"")</f>
        <v/>
      </c>
    </row>
    <row r="67">
      <c r="A67" s="35" t="n">
        <v>24139</v>
      </c>
      <c r="B67" s="36">
        <f>VLOOKUP(A67,Data!$A:$AH,MATCH(Country!$A$1,Data!$A$1:$AH$1,),)</f>
        <v/>
      </c>
      <c r="C67" s="59">
        <f>IF(B55&gt;0,(Table2[[#This Row],[Country]]-B55)/B55,0)</f>
        <v/>
      </c>
      <c r="D67" s="59">
        <f>IF(Table2[[#This Row],[Country]]&gt;0,(((Table2[[#This Row],[Country]]-B66)/B66)+1)^12-1,"")</f>
        <v/>
      </c>
    </row>
    <row r="68">
      <c r="A68" s="35" t="n">
        <v>24167</v>
      </c>
      <c r="B68" s="36">
        <f>VLOOKUP(A68,Data!$A:$AH,MATCH(Country!$A$1,Data!$A$1:$AH$1,),)</f>
        <v/>
      </c>
      <c r="C68" s="59">
        <f>IF(B56&gt;0,(Table2[[#This Row],[Country]]-B56)/B56,0)</f>
        <v/>
      </c>
      <c r="D68" s="59">
        <f>IF(Table2[[#This Row],[Country]]&gt;0,(((Table2[[#This Row],[Country]]-B67)/B67)+1)^12-1,"")</f>
        <v/>
      </c>
    </row>
    <row r="69">
      <c r="A69" s="35" t="n">
        <v>24198</v>
      </c>
      <c r="B69" s="36">
        <f>VLOOKUP(A69,Data!$A:$AH,MATCH(Country!$A$1,Data!$A$1:$AH$1,),)</f>
        <v/>
      </c>
      <c r="C69" s="59">
        <f>IF(B57&gt;0,(Table2[[#This Row],[Country]]-B57)/B57,0)</f>
        <v/>
      </c>
      <c r="D69" s="59">
        <f>IF(Table2[[#This Row],[Country]]&gt;0,(((Table2[[#This Row],[Country]]-B68)/B68)+1)^12-1,"")</f>
        <v/>
      </c>
    </row>
    <row r="70">
      <c r="A70" s="35" t="n">
        <v>24228</v>
      </c>
      <c r="B70" s="36">
        <f>VLOOKUP(A70,Data!$A:$AH,MATCH(Country!$A$1,Data!$A$1:$AH$1,),)</f>
        <v/>
      </c>
      <c r="C70" s="59">
        <f>IF(B58&gt;0,(Table2[[#This Row],[Country]]-B58)/B58,0)</f>
        <v/>
      </c>
      <c r="D70" s="59">
        <f>IF(Table2[[#This Row],[Country]]&gt;0,(((Table2[[#This Row],[Country]]-B69)/B69)+1)^12-1,"")</f>
        <v/>
      </c>
    </row>
    <row r="71">
      <c r="A71" s="35" t="n">
        <v>24259</v>
      </c>
      <c r="B71" s="36">
        <f>VLOOKUP(A71,Data!$A:$AH,MATCH(Country!$A$1,Data!$A$1:$AH$1,),)</f>
        <v/>
      </c>
      <c r="C71" s="59">
        <f>IF(B59&gt;0,(Table2[[#This Row],[Country]]-B59)/B59,0)</f>
        <v/>
      </c>
      <c r="D71" s="59">
        <f>IF(Table2[[#This Row],[Country]]&gt;0,(((Table2[[#This Row],[Country]]-B70)/B70)+1)^12-1,"")</f>
        <v/>
      </c>
    </row>
    <row r="72">
      <c r="A72" s="35" t="n">
        <v>24289</v>
      </c>
      <c r="B72" s="36">
        <f>VLOOKUP(A72,Data!$A:$AH,MATCH(Country!$A$1,Data!$A$1:$AH$1,),)</f>
        <v/>
      </c>
      <c r="C72" s="59">
        <f>IF(B60&gt;0,(Table2[[#This Row],[Country]]-B60)/B60,0)</f>
        <v/>
      </c>
      <c r="D72" s="59">
        <f>IF(Table2[[#This Row],[Country]]&gt;0,(((Table2[[#This Row],[Country]]-B71)/B71)+1)^12-1,"")</f>
        <v/>
      </c>
    </row>
    <row r="73">
      <c r="A73" s="35" t="n">
        <v>24320</v>
      </c>
      <c r="B73" s="36">
        <f>VLOOKUP(A73,Data!$A:$AH,MATCH(Country!$A$1,Data!$A$1:$AH$1,),)</f>
        <v/>
      </c>
      <c r="C73" s="59">
        <f>IF(B61&gt;0,(Table2[[#This Row],[Country]]-B61)/B61,0)</f>
        <v/>
      </c>
      <c r="D73" s="59">
        <f>IF(Table2[[#This Row],[Country]]&gt;0,(((Table2[[#This Row],[Country]]-B72)/B72)+1)^12-1,"")</f>
        <v/>
      </c>
    </row>
    <row r="74">
      <c r="A74" s="35" t="n">
        <v>24351</v>
      </c>
      <c r="B74" s="36">
        <f>VLOOKUP(A74,Data!$A:$AH,MATCH(Country!$A$1,Data!$A$1:$AH$1,),)</f>
        <v/>
      </c>
      <c r="C74" s="59">
        <f>IF(B62&gt;0,(Table2[[#This Row],[Country]]-B62)/B62,0)</f>
        <v/>
      </c>
      <c r="D74" s="59">
        <f>IF(Table2[[#This Row],[Country]]&gt;0,(((Table2[[#This Row],[Country]]-B73)/B73)+1)^12-1,"")</f>
        <v/>
      </c>
    </row>
    <row r="75">
      <c r="A75" s="35" t="n">
        <v>24381</v>
      </c>
      <c r="B75" s="36">
        <f>VLOOKUP(A75,Data!$A:$AH,MATCH(Country!$A$1,Data!$A$1:$AH$1,),)</f>
        <v/>
      </c>
      <c r="C75" s="59">
        <f>IF(B63&gt;0,(Table2[[#This Row],[Country]]-B63)/B63,0)</f>
        <v/>
      </c>
      <c r="D75" s="59">
        <f>IF(Table2[[#This Row],[Country]]&gt;0,(((Table2[[#This Row],[Country]]-B74)/B74)+1)^12-1,"")</f>
        <v/>
      </c>
    </row>
    <row r="76">
      <c r="A76" s="35" t="n">
        <v>24412</v>
      </c>
      <c r="B76" s="36">
        <f>VLOOKUP(A76,Data!$A:$AH,MATCH(Country!$A$1,Data!$A$1:$AH$1,),)</f>
        <v/>
      </c>
      <c r="C76" s="59">
        <f>IF(B64&gt;0,(Table2[[#This Row],[Country]]-B64)/B64,0)</f>
        <v/>
      </c>
      <c r="D76" s="59">
        <f>IF(Table2[[#This Row],[Country]]&gt;0,(((Table2[[#This Row],[Country]]-B75)/B75)+1)^12-1,"")</f>
        <v/>
      </c>
    </row>
    <row r="77">
      <c r="A77" s="35" t="n">
        <v>24442</v>
      </c>
      <c r="B77" s="36">
        <f>VLOOKUP(A77,Data!$A:$AH,MATCH(Country!$A$1,Data!$A$1:$AH$1,),)</f>
        <v/>
      </c>
      <c r="C77" s="59">
        <f>IF(B65&gt;0,(Table2[[#This Row],[Country]]-B65)/B65,0)</f>
        <v/>
      </c>
      <c r="D77" s="59">
        <f>IF(Table2[[#This Row],[Country]]&gt;0,(((Table2[[#This Row],[Country]]-B76)/B76)+1)^12-1,"")</f>
        <v/>
      </c>
    </row>
    <row r="78">
      <c r="A78" s="35" t="n">
        <v>24473</v>
      </c>
      <c r="B78" s="36">
        <f>VLOOKUP(A78,Data!$A:$AH,MATCH(Country!$A$1,Data!$A$1:$AH$1,),)</f>
        <v/>
      </c>
      <c r="C78" s="59">
        <f>IF(B66&gt;0,(Table2[[#This Row],[Country]]-B66)/B66,0)</f>
        <v/>
      </c>
      <c r="D78" s="59">
        <f>IF(Table2[[#This Row],[Country]]&gt;0,(((Table2[[#This Row],[Country]]-B77)/B77)+1)^12-1,"")</f>
        <v/>
      </c>
    </row>
    <row r="79">
      <c r="A79" s="35" t="n">
        <v>24504</v>
      </c>
      <c r="B79" s="36">
        <f>VLOOKUP(A79,Data!$A:$AH,MATCH(Country!$A$1,Data!$A$1:$AH$1,),)</f>
        <v/>
      </c>
      <c r="C79" s="59">
        <f>IF(B67&gt;0,(Table2[[#This Row],[Country]]-B67)/B67,0)</f>
        <v/>
      </c>
      <c r="D79" s="59">
        <f>IF(Table2[[#This Row],[Country]]&gt;0,(((Table2[[#This Row],[Country]]-B78)/B78)+1)^12-1,"")</f>
        <v/>
      </c>
    </row>
    <row r="80">
      <c r="A80" s="35" t="n">
        <v>24532</v>
      </c>
      <c r="B80" s="36">
        <f>VLOOKUP(A80,Data!$A:$AH,MATCH(Country!$A$1,Data!$A$1:$AH$1,),)</f>
        <v/>
      </c>
      <c r="C80" s="59">
        <f>IF(B68&gt;0,(Table2[[#This Row],[Country]]-B68)/B68,0)</f>
        <v/>
      </c>
      <c r="D80" s="59">
        <f>IF(Table2[[#This Row],[Country]]&gt;0,(((Table2[[#This Row],[Country]]-B79)/B79)+1)^12-1,"")</f>
        <v/>
      </c>
    </row>
    <row r="81">
      <c r="A81" s="35" t="n">
        <v>24563</v>
      </c>
      <c r="B81" s="36">
        <f>VLOOKUP(A81,Data!$A:$AH,MATCH(Country!$A$1,Data!$A$1:$AH$1,),)</f>
        <v/>
      </c>
      <c r="C81" s="59">
        <f>IF(B69&gt;0,(Table2[[#This Row],[Country]]-B69)/B69,0)</f>
        <v/>
      </c>
      <c r="D81" s="59">
        <f>IF(Table2[[#This Row],[Country]]&gt;0,(((Table2[[#This Row],[Country]]-B80)/B80)+1)^12-1,"")</f>
        <v/>
      </c>
    </row>
    <row r="82">
      <c r="A82" s="35" t="n">
        <v>24593</v>
      </c>
      <c r="B82" s="36">
        <f>VLOOKUP(A82,Data!$A:$AH,MATCH(Country!$A$1,Data!$A$1:$AH$1,),)</f>
        <v/>
      </c>
      <c r="C82" s="59">
        <f>IF(B70&gt;0,(Table2[[#This Row],[Country]]-B70)/B70,0)</f>
        <v/>
      </c>
      <c r="D82" s="59">
        <f>IF(Table2[[#This Row],[Country]]&gt;0,(((Table2[[#This Row],[Country]]-B81)/B81)+1)^12-1,"")</f>
        <v/>
      </c>
    </row>
    <row r="83">
      <c r="A83" s="35" t="n">
        <v>24624</v>
      </c>
      <c r="B83" s="36">
        <f>VLOOKUP(A83,Data!$A:$AH,MATCH(Country!$A$1,Data!$A$1:$AH$1,),)</f>
        <v/>
      </c>
      <c r="C83" s="59">
        <f>IF(B71&gt;0,(Table2[[#This Row],[Country]]-B71)/B71,0)</f>
        <v/>
      </c>
      <c r="D83" s="59">
        <f>IF(Table2[[#This Row],[Country]]&gt;0,(((Table2[[#This Row],[Country]]-B82)/B82)+1)^12-1,"")</f>
        <v/>
      </c>
    </row>
    <row r="84">
      <c r="A84" s="35" t="n">
        <v>24654</v>
      </c>
      <c r="B84" s="36">
        <f>VLOOKUP(A84,Data!$A:$AH,MATCH(Country!$A$1,Data!$A$1:$AH$1,),)</f>
        <v/>
      </c>
      <c r="C84" s="59">
        <f>IF(B72&gt;0,(Table2[[#This Row],[Country]]-B72)/B72,0)</f>
        <v/>
      </c>
      <c r="D84" s="59">
        <f>IF(Table2[[#This Row],[Country]]&gt;0,(((Table2[[#This Row],[Country]]-B83)/B83)+1)^12-1,"")</f>
        <v/>
      </c>
    </row>
    <row r="85">
      <c r="A85" s="35" t="n">
        <v>24685</v>
      </c>
      <c r="B85" s="36">
        <f>VLOOKUP(A85,Data!$A:$AH,MATCH(Country!$A$1,Data!$A$1:$AH$1,),)</f>
        <v/>
      </c>
      <c r="C85" s="59">
        <f>IF(B73&gt;0,(Table2[[#This Row],[Country]]-B73)/B73,0)</f>
        <v/>
      </c>
      <c r="D85" s="59">
        <f>IF(Table2[[#This Row],[Country]]&gt;0,(((Table2[[#This Row],[Country]]-B84)/B84)+1)^12-1,"")</f>
        <v/>
      </c>
    </row>
    <row r="86">
      <c r="A86" s="35" t="n">
        <v>24716</v>
      </c>
      <c r="B86" s="36">
        <f>VLOOKUP(A86,Data!$A:$AH,MATCH(Country!$A$1,Data!$A$1:$AH$1,),)</f>
        <v/>
      </c>
      <c r="C86" s="59">
        <f>IF(B74&gt;0,(Table2[[#This Row],[Country]]-B74)/B74,0)</f>
        <v/>
      </c>
      <c r="D86" s="59">
        <f>IF(Table2[[#This Row],[Country]]&gt;0,(((Table2[[#This Row],[Country]]-B85)/B85)+1)^12-1,"")</f>
        <v/>
      </c>
    </row>
    <row r="87">
      <c r="A87" s="35" t="n">
        <v>24746</v>
      </c>
      <c r="B87" s="36">
        <f>VLOOKUP(A87,Data!$A:$AH,MATCH(Country!$A$1,Data!$A$1:$AH$1,),)</f>
        <v/>
      </c>
      <c r="C87" s="59">
        <f>IF(B75&gt;0,(Table2[[#This Row],[Country]]-B75)/B75,0)</f>
        <v/>
      </c>
      <c r="D87" s="59">
        <f>IF(Table2[[#This Row],[Country]]&gt;0,(((Table2[[#This Row],[Country]]-B86)/B86)+1)^12-1,"")</f>
        <v/>
      </c>
    </row>
    <row r="88">
      <c r="A88" s="35" t="n">
        <v>24777</v>
      </c>
      <c r="B88" s="36">
        <f>VLOOKUP(A88,Data!$A:$AH,MATCH(Country!$A$1,Data!$A$1:$AH$1,),)</f>
        <v/>
      </c>
      <c r="C88" s="59">
        <f>IF(B76&gt;0,(Table2[[#This Row],[Country]]-B76)/B76,0)</f>
        <v/>
      </c>
      <c r="D88" s="59">
        <f>IF(Table2[[#This Row],[Country]]&gt;0,(((Table2[[#This Row],[Country]]-B87)/B87)+1)^12-1,"")</f>
        <v/>
      </c>
    </row>
    <row r="89">
      <c r="A89" s="35" t="n">
        <v>24807</v>
      </c>
      <c r="B89" s="36">
        <f>VLOOKUP(A89,Data!$A:$AH,MATCH(Country!$A$1,Data!$A$1:$AH$1,),)</f>
        <v/>
      </c>
      <c r="C89" s="59">
        <f>IF(B77&gt;0,(Table2[[#This Row],[Country]]-B77)/B77,0)</f>
        <v/>
      </c>
      <c r="D89" s="59">
        <f>IF(Table2[[#This Row],[Country]]&gt;0,(((Table2[[#This Row],[Country]]-B88)/B88)+1)^12-1,"")</f>
        <v/>
      </c>
    </row>
    <row r="90">
      <c r="A90" s="35" t="n">
        <v>24838</v>
      </c>
      <c r="B90" s="36">
        <f>VLOOKUP(A90,Data!$A:$AH,MATCH(Country!$A$1,Data!$A$1:$AH$1,),)</f>
        <v/>
      </c>
      <c r="C90" s="59">
        <f>IF(B78&gt;0,(Table2[[#This Row],[Country]]-B78)/B78,0)</f>
        <v/>
      </c>
      <c r="D90" s="59">
        <f>IF(Table2[[#This Row],[Country]]&gt;0,(((Table2[[#This Row],[Country]]-B89)/B89)+1)^12-1,"")</f>
        <v/>
      </c>
    </row>
    <row r="91">
      <c r="A91" s="35" t="n">
        <v>24869</v>
      </c>
      <c r="B91" s="36">
        <f>VLOOKUP(A91,Data!$A:$AH,MATCH(Country!$A$1,Data!$A$1:$AH$1,),)</f>
        <v/>
      </c>
      <c r="C91" s="59">
        <f>IF(B79&gt;0,(Table2[[#This Row],[Country]]-B79)/B79,0)</f>
        <v/>
      </c>
      <c r="D91" s="59">
        <f>IF(Table2[[#This Row],[Country]]&gt;0,(((Table2[[#This Row],[Country]]-B90)/B90)+1)^12-1,"")</f>
        <v/>
      </c>
    </row>
    <row r="92">
      <c r="A92" s="35" t="n">
        <v>24898</v>
      </c>
      <c r="B92" s="36">
        <f>VLOOKUP(A92,Data!$A:$AH,MATCH(Country!$A$1,Data!$A$1:$AH$1,),)</f>
        <v/>
      </c>
      <c r="C92" s="59">
        <f>IF(B80&gt;0,(Table2[[#This Row],[Country]]-B80)/B80,0)</f>
        <v/>
      </c>
      <c r="D92" s="59">
        <f>IF(Table2[[#This Row],[Country]]&gt;0,(((Table2[[#This Row],[Country]]-B91)/B91)+1)^12-1,"")</f>
        <v/>
      </c>
    </row>
    <row r="93">
      <c r="A93" s="35" t="n">
        <v>24929</v>
      </c>
      <c r="B93" s="36">
        <f>VLOOKUP(A93,Data!$A:$AH,MATCH(Country!$A$1,Data!$A$1:$AH$1,),)</f>
        <v/>
      </c>
      <c r="C93" s="59">
        <f>IF(B81&gt;0,(Table2[[#This Row],[Country]]-B81)/B81,0)</f>
        <v/>
      </c>
      <c r="D93" s="59">
        <f>IF(Table2[[#This Row],[Country]]&gt;0,(((Table2[[#This Row],[Country]]-B92)/B92)+1)^12-1,"")</f>
        <v/>
      </c>
    </row>
    <row r="94">
      <c r="A94" s="35" t="n">
        <v>24959</v>
      </c>
      <c r="B94" s="36">
        <f>VLOOKUP(A94,Data!$A:$AH,MATCH(Country!$A$1,Data!$A$1:$AH$1,),)</f>
        <v/>
      </c>
      <c r="C94" s="59">
        <f>IF(B82&gt;0,(Table2[[#This Row],[Country]]-B82)/B82,0)</f>
        <v/>
      </c>
      <c r="D94" s="59">
        <f>IF(Table2[[#This Row],[Country]]&gt;0,(((Table2[[#This Row],[Country]]-B93)/B93)+1)^12-1,"")</f>
        <v/>
      </c>
    </row>
    <row r="95">
      <c r="A95" s="35" t="n">
        <v>24990</v>
      </c>
      <c r="B95" s="36">
        <f>VLOOKUP(A95,Data!$A:$AH,MATCH(Country!$A$1,Data!$A$1:$AH$1,),)</f>
        <v/>
      </c>
      <c r="C95" s="59">
        <f>IF(B83&gt;0,(Table2[[#This Row],[Country]]-B83)/B83,0)</f>
        <v/>
      </c>
      <c r="D95" s="59">
        <f>IF(Table2[[#This Row],[Country]]&gt;0,(((Table2[[#This Row],[Country]]-B94)/B94)+1)^12-1,"")</f>
        <v/>
      </c>
    </row>
    <row r="96">
      <c r="A96" s="35" t="n">
        <v>25020</v>
      </c>
      <c r="B96" s="36">
        <f>VLOOKUP(A96,Data!$A:$AH,MATCH(Country!$A$1,Data!$A$1:$AH$1,),)</f>
        <v/>
      </c>
      <c r="C96" s="59">
        <f>IF(B84&gt;0,(Table2[[#This Row],[Country]]-B84)/B84,0)</f>
        <v/>
      </c>
      <c r="D96" s="59">
        <f>IF(Table2[[#This Row],[Country]]&gt;0,(((Table2[[#This Row],[Country]]-B95)/B95)+1)^12-1,"")</f>
        <v/>
      </c>
    </row>
    <row r="97">
      <c r="A97" s="35" t="n">
        <v>25051</v>
      </c>
      <c r="B97" s="36">
        <f>VLOOKUP(A97,Data!$A:$AH,MATCH(Country!$A$1,Data!$A$1:$AH$1,),)</f>
        <v/>
      </c>
      <c r="C97" s="59">
        <f>IF(B85&gt;0,(Table2[[#This Row],[Country]]-B85)/B85,0)</f>
        <v/>
      </c>
      <c r="D97" s="59">
        <f>IF(Table2[[#This Row],[Country]]&gt;0,(((Table2[[#This Row],[Country]]-B96)/B96)+1)^12-1,"")</f>
        <v/>
      </c>
    </row>
    <row r="98">
      <c r="A98" s="35" t="n">
        <v>25082</v>
      </c>
      <c r="B98" s="36">
        <f>VLOOKUP(A98,Data!$A:$AH,MATCH(Country!$A$1,Data!$A$1:$AH$1,),)</f>
        <v/>
      </c>
      <c r="C98" s="59">
        <f>IF(B86&gt;0,(Table2[[#This Row],[Country]]-B86)/B86,0)</f>
        <v/>
      </c>
      <c r="D98" s="59">
        <f>IF(Table2[[#This Row],[Country]]&gt;0,(((Table2[[#This Row],[Country]]-B97)/B97)+1)^12-1,"")</f>
        <v/>
      </c>
    </row>
    <row r="99">
      <c r="A99" s="35" t="n">
        <v>25112</v>
      </c>
      <c r="B99" s="36">
        <f>VLOOKUP(A99,Data!$A:$AH,MATCH(Country!$A$1,Data!$A$1:$AH$1,),)</f>
        <v/>
      </c>
      <c r="C99" s="59">
        <f>IF(B87&gt;0,(Table2[[#This Row],[Country]]-B87)/B87,0)</f>
        <v/>
      </c>
      <c r="D99" s="59">
        <f>IF(Table2[[#This Row],[Country]]&gt;0,(((Table2[[#This Row],[Country]]-B98)/B98)+1)^12-1,"")</f>
        <v/>
      </c>
    </row>
    <row r="100">
      <c r="A100" s="35" t="n">
        <v>25143</v>
      </c>
      <c r="B100" s="36">
        <f>VLOOKUP(A100,Data!$A:$AH,MATCH(Country!$A$1,Data!$A$1:$AH$1,),)</f>
        <v/>
      </c>
      <c r="C100" s="59">
        <f>IF(B88&gt;0,(Table2[[#This Row],[Country]]-B88)/B88,0)</f>
        <v/>
      </c>
      <c r="D100" s="59">
        <f>IF(Table2[[#This Row],[Country]]&gt;0,(((Table2[[#This Row],[Country]]-B99)/B99)+1)^12-1,"")</f>
        <v/>
      </c>
    </row>
    <row r="101">
      <c r="A101" s="35" t="n">
        <v>25173</v>
      </c>
      <c r="B101" s="36">
        <f>VLOOKUP(A101,Data!$A:$AH,MATCH(Country!$A$1,Data!$A$1:$AH$1,),)</f>
        <v/>
      </c>
      <c r="C101" s="59">
        <f>IF(B89&gt;0,(Table2[[#This Row],[Country]]-B89)/B89,0)</f>
        <v/>
      </c>
      <c r="D101" s="59">
        <f>IF(Table2[[#This Row],[Country]]&gt;0,(((Table2[[#This Row],[Country]]-B100)/B100)+1)^12-1,"")</f>
        <v/>
      </c>
    </row>
    <row r="102">
      <c r="A102" s="35" t="n">
        <v>25204</v>
      </c>
      <c r="B102" s="36">
        <f>VLOOKUP(A102,Data!$A:$AH,MATCH(Country!$A$1,Data!$A$1:$AH$1,),)</f>
        <v/>
      </c>
      <c r="C102" s="59">
        <f>IF(B90&gt;0,(Table2[[#This Row],[Country]]-B90)/B90,0)</f>
        <v/>
      </c>
      <c r="D102" s="59">
        <f>IF(Table2[[#This Row],[Country]]&gt;0,(((Table2[[#This Row],[Country]]-B101)/B101)+1)^12-1,"")</f>
        <v/>
      </c>
    </row>
    <row r="103">
      <c r="A103" s="35" t="n">
        <v>25235</v>
      </c>
      <c r="B103" s="36">
        <f>VLOOKUP(A103,Data!$A:$AH,MATCH(Country!$A$1,Data!$A$1:$AH$1,),)</f>
        <v/>
      </c>
      <c r="C103" s="59">
        <f>IF(B91&gt;0,(Table2[[#This Row],[Country]]-B91)/B91,0)</f>
        <v/>
      </c>
      <c r="D103" s="59">
        <f>IF(Table2[[#This Row],[Country]]&gt;0,(((Table2[[#This Row],[Country]]-B102)/B102)+1)^12-1,"")</f>
        <v/>
      </c>
    </row>
    <row r="104">
      <c r="A104" s="35" t="n">
        <v>25263</v>
      </c>
      <c r="B104" s="36">
        <f>VLOOKUP(A104,Data!$A:$AH,MATCH(Country!$A$1,Data!$A$1:$AH$1,),)</f>
        <v/>
      </c>
      <c r="C104" s="59">
        <f>IF(B92&gt;0,(Table2[[#This Row],[Country]]-B92)/B92,0)</f>
        <v/>
      </c>
      <c r="D104" s="59">
        <f>IF(Table2[[#This Row],[Country]]&gt;0,(((Table2[[#This Row],[Country]]-B103)/B103)+1)^12-1,"")</f>
        <v/>
      </c>
    </row>
    <row r="105">
      <c r="A105" s="35" t="n">
        <v>25294</v>
      </c>
      <c r="B105" s="36">
        <f>VLOOKUP(A105,Data!$A:$AH,MATCH(Country!$A$1,Data!$A$1:$AH$1,),)</f>
        <v/>
      </c>
      <c r="C105" s="59">
        <f>IF(B93&gt;0,(Table2[[#This Row],[Country]]-B93)/B93,0)</f>
        <v/>
      </c>
      <c r="D105" s="59">
        <f>IF(Table2[[#This Row],[Country]]&gt;0,(((Table2[[#This Row],[Country]]-B104)/B104)+1)^12-1,"")</f>
        <v/>
      </c>
    </row>
    <row r="106">
      <c r="A106" s="35" t="n">
        <v>25324</v>
      </c>
      <c r="B106" s="36">
        <f>VLOOKUP(A106,Data!$A:$AH,MATCH(Country!$A$1,Data!$A$1:$AH$1,),)</f>
        <v/>
      </c>
      <c r="C106" s="59">
        <f>IF(B94&gt;0,(Table2[[#This Row],[Country]]-B94)/B94,0)</f>
        <v/>
      </c>
      <c r="D106" s="59">
        <f>IF(Table2[[#This Row],[Country]]&gt;0,(((Table2[[#This Row],[Country]]-B105)/B105)+1)^12-1,"")</f>
        <v/>
      </c>
    </row>
    <row r="107">
      <c r="A107" s="35" t="n">
        <v>25355</v>
      </c>
      <c r="B107" s="36">
        <f>VLOOKUP(A107,Data!$A:$AH,MATCH(Country!$A$1,Data!$A$1:$AH$1,),)</f>
        <v/>
      </c>
      <c r="C107" s="59">
        <f>IF(B95&gt;0,(Table2[[#This Row],[Country]]-B95)/B95,0)</f>
        <v/>
      </c>
      <c r="D107" s="59">
        <f>IF(Table2[[#This Row],[Country]]&gt;0,(((Table2[[#This Row],[Country]]-B106)/B106)+1)^12-1,"")</f>
        <v/>
      </c>
    </row>
    <row r="108">
      <c r="A108" s="35" t="n">
        <v>25385</v>
      </c>
      <c r="B108" s="36">
        <f>VLOOKUP(A108,Data!$A:$AH,MATCH(Country!$A$1,Data!$A$1:$AH$1,),)</f>
        <v/>
      </c>
      <c r="C108" s="59">
        <f>IF(B96&gt;0,(Table2[[#This Row],[Country]]-B96)/B96,0)</f>
        <v/>
      </c>
      <c r="D108" s="59">
        <f>IF(Table2[[#This Row],[Country]]&gt;0,(((Table2[[#This Row],[Country]]-B107)/B107)+1)^12-1,"")</f>
        <v/>
      </c>
    </row>
    <row r="109">
      <c r="A109" s="35" t="n">
        <v>25416</v>
      </c>
      <c r="B109" s="36">
        <f>VLOOKUP(A109,Data!$A:$AH,MATCH(Country!$A$1,Data!$A$1:$AH$1,),)</f>
        <v/>
      </c>
      <c r="C109" s="59">
        <f>IF(B97&gt;0,(Table2[[#This Row],[Country]]-B97)/B97,0)</f>
        <v/>
      </c>
      <c r="D109" s="59">
        <f>IF(Table2[[#This Row],[Country]]&gt;0,(((Table2[[#This Row],[Country]]-B108)/B108)+1)^12-1,"")</f>
        <v/>
      </c>
    </row>
    <row r="110">
      <c r="A110" s="35" t="n">
        <v>25447</v>
      </c>
      <c r="B110" s="36">
        <f>VLOOKUP(A110,Data!$A:$AH,MATCH(Country!$A$1,Data!$A$1:$AH$1,),)</f>
        <v/>
      </c>
      <c r="C110" s="59">
        <f>IF(B98&gt;0,(Table2[[#This Row],[Country]]-B98)/B98,0)</f>
        <v/>
      </c>
      <c r="D110" s="59">
        <f>IF(Table2[[#This Row],[Country]]&gt;0,(((Table2[[#This Row],[Country]]-B109)/B109)+1)^12-1,"")</f>
        <v/>
      </c>
    </row>
    <row r="111">
      <c r="A111" s="35" t="n">
        <v>25477</v>
      </c>
      <c r="B111" s="36">
        <f>VLOOKUP(A111,Data!$A:$AH,MATCH(Country!$A$1,Data!$A$1:$AH$1,),)</f>
        <v/>
      </c>
      <c r="C111" s="59">
        <f>IF(B99&gt;0,(Table2[[#This Row],[Country]]-B99)/B99,0)</f>
        <v/>
      </c>
      <c r="D111" s="59">
        <f>IF(Table2[[#This Row],[Country]]&gt;0,(((Table2[[#This Row],[Country]]-B110)/B110)+1)^12-1,"")</f>
        <v/>
      </c>
    </row>
    <row r="112">
      <c r="A112" s="35" t="n">
        <v>25508</v>
      </c>
      <c r="B112" s="36">
        <f>VLOOKUP(A112,Data!$A:$AH,MATCH(Country!$A$1,Data!$A$1:$AH$1,),)</f>
        <v/>
      </c>
      <c r="C112" s="59">
        <f>IF(B100&gt;0,(Table2[[#This Row],[Country]]-B100)/B100,0)</f>
        <v/>
      </c>
      <c r="D112" s="59">
        <f>IF(Table2[[#This Row],[Country]]&gt;0,(((Table2[[#This Row],[Country]]-B111)/B111)+1)^12-1,"")</f>
        <v/>
      </c>
    </row>
    <row r="113">
      <c r="A113" s="35" t="n">
        <v>25538</v>
      </c>
      <c r="B113" s="36">
        <f>VLOOKUP(A113,Data!$A:$AH,MATCH(Country!$A$1,Data!$A$1:$AH$1,),)</f>
        <v/>
      </c>
      <c r="C113" s="59">
        <f>IF(B101&gt;0,(Table2[[#This Row],[Country]]-B101)/B101,0)</f>
        <v/>
      </c>
      <c r="D113" s="59">
        <f>IF(Table2[[#This Row],[Country]]&gt;0,(((Table2[[#This Row],[Country]]-B112)/B112)+1)^12-1,"")</f>
        <v/>
      </c>
    </row>
    <row r="114">
      <c r="A114" s="35" t="n">
        <v>25569</v>
      </c>
      <c r="B114" s="36">
        <f>VLOOKUP(A114,Data!$A:$AH,MATCH(Country!$A$1,Data!$A$1:$AH$1,),)</f>
        <v/>
      </c>
      <c r="C114" s="59">
        <f>IF(B102&gt;0,(Table2[[#This Row],[Country]]-B102)/B102,0)</f>
        <v/>
      </c>
      <c r="D114" s="59">
        <f>IF(Table2[[#This Row],[Country]]&gt;0,(((Table2[[#This Row],[Country]]-B113)/B113)+1)^12-1,"")</f>
        <v/>
      </c>
    </row>
    <row r="115">
      <c r="A115" s="35" t="n">
        <v>25600</v>
      </c>
      <c r="B115" s="36">
        <f>VLOOKUP(A115,Data!$A:$AH,MATCH(Country!$A$1,Data!$A$1:$AH$1,),)</f>
        <v/>
      </c>
      <c r="C115" s="59">
        <f>IF(B103&gt;0,(Table2[[#This Row],[Country]]-B103)/B103,0)</f>
        <v/>
      </c>
      <c r="D115" s="59">
        <f>IF(Table2[[#This Row],[Country]]&gt;0,(((Table2[[#This Row],[Country]]-B114)/B114)+1)^12-1,"")</f>
        <v/>
      </c>
    </row>
    <row r="116">
      <c r="A116" s="35" t="n">
        <v>25628</v>
      </c>
      <c r="B116" s="36">
        <f>VLOOKUP(A116,Data!$A:$AH,MATCH(Country!$A$1,Data!$A$1:$AH$1,),)</f>
        <v/>
      </c>
      <c r="C116" s="59">
        <f>IF(B104&gt;0,(Table2[[#This Row],[Country]]-B104)/B104,0)</f>
        <v/>
      </c>
      <c r="D116" s="59">
        <f>IF(Table2[[#This Row],[Country]]&gt;0,(((Table2[[#This Row],[Country]]-B115)/B115)+1)^12-1,"")</f>
        <v/>
      </c>
    </row>
    <row r="117">
      <c r="A117" s="35" t="n">
        <v>25659</v>
      </c>
      <c r="B117" s="36">
        <f>VLOOKUP(A117,Data!$A:$AH,MATCH(Country!$A$1,Data!$A$1:$AH$1,),)</f>
        <v/>
      </c>
      <c r="C117" s="59">
        <f>IF(B105&gt;0,(Table2[[#This Row],[Country]]-B105)/B105,0)</f>
        <v/>
      </c>
      <c r="D117" s="59">
        <f>IF(Table2[[#This Row],[Country]]&gt;0,(((Table2[[#This Row],[Country]]-B116)/B116)+1)^12-1,"")</f>
        <v/>
      </c>
    </row>
    <row r="118">
      <c r="A118" s="35" t="n">
        <v>25689</v>
      </c>
      <c r="B118" s="36">
        <f>VLOOKUP(A118,Data!$A:$AH,MATCH(Country!$A$1,Data!$A$1:$AH$1,),)</f>
        <v/>
      </c>
      <c r="C118" s="59">
        <f>IF(B106&gt;0,(Table2[[#This Row],[Country]]-B106)/B106,0)</f>
        <v/>
      </c>
      <c r="D118" s="59">
        <f>IF(Table2[[#This Row],[Country]]&gt;0,(((Table2[[#This Row],[Country]]-B117)/B117)+1)^12-1,"")</f>
        <v/>
      </c>
    </row>
    <row r="119">
      <c r="A119" s="35" t="n">
        <v>25720</v>
      </c>
      <c r="B119" s="36">
        <f>VLOOKUP(A119,Data!$A:$AH,MATCH(Country!$A$1,Data!$A$1:$AH$1,),)</f>
        <v/>
      </c>
      <c r="C119" s="59">
        <f>IF(B107&gt;0,(Table2[[#This Row],[Country]]-B107)/B107,0)</f>
        <v/>
      </c>
      <c r="D119" s="59">
        <f>IF(Table2[[#This Row],[Country]]&gt;0,(((Table2[[#This Row],[Country]]-B118)/B118)+1)^12-1,"")</f>
        <v/>
      </c>
    </row>
    <row r="120">
      <c r="A120" s="35" t="n">
        <v>25750</v>
      </c>
      <c r="B120" s="36">
        <f>VLOOKUP(A120,Data!$A:$AH,MATCH(Country!$A$1,Data!$A$1:$AH$1,),)</f>
        <v/>
      </c>
      <c r="C120" s="59">
        <f>IF(B108&gt;0,(Table2[[#This Row],[Country]]-B108)/B108,0)</f>
        <v/>
      </c>
      <c r="D120" s="59">
        <f>IF(Table2[[#This Row],[Country]]&gt;0,(((Table2[[#This Row],[Country]]-B119)/B119)+1)^12-1,"")</f>
        <v/>
      </c>
    </row>
    <row r="121">
      <c r="A121" s="35" t="n">
        <v>25781</v>
      </c>
      <c r="B121" s="36">
        <f>VLOOKUP(A121,Data!$A:$AH,MATCH(Country!$A$1,Data!$A$1:$AH$1,),)</f>
        <v/>
      </c>
      <c r="C121" s="59">
        <f>IF(B109&gt;0,(Table2[[#This Row],[Country]]-B109)/B109,0)</f>
        <v/>
      </c>
      <c r="D121" s="59">
        <f>IF(Table2[[#This Row],[Country]]&gt;0,(((Table2[[#This Row],[Country]]-B120)/B120)+1)^12-1,"")</f>
        <v/>
      </c>
    </row>
    <row r="122">
      <c r="A122" s="35" t="n">
        <v>25812</v>
      </c>
      <c r="B122" s="36">
        <f>VLOOKUP(A122,Data!$A:$AH,MATCH(Country!$A$1,Data!$A$1:$AH$1,),)</f>
        <v/>
      </c>
      <c r="C122" s="59">
        <f>IF(B110&gt;0,(Table2[[#This Row],[Country]]-B110)/B110,0)</f>
        <v/>
      </c>
      <c r="D122" s="59">
        <f>IF(Table2[[#This Row],[Country]]&gt;0,(((Table2[[#This Row],[Country]]-B121)/B121)+1)^12-1,"")</f>
        <v/>
      </c>
    </row>
    <row r="123">
      <c r="A123" s="35" t="n">
        <v>25842</v>
      </c>
      <c r="B123" s="36">
        <f>VLOOKUP(A123,Data!$A:$AH,MATCH(Country!$A$1,Data!$A$1:$AH$1,),)</f>
        <v/>
      </c>
      <c r="C123" s="59">
        <f>IF(B111&gt;0,(Table2[[#This Row],[Country]]-B111)/B111,0)</f>
        <v/>
      </c>
      <c r="D123" s="59">
        <f>IF(Table2[[#This Row],[Country]]&gt;0,(((Table2[[#This Row],[Country]]-B122)/B122)+1)^12-1,"")</f>
        <v/>
      </c>
    </row>
    <row r="124">
      <c r="A124" s="35" t="n">
        <v>25873</v>
      </c>
      <c r="B124" s="36">
        <f>VLOOKUP(A124,Data!$A:$AH,MATCH(Country!$A$1,Data!$A$1:$AH$1,),)</f>
        <v/>
      </c>
      <c r="C124" s="59">
        <f>IF(B112&gt;0,(Table2[[#This Row],[Country]]-B112)/B112,0)</f>
        <v/>
      </c>
      <c r="D124" s="59">
        <f>IF(Table2[[#This Row],[Country]]&gt;0,(((Table2[[#This Row],[Country]]-B123)/B123)+1)^12-1,"")</f>
        <v/>
      </c>
    </row>
    <row r="125">
      <c r="A125" s="35" t="n">
        <v>25903</v>
      </c>
      <c r="B125" s="36">
        <f>VLOOKUP(A125,Data!$A:$AH,MATCH(Country!$A$1,Data!$A$1:$AH$1,),)</f>
        <v/>
      </c>
      <c r="C125" s="59">
        <f>IF(B113&gt;0,(Table2[[#This Row],[Country]]-B113)/B113,0)</f>
        <v/>
      </c>
      <c r="D125" s="59">
        <f>IF(Table2[[#This Row],[Country]]&gt;0,(((Table2[[#This Row],[Country]]-B124)/B124)+1)^12-1,"")</f>
        <v/>
      </c>
    </row>
    <row r="126">
      <c r="A126" s="35" t="n">
        <v>25934</v>
      </c>
      <c r="B126" s="36">
        <f>VLOOKUP(A126,Data!$A:$AH,MATCH(Country!$A$1,Data!$A$1:$AH$1,),)</f>
        <v/>
      </c>
      <c r="C126" s="59">
        <f>IF(B114&gt;0,(Table2[[#This Row],[Country]]-B114)/B114,0)</f>
        <v/>
      </c>
      <c r="D126" s="59">
        <f>IF(Table2[[#This Row],[Country]]&gt;0,(((Table2[[#This Row],[Country]]-B125)/B125)+1)^12-1,"")</f>
        <v/>
      </c>
    </row>
    <row r="127">
      <c r="A127" s="35" t="n">
        <v>25965</v>
      </c>
      <c r="B127" s="36">
        <f>VLOOKUP(A127,Data!$A:$AH,MATCH(Country!$A$1,Data!$A$1:$AH$1,),)</f>
        <v/>
      </c>
      <c r="C127" s="59">
        <f>IF(B115&gt;0,(Table2[[#This Row],[Country]]-B115)/B115,0)</f>
        <v/>
      </c>
      <c r="D127" s="59">
        <f>IF(Table2[[#This Row],[Country]]&gt;0,(((Table2[[#This Row],[Country]]-B126)/B126)+1)^12-1,"")</f>
        <v/>
      </c>
    </row>
    <row r="128">
      <c r="A128" s="35" t="n">
        <v>25993</v>
      </c>
      <c r="B128" s="36">
        <f>VLOOKUP(A128,Data!$A:$AH,MATCH(Country!$A$1,Data!$A$1:$AH$1,),)</f>
        <v/>
      </c>
      <c r="C128" s="59">
        <f>IF(B116&gt;0,(Table2[[#This Row],[Country]]-B116)/B116,0)</f>
        <v/>
      </c>
      <c r="D128" s="59">
        <f>IF(Table2[[#This Row],[Country]]&gt;0,(((Table2[[#This Row],[Country]]-B127)/B127)+1)^12-1,"")</f>
        <v/>
      </c>
    </row>
    <row r="129">
      <c r="A129" s="35" t="n">
        <v>26024</v>
      </c>
      <c r="B129" s="36">
        <f>VLOOKUP(A129,Data!$A:$AH,MATCH(Country!$A$1,Data!$A$1:$AH$1,),)</f>
        <v/>
      </c>
      <c r="C129" s="59">
        <f>IF(B117&gt;0,(Table2[[#This Row],[Country]]-B117)/B117,0)</f>
        <v/>
      </c>
      <c r="D129" s="59">
        <f>IF(Table2[[#This Row],[Country]]&gt;0,(((Table2[[#This Row],[Country]]-B128)/B128)+1)^12-1,"")</f>
        <v/>
      </c>
    </row>
    <row r="130">
      <c r="A130" s="35" t="n">
        <v>26054</v>
      </c>
      <c r="B130" s="36">
        <f>VLOOKUP(A130,Data!$A:$AH,MATCH(Country!$A$1,Data!$A$1:$AH$1,),)</f>
        <v/>
      </c>
      <c r="C130" s="59">
        <f>IF(B118&gt;0,(Table2[[#This Row],[Country]]-B118)/B118,0)</f>
        <v/>
      </c>
      <c r="D130" s="59">
        <f>IF(Table2[[#This Row],[Country]]&gt;0,(((Table2[[#This Row],[Country]]-B129)/B129)+1)^12-1,"")</f>
        <v/>
      </c>
    </row>
    <row r="131">
      <c r="A131" s="35" t="n">
        <v>26085</v>
      </c>
      <c r="B131" s="36">
        <f>VLOOKUP(A131,Data!$A:$AH,MATCH(Country!$A$1,Data!$A$1:$AH$1,),)</f>
        <v/>
      </c>
      <c r="C131" s="59">
        <f>IF(B119&gt;0,(Table2[[#This Row],[Country]]-B119)/B119,0)</f>
        <v/>
      </c>
      <c r="D131" s="59">
        <f>IF(Table2[[#This Row],[Country]]&gt;0,(((Table2[[#This Row],[Country]]-B130)/B130)+1)^12-1,"")</f>
        <v/>
      </c>
    </row>
    <row r="132">
      <c r="A132" s="35" t="n">
        <v>26115</v>
      </c>
      <c r="B132" s="36">
        <f>VLOOKUP(A132,Data!$A:$AH,MATCH(Country!$A$1,Data!$A$1:$AH$1,),)</f>
        <v/>
      </c>
      <c r="C132" s="59">
        <f>IF(B120&gt;0,(Table2[[#This Row],[Country]]-B120)/B120,0)</f>
        <v/>
      </c>
      <c r="D132" s="59">
        <f>IF(Table2[[#This Row],[Country]]&gt;0,(((Table2[[#This Row],[Country]]-B131)/B131)+1)^12-1,"")</f>
        <v/>
      </c>
    </row>
    <row r="133">
      <c r="A133" s="35" t="n">
        <v>26146</v>
      </c>
      <c r="B133" s="36">
        <f>VLOOKUP(A133,Data!$A:$AH,MATCH(Country!$A$1,Data!$A$1:$AH$1,),)</f>
        <v/>
      </c>
      <c r="C133" s="59">
        <f>IF(B121&gt;0,(Table2[[#This Row],[Country]]-B121)/B121,0)</f>
        <v/>
      </c>
      <c r="D133" s="59">
        <f>IF(Table2[[#This Row],[Country]]&gt;0,(((Table2[[#This Row],[Country]]-B132)/B132)+1)^12-1,"")</f>
        <v/>
      </c>
    </row>
    <row r="134">
      <c r="A134" s="35" t="n">
        <v>26177</v>
      </c>
      <c r="B134" s="36">
        <f>VLOOKUP(A134,Data!$A:$AH,MATCH(Country!$A$1,Data!$A$1:$AH$1,),)</f>
        <v/>
      </c>
      <c r="C134" s="59">
        <f>IF(B122&gt;0,(Table2[[#This Row],[Country]]-B122)/B122,0)</f>
        <v/>
      </c>
      <c r="D134" s="59">
        <f>IF(Table2[[#This Row],[Country]]&gt;0,(((Table2[[#This Row],[Country]]-B133)/B133)+1)^12-1,"")</f>
        <v/>
      </c>
    </row>
    <row r="135">
      <c r="A135" s="35" t="n">
        <v>26207</v>
      </c>
      <c r="B135" s="36">
        <f>VLOOKUP(A135,Data!$A:$AH,MATCH(Country!$A$1,Data!$A$1:$AH$1,),)</f>
        <v/>
      </c>
      <c r="C135" s="59">
        <f>IF(B123&gt;0,(Table2[[#This Row],[Country]]-B123)/B123,0)</f>
        <v/>
      </c>
      <c r="D135" s="59">
        <f>IF(Table2[[#This Row],[Country]]&gt;0,(((Table2[[#This Row],[Country]]-B134)/B134)+1)^12-1,"")</f>
        <v/>
      </c>
    </row>
    <row r="136">
      <c r="A136" s="35" t="n">
        <v>26238</v>
      </c>
      <c r="B136" s="36">
        <f>VLOOKUP(A136,Data!$A:$AH,MATCH(Country!$A$1,Data!$A$1:$AH$1,),)</f>
        <v/>
      </c>
      <c r="C136" s="59">
        <f>IF(B124&gt;0,(Table2[[#This Row],[Country]]-B124)/B124,0)</f>
        <v/>
      </c>
      <c r="D136" s="59">
        <f>IF(Table2[[#This Row],[Country]]&gt;0,(((Table2[[#This Row],[Country]]-B135)/B135)+1)^12-1,"")</f>
        <v/>
      </c>
    </row>
    <row r="137">
      <c r="A137" s="35" t="n">
        <v>26268</v>
      </c>
      <c r="B137" s="36">
        <f>VLOOKUP(A137,Data!$A:$AH,MATCH(Country!$A$1,Data!$A$1:$AH$1,),)</f>
        <v/>
      </c>
      <c r="C137" s="59">
        <f>IF(B125&gt;0,(Table2[[#This Row],[Country]]-B125)/B125,0)</f>
        <v/>
      </c>
      <c r="D137" s="59">
        <f>IF(Table2[[#This Row],[Country]]&gt;0,(((Table2[[#This Row],[Country]]-B136)/B136)+1)^12-1,"")</f>
        <v/>
      </c>
    </row>
    <row r="138">
      <c r="A138" s="35" t="n">
        <v>26299</v>
      </c>
      <c r="B138" s="36">
        <f>VLOOKUP(A138,Data!$A:$AH,MATCH(Country!$A$1,Data!$A$1:$AH$1,),)</f>
        <v/>
      </c>
      <c r="C138" s="59">
        <f>IF(B126&gt;0,(Table2[[#This Row],[Country]]-B126)/B126,0)</f>
        <v/>
      </c>
      <c r="D138" s="59">
        <f>IF(Table2[[#This Row],[Country]]&gt;0,(((Table2[[#This Row],[Country]]-B137)/B137)+1)^12-1,"")</f>
        <v/>
      </c>
    </row>
    <row r="139">
      <c r="A139" s="35" t="n">
        <v>26330</v>
      </c>
      <c r="B139" s="36">
        <f>VLOOKUP(A139,Data!$A:$AH,MATCH(Country!$A$1,Data!$A$1:$AH$1,),)</f>
        <v/>
      </c>
      <c r="C139" s="59">
        <f>IF(B127&gt;0,(Table2[[#This Row],[Country]]-B127)/B127,0)</f>
        <v/>
      </c>
      <c r="D139" s="59">
        <f>IF(Table2[[#This Row],[Country]]&gt;0,(((Table2[[#This Row],[Country]]-B138)/B138)+1)^12-1,"")</f>
        <v/>
      </c>
    </row>
    <row r="140">
      <c r="A140" s="35" t="n">
        <v>26359</v>
      </c>
      <c r="B140" s="36">
        <f>VLOOKUP(A140,Data!$A:$AH,MATCH(Country!$A$1,Data!$A$1:$AH$1,),)</f>
        <v/>
      </c>
      <c r="C140" s="59">
        <f>IF(B128&gt;0,(Table2[[#This Row],[Country]]-B128)/B128,0)</f>
        <v/>
      </c>
      <c r="D140" s="59">
        <f>IF(Table2[[#This Row],[Country]]&gt;0,(((Table2[[#This Row],[Country]]-B139)/B139)+1)^12-1,"")</f>
        <v/>
      </c>
    </row>
    <row r="141">
      <c r="A141" s="35" t="n">
        <v>26390</v>
      </c>
      <c r="B141" s="36">
        <f>VLOOKUP(A141,Data!$A:$AH,MATCH(Country!$A$1,Data!$A$1:$AH$1,),)</f>
        <v/>
      </c>
      <c r="C141" s="59">
        <f>IF(B129&gt;0,(Table2[[#This Row],[Country]]-B129)/B129,0)</f>
        <v/>
      </c>
      <c r="D141" s="59">
        <f>IF(Table2[[#This Row],[Country]]&gt;0,(((Table2[[#This Row],[Country]]-B140)/B140)+1)^12-1,"")</f>
        <v/>
      </c>
    </row>
    <row r="142">
      <c r="A142" s="35" t="n">
        <v>26420</v>
      </c>
      <c r="B142" s="36">
        <f>VLOOKUP(A142,Data!$A:$AH,MATCH(Country!$A$1,Data!$A$1:$AH$1,),)</f>
        <v/>
      </c>
      <c r="C142" s="59">
        <f>IF(B130&gt;0,(Table2[[#This Row],[Country]]-B130)/B130,0)</f>
        <v/>
      </c>
      <c r="D142" s="59">
        <f>IF(Table2[[#This Row],[Country]]&gt;0,(((Table2[[#This Row],[Country]]-B141)/B141)+1)^12-1,"")</f>
        <v/>
      </c>
    </row>
    <row r="143">
      <c r="A143" s="35" t="n">
        <v>26451</v>
      </c>
      <c r="B143" s="36">
        <f>VLOOKUP(A143,Data!$A:$AH,MATCH(Country!$A$1,Data!$A$1:$AH$1,),)</f>
        <v/>
      </c>
      <c r="C143" s="59">
        <f>IF(B131&gt;0,(Table2[[#This Row],[Country]]-B131)/B131,0)</f>
        <v/>
      </c>
      <c r="D143" s="59">
        <f>IF(Table2[[#This Row],[Country]]&gt;0,(((Table2[[#This Row],[Country]]-B142)/B142)+1)^12-1,"")</f>
        <v/>
      </c>
    </row>
    <row r="144">
      <c r="A144" s="35" t="n">
        <v>26481</v>
      </c>
      <c r="B144" s="36">
        <f>VLOOKUP(A144,Data!$A:$AH,MATCH(Country!$A$1,Data!$A$1:$AH$1,),)</f>
        <v/>
      </c>
      <c r="C144" s="59">
        <f>IF(B132&gt;0,(Table2[[#This Row],[Country]]-B132)/B132,0)</f>
        <v/>
      </c>
      <c r="D144" s="59">
        <f>IF(Table2[[#This Row],[Country]]&gt;0,(((Table2[[#This Row],[Country]]-B143)/B143)+1)^12-1,"")</f>
        <v/>
      </c>
    </row>
    <row r="145">
      <c r="A145" s="35" t="n">
        <v>26512</v>
      </c>
      <c r="B145" s="36">
        <f>VLOOKUP(A145,Data!$A:$AH,MATCH(Country!$A$1,Data!$A$1:$AH$1,),)</f>
        <v/>
      </c>
      <c r="C145" s="59">
        <f>IF(B133&gt;0,(Table2[[#This Row],[Country]]-B133)/B133,0)</f>
        <v/>
      </c>
      <c r="D145" s="59">
        <f>IF(Table2[[#This Row],[Country]]&gt;0,(((Table2[[#This Row],[Country]]-B144)/B144)+1)^12-1,"")</f>
        <v/>
      </c>
    </row>
    <row r="146">
      <c r="A146" s="35" t="n">
        <v>26543</v>
      </c>
      <c r="B146" s="36">
        <f>VLOOKUP(A146,Data!$A:$AH,MATCH(Country!$A$1,Data!$A$1:$AH$1,),)</f>
        <v/>
      </c>
      <c r="C146" s="59">
        <f>IF(B134&gt;0,(Table2[[#This Row],[Country]]-B134)/B134,0)</f>
        <v/>
      </c>
      <c r="D146" s="59">
        <f>IF(Table2[[#This Row],[Country]]&gt;0,(((Table2[[#This Row],[Country]]-B145)/B145)+1)^12-1,"")</f>
        <v/>
      </c>
    </row>
    <row r="147">
      <c r="A147" s="35" t="n">
        <v>26573</v>
      </c>
      <c r="B147" s="36">
        <f>VLOOKUP(A147,Data!$A:$AH,MATCH(Country!$A$1,Data!$A$1:$AH$1,),)</f>
        <v/>
      </c>
      <c r="C147" s="59">
        <f>IF(B135&gt;0,(Table2[[#This Row],[Country]]-B135)/B135,0)</f>
        <v/>
      </c>
      <c r="D147" s="59">
        <f>IF(Table2[[#This Row],[Country]]&gt;0,(((Table2[[#This Row],[Country]]-B146)/B146)+1)^12-1,"")</f>
        <v/>
      </c>
    </row>
    <row r="148">
      <c r="A148" s="35" t="n">
        <v>26604</v>
      </c>
      <c r="B148" s="36">
        <f>VLOOKUP(A148,Data!$A:$AH,MATCH(Country!$A$1,Data!$A$1:$AH$1,),)</f>
        <v/>
      </c>
      <c r="C148" s="59">
        <f>IF(B136&gt;0,(Table2[[#This Row],[Country]]-B136)/B136,0)</f>
        <v/>
      </c>
      <c r="D148" s="59">
        <f>IF(Table2[[#This Row],[Country]]&gt;0,(((Table2[[#This Row],[Country]]-B147)/B147)+1)^12-1,"")</f>
        <v/>
      </c>
    </row>
    <row r="149">
      <c r="A149" s="35" t="n">
        <v>26634</v>
      </c>
      <c r="B149" s="36">
        <f>VLOOKUP(A149,Data!$A:$AH,MATCH(Country!$A$1,Data!$A$1:$AH$1,),)</f>
        <v/>
      </c>
      <c r="C149" s="59">
        <f>IF(B137&gt;0,(Table2[[#This Row],[Country]]-B137)/B137,0)</f>
        <v/>
      </c>
      <c r="D149" s="59">
        <f>IF(Table2[[#This Row],[Country]]&gt;0,(((Table2[[#This Row],[Country]]-B148)/B148)+1)^12-1,"")</f>
        <v/>
      </c>
    </row>
    <row r="150">
      <c r="A150" s="35" t="n">
        <v>26665</v>
      </c>
      <c r="B150" s="36">
        <f>VLOOKUP(A150,Data!$A:$AH,MATCH(Country!$A$1,Data!$A$1:$AH$1,),)</f>
        <v/>
      </c>
      <c r="C150" s="59">
        <f>IF(B138&gt;0,(Table2[[#This Row],[Country]]-B138)/B138,0)</f>
        <v/>
      </c>
      <c r="D150" s="59">
        <f>IF(Table2[[#This Row],[Country]]&gt;0,(((Table2[[#This Row],[Country]]-B149)/B149)+1)^12-1,"")</f>
        <v/>
      </c>
    </row>
    <row r="151">
      <c r="A151" s="35" t="n">
        <v>26696</v>
      </c>
      <c r="B151" s="36">
        <f>VLOOKUP(A151,Data!$A:$AH,MATCH(Country!$A$1,Data!$A$1:$AH$1,),)</f>
        <v/>
      </c>
      <c r="C151" s="59">
        <f>IF(B139&gt;0,(Table2[[#This Row],[Country]]-B139)/B139,0)</f>
        <v/>
      </c>
      <c r="D151" s="59">
        <f>IF(Table2[[#This Row],[Country]]&gt;0,(((Table2[[#This Row],[Country]]-B150)/B150)+1)^12-1,"")</f>
        <v/>
      </c>
    </row>
    <row r="152">
      <c r="A152" s="35" t="n">
        <v>26724</v>
      </c>
      <c r="B152" s="36">
        <f>VLOOKUP(A152,Data!$A:$AH,MATCH(Country!$A$1,Data!$A$1:$AH$1,),)</f>
        <v/>
      </c>
      <c r="C152" s="59">
        <f>IF(B140&gt;0,(Table2[[#This Row],[Country]]-B140)/B140,0)</f>
        <v/>
      </c>
      <c r="D152" s="59">
        <f>IF(Table2[[#This Row],[Country]]&gt;0,(((Table2[[#This Row],[Country]]-B151)/B151)+1)^12-1,"")</f>
        <v/>
      </c>
    </row>
    <row r="153">
      <c r="A153" s="35" t="n">
        <v>26755</v>
      </c>
      <c r="B153" s="36">
        <f>VLOOKUP(A153,Data!$A:$AH,MATCH(Country!$A$1,Data!$A$1:$AH$1,),)</f>
        <v/>
      </c>
      <c r="C153" s="59">
        <f>IF(B141&gt;0,(Table2[[#This Row],[Country]]-B141)/B141,0)</f>
        <v/>
      </c>
      <c r="D153" s="59">
        <f>IF(Table2[[#This Row],[Country]]&gt;0,(((Table2[[#This Row],[Country]]-B152)/B152)+1)^12-1,"")</f>
        <v/>
      </c>
    </row>
    <row r="154">
      <c r="A154" s="35" t="n">
        <v>26785</v>
      </c>
      <c r="B154" s="36">
        <f>VLOOKUP(A154,Data!$A:$AH,MATCH(Country!$A$1,Data!$A$1:$AH$1,),)</f>
        <v/>
      </c>
      <c r="C154" s="59">
        <f>IF(B142&gt;0,(Table2[[#This Row],[Country]]-B142)/B142,0)</f>
        <v/>
      </c>
      <c r="D154" s="59">
        <f>IF(Table2[[#This Row],[Country]]&gt;0,(((Table2[[#This Row],[Country]]-B153)/B153)+1)^12-1,"")</f>
        <v/>
      </c>
    </row>
    <row r="155">
      <c r="A155" s="35" t="n">
        <v>26816</v>
      </c>
      <c r="B155" s="36">
        <f>VLOOKUP(A155,Data!$A:$AH,MATCH(Country!$A$1,Data!$A$1:$AH$1,),)</f>
        <v/>
      </c>
      <c r="C155" s="59">
        <f>IF(B143&gt;0,(Table2[[#This Row],[Country]]-B143)/B143,0)</f>
        <v/>
      </c>
      <c r="D155" s="59">
        <f>IF(Table2[[#This Row],[Country]]&gt;0,(((Table2[[#This Row],[Country]]-B154)/B154)+1)^12-1,"")</f>
        <v/>
      </c>
    </row>
    <row r="156">
      <c r="A156" s="35" t="n">
        <v>26846</v>
      </c>
      <c r="B156" s="36">
        <f>VLOOKUP(A156,Data!$A:$AH,MATCH(Country!$A$1,Data!$A$1:$AH$1,),)</f>
        <v/>
      </c>
      <c r="C156" s="59">
        <f>IF(B144&gt;0,(Table2[[#This Row],[Country]]-B144)/B144,0)</f>
        <v/>
      </c>
      <c r="D156" s="59">
        <f>IF(Table2[[#This Row],[Country]]&gt;0,(((Table2[[#This Row],[Country]]-B155)/B155)+1)^12-1,"")</f>
        <v/>
      </c>
    </row>
    <row r="157">
      <c r="A157" s="35" t="n">
        <v>26877</v>
      </c>
      <c r="B157" s="36">
        <f>VLOOKUP(A157,Data!$A:$AH,MATCH(Country!$A$1,Data!$A$1:$AH$1,),)</f>
        <v/>
      </c>
      <c r="C157" s="59">
        <f>IF(B145&gt;0,(Table2[[#This Row],[Country]]-B145)/B145,0)</f>
        <v/>
      </c>
      <c r="D157" s="59">
        <f>IF(Table2[[#This Row],[Country]]&gt;0,(((Table2[[#This Row],[Country]]-B156)/B156)+1)^12-1,"")</f>
        <v/>
      </c>
    </row>
    <row r="158">
      <c r="A158" s="35" t="n">
        <v>26908</v>
      </c>
      <c r="B158" s="36">
        <f>VLOOKUP(A158,Data!$A:$AH,MATCH(Country!$A$1,Data!$A$1:$AH$1,),)</f>
        <v/>
      </c>
      <c r="C158" s="59">
        <f>IF(B146&gt;0,(Table2[[#This Row],[Country]]-B146)/B146,0)</f>
        <v/>
      </c>
      <c r="D158" s="59">
        <f>IF(Table2[[#This Row],[Country]]&gt;0,(((Table2[[#This Row],[Country]]-B157)/B157)+1)^12-1,"")</f>
        <v/>
      </c>
    </row>
    <row r="159">
      <c r="A159" s="35" t="n">
        <v>26938</v>
      </c>
      <c r="B159" s="36">
        <f>VLOOKUP(A159,Data!$A:$AH,MATCH(Country!$A$1,Data!$A$1:$AH$1,),)</f>
        <v/>
      </c>
      <c r="C159" s="59">
        <f>IF(B147&gt;0,(Table2[[#This Row],[Country]]-B147)/B147,0)</f>
        <v/>
      </c>
      <c r="D159" s="59">
        <f>IF(Table2[[#This Row],[Country]]&gt;0,(((Table2[[#This Row],[Country]]-B158)/B158)+1)^12-1,"")</f>
        <v/>
      </c>
    </row>
    <row r="160">
      <c r="A160" s="35" t="n">
        <v>26969</v>
      </c>
      <c r="B160" s="36">
        <f>VLOOKUP(A160,Data!$A:$AH,MATCH(Country!$A$1,Data!$A$1:$AH$1,),)</f>
        <v/>
      </c>
      <c r="C160" s="59">
        <f>IF(B148&gt;0,(Table2[[#This Row],[Country]]-B148)/B148,0)</f>
        <v/>
      </c>
      <c r="D160" s="59">
        <f>IF(Table2[[#This Row],[Country]]&gt;0,(((Table2[[#This Row],[Country]]-B159)/B159)+1)^12-1,"")</f>
        <v/>
      </c>
    </row>
    <row r="161">
      <c r="A161" s="35" t="n">
        <v>26999</v>
      </c>
      <c r="B161" s="36">
        <f>VLOOKUP(A161,Data!$A:$AH,MATCH(Country!$A$1,Data!$A$1:$AH$1,),)</f>
        <v/>
      </c>
      <c r="C161" s="59">
        <f>IF(B149&gt;0,(Table2[[#This Row],[Country]]-B149)/B149,0)</f>
        <v/>
      </c>
      <c r="D161" s="59">
        <f>IF(Table2[[#This Row],[Country]]&gt;0,(((Table2[[#This Row],[Country]]-B160)/B160)+1)^12-1,"")</f>
        <v/>
      </c>
    </row>
    <row r="162">
      <c r="A162" s="35" t="n">
        <v>27030</v>
      </c>
      <c r="B162" s="36">
        <f>VLOOKUP(A162,Data!$A:$AH,MATCH(Country!$A$1,Data!$A$1:$AH$1,),)</f>
        <v/>
      </c>
      <c r="C162" s="59">
        <f>IF(B150&gt;0,(Table2[[#This Row],[Country]]-B150)/B150,0)</f>
        <v/>
      </c>
      <c r="D162" s="59">
        <f>IF(Table2[[#This Row],[Country]]&gt;0,(((Table2[[#This Row],[Country]]-B161)/B161)+1)^12-1,"")</f>
        <v/>
      </c>
    </row>
    <row r="163">
      <c r="A163" s="35" t="n">
        <v>27061</v>
      </c>
      <c r="B163" s="36">
        <f>VLOOKUP(A163,Data!$A:$AH,MATCH(Country!$A$1,Data!$A$1:$AH$1,),)</f>
        <v/>
      </c>
      <c r="C163" s="59">
        <f>IF(B151&gt;0,(Table2[[#This Row],[Country]]-B151)/B151,0)</f>
        <v/>
      </c>
      <c r="D163" s="59">
        <f>IF(Table2[[#This Row],[Country]]&gt;0,(((Table2[[#This Row],[Country]]-B162)/B162)+1)^12-1,"")</f>
        <v/>
      </c>
    </row>
    <row r="164">
      <c r="A164" s="35" t="n">
        <v>27089</v>
      </c>
      <c r="B164" s="36">
        <f>VLOOKUP(A164,Data!$A:$AH,MATCH(Country!$A$1,Data!$A$1:$AH$1,),)</f>
        <v/>
      </c>
      <c r="C164" s="59">
        <f>IF(B152&gt;0,(Table2[[#This Row],[Country]]-B152)/B152,0)</f>
        <v/>
      </c>
      <c r="D164" s="59">
        <f>IF(Table2[[#This Row],[Country]]&gt;0,(((Table2[[#This Row],[Country]]-B163)/B163)+1)^12-1,"")</f>
        <v/>
      </c>
    </row>
    <row r="165">
      <c r="A165" s="35" t="n">
        <v>27120</v>
      </c>
      <c r="B165" s="36">
        <f>VLOOKUP(A165,Data!$A:$AH,MATCH(Country!$A$1,Data!$A$1:$AH$1,),)</f>
        <v/>
      </c>
      <c r="C165" s="59">
        <f>IF(B153&gt;0,(Table2[[#This Row],[Country]]-B153)/B153,0)</f>
        <v/>
      </c>
      <c r="D165" s="59">
        <f>IF(Table2[[#This Row],[Country]]&gt;0,(((Table2[[#This Row],[Country]]-B164)/B164)+1)^12-1,"")</f>
        <v/>
      </c>
    </row>
    <row r="166">
      <c r="A166" s="35" t="n">
        <v>27150</v>
      </c>
      <c r="B166" s="36">
        <f>VLOOKUP(A166,Data!$A:$AH,MATCH(Country!$A$1,Data!$A$1:$AH$1,),)</f>
        <v/>
      </c>
      <c r="C166" s="59">
        <f>IF(B154&gt;0,(Table2[[#This Row],[Country]]-B154)/B154,0)</f>
        <v/>
      </c>
      <c r="D166" s="59">
        <f>IF(Table2[[#This Row],[Country]]&gt;0,(((Table2[[#This Row],[Country]]-B165)/B165)+1)^12-1,"")</f>
        <v/>
      </c>
    </row>
    <row r="167">
      <c r="A167" s="35" t="n">
        <v>27181</v>
      </c>
      <c r="B167" s="36">
        <f>VLOOKUP(A167,Data!$A:$AH,MATCH(Country!$A$1,Data!$A$1:$AH$1,),)</f>
        <v/>
      </c>
      <c r="C167" s="59">
        <f>IF(B155&gt;0,(Table2[[#This Row],[Country]]-B155)/B155,0)</f>
        <v/>
      </c>
      <c r="D167" s="59">
        <f>IF(Table2[[#This Row],[Country]]&gt;0,(((Table2[[#This Row],[Country]]-B166)/B166)+1)^12-1,"")</f>
        <v/>
      </c>
    </row>
    <row r="168">
      <c r="A168" s="35" t="n">
        <v>27211</v>
      </c>
      <c r="B168" s="36">
        <f>VLOOKUP(A168,Data!$A:$AH,MATCH(Country!$A$1,Data!$A$1:$AH$1,),)</f>
        <v/>
      </c>
      <c r="C168" s="59">
        <f>IF(B156&gt;0,(Table2[[#This Row],[Country]]-B156)/B156,0)</f>
        <v/>
      </c>
      <c r="D168" s="59">
        <f>IF(Table2[[#This Row],[Country]]&gt;0,(((Table2[[#This Row],[Country]]-B167)/B167)+1)^12-1,"")</f>
        <v/>
      </c>
    </row>
    <row r="169">
      <c r="A169" s="35" t="n">
        <v>27242</v>
      </c>
      <c r="B169" s="36">
        <f>VLOOKUP(A169,Data!$A:$AH,MATCH(Country!$A$1,Data!$A$1:$AH$1,),)</f>
        <v/>
      </c>
      <c r="C169" s="59">
        <f>IF(B157&gt;0,(Table2[[#This Row],[Country]]-B157)/B157,0)</f>
        <v/>
      </c>
      <c r="D169" s="59">
        <f>IF(Table2[[#This Row],[Country]]&gt;0,(((Table2[[#This Row],[Country]]-B168)/B168)+1)^12-1,"")</f>
        <v/>
      </c>
    </row>
    <row r="170">
      <c r="A170" s="35" t="n">
        <v>27273</v>
      </c>
      <c r="B170" s="36">
        <f>VLOOKUP(A170,Data!$A:$AH,MATCH(Country!$A$1,Data!$A$1:$AH$1,),)</f>
        <v/>
      </c>
      <c r="C170" s="59">
        <f>IF(B158&gt;0,(Table2[[#This Row],[Country]]-B158)/B158,0)</f>
        <v/>
      </c>
      <c r="D170" s="59">
        <f>IF(Table2[[#This Row],[Country]]&gt;0,(((Table2[[#This Row],[Country]]-B169)/B169)+1)^12-1,"")</f>
        <v/>
      </c>
    </row>
    <row r="171">
      <c r="A171" s="35" t="n">
        <v>27303</v>
      </c>
      <c r="B171" s="36">
        <f>VLOOKUP(A171,Data!$A:$AH,MATCH(Country!$A$1,Data!$A$1:$AH$1,),)</f>
        <v/>
      </c>
      <c r="C171" s="59">
        <f>IF(B159&gt;0,(Table2[[#This Row],[Country]]-B159)/B159,0)</f>
        <v/>
      </c>
      <c r="D171" s="59">
        <f>IF(Table2[[#This Row],[Country]]&gt;0,(((Table2[[#This Row],[Country]]-B170)/B170)+1)^12-1,"")</f>
        <v/>
      </c>
    </row>
    <row r="172">
      <c r="A172" s="35" t="n">
        <v>27334</v>
      </c>
      <c r="B172" s="36">
        <f>VLOOKUP(A172,Data!$A:$AH,MATCH(Country!$A$1,Data!$A$1:$AH$1,),)</f>
        <v/>
      </c>
      <c r="C172" s="59">
        <f>IF(B160&gt;0,(Table2[[#This Row],[Country]]-B160)/B160,0)</f>
        <v/>
      </c>
      <c r="D172" s="59">
        <f>IF(Table2[[#This Row],[Country]]&gt;0,(((Table2[[#This Row],[Country]]-B171)/B171)+1)^12-1,"")</f>
        <v/>
      </c>
    </row>
    <row r="173">
      <c r="A173" s="35" t="n">
        <v>27364</v>
      </c>
      <c r="B173" s="36">
        <f>VLOOKUP(A173,Data!$A:$AH,MATCH(Country!$A$1,Data!$A$1:$AH$1,),)</f>
        <v/>
      </c>
      <c r="C173" s="59">
        <f>IF(B161&gt;0,(Table2[[#This Row],[Country]]-B161)/B161,0)</f>
        <v/>
      </c>
      <c r="D173" s="59">
        <f>IF(Table2[[#This Row],[Country]]&gt;0,(((Table2[[#This Row],[Country]]-B172)/B172)+1)^12-1,"")</f>
        <v/>
      </c>
    </row>
    <row r="174">
      <c r="A174" s="35" t="n">
        <v>27395</v>
      </c>
      <c r="B174" s="36">
        <f>VLOOKUP(A174,Data!$A:$AH,MATCH(Country!$A$1,Data!$A$1:$AH$1,),)</f>
        <v/>
      </c>
      <c r="C174" s="59">
        <f>IF(B162&gt;0,(Table2[[#This Row],[Country]]-B162)/B162,0)</f>
        <v/>
      </c>
      <c r="D174" s="59">
        <f>IF(Table2[[#This Row],[Country]]&gt;0,(((Table2[[#This Row],[Country]]-B173)/B173)+1)^12-1,"")</f>
        <v/>
      </c>
    </row>
    <row r="175">
      <c r="A175" s="35" t="n">
        <v>27426</v>
      </c>
      <c r="B175" s="36">
        <f>VLOOKUP(A175,Data!$A:$AH,MATCH(Country!$A$1,Data!$A$1:$AH$1,),)</f>
        <v/>
      </c>
      <c r="C175" s="59">
        <f>IF(B163&gt;0,(Table2[[#This Row],[Country]]-B163)/B163,0)</f>
        <v/>
      </c>
      <c r="D175" s="59">
        <f>IF(Table2[[#This Row],[Country]]&gt;0,(((Table2[[#This Row],[Country]]-B174)/B174)+1)^12-1,"")</f>
        <v/>
      </c>
    </row>
    <row r="176">
      <c r="A176" s="35" t="n">
        <v>27454</v>
      </c>
      <c r="B176" s="36">
        <f>VLOOKUP(A176,Data!$A:$AH,MATCH(Country!$A$1,Data!$A$1:$AH$1,),)</f>
        <v/>
      </c>
      <c r="C176" s="59">
        <f>IF(B164&gt;0,(Table2[[#This Row],[Country]]-B164)/B164,0)</f>
        <v/>
      </c>
      <c r="D176" s="59">
        <f>IF(Table2[[#This Row],[Country]]&gt;0,(((Table2[[#This Row],[Country]]-B175)/B175)+1)^12-1,"")</f>
        <v/>
      </c>
    </row>
    <row r="177">
      <c r="A177" s="35" t="n">
        <v>27485</v>
      </c>
      <c r="B177" s="36">
        <f>VLOOKUP(A177,Data!$A:$AH,MATCH(Country!$A$1,Data!$A$1:$AH$1,),)</f>
        <v/>
      </c>
      <c r="C177" s="59">
        <f>IF(B165&gt;0,(Table2[[#This Row],[Country]]-B165)/B165,0)</f>
        <v/>
      </c>
      <c r="D177" s="59">
        <f>IF(Table2[[#This Row],[Country]]&gt;0,(((Table2[[#This Row],[Country]]-B176)/B176)+1)^12-1,"")</f>
        <v/>
      </c>
    </row>
    <row r="178">
      <c r="A178" s="35" t="n">
        <v>27515</v>
      </c>
      <c r="B178" s="36">
        <f>VLOOKUP(A178,Data!$A:$AH,MATCH(Country!$A$1,Data!$A$1:$AH$1,),)</f>
        <v/>
      </c>
      <c r="C178" s="59">
        <f>IF(B166&gt;0,(Table2[[#This Row],[Country]]-B166)/B166,0)</f>
        <v/>
      </c>
      <c r="D178" s="59">
        <f>IF(Table2[[#This Row],[Country]]&gt;0,(((Table2[[#This Row],[Country]]-B177)/B177)+1)^12-1,"")</f>
        <v/>
      </c>
    </row>
    <row r="179">
      <c r="A179" s="35" t="n">
        <v>27546</v>
      </c>
      <c r="B179" s="36">
        <f>VLOOKUP(A179,Data!$A:$AH,MATCH(Country!$A$1,Data!$A$1:$AH$1,),)</f>
        <v/>
      </c>
      <c r="C179" s="59">
        <f>IF(B167&gt;0,(Table2[[#This Row],[Country]]-B167)/B167,0)</f>
        <v/>
      </c>
      <c r="D179" s="59">
        <f>IF(Table2[[#This Row],[Country]]&gt;0,(((Table2[[#This Row],[Country]]-B178)/B178)+1)^12-1,"")</f>
        <v/>
      </c>
    </row>
    <row r="180">
      <c r="A180" s="35" t="n">
        <v>27576</v>
      </c>
      <c r="B180" s="36">
        <f>VLOOKUP(A180,Data!$A:$AH,MATCH(Country!$A$1,Data!$A$1:$AH$1,),)</f>
        <v/>
      </c>
      <c r="C180" s="59">
        <f>IF(B168&gt;0,(Table2[[#This Row],[Country]]-B168)/B168,0)</f>
        <v/>
      </c>
      <c r="D180" s="59">
        <f>IF(Table2[[#This Row],[Country]]&gt;0,(((Table2[[#This Row],[Country]]-B179)/B179)+1)^12-1,"")</f>
        <v/>
      </c>
    </row>
    <row r="181">
      <c r="A181" s="35" t="n">
        <v>27607</v>
      </c>
      <c r="B181" s="36">
        <f>VLOOKUP(A181,Data!$A:$AH,MATCH(Country!$A$1,Data!$A$1:$AH$1,),)</f>
        <v/>
      </c>
      <c r="C181" s="59">
        <f>IF(B169&gt;0,(Table2[[#This Row],[Country]]-B169)/B169,0)</f>
        <v/>
      </c>
      <c r="D181" s="59">
        <f>IF(Table2[[#This Row],[Country]]&gt;0,(((Table2[[#This Row],[Country]]-B180)/B180)+1)^12-1,"")</f>
        <v/>
      </c>
    </row>
    <row r="182">
      <c r="A182" s="35" t="n">
        <v>27638</v>
      </c>
      <c r="B182" s="36">
        <f>VLOOKUP(A182,Data!$A:$AH,MATCH(Country!$A$1,Data!$A$1:$AH$1,),)</f>
        <v/>
      </c>
      <c r="C182" s="59">
        <f>IF(B170&gt;0,(Table2[[#This Row],[Country]]-B170)/B170,0)</f>
        <v/>
      </c>
      <c r="D182" s="59">
        <f>IF(Table2[[#This Row],[Country]]&gt;0,(((Table2[[#This Row],[Country]]-B181)/B181)+1)^12-1,"")</f>
        <v/>
      </c>
    </row>
    <row r="183">
      <c r="A183" s="35" t="n">
        <v>27668</v>
      </c>
      <c r="B183" s="36">
        <f>VLOOKUP(A183,Data!$A:$AH,MATCH(Country!$A$1,Data!$A$1:$AH$1,),)</f>
        <v/>
      </c>
      <c r="C183" s="59">
        <f>IF(B171&gt;0,(Table2[[#This Row],[Country]]-B171)/B171,0)</f>
        <v/>
      </c>
      <c r="D183" s="59">
        <f>IF(Table2[[#This Row],[Country]]&gt;0,(((Table2[[#This Row],[Country]]-B182)/B182)+1)^12-1,"")</f>
        <v/>
      </c>
    </row>
    <row r="184">
      <c r="A184" s="35" t="n">
        <v>27699</v>
      </c>
      <c r="B184" s="36">
        <f>VLOOKUP(A184,Data!$A:$AH,MATCH(Country!$A$1,Data!$A$1:$AH$1,),)</f>
        <v/>
      </c>
      <c r="C184" s="59">
        <f>IF(B172&gt;0,(Table2[[#This Row],[Country]]-B172)/B172,0)</f>
        <v/>
      </c>
      <c r="D184" s="59">
        <f>IF(Table2[[#This Row],[Country]]&gt;0,(((Table2[[#This Row],[Country]]-B183)/B183)+1)^12-1,"")</f>
        <v/>
      </c>
    </row>
    <row r="185">
      <c r="A185" s="35" t="n">
        <v>27729</v>
      </c>
      <c r="B185" s="36">
        <f>VLOOKUP(A185,Data!$A:$AH,MATCH(Country!$A$1,Data!$A$1:$AH$1,),)</f>
        <v/>
      </c>
      <c r="C185" s="59">
        <f>IF(B173&gt;0,(Table2[[#This Row],[Country]]-B173)/B173,0)</f>
        <v/>
      </c>
      <c r="D185" s="59">
        <f>IF(Table2[[#This Row],[Country]]&gt;0,(((Table2[[#This Row],[Country]]-B184)/B184)+1)^12-1,"")</f>
        <v/>
      </c>
    </row>
    <row r="186">
      <c r="A186" s="35" t="n">
        <v>27760</v>
      </c>
      <c r="B186" s="36">
        <f>VLOOKUP(A186,Data!$A:$AH,MATCH(Country!$A$1,Data!$A$1:$AH$1,),)</f>
        <v/>
      </c>
      <c r="C186" s="59">
        <f>IF(B174&gt;0,(Table2[[#This Row],[Country]]-B174)/B174,0)</f>
        <v/>
      </c>
      <c r="D186" s="59">
        <f>IF(Table2[[#This Row],[Country]]&gt;0,(((Table2[[#This Row],[Country]]-B185)/B185)+1)^12-1,"")</f>
        <v/>
      </c>
    </row>
    <row r="187">
      <c r="A187" s="35" t="n">
        <v>27791</v>
      </c>
      <c r="B187" s="36">
        <f>VLOOKUP(A187,Data!$A:$AH,MATCH(Country!$A$1,Data!$A$1:$AH$1,),)</f>
        <v/>
      </c>
      <c r="C187" s="59">
        <f>IF(B175&gt;0,(Table2[[#This Row],[Country]]-B175)/B175,0)</f>
        <v/>
      </c>
      <c r="D187" s="59">
        <f>IF(Table2[[#This Row],[Country]]&gt;0,(((Table2[[#This Row],[Country]]-B186)/B186)+1)^12-1,"")</f>
        <v/>
      </c>
    </row>
    <row r="188">
      <c r="A188" s="35" t="n">
        <v>27820</v>
      </c>
      <c r="B188" s="36">
        <f>VLOOKUP(A188,Data!$A:$AH,MATCH(Country!$A$1,Data!$A$1:$AH$1,),)</f>
        <v/>
      </c>
      <c r="C188" s="59">
        <f>IF(B176&gt;0,(Table2[[#This Row],[Country]]-B176)/B176,0)</f>
        <v/>
      </c>
      <c r="D188" s="59">
        <f>IF(Table2[[#This Row],[Country]]&gt;0,(((Table2[[#This Row],[Country]]-B187)/B187)+1)^12-1,"")</f>
        <v/>
      </c>
    </row>
    <row r="189">
      <c r="A189" s="35" t="n">
        <v>27851</v>
      </c>
      <c r="B189" s="36">
        <f>VLOOKUP(A189,Data!$A:$AH,MATCH(Country!$A$1,Data!$A$1:$AH$1,),)</f>
        <v/>
      </c>
      <c r="C189" s="59">
        <f>IF(B177&gt;0,(Table2[[#This Row],[Country]]-B177)/B177,0)</f>
        <v/>
      </c>
      <c r="D189" s="59">
        <f>IF(Table2[[#This Row],[Country]]&gt;0,(((Table2[[#This Row],[Country]]-B188)/B188)+1)^12-1,"")</f>
        <v/>
      </c>
    </row>
    <row r="190">
      <c r="A190" s="35" t="n">
        <v>27881</v>
      </c>
      <c r="B190" s="36">
        <f>VLOOKUP(A190,Data!$A:$AH,MATCH(Country!$A$1,Data!$A$1:$AH$1,),)</f>
        <v/>
      </c>
      <c r="C190" s="59">
        <f>IF(B178&gt;0,(Table2[[#This Row],[Country]]-B178)/B178,0)</f>
        <v/>
      </c>
      <c r="D190" s="59">
        <f>IF(Table2[[#This Row],[Country]]&gt;0,(((Table2[[#This Row],[Country]]-B189)/B189)+1)^12-1,"")</f>
        <v/>
      </c>
    </row>
    <row r="191">
      <c r="A191" s="35" t="n">
        <v>27912</v>
      </c>
      <c r="B191" s="36">
        <f>VLOOKUP(A191,Data!$A:$AH,MATCH(Country!$A$1,Data!$A$1:$AH$1,),)</f>
        <v/>
      </c>
      <c r="C191" s="59">
        <f>IF(B179&gt;0,(Table2[[#This Row],[Country]]-B179)/B179,0)</f>
        <v/>
      </c>
      <c r="D191" s="59">
        <f>IF(Table2[[#This Row],[Country]]&gt;0,(((Table2[[#This Row],[Country]]-B190)/B190)+1)^12-1,"")</f>
        <v/>
      </c>
    </row>
    <row r="192">
      <c r="A192" s="35" t="n">
        <v>27942</v>
      </c>
      <c r="B192" s="36">
        <f>VLOOKUP(A192,Data!$A:$AH,MATCH(Country!$A$1,Data!$A$1:$AH$1,),)</f>
        <v/>
      </c>
      <c r="C192" s="59">
        <f>IF(B180&gt;0,(Table2[[#This Row],[Country]]-B180)/B180,0)</f>
        <v/>
      </c>
      <c r="D192" s="59">
        <f>IF(Table2[[#This Row],[Country]]&gt;0,(((Table2[[#This Row],[Country]]-B191)/B191)+1)^12-1,"")</f>
        <v/>
      </c>
    </row>
    <row r="193">
      <c r="A193" s="35" t="n">
        <v>27973</v>
      </c>
      <c r="B193" s="36">
        <f>VLOOKUP(A193,Data!$A:$AH,MATCH(Country!$A$1,Data!$A$1:$AH$1,),)</f>
        <v/>
      </c>
      <c r="C193" s="59">
        <f>IF(B181&gt;0,(Table2[[#This Row],[Country]]-B181)/B181,0)</f>
        <v/>
      </c>
      <c r="D193" s="59">
        <f>IF(Table2[[#This Row],[Country]]&gt;0,(((Table2[[#This Row],[Country]]-B192)/B192)+1)^12-1,"")</f>
        <v/>
      </c>
    </row>
    <row r="194">
      <c r="A194" s="35" t="n">
        <v>28004</v>
      </c>
      <c r="B194" s="36">
        <f>VLOOKUP(A194,Data!$A:$AH,MATCH(Country!$A$1,Data!$A$1:$AH$1,),)</f>
        <v/>
      </c>
      <c r="C194" s="59">
        <f>IF(B182&gt;0,(Table2[[#This Row],[Country]]-B182)/B182,0)</f>
        <v/>
      </c>
      <c r="D194" s="59">
        <f>IF(Table2[[#This Row],[Country]]&gt;0,(((Table2[[#This Row],[Country]]-B193)/B193)+1)^12-1,"")</f>
        <v/>
      </c>
    </row>
    <row r="195">
      <c r="A195" s="35" t="n">
        <v>28034</v>
      </c>
      <c r="B195" s="36">
        <f>VLOOKUP(A195,Data!$A:$AH,MATCH(Country!$A$1,Data!$A$1:$AH$1,),)</f>
        <v/>
      </c>
      <c r="C195" s="59">
        <f>IF(B183&gt;0,(Table2[[#This Row],[Country]]-B183)/B183,0)</f>
        <v/>
      </c>
      <c r="D195" s="59">
        <f>IF(Table2[[#This Row],[Country]]&gt;0,(((Table2[[#This Row],[Country]]-B194)/B194)+1)^12-1,"")</f>
        <v/>
      </c>
    </row>
    <row r="196">
      <c r="A196" s="35" t="n">
        <v>28065</v>
      </c>
      <c r="B196" s="36">
        <f>VLOOKUP(A196,Data!$A:$AH,MATCH(Country!$A$1,Data!$A$1:$AH$1,),)</f>
        <v/>
      </c>
      <c r="C196" s="59">
        <f>IF(B184&gt;0,(Table2[[#This Row],[Country]]-B184)/B184,0)</f>
        <v/>
      </c>
      <c r="D196" s="59">
        <f>IF(Table2[[#This Row],[Country]]&gt;0,(((Table2[[#This Row],[Country]]-B195)/B195)+1)^12-1,"")</f>
        <v/>
      </c>
    </row>
    <row r="197">
      <c r="A197" s="35" t="n">
        <v>28095</v>
      </c>
      <c r="B197" s="36">
        <f>VLOOKUP(A197,Data!$A:$AH,MATCH(Country!$A$1,Data!$A$1:$AH$1,),)</f>
        <v/>
      </c>
      <c r="C197" s="59">
        <f>IF(B185&gt;0,(Table2[[#This Row],[Country]]-B185)/B185,0)</f>
        <v/>
      </c>
      <c r="D197" s="59">
        <f>IF(Table2[[#This Row],[Country]]&gt;0,(((Table2[[#This Row],[Country]]-B196)/B196)+1)^12-1,"")</f>
        <v/>
      </c>
    </row>
    <row r="198">
      <c r="A198" s="35" t="n">
        <v>28126</v>
      </c>
      <c r="B198" s="36">
        <f>VLOOKUP(A198,Data!$A:$AH,MATCH(Country!$A$1,Data!$A$1:$AH$1,),)</f>
        <v/>
      </c>
      <c r="C198" s="59">
        <f>IF(B186&gt;0,(Table2[[#This Row],[Country]]-B186)/B186,0)</f>
        <v/>
      </c>
      <c r="D198" s="59">
        <f>IF(Table2[[#This Row],[Country]]&gt;0,(((Table2[[#This Row],[Country]]-B197)/B197)+1)^12-1,"")</f>
        <v/>
      </c>
    </row>
    <row r="199">
      <c r="A199" s="35" t="n">
        <v>28157</v>
      </c>
      <c r="B199" s="36">
        <f>VLOOKUP(A199,Data!$A:$AH,MATCH(Country!$A$1,Data!$A$1:$AH$1,),)</f>
        <v/>
      </c>
      <c r="C199" s="59">
        <f>IF(B187&gt;0,(Table2[[#This Row],[Country]]-B187)/B187,0)</f>
        <v/>
      </c>
      <c r="D199" s="59">
        <f>IF(Table2[[#This Row],[Country]]&gt;0,(((Table2[[#This Row],[Country]]-B198)/B198)+1)^12-1,"")</f>
        <v/>
      </c>
    </row>
    <row r="200">
      <c r="A200" s="35" t="n">
        <v>28185</v>
      </c>
      <c r="B200" s="36">
        <f>VLOOKUP(A200,Data!$A:$AH,MATCH(Country!$A$1,Data!$A$1:$AH$1,),)</f>
        <v/>
      </c>
      <c r="C200" s="59">
        <f>IF(B188&gt;0,(Table2[[#This Row],[Country]]-B188)/B188,0)</f>
        <v/>
      </c>
      <c r="D200" s="59">
        <f>IF(Table2[[#This Row],[Country]]&gt;0,(((Table2[[#This Row],[Country]]-B199)/B199)+1)^12-1,"")</f>
        <v/>
      </c>
    </row>
    <row r="201">
      <c r="A201" s="35" t="n">
        <v>28216</v>
      </c>
      <c r="B201" s="36">
        <f>VLOOKUP(A201,Data!$A:$AH,MATCH(Country!$A$1,Data!$A$1:$AH$1,),)</f>
        <v/>
      </c>
      <c r="C201" s="59">
        <f>IF(B189&gt;0,(Table2[[#This Row],[Country]]-B189)/B189,0)</f>
        <v/>
      </c>
      <c r="D201" s="59">
        <f>IF(Table2[[#This Row],[Country]]&gt;0,(((Table2[[#This Row],[Country]]-B200)/B200)+1)^12-1,"")</f>
        <v/>
      </c>
    </row>
    <row r="202">
      <c r="A202" s="35" t="n">
        <v>28246</v>
      </c>
      <c r="B202" s="36">
        <f>VLOOKUP(A202,Data!$A:$AH,MATCH(Country!$A$1,Data!$A$1:$AH$1,),)</f>
        <v/>
      </c>
      <c r="C202" s="59">
        <f>IF(B190&gt;0,(Table2[[#This Row],[Country]]-B190)/B190,0)</f>
        <v/>
      </c>
      <c r="D202" s="59">
        <f>IF(Table2[[#This Row],[Country]]&gt;0,(((Table2[[#This Row],[Country]]-B201)/B201)+1)^12-1,"")</f>
        <v/>
      </c>
    </row>
    <row r="203">
      <c r="A203" s="35" t="n">
        <v>28277</v>
      </c>
      <c r="B203" s="36">
        <f>VLOOKUP(A203,Data!$A:$AH,MATCH(Country!$A$1,Data!$A$1:$AH$1,),)</f>
        <v/>
      </c>
      <c r="C203" s="59">
        <f>IF(B191&gt;0,(Table2[[#This Row],[Country]]-B191)/B191,0)</f>
        <v/>
      </c>
      <c r="D203" s="59">
        <f>IF(Table2[[#This Row],[Country]]&gt;0,(((Table2[[#This Row],[Country]]-B202)/B202)+1)^12-1,"")</f>
        <v/>
      </c>
    </row>
    <row r="204">
      <c r="A204" s="35" t="n">
        <v>28307</v>
      </c>
      <c r="B204" s="36">
        <f>VLOOKUP(A204,Data!$A:$AH,MATCH(Country!$A$1,Data!$A$1:$AH$1,),)</f>
        <v/>
      </c>
      <c r="C204" s="59">
        <f>IF(B192&gt;0,(Table2[[#This Row],[Country]]-B192)/B192,0)</f>
        <v/>
      </c>
      <c r="D204" s="59">
        <f>IF(Table2[[#This Row],[Country]]&gt;0,(((Table2[[#This Row],[Country]]-B203)/B203)+1)^12-1,"")</f>
        <v/>
      </c>
    </row>
    <row r="205">
      <c r="A205" s="35" t="n">
        <v>28338</v>
      </c>
      <c r="B205" s="36">
        <f>VLOOKUP(A205,Data!$A:$AH,MATCH(Country!$A$1,Data!$A$1:$AH$1,),)</f>
        <v/>
      </c>
      <c r="C205" s="59">
        <f>IF(B193&gt;0,(Table2[[#This Row],[Country]]-B193)/B193,0)</f>
        <v/>
      </c>
      <c r="D205" s="59">
        <f>IF(Table2[[#This Row],[Country]]&gt;0,(((Table2[[#This Row],[Country]]-B204)/B204)+1)^12-1,"")</f>
        <v/>
      </c>
    </row>
    <row r="206">
      <c r="A206" s="35" t="n">
        <v>28369</v>
      </c>
      <c r="B206" s="36">
        <f>VLOOKUP(A206,Data!$A:$AH,MATCH(Country!$A$1,Data!$A$1:$AH$1,),)</f>
        <v/>
      </c>
      <c r="C206" s="59">
        <f>IF(B194&gt;0,(Table2[[#This Row],[Country]]-B194)/B194,0)</f>
        <v/>
      </c>
      <c r="D206" s="59">
        <f>IF(Table2[[#This Row],[Country]]&gt;0,(((Table2[[#This Row],[Country]]-B205)/B205)+1)^12-1,"")</f>
        <v/>
      </c>
    </row>
    <row r="207">
      <c r="A207" s="35" t="n">
        <v>28399</v>
      </c>
      <c r="B207" s="36">
        <f>VLOOKUP(A207,Data!$A:$AH,MATCH(Country!$A$1,Data!$A$1:$AH$1,),)</f>
        <v/>
      </c>
      <c r="C207" s="59">
        <f>IF(B195&gt;0,(Table2[[#This Row],[Country]]-B195)/B195,0)</f>
        <v/>
      </c>
      <c r="D207" s="59">
        <f>IF(Table2[[#This Row],[Country]]&gt;0,(((Table2[[#This Row],[Country]]-B206)/B206)+1)^12-1,"")</f>
        <v/>
      </c>
    </row>
    <row r="208">
      <c r="A208" s="35" t="n">
        <v>28430</v>
      </c>
      <c r="B208" s="36">
        <f>VLOOKUP(A208,Data!$A:$AH,MATCH(Country!$A$1,Data!$A$1:$AH$1,),)</f>
        <v/>
      </c>
      <c r="C208" s="59">
        <f>IF(B196&gt;0,(Table2[[#This Row],[Country]]-B196)/B196,0)</f>
        <v/>
      </c>
      <c r="D208" s="59">
        <f>IF(Table2[[#This Row],[Country]]&gt;0,(((Table2[[#This Row],[Country]]-B207)/B207)+1)^12-1,"")</f>
        <v/>
      </c>
    </row>
    <row r="209">
      <c r="A209" s="35" t="n">
        <v>28460</v>
      </c>
      <c r="B209" s="36">
        <f>VLOOKUP(A209,Data!$A:$AH,MATCH(Country!$A$1,Data!$A$1:$AH$1,),)</f>
        <v/>
      </c>
      <c r="C209" s="59">
        <f>IF(B197&gt;0,(Table2[[#This Row],[Country]]-B197)/B197,0)</f>
        <v/>
      </c>
      <c r="D209" s="59">
        <f>IF(Table2[[#This Row],[Country]]&gt;0,(((Table2[[#This Row],[Country]]-B208)/B208)+1)^12-1,"")</f>
        <v/>
      </c>
    </row>
    <row r="210">
      <c r="A210" s="35" t="n">
        <v>28491</v>
      </c>
      <c r="B210" s="36">
        <f>VLOOKUP(A210,Data!$A:$AH,MATCH(Country!$A$1,Data!$A$1:$AH$1,),)</f>
        <v/>
      </c>
      <c r="C210" s="59">
        <f>IF(B198&gt;0,(Table2[[#This Row],[Country]]-B198)/B198,0)</f>
        <v/>
      </c>
      <c r="D210" s="59">
        <f>IF(Table2[[#This Row],[Country]]&gt;0,(((Table2[[#This Row],[Country]]-B209)/B209)+1)^12-1,"")</f>
        <v/>
      </c>
    </row>
    <row r="211">
      <c r="A211" s="35" t="n">
        <v>28522</v>
      </c>
      <c r="B211" s="36">
        <f>VLOOKUP(A211,Data!$A:$AH,MATCH(Country!$A$1,Data!$A$1:$AH$1,),)</f>
        <v/>
      </c>
      <c r="C211" s="59">
        <f>IF(B199&gt;0,(Table2[[#This Row],[Country]]-B199)/B199,0)</f>
        <v/>
      </c>
      <c r="D211" s="59">
        <f>IF(Table2[[#This Row],[Country]]&gt;0,(((Table2[[#This Row],[Country]]-B210)/B210)+1)^12-1,"")</f>
        <v/>
      </c>
    </row>
    <row r="212">
      <c r="A212" s="35" t="n">
        <v>28550</v>
      </c>
      <c r="B212" s="36">
        <f>VLOOKUP(A212,Data!$A:$AH,MATCH(Country!$A$1,Data!$A$1:$AH$1,),)</f>
        <v/>
      </c>
      <c r="C212" s="59">
        <f>IF(B200&gt;0,(Table2[[#This Row],[Country]]-B200)/B200,0)</f>
        <v/>
      </c>
      <c r="D212" s="59">
        <f>IF(Table2[[#This Row],[Country]]&gt;0,(((Table2[[#This Row],[Country]]-B211)/B211)+1)^12-1,"")</f>
        <v/>
      </c>
    </row>
    <row r="213">
      <c r="A213" s="35" t="n">
        <v>28581</v>
      </c>
      <c r="B213" s="36">
        <f>VLOOKUP(A213,Data!$A:$AH,MATCH(Country!$A$1,Data!$A$1:$AH$1,),)</f>
        <v/>
      </c>
      <c r="C213" s="59">
        <f>IF(B201&gt;0,(Table2[[#This Row],[Country]]-B201)/B201,0)</f>
        <v/>
      </c>
      <c r="D213" s="59">
        <f>IF(Table2[[#This Row],[Country]]&gt;0,(((Table2[[#This Row],[Country]]-B212)/B212)+1)^12-1,"")</f>
        <v/>
      </c>
    </row>
    <row r="214">
      <c r="A214" s="35" t="n">
        <v>28611</v>
      </c>
      <c r="B214" s="36">
        <f>VLOOKUP(A214,Data!$A:$AH,MATCH(Country!$A$1,Data!$A$1:$AH$1,),)</f>
        <v/>
      </c>
      <c r="C214" s="59">
        <f>IF(B202&gt;0,(Table2[[#This Row],[Country]]-B202)/B202,0)</f>
        <v/>
      </c>
      <c r="D214" s="59">
        <f>IF(Table2[[#This Row],[Country]]&gt;0,(((Table2[[#This Row],[Country]]-B213)/B213)+1)^12-1,"")</f>
        <v/>
      </c>
    </row>
    <row r="215">
      <c r="A215" s="35" t="n">
        <v>28642</v>
      </c>
      <c r="B215" s="36">
        <f>VLOOKUP(A215,Data!$A:$AH,MATCH(Country!$A$1,Data!$A$1:$AH$1,),)</f>
        <v/>
      </c>
      <c r="C215" s="59">
        <f>IF(B203&gt;0,(Table2[[#This Row],[Country]]-B203)/B203,0)</f>
        <v/>
      </c>
      <c r="D215" s="59">
        <f>IF(Table2[[#This Row],[Country]]&gt;0,(((Table2[[#This Row],[Country]]-B214)/B214)+1)^12-1,"")</f>
        <v/>
      </c>
    </row>
    <row r="216">
      <c r="A216" s="35" t="n">
        <v>28672</v>
      </c>
      <c r="B216" s="36">
        <f>VLOOKUP(A216,Data!$A:$AH,MATCH(Country!$A$1,Data!$A$1:$AH$1,),)</f>
        <v/>
      </c>
      <c r="C216" s="59">
        <f>IF(B204&gt;0,(Table2[[#This Row],[Country]]-B204)/B204,0)</f>
        <v/>
      </c>
      <c r="D216" s="59">
        <f>IF(Table2[[#This Row],[Country]]&gt;0,(((Table2[[#This Row],[Country]]-B215)/B215)+1)^12-1,"")</f>
        <v/>
      </c>
    </row>
    <row r="217">
      <c r="A217" s="35" t="n">
        <v>28703</v>
      </c>
      <c r="B217" s="36">
        <f>VLOOKUP(A217,Data!$A:$AH,MATCH(Country!$A$1,Data!$A$1:$AH$1,),)</f>
        <v/>
      </c>
      <c r="C217" s="59">
        <f>IF(B205&gt;0,(Table2[[#This Row],[Country]]-B205)/B205,0)</f>
        <v/>
      </c>
      <c r="D217" s="59">
        <f>IF(Table2[[#This Row],[Country]]&gt;0,(((Table2[[#This Row],[Country]]-B216)/B216)+1)^12-1,"")</f>
        <v/>
      </c>
    </row>
    <row r="218">
      <c r="A218" s="35" t="n">
        <v>28734</v>
      </c>
      <c r="B218" s="36">
        <f>VLOOKUP(A218,Data!$A:$AH,MATCH(Country!$A$1,Data!$A$1:$AH$1,),)</f>
        <v/>
      </c>
      <c r="C218" s="59">
        <f>IF(B206&gt;0,(Table2[[#This Row],[Country]]-B206)/B206,0)</f>
        <v/>
      </c>
      <c r="D218" s="59">
        <f>IF(Table2[[#This Row],[Country]]&gt;0,(((Table2[[#This Row],[Country]]-B217)/B217)+1)^12-1,"")</f>
        <v/>
      </c>
    </row>
    <row r="219">
      <c r="A219" s="35" t="n">
        <v>28764</v>
      </c>
      <c r="B219" s="36">
        <f>VLOOKUP(A219,Data!$A:$AH,MATCH(Country!$A$1,Data!$A$1:$AH$1,),)</f>
        <v/>
      </c>
      <c r="C219" s="59">
        <f>IF(B207&gt;0,(Table2[[#This Row],[Country]]-B207)/B207,0)</f>
        <v/>
      </c>
      <c r="D219" s="59">
        <f>IF(Table2[[#This Row],[Country]]&gt;0,(((Table2[[#This Row],[Country]]-B218)/B218)+1)^12-1,"")</f>
        <v/>
      </c>
    </row>
    <row r="220">
      <c r="A220" s="35" t="n">
        <v>28795</v>
      </c>
      <c r="B220" s="36">
        <f>VLOOKUP(A220,Data!$A:$AH,MATCH(Country!$A$1,Data!$A$1:$AH$1,),)</f>
        <v/>
      </c>
      <c r="C220" s="59">
        <f>IF(B208&gt;0,(Table2[[#This Row],[Country]]-B208)/B208,0)</f>
        <v/>
      </c>
      <c r="D220" s="59">
        <f>IF(Table2[[#This Row],[Country]]&gt;0,(((Table2[[#This Row],[Country]]-B219)/B219)+1)^12-1,"")</f>
        <v/>
      </c>
    </row>
    <row r="221">
      <c r="A221" s="35" t="n">
        <v>28825</v>
      </c>
      <c r="B221" s="36">
        <f>VLOOKUP(A221,Data!$A:$AH,MATCH(Country!$A$1,Data!$A$1:$AH$1,),)</f>
        <v/>
      </c>
      <c r="C221" s="59">
        <f>IF(B209&gt;0,(Table2[[#This Row],[Country]]-B209)/B209,0)</f>
        <v/>
      </c>
      <c r="D221" s="59">
        <f>IF(Table2[[#This Row],[Country]]&gt;0,(((Table2[[#This Row],[Country]]-B220)/B220)+1)^12-1,"")</f>
        <v/>
      </c>
    </row>
    <row r="222">
      <c r="A222" s="35" t="n">
        <v>28856</v>
      </c>
      <c r="B222" s="36">
        <f>VLOOKUP(A222,Data!$A:$AH,MATCH(Country!$A$1,Data!$A$1:$AH$1,),)</f>
        <v/>
      </c>
      <c r="C222" s="59">
        <f>IF(B210&gt;0,(Table2[[#This Row],[Country]]-B210)/B210,0)</f>
        <v/>
      </c>
      <c r="D222" s="59">
        <f>IF(Table2[[#This Row],[Country]]&gt;0,(((Table2[[#This Row],[Country]]-B221)/B221)+1)^12-1,"")</f>
        <v/>
      </c>
    </row>
    <row r="223">
      <c r="A223" s="35" t="n">
        <v>28887</v>
      </c>
      <c r="B223" s="36">
        <f>VLOOKUP(A223,Data!$A:$AH,MATCH(Country!$A$1,Data!$A$1:$AH$1,),)</f>
        <v/>
      </c>
      <c r="C223" s="59">
        <f>IF(B211&gt;0,(Table2[[#This Row],[Country]]-B211)/B211,0)</f>
        <v/>
      </c>
      <c r="D223" s="59">
        <f>IF(Table2[[#This Row],[Country]]&gt;0,(((Table2[[#This Row],[Country]]-B222)/B222)+1)^12-1,"")</f>
        <v/>
      </c>
    </row>
    <row r="224">
      <c r="A224" s="35" t="n">
        <v>28915</v>
      </c>
      <c r="B224" s="36">
        <f>VLOOKUP(A224,Data!$A:$AH,MATCH(Country!$A$1,Data!$A$1:$AH$1,),)</f>
        <v/>
      </c>
      <c r="C224" s="59">
        <f>IF(B212&gt;0,(Table2[[#This Row],[Country]]-B212)/B212,0)</f>
        <v/>
      </c>
      <c r="D224" s="59">
        <f>IF(Table2[[#This Row],[Country]]&gt;0,(((Table2[[#This Row],[Country]]-B223)/B223)+1)^12-1,"")</f>
        <v/>
      </c>
    </row>
    <row r="225">
      <c r="A225" s="35" t="n">
        <v>28946</v>
      </c>
      <c r="B225" s="36">
        <f>VLOOKUP(A225,Data!$A:$AH,MATCH(Country!$A$1,Data!$A$1:$AH$1,),)</f>
        <v/>
      </c>
      <c r="C225" s="59">
        <f>IF(B213&gt;0,(Table2[[#This Row],[Country]]-B213)/B213,0)</f>
        <v/>
      </c>
      <c r="D225" s="59">
        <f>IF(Table2[[#This Row],[Country]]&gt;0,(((Table2[[#This Row],[Country]]-B224)/B224)+1)^12-1,"")</f>
        <v/>
      </c>
    </row>
    <row r="226">
      <c r="A226" s="35" t="n">
        <v>28976</v>
      </c>
      <c r="B226" s="36">
        <f>VLOOKUP(A226,Data!$A:$AH,MATCH(Country!$A$1,Data!$A$1:$AH$1,),)</f>
        <v/>
      </c>
      <c r="C226" s="59">
        <f>IF(B214&gt;0,(Table2[[#This Row],[Country]]-B214)/B214,0)</f>
        <v/>
      </c>
      <c r="D226" s="59">
        <f>IF(Table2[[#This Row],[Country]]&gt;0,(((Table2[[#This Row],[Country]]-B225)/B225)+1)^12-1,"")</f>
        <v/>
      </c>
    </row>
    <row r="227">
      <c r="A227" s="35" t="n">
        <v>29007</v>
      </c>
      <c r="B227" s="36">
        <f>VLOOKUP(A227,Data!$A:$AH,MATCH(Country!$A$1,Data!$A$1:$AH$1,),)</f>
        <v/>
      </c>
      <c r="C227" s="59">
        <f>IF(B215&gt;0,(Table2[[#This Row],[Country]]-B215)/B215,0)</f>
        <v/>
      </c>
      <c r="D227" s="59">
        <f>IF(Table2[[#This Row],[Country]]&gt;0,(((Table2[[#This Row],[Country]]-B226)/B226)+1)^12-1,"")</f>
        <v/>
      </c>
    </row>
    <row r="228">
      <c r="A228" s="35" t="n">
        <v>29037</v>
      </c>
      <c r="B228" s="36">
        <f>VLOOKUP(A228,Data!$A:$AH,MATCH(Country!$A$1,Data!$A$1:$AH$1,),)</f>
        <v/>
      </c>
      <c r="C228" s="59">
        <f>IF(B216&gt;0,(Table2[[#This Row],[Country]]-B216)/B216,0)</f>
        <v/>
      </c>
      <c r="D228" s="59">
        <f>IF(Table2[[#This Row],[Country]]&gt;0,(((Table2[[#This Row],[Country]]-B227)/B227)+1)^12-1,"")</f>
        <v/>
      </c>
    </row>
    <row r="229">
      <c r="A229" s="35" t="n">
        <v>29068</v>
      </c>
      <c r="B229" s="36">
        <f>VLOOKUP(A229,Data!$A:$AH,MATCH(Country!$A$1,Data!$A$1:$AH$1,),)</f>
        <v/>
      </c>
      <c r="C229" s="59">
        <f>IF(B217&gt;0,(Table2[[#This Row],[Country]]-B217)/B217,0)</f>
        <v/>
      </c>
      <c r="D229" s="59">
        <f>IF(Table2[[#This Row],[Country]]&gt;0,(((Table2[[#This Row],[Country]]-B228)/B228)+1)^12-1,"")</f>
        <v/>
      </c>
    </row>
    <row r="230">
      <c r="A230" s="35" t="n">
        <v>29099</v>
      </c>
      <c r="B230" s="36">
        <f>VLOOKUP(A230,Data!$A:$AH,MATCH(Country!$A$1,Data!$A$1:$AH$1,),)</f>
        <v/>
      </c>
      <c r="C230" s="59">
        <f>IF(B218&gt;0,(Table2[[#This Row],[Country]]-B218)/B218,0)</f>
        <v/>
      </c>
      <c r="D230" s="59">
        <f>IF(Table2[[#This Row],[Country]]&gt;0,(((Table2[[#This Row],[Country]]-B229)/B229)+1)^12-1,"")</f>
        <v/>
      </c>
    </row>
    <row r="231">
      <c r="A231" s="35" t="n">
        <v>29129</v>
      </c>
      <c r="B231" s="36">
        <f>VLOOKUP(A231,Data!$A:$AH,MATCH(Country!$A$1,Data!$A$1:$AH$1,),)</f>
        <v/>
      </c>
      <c r="C231" s="59">
        <f>IF(B219&gt;0,(Table2[[#This Row],[Country]]-B219)/B219,0)</f>
        <v/>
      </c>
      <c r="D231" s="59">
        <f>IF(Table2[[#This Row],[Country]]&gt;0,(((Table2[[#This Row],[Country]]-B230)/B230)+1)^12-1,"")</f>
        <v/>
      </c>
    </row>
    <row r="232">
      <c r="A232" s="35" t="n">
        <v>29160</v>
      </c>
      <c r="B232" s="36">
        <f>VLOOKUP(A232,Data!$A:$AH,MATCH(Country!$A$1,Data!$A$1:$AH$1,),)</f>
        <v/>
      </c>
      <c r="C232" s="59">
        <f>IF(B220&gt;0,(Table2[[#This Row],[Country]]-B220)/B220,0)</f>
        <v/>
      </c>
      <c r="D232" s="59">
        <f>IF(Table2[[#This Row],[Country]]&gt;0,(((Table2[[#This Row],[Country]]-B231)/B231)+1)^12-1,"")</f>
        <v/>
      </c>
    </row>
    <row r="233">
      <c r="A233" s="35" t="n">
        <v>29190</v>
      </c>
      <c r="B233" s="36">
        <f>VLOOKUP(A233,Data!$A:$AH,MATCH(Country!$A$1,Data!$A$1:$AH$1,),)</f>
        <v/>
      </c>
      <c r="C233" s="59">
        <f>IF(B221&gt;0,(Table2[[#This Row],[Country]]-B221)/B221,0)</f>
        <v/>
      </c>
      <c r="D233" s="59">
        <f>IF(Table2[[#This Row],[Country]]&gt;0,(((Table2[[#This Row],[Country]]-B232)/B232)+1)^12-1,"")</f>
        <v/>
      </c>
    </row>
    <row r="234">
      <c r="A234" s="35" t="n">
        <v>29221</v>
      </c>
      <c r="B234" s="36">
        <f>VLOOKUP(A234,Data!$A:$AH,MATCH(Country!$A$1,Data!$A$1:$AH$1,),)</f>
        <v/>
      </c>
      <c r="C234" s="59">
        <f>IF(B222&gt;0,(Table2[[#This Row],[Country]]-B222)/B222,0)</f>
        <v/>
      </c>
      <c r="D234" s="59">
        <f>IF(Table2[[#This Row],[Country]]&gt;0,(((Table2[[#This Row],[Country]]-B233)/B233)+1)^12-1,"")</f>
        <v/>
      </c>
    </row>
    <row r="235">
      <c r="A235" s="35" t="n">
        <v>29252</v>
      </c>
      <c r="B235" s="36">
        <f>VLOOKUP(A235,Data!$A:$AH,MATCH(Country!$A$1,Data!$A$1:$AH$1,),)</f>
        <v/>
      </c>
      <c r="C235" s="59">
        <f>IF(B223&gt;0,(Table2[[#This Row],[Country]]-B223)/B223,0)</f>
        <v/>
      </c>
      <c r="D235" s="59">
        <f>IF(Table2[[#This Row],[Country]]&gt;0,(((Table2[[#This Row],[Country]]-B234)/B234)+1)^12-1,"")</f>
        <v/>
      </c>
    </row>
    <row r="236">
      <c r="A236" s="35" t="n">
        <v>29281</v>
      </c>
      <c r="B236" s="36">
        <f>VLOOKUP(A236,Data!$A:$AH,MATCH(Country!$A$1,Data!$A$1:$AH$1,),)</f>
        <v/>
      </c>
      <c r="C236" s="59">
        <f>IF(B224&gt;0,(Table2[[#This Row],[Country]]-B224)/B224,0)</f>
        <v/>
      </c>
      <c r="D236" s="59">
        <f>IF(Table2[[#This Row],[Country]]&gt;0,(((Table2[[#This Row],[Country]]-B235)/B235)+1)^12-1,"")</f>
        <v/>
      </c>
    </row>
    <row r="237">
      <c r="A237" s="35" t="n">
        <v>29312</v>
      </c>
      <c r="B237" s="36">
        <f>VLOOKUP(A237,Data!$A:$AH,MATCH(Country!$A$1,Data!$A$1:$AH$1,),)</f>
        <v/>
      </c>
      <c r="C237" s="59">
        <f>IF(B225&gt;0,(Table2[[#This Row],[Country]]-B225)/B225,0)</f>
        <v/>
      </c>
      <c r="D237" s="59">
        <f>IF(Table2[[#This Row],[Country]]&gt;0,(((Table2[[#This Row],[Country]]-B236)/B236)+1)^12-1,"")</f>
        <v/>
      </c>
    </row>
    <row r="238">
      <c r="A238" s="35" t="n">
        <v>29342</v>
      </c>
      <c r="B238" s="36">
        <f>VLOOKUP(A238,Data!$A:$AH,MATCH(Country!$A$1,Data!$A$1:$AH$1,),)</f>
        <v/>
      </c>
      <c r="C238" s="59">
        <f>IF(B226&gt;0,(Table2[[#This Row],[Country]]-B226)/B226,0)</f>
        <v/>
      </c>
      <c r="D238" s="59">
        <f>IF(Table2[[#This Row],[Country]]&gt;0,(((Table2[[#This Row],[Country]]-B237)/B237)+1)^12-1,"")</f>
        <v/>
      </c>
    </row>
    <row r="239">
      <c r="A239" s="35" t="n">
        <v>29373</v>
      </c>
      <c r="B239" s="36">
        <f>VLOOKUP(A239,Data!$A:$AH,MATCH(Country!$A$1,Data!$A$1:$AH$1,),)</f>
        <v/>
      </c>
      <c r="C239" s="59">
        <f>IF(B227&gt;0,(Table2[[#This Row],[Country]]-B227)/B227,0)</f>
        <v/>
      </c>
      <c r="D239" s="59">
        <f>IF(Table2[[#This Row],[Country]]&gt;0,(((Table2[[#This Row],[Country]]-B238)/B238)+1)^12-1,"")</f>
        <v/>
      </c>
    </row>
    <row r="240">
      <c r="A240" s="35" t="n">
        <v>29403</v>
      </c>
      <c r="B240" s="36">
        <f>VLOOKUP(A240,Data!$A:$AH,MATCH(Country!$A$1,Data!$A$1:$AH$1,),)</f>
        <v/>
      </c>
      <c r="C240" s="59">
        <f>IF(B228&gt;0,(Table2[[#This Row],[Country]]-B228)/B228,0)</f>
        <v/>
      </c>
      <c r="D240" s="59">
        <f>IF(Table2[[#This Row],[Country]]&gt;0,(((Table2[[#This Row],[Country]]-B239)/B239)+1)^12-1,"")</f>
        <v/>
      </c>
    </row>
    <row r="241">
      <c r="A241" s="35" t="n">
        <v>29434</v>
      </c>
      <c r="B241" s="36">
        <f>VLOOKUP(A241,Data!$A:$AH,MATCH(Country!$A$1,Data!$A$1:$AH$1,),)</f>
        <v/>
      </c>
      <c r="C241" s="59">
        <f>IF(B229&gt;0,(Table2[[#This Row],[Country]]-B229)/B229,0)</f>
        <v/>
      </c>
      <c r="D241" s="59">
        <f>IF(Table2[[#This Row],[Country]]&gt;0,(((Table2[[#This Row],[Country]]-B240)/B240)+1)^12-1,"")</f>
        <v/>
      </c>
    </row>
    <row r="242">
      <c r="A242" s="35" t="n">
        <v>29465</v>
      </c>
      <c r="B242" s="36">
        <f>VLOOKUP(A242,Data!$A:$AH,MATCH(Country!$A$1,Data!$A$1:$AH$1,),)</f>
        <v/>
      </c>
      <c r="C242" s="59">
        <f>IF(B230&gt;0,(Table2[[#This Row],[Country]]-B230)/B230,0)</f>
        <v/>
      </c>
      <c r="D242" s="59">
        <f>IF(Table2[[#This Row],[Country]]&gt;0,(((Table2[[#This Row],[Country]]-B241)/B241)+1)^12-1,"")</f>
        <v/>
      </c>
    </row>
    <row r="243">
      <c r="A243" s="35" t="n">
        <v>29495</v>
      </c>
      <c r="B243" s="36">
        <f>VLOOKUP(A243,Data!$A:$AH,MATCH(Country!$A$1,Data!$A$1:$AH$1,),)</f>
        <v/>
      </c>
      <c r="C243" s="59">
        <f>IF(B231&gt;0,(Table2[[#This Row],[Country]]-B231)/B231,0)</f>
        <v/>
      </c>
      <c r="D243" s="59">
        <f>IF(Table2[[#This Row],[Country]]&gt;0,(((Table2[[#This Row],[Country]]-B242)/B242)+1)^12-1,"")</f>
        <v/>
      </c>
    </row>
    <row r="244">
      <c r="A244" s="35" t="n">
        <v>29526</v>
      </c>
      <c r="B244" s="36">
        <f>VLOOKUP(A244,Data!$A:$AH,MATCH(Country!$A$1,Data!$A$1:$AH$1,),)</f>
        <v/>
      </c>
      <c r="C244" s="59">
        <f>IF(B232&gt;0,(Table2[[#This Row],[Country]]-B232)/B232,0)</f>
        <v/>
      </c>
      <c r="D244" s="59">
        <f>IF(Table2[[#This Row],[Country]]&gt;0,(((Table2[[#This Row],[Country]]-B243)/B243)+1)^12-1,"")</f>
        <v/>
      </c>
    </row>
    <row r="245">
      <c r="A245" s="35" t="n">
        <v>29556</v>
      </c>
      <c r="B245" s="36">
        <f>VLOOKUP(A245,Data!$A:$AH,MATCH(Country!$A$1,Data!$A$1:$AH$1,),)</f>
        <v/>
      </c>
      <c r="C245" s="59">
        <f>IF(B233&gt;0,(Table2[[#This Row],[Country]]-B233)/B233,0)</f>
        <v/>
      </c>
      <c r="D245" s="59">
        <f>IF(Table2[[#This Row],[Country]]&gt;0,(((Table2[[#This Row],[Country]]-B244)/B244)+1)^12-1,"")</f>
        <v/>
      </c>
    </row>
    <row r="246">
      <c r="A246" s="35" t="n">
        <v>29587</v>
      </c>
      <c r="B246" s="36">
        <f>VLOOKUP(A246,Data!$A:$AH,MATCH(Country!$A$1,Data!$A$1:$AH$1,),)</f>
        <v/>
      </c>
      <c r="C246" s="59">
        <f>IF(B234&gt;0,(Table2[[#This Row],[Country]]-B234)/B234,0)</f>
        <v/>
      </c>
      <c r="D246" s="59">
        <f>IF(Table2[[#This Row],[Country]]&gt;0,(((Table2[[#This Row],[Country]]-B245)/B245)+1)^12-1,"")</f>
        <v/>
      </c>
    </row>
    <row r="247">
      <c r="A247" s="35" t="n">
        <v>29618</v>
      </c>
      <c r="B247" s="36">
        <f>VLOOKUP(A247,Data!$A:$AH,MATCH(Country!$A$1,Data!$A$1:$AH$1,),)</f>
        <v/>
      </c>
      <c r="C247" s="59">
        <f>IF(B235&gt;0,(Table2[[#This Row],[Country]]-B235)/B235,0)</f>
        <v/>
      </c>
      <c r="D247" s="59">
        <f>IF(Table2[[#This Row],[Country]]&gt;0,(((Table2[[#This Row],[Country]]-B246)/B246)+1)^12-1,"")</f>
        <v/>
      </c>
    </row>
    <row r="248">
      <c r="A248" s="35" t="n">
        <v>29646</v>
      </c>
      <c r="B248" s="36">
        <f>VLOOKUP(A248,Data!$A:$AH,MATCH(Country!$A$1,Data!$A$1:$AH$1,),)</f>
        <v/>
      </c>
      <c r="C248" s="59">
        <f>IF(B236&gt;0,(Table2[[#This Row],[Country]]-B236)/B236,0)</f>
        <v/>
      </c>
      <c r="D248" s="59">
        <f>IF(Table2[[#This Row],[Country]]&gt;0,(((Table2[[#This Row],[Country]]-B247)/B247)+1)^12-1,"")</f>
        <v/>
      </c>
    </row>
    <row r="249">
      <c r="A249" s="35" t="n">
        <v>29677</v>
      </c>
      <c r="B249" s="36">
        <f>VLOOKUP(A249,Data!$A:$AH,MATCH(Country!$A$1,Data!$A$1:$AH$1,),)</f>
        <v/>
      </c>
      <c r="C249" s="59">
        <f>IF(B237&gt;0,(Table2[[#This Row],[Country]]-B237)/B237,0)</f>
        <v/>
      </c>
      <c r="D249" s="59">
        <f>IF(Table2[[#This Row],[Country]]&gt;0,(((Table2[[#This Row],[Country]]-B248)/B248)+1)^12-1,"")</f>
        <v/>
      </c>
    </row>
    <row r="250">
      <c r="A250" s="35" t="n">
        <v>29707</v>
      </c>
      <c r="B250" s="36">
        <f>VLOOKUP(A250,Data!$A:$AH,MATCH(Country!$A$1,Data!$A$1:$AH$1,),)</f>
        <v/>
      </c>
      <c r="C250" s="59">
        <f>IF(B238&gt;0,(Table2[[#This Row],[Country]]-B238)/B238,0)</f>
        <v/>
      </c>
      <c r="D250" s="59">
        <f>IF(Table2[[#This Row],[Country]]&gt;0,(((Table2[[#This Row],[Country]]-B249)/B249)+1)^12-1,"")</f>
        <v/>
      </c>
    </row>
    <row r="251">
      <c r="A251" s="35" t="n">
        <v>29738</v>
      </c>
      <c r="B251" s="36">
        <f>VLOOKUP(A251,Data!$A:$AH,MATCH(Country!$A$1,Data!$A$1:$AH$1,),)</f>
        <v/>
      </c>
      <c r="C251" s="59">
        <f>IF(B239&gt;0,(Table2[[#This Row],[Country]]-B239)/B239,0)</f>
        <v/>
      </c>
      <c r="D251" s="59">
        <f>IF(Table2[[#This Row],[Country]]&gt;0,(((Table2[[#This Row],[Country]]-B250)/B250)+1)^12-1,"")</f>
        <v/>
      </c>
    </row>
    <row r="252">
      <c r="A252" s="35" t="n">
        <v>29768</v>
      </c>
      <c r="B252" s="36">
        <f>VLOOKUP(A252,Data!$A:$AH,MATCH(Country!$A$1,Data!$A$1:$AH$1,),)</f>
        <v/>
      </c>
      <c r="C252" s="59">
        <f>IF(B240&gt;0,(Table2[[#This Row],[Country]]-B240)/B240,0)</f>
        <v/>
      </c>
      <c r="D252" s="59">
        <f>IF(Table2[[#This Row],[Country]]&gt;0,(((Table2[[#This Row],[Country]]-B251)/B251)+1)^12-1,"")</f>
        <v/>
      </c>
    </row>
    <row r="253">
      <c r="A253" s="35" t="n">
        <v>29799</v>
      </c>
      <c r="B253" s="36">
        <f>VLOOKUP(A253,Data!$A:$AH,MATCH(Country!$A$1,Data!$A$1:$AH$1,),)</f>
        <v/>
      </c>
      <c r="C253" s="59">
        <f>IF(B241&gt;0,(Table2[[#This Row],[Country]]-B241)/B241,0)</f>
        <v/>
      </c>
      <c r="D253" s="59">
        <f>IF(Table2[[#This Row],[Country]]&gt;0,(((Table2[[#This Row],[Country]]-B252)/B252)+1)^12-1,"")</f>
        <v/>
      </c>
    </row>
    <row r="254">
      <c r="A254" s="35" t="n">
        <v>29830</v>
      </c>
      <c r="B254" s="36">
        <f>VLOOKUP(A254,Data!$A:$AH,MATCH(Country!$A$1,Data!$A$1:$AH$1,),)</f>
        <v/>
      </c>
      <c r="C254" s="59">
        <f>IF(B242&gt;0,(Table2[[#This Row],[Country]]-B242)/B242,0)</f>
        <v/>
      </c>
      <c r="D254" s="59">
        <f>IF(Table2[[#This Row],[Country]]&gt;0,(((Table2[[#This Row],[Country]]-B253)/B253)+1)^12-1,"")</f>
        <v/>
      </c>
    </row>
    <row r="255">
      <c r="A255" s="35" t="n">
        <v>29860</v>
      </c>
      <c r="B255" s="36">
        <f>VLOOKUP(A255,Data!$A:$AH,MATCH(Country!$A$1,Data!$A$1:$AH$1,),)</f>
        <v/>
      </c>
      <c r="C255" s="59">
        <f>IF(B243&gt;0,(Table2[[#This Row],[Country]]-B243)/B243,0)</f>
        <v/>
      </c>
      <c r="D255" s="59">
        <f>IF(Table2[[#This Row],[Country]]&gt;0,(((Table2[[#This Row],[Country]]-B254)/B254)+1)^12-1,"")</f>
        <v/>
      </c>
    </row>
    <row r="256">
      <c r="A256" s="35" t="n">
        <v>29891</v>
      </c>
      <c r="B256" s="36">
        <f>VLOOKUP(A256,Data!$A:$AH,MATCH(Country!$A$1,Data!$A$1:$AH$1,),)</f>
        <v/>
      </c>
      <c r="C256" s="59">
        <f>IF(B244&gt;0,(Table2[[#This Row],[Country]]-B244)/B244,0)</f>
        <v/>
      </c>
      <c r="D256" s="59">
        <f>IF(Table2[[#This Row],[Country]]&gt;0,(((Table2[[#This Row],[Country]]-B255)/B255)+1)^12-1,"")</f>
        <v/>
      </c>
    </row>
    <row r="257">
      <c r="A257" s="35" t="n">
        <v>29921</v>
      </c>
      <c r="B257" s="36">
        <f>VLOOKUP(A257,Data!$A:$AH,MATCH(Country!$A$1,Data!$A$1:$AH$1,),)</f>
        <v/>
      </c>
      <c r="C257" s="59">
        <f>IF(B245&gt;0,(Table2[[#This Row],[Country]]-B245)/B245,0)</f>
        <v/>
      </c>
      <c r="D257" s="59">
        <f>IF(Table2[[#This Row],[Country]]&gt;0,(((Table2[[#This Row],[Country]]-B256)/B256)+1)^12-1,"")</f>
        <v/>
      </c>
    </row>
    <row r="258">
      <c r="A258" s="35" t="n">
        <v>29952</v>
      </c>
      <c r="B258" s="36">
        <f>VLOOKUP(A258,Data!$A:$AH,MATCH(Country!$A$1,Data!$A$1:$AH$1,),)</f>
        <v/>
      </c>
      <c r="C258" s="59">
        <f>IF(B246&gt;0,(Table2[[#This Row],[Country]]-B246)/B246,0)</f>
        <v/>
      </c>
      <c r="D258" s="59">
        <f>IF(Table2[[#This Row],[Country]]&gt;0,(((Table2[[#This Row],[Country]]-B257)/B257)+1)^12-1,"")</f>
        <v/>
      </c>
    </row>
    <row r="259">
      <c r="A259" s="35" t="n">
        <v>29983</v>
      </c>
      <c r="B259" s="36">
        <f>VLOOKUP(A259,Data!$A:$AH,MATCH(Country!$A$1,Data!$A$1:$AH$1,),)</f>
        <v/>
      </c>
      <c r="C259" s="59">
        <f>IF(B247&gt;0,(Table2[[#This Row],[Country]]-B247)/B247,0)</f>
        <v/>
      </c>
      <c r="D259" s="59">
        <f>IF(Table2[[#This Row],[Country]]&gt;0,(((Table2[[#This Row],[Country]]-B258)/B258)+1)^12-1,"")</f>
        <v/>
      </c>
    </row>
    <row r="260">
      <c r="A260" s="35" t="n">
        <v>30011</v>
      </c>
      <c r="B260" s="36">
        <f>VLOOKUP(A260,Data!$A:$AH,MATCH(Country!$A$1,Data!$A$1:$AH$1,),)</f>
        <v/>
      </c>
      <c r="C260" s="59">
        <f>IF(B248&gt;0,(Table2[[#This Row],[Country]]-B248)/B248,0)</f>
        <v/>
      </c>
      <c r="D260" s="59">
        <f>IF(Table2[[#This Row],[Country]]&gt;0,(((Table2[[#This Row],[Country]]-B259)/B259)+1)^12-1,"")</f>
        <v/>
      </c>
    </row>
    <row r="261">
      <c r="A261" s="35" t="n">
        <v>30042</v>
      </c>
      <c r="B261" s="36">
        <f>VLOOKUP(A261,Data!$A:$AH,MATCH(Country!$A$1,Data!$A$1:$AH$1,),)</f>
        <v/>
      </c>
      <c r="C261" s="59">
        <f>IF(B249&gt;0,(Table2[[#This Row],[Country]]-B249)/B249,0)</f>
        <v/>
      </c>
      <c r="D261" s="59">
        <f>IF(Table2[[#This Row],[Country]]&gt;0,(((Table2[[#This Row],[Country]]-B260)/B260)+1)^12-1,"")</f>
        <v/>
      </c>
    </row>
    <row r="262">
      <c r="A262" s="35" t="n">
        <v>30072</v>
      </c>
      <c r="B262" s="36">
        <f>VLOOKUP(A262,Data!$A:$AH,MATCH(Country!$A$1,Data!$A$1:$AH$1,),)</f>
        <v/>
      </c>
      <c r="C262" s="59">
        <f>IF(B250&gt;0,(Table2[[#This Row],[Country]]-B250)/B250,0)</f>
        <v/>
      </c>
      <c r="D262" s="59">
        <f>IF(Table2[[#This Row],[Country]]&gt;0,(((Table2[[#This Row],[Country]]-B261)/B261)+1)^12-1,"")</f>
        <v/>
      </c>
    </row>
    <row r="263">
      <c r="A263" s="35" t="n">
        <v>30103</v>
      </c>
      <c r="B263" s="36">
        <f>VLOOKUP(A263,Data!$A:$AH,MATCH(Country!$A$1,Data!$A$1:$AH$1,),)</f>
        <v/>
      </c>
      <c r="C263" s="59">
        <f>IF(B251&gt;0,(Table2[[#This Row],[Country]]-B251)/B251,0)</f>
        <v/>
      </c>
      <c r="D263" s="59">
        <f>IF(Table2[[#This Row],[Country]]&gt;0,(((Table2[[#This Row],[Country]]-B262)/B262)+1)^12-1,"")</f>
        <v/>
      </c>
    </row>
    <row r="264">
      <c r="A264" s="35" t="n">
        <v>30133</v>
      </c>
      <c r="B264" s="36">
        <f>VLOOKUP(A264,Data!$A:$AH,MATCH(Country!$A$1,Data!$A$1:$AH$1,),)</f>
        <v/>
      </c>
      <c r="C264" s="59">
        <f>IF(B252&gt;0,(Table2[[#This Row],[Country]]-B252)/B252,0)</f>
        <v/>
      </c>
      <c r="D264" s="59">
        <f>IF(Table2[[#This Row],[Country]]&gt;0,(((Table2[[#This Row],[Country]]-B263)/B263)+1)^12-1,"")</f>
        <v/>
      </c>
    </row>
    <row r="265">
      <c r="A265" s="35" t="n">
        <v>30164</v>
      </c>
      <c r="B265" s="36">
        <f>VLOOKUP(A265,Data!$A:$AH,MATCH(Country!$A$1,Data!$A$1:$AH$1,),)</f>
        <v/>
      </c>
      <c r="C265" s="59">
        <f>IF(B253&gt;0,(Table2[[#This Row],[Country]]-B253)/B253,0)</f>
        <v/>
      </c>
      <c r="D265" s="59">
        <f>IF(Table2[[#This Row],[Country]]&gt;0,(((Table2[[#This Row],[Country]]-B264)/B264)+1)^12-1,"")</f>
        <v/>
      </c>
    </row>
    <row r="266">
      <c r="A266" s="35" t="n">
        <v>30195</v>
      </c>
      <c r="B266" s="36">
        <f>VLOOKUP(A266,Data!$A:$AH,MATCH(Country!$A$1,Data!$A$1:$AH$1,),)</f>
        <v/>
      </c>
      <c r="C266" s="59">
        <f>IF(B254&gt;0,(Table2[[#This Row],[Country]]-B254)/B254,0)</f>
        <v/>
      </c>
      <c r="D266" s="59">
        <f>IF(Table2[[#This Row],[Country]]&gt;0,(((Table2[[#This Row],[Country]]-B265)/B265)+1)^12-1,"")</f>
        <v/>
      </c>
    </row>
    <row r="267">
      <c r="A267" s="35" t="n">
        <v>30225</v>
      </c>
      <c r="B267" s="36">
        <f>VLOOKUP(A267,Data!$A:$AH,MATCH(Country!$A$1,Data!$A$1:$AH$1,),)</f>
        <v/>
      </c>
      <c r="C267" s="59">
        <f>IF(B255&gt;0,(Table2[[#This Row],[Country]]-B255)/B255,0)</f>
        <v/>
      </c>
      <c r="D267" s="59">
        <f>IF(Table2[[#This Row],[Country]]&gt;0,(((Table2[[#This Row],[Country]]-B266)/B266)+1)^12-1,"")</f>
        <v/>
      </c>
    </row>
    <row r="268">
      <c r="A268" s="35" t="n">
        <v>30256</v>
      </c>
      <c r="B268" s="36">
        <f>VLOOKUP(A268,Data!$A:$AH,MATCH(Country!$A$1,Data!$A$1:$AH$1,),)</f>
        <v/>
      </c>
      <c r="C268" s="59">
        <f>IF(B256&gt;0,(Table2[[#This Row],[Country]]-B256)/B256,0)</f>
        <v/>
      </c>
      <c r="D268" s="59">
        <f>IF(Table2[[#This Row],[Country]]&gt;0,(((Table2[[#This Row],[Country]]-B267)/B267)+1)^12-1,"")</f>
        <v/>
      </c>
    </row>
    <row r="269">
      <c r="A269" s="35" t="n">
        <v>30286</v>
      </c>
      <c r="B269" s="36">
        <f>VLOOKUP(A269,Data!$A:$AH,MATCH(Country!$A$1,Data!$A$1:$AH$1,),)</f>
        <v/>
      </c>
      <c r="C269" s="59">
        <f>IF(B257&gt;0,(Table2[[#This Row],[Country]]-B257)/B257,0)</f>
        <v/>
      </c>
      <c r="D269" s="59">
        <f>IF(Table2[[#This Row],[Country]]&gt;0,(((Table2[[#This Row],[Country]]-B268)/B268)+1)^12-1,"")</f>
        <v/>
      </c>
    </row>
    <row r="270">
      <c r="A270" s="35" t="n">
        <v>30317</v>
      </c>
      <c r="B270" s="36">
        <f>VLOOKUP(A270,Data!$A:$AH,MATCH(Country!$A$1,Data!$A$1:$AH$1,),)</f>
        <v/>
      </c>
      <c r="C270" s="59">
        <f>IF(B258&gt;0,(Table2[[#This Row],[Country]]-B258)/B258,0)</f>
        <v/>
      </c>
      <c r="D270" s="59">
        <f>IF(Table2[[#This Row],[Country]]&gt;0,(((Table2[[#This Row],[Country]]-B269)/B269)+1)^12-1,"")</f>
        <v/>
      </c>
    </row>
    <row r="271">
      <c r="A271" s="35" t="n">
        <v>30348</v>
      </c>
      <c r="B271" s="36">
        <f>VLOOKUP(A271,Data!$A:$AH,MATCH(Country!$A$1,Data!$A$1:$AH$1,),)</f>
        <v/>
      </c>
      <c r="C271" s="59">
        <f>IF(B259&gt;0,(Table2[[#This Row],[Country]]-B259)/B259,0)</f>
        <v/>
      </c>
      <c r="D271" s="59">
        <f>IF(Table2[[#This Row],[Country]]&gt;0,(((Table2[[#This Row],[Country]]-B270)/B270)+1)^12-1,"")</f>
        <v/>
      </c>
    </row>
    <row r="272">
      <c r="A272" s="35" t="n">
        <v>30376</v>
      </c>
      <c r="B272" s="36">
        <f>VLOOKUP(A272,Data!$A:$AH,MATCH(Country!$A$1,Data!$A$1:$AH$1,),)</f>
        <v/>
      </c>
      <c r="C272" s="59">
        <f>IF(B260&gt;0,(Table2[[#This Row],[Country]]-B260)/B260,0)</f>
        <v/>
      </c>
      <c r="D272" s="59">
        <f>IF(Table2[[#This Row],[Country]]&gt;0,(((Table2[[#This Row],[Country]]-B271)/B271)+1)^12-1,"")</f>
        <v/>
      </c>
    </row>
    <row r="273">
      <c r="A273" s="35" t="n">
        <v>30407</v>
      </c>
      <c r="B273" s="36">
        <f>VLOOKUP(A273,Data!$A:$AH,MATCH(Country!$A$1,Data!$A$1:$AH$1,),)</f>
        <v/>
      </c>
      <c r="C273" s="59">
        <f>IF(B261&gt;0,(Table2[[#This Row],[Country]]-B261)/B261,0)</f>
        <v/>
      </c>
      <c r="D273" s="59">
        <f>IF(Table2[[#This Row],[Country]]&gt;0,(((Table2[[#This Row],[Country]]-B272)/B272)+1)^12-1,"")</f>
        <v/>
      </c>
    </row>
    <row r="274">
      <c r="A274" s="35" t="n">
        <v>30437</v>
      </c>
      <c r="B274" s="36">
        <f>VLOOKUP(A274,Data!$A:$AH,MATCH(Country!$A$1,Data!$A$1:$AH$1,),)</f>
        <v/>
      </c>
      <c r="C274" s="59">
        <f>IF(B262&gt;0,(Table2[[#This Row],[Country]]-B262)/B262,0)</f>
        <v/>
      </c>
      <c r="D274" s="59">
        <f>IF(Table2[[#This Row],[Country]]&gt;0,(((Table2[[#This Row],[Country]]-B273)/B273)+1)^12-1,"")</f>
        <v/>
      </c>
    </row>
    <row r="275">
      <c r="A275" s="35" t="n">
        <v>30468</v>
      </c>
      <c r="B275" s="36">
        <f>VLOOKUP(A275,Data!$A:$AH,MATCH(Country!$A$1,Data!$A$1:$AH$1,),)</f>
        <v/>
      </c>
      <c r="C275" s="59">
        <f>IF(B263&gt;0,(Table2[[#This Row],[Country]]-B263)/B263,0)</f>
        <v/>
      </c>
      <c r="D275" s="59">
        <f>IF(Table2[[#This Row],[Country]]&gt;0,(((Table2[[#This Row],[Country]]-B274)/B274)+1)^12-1,"")</f>
        <v/>
      </c>
    </row>
    <row r="276">
      <c r="A276" s="35" t="n">
        <v>30498</v>
      </c>
      <c r="B276" s="36">
        <f>VLOOKUP(A276,Data!$A:$AH,MATCH(Country!$A$1,Data!$A$1:$AH$1,),)</f>
        <v/>
      </c>
      <c r="C276" s="59">
        <f>IF(B264&gt;0,(Table2[[#This Row],[Country]]-B264)/B264,0)</f>
        <v/>
      </c>
      <c r="D276" s="59">
        <f>IF(Table2[[#This Row],[Country]]&gt;0,(((Table2[[#This Row],[Country]]-B275)/B275)+1)^12-1,"")</f>
        <v/>
      </c>
    </row>
    <row r="277">
      <c r="A277" s="35" t="n">
        <v>30529</v>
      </c>
      <c r="B277" s="36">
        <f>VLOOKUP(A277,Data!$A:$AH,MATCH(Country!$A$1,Data!$A$1:$AH$1,),)</f>
        <v/>
      </c>
      <c r="C277" s="59">
        <f>IF(B265&gt;0,(Table2[[#This Row],[Country]]-B265)/B265,0)</f>
        <v/>
      </c>
      <c r="D277" s="59">
        <f>IF(Table2[[#This Row],[Country]]&gt;0,(((Table2[[#This Row],[Country]]-B276)/B276)+1)^12-1,"")</f>
        <v/>
      </c>
    </row>
    <row r="278">
      <c r="A278" s="35" t="n">
        <v>30560</v>
      </c>
      <c r="B278" s="36">
        <f>VLOOKUP(A278,Data!$A:$AH,MATCH(Country!$A$1,Data!$A$1:$AH$1,),)</f>
        <v/>
      </c>
      <c r="C278" s="59">
        <f>IF(B266&gt;0,(Table2[[#This Row],[Country]]-B266)/B266,0)</f>
        <v/>
      </c>
      <c r="D278" s="59">
        <f>IF(Table2[[#This Row],[Country]]&gt;0,(((Table2[[#This Row],[Country]]-B277)/B277)+1)^12-1,"")</f>
        <v/>
      </c>
    </row>
    <row r="279">
      <c r="A279" s="35" t="n">
        <v>30590</v>
      </c>
      <c r="B279" s="36">
        <f>VLOOKUP(A279,Data!$A:$AH,MATCH(Country!$A$1,Data!$A$1:$AH$1,),)</f>
        <v/>
      </c>
      <c r="C279" s="59">
        <f>IF(B267&gt;0,(Table2[[#This Row],[Country]]-B267)/B267,0)</f>
        <v/>
      </c>
      <c r="D279" s="59">
        <f>IF(Table2[[#This Row],[Country]]&gt;0,(((Table2[[#This Row],[Country]]-B278)/B278)+1)^12-1,"")</f>
        <v/>
      </c>
    </row>
    <row r="280">
      <c r="A280" s="35" t="n">
        <v>30621</v>
      </c>
      <c r="B280" s="36">
        <f>VLOOKUP(A280,Data!$A:$AH,MATCH(Country!$A$1,Data!$A$1:$AH$1,),)</f>
        <v/>
      </c>
      <c r="C280" s="59">
        <f>IF(B268&gt;0,(Table2[[#This Row],[Country]]-B268)/B268,0)</f>
        <v/>
      </c>
      <c r="D280" s="59">
        <f>IF(Table2[[#This Row],[Country]]&gt;0,(((Table2[[#This Row],[Country]]-B279)/B279)+1)^12-1,"")</f>
        <v/>
      </c>
    </row>
    <row r="281">
      <c r="A281" s="35" t="n">
        <v>30651</v>
      </c>
      <c r="B281" s="36">
        <f>VLOOKUP(A281,Data!$A:$AH,MATCH(Country!$A$1,Data!$A$1:$AH$1,),)</f>
        <v/>
      </c>
      <c r="C281" s="59">
        <f>IF(B269&gt;0,(Table2[[#This Row],[Country]]-B269)/B269,0)</f>
        <v/>
      </c>
      <c r="D281" s="59">
        <f>IF(Table2[[#This Row],[Country]]&gt;0,(((Table2[[#This Row],[Country]]-B280)/B280)+1)^12-1,"")</f>
        <v/>
      </c>
    </row>
    <row r="282">
      <c r="A282" s="35" t="n">
        <v>30682</v>
      </c>
      <c r="B282" s="36">
        <f>VLOOKUP(A282,Data!$A:$AH,MATCH(Country!$A$1,Data!$A$1:$AH$1,),)</f>
        <v/>
      </c>
      <c r="C282" s="59">
        <f>IF(B270&gt;0,(Table2[[#This Row],[Country]]-B270)/B270,0)</f>
        <v/>
      </c>
      <c r="D282" s="59">
        <f>IF(Table2[[#This Row],[Country]]&gt;0,(((Table2[[#This Row],[Country]]-B281)/B281)+1)^12-1,"")</f>
        <v/>
      </c>
    </row>
    <row r="283">
      <c r="A283" s="35" t="n">
        <v>30713</v>
      </c>
      <c r="B283" s="36">
        <f>VLOOKUP(A283,Data!$A:$AH,MATCH(Country!$A$1,Data!$A$1:$AH$1,),)</f>
        <v/>
      </c>
      <c r="C283" s="59">
        <f>IF(B271&gt;0,(Table2[[#This Row],[Country]]-B271)/B271,0)</f>
        <v/>
      </c>
      <c r="D283" s="59">
        <f>IF(Table2[[#This Row],[Country]]&gt;0,(((Table2[[#This Row],[Country]]-B282)/B282)+1)^12-1,"")</f>
        <v/>
      </c>
    </row>
    <row r="284">
      <c r="A284" s="35" t="n">
        <v>30742</v>
      </c>
      <c r="B284" s="36">
        <f>VLOOKUP(A284,Data!$A:$AH,MATCH(Country!$A$1,Data!$A$1:$AH$1,),)</f>
        <v/>
      </c>
      <c r="C284" s="59">
        <f>IF(B272&gt;0,(Table2[[#This Row],[Country]]-B272)/B272,0)</f>
        <v/>
      </c>
      <c r="D284" s="59">
        <f>IF(Table2[[#This Row],[Country]]&gt;0,(((Table2[[#This Row],[Country]]-B283)/B283)+1)^12-1,"")</f>
        <v/>
      </c>
    </row>
    <row r="285">
      <c r="A285" s="35" t="n">
        <v>30773</v>
      </c>
      <c r="B285" s="36">
        <f>VLOOKUP(A285,Data!$A:$AH,MATCH(Country!$A$1,Data!$A$1:$AH$1,),)</f>
        <v/>
      </c>
      <c r="C285" s="59">
        <f>IF(B273&gt;0,(Table2[[#This Row],[Country]]-B273)/B273,0)</f>
        <v/>
      </c>
      <c r="D285" s="59">
        <f>IF(Table2[[#This Row],[Country]]&gt;0,(((Table2[[#This Row],[Country]]-B284)/B284)+1)^12-1,"")</f>
        <v/>
      </c>
    </row>
    <row r="286">
      <c r="A286" s="35" t="n">
        <v>30803</v>
      </c>
      <c r="B286" s="36">
        <f>VLOOKUP(A286,Data!$A:$AH,MATCH(Country!$A$1,Data!$A$1:$AH$1,),)</f>
        <v/>
      </c>
      <c r="C286" s="59">
        <f>IF(B274&gt;0,(Table2[[#This Row],[Country]]-B274)/B274,0)</f>
        <v/>
      </c>
      <c r="D286" s="59">
        <f>IF(Table2[[#This Row],[Country]]&gt;0,(((Table2[[#This Row],[Country]]-B285)/B285)+1)^12-1,"")</f>
        <v/>
      </c>
    </row>
    <row r="287">
      <c r="A287" s="35" t="n">
        <v>30834</v>
      </c>
      <c r="B287" s="36">
        <f>VLOOKUP(A287,Data!$A:$AH,MATCH(Country!$A$1,Data!$A$1:$AH$1,),)</f>
        <v/>
      </c>
      <c r="C287" s="59">
        <f>IF(B275&gt;0,(Table2[[#This Row],[Country]]-B275)/B275,0)</f>
        <v/>
      </c>
      <c r="D287" s="59">
        <f>IF(Table2[[#This Row],[Country]]&gt;0,(((Table2[[#This Row],[Country]]-B286)/B286)+1)^12-1,"")</f>
        <v/>
      </c>
    </row>
    <row r="288">
      <c r="A288" s="35" t="n">
        <v>30864</v>
      </c>
      <c r="B288" s="36">
        <f>VLOOKUP(A288,Data!$A:$AH,MATCH(Country!$A$1,Data!$A$1:$AH$1,),)</f>
        <v/>
      </c>
      <c r="C288" s="59">
        <f>IF(B276&gt;0,(Table2[[#This Row],[Country]]-B276)/B276,0)</f>
        <v/>
      </c>
      <c r="D288" s="59">
        <f>IF(Table2[[#This Row],[Country]]&gt;0,(((Table2[[#This Row],[Country]]-B287)/B287)+1)^12-1,"")</f>
        <v/>
      </c>
    </row>
    <row r="289">
      <c r="A289" s="35" t="n">
        <v>30895</v>
      </c>
      <c r="B289" s="36">
        <f>VLOOKUP(A289,Data!$A:$AH,MATCH(Country!$A$1,Data!$A$1:$AH$1,),)</f>
        <v/>
      </c>
      <c r="C289" s="59">
        <f>IF(B277&gt;0,(Table2[[#This Row],[Country]]-B277)/B277,0)</f>
        <v/>
      </c>
      <c r="D289" s="59">
        <f>IF(Table2[[#This Row],[Country]]&gt;0,(((Table2[[#This Row],[Country]]-B288)/B288)+1)^12-1,"")</f>
        <v/>
      </c>
    </row>
    <row r="290">
      <c r="A290" s="35" t="n">
        <v>30926</v>
      </c>
      <c r="B290" s="36">
        <f>VLOOKUP(A290,Data!$A:$AH,MATCH(Country!$A$1,Data!$A$1:$AH$1,),)</f>
        <v/>
      </c>
      <c r="C290" s="59">
        <f>IF(B278&gt;0,(Table2[[#This Row],[Country]]-B278)/B278,0)</f>
        <v/>
      </c>
      <c r="D290" s="59">
        <f>IF(Table2[[#This Row],[Country]]&gt;0,(((Table2[[#This Row],[Country]]-B289)/B289)+1)^12-1,"")</f>
        <v/>
      </c>
    </row>
    <row r="291">
      <c r="A291" s="35" t="n">
        <v>30956</v>
      </c>
      <c r="B291" s="36">
        <f>VLOOKUP(A291,Data!$A:$AH,MATCH(Country!$A$1,Data!$A$1:$AH$1,),)</f>
        <v/>
      </c>
      <c r="C291" s="59">
        <f>IF(B279&gt;0,(Table2[[#This Row],[Country]]-B279)/B279,0)</f>
        <v/>
      </c>
      <c r="D291" s="59">
        <f>IF(Table2[[#This Row],[Country]]&gt;0,(((Table2[[#This Row],[Country]]-B290)/B290)+1)^12-1,"")</f>
        <v/>
      </c>
    </row>
    <row r="292">
      <c r="A292" s="35" t="n">
        <v>30987</v>
      </c>
      <c r="B292" s="36">
        <f>VLOOKUP(A292,Data!$A:$AH,MATCH(Country!$A$1,Data!$A$1:$AH$1,),)</f>
        <v/>
      </c>
      <c r="C292" s="59">
        <f>IF(B280&gt;0,(Table2[[#This Row],[Country]]-B280)/B280,0)</f>
        <v/>
      </c>
      <c r="D292" s="59">
        <f>IF(Table2[[#This Row],[Country]]&gt;0,(((Table2[[#This Row],[Country]]-B291)/B291)+1)^12-1,"")</f>
        <v/>
      </c>
    </row>
    <row r="293">
      <c r="A293" s="35" t="n">
        <v>31017</v>
      </c>
      <c r="B293" s="36">
        <f>VLOOKUP(A293,Data!$A:$AH,MATCH(Country!$A$1,Data!$A$1:$AH$1,),)</f>
        <v/>
      </c>
      <c r="C293" s="59">
        <f>IF(B281&gt;0,(Table2[[#This Row],[Country]]-B281)/B281,0)</f>
        <v/>
      </c>
      <c r="D293" s="59">
        <f>IF(Table2[[#This Row],[Country]]&gt;0,(((Table2[[#This Row],[Country]]-B292)/B292)+1)^12-1,"")</f>
        <v/>
      </c>
    </row>
    <row r="294">
      <c r="A294" s="35" t="n">
        <v>31048</v>
      </c>
      <c r="B294" s="36">
        <f>VLOOKUP(A294,Data!$A:$AH,MATCH(Country!$A$1,Data!$A$1:$AH$1,),)</f>
        <v/>
      </c>
      <c r="C294" s="59">
        <f>IF(B282&gt;0,(Table2[[#This Row],[Country]]-B282)/B282,0)</f>
        <v/>
      </c>
      <c r="D294" s="59">
        <f>IF(Table2[[#This Row],[Country]]&gt;0,(((Table2[[#This Row],[Country]]-B293)/B293)+1)^12-1,"")</f>
        <v/>
      </c>
    </row>
    <row r="295">
      <c r="A295" s="35" t="n">
        <v>31079</v>
      </c>
      <c r="B295" s="36">
        <f>VLOOKUP(A295,Data!$A:$AH,MATCH(Country!$A$1,Data!$A$1:$AH$1,),)</f>
        <v/>
      </c>
      <c r="C295" s="59">
        <f>IF(B283&gt;0,(Table2[[#This Row],[Country]]-B283)/B283,0)</f>
        <v/>
      </c>
      <c r="D295" s="59">
        <f>IF(Table2[[#This Row],[Country]]&gt;0,(((Table2[[#This Row],[Country]]-B294)/B294)+1)^12-1,"")</f>
        <v/>
      </c>
    </row>
    <row r="296">
      <c r="A296" s="35" t="n">
        <v>31107</v>
      </c>
      <c r="B296" s="36">
        <f>VLOOKUP(A296,Data!$A:$AH,MATCH(Country!$A$1,Data!$A$1:$AH$1,),)</f>
        <v/>
      </c>
      <c r="C296" s="59">
        <f>IF(B284&gt;0,(Table2[[#This Row],[Country]]-B284)/B284,0)</f>
        <v/>
      </c>
      <c r="D296" s="59">
        <f>IF(Table2[[#This Row],[Country]]&gt;0,(((Table2[[#This Row],[Country]]-B295)/B295)+1)^12-1,"")</f>
        <v/>
      </c>
    </row>
    <row r="297">
      <c r="A297" s="35" t="n">
        <v>31138</v>
      </c>
      <c r="B297" s="36">
        <f>VLOOKUP(A297,Data!$A:$AH,MATCH(Country!$A$1,Data!$A$1:$AH$1,),)</f>
        <v/>
      </c>
      <c r="C297" s="59">
        <f>IF(B285&gt;0,(Table2[[#This Row],[Country]]-B285)/B285,0)</f>
        <v/>
      </c>
      <c r="D297" s="59">
        <f>IF(Table2[[#This Row],[Country]]&gt;0,(((Table2[[#This Row],[Country]]-B296)/B296)+1)^12-1,"")</f>
        <v/>
      </c>
    </row>
    <row r="298">
      <c r="A298" s="35" t="n">
        <v>31168</v>
      </c>
      <c r="B298" s="36">
        <f>VLOOKUP(A298,Data!$A:$AH,MATCH(Country!$A$1,Data!$A$1:$AH$1,),)</f>
        <v/>
      </c>
      <c r="C298" s="59">
        <f>IF(B286&gt;0,(Table2[[#This Row],[Country]]-B286)/B286,0)</f>
        <v/>
      </c>
      <c r="D298" s="59">
        <f>IF(Table2[[#This Row],[Country]]&gt;0,(((Table2[[#This Row],[Country]]-B297)/B297)+1)^12-1,"")</f>
        <v/>
      </c>
    </row>
    <row r="299">
      <c r="A299" s="35" t="n">
        <v>31199</v>
      </c>
      <c r="B299" s="36">
        <f>VLOOKUP(A299,Data!$A:$AH,MATCH(Country!$A$1,Data!$A$1:$AH$1,),)</f>
        <v/>
      </c>
      <c r="C299" s="59">
        <f>IF(B287&gt;0,(Table2[[#This Row],[Country]]-B287)/B287,0)</f>
        <v/>
      </c>
      <c r="D299" s="59">
        <f>IF(Table2[[#This Row],[Country]]&gt;0,(((Table2[[#This Row],[Country]]-B298)/B298)+1)^12-1,"")</f>
        <v/>
      </c>
    </row>
    <row r="300">
      <c r="A300" s="35" t="n">
        <v>31229</v>
      </c>
      <c r="B300" s="36">
        <f>VLOOKUP(A300,Data!$A:$AH,MATCH(Country!$A$1,Data!$A$1:$AH$1,),)</f>
        <v/>
      </c>
      <c r="C300" s="59">
        <f>IF(B288&gt;0,(Table2[[#This Row],[Country]]-B288)/B288,0)</f>
        <v/>
      </c>
      <c r="D300" s="59">
        <f>IF(Table2[[#This Row],[Country]]&gt;0,(((Table2[[#This Row],[Country]]-B299)/B299)+1)^12-1,"")</f>
        <v/>
      </c>
    </row>
    <row r="301">
      <c r="A301" s="35" t="n">
        <v>31260</v>
      </c>
      <c r="B301" s="36">
        <f>VLOOKUP(A301,Data!$A:$AH,MATCH(Country!$A$1,Data!$A$1:$AH$1,),)</f>
        <v/>
      </c>
      <c r="C301" s="59">
        <f>IF(B289&gt;0,(Table2[[#This Row],[Country]]-B289)/B289,0)</f>
        <v/>
      </c>
      <c r="D301" s="59">
        <f>IF(Table2[[#This Row],[Country]]&gt;0,(((Table2[[#This Row],[Country]]-B300)/B300)+1)^12-1,"")</f>
        <v/>
      </c>
    </row>
    <row r="302">
      <c r="A302" s="35" t="n">
        <v>31291</v>
      </c>
      <c r="B302" s="36">
        <f>VLOOKUP(A302,Data!$A:$AH,MATCH(Country!$A$1,Data!$A$1:$AH$1,),)</f>
        <v/>
      </c>
      <c r="C302" s="59">
        <f>IF(B290&gt;0,(Table2[[#This Row],[Country]]-B290)/B290,0)</f>
        <v/>
      </c>
      <c r="D302" s="59">
        <f>IF(Table2[[#This Row],[Country]]&gt;0,(((Table2[[#This Row],[Country]]-B301)/B301)+1)^12-1,"")</f>
        <v/>
      </c>
    </row>
    <row r="303">
      <c r="A303" s="35" t="n">
        <v>31321</v>
      </c>
      <c r="B303" s="36">
        <f>VLOOKUP(A303,Data!$A:$AH,MATCH(Country!$A$1,Data!$A$1:$AH$1,),)</f>
        <v/>
      </c>
      <c r="C303" s="59">
        <f>IF(B291&gt;0,(Table2[[#This Row],[Country]]-B291)/B291,0)</f>
        <v/>
      </c>
      <c r="D303" s="59">
        <f>IF(Table2[[#This Row],[Country]]&gt;0,(((Table2[[#This Row],[Country]]-B302)/B302)+1)^12-1,"")</f>
        <v/>
      </c>
    </row>
    <row r="304">
      <c r="A304" s="35" t="n">
        <v>31352</v>
      </c>
      <c r="B304" s="36">
        <f>VLOOKUP(A304,Data!$A:$AH,MATCH(Country!$A$1,Data!$A$1:$AH$1,),)</f>
        <v/>
      </c>
      <c r="C304" s="59">
        <f>IF(B292&gt;0,(Table2[[#This Row],[Country]]-B292)/B292,0)</f>
        <v/>
      </c>
      <c r="D304" s="59">
        <f>IF(Table2[[#This Row],[Country]]&gt;0,(((Table2[[#This Row],[Country]]-B303)/B303)+1)^12-1,"")</f>
        <v/>
      </c>
    </row>
    <row r="305">
      <c r="A305" s="35" t="n">
        <v>31382</v>
      </c>
      <c r="B305" s="36">
        <f>VLOOKUP(A305,Data!$A:$AH,MATCH(Country!$A$1,Data!$A$1:$AH$1,),)</f>
        <v/>
      </c>
      <c r="C305" s="59">
        <f>IF(B293&gt;0,(Table2[[#This Row],[Country]]-B293)/B293,0)</f>
        <v/>
      </c>
      <c r="D305" s="59">
        <f>IF(Table2[[#This Row],[Country]]&gt;0,(((Table2[[#This Row],[Country]]-B304)/B304)+1)^12-1,"")</f>
        <v/>
      </c>
    </row>
    <row r="306">
      <c r="A306" s="35" t="n">
        <v>31413</v>
      </c>
      <c r="B306" s="36">
        <f>VLOOKUP(A306,Data!$A:$AH,MATCH(Country!$A$1,Data!$A$1:$AH$1,),)</f>
        <v/>
      </c>
      <c r="C306" s="59">
        <f>IF(B294&gt;0,(Table2[[#This Row],[Country]]-B294)/B294,0)</f>
        <v/>
      </c>
      <c r="D306" s="59">
        <f>IF(Table2[[#This Row],[Country]]&gt;0,(((Table2[[#This Row],[Country]]-B305)/B305)+1)^12-1,"")</f>
        <v/>
      </c>
    </row>
    <row r="307">
      <c r="A307" s="35" t="n">
        <v>31444</v>
      </c>
      <c r="B307" s="36">
        <f>VLOOKUP(A307,Data!$A:$AH,MATCH(Country!$A$1,Data!$A$1:$AH$1,),)</f>
        <v/>
      </c>
      <c r="C307" s="59">
        <f>IF(B295&gt;0,(Table2[[#This Row],[Country]]-B295)/B295,0)</f>
        <v/>
      </c>
      <c r="D307" s="59">
        <f>IF(Table2[[#This Row],[Country]]&gt;0,(((Table2[[#This Row],[Country]]-B306)/B306)+1)^12-1,"")</f>
        <v/>
      </c>
    </row>
    <row r="308">
      <c r="A308" s="35" t="n">
        <v>31472</v>
      </c>
      <c r="B308" s="36">
        <f>VLOOKUP(A308,Data!$A:$AH,MATCH(Country!$A$1,Data!$A$1:$AH$1,),)</f>
        <v/>
      </c>
      <c r="C308" s="59">
        <f>IF(B296&gt;0,(Table2[[#This Row],[Country]]-B296)/B296,0)</f>
        <v/>
      </c>
      <c r="D308" s="59">
        <f>IF(Table2[[#This Row],[Country]]&gt;0,(((Table2[[#This Row],[Country]]-B307)/B307)+1)^12-1,"")</f>
        <v/>
      </c>
    </row>
    <row r="309">
      <c r="A309" s="35" t="n">
        <v>31503</v>
      </c>
      <c r="B309" s="36">
        <f>VLOOKUP(A309,Data!$A:$AH,MATCH(Country!$A$1,Data!$A$1:$AH$1,),)</f>
        <v/>
      </c>
      <c r="C309" s="59">
        <f>IF(B297&gt;0,(Table2[[#This Row],[Country]]-B297)/B297,0)</f>
        <v/>
      </c>
      <c r="D309" s="59">
        <f>IF(Table2[[#This Row],[Country]]&gt;0,(((Table2[[#This Row],[Country]]-B308)/B308)+1)^12-1,"")</f>
        <v/>
      </c>
    </row>
    <row r="310">
      <c r="A310" s="35" t="n">
        <v>31533</v>
      </c>
      <c r="B310" s="36">
        <f>VLOOKUP(A310,Data!$A:$AH,MATCH(Country!$A$1,Data!$A$1:$AH$1,),)</f>
        <v/>
      </c>
      <c r="C310" s="59">
        <f>IF(B298&gt;0,(Table2[[#This Row],[Country]]-B298)/B298,0)</f>
        <v/>
      </c>
      <c r="D310" s="59">
        <f>IF(Table2[[#This Row],[Country]]&gt;0,(((Table2[[#This Row],[Country]]-B309)/B309)+1)^12-1,"")</f>
        <v/>
      </c>
    </row>
    <row r="311">
      <c r="A311" s="35" t="n">
        <v>31564</v>
      </c>
      <c r="B311" s="36">
        <f>VLOOKUP(A311,Data!$A:$AH,MATCH(Country!$A$1,Data!$A$1:$AH$1,),)</f>
        <v/>
      </c>
      <c r="C311" s="59">
        <f>IF(B299&gt;0,(Table2[[#This Row],[Country]]-B299)/B299,0)</f>
        <v/>
      </c>
      <c r="D311" s="59">
        <f>IF(Table2[[#This Row],[Country]]&gt;0,(((Table2[[#This Row],[Country]]-B310)/B310)+1)^12-1,"")</f>
        <v/>
      </c>
    </row>
    <row r="312">
      <c r="A312" s="35" t="n">
        <v>31594</v>
      </c>
      <c r="B312" s="36">
        <f>VLOOKUP(A312,Data!$A:$AH,MATCH(Country!$A$1,Data!$A$1:$AH$1,),)</f>
        <v/>
      </c>
      <c r="C312" s="59">
        <f>IF(B300&gt;0,(Table2[[#This Row],[Country]]-B300)/B300,0)</f>
        <v/>
      </c>
      <c r="D312" s="59">
        <f>IF(Table2[[#This Row],[Country]]&gt;0,(((Table2[[#This Row],[Country]]-B311)/B311)+1)^12-1,"")</f>
        <v/>
      </c>
    </row>
    <row r="313">
      <c r="A313" s="35" t="n">
        <v>31625</v>
      </c>
      <c r="B313" s="36">
        <f>VLOOKUP(A313,Data!$A:$AH,MATCH(Country!$A$1,Data!$A$1:$AH$1,),)</f>
        <v/>
      </c>
      <c r="C313" s="59">
        <f>IF(B301&gt;0,(Table2[[#This Row],[Country]]-B301)/B301,0)</f>
        <v/>
      </c>
      <c r="D313" s="59">
        <f>IF(Table2[[#This Row],[Country]]&gt;0,(((Table2[[#This Row],[Country]]-B312)/B312)+1)^12-1,"")</f>
        <v/>
      </c>
    </row>
    <row r="314">
      <c r="A314" s="35" t="n">
        <v>31656</v>
      </c>
      <c r="B314" s="36">
        <f>VLOOKUP(A314,Data!$A:$AH,MATCH(Country!$A$1,Data!$A$1:$AH$1,),)</f>
        <v/>
      </c>
      <c r="C314" s="59">
        <f>IF(B302&gt;0,(Table2[[#This Row],[Country]]-B302)/B302,0)</f>
        <v/>
      </c>
      <c r="D314" s="59">
        <f>IF(Table2[[#This Row],[Country]]&gt;0,(((Table2[[#This Row],[Country]]-B313)/B313)+1)^12-1,"")</f>
        <v/>
      </c>
    </row>
    <row r="315">
      <c r="A315" s="35" t="n">
        <v>31686</v>
      </c>
      <c r="B315" s="36">
        <f>VLOOKUP(A315,Data!$A:$AH,MATCH(Country!$A$1,Data!$A$1:$AH$1,),)</f>
        <v/>
      </c>
      <c r="C315" s="59">
        <f>IF(B303&gt;0,(Table2[[#This Row],[Country]]-B303)/B303,0)</f>
        <v/>
      </c>
      <c r="D315" s="59">
        <f>IF(Table2[[#This Row],[Country]]&gt;0,(((Table2[[#This Row],[Country]]-B314)/B314)+1)^12-1,"")</f>
        <v/>
      </c>
    </row>
    <row r="316">
      <c r="A316" s="35" t="n">
        <v>31717</v>
      </c>
      <c r="B316" s="36">
        <f>VLOOKUP(A316,Data!$A:$AH,MATCH(Country!$A$1,Data!$A$1:$AH$1,),)</f>
        <v/>
      </c>
      <c r="C316" s="59">
        <f>IF(B304&gt;0,(Table2[[#This Row],[Country]]-B304)/B304,0)</f>
        <v/>
      </c>
      <c r="D316" s="59">
        <f>IF(Table2[[#This Row],[Country]]&gt;0,(((Table2[[#This Row],[Country]]-B315)/B315)+1)^12-1,"")</f>
        <v/>
      </c>
    </row>
    <row r="317">
      <c r="A317" s="35" t="n">
        <v>31747</v>
      </c>
      <c r="B317" s="36">
        <f>VLOOKUP(A317,Data!$A:$AH,MATCH(Country!$A$1,Data!$A$1:$AH$1,),)</f>
        <v/>
      </c>
      <c r="C317" s="59">
        <f>IF(B305&gt;0,(Table2[[#This Row],[Country]]-B305)/B305,0)</f>
        <v/>
      </c>
      <c r="D317" s="59">
        <f>IF(Table2[[#This Row],[Country]]&gt;0,(((Table2[[#This Row],[Country]]-B316)/B316)+1)^12-1,"")</f>
        <v/>
      </c>
    </row>
    <row r="318">
      <c r="A318" s="35" t="n">
        <v>31778</v>
      </c>
      <c r="B318" s="36">
        <f>VLOOKUP(A318,Data!$A:$AH,MATCH(Country!$A$1,Data!$A$1:$AH$1,),)</f>
        <v/>
      </c>
      <c r="C318" s="59">
        <f>IF(B306&gt;0,(Table2[[#This Row],[Country]]-B306)/B306,0)</f>
        <v/>
      </c>
      <c r="D318" s="59">
        <f>IF(Table2[[#This Row],[Country]]&gt;0,(((Table2[[#This Row],[Country]]-B317)/B317)+1)^12-1,"")</f>
        <v/>
      </c>
    </row>
    <row r="319">
      <c r="A319" s="35" t="n">
        <v>31809</v>
      </c>
      <c r="B319" s="36">
        <f>VLOOKUP(A319,Data!$A:$AH,MATCH(Country!$A$1,Data!$A$1:$AH$1,),)</f>
        <v/>
      </c>
      <c r="C319" s="59">
        <f>IF(B307&gt;0,(Table2[[#This Row],[Country]]-B307)/B307,0)</f>
        <v/>
      </c>
      <c r="D319" s="59">
        <f>IF(Table2[[#This Row],[Country]]&gt;0,(((Table2[[#This Row],[Country]]-B318)/B318)+1)^12-1,"")</f>
        <v/>
      </c>
      <c r="F319" s="21" t="n"/>
    </row>
    <row r="320">
      <c r="A320" s="35" t="n">
        <v>31837</v>
      </c>
      <c r="B320" s="36">
        <f>VLOOKUP(A320,Data!$A:$AH,MATCH(Country!$A$1,Data!$A$1:$AH$1,),)</f>
        <v/>
      </c>
      <c r="C320" s="59">
        <f>IF(B308&gt;0,(Table2[[#This Row],[Country]]-B308)/B308,0)</f>
        <v/>
      </c>
      <c r="D320" s="59">
        <f>IF(Table2[[#This Row],[Country]]&gt;0,(((Table2[[#This Row],[Country]]-B319)/B319)+1)^12-1,"")</f>
        <v/>
      </c>
    </row>
    <row r="321">
      <c r="A321" s="35" t="n">
        <v>31868</v>
      </c>
      <c r="B321" s="36">
        <f>VLOOKUP(A321,Data!$A:$AH,MATCH(Country!$A$1,Data!$A$1:$AH$1,),)</f>
        <v/>
      </c>
      <c r="C321" s="59">
        <f>IF(B309&gt;0,(Table2[[#This Row],[Country]]-B309)/B309,0)</f>
        <v/>
      </c>
      <c r="D321" s="59">
        <f>IF(Table2[[#This Row],[Country]]&gt;0,(((Table2[[#This Row],[Country]]-B320)/B320)+1)^12-1,"")</f>
        <v/>
      </c>
    </row>
    <row r="322">
      <c r="A322" s="35" t="n">
        <v>31898</v>
      </c>
      <c r="B322" s="36">
        <f>VLOOKUP(A322,Data!$A:$AH,MATCH(Country!$A$1,Data!$A$1:$AH$1,),)</f>
        <v/>
      </c>
      <c r="C322" s="59">
        <f>IF(B310&gt;0,(Table2[[#This Row],[Country]]-B310)/B310,0)</f>
        <v/>
      </c>
      <c r="D322" s="59">
        <f>IF(Table2[[#This Row],[Country]]&gt;0,(((Table2[[#This Row],[Country]]-B321)/B321)+1)^12-1,"")</f>
        <v/>
      </c>
    </row>
    <row r="323">
      <c r="A323" s="35" t="n">
        <v>31929</v>
      </c>
      <c r="B323" s="36">
        <f>VLOOKUP(A323,Data!$A:$AH,MATCH(Country!$A$1,Data!$A$1:$AH$1,),)</f>
        <v/>
      </c>
      <c r="C323" s="59">
        <f>IF(B311&gt;0,(Table2[[#This Row],[Country]]-B311)/B311,0)</f>
        <v/>
      </c>
      <c r="D323" s="59">
        <f>IF(Table2[[#This Row],[Country]]&gt;0,(((Table2[[#This Row],[Country]]-B322)/B322)+1)^12-1,"")</f>
        <v/>
      </c>
    </row>
    <row r="324">
      <c r="A324" s="35" t="n">
        <v>31959</v>
      </c>
      <c r="B324" s="36">
        <f>VLOOKUP(A324,Data!$A:$AH,MATCH(Country!$A$1,Data!$A$1:$AH$1,),)</f>
        <v/>
      </c>
      <c r="C324" s="59">
        <f>IF(B312&gt;0,(Table2[[#This Row],[Country]]-B312)/B312,0)</f>
        <v/>
      </c>
      <c r="D324" s="59">
        <f>IF(Table2[[#This Row],[Country]]&gt;0,(((Table2[[#This Row],[Country]]-B323)/B323)+1)^12-1,"")</f>
        <v/>
      </c>
    </row>
    <row r="325">
      <c r="A325" s="35" t="n">
        <v>31990</v>
      </c>
      <c r="B325" s="36">
        <f>VLOOKUP(A325,Data!$A:$AH,MATCH(Country!$A$1,Data!$A$1:$AH$1,),)</f>
        <v/>
      </c>
      <c r="C325" s="59">
        <f>IF(B313&gt;0,(Table2[[#This Row],[Country]]-B313)/B313,0)</f>
        <v/>
      </c>
      <c r="D325" s="59">
        <f>IF(Table2[[#This Row],[Country]]&gt;0,(((Table2[[#This Row],[Country]]-B324)/B324)+1)^12-1,"")</f>
        <v/>
      </c>
    </row>
    <row r="326">
      <c r="A326" s="35" t="n">
        <v>32021</v>
      </c>
      <c r="B326" s="36">
        <f>VLOOKUP(A326,Data!$A:$AH,MATCH(Country!$A$1,Data!$A$1:$AH$1,),)</f>
        <v/>
      </c>
      <c r="C326" s="59">
        <f>IF(B314&gt;0,(Table2[[#This Row],[Country]]-B314)/B314,0)</f>
        <v/>
      </c>
      <c r="D326" s="59">
        <f>IF(Table2[[#This Row],[Country]]&gt;0,(((Table2[[#This Row],[Country]]-B325)/B325)+1)^12-1,"")</f>
        <v/>
      </c>
    </row>
    <row r="327">
      <c r="A327" s="35" t="n">
        <v>32051</v>
      </c>
      <c r="B327" s="36">
        <f>VLOOKUP(A327,Data!$A:$AH,MATCH(Country!$A$1,Data!$A$1:$AH$1,),)</f>
        <v/>
      </c>
      <c r="C327" s="59">
        <f>IF(B315&gt;0,(Table2[[#This Row],[Country]]-B315)/B315,0)</f>
        <v/>
      </c>
      <c r="D327" s="59">
        <f>IF(Table2[[#This Row],[Country]]&gt;0,(((Table2[[#This Row],[Country]]-B326)/B326)+1)^12-1,"")</f>
        <v/>
      </c>
    </row>
    <row r="328">
      <c r="A328" s="35" t="n">
        <v>32082</v>
      </c>
      <c r="B328" s="36">
        <f>VLOOKUP(A328,Data!$A:$AH,MATCH(Country!$A$1,Data!$A$1:$AH$1,),)</f>
        <v/>
      </c>
      <c r="C328" s="59">
        <f>IF(B316&gt;0,(Table2[[#This Row],[Country]]-B316)/B316,0)</f>
        <v/>
      </c>
      <c r="D328" s="59">
        <f>IF(Table2[[#This Row],[Country]]&gt;0,(((Table2[[#This Row],[Country]]-B327)/B327)+1)^12-1,"")</f>
        <v/>
      </c>
    </row>
    <row r="329">
      <c r="A329" s="35" t="n">
        <v>32112</v>
      </c>
      <c r="B329" s="36">
        <f>VLOOKUP(A329,Data!$A:$AH,MATCH(Country!$A$1,Data!$A$1:$AH$1,),)</f>
        <v/>
      </c>
      <c r="C329" s="59">
        <f>IF(B317&gt;0,(Table2[[#This Row],[Country]]-B317)/B317,0)</f>
        <v/>
      </c>
      <c r="D329" s="59">
        <f>IF(Table2[[#This Row],[Country]]&gt;0,(((Table2[[#This Row],[Country]]-B328)/B328)+1)^12-1,"")</f>
        <v/>
      </c>
    </row>
    <row r="330">
      <c r="A330" s="35" t="n">
        <v>32143</v>
      </c>
      <c r="B330" s="36">
        <f>VLOOKUP(A330,Data!$A:$AH,MATCH(Country!$A$1,Data!$A$1:$AH$1,),)</f>
        <v/>
      </c>
      <c r="C330" s="59">
        <f>IF(B318&gt;0,(Table2[[#This Row],[Country]]-B318)/B318,0)</f>
        <v/>
      </c>
      <c r="D330" s="59">
        <f>IF(Table2[[#This Row],[Country]]&gt;0,(((Table2[[#This Row],[Country]]-B329)/B329)+1)^12-1,"")</f>
        <v/>
      </c>
    </row>
    <row r="331">
      <c r="A331" s="35" t="n">
        <v>32174</v>
      </c>
      <c r="B331" s="36">
        <f>VLOOKUP(A331,Data!$A:$AH,MATCH(Country!$A$1,Data!$A$1:$AH$1,),)</f>
        <v/>
      </c>
      <c r="C331" s="59">
        <f>IF(B319&gt;0,(Table2[[#This Row],[Country]]-B319)/B319,0)</f>
        <v/>
      </c>
      <c r="D331" s="59">
        <f>IF(Table2[[#This Row],[Country]]&gt;0,(((Table2[[#This Row],[Country]]-B330)/B330)+1)^12-1,"")</f>
        <v/>
      </c>
    </row>
    <row r="332">
      <c r="A332" s="35" t="n">
        <v>32203</v>
      </c>
      <c r="B332" s="36">
        <f>VLOOKUP(A332,Data!$A:$AH,MATCH(Country!$A$1,Data!$A$1:$AH$1,),)</f>
        <v/>
      </c>
      <c r="C332" s="59">
        <f>IF(B320&gt;0,(Table2[[#This Row],[Country]]-B320)/B320,0)</f>
        <v/>
      </c>
      <c r="D332" s="59">
        <f>IF(Table2[[#This Row],[Country]]&gt;0,(((Table2[[#This Row],[Country]]-B331)/B331)+1)^12-1,"")</f>
        <v/>
      </c>
    </row>
    <row r="333">
      <c r="A333" s="35" t="n">
        <v>32234</v>
      </c>
      <c r="B333" s="36">
        <f>VLOOKUP(A333,Data!$A:$AH,MATCH(Country!$A$1,Data!$A$1:$AH$1,),)</f>
        <v/>
      </c>
      <c r="C333" s="59">
        <f>IF(B321&gt;0,(Table2[[#This Row],[Country]]-B321)/B321,0)</f>
        <v/>
      </c>
      <c r="D333" s="59">
        <f>IF(Table2[[#This Row],[Country]]&gt;0,(((Table2[[#This Row],[Country]]-B332)/B332)+1)^12-1,"")</f>
        <v/>
      </c>
    </row>
    <row r="334">
      <c r="A334" s="35" t="n">
        <v>32264</v>
      </c>
      <c r="B334" s="36">
        <f>VLOOKUP(A334,Data!$A:$AH,MATCH(Country!$A$1,Data!$A$1:$AH$1,),)</f>
        <v/>
      </c>
      <c r="C334" s="59">
        <f>IF(B322&gt;0,(Table2[[#This Row],[Country]]-B322)/B322,0)</f>
        <v/>
      </c>
      <c r="D334" s="59">
        <f>IF(Table2[[#This Row],[Country]]&gt;0,(((Table2[[#This Row],[Country]]-B333)/B333)+1)^12-1,"")</f>
        <v/>
      </c>
    </row>
    <row r="335">
      <c r="A335" s="35" t="n">
        <v>32295</v>
      </c>
      <c r="B335" s="36">
        <f>VLOOKUP(A335,Data!$A:$AH,MATCH(Country!$A$1,Data!$A$1:$AH$1,),)</f>
        <v/>
      </c>
      <c r="C335" s="59">
        <f>IF(B323&gt;0,(Table2[[#This Row],[Country]]-B323)/B323,0)</f>
        <v/>
      </c>
      <c r="D335" s="59">
        <f>IF(Table2[[#This Row],[Country]]&gt;0,(((Table2[[#This Row],[Country]]-B334)/B334)+1)^12-1,"")</f>
        <v/>
      </c>
    </row>
    <row r="336">
      <c r="A336" s="35" t="n">
        <v>32325</v>
      </c>
      <c r="B336" s="36">
        <f>VLOOKUP(A336,Data!$A:$AH,MATCH(Country!$A$1,Data!$A$1:$AH$1,),)</f>
        <v/>
      </c>
      <c r="C336" s="59">
        <f>IF(B324&gt;0,(Table2[[#This Row],[Country]]-B324)/B324,0)</f>
        <v/>
      </c>
      <c r="D336" s="59">
        <f>IF(Table2[[#This Row],[Country]]&gt;0,(((Table2[[#This Row],[Country]]-B335)/B335)+1)^12-1,"")</f>
        <v/>
      </c>
    </row>
    <row r="337">
      <c r="A337" s="35" t="n">
        <v>32356</v>
      </c>
      <c r="B337" s="36">
        <f>VLOOKUP(A337,Data!$A:$AH,MATCH(Country!$A$1,Data!$A$1:$AH$1,),)</f>
        <v/>
      </c>
      <c r="C337" s="59">
        <f>IF(B325&gt;0,(Table2[[#This Row],[Country]]-B325)/B325,0)</f>
        <v/>
      </c>
      <c r="D337" s="59">
        <f>IF(Table2[[#This Row],[Country]]&gt;0,(((Table2[[#This Row],[Country]]-B336)/B336)+1)^12-1,"")</f>
        <v/>
      </c>
    </row>
    <row r="338">
      <c r="A338" s="35" t="n">
        <v>32387</v>
      </c>
      <c r="B338" s="36">
        <f>VLOOKUP(A338,Data!$A:$AH,MATCH(Country!$A$1,Data!$A$1:$AH$1,),)</f>
        <v/>
      </c>
      <c r="C338" s="59">
        <f>IF(B326&gt;0,(Table2[[#This Row],[Country]]-B326)/B326,0)</f>
        <v/>
      </c>
      <c r="D338" s="59">
        <f>IF(Table2[[#This Row],[Country]]&gt;0,(((Table2[[#This Row],[Country]]-B337)/B337)+1)^12-1,"")</f>
        <v/>
      </c>
    </row>
    <row r="339">
      <c r="A339" s="35" t="n">
        <v>32417</v>
      </c>
      <c r="B339" s="36">
        <f>VLOOKUP(A339,Data!$A:$AH,MATCH(Country!$A$1,Data!$A$1:$AH$1,),)</f>
        <v/>
      </c>
      <c r="C339" s="59">
        <f>IF(B327&gt;0,(Table2[[#This Row],[Country]]-B327)/B327,0)</f>
        <v/>
      </c>
      <c r="D339" s="59">
        <f>IF(Table2[[#This Row],[Country]]&gt;0,(((Table2[[#This Row],[Country]]-B338)/B338)+1)^12-1,"")</f>
        <v/>
      </c>
    </row>
    <row r="340">
      <c r="A340" s="35" t="n">
        <v>32448</v>
      </c>
      <c r="B340" s="36">
        <f>VLOOKUP(A340,Data!$A:$AH,MATCH(Country!$A$1,Data!$A$1:$AH$1,),)</f>
        <v/>
      </c>
      <c r="C340" s="59">
        <f>IF(B328&gt;0,(Table2[[#This Row],[Country]]-B328)/B328,0)</f>
        <v/>
      </c>
      <c r="D340" s="59">
        <f>IF(Table2[[#This Row],[Country]]&gt;0,(((Table2[[#This Row],[Country]]-B339)/B339)+1)^12-1,"")</f>
        <v/>
      </c>
    </row>
    <row r="341">
      <c r="A341" s="35" t="n">
        <v>32478</v>
      </c>
      <c r="B341" s="36">
        <f>VLOOKUP(A341,Data!$A:$AH,MATCH(Country!$A$1,Data!$A$1:$AH$1,),)</f>
        <v/>
      </c>
      <c r="C341" s="59">
        <f>IF(B329&gt;0,(Table2[[#This Row],[Country]]-B329)/B329,0)</f>
        <v/>
      </c>
      <c r="D341" s="59">
        <f>IF(Table2[[#This Row],[Country]]&gt;0,(((Table2[[#This Row],[Country]]-B340)/B340)+1)^12-1,"")</f>
        <v/>
      </c>
    </row>
    <row r="342">
      <c r="A342" s="35" t="n">
        <v>32509</v>
      </c>
      <c r="B342" s="36">
        <f>VLOOKUP(A342,Data!$A:$AH,MATCH(Country!$A$1,Data!$A$1:$AH$1,),)</f>
        <v/>
      </c>
      <c r="C342" s="59">
        <f>IF(B330&gt;0,(Table2[[#This Row],[Country]]-B330)/B330,0)</f>
        <v/>
      </c>
      <c r="D342" s="59">
        <f>IF(Table2[[#This Row],[Country]]&gt;0,(((Table2[[#This Row],[Country]]-B341)/B341)+1)^12-1,"")</f>
        <v/>
      </c>
    </row>
    <row r="343">
      <c r="A343" s="35" t="n">
        <v>32540</v>
      </c>
      <c r="B343" s="36">
        <f>VLOOKUP(A343,Data!$A:$AH,MATCH(Country!$A$1,Data!$A$1:$AH$1,),)</f>
        <v/>
      </c>
      <c r="C343" s="59">
        <f>IF(B331&gt;0,(Table2[[#This Row],[Country]]-B331)/B331,0)</f>
        <v/>
      </c>
      <c r="D343" s="59">
        <f>IF(Table2[[#This Row],[Country]]&gt;0,(((Table2[[#This Row],[Country]]-B342)/B342)+1)^12-1,"")</f>
        <v/>
      </c>
    </row>
    <row r="344">
      <c r="A344" s="35" t="n">
        <v>32568</v>
      </c>
      <c r="B344" s="36">
        <f>VLOOKUP(A344,Data!$A:$AH,MATCH(Country!$A$1,Data!$A$1:$AH$1,),)</f>
        <v/>
      </c>
      <c r="C344" s="59">
        <f>IF(B332&gt;0,(Table2[[#This Row],[Country]]-B332)/B332,0)</f>
        <v/>
      </c>
      <c r="D344" s="59">
        <f>IF(Table2[[#This Row],[Country]]&gt;0,(((Table2[[#This Row],[Country]]-B343)/B343)+1)^12-1,"")</f>
        <v/>
      </c>
    </row>
    <row r="345">
      <c r="A345" s="35" t="n">
        <v>32599</v>
      </c>
      <c r="B345" s="36">
        <f>VLOOKUP(A345,Data!$A:$AH,MATCH(Country!$A$1,Data!$A$1:$AH$1,),)</f>
        <v/>
      </c>
      <c r="C345" s="59">
        <f>IF(B333&gt;0,(Table2[[#This Row],[Country]]-B333)/B333,0)</f>
        <v/>
      </c>
      <c r="D345" s="59">
        <f>IF(Table2[[#This Row],[Country]]&gt;0,(((Table2[[#This Row],[Country]]-B344)/B344)+1)^12-1,"")</f>
        <v/>
      </c>
    </row>
    <row r="346">
      <c r="A346" s="35" t="n">
        <v>32629</v>
      </c>
      <c r="B346" s="36">
        <f>VLOOKUP(A346,Data!$A:$AH,MATCH(Country!$A$1,Data!$A$1:$AH$1,),)</f>
        <v/>
      </c>
      <c r="C346" s="59">
        <f>IF(B334&gt;0,(Table2[[#This Row],[Country]]-B334)/B334,0)</f>
        <v/>
      </c>
      <c r="D346" s="59">
        <f>IF(Table2[[#This Row],[Country]]&gt;0,(((Table2[[#This Row],[Country]]-B345)/B345)+1)^12-1,"")</f>
        <v/>
      </c>
    </row>
    <row r="347">
      <c r="A347" s="35" t="n">
        <v>32660</v>
      </c>
      <c r="B347" s="36">
        <f>VLOOKUP(A347,Data!$A:$AH,MATCH(Country!$A$1,Data!$A$1:$AH$1,),)</f>
        <v/>
      </c>
      <c r="C347" s="59">
        <f>IF(B335&gt;0,(Table2[[#This Row],[Country]]-B335)/B335,0)</f>
        <v/>
      </c>
      <c r="D347" s="59">
        <f>IF(Table2[[#This Row],[Country]]&gt;0,(((Table2[[#This Row],[Country]]-B346)/B346)+1)^12-1,"")</f>
        <v/>
      </c>
    </row>
    <row r="348">
      <c r="A348" s="35" t="n">
        <v>32690</v>
      </c>
      <c r="B348" s="36">
        <f>VLOOKUP(A348,Data!$A:$AH,MATCH(Country!$A$1,Data!$A$1:$AH$1,),)</f>
        <v/>
      </c>
      <c r="C348" s="59">
        <f>IF(B336&gt;0,(Table2[[#This Row],[Country]]-B336)/B336,0)</f>
        <v/>
      </c>
      <c r="D348" s="59">
        <f>IF(Table2[[#This Row],[Country]]&gt;0,(((Table2[[#This Row],[Country]]-B347)/B347)+1)^12-1,"")</f>
        <v/>
      </c>
    </row>
    <row r="349">
      <c r="A349" s="35" t="n">
        <v>32721</v>
      </c>
      <c r="B349" s="36">
        <f>VLOOKUP(A349,Data!$A:$AH,MATCH(Country!$A$1,Data!$A$1:$AH$1,),)</f>
        <v/>
      </c>
      <c r="C349" s="59">
        <f>IF(B337&gt;0,(Table2[[#This Row],[Country]]-B337)/B337,0)</f>
        <v/>
      </c>
      <c r="D349" s="59">
        <f>IF(Table2[[#This Row],[Country]]&gt;0,(((Table2[[#This Row],[Country]]-B348)/B348)+1)^12-1,"")</f>
        <v/>
      </c>
    </row>
    <row r="350">
      <c r="A350" s="35" t="n">
        <v>32752</v>
      </c>
      <c r="B350" s="36">
        <f>VLOOKUP(A350,Data!$A:$AH,MATCH(Country!$A$1,Data!$A$1:$AH$1,),)</f>
        <v/>
      </c>
      <c r="C350" s="59">
        <f>IF(B338&gt;0,(Table2[[#This Row],[Country]]-B338)/B338,0)</f>
        <v/>
      </c>
      <c r="D350" s="59">
        <f>IF(Table2[[#This Row],[Country]]&gt;0,(((Table2[[#This Row],[Country]]-B349)/B349)+1)^12-1,"")</f>
        <v/>
      </c>
    </row>
    <row r="351">
      <c r="A351" s="35" t="n">
        <v>32782</v>
      </c>
      <c r="B351" s="36">
        <f>VLOOKUP(A351,Data!$A:$AH,MATCH(Country!$A$1,Data!$A$1:$AH$1,),)</f>
        <v/>
      </c>
      <c r="C351" s="59">
        <f>IF(B339&gt;0,(Table2[[#This Row],[Country]]-B339)/B339,0)</f>
        <v/>
      </c>
      <c r="D351" s="59">
        <f>IF(Table2[[#This Row],[Country]]&gt;0,(((Table2[[#This Row],[Country]]-B350)/B350)+1)^12-1,"")</f>
        <v/>
      </c>
    </row>
    <row r="352">
      <c r="A352" s="35" t="n">
        <v>32813</v>
      </c>
      <c r="B352" s="36">
        <f>VLOOKUP(A352,Data!$A:$AH,MATCH(Country!$A$1,Data!$A$1:$AH$1,),)</f>
        <v/>
      </c>
      <c r="C352" s="59">
        <f>IF(B340&gt;0,(Table2[[#This Row],[Country]]-B340)/B340,0)</f>
        <v/>
      </c>
      <c r="D352" s="59">
        <f>IF(Table2[[#This Row],[Country]]&gt;0,(((Table2[[#This Row],[Country]]-B351)/B351)+1)^12-1,"")</f>
        <v/>
      </c>
    </row>
    <row r="353">
      <c r="A353" s="35" t="n">
        <v>32843</v>
      </c>
      <c r="B353" s="36">
        <f>VLOOKUP(A353,Data!$A:$AH,MATCH(Country!$A$1,Data!$A$1:$AH$1,),)</f>
        <v/>
      </c>
      <c r="C353" s="59">
        <f>IF(B341&gt;0,(Table2[[#This Row],[Country]]-B341)/B341,0)</f>
        <v/>
      </c>
      <c r="D353" s="59">
        <f>IF(Table2[[#This Row],[Country]]&gt;0,(((Table2[[#This Row],[Country]]-B352)/B352)+1)^12-1,"")</f>
        <v/>
      </c>
    </row>
    <row r="354">
      <c r="A354" s="35" t="n">
        <v>32874</v>
      </c>
      <c r="B354" s="36">
        <f>VLOOKUP(A354,Data!$A:$AH,MATCH(Country!$A$1,Data!$A$1:$AH$1,),)</f>
        <v/>
      </c>
      <c r="C354" s="59">
        <f>IF(B342&gt;0,(Table2[[#This Row],[Country]]-B342)/B342,0)</f>
        <v/>
      </c>
      <c r="D354" s="59">
        <f>IF(Table2[[#This Row],[Country]]&gt;0,(((Table2[[#This Row],[Country]]-B353)/B353)+1)^12-1,"")</f>
        <v/>
      </c>
    </row>
    <row r="355">
      <c r="A355" s="35" t="n">
        <v>32905</v>
      </c>
      <c r="B355" s="36">
        <f>VLOOKUP(A355,Data!$A:$AH,MATCH(Country!$A$1,Data!$A$1:$AH$1,),)</f>
        <v/>
      </c>
      <c r="C355" s="59">
        <f>IF(B343&gt;0,(Table2[[#This Row],[Country]]-B343)/B343,0)</f>
        <v/>
      </c>
      <c r="D355" s="59">
        <f>IF(Table2[[#This Row],[Country]]&gt;0,(((Table2[[#This Row],[Country]]-B354)/B354)+1)^12-1,"")</f>
        <v/>
      </c>
    </row>
    <row r="356">
      <c r="A356" s="35" t="n">
        <v>32933</v>
      </c>
      <c r="B356" s="36">
        <f>VLOOKUP(A356,Data!$A:$AH,MATCH(Country!$A$1,Data!$A$1:$AH$1,),)</f>
        <v/>
      </c>
      <c r="C356" s="59">
        <f>IF(B344&gt;0,(Table2[[#This Row],[Country]]-B344)/B344,0)</f>
        <v/>
      </c>
      <c r="D356" s="59">
        <f>IF(Table2[[#This Row],[Country]]&gt;0,(((Table2[[#This Row],[Country]]-B355)/B355)+1)^12-1,"")</f>
        <v/>
      </c>
    </row>
    <row r="357">
      <c r="A357" s="35" t="n">
        <v>32964</v>
      </c>
      <c r="B357" s="36">
        <f>VLOOKUP(A357,Data!$A:$AH,MATCH(Country!$A$1,Data!$A$1:$AH$1,),)</f>
        <v/>
      </c>
      <c r="C357" s="59">
        <f>IF(B345&gt;0,(Table2[[#This Row],[Country]]-B345)/B345,0)</f>
        <v/>
      </c>
      <c r="D357" s="59">
        <f>IF(Table2[[#This Row],[Country]]&gt;0,(((Table2[[#This Row],[Country]]-B356)/B356)+1)^12-1,"")</f>
        <v/>
      </c>
    </row>
    <row r="358">
      <c r="A358" s="35" t="n">
        <v>32994</v>
      </c>
      <c r="B358" s="36">
        <f>VLOOKUP(A358,Data!$A:$AH,MATCH(Country!$A$1,Data!$A$1:$AH$1,),)</f>
        <v/>
      </c>
      <c r="C358" s="59">
        <f>IF(B346&gt;0,(Table2[[#This Row],[Country]]-B346)/B346,0)</f>
        <v/>
      </c>
      <c r="D358" s="59">
        <f>IF(Table2[[#This Row],[Country]]&gt;0,(((Table2[[#This Row],[Country]]-B357)/B357)+1)^12-1,"")</f>
        <v/>
      </c>
    </row>
    <row r="359">
      <c r="A359" s="35" t="n">
        <v>33025</v>
      </c>
      <c r="B359" s="36">
        <f>VLOOKUP(A359,Data!$A:$AH,MATCH(Country!$A$1,Data!$A$1:$AH$1,),)</f>
        <v/>
      </c>
      <c r="C359" s="59">
        <f>IF(B347&gt;0,(Table2[[#This Row],[Country]]-B347)/B347,0)</f>
        <v/>
      </c>
      <c r="D359" s="59">
        <f>IF(Table2[[#This Row],[Country]]&gt;0,(((Table2[[#This Row],[Country]]-B358)/B358)+1)^12-1,"")</f>
        <v/>
      </c>
    </row>
    <row r="360">
      <c r="A360" s="35" t="n">
        <v>33055</v>
      </c>
      <c r="B360" s="36">
        <f>VLOOKUP(A360,Data!$A:$AH,MATCH(Country!$A$1,Data!$A$1:$AH$1,),)</f>
        <v/>
      </c>
      <c r="C360" s="59">
        <f>IF(B348&gt;0,(Table2[[#This Row],[Country]]-B348)/B348,0)</f>
        <v/>
      </c>
      <c r="D360" s="59">
        <f>IF(Table2[[#This Row],[Country]]&gt;0,(((Table2[[#This Row],[Country]]-B359)/B359)+1)^12-1,"")</f>
        <v/>
      </c>
    </row>
    <row r="361">
      <c r="A361" s="35" t="n">
        <v>33086</v>
      </c>
      <c r="B361" s="36">
        <f>VLOOKUP(A361,Data!$A:$AH,MATCH(Country!$A$1,Data!$A$1:$AH$1,),)</f>
        <v/>
      </c>
      <c r="C361" s="59">
        <f>IF(B349&gt;0,(Table2[[#This Row],[Country]]-B349)/B349,0)</f>
        <v/>
      </c>
      <c r="D361" s="59">
        <f>IF(Table2[[#This Row],[Country]]&gt;0,(((Table2[[#This Row],[Country]]-B360)/B360)+1)^12-1,"")</f>
        <v/>
      </c>
    </row>
    <row r="362">
      <c r="A362" s="35" t="n">
        <v>33117</v>
      </c>
      <c r="B362" s="36">
        <f>VLOOKUP(A362,Data!$A:$AH,MATCH(Country!$A$1,Data!$A$1:$AH$1,),)</f>
        <v/>
      </c>
      <c r="C362" s="59">
        <f>IF(B350&gt;0,(Table2[[#This Row],[Country]]-B350)/B350,0)</f>
        <v/>
      </c>
      <c r="D362" s="59">
        <f>IF(Table2[[#This Row],[Country]]&gt;0,(((Table2[[#This Row],[Country]]-B361)/B361)+1)^12-1,"")</f>
        <v/>
      </c>
    </row>
    <row r="363">
      <c r="A363" s="35" t="n">
        <v>33147</v>
      </c>
      <c r="B363" s="36">
        <f>VLOOKUP(A363,Data!$A:$AH,MATCH(Country!$A$1,Data!$A$1:$AH$1,),)</f>
        <v/>
      </c>
      <c r="C363" s="59">
        <f>IF(B351&gt;0,(Table2[[#This Row],[Country]]-B351)/B351,0)</f>
        <v/>
      </c>
      <c r="D363" s="59">
        <f>IF(Table2[[#This Row],[Country]]&gt;0,(((Table2[[#This Row],[Country]]-B362)/B362)+1)^12-1,"")</f>
        <v/>
      </c>
    </row>
    <row r="364">
      <c r="A364" s="35" t="n">
        <v>33178</v>
      </c>
      <c r="B364" s="36">
        <f>VLOOKUP(A364,Data!$A:$AH,MATCH(Country!$A$1,Data!$A$1:$AH$1,),)</f>
        <v/>
      </c>
      <c r="C364" s="59">
        <f>IF(B352&gt;0,(Table2[[#This Row],[Country]]-B352)/B352,0)</f>
        <v/>
      </c>
      <c r="D364" s="59">
        <f>IF(Table2[[#This Row],[Country]]&gt;0,(((Table2[[#This Row],[Country]]-B363)/B363)+1)^12-1,"")</f>
        <v/>
      </c>
    </row>
    <row r="365">
      <c r="A365" s="35" t="n">
        <v>33208</v>
      </c>
      <c r="B365" s="36">
        <f>VLOOKUP(A365,Data!$A:$AH,MATCH(Country!$A$1,Data!$A$1:$AH$1,),)</f>
        <v/>
      </c>
      <c r="C365" s="59">
        <f>IF(B353&gt;0,(Table2[[#This Row],[Country]]-B353)/B353,0)</f>
        <v/>
      </c>
      <c r="D365" s="59">
        <f>IF(Table2[[#This Row],[Country]]&gt;0,(((Table2[[#This Row],[Country]]-B364)/B364)+1)^12-1,"")</f>
        <v/>
      </c>
    </row>
    <row r="366">
      <c r="A366" s="35" t="n">
        <v>33239</v>
      </c>
      <c r="B366" s="36">
        <f>VLOOKUP(A366,Data!$A:$AH,MATCH(Country!$A$1,Data!$A$1:$AH$1,),)</f>
        <v/>
      </c>
      <c r="C366" s="59">
        <f>IF(B354&gt;0,(Table2[[#This Row],[Country]]-B354)/B354,0)</f>
        <v/>
      </c>
      <c r="D366" s="59">
        <f>IF(Table2[[#This Row],[Country]]&gt;0,(((Table2[[#This Row],[Country]]-B365)/B365)+1)^12-1,"")</f>
        <v/>
      </c>
    </row>
    <row r="367">
      <c r="A367" s="35" t="n">
        <v>33270</v>
      </c>
      <c r="B367" s="36">
        <f>VLOOKUP(A367,Data!$A:$AH,MATCH(Country!$A$1,Data!$A$1:$AH$1,),)</f>
        <v/>
      </c>
      <c r="C367" s="59">
        <f>IF(B355&gt;0,(Table2[[#This Row],[Country]]-B355)/B355,0)</f>
        <v/>
      </c>
      <c r="D367" s="59">
        <f>IF(Table2[[#This Row],[Country]]&gt;0,(((Table2[[#This Row],[Country]]-B366)/B366)+1)^12-1,"")</f>
        <v/>
      </c>
    </row>
    <row r="368">
      <c r="A368" s="35" t="n">
        <v>33298</v>
      </c>
      <c r="B368" s="36">
        <f>VLOOKUP(A368,Data!$A:$AH,MATCH(Country!$A$1,Data!$A$1:$AH$1,),)</f>
        <v/>
      </c>
      <c r="C368" s="59">
        <f>IF(B356&gt;0,(Table2[[#This Row],[Country]]-B356)/B356,0)</f>
        <v/>
      </c>
      <c r="D368" s="59">
        <f>IF(Table2[[#This Row],[Country]]&gt;0,(((Table2[[#This Row],[Country]]-B367)/B367)+1)^12-1,"")</f>
        <v/>
      </c>
    </row>
    <row r="369">
      <c r="A369" s="35" t="n">
        <v>33329</v>
      </c>
      <c r="B369" s="36">
        <f>VLOOKUP(A369,Data!$A:$AH,MATCH(Country!$A$1,Data!$A$1:$AH$1,),)</f>
        <v/>
      </c>
      <c r="C369" s="59">
        <f>IF(B357&gt;0,(Table2[[#This Row],[Country]]-B357)/B357,0)</f>
        <v/>
      </c>
      <c r="D369" s="59">
        <f>IF(Table2[[#This Row],[Country]]&gt;0,(((Table2[[#This Row],[Country]]-B368)/B368)+1)^12-1,"")</f>
        <v/>
      </c>
    </row>
    <row r="370">
      <c r="A370" s="35" t="n">
        <v>33359</v>
      </c>
      <c r="B370" s="36">
        <f>VLOOKUP(A370,Data!$A:$AH,MATCH(Country!$A$1,Data!$A$1:$AH$1,),)</f>
        <v/>
      </c>
      <c r="C370" s="59">
        <f>IF(B358&gt;0,(Table2[[#This Row],[Country]]-B358)/B358,0)</f>
        <v/>
      </c>
      <c r="D370" s="59">
        <f>IF(Table2[[#This Row],[Country]]&gt;0,(((Table2[[#This Row],[Country]]-B369)/B369)+1)^12-1,"")</f>
        <v/>
      </c>
    </row>
    <row r="371">
      <c r="A371" s="35" t="n">
        <v>33390</v>
      </c>
      <c r="B371" s="36">
        <f>VLOOKUP(A371,Data!$A:$AH,MATCH(Country!$A$1,Data!$A$1:$AH$1,),)</f>
        <v/>
      </c>
      <c r="C371" s="59">
        <f>IF(B359&gt;0,(Table2[[#This Row],[Country]]-B359)/B359,0)</f>
        <v/>
      </c>
      <c r="D371" s="59">
        <f>IF(Table2[[#This Row],[Country]]&gt;0,(((Table2[[#This Row],[Country]]-B370)/B370)+1)^12-1,"")</f>
        <v/>
      </c>
    </row>
    <row r="372">
      <c r="A372" s="35" t="n">
        <v>33420</v>
      </c>
      <c r="B372" s="36">
        <f>VLOOKUP(A372,Data!$A:$AH,MATCH(Country!$A$1,Data!$A$1:$AH$1,),)</f>
        <v/>
      </c>
      <c r="C372" s="59">
        <f>IF(B360&gt;0,(Table2[[#This Row],[Country]]-B360)/B360,0)</f>
        <v/>
      </c>
      <c r="D372" s="59">
        <f>IF(Table2[[#This Row],[Country]]&gt;0,(((Table2[[#This Row],[Country]]-B371)/B371)+1)^12-1,"")</f>
        <v/>
      </c>
    </row>
    <row r="373">
      <c r="A373" s="35" t="n">
        <v>33451</v>
      </c>
      <c r="B373" s="36">
        <f>VLOOKUP(A373,Data!$A:$AH,MATCH(Country!$A$1,Data!$A$1:$AH$1,),)</f>
        <v/>
      </c>
      <c r="C373" s="59">
        <f>IF(B361&gt;0,(Table2[[#This Row],[Country]]-B361)/B361,0)</f>
        <v/>
      </c>
      <c r="D373" s="59">
        <f>IF(Table2[[#This Row],[Country]]&gt;0,(((Table2[[#This Row],[Country]]-B372)/B372)+1)^12-1,"")</f>
        <v/>
      </c>
    </row>
    <row r="374">
      <c r="A374" s="35" t="n">
        <v>33482</v>
      </c>
      <c r="B374" s="36">
        <f>VLOOKUP(A374,Data!$A:$AH,MATCH(Country!$A$1,Data!$A$1:$AH$1,),)</f>
        <v/>
      </c>
      <c r="C374" s="59">
        <f>IF(B362&gt;0,(Table2[[#This Row],[Country]]-B362)/B362,0)</f>
        <v/>
      </c>
      <c r="D374" s="59">
        <f>IF(Table2[[#This Row],[Country]]&gt;0,(((Table2[[#This Row],[Country]]-B373)/B373)+1)^12-1,"")</f>
        <v/>
      </c>
    </row>
    <row r="375">
      <c r="A375" s="35" t="n">
        <v>33512</v>
      </c>
      <c r="B375" s="36">
        <f>VLOOKUP(A375,Data!$A:$AH,MATCH(Country!$A$1,Data!$A$1:$AH$1,),)</f>
        <v/>
      </c>
      <c r="C375" s="59">
        <f>IF(B363&gt;0,(Table2[[#This Row],[Country]]-B363)/B363,0)</f>
        <v/>
      </c>
      <c r="D375" s="59">
        <f>IF(Table2[[#This Row],[Country]]&gt;0,(((Table2[[#This Row],[Country]]-B374)/B374)+1)^12-1,"")</f>
        <v/>
      </c>
    </row>
    <row r="376">
      <c r="A376" s="35" t="n">
        <v>33543</v>
      </c>
      <c r="B376" s="36">
        <f>VLOOKUP(A376,Data!$A:$AH,MATCH(Country!$A$1,Data!$A$1:$AH$1,),)</f>
        <v/>
      </c>
      <c r="C376" s="59">
        <f>IF(B364&gt;0,(Table2[[#This Row],[Country]]-B364)/B364,0)</f>
        <v/>
      </c>
      <c r="D376" s="59">
        <f>IF(Table2[[#This Row],[Country]]&gt;0,(((Table2[[#This Row],[Country]]-B375)/B375)+1)^12-1,"")</f>
        <v/>
      </c>
    </row>
    <row r="377">
      <c r="A377" s="35" t="n">
        <v>33573</v>
      </c>
      <c r="B377" s="36">
        <f>VLOOKUP(A377,Data!$A:$AH,MATCH(Country!$A$1,Data!$A$1:$AH$1,),)</f>
        <v/>
      </c>
      <c r="C377" s="59">
        <f>IF(B365&gt;0,(Table2[[#This Row],[Country]]-B365)/B365,0)</f>
        <v/>
      </c>
      <c r="D377" s="59">
        <f>IF(Table2[[#This Row],[Country]]&gt;0,(((Table2[[#This Row],[Country]]-B376)/B376)+1)^12-1,"")</f>
        <v/>
      </c>
    </row>
    <row r="378">
      <c r="A378" s="35" t="n">
        <v>33604</v>
      </c>
      <c r="B378" s="36">
        <f>VLOOKUP(A378,Data!$A:$AH,MATCH(Country!$A$1,Data!$A$1:$AH$1,),)</f>
        <v/>
      </c>
      <c r="C378" s="59">
        <f>IF(B366&gt;0,(Table2[[#This Row],[Country]]-B366)/B366,0)</f>
        <v/>
      </c>
      <c r="D378" s="59">
        <f>IF(Table2[[#This Row],[Country]]&gt;0,(((Table2[[#This Row],[Country]]-B377)/B377)+1)^12-1,"")</f>
        <v/>
      </c>
    </row>
    <row r="379">
      <c r="A379" s="35" t="n">
        <v>33635</v>
      </c>
      <c r="B379" s="36">
        <f>VLOOKUP(A379,Data!$A:$AH,MATCH(Country!$A$1,Data!$A$1:$AH$1,),)</f>
        <v/>
      </c>
      <c r="C379" s="59">
        <f>IF(B367&gt;0,(Table2[[#This Row],[Country]]-B367)/B367,0)</f>
        <v/>
      </c>
      <c r="D379" s="59">
        <f>IF(Table2[[#This Row],[Country]]&gt;0,(((Table2[[#This Row],[Country]]-B378)/B378)+1)^12-1,"")</f>
        <v/>
      </c>
    </row>
    <row r="380">
      <c r="A380" s="35" t="n">
        <v>33664</v>
      </c>
      <c r="B380" s="36">
        <f>VLOOKUP(A380,Data!$A:$AH,MATCH(Country!$A$1,Data!$A$1:$AH$1,),)</f>
        <v/>
      </c>
      <c r="C380" s="59">
        <f>IF(B368&gt;0,(Table2[[#This Row],[Country]]-B368)/B368,0)</f>
        <v/>
      </c>
      <c r="D380" s="59">
        <f>IF(Table2[[#This Row],[Country]]&gt;0,(((Table2[[#This Row],[Country]]-B379)/B379)+1)^12-1,"")</f>
        <v/>
      </c>
    </row>
    <row r="381">
      <c r="A381" s="35" t="n">
        <v>33695</v>
      </c>
      <c r="B381" s="36">
        <f>VLOOKUP(A381,Data!$A:$AH,MATCH(Country!$A$1,Data!$A$1:$AH$1,),)</f>
        <v/>
      </c>
      <c r="C381" s="59">
        <f>IF(B369&gt;0,(Table2[[#This Row],[Country]]-B369)/B369,0)</f>
        <v/>
      </c>
      <c r="D381" s="59">
        <f>IF(Table2[[#This Row],[Country]]&gt;0,(((Table2[[#This Row],[Country]]-B380)/B380)+1)^12-1,"")</f>
        <v/>
      </c>
    </row>
    <row r="382">
      <c r="A382" s="35" t="n">
        <v>33725</v>
      </c>
      <c r="B382" s="36">
        <f>VLOOKUP(A382,Data!$A:$AH,MATCH(Country!$A$1,Data!$A$1:$AH$1,),)</f>
        <v/>
      </c>
      <c r="C382" s="59">
        <f>IF(B370&gt;0,(Table2[[#This Row],[Country]]-B370)/B370,0)</f>
        <v/>
      </c>
      <c r="D382" s="59">
        <f>IF(Table2[[#This Row],[Country]]&gt;0,(((Table2[[#This Row],[Country]]-B381)/B381)+1)^12-1,"")</f>
        <v/>
      </c>
    </row>
    <row r="383">
      <c r="A383" s="35" t="n">
        <v>33756</v>
      </c>
      <c r="B383" s="36">
        <f>VLOOKUP(A383,Data!$A:$AH,MATCH(Country!$A$1,Data!$A$1:$AH$1,),)</f>
        <v/>
      </c>
      <c r="C383" s="59">
        <f>IF(B371&gt;0,(Table2[[#This Row],[Country]]-B371)/B371,0)</f>
        <v/>
      </c>
      <c r="D383" s="59">
        <f>IF(Table2[[#This Row],[Country]]&gt;0,(((Table2[[#This Row],[Country]]-B382)/B382)+1)^12-1,"")</f>
        <v/>
      </c>
    </row>
    <row r="384">
      <c r="A384" s="35" t="n">
        <v>33786</v>
      </c>
      <c r="B384" s="36">
        <f>VLOOKUP(A384,Data!$A:$AH,MATCH(Country!$A$1,Data!$A$1:$AH$1,),)</f>
        <v/>
      </c>
      <c r="C384" s="59">
        <f>IF(B372&gt;0,(Table2[[#This Row],[Country]]-B372)/B372,0)</f>
        <v/>
      </c>
      <c r="D384" s="59">
        <f>IF(Table2[[#This Row],[Country]]&gt;0,(((Table2[[#This Row],[Country]]-B383)/B383)+1)^12-1,"")</f>
        <v/>
      </c>
    </row>
    <row r="385">
      <c r="A385" s="35" t="n">
        <v>33817</v>
      </c>
      <c r="B385" s="36">
        <f>VLOOKUP(A385,Data!$A:$AH,MATCH(Country!$A$1,Data!$A$1:$AH$1,),)</f>
        <v/>
      </c>
      <c r="C385" s="59">
        <f>IF(B373&gt;0,(Table2[[#This Row],[Country]]-B373)/B373,0)</f>
        <v/>
      </c>
      <c r="D385" s="59">
        <f>IF(Table2[[#This Row],[Country]]&gt;0,(((Table2[[#This Row],[Country]]-B384)/B384)+1)^12-1,"")</f>
        <v/>
      </c>
    </row>
    <row r="386">
      <c r="A386" s="35" t="n">
        <v>33848</v>
      </c>
      <c r="B386" s="36">
        <f>VLOOKUP(A386,Data!$A:$AH,MATCH(Country!$A$1,Data!$A$1:$AH$1,),)</f>
        <v/>
      </c>
      <c r="C386" s="59">
        <f>IF(B374&gt;0,(Table2[[#This Row],[Country]]-B374)/B374,0)</f>
        <v/>
      </c>
      <c r="D386" s="59">
        <f>IF(Table2[[#This Row],[Country]]&gt;0,(((Table2[[#This Row],[Country]]-B385)/B385)+1)^12-1,"")</f>
        <v/>
      </c>
    </row>
    <row r="387">
      <c r="A387" s="35" t="n">
        <v>33878</v>
      </c>
      <c r="B387" s="36">
        <f>VLOOKUP(A387,Data!$A:$AH,MATCH(Country!$A$1,Data!$A$1:$AH$1,),)</f>
        <v/>
      </c>
      <c r="C387" s="59">
        <f>IF(B375&gt;0,(Table2[[#This Row],[Country]]-B375)/B375,0)</f>
        <v/>
      </c>
      <c r="D387" s="59">
        <f>IF(Table2[[#This Row],[Country]]&gt;0,(((Table2[[#This Row],[Country]]-B386)/B386)+1)^12-1,"")</f>
        <v/>
      </c>
    </row>
    <row r="388">
      <c r="A388" s="35" t="n">
        <v>33909</v>
      </c>
      <c r="B388" s="36">
        <f>VLOOKUP(A388,Data!$A:$AH,MATCH(Country!$A$1,Data!$A$1:$AH$1,),)</f>
        <v/>
      </c>
      <c r="C388" s="59">
        <f>IF(B376&gt;0,(Table2[[#This Row],[Country]]-B376)/B376,0)</f>
        <v/>
      </c>
      <c r="D388" s="59">
        <f>IF(Table2[[#This Row],[Country]]&gt;0,(((Table2[[#This Row],[Country]]-B387)/B387)+1)^12-1,"")</f>
        <v/>
      </c>
    </row>
    <row r="389">
      <c r="A389" s="35" t="n">
        <v>33939</v>
      </c>
      <c r="B389" s="36">
        <f>VLOOKUP(A389,Data!$A:$AH,MATCH(Country!$A$1,Data!$A$1:$AH$1,),)</f>
        <v/>
      </c>
      <c r="C389" s="59">
        <f>IF(B377&gt;0,(Table2[[#This Row],[Country]]-B377)/B377,0)</f>
        <v/>
      </c>
      <c r="D389" s="59">
        <f>IF(Table2[[#This Row],[Country]]&gt;0,(((Table2[[#This Row],[Country]]-B388)/B388)+1)^12-1,"")</f>
        <v/>
      </c>
    </row>
    <row r="390">
      <c r="A390" s="35" t="n">
        <v>33970</v>
      </c>
      <c r="B390" s="36">
        <f>VLOOKUP(A390,Data!$A:$AH,MATCH(Country!$A$1,Data!$A$1:$AH$1,),)</f>
        <v/>
      </c>
      <c r="C390" s="59">
        <f>IF(B378&gt;0,(Table2[[#This Row],[Country]]-B378)/B378,0)</f>
        <v/>
      </c>
      <c r="D390" s="59">
        <f>IF(Table2[[#This Row],[Country]]&gt;0,(((Table2[[#This Row],[Country]]-B389)/B389)+1)^12-1,"")</f>
        <v/>
      </c>
    </row>
    <row r="391">
      <c r="A391" s="35" t="n">
        <v>34001</v>
      </c>
      <c r="B391" s="36">
        <f>VLOOKUP(A391,Data!$A:$AH,MATCH(Country!$A$1,Data!$A$1:$AH$1,),)</f>
        <v/>
      </c>
      <c r="C391" s="59">
        <f>IF(B379&gt;0,(Table2[[#This Row],[Country]]-B379)/B379,0)</f>
        <v/>
      </c>
      <c r="D391" s="59">
        <f>IF(Table2[[#This Row],[Country]]&gt;0,(((Table2[[#This Row],[Country]]-B390)/B390)+1)^12-1,"")</f>
        <v/>
      </c>
    </row>
    <row r="392">
      <c r="A392" s="35" t="n">
        <v>34029</v>
      </c>
      <c r="B392" s="36">
        <f>VLOOKUP(A392,Data!$A:$AH,MATCH(Country!$A$1,Data!$A$1:$AH$1,),)</f>
        <v/>
      </c>
      <c r="C392" s="59">
        <f>IF(B380&gt;0,(Table2[[#This Row],[Country]]-B380)/B380,0)</f>
        <v/>
      </c>
      <c r="D392" s="59">
        <f>IF(Table2[[#This Row],[Country]]&gt;0,(((Table2[[#This Row],[Country]]-B391)/B391)+1)^12-1,"")</f>
        <v/>
      </c>
    </row>
    <row r="393">
      <c r="A393" s="35" t="n">
        <v>34060</v>
      </c>
      <c r="B393" s="36">
        <f>VLOOKUP(A393,Data!$A:$AH,MATCH(Country!$A$1,Data!$A$1:$AH$1,),)</f>
        <v/>
      </c>
      <c r="C393" s="59">
        <f>IF(B381&gt;0,(Table2[[#This Row],[Country]]-B381)/B381,0)</f>
        <v/>
      </c>
      <c r="D393" s="59">
        <f>IF(Table2[[#This Row],[Country]]&gt;0,(((Table2[[#This Row],[Country]]-B392)/B392)+1)^12-1,"")</f>
        <v/>
      </c>
    </row>
    <row r="394">
      <c r="A394" s="35" t="n">
        <v>34090</v>
      </c>
      <c r="B394" s="36">
        <f>VLOOKUP(A394,Data!$A:$AH,MATCH(Country!$A$1,Data!$A$1:$AH$1,),)</f>
        <v/>
      </c>
      <c r="C394" s="59">
        <f>IF(B382&gt;0,(Table2[[#This Row],[Country]]-B382)/B382,0)</f>
        <v/>
      </c>
      <c r="D394" s="59">
        <f>IF(Table2[[#This Row],[Country]]&gt;0,(((Table2[[#This Row],[Country]]-B393)/B393)+1)^12-1,"")</f>
        <v/>
      </c>
    </row>
    <row r="395">
      <c r="A395" s="35" t="n">
        <v>34121</v>
      </c>
      <c r="B395" s="36">
        <f>VLOOKUP(A395,Data!$A:$AH,MATCH(Country!$A$1,Data!$A$1:$AH$1,),)</f>
        <v/>
      </c>
      <c r="C395" s="59">
        <f>IF(B383&gt;0,(Table2[[#This Row],[Country]]-B383)/B383,0)</f>
        <v/>
      </c>
      <c r="D395" s="59">
        <f>IF(Table2[[#This Row],[Country]]&gt;0,(((Table2[[#This Row],[Country]]-B394)/B394)+1)^12-1,"")</f>
        <v/>
      </c>
    </row>
    <row r="396">
      <c r="A396" s="35" t="n">
        <v>34151</v>
      </c>
      <c r="B396" s="36">
        <f>VLOOKUP(A396,Data!$A:$AH,MATCH(Country!$A$1,Data!$A$1:$AH$1,),)</f>
        <v/>
      </c>
      <c r="C396" s="59">
        <f>IF(B384&gt;0,(Table2[[#This Row],[Country]]-B384)/B384,0)</f>
        <v/>
      </c>
      <c r="D396" s="59">
        <f>IF(Table2[[#This Row],[Country]]&gt;0,(((Table2[[#This Row],[Country]]-B395)/B395)+1)^12-1,"")</f>
        <v/>
      </c>
    </row>
    <row r="397">
      <c r="A397" s="35" t="n">
        <v>34182</v>
      </c>
      <c r="B397" s="36">
        <f>VLOOKUP(A397,Data!$A:$AH,MATCH(Country!$A$1,Data!$A$1:$AH$1,),)</f>
        <v/>
      </c>
      <c r="C397" s="59">
        <f>IF(B385&gt;0,(Table2[[#This Row],[Country]]-B385)/B385,0)</f>
        <v/>
      </c>
      <c r="D397" s="59">
        <f>IF(Table2[[#This Row],[Country]]&gt;0,(((Table2[[#This Row],[Country]]-B396)/B396)+1)^12-1,"")</f>
        <v/>
      </c>
    </row>
    <row r="398">
      <c r="A398" s="35" t="n">
        <v>34213</v>
      </c>
      <c r="B398" s="36">
        <f>VLOOKUP(A398,Data!$A:$AH,MATCH(Country!$A$1,Data!$A$1:$AH$1,),)</f>
        <v/>
      </c>
      <c r="C398" s="59">
        <f>IF(B386&gt;0,(Table2[[#This Row],[Country]]-B386)/B386,0)</f>
        <v/>
      </c>
      <c r="D398" s="59">
        <f>IF(Table2[[#This Row],[Country]]&gt;0,(((Table2[[#This Row],[Country]]-B397)/B397)+1)^12-1,"")</f>
        <v/>
      </c>
    </row>
    <row r="399">
      <c r="A399" s="35" t="n">
        <v>34243</v>
      </c>
      <c r="B399" s="36">
        <f>VLOOKUP(A399,Data!$A:$AH,MATCH(Country!$A$1,Data!$A$1:$AH$1,),)</f>
        <v/>
      </c>
      <c r="C399" s="59">
        <f>IF(B387&gt;0,(Table2[[#This Row],[Country]]-B387)/B387,0)</f>
        <v/>
      </c>
      <c r="D399" s="59">
        <f>IF(Table2[[#This Row],[Country]]&gt;0,(((Table2[[#This Row],[Country]]-B398)/B398)+1)^12-1,"")</f>
        <v/>
      </c>
    </row>
    <row r="400">
      <c r="A400" s="35" t="n">
        <v>34274</v>
      </c>
      <c r="B400" s="36">
        <f>VLOOKUP(A400,Data!$A:$AH,MATCH(Country!$A$1,Data!$A$1:$AH$1,),)</f>
        <v/>
      </c>
      <c r="C400" s="59">
        <f>IF(B388&gt;0,(Table2[[#This Row],[Country]]-B388)/B388,0)</f>
        <v/>
      </c>
      <c r="D400" s="59">
        <f>IF(Table2[[#This Row],[Country]]&gt;0,(((Table2[[#This Row],[Country]]-B399)/B399)+1)^12-1,"")</f>
        <v/>
      </c>
    </row>
    <row r="401">
      <c r="A401" s="35" t="n">
        <v>34304</v>
      </c>
      <c r="B401" s="36">
        <f>VLOOKUP(A401,Data!$A:$AH,MATCH(Country!$A$1,Data!$A$1:$AH$1,),)</f>
        <v/>
      </c>
      <c r="C401" s="59">
        <f>IF(B389&gt;0,(Table2[[#This Row],[Country]]-B389)/B389,0)</f>
        <v/>
      </c>
      <c r="D401" s="59">
        <f>IF(Table2[[#This Row],[Country]]&gt;0,(((Table2[[#This Row],[Country]]-B400)/B400)+1)^12-1,"")</f>
        <v/>
      </c>
    </row>
    <row r="402">
      <c r="A402" s="35" t="n">
        <v>34335</v>
      </c>
      <c r="B402" s="36">
        <f>VLOOKUP(A402,Data!$A:$AH,MATCH(Country!$A$1,Data!$A$1:$AH$1,),)</f>
        <v/>
      </c>
      <c r="C402" s="59">
        <f>IF(B390&gt;0,(Table2[[#This Row],[Country]]-B390)/B390,0)</f>
        <v/>
      </c>
      <c r="D402" s="59">
        <f>IF(Table2[[#This Row],[Country]]&gt;0,(((Table2[[#This Row],[Country]]-B401)/B401)+1)^12-1,"")</f>
        <v/>
      </c>
    </row>
    <row r="403">
      <c r="A403" s="35" t="n">
        <v>34366</v>
      </c>
      <c r="B403" s="36">
        <f>VLOOKUP(A403,Data!$A:$AH,MATCH(Country!$A$1,Data!$A$1:$AH$1,),)</f>
        <v/>
      </c>
      <c r="C403" s="59">
        <f>IF(B391&gt;0,(Table2[[#This Row],[Country]]-B391)/B391,0)</f>
        <v/>
      </c>
      <c r="D403" s="59">
        <f>IF(Table2[[#This Row],[Country]]&gt;0,(((Table2[[#This Row],[Country]]-B402)/B402)+1)^12-1,"")</f>
        <v/>
      </c>
    </row>
    <row r="404">
      <c r="A404" s="35" t="n">
        <v>34394</v>
      </c>
      <c r="B404" s="36">
        <f>VLOOKUP(A404,Data!$A:$AH,MATCH(Country!$A$1,Data!$A$1:$AH$1,),)</f>
        <v/>
      </c>
      <c r="C404" s="59">
        <f>IF(B392&gt;0,(Table2[[#This Row],[Country]]-B392)/B392,0)</f>
        <v/>
      </c>
      <c r="D404" s="59">
        <f>IF(Table2[[#This Row],[Country]]&gt;0,(((Table2[[#This Row],[Country]]-B403)/B403)+1)^12-1,"")</f>
        <v/>
      </c>
    </row>
    <row r="405">
      <c r="A405" s="35" t="n">
        <v>34425</v>
      </c>
      <c r="B405" s="36">
        <f>VLOOKUP(A405,Data!$A:$AH,MATCH(Country!$A$1,Data!$A$1:$AH$1,),)</f>
        <v/>
      </c>
      <c r="C405" s="59">
        <f>IF(B393&gt;0,(Table2[[#This Row],[Country]]-B393)/B393,0)</f>
        <v/>
      </c>
      <c r="D405" s="59">
        <f>IF(Table2[[#This Row],[Country]]&gt;0,(((Table2[[#This Row],[Country]]-B404)/B404)+1)^12-1,"")</f>
        <v/>
      </c>
    </row>
    <row r="406">
      <c r="A406" s="35" t="n">
        <v>34455</v>
      </c>
      <c r="B406" s="36">
        <f>VLOOKUP(A406,Data!$A:$AH,MATCH(Country!$A$1,Data!$A$1:$AH$1,),)</f>
        <v/>
      </c>
      <c r="C406" s="59">
        <f>IF(B394&gt;0,(Table2[[#This Row],[Country]]-B394)/B394,0)</f>
        <v/>
      </c>
      <c r="D406" s="59">
        <f>IF(Table2[[#This Row],[Country]]&gt;0,(((Table2[[#This Row],[Country]]-B405)/B405)+1)^12-1,"")</f>
        <v/>
      </c>
    </row>
    <row r="407">
      <c r="A407" s="35" t="n">
        <v>34486</v>
      </c>
      <c r="B407" s="36">
        <f>VLOOKUP(A407,Data!$A:$AH,MATCH(Country!$A$1,Data!$A$1:$AH$1,),)</f>
        <v/>
      </c>
      <c r="C407" s="59">
        <f>IF(B395&gt;0,(Table2[[#This Row],[Country]]-B395)/B395,0)</f>
        <v/>
      </c>
      <c r="D407" s="59">
        <f>IF(Table2[[#This Row],[Country]]&gt;0,(((Table2[[#This Row],[Country]]-B406)/B406)+1)^12-1,"")</f>
        <v/>
      </c>
    </row>
    <row r="408">
      <c r="A408" s="35" t="n">
        <v>34516</v>
      </c>
      <c r="B408" s="36">
        <f>VLOOKUP(A408,Data!$A:$AH,MATCH(Country!$A$1,Data!$A$1:$AH$1,),)</f>
        <v/>
      </c>
      <c r="C408" s="59">
        <f>IF(B396&gt;0,(Table2[[#This Row],[Country]]-B396)/B396,0)</f>
        <v/>
      </c>
      <c r="D408" s="59">
        <f>IF(Table2[[#This Row],[Country]]&gt;0,(((Table2[[#This Row],[Country]]-B407)/B407)+1)^12-1,"")</f>
        <v/>
      </c>
    </row>
    <row r="409">
      <c r="A409" s="35" t="n">
        <v>34547</v>
      </c>
      <c r="B409" s="36">
        <f>VLOOKUP(A409,Data!$A:$AH,MATCH(Country!$A$1,Data!$A$1:$AH$1,),)</f>
        <v/>
      </c>
      <c r="C409" s="59">
        <f>IF(B397&gt;0,(Table2[[#This Row],[Country]]-B397)/B397,0)</f>
        <v/>
      </c>
      <c r="D409" s="59">
        <f>IF(Table2[[#This Row],[Country]]&gt;0,(((Table2[[#This Row],[Country]]-B408)/B408)+1)^12-1,"")</f>
        <v/>
      </c>
    </row>
    <row r="410">
      <c r="A410" s="35" t="n">
        <v>34578</v>
      </c>
      <c r="B410" s="36">
        <f>VLOOKUP(A410,Data!$A:$AH,MATCH(Country!$A$1,Data!$A$1:$AH$1,),)</f>
        <v/>
      </c>
      <c r="C410" s="59">
        <f>IF(B398&gt;0,(Table2[[#This Row],[Country]]-B398)/B398,0)</f>
        <v/>
      </c>
      <c r="D410" s="59">
        <f>IF(Table2[[#This Row],[Country]]&gt;0,(((Table2[[#This Row],[Country]]-B409)/B409)+1)^12-1,"")</f>
        <v/>
      </c>
    </row>
    <row r="411">
      <c r="A411" s="35" t="n">
        <v>34608</v>
      </c>
      <c r="B411" s="36">
        <f>VLOOKUP(A411,Data!$A:$AH,MATCH(Country!$A$1,Data!$A$1:$AH$1,),)</f>
        <v/>
      </c>
      <c r="C411" s="59">
        <f>IF(B399&gt;0,(Table2[[#This Row],[Country]]-B399)/B399,0)</f>
        <v/>
      </c>
      <c r="D411" s="59">
        <f>IF(Table2[[#This Row],[Country]]&gt;0,(((Table2[[#This Row],[Country]]-B410)/B410)+1)^12-1,"")</f>
        <v/>
      </c>
    </row>
    <row r="412">
      <c r="A412" s="35" t="n">
        <v>34639</v>
      </c>
      <c r="B412" s="36">
        <f>VLOOKUP(A412,Data!$A:$AH,MATCH(Country!$A$1,Data!$A$1:$AH$1,),)</f>
        <v/>
      </c>
      <c r="C412" s="59">
        <f>IF(B400&gt;0,(Table2[[#This Row],[Country]]-B400)/B400,0)</f>
        <v/>
      </c>
      <c r="D412" s="59">
        <f>IF(Table2[[#This Row],[Country]]&gt;0,(((Table2[[#This Row],[Country]]-B411)/B411)+1)^12-1,"")</f>
        <v/>
      </c>
    </row>
    <row r="413">
      <c r="A413" s="35" t="n">
        <v>34669</v>
      </c>
      <c r="B413" s="36">
        <f>VLOOKUP(A413,Data!$A:$AH,MATCH(Country!$A$1,Data!$A$1:$AH$1,),)</f>
        <v/>
      </c>
      <c r="C413" s="59">
        <f>IF(B401&gt;0,(Table2[[#This Row],[Country]]-B401)/B401,0)</f>
        <v/>
      </c>
      <c r="D413" s="59">
        <f>IF(Table2[[#This Row],[Country]]&gt;0,(((Table2[[#This Row],[Country]]-B412)/B412)+1)^12-1,"")</f>
        <v/>
      </c>
    </row>
    <row r="414">
      <c r="A414" s="35" t="n">
        <v>34700</v>
      </c>
      <c r="B414" s="36">
        <f>VLOOKUP(A414,Data!$A:$AH,MATCH(Country!$A$1,Data!$A$1:$AH$1,),)</f>
        <v/>
      </c>
      <c r="C414" s="59">
        <f>IF(B402&gt;0,(Table2[[#This Row],[Country]]-B402)/B402,0)</f>
        <v/>
      </c>
      <c r="D414" s="59">
        <f>IF(Table2[[#This Row],[Country]]&gt;0,(((Table2[[#This Row],[Country]]-B413)/B413)+1)^12-1,"")</f>
        <v/>
      </c>
    </row>
    <row r="415">
      <c r="A415" s="35" t="n">
        <v>34731</v>
      </c>
      <c r="B415" s="36">
        <f>VLOOKUP(A415,Data!$A:$AH,MATCH(Country!$A$1,Data!$A$1:$AH$1,),)</f>
        <v/>
      </c>
      <c r="C415" s="59">
        <f>IF(B403&gt;0,(Table2[[#This Row],[Country]]-B403)/B403,0)</f>
        <v/>
      </c>
      <c r="D415" s="59">
        <f>IF(Table2[[#This Row],[Country]]&gt;0,(((Table2[[#This Row],[Country]]-B414)/B414)+1)^12-1,"")</f>
        <v/>
      </c>
    </row>
    <row r="416">
      <c r="A416" s="35" t="n">
        <v>34759</v>
      </c>
      <c r="B416" s="36">
        <f>VLOOKUP(A416,Data!$A:$AH,MATCH(Country!$A$1,Data!$A$1:$AH$1,),)</f>
        <v/>
      </c>
      <c r="C416" s="59">
        <f>IF(B404&gt;0,(Table2[[#This Row],[Country]]-B404)/B404,0)</f>
        <v/>
      </c>
      <c r="D416" s="59">
        <f>IF(Table2[[#This Row],[Country]]&gt;0,(((Table2[[#This Row],[Country]]-B415)/B415)+1)^12-1,"")</f>
        <v/>
      </c>
    </row>
    <row r="417">
      <c r="A417" s="35" t="n">
        <v>34790</v>
      </c>
      <c r="B417" s="36">
        <f>VLOOKUP(A417,Data!$A:$AH,MATCH(Country!$A$1,Data!$A$1:$AH$1,),)</f>
        <v/>
      </c>
      <c r="C417" s="59">
        <f>IF(B405&gt;0,(Table2[[#This Row],[Country]]-B405)/B405,0)</f>
        <v/>
      </c>
      <c r="D417" s="59">
        <f>IF(Table2[[#This Row],[Country]]&gt;0,(((Table2[[#This Row],[Country]]-B416)/B416)+1)^12-1,"")</f>
        <v/>
      </c>
    </row>
    <row r="418">
      <c r="A418" s="35" t="n">
        <v>34820</v>
      </c>
      <c r="B418" s="36">
        <f>VLOOKUP(A418,Data!$A:$AH,MATCH(Country!$A$1,Data!$A$1:$AH$1,),)</f>
        <v/>
      </c>
      <c r="C418" s="59">
        <f>IF(B406&gt;0,(Table2[[#This Row],[Country]]-B406)/B406,0)</f>
        <v/>
      </c>
      <c r="D418" s="59">
        <f>IF(Table2[[#This Row],[Country]]&gt;0,(((Table2[[#This Row],[Country]]-B417)/B417)+1)^12-1,"")</f>
        <v/>
      </c>
    </row>
    <row r="419">
      <c r="A419" s="35" t="n">
        <v>34851</v>
      </c>
      <c r="B419" s="36">
        <f>VLOOKUP(A419,Data!$A:$AH,MATCH(Country!$A$1,Data!$A$1:$AH$1,),)</f>
        <v/>
      </c>
      <c r="C419" s="59">
        <f>IF(B407&gt;0,(Table2[[#This Row],[Country]]-B407)/B407,0)</f>
        <v/>
      </c>
      <c r="D419" s="59">
        <f>IF(Table2[[#This Row],[Country]]&gt;0,(((Table2[[#This Row],[Country]]-B418)/B418)+1)^12-1,"")</f>
        <v/>
      </c>
    </row>
    <row r="420">
      <c r="A420" s="35" t="n">
        <v>34881</v>
      </c>
      <c r="B420" s="36">
        <f>VLOOKUP(A420,Data!$A:$AH,MATCH(Country!$A$1,Data!$A$1:$AH$1,),)</f>
        <v/>
      </c>
      <c r="C420" s="59">
        <f>IF(B408&gt;0,(Table2[[#This Row],[Country]]-B408)/B408,0)</f>
        <v/>
      </c>
      <c r="D420" s="59">
        <f>IF(Table2[[#This Row],[Country]]&gt;0,(((Table2[[#This Row],[Country]]-B419)/B419)+1)^12-1,"")</f>
        <v/>
      </c>
    </row>
    <row r="421">
      <c r="A421" s="35" t="n">
        <v>34912</v>
      </c>
      <c r="B421" s="36">
        <f>VLOOKUP(A421,Data!$A:$AH,MATCH(Country!$A$1,Data!$A$1:$AH$1,),)</f>
        <v/>
      </c>
      <c r="C421" s="59">
        <f>IF(B409&gt;0,(Table2[[#This Row],[Country]]-B409)/B409,0)</f>
        <v/>
      </c>
      <c r="D421" s="59">
        <f>IF(Table2[[#This Row],[Country]]&gt;0,(((Table2[[#This Row],[Country]]-B420)/B420)+1)^12-1,"")</f>
        <v/>
      </c>
    </row>
    <row r="422">
      <c r="A422" s="35" t="n">
        <v>34943</v>
      </c>
      <c r="B422" s="36">
        <f>VLOOKUP(A422,Data!$A:$AH,MATCH(Country!$A$1,Data!$A$1:$AH$1,),)</f>
        <v/>
      </c>
      <c r="C422" s="59">
        <f>IF(B410&gt;0,(Table2[[#This Row],[Country]]-B410)/B410,0)</f>
        <v/>
      </c>
      <c r="D422" s="59">
        <f>IF(Table2[[#This Row],[Country]]&gt;0,(((Table2[[#This Row],[Country]]-B421)/B421)+1)^12-1,"")</f>
        <v/>
      </c>
    </row>
    <row r="423">
      <c r="A423" s="35" t="n">
        <v>34973</v>
      </c>
      <c r="B423" s="36">
        <f>VLOOKUP(A423,Data!$A:$AH,MATCH(Country!$A$1,Data!$A$1:$AH$1,),)</f>
        <v/>
      </c>
      <c r="C423" s="59">
        <f>IF(B411&gt;0,(Table2[[#This Row],[Country]]-B411)/B411,0)</f>
        <v/>
      </c>
      <c r="D423" s="59">
        <f>IF(Table2[[#This Row],[Country]]&gt;0,(((Table2[[#This Row],[Country]]-B422)/B422)+1)^12-1,"")</f>
        <v/>
      </c>
    </row>
    <row r="424">
      <c r="A424" s="35" t="n">
        <v>35004</v>
      </c>
      <c r="B424" s="36">
        <f>VLOOKUP(A424,Data!$A:$AH,MATCH(Country!$A$1,Data!$A$1:$AH$1,),)</f>
        <v/>
      </c>
      <c r="C424" s="59">
        <f>IF(B412&gt;0,(Table2[[#This Row],[Country]]-B412)/B412,0)</f>
        <v/>
      </c>
      <c r="D424" s="59">
        <f>IF(Table2[[#This Row],[Country]]&gt;0,(((Table2[[#This Row],[Country]]-B423)/B423)+1)^12-1,"")</f>
        <v/>
      </c>
    </row>
    <row r="425">
      <c r="A425" s="35" t="n">
        <v>35034</v>
      </c>
      <c r="B425" s="36">
        <f>VLOOKUP(A425,Data!$A:$AH,MATCH(Country!$A$1,Data!$A$1:$AH$1,),)</f>
        <v/>
      </c>
      <c r="C425" s="59">
        <f>IF(B413&gt;0,(Table2[[#This Row],[Country]]-B413)/B413,0)</f>
        <v/>
      </c>
      <c r="D425" s="59">
        <f>IF(Table2[[#This Row],[Country]]&gt;0,(((Table2[[#This Row],[Country]]-B424)/B424)+1)^12-1,"")</f>
        <v/>
      </c>
    </row>
    <row r="426">
      <c r="A426" s="35" t="n">
        <v>35065</v>
      </c>
      <c r="B426" s="36">
        <f>VLOOKUP(A426,Data!$A:$AH,MATCH(Country!$A$1,Data!$A$1:$AH$1,),)</f>
        <v/>
      </c>
      <c r="C426" s="59">
        <f>IF(B414&gt;0,(Table2[[#This Row],[Country]]-B414)/B414,0)</f>
        <v/>
      </c>
      <c r="D426" s="59">
        <f>IF(Table2[[#This Row],[Country]]&gt;0,(((Table2[[#This Row],[Country]]-B425)/B425)+1)^12-1,"")</f>
        <v/>
      </c>
    </row>
    <row r="427">
      <c r="A427" s="35" t="n">
        <v>35096</v>
      </c>
      <c r="B427" s="36">
        <f>VLOOKUP(A427,Data!$A:$AH,MATCH(Country!$A$1,Data!$A$1:$AH$1,),)</f>
        <v/>
      </c>
      <c r="C427" s="59">
        <f>IF(B415&gt;0,(Table2[[#This Row],[Country]]-B415)/B415,0)</f>
        <v/>
      </c>
      <c r="D427" s="59">
        <f>IF(Table2[[#This Row],[Country]]&gt;0,(((Table2[[#This Row],[Country]]-B426)/B426)+1)^12-1,"")</f>
        <v/>
      </c>
    </row>
    <row r="428">
      <c r="A428" s="35" t="n">
        <v>35125</v>
      </c>
      <c r="B428" s="36">
        <f>VLOOKUP(A428,Data!$A:$AH,MATCH(Country!$A$1,Data!$A$1:$AH$1,),)</f>
        <v/>
      </c>
      <c r="C428" s="59">
        <f>IF(B416&gt;0,(Table2[[#This Row],[Country]]-B416)/B416,0)</f>
        <v/>
      </c>
      <c r="D428" s="59">
        <f>IF(Table2[[#This Row],[Country]]&gt;0,(((Table2[[#This Row],[Country]]-B427)/B427)+1)^12-1,"")</f>
        <v/>
      </c>
    </row>
    <row r="429">
      <c r="A429" s="35" t="n">
        <v>35156</v>
      </c>
      <c r="B429" s="36">
        <f>VLOOKUP(A429,Data!$A:$AH,MATCH(Country!$A$1,Data!$A$1:$AH$1,),)</f>
        <v/>
      </c>
      <c r="C429" s="59">
        <f>IF(B417&gt;0,(Table2[[#This Row],[Country]]-B417)/B417,0)</f>
        <v/>
      </c>
      <c r="D429" s="59">
        <f>IF(Table2[[#This Row],[Country]]&gt;0,(((Table2[[#This Row],[Country]]-B428)/B428)+1)^12-1,"")</f>
        <v/>
      </c>
    </row>
    <row r="430">
      <c r="A430" s="35" t="n">
        <v>35186</v>
      </c>
      <c r="B430" s="36">
        <f>VLOOKUP(A430,Data!$A:$AH,MATCH(Country!$A$1,Data!$A$1:$AH$1,),)</f>
        <v/>
      </c>
      <c r="C430" s="59">
        <f>IF(B418&gt;0,(Table2[[#This Row],[Country]]-B418)/B418,0)</f>
        <v/>
      </c>
      <c r="D430" s="59">
        <f>IF(Table2[[#This Row],[Country]]&gt;0,(((Table2[[#This Row],[Country]]-B429)/B429)+1)^12-1,"")</f>
        <v/>
      </c>
    </row>
    <row r="431">
      <c r="A431" s="35" t="n">
        <v>35217</v>
      </c>
      <c r="B431" s="36">
        <f>VLOOKUP(A431,Data!$A:$AH,MATCH(Country!$A$1,Data!$A$1:$AH$1,),)</f>
        <v/>
      </c>
      <c r="C431" s="59">
        <f>IF(B419&gt;0,(Table2[[#This Row],[Country]]-B419)/B419,0)</f>
        <v/>
      </c>
      <c r="D431" s="59">
        <f>IF(Table2[[#This Row],[Country]]&gt;0,(((Table2[[#This Row],[Country]]-B430)/B430)+1)^12-1,"")</f>
        <v/>
      </c>
    </row>
    <row r="432">
      <c r="A432" s="35" t="n">
        <v>35247</v>
      </c>
      <c r="B432" s="36">
        <f>VLOOKUP(A432,Data!$A:$AH,MATCH(Country!$A$1,Data!$A$1:$AH$1,),)</f>
        <v/>
      </c>
      <c r="C432" s="59">
        <f>IF(B420&gt;0,(Table2[[#This Row],[Country]]-B420)/B420,0)</f>
        <v/>
      </c>
      <c r="D432" s="59">
        <f>IF(Table2[[#This Row],[Country]]&gt;0,(((Table2[[#This Row],[Country]]-B431)/B431)+1)^12-1,"")</f>
        <v/>
      </c>
    </row>
    <row r="433">
      <c r="A433" s="35" t="n">
        <v>35278</v>
      </c>
      <c r="B433" s="36">
        <f>VLOOKUP(A433,Data!$A:$AH,MATCH(Country!$A$1,Data!$A$1:$AH$1,),)</f>
        <v/>
      </c>
      <c r="C433" s="59">
        <f>IF(B421&gt;0,(Table2[[#This Row],[Country]]-B421)/B421,0)</f>
        <v/>
      </c>
      <c r="D433" s="59">
        <f>IF(Table2[[#This Row],[Country]]&gt;0,(((Table2[[#This Row],[Country]]-B432)/B432)+1)^12-1,"")</f>
        <v/>
      </c>
    </row>
    <row r="434">
      <c r="A434" s="35" t="n">
        <v>35309</v>
      </c>
      <c r="B434" s="36">
        <f>VLOOKUP(A434,Data!$A:$AH,MATCH(Country!$A$1,Data!$A$1:$AH$1,),)</f>
        <v/>
      </c>
      <c r="C434" s="59">
        <f>IF(B422&gt;0,(Table2[[#This Row],[Country]]-B422)/B422,0)</f>
        <v/>
      </c>
      <c r="D434" s="59">
        <f>IF(Table2[[#This Row],[Country]]&gt;0,(((Table2[[#This Row],[Country]]-B433)/B433)+1)^12-1,"")</f>
        <v/>
      </c>
    </row>
    <row r="435">
      <c r="A435" s="35" t="n">
        <v>35339</v>
      </c>
      <c r="B435" s="36">
        <f>VLOOKUP(A435,Data!$A:$AH,MATCH(Country!$A$1,Data!$A$1:$AH$1,),)</f>
        <v/>
      </c>
      <c r="C435" s="59">
        <f>IF(B423&gt;0,(Table2[[#This Row],[Country]]-B423)/B423,0)</f>
        <v/>
      </c>
      <c r="D435" s="59">
        <f>IF(Table2[[#This Row],[Country]]&gt;0,(((Table2[[#This Row],[Country]]-B434)/B434)+1)^12-1,"")</f>
        <v/>
      </c>
    </row>
    <row r="436">
      <c r="A436" s="35" t="n">
        <v>35370</v>
      </c>
      <c r="B436" s="36">
        <f>VLOOKUP(A436,Data!$A:$AH,MATCH(Country!$A$1,Data!$A$1:$AH$1,),)</f>
        <v/>
      </c>
      <c r="C436" s="59">
        <f>IF(B424&gt;0,(Table2[[#This Row],[Country]]-B424)/B424,0)</f>
        <v/>
      </c>
      <c r="D436" s="59">
        <f>IF(Table2[[#This Row],[Country]]&gt;0,(((Table2[[#This Row],[Country]]-B435)/B435)+1)^12-1,"")</f>
        <v/>
      </c>
    </row>
    <row r="437">
      <c r="A437" s="35" t="n">
        <v>35400</v>
      </c>
      <c r="B437" s="36">
        <f>VLOOKUP(A437,Data!$A:$AH,MATCH(Country!$A$1,Data!$A$1:$AH$1,),)</f>
        <v/>
      </c>
      <c r="C437" s="59">
        <f>IF(B425&gt;0,(Table2[[#This Row],[Country]]-B425)/B425,0)</f>
        <v/>
      </c>
      <c r="D437" s="59">
        <f>IF(Table2[[#This Row],[Country]]&gt;0,(((Table2[[#This Row],[Country]]-B436)/B436)+1)^12-1,"")</f>
        <v/>
      </c>
    </row>
    <row r="438">
      <c r="A438" s="35" t="n">
        <v>35431</v>
      </c>
      <c r="B438" s="36">
        <f>VLOOKUP(A438,Data!$A:$AH,MATCH(Country!$A$1,Data!$A$1:$AH$1,),)</f>
        <v/>
      </c>
      <c r="C438" s="59">
        <f>IF(B426&gt;0,(Table2[[#This Row],[Country]]-B426)/B426,0)</f>
        <v/>
      </c>
      <c r="D438" s="59">
        <f>IF(Table2[[#This Row],[Country]]&gt;0,(((Table2[[#This Row],[Country]]-B437)/B437)+1)^12-1,"")</f>
        <v/>
      </c>
    </row>
    <row r="439">
      <c r="A439" s="35" t="n">
        <v>35462</v>
      </c>
      <c r="B439" s="36">
        <f>VLOOKUP(A439,Data!$A:$AH,MATCH(Country!$A$1,Data!$A$1:$AH$1,),)</f>
        <v/>
      </c>
      <c r="C439" s="59">
        <f>IF(B427&gt;0,(Table2[[#This Row],[Country]]-B427)/B427,0)</f>
        <v/>
      </c>
      <c r="D439" s="59">
        <f>IF(Table2[[#This Row],[Country]]&gt;0,(((Table2[[#This Row],[Country]]-B438)/B438)+1)^12-1,"")</f>
        <v/>
      </c>
    </row>
    <row r="440">
      <c r="A440" s="35" t="n">
        <v>35490</v>
      </c>
      <c r="B440" s="36">
        <f>VLOOKUP(A440,Data!$A:$AH,MATCH(Country!$A$1,Data!$A$1:$AH$1,),)</f>
        <v/>
      </c>
      <c r="C440" s="59">
        <f>IF(B428&gt;0,(Table2[[#This Row],[Country]]-B428)/B428,0)</f>
        <v/>
      </c>
      <c r="D440" s="59">
        <f>IF(Table2[[#This Row],[Country]]&gt;0,(((Table2[[#This Row],[Country]]-B439)/B439)+1)^12-1,"")</f>
        <v/>
      </c>
    </row>
    <row r="441">
      <c r="A441" s="35" t="n">
        <v>35521</v>
      </c>
      <c r="B441" s="36">
        <f>VLOOKUP(A441,Data!$A:$AH,MATCH(Country!$A$1,Data!$A$1:$AH$1,),)</f>
        <v/>
      </c>
      <c r="C441" s="59">
        <f>IF(B429&gt;0,(Table2[[#This Row],[Country]]-B429)/B429,0)</f>
        <v/>
      </c>
      <c r="D441" s="59">
        <f>IF(Table2[[#This Row],[Country]]&gt;0,(((Table2[[#This Row],[Country]]-B440)/B440)+1)^12-1,"")</f>
        <v/>
      </c>
    </row>
    <row r="442">
      <c r="A442" s="35" t="n">
        <v>35551</v>
      </c>
      <c r="B442" s="36">
        <f>VLOOKUP(A442,Data!$A:$AH,MATCH(Country!$A$1,Data!$A$1:$AH$1,),)</f>
        <v/>
      </c>
      <c r="C442" s="59">
        <f>IF(B430&gt;0,(Table2[[#This Row],[Country]]-B430)/B430,0)</f>
        <v/>
      </c>
      <c r="D442" s="59">
        <f>IF(Table2[[#This Row],[Country]]&gt;0,(((Table2[[#This Row],[Country]]-B441)/B441)+1)^12-1,"")</f>
        <v/>
      </c>
    </row>
    <row r="443">
      <c r="A443" s="35" t="n">
        <v>35582</v>
      </c>
      <c r="B443" s="36">
        <f>VLOOKUP(A443,Data!$A:$AH,MATCH(Country!$A$1,Data!$A$1:$AH$1,),)</f>
        <v/>
      </c>
      <c r="C443" s="59">
        <f>IF(B431&gt;0,(Table2[[#This Row],[Country]]-B431)/B431,0)</f>
        <v/>
      </c>
      <c r="D443" s="59">
        <f>IF(Table2[[#This Row],[Country]]&gt;0,(((Table2[[#This Row],[Country]]-B442)/B442)+1)^12-1,"")</f>
        <v/>
      </c>
    </row>
    <row r="444">
      <c r="A444" s="35" t="n">
        <v>35612</v>
      </c>
      <c r="B444" s="36">
        <f>VLOOKUP(A444,Data!$A:$AH,MATCH(Country!$A$1,Data!$A$1:$AH$1,),)</f>
        <v/>
      </c>
      <c r="C444" s="59">
        <f>IF(B432&gt;0,(Table2[[#This Row],[Country]]-B432)/B432,0)</f>
        <v/>
      </c>
      <c r="D444" s="59">
        <f>IF(Table2[[#This Row],[Country]]&gt;0,(((Table2[[#This Row],[Country]]-B443)/B443)+1)^12-1,"")</f>
        <v/>
      </c>
    </row>
    <row r="445">
      <c r="A445" s="35" t="n">
        <v>35643</v>
      </c>
      <c r="B445" s="36">
        <f>VLOOKUP(A445,Data!$A:$AH,MATCH(Country!$A$1,Data!$A$1:$AH$1,),)</f>
        <v/>
      </c>
      <c r="C445" s="59">
        <f>IF(B433&gt;0,(Table2[[#This Row],[Country]]-B433)/B433,0)</f>
        <v/>
      </c>
      <c r="D445" s="59">
        <f>IF(Table2[[#This Row],[Country]]&gt;0,(((Table2[[#This Row],[Country]]-B444)/B444)+1)^12-1,"")</f>
        <v/>
      </c>
    </row>
    <row r="446">
      <c r="A446" s="35" t="n">
        <v>35674</v>
      </c>
      <c r="B446" s="36">
        <f>VLOOKUP(A446,Data!$A:$AH,MATCH(Country!$A$1,Data!$A$1:$AH$1,),)</f>
        <v/>
      </c>
      <c r="C446" s="59">
        <f>IF(B434&gt;0,(Table2[[#This Row],[Country]]-B434)/B434,0)</f>
        <v/>
      </c>
      <c r="D446" s="59">
        <f>IF(Table2[[#This Row],[Country]]&gt;0,(((Table2[[#This Row],[Country]]-B445)/B445)+1)^12-1,"")</f>
        <v/>
      </c>
    </row>
    <row r="447">
      <c r="A447" s="35" t="n">
        <v>35704</v>
      </c>
      <c r="B447" s="36">
        <f>VLOOKUP(A447,Data!$A:$AH,MATCH(Country!$A$1,Data!$A$1:$AH$1,),)</f>
        <v/>
      </c>
      <c r="C447" s="59">
        <f>IF(B435&gt;0,(Table2[[#This Row],[Country]]-B435)/B435,0)</f>
        <v/>
      </c>
      <c r="D447" s="59">
        <f>IF(Table2[[#This Row],[Country]]&gt;0,(((Table2[[#This Row],[Country]]-B446)/B446)+1)^12-1,"")</f>
        <v/>
      </c>
    </row>
    <row r="448">
      <c r="A448" s="35" t="n">
        <v>35735</v>
      </c>
      <c r="B448" s="36">
        <f>VLOOKUP(A448,Data!$A:$AH,MATCH(Country!$A$1,Data!$A$1:$AH$1,),)</f>
        <v/>
      </c>
      <c r="C448" s="59">
        <f>IF(B436&gt;0,(Table2[[#This Row],[Country]]-B436)/B436,0)</f>
        <v/>
      </c>
      <c r="D448" s="59">
        <f>IF(Table2[[#This Row],[Country]]&gt;0,(((Table2[[#This Row],[Country]]-B447)/B447)+1)^12-1,"")</f>
        <v/>
      </c>
    </row>
    <row r="449">
      <c r="A449" s="35" t="n">
        <v>35765</v>
      </c>
      <c r="B449" s="36">
        <f>VLOOKUP(A449,Data!$A:$AH,MATCH(Country!$A$1,Data!$A$1:$AH$1,),)</f>
        <v/>
      </c>
      <c r="C449" s="59">
        <f>IF(B437&gt;0,(Table2[[#This Row],[Country]]-B437)/B437,0)</f>
        <v/>
      </c>
      <c r="D449" s="59">
        <f>IF(Table2[[#This Row],[Country]]&gt;0,(((Table2[[#This Row],[Country]]-B448)/B448)+1)^12-1,"")</f>
        <v/>
      </c>
    </row>
    <row r="450">
      <c r="A450" s="35" t="n">
        <v>35796</v>
      </c>
      <c r="B450" s="36">
        <f>VLOOKUP(A450,Data!$A:$AH,MATCH(Country!$A$1,Data!$A$1:$AH$1,),)</f>
        <v/>
      </c>
      <c r="C450" s="59">
        <f>IF(B438&gt;0,(Table2[[#This Row],[Country]]-B438)/B438,0)</f>
        <v/>
      </c>
      <c r="D450" s="59">
        <f>IF(Table2[[#This Row],[Country]]&gt;0,(((Table2[[#This Row],[Country]]-B449)/B449)+1)^12-1,"")</f>
        <v/>
      </c>
    </row>
    <row r="451">
      <c r="A451" s="35" t="n">
        <v>35827</v>
      </c>
      <c r="B451" s="36">
        <f>VLOOKUP(A451,Data!$A:$AH,MATCH(Country!$A$1,Data!$A$1:$AH$1,),)</f>
        <v/>
      </c>
      <c r="C451" s="59">
        <f>IF(B439&gt;0,(Table2[[#This Row],[Country]]-B439)/B439,0)</f>
        <v/>
      </c>
      <c r="D451" s="59">
        <f>IF(Table2[[#This Row],[Country]]&gt;0,(((Table2[[#This Row],[Country]]-B450)/B450)+1)^12-1,"")</f>
        <v/>
      </c>
    </row>
    <row r="452">
      <c r="A452" s="35" t="n">
        <v>35855</v>
      </c>
      <c r="B452" s="36">
        <f>VLOOKUP(A452,Data!$A:$AH,MATCH(Country!$A$1,Data!$A$1:$AH$1,),)</f>
        <v/>
      </c>
      <c r="C452" s="59">
        <f>IF(B440&gt;0,(Table2[[#This Row],[Country]]-B440)/B440,0)</f>
        <v/>
      </c>
      <c r="D452" s="59">
        <f>IF(Table2[[#This Row],[Country]]&gt;0,(((Table2[[#This Row],[Country]]-B451)/B451)+1)^12-1,"")</f>
        <v/>
      </c>
    </row>
    <row r="453">
      <c r="A453" s="35" t="n">
        <v>35886</v>
      </c>
      <c r="B453" s="36">
        <f>VLOOKUP(A453,Data!$A:$AH,MATCH(Country!$A$1,Data!$A$1:$AH$1,),)</f>
        <v/>
      </c>
      <c r="C453" s="59">
        <f>IF(B441&gt;0,(Table2[[#This Row],[Country]]-B441)/B441,0)</f>
        <v/>
      </c>
      <c r="D453" s="59">
        <f>IF(Table2[[#This Row],[Country]]&gt;0,(((Table2[[#This Row],[Country]]-B452)/B452)+1)^12-1,"")</f>
        <v/>
      </c>
    </row>
    <row r="454">
      <c r="A454" s="35" t="n">
        <v>35916</v>
      </c>
      <c r="B454" s="36">
        <f>VLOOKUP(A454,Data!$A:$AH,MATCH(Country!$A$1,Data!$A$1:$AH$1,),)</f>
        <v/>
      </c>
      <c r="C454" s="59">
        <f>IF(B442&gt;0,(Table2[[#This Row],[Country]]-B442)/B442,0)</f>
        <v/>
      </c>
      <c r="D454" s="59">
        <f>IF(Table2[[#This Row],[Country]]&gt;0,(((Table2[[#This Row],[Country]]-B453)/B453)+1)^12-1,"")</f>
        <v/>
      </c>
    </row>
    <row r="455">
      <c r="A455" s="35" t="n">
        <v>35947</v>
      </c>
      <c r="B455" s="36">
        <f>VLOOKUP(A455,Data!$A:$AH,MATCH(Country!$A$1,Data!$A$1:$AH$1,),)</f>
        <v/>
      </c>
      <c r="C455" s="59">
        <f>IF(B443&gt;0,(Table2[[#This Row],[Country]]-B443)/B443,0)</f>
        <v/>
      </c>
      <c r="D455" s="59">
        <f>IF(Table2[[#This Row],[Country]]&gt;0,(((Table2[[#This Row],[Country]]-B454)/B454)+1)^12-1,"")</f>
        <v/>
      </c>
    </row>
    <row r="456">
      <c r="A456" s="35" t="n">
        <v>35977</v>
      </c>
      <c r="B456" s="36">
        <f>VLOOKUP(A456,Data!$A:$AH,MATCH(Country!$A$1,Data!$A$1:$AH$1,),)</f>
        <v/>
      </c>
      <c r="C456" s="59">
        <f>IF(B444&gt;0,(Table2[[#This Row],[Country]]-B444)/B444,0)</f>
        <v/>
      </c>
      <c r="D456" s="59">
        <f>IF(Table2[[#This Row],[Country]]&gt;0,(((Table2[[#This Row],[Country]]-B455)/B455)+1)^12-1,"")</f>
        <v/>
      </c>
    </row>
    <row r="457">
      <c r="A457" s="35" t="n">
        <v>36008</v>
      </c>
      <c r="B457" s="36">
        <f>VLOOKUP(A457,Data!$A:$AH,MATCH(Country!$A$1,Data!$A$1:$AH$1,),)</f>
        <v/>
      </c>
      <c r="C457" s="59">
        <f>IF(B445&gt;0,(Table2[[#This Row],[Country]]-B445)/B445,0)</f>
        <v/>
      </c>
      <c r="D457" s="59">
        <f>IF(Table2[[#This Row],[Country]]&gt;0,(((Table2[[#This Row],[Country]]-B456)/B456)+1)^12-1,"")</f>
        <v/>
      </c>
    </row>
    <row r="458">
      <c r="A458" s="35" t="n">
        <v>36039</v>
      </c>
      <c r="B458" s="36">
        <f>VLOOKUP(A458,Data!$A:$AH,MATCH(Country!$A$1,Data!$A$1:$AH$1,),)</f>
        <v/>
      </c>
      <c r="C458" s="59">
        <f>IF(B446&gt;0,(Table2[[#This Row],[Country]]-B446)/B446,0)</f>
        <v/>
      </c>
      <c r="D458" s="59">
        <f>IF(Table2[[#This Row],[Country]]&gt;0,(((Table2[[#This Row],[Country]]-B457)/B457)+1)^12-1,"")</f>
        <v/>
      </c>
    </row>
    <row r="459">
      <c r="A459" s="35" t="n">
        <v>36069</v>
      </c>
      <c r="B459" s="36">
        <f>VLOOKUP(A459,Data!$A:$AH,MATCH(Country!$A$1,Data!$A$1:$AH$1,),)</f>
        <v/>
      </c>
      <c r="C459" s="59">
        <f>IF(B447&gt;0,(Table2[[#This Row],[Country]]-B447)/B447,0)</f>
        <v/>
      </c>
      <c r="D459" s="59">
        <f>IF(Table2[[#This Row],[Country]]&gt;0,(((Table2[[#This Row],[Country]]-B458)/B458)+1)^12-1,"")</f>
        <v/>
      </c>
    </row>
    <row r="460">
      <c r="A460" s="35" t="n">
        <v>36100</v>
      </c>
      <c r="B460" s="36">
        <f>VLOOKUP(A460,Data!$A:$AH,MATCH(Country!$A$1,Data!$A$1:$AH$1,),)</f>
        <v/>
      </c>
      <c r="C460" s="59">
        <f>IF(B448&gt;0,(Table2[[#This Row],[Country]]-B448)/B448,0)</f>
        <v/>
      </c>
      <c r="D460" s="59">
        <f>IF(Table2[[#This Row],[Country]]&gt;0,(((Table2[[#This Row],[Country]]-B459)/B459)+1)^12-1,"")</f>
        <v/>
      </c>
    </row>
    <row r="461">
      <c r="A461" s="35" t="n">
        <v>36130</v>
      </c>
      <c r="B461" s="36">
        <f>VLOOKUP(A461,Data!$A:$AH,MATCH(Country!$A$1,Data!$A$1:$AH$1,),)</f>
        <v/>
      </c>
      <c r="C461" s="59">
        <f>IF(B449&gt;0,(Table2[[#This Row],[Country]]-B449)/B449,0)</f>
        <v/>
      </c>
      <c r="D461" s="59">
        <f>IF(Table2[[#This Row],[Country]]&gt;0,(((Table2[[#This Row],[Country]]-B460)/B460)+1)^12-1,"")</f>
        <v/>
      </c>
    </row>
    <row r="462">
      <c r="A462" s="35" t="n">
        <v>36161</v>
      </c>
      <c r="B462" s="36">
        <f>VLOOKUP(A462,Data!$A:$AH,MATCH(Country!$A$1,Data!$A$1:$AH$1,),)</f>
        <v/>
      </c>
      <c r="C462" s="59">
        <f>IF(B450&gt;0,(Table2[[#This Row],[Country]]-B450)/B450,0)</f>
        <v/>
      </c>
      <c r="D462" s="59">
        <f>IF(Table2[[#This Row],[Country]]&gt;0,(((Table2[[#This Row],[Country]]-B461)/B461)+1)^12-1,"")</f>
        <v/>
      </c>
    </row>
    <row r="463">
      <c r="A463" s="35" t="n">
        <v>36192</v>
      </c>
      <c r="B463" s="36">
        <f>VLOOKUP(A463,Data!$A:$AH,MATCH(Country!$A$1,Data!$A$1:$AH$1,),)</f>
        <v/>
      </c>
      <c r="C463" s="59">
        <f>IF(B451&gt;0,(Table2[[#This Row],[Country]]-B451)/B451,0)</f>
        <v/>
      </c>
      <c r="D463" s="59">
        <f>IF(Table2[[#This Row],[Country]]&gt;0,(((Table2[[#This Row],[Country]]-B462)/B462)+1)^12-1,"")</f>
        <v/>
      </c>
    </row>
    <row r="464">
      <c r="A464" s="35" t="n">
        <v>36220</v>
      </c>
      <c r="B464" s="36">
        <f>VLOOKUP(A464,Data!$A:$AH,MATCH(Country!$A$1,Data!$A$1:$AH$1,),)</f>
        <v/>
      </c>
      <c r="C464" s="59">
        <f>IF(B452&gt;0,(Table2[[#This Row],[Country]]-B452)/B452,0)</f>
        <v/>
      </c>
      <c r="D464" s="59">
        <f>IF(Table2[[#This Row],[Country]]&gt;0,(((Table2[[#This Row],[Country]]-B463)/B463)+1)^12-1,"")</f>
        <v/>
      </c>
    </row>
    <row r="465">
      <c r="A465" s="35" t="n">
        <v>36251</v>
      </c>
      <c r="B465" s="36">
        <f>VLOOKUP(A465,Data!$A:$AH,MATCH(Country!$A$1,Data!$A$1:$AH$1,),)</f>
        <v/>
      </c>
      <c r="C465" s="59">
        <f>IF(B453&gt;0,(Table2[[#This Row],[Country]]-B453)/B453,0)</f>
        <v/>
      </c>
      <c r="D465" s="59">
        <f>IF(Table2[[#This Row],[Country]]&gt;0,(((Table2[[#This Row],[Country]]-B464)/B464)+1)^12-1,"")</f>
        <v/>
      </c>
    </row>
    <row r="466">
      <c r="A466" s="35" t="n">
        <v>36281</v>
      </c>
      <c r="B466" s="36">
        <f>VLOOKUP(A466,Data!$A:$AH,MATCH(Country!$A$1,Data!$A$1:$AH$1,),)</f>
        <v/>
      </c>
      <c r="C466" s="59">
        <f>IF(B454&gt;0,(Table2[[#This Row],[Country]]-B454)/B454,0)</f>
        <v/>
      </c>
      <c r="D466" s="59">
        <f>IF(Table2[[#This Row],[Country]]&gt;0,(((Table2[[#This Row],[Country]]-B465)/B465)+1)^12-1,"")</f>
        <v/>
      </c>
    </row>
    <row r="467">
      <c r="A467" s="35" t="n">
        <v>36312</v>
      </c>
      <c r="B467" s="36">
        <f>VLOOKUP(A467,Data!$A:$AH,MATCH(Country!$A$1,Data!$A$1:$AH$1,),)</f>
        <v/>
      </c>
      <c r="C467" s="59">
        <f>IF(B455&gt;0,(Table2[[#This Row],[Country]]-B455)/B455,0)</f>
        <v/>
      </c>
      <c r="D467" s="59">
        <f>IF(Table2[[#This Row],[Country]]&gt;0,(((Table2[[#This Row],[Country]]-B466)/B466)+1)^12-1,"")</f>
        <v/>
      </c>
    </row>
    <row r="468">
      <c r="A468" s="35" t="n">
        <v>36342</v>
      </c>
      <c r="B468" s="36">
        <f>VLOOKUP(A468,Data!$A:$AH,MATCH(Country!$A$1,Data!$A$1:$AH$1,),)</f>
        <v/>
      </c>
      <c r="C468" s="59">
        <f>IF(B456&gt;0,(Table2[[#This Row],[Country]]-B456)/B456,0)</f>
        <v/>
      </c>
      <c r="D468" s="59">
        <f>IF(Table2[[#This Row],[Country]]&gt;0,(((Table2[[#This Row],[Country]]-B467)/B467)+1)^12-1,"")</f>
        <v/>
      </c>
    </row>
    <row r="469">
      <c r="A469" s="35" t="n">
        <v>36373</v>
      </c>
      <c r="B469" s="36">
        <f>VLOOKUP(A469,Data!$A:$AH,MATCH(Country!$A$1,Data!$A$1:$AH$1,),)</f>
        <v/>
      </c>
      <c r="C469" s="59">
        <f>IF(B457&gt;0,(Table2[[#This Row],[Country]]-B457)/B457,0)</f>
        <v/>
      </c>
      <c r="D469" s="59">
        <f>IF(Table2[[#This Row],[Country]]&gt;0,(((Table2[[#This Row],[Country]]-B468)/B468)+1)^12-1,"")</f>
        <v/>
      </c>
    </row>
    <row r="470">
      <c r="A470" s="35" t="n">
        <v>36404</v>
      </c>
      <c r="B470" s="36">
        <f>VLOOKUP(A470,Data!$A:$AH,MATCH(Country!$A$1,Data!$A$1:$AH$1,),)</f>
        <v/>
      </c>
      <c r="C470" s="59">
        <f>IF(B458&gt;0,(Table2[[#This Row],[Country]]-B458)/B458,0)</f>
        <v/>
      </c>
      <c r="D470" s="59">
        <f>IF(Table2[[#This Row],[Country]]&gt;0,(((Table2[[#This Row],[Country]]-B469)/B469)+1)^12-1,"")</f>
        <v/>
      </c>
    </row>
    <row r="471">
      <c r="A471" s="35" t="n">
        <v>36434</v>
      </c>
      <c r="B471" s="36">
        <f>VLOOKUP(A471,Data!$A:$AH,MATCH(Country!$A$1,Data!$A$1:$AH$1,),)</f>
        <v/>
      </c>
      <c r="C471" s="59">
        <f>IF(B459&gt;0,(Table2[[#This Row],[Country]]-B459)/B459,0)</f>
        <v/>
      </c>
      <c r="D471" s="59">
        <f>IF(Table2[[#This Row],[Country]]&gt;0,(((Table2[[#This Row],[Country]]-B470)/B470)+1)^12-1,"")</f>
        <v/>
      </c>
    </row>
    <row r="472">
      <c r="A472" s="35" t="n">
        <v>36465</v>
      </c>
      <c r="B472" s="36">
        <f>VLOOKUP(A472,Data!$A:$AH,MATCH(Country!$A$1,Data!$A$1:$AH$1,),)</f>
        <v/>
      </c>
      <c r="C472" s="59">
        <f>IF(B460&gt;0,(Table2[[#This Row],[Country]]-B460)/B460,0)</f>
        <v/>
      </c>
      <c r="D472" s="59">
        <f>IF(Table2[[#This Row],[Country]]&gt;0,(((Table2[[#This Row],[Country]]-B471)/B471)+1)^12-1,"")</f>
        <v/>
      </c>
    </row>
    <row r="473">
      <c r="A473" s="35" t="n">
        <v>36495</v>
      </c>
      <c r="B473" s="36">
        <f>VLOOKUP(A473,Data!$A:$AH,MATCH(Country!$A$1,Data!$A$1:$AH$1,),)</f>
        <v/>
      </c>
      <c r="C473" s="59">
        <f>IF(B461&gt;0,(Table2[[#This Row],[Country]]-B461)/B461,0)</f>
        <v/>
      </c>
      <c r="D473" s="59">
        <f>IF(Table2[[#This Row],[Country]]&gt;0,(((Table2[[#This Row],[Country]]-B472)/B472)+1)^12-1,"")</f>
        <v/>
      </c>
    </row>
    <row r="474">
      <c r="A474" s="35" t="n">
        <v>36526</v>
      </c>
      <c r="B474" s="36">
        <f>VLOOKUP(A474,Data!$A:$AH,MATCH(Country!$A$1,Data!$A$1:$AH$1,),)</f>
        <v/>
      </c>
      <c r="C474" s="59">
        <f>IF(B462&gt;0,(Table2[[#This Row],[Country]]-B462)/B462,0)</f>
        <v/>
      </c>
      <c r="D474" s="59">
        <f>IF(Table2[[#This Row],[Country]]&gt;0,(((Table2[[#This Row],[Country]]-B473)/B473)+1)^12-1,"")</f>
        <v/>
      </c>
    </row>
    <row r="475">
      <c r="A475" s="35" t="n">
        <v>36557</v>
      </c>
      <c r="B475" s="36">
        <f>VLOOKUP(A475,Data!$A:$AH,MATCH(Country!$A$1,Data!$A$1:$AH$1,),)</f>
        <v/>
      </c>
      <c r="C475" s="59">
        <f>IF(B463&gt;0,(Table2[[#This Row],[Country]]-B463)/B463,0)</f>
        <v/>
      </c>
      <c r="D475" s="59">
        <f>IF(Table2[[#This Row],[Country]]&gt;0,(((Table2[[#This Row],[Country]]-B474)/B474)+1)^12-1,"")</f>
        <v/>
      </c>
    </row>
    <row r="476">
      <c r="A476" s="35" t="n">
        <v>36586</v>
      </c>
      <c r="B476" s="36">
        <f>VLOOKUP(A476,Data!$A:$AH,MATCH(Country!$A$1,Data!$A$1:$AH$1,),)</f>
        <v/>
      </c>
      <c r="C476" s="59">
        <f>IF(B464&gt;0,(Table2[[#This Row],[Country]]-B464)/B464,0)</f>
        <v/>
      </c>
      <c r="D476" s="59">
        <f>IF(Table2[[#This Row],[Country]]&gt;0,(((Table2[[#This Row],[Country]]-B475)/B475)+1)^12-1,"")</f>
        <v/>
      </c>
    </row>
    <row r="477">
      <c r="A477" s="35" t="n">
        <v>36617</v>
      </c>
      <c r="B477" s="36">
        <f>VLOOKUP(A477,Data!$A:$AH,MATCH(Country!$A$1,Data!$A$1:$AH$1,),)</f>
        <v/>
      </c>
      <c r="C477" s="59">
        <f>IF(B465&gt;0,(Table2[[#This Row],[Country]]-B465)/B465,0)</f>
        <v/>
      </c>
      <c r="D477" s="59">
        <f>IF(Table2[[#This Row],[Country]]&gt;0,(((Table2[[#This Row],[Country]]-B476)/B476)+1)^12-1,"")</f>
        <v/>
      </c>
    </row>
    <row r="478">
      <c r="A478" s="35" t="n">
        <v>36647</v>
      </c>
      <c r="B478" s="36">
        <f>VLOOKUP(A478,Data!$A:$AH,MATCH(Country!$A$1,Data!$A$1:$AH$1,),)</f>
        <v/>
      </c>
      <c r="C478" s="59">
        <f>IF(B466&gt;0,(Table2[[#This Row],[Country]]-B466)/B466,0)</f>
        <v/>
      </c>
      <c r="D478" s="59">
        <f>IF(Table2[[#This Row],[Country]]&gt;0,(((Table2[[#This Row],[Country]]-B477)/B477)+1)^12-1,"")</f>
        <v/>
      </c>
    </row>
    <row r="479">
      <c r="A479" s="35" t="n">
        <v>36678</v>
      </c>
      <c r="B479" s="36">
        <f>VLOOKUP(A479,Data!$A:$AH,MATCH(Country!$A$1,Data!$A$1:$AH$1,),)</f>
        <v/>
      </c>
      <c r="C479" s="59">
        <f>IF(B467&gt;0,(Table2[[#This Row],[Country]]-B467)/B467,0)</f>
        <v/>
      </c>
      <c r="D479" s="59">
        <f>IF(Table2[[#This Row],[Country]]&gt;0,(((Table2[[#This Row],[Country]]-B478)/B478)+1)^12-1,"")</f>
        <v/>
      </c>
    </row>
    <row r="480">
      <c r="A480" s="35" t="n">
        <v>36708</v>
      </c>
      <c r="B480" s="36">
        <f>VLOOKUP(A480,Data!$A:$AH,MATCH(Country!$A$1,Data!$A$1:$AH$1,),)</f>
        <v/>
      </c>
      <c r="C480" s="59">
        <f>IF(B468&gt;0,(Table2[[#This Row],[Country]]-B468)/B468,0)</f>
        <v/>
      </c>
      <c r="D480" s="59">
        <f>IF(Table2[[#This Row],[Country]]&gt;0,(((Table2[[#This Row],[Country]]-B479)/B479)+1)^12-1,"")</f>
        <v/>
      </c>
    </row>
    <row r="481">
      <c r="A481" s="35" t="n">
        <v>36739</v>
      </c>
      <c r="B481" s="36">
        <f>VLOOKUP(A481,Data!$A:$AH,MATCH(Country!$A$1,Data!$A$1:$AH$1,),)</f>
        <v/>
      </c>
      <c r="C481" s="59">
        <f>IF(B469&gt;0,(Table2[[#This Row],[Country]]-B469)/B469,0)</f>
        <v/>
      </c>
      <c r="D481" s="59">
        <f>IF(Table2[[#This Row],[Country]]&gt;0,(((Table2[[#This Row],[Country]]-B480)/B480)+1)^12-1,"")</f>
        <v/>
      </c>
    </row>
    <row r="482">
      <c r="A482" s="35" t="n">
        <v>36770</v>
      </c>
      <c r="B482" s="36">
        <f>VLOOKUP(A482,Data!$A:$AH,MATCH(Country!$A$1,Data!$A$1:$AH$1,),)</f>
        <v/>
      </c>
      <c r="C482" s="59">
        <f>IF(B470&gt;0,(Table2[[#This Row],[Country]]-B470)/B470,0)</f>
        <v/>
      </c>
      <c r="D482" s="59">
        <f>IF(Table2[[#This Row],[Country]]&gt;0,(((Table2[[#This Row],[Country]]-B481)/B481)+1)^12-1,"")</f>
        <v/>
      </c>
    </row>
    <row r="483">
      <c r="A483" s="35" t="n">
        <v>36800</v>
      </c>
      <c r="B483" s="36">
        <f>VLOOKUP(A483,Data!$A:$AH,MATCH(Country!$A$1,Data!$A$1:$AH$1,),)</f>
        <v/>
      </c>
      <c r="C483" s="59">
        <f>IF(B471&gt;0,(Table2[[#This Row],[Country]]-B471)/B471,0)</f>
        <v/>
      </c>
      <c r="D483" s="59">
        <f>IF(Table2[[#This Row],[Country]]&gt;0,(((Table2[[#This Row],[Country]]-B482)/B482)+1)^12-1,"")</f>
        <v/>
      </c>
    </row>
    <row r="484">
      <c r="A484" s="35" t="n">
        <v>36831</v>
      </c>
      <c r="B484" s="36">
        <f>VLOOKUP(A484,Data!$A:$AH,MATCH(Country!$A$1,Data!$A$1:$AH$1,),)</f>
        <v/>
      </c>
      <c r="C484" s="59">
        <f>IF(B472&gt;0,(Table2[[#This Row],[Country]]-B472)/B472,0)</f>
        <v/>
      </c>
      <c r="D484" s="59">
        <f>IF(Table2[[#This Row],[Country]]&gt;0,(((Table2[[#This Row],[Country]]-B483)/B483)+1)^12-1,"")</f>
        <v/>
      </c>
    </row>
    <row r="485">
      <c r="A485" s="35" t="n">
        <v>36861</v>
      </c>
      <c r="B485" s="36">
        <f>VLOOKUP(A485,Data!$A:$AH,MATCH(Country!$A$1,Data!$A$1:$AH$1,),)</f>
        <v/>
      </c>
      <c r="C485" s="59">
        <f>IF(B473&gt;0,(Table2[[#This Row],[Country]]-B473)/B473,0)</f>
        <v/>
      </c>
      <c r="D485" s="59">
        <f>IF(Table2[[#This Row],[Country]]&gt;0,(((Table2[[#This Row],[Country]]-B484)/B484)+1)^12-1,"")</f>
        <v/>
      </c>
    </row>
    <row r="486">
      <c r="A486" s="35" t="n">
        <v>36892</v>
      </c>
      <c r="B486" s="36">
        <f>VLOOKUP(A486,Data!$A:$AH,MATCH(Country!$A$1,Data!$A$1:$AH$1,),)</f>
        <v/>
      </c>
      <c r="C486" s="59">
        <f>IF(B474&gt;0,(Table2[[#This Row],[Country]]-B474)/B474,0)</f>
        <v/>
      </c>
      <c r="D486" s="59">
        <f>IF(Table2[[#This Row],[Country]]&gt;0,(((Table2[[#This Row],[Country]]-B485)/B485)+1)^12-1,"")</f>
        <v/>
      </c>
    </row>
    <row r="487">
      <c r="A487" s="35" t="n">
        <v>36923</v>
      </c>
      <c r="B487" s="36">
        <f>VLOOKUP(A487,Data!$A:$AH,MATCH(Country!$A$1,Data!$A$1:$AH$1,),)</f>
        <v/>
      </c>
      <c r="C487" s="59">
        <f>IF(B475&gt;0,(Table2[[#This Row],[Country]]-B475)/B475,0)</f>
        <v/>
      </c>
      <c r="D487" s="59">
        <f>IF(Table2[[#This Row],[Country]]&gt;0,(((Table2[[#This Row],[Country]]-B486)/B486)+1)^12-1,"")</f>
        <v/>
      </c>
    </row>
    <row r="488">
      <c r="A488" s="35" t="n">
        <v>36951</v>
      </c>
      <c r="B488" s="36">
        <f>VLOOKUP(A488,Data!$A:$AH,MATCH(Country!$A$1,Data!$A$1:$AH$1,),)</f>
        <v/>
      </c>
      <c r="C488" s="59">
        <f>IF(B476&gt;0,(Table2[[#This Row],[Country]]-B476)/B476,0)</f>
        <v/>
      </c>
      <c r="D488" s="59">
        <f>IF(Table2[[#This Row],[Country]]&gt;0,(((Table2[[#This Row],[Country]]-B487)/B487)+1)^12-1,"")</f>
        <v/>
      </c>
    </row>
    <row r="489">
      <c r="A489" s="35" t="n">
        <v>36982</v>
      </c>
      <c r="B489" s="36">
        <f>VLOOKUP(A489,Data!$A:$AH,MATCH(Country!$A$1,Data!$A$1:$AH$1,),)</f>
        <v/>
      </c>
      <c r="C489" s="59">
        <f>IF(B477&gt;0,(Table2[[#This Row],[Country]]-B477)/B477,0)</f>
        <v/>
      </c>
      <c r="D489" s="59">
        <f>IF(Table2[[#This Row],[Country]]&gt;0,(((Table2[[#This Row],[Country]]-B488)/B488)+1)^12-1,"")</f>
        <v/>
      </c>
    </row>
    <row r="490">
      <c r="A490" s="35" t="n">
        <v>37012</v>
      </c>
      <c r="B490" s="36">
        <f>VLOOKUP(A490,Data!$A:$AH,MATCH(Country!$A$1,Data!$A$1:$AH$1,),)</f>
        <v/>
      </c>
      <c r="C490" s="59">
        <f>IF(B478&gt;0,(Table2[[#This Row],[Country]]-B478)/B478,0)</f>
        <v/>
      </c>
      <c r="D490" s="59">
        <f>IF(Table2[[#This Row],[Country]]&gt;0,(((Table2[[#This Row],[Country]]-B489)/B489)+1)^12-1,"")</f>
        <v/>
      </c>
    </row>
    <row r="491">
      <c r="A491" s="35" t="n">
        <v>37043</v>
      </c>
      <c r="B491" s="36">
        <f>VLOOKUP(A491,Data!$A:$AH,MATCH(Country!$A$1,Data!$A$1:$AH$1,),)</f>
        <v/>
      </c>
      <c r="C491" s="59">
        <f>IF(B479&gt;0,(Table2[[#This Row],[Country]]-B479)/B479,0)</f>
        <v/>
      </c>
      <c r="D491" s="59">
        <f>IF(Table2[[#This Row],[Country]]&gt;0,(((Table2[[#This Row],[Country]]-B490)/B490)+1)^12-1,"")</f>
        <v/>
      </c>
    </row>
    <row r="492">
      <c r="A492" s="35" t="n">
        <v>37073</v>
      </c>
      <c r="B492" s="36">
        <f>VLOOKUP(A492,Data!$A:$AH,MATCH(Country!$A$1,Data!$A$1:$AH$1,),)</f>
        <v/>
      </c>
      <c r="C492" s="59">
        <f>IF(B480&gt;0,(Table2[[#This Row],[Country]]-B480)/B480,0)</f>
        <v/>
      </c>
      <c r="D492" s="59">
        <f>IF(Table2[[#This Row],[Country]]&gt;0,(((Table2[[#This Row],[Country]]-B491)/B491)+1)^12-1,"")</f>
        <v/>
      </c>
    </row>
    <row r="493">
      <c r="A493" s="35" t="n">
        <v>37104</v>
      </c>
      <c r="B493" s="36">
        <f>VLOOKUP(A493,Data!$A:$AH,MATCH(Country!$A$1,Data!$A$1:$AH$1,),)</f>
        <v/>
      </c>
      <c r="C493" s="59">
        <f>IF(B481&gt;0,(Table2[[#This Row],[Country]]-B481)/B481,0)</f>
        <v/>
      </c>
      <c r="D493" s="59">
        <f>IF(Table2[[#This Row],[Country]]&gt;0,(((Table2[[#This Row],[Country]]-B492)/B492)+1)^12-1,"")</f>
        <v/>
      </c>
    </row>
    <row r="494">
      <c r="A494" s="35" t="n">
        <v>37135</v>
      </c>
      <c r="B494" s="36">
        <f>VLOOKUP(A494,Data!$A:$AH,MATCH(Country!$A$1,Data!$A$1:$AH$1,),)</f>
        <v/>
      </c>
      <c r="C494" s="59">
        <f>IF(B482&gt;0,(Table2[[#This Row],[Country]]-B482)/B482,0)</f>
        <v/>
      </c>
      <c r="D494" s="59">
        <f>IF(Table2[[#This Row],[Country]]&gt;0,(((Table2[[#This Row],[Country]]-B493)/B493)+1)^12-1,"")</f>
        <v/>
      </c>
    </row>
    <row r="495">
      <c r="A495" s="35" t="n">
        <v>37165</v>
      </c>
      <c r="B495" s="36">
        <f>VLOOKUP(A495,Data!$A:$AH,MATCH(Country!$A$1,Data!$A$1:$AH$1,),)</f>
        <v/>
      </c>
      <c r="C495" s="59">
        <f>IF(B483&gt;0,(Table2[[#This Row],[Country]]-B483)/B483,0)</f>
        <v/>
      </c>
      <c r="D495" s="59">
        <f>IF(Table2[[#This Row],[Country]]&gt;0,(((Table2[[#This Row],[Country]]-B494)/B494)+1)^12-1,"")</f>
        <v/>
      </c>
    </row>
    <row r="496">
      <c r="A496" s="35" t="n">
        <v>37196</v>
      </c>
      <c r="B496" s="36">
        <f>VLOOKUP(A496,Data!$A:$AH,MATCH(Country!$A$1,Data!$A$1:$AH$1,),)</f>
        <v/>
      </c>
      <c r="C496" s="59">
        <f>IF(B484&gt;0,(Table2[[#This Row],[Country]]-B484)/B484,0)</f>
        <v/>
      </c>
      <c r="D496" s="59">
        <f>IF(Table2[[#This Row],[Country]]&gt;0,(((Table2[[#This Row],[Country]]-B495)/B495)+1)^12-1,"")</f>
        <v/>
      </c>
    </row>
    <row r="497">
      <c r="A497" s="35" t="n">
        <v>37226</v>
      </c>
      <c r="B497" s="36">
        <f>VLOOKUP(A497,Data!$A:$AH,MATCH(Country!$A$1,Data!$A$1:$AH$1,),)</f>
        <v/>
      </c>
      <c r="C497" s="59">
        <f>IF(B485&gt;0,(Table2[[#This Row],[Country]]-B485)/B485,0)</f>
        <v/>
      </c>
      <c r="D497" s="59">
        <f>IF(Table2[[#This Row],[Country]]&gt;0,(((Table2[[#This Row],[Country]]-B496)/B496)+1)^12-1,"")</f>
        <v/>
      </c>
    </row>
    <row r="498">
      <c r="A498" s="35" t="n">
        <v>37257</v>
      </c>
      <c r="B498" s="36">
        <f>VLOOKUP(A498,Data!$A:$AH,MATCH(Country!$A$1,Data!$A$1:$AH$1,),)</f>
        <v/>
      </c>
      <c r="C498" s="59">
        <f>IF(B486&gt;0,(Table2[[#This Row],[Country]]-B486)/B486,0)</f>
        <v/>
      </c>
      <c r="D498" s="59">
        <f>IF(Table2[[#This Row],[Country]]&gt;0,(((Table2[[#This Row],[Country]]-B497)/B497)+1)^12-1,"")</f>
        <v/>
      </c>
    </row>
    <row r="499">
      <c r="A499" s="35" t="n">
        <v>37288</v>
      </c>
      <c r="B499" s="36">
        <f>VLOOKUP(A499,Data!$A:$AH,MATCH(Country!$A$1,Data!$A$1:$AH$1,),)</f>
        <v/>
      </c>
      <c r="C499" s="59">
        <f>IF(B487&gt;0,(Table2[[#This Row],[Country]]-B487)/B487,0)</f>
        <v/>
      </c>
      <c r="D499" s="59">
        <f>IF(Table2[[#This Row],[Country]]&gt;0,(((Table2[[#This Row],[Country]]-B498)/B498)+1)^12-1,"")</f>
        <v/>
      </c>
    </row>
    <row r="500">
      <c r="A500" s="35" t="n">
        <v>37316</v>
      </c>
      <c r="B500" s="36">
        <f>VLOOKUP(A500,Data!$A:$AH,MATCH(Country!$A$1,Data!$A$1:$AH$1,),)</f>
        <v/>
      </c>
      <c r="C500" s="59">
        <f>IF(B488&gt;0,(Table2[[#This Row],[Country]]-B488)/B488,0)</f>
        <v/>
      </c>
      <c r="D500" s="59">
        <f>IF(Table2[[#This Row],[Country]]&gt;0,(((Table2[[#This Row],[Country]]-B499)/B499)+1)^12-1,"")</f>
        <v/>
      </c>
    </row>
    <row r="501">
      <c r="A501" s="35" t="n">
        <v>37347</v>
      </c>
      <c r="B501" s="36">
        <f>VLOOKUP(A501,Data!$A:$AH,MATCH(Country!$A$1,Data!$A$1:$AH$1,),)</f>
        <v/>
      </c>
      <c r="C501" s="59">
        <f>IF(B489&gt;0,(Table2[[#This Row],[Country]]-B489)/B489,0)</f>
        <v/>
      </c>
      <c r="D501" s="59">
        <f>IF(Table2[[#This Row],[Country]]&gt;0,(((Table2[[#This Row],[Country]]-B500)/B500)+1)^12-1,"")</f>
        <v/>
      </c>
    </row>
    <row r="502">
      <c r="A502" s="35" t="n">
        <v>37377</v>
      </c>
      <c r="B502" s="36">
        <f>VLOOKUP(A502,Data!$A:$AH,MATCH(Country!$A$1,Data!$A$1:$AH$1,),)</f>
        <v/>
      </c>
      <c r="C502" s="59">
        <f>IF(B490&gt;0,(Table2[[#This Row],[Country]]-B490)/B490,0)</f>
        <v/>
      </c>
      <c r="D502" s="59">
        <f>IF(Table2[[#This Row],[Country]]&gt;0,(((Table2[[#This Row],[Country]]-B501)/B501)+1)^12-1,"")</f>
        <v/>
      </c>
    </row>
    <row r="503">
      <c r="A503" s="35" t="n">
        <v>37408</v>
      </c>
      <c r="B503" s="36">
        <f>VLOOKUP(A503,Data!$A:$AH,MATCH(Country!$A$1,Data!$A$1:$AH$1,),)</f>
        <v/>
      </c>
      <c r="C503" s="59">
        <f>IF(B491&gt;0,(Table2[[#This Row],[Country]]-B491)/B491,0)</f>
        <v/>
      </c>
      <c r="D503" s="59">
        <f>IF(Table2[[#This Row],[Country]]&gt;0,(((Table2[[#This Row],[Country]]-B502)/B502)+1)^12-1,"")</f>
        <v/>
      </c>
    </row>
    <row r="504">
      <c r="A504" s="35" t="n">
        <v>37438</v>
      </c>
      <c r="B504" s="36">
        <f>VLOOKUP(A504,Data!$A:$AH,MATCH(Country!$A$1,Data!$A$1:$AH$1,),)</f>
        <v/>
      </c>
      <c r="C504" s="59">
        <f>IF(B492&gt;0,(Table2[[#This Row],[Country]]-B492)/B492,0)</f>
        <v/>
      </c>
      <c r="D504" s="59">
        <f>IF(Table2[[#This Row],[Country]]&gt;0,(((Table2[[#This Row],[Country]]-B503)/B503)+1)^12-1,"")</f>
        <v/>
      </c>
    </row>
    <row r="505">
      <c r="A505" s="35" t="n">
        <v>37469</v>
      </c>
      <c r="B505" s="36">
        <f>VLOOKUP(A505,Data!$A:$AH,MATCH(Country!$A$1,Data!$A$1:$AH$1,),)</f>
        <v/>
      </c>
      <c r="C505" s="59">
        <f>IF(B493&gt;0,(Table2[[#This Row],[Country]]-B493)/B493,0)</f>
        <v/>
      </c>
      <c r="D505" s="59">
        <f>IF(Table2[[#This Row],[Country]]&gt;0,(((Table2[[#This Row],[Country]]-B504)/B504)+1)^12-1,"")</f>
        <v/>
      </c>
    </row>
    <row r="506">
      <c r="A506" s="35" t="n">
        <v>37500</v>
      </c>
      <c r="B506" s="36">
        <f>VLOOKUP(A506,Data!$A:$AH,MATCH(Country!$A$1,Data!$A$1:$AH$1,),)</f>
        <v/>
      </c>
      <c r="C506" s="59">
        <f>IF(B494&gt;0,(Table2[[#This Row],[Country]]-B494)/B494,0)</f>
        <v/>
      </c>
      <c r="D506" s="59">
        <f>IF(Table2[[#This Row],[Country]]&gt;0,(((Table2[[#This Row],[Country]]-B505)/B505)+1)^12-1,"")</f>
        <v/>
      </c>
    </row>
    <row r="507">
      <c r="A507" s="35" t="n">
        <v>37530</v>
      </c>
      <c r="B507" s="36">
        <f>VLOOKUP(A507,Data!$A:$AH,MATCH(Country!$A$1,Data!$A$1:$AH$1,),)</f>
        <v/>
      </c>
      <c r="C507" s="59">
        <f>IF(B495&gt;0,(Table2[[#This Row],[Country]]-B495)/B495,0)</f>
        <v/>
      </c>
      <c r="D507" s="59">
        <f>IF(Table2[[#This Row],[Country]]&gt;0,(((Table2[[#This Row],[Country]]-B506)/B506)+1)^12-1,"")</f>
        <v/>
      </c>
    </row>
    <row r="508">
      <c r="A508" s="35" t="n">
        <v>37561</v>
      </c>
      <c r="B508" s="36">
        <f>VLOOKUP(A508,Data!$A:$AH,MATCH(Country!$A$1,Data!$A$1:$AH$1,),)</f>
        <v/>
      </c>
      <c r="C508" s="59">
        <f>IF(B496&gt;0,(Table2[[#This Row],[Country]]-B496)/B496,0)</f>
        <v/>
      </c>
      <c r="D508" s="59">
        <f>IF(Table2[[#This Row],[Country]]&gt;0,(((Table2[[#This Row],[Country]]-B507)/B507)+1)^12-1,"")</f>
        <v/>
      </c>
    </row>
    <row r="509">
      <c r="A509" s="35" t="n">
        <v>37591</v>
      </c>
      <c r="B509" s="36">
        <f>VLOOKUP(A509,Data!$A:$AH,MATCH(Country!$A$1,Data!$A$1:$AH$1,),)</f>
        <v/>
      </c>
      <c r="C509" s="59">
        <f>IF(B497&gt;0,(Table2[[#This Row],[Country]]-B497)/B497,0)</f>
        <v/>
      </c>
      <c r="D509" s="59">
        <f>IF(Table2[[#This Row],[Country]]&gt;0,(((Table2[[#This Row],[Country]]-B508)/B508)+1)^12-1,"")</f>
        <v/>
      </c>
    </row>
    <row r="510">
      <c r="A510" s="35" t="n">
        <v>37622</v>
      </c>
      <c r="B510" s="36">
        <f>VLOOKUP(A510,Data!$A:$AH,MATCH(Country!$A$1,Data!$A$1:$AH$1,),)</f>
        <v/>
      </c>
      <c r="C510" s="59">
        <f>IF(B498&gt;0,(Table2[[#This Row],[Country]]-B498)/B498,0)</f>
        <v/>
      </c>
      <c r="D510" s="59">
        <f>IF(Table2[[#This Row],[Country]]&gt;0,(((Table2[[#This Row],[Country]]-B509)/B509)+1)^12-1,"")</f>
        <v/>
      </c>
    </row>
    <row r="511">
      <c r="A511" s="35" t="n">
        <v>37653</v>
      </c>
      <c r="B511" s="36">
        <f>VLOOKUP(A511,Data!$A:$AH,MATCH(Country!$A$1,Data!$A$1:$AH$1,),)</f>
        <v/>
      </c>
      <c r="C511" s="59">
        <f>IF(B499&gt;0,(Table2[[#This Row],[Country]]-B499)/B499,0)</f>
        <v/>
      </c>
      <c r="D511" s="59">
        <f>IF(Table2[[#This Row],[Country]]&gt;0,(((Table2[[#This Row],[Country]]-B510)/B510)+1)^12-1,"")</f>
        <v/>
      </c>
    </row>
    <row r="512">
      <c r="A512" s="35" t="n">
        <v>37681</v>
      </c>
      <c r="B512" s="36">
        <f>VLOOKUP(A512,Data!$A:$AH,MATCH(Country!$A$1,Data!$A$1:$AH$1,),)</f>
        <v/>
      </c>
      <c r="C512" s="59">
        <f>IF(B500&gt;0,(Table2[[#This Row],[Country]]-B500)/B500,0)</f>
        <v/>
      </c>
      <c r="D512" s="59">
        <f>IF(Table2[[#This Row],[Country]]&gt;0,(((Table2[[#This Row],[Country]]-B511)/B511)+1)^12-1,"")</f>
        <v/>
      </c>
    </row>
    <row r="513">
      <c r="A513" s="35" t="n">
        <v>37712</v>
      </c>
      <c r="B513" s="36">
        <f>VLOOKUP(A513,Data!$A:$AH,MATCH(Country!$A$1,Data!$A$1:$AH$1,),)</f>
        <v/>
      </c>
      <c r="C513" s="59">
        <f>IF(B501&gt;0,(Table2[[#This Row],[Country]]-B501)/B501,0)</f>
        <v/>
      </c>
      <c r="D513" s="59">
        <f>IF(Table2[[#This Row],[Country]]&gt;0,(((Table2[[#This Row],[Country]]-B512)/B512)+1)^12-1,"")</f>
        <v/>
      </c>
    </row>
    <row r="514">
      <c r="A514" s="35" t="n">
        <v>37742</v>
      </c>
      <c r="B514" s="36">
        <f>VLOOKUP(A514,Data!$A:$AH,MATCH(Country!$A$1,Data!$A$1:$AH$1,),)</f>
        <v/>
      </c>
      <c r="C514" s="59">
        <f>IF(B502&gt;0,(Table2[[#This Row],[Country]]-B502)/B502,0)</f>
        <v/>
      </c>
      <c r="D514" s="59">
        <f>IF(Table2[[#This Row],[Country]]&gt;0,(((Table2[[#This Row],[Country]]-B513)/B513)+1)^12-1,"")</f>
        <v/>
      </c>
    </row>
    <row r="515">
      <c r="A515" s="35" t="n">
        <v>37773</v>
      </c>
      <c r="B515" s="36">
        <f>VLOOKUP(A515,Data!$A:$AH,MATCH(Country!$A$1,Data!$A$1:$AH$1,),)</f>
        <v/>
      </c>
      <c r="C515" s="59">
        <f>IF(B503&gt;0,(Table2[[#This Row],[Country]]-B503)/B503,0)</f>
        <v/>
      </c>
      <c r="D515" s="59">
        <f>IF(Table2[[#This Row],[Country]]&gt;0,(((Table2[[#This Row],[Country]]-B514)/B514)+1)^12-1,"")</f>
        <v/>
      </c>
    </row>
    <row r="516">
      <c r="A516" s="35" t="n">
        <v>37803</v>
      </c>
      <c r="B516" s="36">
        <f>VLOOKUP(A516,Data!$A:$AH,MATCH(Country!$A$1,Data!$A$1:$AH$1,),)</f>
        <v/>
      </c>
      <c r="C516" s="59">
        <f>IF(B504&gt;0,(Table2[[#This Row],[Country]]-B504)/B504,0)</f>
        <v/>
      </c>
      <c r="D516" s="59">
        <f>IF(Table2[[#This Row],[Country]]&gt;0,(((Table2[[#This Row],[Country]]-B515)/B515)+1)^12-1,"")</f>
        <v/>
      </c>
    </row>
    <row r="517">
      <c r="A517" s="35" t="n">
        <v>37834</v>
      </c>
      <c r="B517" s="36">
        <f>VLOOKUP(A517,Data!$A:$AH,MATCH(Country!$A$1,Data!$A$1:$AH$1,),)</f>
        <v/>
      </c>
      <c r="C517" s="59">
        <f>IF(B505&gt;0,(Table2[[#This Row],[Country]]-B505)/B505,0)</f>
        <v/>
      </c>
      <c r="D517" s="59">
        <f>IF(Table2[[#This Row],[Country]]&gt;0,(((Table2[[#This Row],[Country]]-B516)/B516)+1)^12-1,"")</f>
        <v/>
      </c>
    </row>
    <row r="518">
      <c r="A518" s="35" t="n">
        <v>37865</v>
      </c>
      <c r="B518" s="36">
        <f>VLOOKUP(A518,Data!$A:$AH,MATCH(Country!$A$1,Data!$A$1:$AH$1,),)</f>
        <v/>
      </c>
      <c r="C518" s="59">
        <f>IF(B506&gt;0,(Table2[[#This Row],[Country]]-B506)/B506,0)</f>
        <v/>
      </c>
      <c r="D518" s="59">
        <f>IF(Table2[[#This Row],[Country]]&gt;0,(((Table2[[#This Row],[Country]]-B517)/B517)+1)^12-1,"")</f>
        <v/>
      </c>
    </row>
    <row r="519">
      <c r="A519" s="35" t="n">
        <v>37895</v>
      </c>
      <c r="B519" s="36">
        <f>VLOOKUP(A519,Data!$A:$AH,MATCH(Country!$A$1,Data!$A$1:$AH$1,),)</f>
        <v/>
      </c>
      <c r="C519" s="59">
        <f>IF(B507&gt;0,(Table2[[#This Row],[Country]]-B507)/B507,0)</f>
        <v/>
      </c>
      <c r="D519" s="59">
        <f>IF(Table2[[#This Row],[Country]]&gt;0,(((Table2[[#This Row],[Country]]-B518)/B518)+1)^12-1,"")</f>
        <v/>
      </c>
    </row>
    <row r="520">
      <c r="A520" s="35" t="n">
        <v>37926</v>
      </c>
      <c r="B520" s="36">
        <f>VLOOKUP(A520,Data!$A:$AH,MATCH(Country!$A$1,Data!$A$1:$AH$1,),)</f>
        <v/>
      </c>
      <c r="C520" s="59">
        <f>IF(B508&gt;0,(Table2[[#This Row],[Country]]-B508)/B508,0)</f>
        <v/>
      </c>
      <c r="D520" s="59">
        <f>IF(Table2[[#This Row],[Country]]&gt;0,(((Table2[[#This Row],[Country]]-B519)/B519)+1)^12-1,"")</f>
        <v/>
      </c>
    </row>
    <row r="521">
      <c r="A521" s="35" t="n">
        <v>37956</v>
      </c>
      <c r="B521" s="36">
        <f>VLOOKUP(A521,Data!$A:$AH,MATCH(Country!$A$1,Data!$A$1:$AH$1,),)</f>
        <v/>
      </c>
      <c r="C521" s="59">
        <f>IF(B509&gt;0,(Table2[[#This Row],[Country]]-B509)/B509,0)</f>
        <v/>
      </c>
      <c r="D521" s="59">
        <f>IF(Table2[[#This Row],[Country]]&gt;0,(((Table2[[#This Row],[Country]]-B520)/B520)+1)^12-1,"")</f>
        <v/>
      </c>
    </row>
    <row r="522">
      <c r="A522" s="35" t="n">
        <v>37987</v>
      </c>
      <c r="B522" s="36">
        <f>VLOOKUP(A522,Data!$A:$AH,MATCH(Country!$A$1,Data!$A$1:$AH$1,),)</f>
        <v/>
      </c>
      <c r="C522" s="59">
        <f>IF(B510&gt;0,(Table2[[#This Row],[Country]]-B510)/B510,0)</f>
        <v/>
      </c>
      <c r="D522" s="59">
        <f>IF(Table2[[#This Row],[Country]]&gt;0,(((Table2[[#This Row],[Country]]-B521)/B521)+1)^12-1,"")</f>
        <v/>
      </c>
    </row>
    <row r="523">
      <c r="A523" s="35" t="n">
        <v>38018</v>
      </c>
      <c r="B523" s="36">
        <f>VLOOKUP(A523,Data!$A:$AH,MATCH(Country!$A$1,Data!$A$1:$AH$1,),)</f>
        <v/>
      </c>
      <c r="C523" s="59">
        <f>IF(B511&gt;0,(Table2[[#This Row],[Country]]-B511)/B511,0)</f>
        <v/>
      </c>
      <c r="D523" s="59">
        <f>IF(Table2[[#This Row],[Country]]&gt;0,(((Table2[[#This Row],[Country]]-B522)/B522)+1)^12-1,"")</f>
        <v/>
      </c>
    </row>
    <row r="524">
      <c r="A524" s="35" t="n">
        <v>38047</v>
      </c>
      <c r="B524" s="36">
        <f>VLOOKUP(A524,Data!$A:$AH,MATCH(Country!$A$1,Data!$A$1:$AH$1,),)</f>
        <v/>
      </c>
      <c r="C524" s="59">
        <f>IF(B512&gt;0,(Table2[[#This Row],[Country]]-B512)/B512,0)</f>
        <v/>
      </c>
      <c r="D524" s="59">
        <f>IF(Table2[[#This Row],[Country]]&gt;0,(((Table2[[#This Row],[Country]]-B523)/B523)+1)^12-1,"")</f>
        <v/>
      </c>
    </row>
    <row r="525">
      <c r="A525" s="35" t="n">
        <v>38078</v>
      </c>
      <c r="B525" s="36">
        <f>VLOOKUP(A525,Data!$A:$AH,MATCH(Country!$A$1,Data!$A$1:$AH$1,),)</f>
        <v/>
      </c>
      <c r="C525" s="59">
        <f>IF(B513&gt;0,(Table2[[#This Row],[Country]]-B513)/B513,0)</f>
        <v/>
      </c>
      <c r="D525" s="59">
        <f>IF(Table2[[#This Row],[Country]]&gt;0,(((Table2[[#This Row],[Country]]-B524)/B524)+1)^12-1,"")</f>
        <v/>
      </c>
    </row>
    <row r="526">
      <c r="A526" s="35" t="n">
        <v>38108</v>
      </c>
      <c r="B526" s="36">
        <f>VLOOKUP(A526,Data!$A:$AH,MATCH(Country!$A$1,Data!$A$1:$AH$1,),)</f>
        <v/>
      </c>
      <c r="C526" s="59">
        <f>IF(B514&gt;0,(Table2[[#This Row],[Country]]-B514)/B514,0)</f>
        <v/>
      </c>
      <c r="D526" s="59">
        <f>IF(Table2[[#This Row],[Country]]&gt;0,(((Table2[[#This Row],[Country]]-B525)/B525)+1)^12-1,"")</f>
        <v/>
      </c>
    </row>
    <row r="527">
      <c r="A527" s="35" t="n">
        <v>38139</v>
      </c>
      <c r="B527" s="36">
        <f>VLOOKUP(A527,Data!$A:$AH,MATCH(Country!$A$1,Data!$A$1:$AH$1,),)</f>
        <v/>
      </c>
      <c r="C527" s="59">
        <f>IF(B515&gt;0,(Table2[[#This Row],[Country]]-B515)/B515,0)</f>
        <v/>
      </c>
      <c r="D527" s="59">
        <f>IF(Table2[[#This Row],[Country]]&gt;0,(((Table2[[#This Row],[Country]]-B526)/B526)+1)^12-1,"")</f>
        <v/>
      </c>
    </row>
    <row r="528">
      <c r="A528" s="35" t="n">
        <v>38169</v>
      </c>
      <c r="B528" s="36">
        <f>VLOOKUP(A528,Data!$A:$AH,MATCH(Country!$A$1,Data!$A$1:$AH$1,),)</f>
        <v/>
      </c>
      <c r="C528" s="59">
        <f>IF(B516&gt;0,(Table2[[#This Row],[Country]]-B516)/B516,0)</f>
        <v/>
      </c>
      <c r="D528" s="59">
        <f>IF(Table2[[#This Row],[Country]]&gt;0,(((Table2[[#This Row],[Country]]-B527)/B527)+1)^12-1,"")</f>
        <v/>
      </c>
    </row>
    <row r="529">
      <c r="A529" s="35" t="n">
        <v>38200</v>
      </c>
      <c r="B529" s="36">
        <f>VLOOKUP(A529,Data!$A:$AH,MATCH(Country!$A$1,Data!$A$1:$AH$1,),)</f>
        <v/>
      </c>
      <c r="C529" s="59">
        <f>IF(B517&gt;0,(Table2[[#This Row],[Country]]-B517)/B517,0)</f>
        <v/>
      </c>
      <c r="D529" s="59">
        <f>IF(Table2[[#This Row],[Country]]&gt;0,(((Table2[[#This Row],[Country]]-B528)/B528)+1)^12-1,"")</f>
        <v/>
      </c>
    </row>
    <row r="530">
      <c r="A530" s="35" t="n">
        <v>38231</v>
      </c>
      <c r="B530" s="36">
        <f>VLOOKUP(A530,Data!$A:$AH,MATCH(Country!$A$1,Data!$A$1:$AH$1,),)</f>
        <v/>
      </c>
      <c r="C530" s="59">
        <f>IF(B518&gt;0,(Table2[[#This Row],[Country]]-B518)/B518,0)</f>
        <v/>
      </c>
      <c r="D530" s="59">
        <f>IF(Table2[[#This Row],[Country]]&gt;0,(((Table2[[#This Row],[Country]]-B529)/B529)+1)^12-1,"")</f>
        <v/>
      </c>
    </row>
    <row r="531">
      <c r="A531" s="35" t="n">
        <v>38261</v>
      </c>
      <c r="B531" s="36">
        <f>VLOOKUP(A531,Data!$A:$AH,MATCH(Country!$A$1,Data!$A$1:$AH$1,),)</f>
        <v/>
      </c>
      <c r="C531" s="59">
        <f>IF(B519&gt;0,(Table2[[#This Row],[Country]]-B519)/B519,0)</f>
        <v/>
      </c>
      <c r="D531" s="59">
        <f>IF(Table2[[#This Row],[Country]]&gt;0,(((Table2[[#This Row],[Country]]-B530)/B530)+1)^12-1,"")</f>
        <v/>
      </c>
    </row>
    <row r="532">
      <c r="A532" s="35" t="n">
        <v>38292</v>
      </c>
      <c r="B532" s="36">
        <f>VLOOKUP(A532,Data!$A:$AH,MATCH(Country!$A$1,Data!$A$1:$AH$1,),)</f>
        <v/>
      </c>
      <c r="C532" s="59">
        <f>IF(B520&gt;0,(Table2[[#This Row],[Country]]-B520)/B520,0)</f>
        <v/>
      </c>
      <c r="D532" s="59">
        <f>IF(Table2[[#This Row],[Country]]&gt;0,(((Table2[[#This Row],[Country]]-B531)/B531)+1)^12-1,"")</f>
        <v/>
      </c>
    </row>
    <row r="533">
      <c r="A533" s="35" t="n">
        <v>38322</v>
      </c>
      <c r="B533" s="36">
        <f>VLOOKUP(A533,Data!$A:$AH,MATCH(Country!$A$1,Data!$A$1:$AH$1,),)</f>
        <v/>
      </c>
      <c r="C533" s="59">
        <f>IF(B521&gt;0,(Table2[[#This Row],[Country]]-B521)/B521,0)</f>
        <v/>
      </c>
      <c r="D533" s="59">
        <f>IF(Table2[[#This Row],[Country]]&gt;0,(((Table2[[#This Row],[Country]]-B532)/B532)+1)^12-1,"")</f>
        <v/>
      </c>
    </row>
    <row r="534">
      <c r="A534" s="35" t="n">
        <v>38353</v>
      </c>
      <c r="B534" s="36">
        <f>VLOOKUP(A534,Data!$A:$AH,MATCH(Country!$A$1,Data!$A$1:$AH$1,),)</f>
        <v/>
      </c>
      <c r="C534" s="59">
        <f>IF(B522&gt;0,(Table2[[#This Row],[Country]]-B522)/B522,0)</f>
        <v/>
      </c>
      <c r="D534" s="59">
        <f>IF(Table2[[#This Row],[Country]]&gt;0,(((Table2[[#This Row],[Country]]-B533)/B533)+1)^12-1,"")</f>
        <v/>
      </c>
    </row>
    <row r="535">
      <c r="A535" s="35" t="n">
        <v>38384</v>
      </c>
      <c r="B535" s="36">
        <f>VLOOKUP(A535,Data!$A:$AH,MATCH(Country!$A$1,Data!$A$1:$AH$1,),)</f>
        <v/>
      </c>
      <c r="C535" s="59">
        <f>IF(B523&gt;0,(Table2[[#This Row],[Country]]-B523)/B523,0)</f>
        <v/>
      </c>
      <c r="D535" s="59">
        <f>IF(Table2[[#This Row],[Country]]&gt;0,(((Table2[[#This Row],[Country]]-B534)/B534)+1)^12-1,"")</f>
        <v/>
      </c>
    </row>
    <row r="536">
      <c r="A536" s="35" t="n">
        <v>38412</v>
      </c>
      <c r="B536" s="36">
        <f>VLOOKUP(A536,Data!$A:$AH,MATCH(Country!$A$1,Data!$A$1:$AH$1,),)</f>
        <v/>
      </c>
      <c r="C536" s="59">
        <f>IF(B524&gt;0,(Table2[[#This Row],[Country]]-B524)/B524,0)</f>
        <v/>
      </c>
      <c r="D536" s="59">
        <f>IF(Table2[[#This Row],[Country]]&gt;0,(((Table2[[#This Row],[Country]]-B535)/B535)+1)^12-1,"")</f>
        <v/>
      </c>
    </row>
    <row r="537">
      <c r="A537" s="35" t="n">
        <v>38443</v>
      </c>
      <c r="B537" s="36">
        <f>VLOOKUP(A537,Data!$A:$AH,MATCH(Country!$A$1,Data!$A$1:$AH$1,),)</f>
        <v/>
      </c>
      <c r="C537" s="59">
        <f>IF(B525&gt;0,(Table2[[#This Row],[Country]]-B525)/B525,0)</f>
        <v/>
      </c>
      <c r="D537" s="59">
        <f>IF(Table2[[#This Row],[Country]]&gt;0,(((Table2[[#This Row],[Country]]-B536)/B536)+1)^12-1,"")</f>
        <v/>
      </c>
    </row>
    <row r="538">
      <c r="A538" s="35" t="n">
        <v>38473</v>
      </c>
      <c r="B538" s="36">
        <f>VLOOKUP(A538,Data!$A:$AH,MATCH(Country!$A$1,Data!$A$1:$AH$1,),)</f>
        <v/>
      </c>
      <c r="C538" s="59">
        <f>IF(B526&gt;0,(Table2[[#This Row],[Country]]-B526)/B526,0)</f>
        <v/>
      </c>
      <c r="D538" s="59">
        <f>IF(Table2[[#This Row],[Country]]&gt;0,(((Table2[[#This Row],[Country]]-B537)/B537)+1)^12-1,"")</f>
        <v/>
      </c>
    </row>
    <row r="539">
      <c r="A539" s="35" t="n">
        <v>38504</v>
      </c>
      <c r="B539" s="36">
        <f>VLOOKUP(A539,Data!$A:$AH,MATCH(Country!$A$1,Data!$A$1:$AH$1,),)</f>
        <v/>
      </c>
      <c r="C539" s="59">
        <f>IF(B527&gt;0,(Table2[[#This Row],[Country]]-B527)/B527,0)</f>
        <v/>
      </c>
      <c r="D539" s="59">
        <f>IF(Table2[[#This Row],[Country]]&gt;0,(((Table2[[#This Row],[Country]]-B538)/B538)+1)^12-1,"")</f>
        <v/>
      </c>
    </row>
    <row r="540">
      <c r="A540" s="35" t="n">
        <v>38534</v>
      </c>
      <c r="B540" s="36">
        <f>VLOOKUP(A540,Data!$A:$AH,MATCH(Country!$A$1,Data!$A$1:$AH$1,),)</f>
        <v/>
      </c>
      <c r="C540" s="59">
        <f>IF(B528&gt;0,(Table2[[#This Row],[Country]]-B528)/B528,0)</f>
        <v/>
      </c>
      <c r="D540" s="59">
        <f>IF(Table2[[#This Row],[Country]]&gt;0,(((Table2[[#This Row],[Country]]-B539)/B539)+1)^12-1,"")</f>
        <v/>
      </c>
    </row>
    <row r="541">
      <c r="A541" s="35" t="n">
        <v>38565</v>
      </c>
      <c r="B541" s="36">
        <f>VLOOKUP(A541,Data!$A:$AH,MATCH(Country!$A$1,Data!$A$1:$AH$1,),)</f>
        <v/>
      </c>
      <c r="C541" s="59">
        <f>IF(B529&gt;0,(Table2[[#This Row],[Country]]-B529)/B529,0)</f>
        <v/>
      </c>
      <c r="D541" s="59">
        <f>IF(Table2[[#This Row],[Country]]&gt;0,(((Table2[[#This Row],[Country]]-B540)/B540)+1)^12-1,"")</f>
        <v/>
      </c>
    </row>
    <row r="542">
      <c r="A542" s="35" t="n">
        <v>38596</v>
      </c>
      <c r="B542" s="36">
        <f>VLOOKUP(A542,Data!$A:$AH,MATCH(Country!$A$1,Data!$A$1:$AH$1,),)</f>
        <v/>
      </c>
      <c r="C542" s="59">
        <f>IF(B530&gt;0,(Table2[[#This Row],[Country]]-B530)/B530,0)</f>
        <v/>
      </c>
      <c r="D542" s="59">
        <f>IF(Table2[[#This Row],[Country]]&gt;0,(((Table2[[#This Row],[Country]]-B541)/B541)+1)^12-1,"")</f>
        <v/>
      </c>
    </row>
    <row r="543">
      <c r="A543" s="35" t="n">
        <v>38626</v>
      </c>
      <c r="B543" s="36">
        <f>VLOOKUP(A543,Data!$A:$AH,MATCH(Country!$A$1,Data!$A$1:$AH$1,),)</f>
        <v/>
      </c>
      <c r="C543" s="59">
        <f>IF(B531&gt;0,(Table2[[#This Row],[Country]]-B531)/B531,0)</f>
        <v/>
      </c>
      <c r="D543" s="59">
        <f>IF(Table2[[#This Row],[Country]]&gt;0,(((Table2[[#This Row],[Country]]-B542)/B542)+1)^12-1,"")</f>
        <v/>
      </c>
    </row>
    <row r="544">
      <c r="A544" s="35" t="n">
        <v>38657</v>
      </c>
      <c r="B544" s="36">
        <f>VLOOKUP(A544,Data!$A:$AH,MATCH(Country!$A$1,Data!$A$1:$AH$1,),)</f>
        <v/>
      </c>
      <c r="C544" s="59">
        <f>IF(B532&gt;0,(Table2[[#This Row],[Country]]-B532)/B532,0)</f>
        <v/>
      </c>
      <c r="D544" s="59">
        <f>IF(Table2[[#This Row],[Country]]&gt;0,(((Table2[[#This Row],[Country]]-B543)/B543)+1)^12-1,"")</f>
        <v/>
      </c>
    </row>
    <row r="545">
      <c r="A545" s="35" t="n">
        <v>38687</v>
      </c>
      <c r="B545" s="36">
        <f>VLOOKUP(A545,Data!$A:$AH,MATCH(Country!$A$1,Data!$A$1:$AH$1,),)</f>
        <v/>
      </c>
      <c r="C545" s="59">
        <f>IF(B533&gt;0,(Table2[[#This Row],[Country]]-B533)/B533,0)</f>
        <v/>
      </c>
      <c r="D545" s="59">
        <f>IF(Table2[[#This Row],[Country]]&gt;0,(((Table2[[#This Row],[Country]]-B544)/B544)+1)^12-1,"")</f>
        <v/>
      </c>
    </row>
    <row r="546">
      <c r="A546" s="35" t="n">
        <v>38718</v>
      </c>
      <c r="B546" s="36">
        <f>VLOOKUP(A546,Data!$A:$AH,MATCH(Country!$A$1,Data!$A$1:$AH$1,),)</f>
        <v/>
      </c>
      <c r="C546" s="59">
        <f>IF(B534&gt;0,(Table2[[#This Row],[Country]]-B534)/B534,0)</f>
        <v/>
      </c>
      <c r="D546" s="59">
        <f>IF(Table2[[#This Row],[Country]]&gt;0,(((Table2[[#This Row],[Country]]-B545)/B545)+1)^12-1,"")</f>
        <v/>
      </c>
    </row>
    <row r="547">
      <c r="A547" s="35" t="n">
        <v>38749</v>
      </c>
      <c r="B547" s="36">
        <f>VLOOKUP(A547,Data!$A:$AH,MATCH(Country!$A$1,Data!$A$1:$AH$1,),)</f>
        <v/>
      </c>
      <c r="C547" s="59">
        <f>IF(B535&gt;0,(Table2[[#This Row],[Country]]-B535)/B535,0)</f>
        <v/>
      </c>
      <c r="D547" s="59">
        <f>IF(Table2[[#This Row],[Country]]&gt;0,(((Table2[[#This Row],[Country]]-B546)/B546)+1)^12-1,"")</f>
        <v/>
      </c>
    </row>
    <row r="548">
      <c r="A548" s="35" t="n">
        <v>38777</v>
      </c>
      <c r="B548" s="36">
        <f>VLOOKUP(A548,Data!$A:$AH,MATCH(Country!$A$1,Data!$A$1:$AH$1,),)</f>
        <v/>
      </c>
      <c r="C548" s="59">
        <f>IF(B536&gt;0,(Table2[[#This Row],[Country]]-B536)/B536,0)</f>
        <v/>
      </c>
      <c r="D548" s="59">
        <f>IF(Table2[[#This Row],[Country]]&gt;0,(((Table2[[#This Row],[Country]]-B547)/B547)+1)^12-1,"")</f>
        <v/>
      </c>
    </row>
    <row r="549">
      <c r="A549" s="35" t="n">
        <v>38808</v>
      </c>
      <c r="B549" s="36">
        <f>VLOOKUP(A549,Data!$A:$AH,MATCH(Country!$A$1,Data!$A$1:$AH$1,),)</f>
        <v/>
      </c>
      <c r="C549" s="59">
        <f>IF(B537&gt;0,(Table2[[#This Row],[Country]]-B537)/B537,0)</f>
        <v/>
      </c>
      <c r="D549" s="59">
        <f>IF(Table2[[#This Row],[Country]]&gt;0,(((Table2[[#This Row],[Country]]-B548)/B548)+1)^12-1,"")</f>
        <v/>
      </c>
    </row>
    <row r="550">
      <c r="A550" s="35" t="n">
        <v>38838</v>
      </c>
      <c r="B550" s="36">
        <f>VLOOKUP(A550,Data!$A:$AH,MATCH(Country!$A$1,Data!$A$1:$AH$1,),)</f>
        <v/>
      </c>
      <c r="C550" s="59">
        <f>IF(B538&gt;0,(Table2[[#This Row],[Country]]-B538)/B538,0)</f>
        <v/>
      </c>
      <c r="D550" s="59">
        <f>IF(Table2[[#This Row],[Country]]&gt;0,(((Table2[[#This Row],[Country]]-B549)/B549)+1)^12-1,"")</f>
        <v/>
      </c>
    </row>
    <row r="551">
      <c r="A551" s="35" t="n">
        <v>38869</v>
      </c>
      <c r="B551" s="36">
        <f>VLOOKUP(A551,Data!$A:$AH,MATCH(Country!$A$1,Data!$A$1:$AH$1,),)</f>
        <v/>
      </c>
      <c r="C551" s="59">
        <f>IF(B539&gt;0,(Table2[[#This Row],[Country]]-B539)/B539,0)</f>
        <v/>
      </c>
      <c r="D551" s="59">
        <f>IF(Table2[[#This Row],[Country]]&gt;0,(((Table2[[#This Row],[Country]]-B550)/B550)+1)^12-1,"")</f>
        <v/>
      </c>
    </row>
    <row r="552">
      <c r="A552" s="35" t="n">
        <v>38899</v>
      </c>
      <c r="B552" s="36">
        <f>VLOOKUP(A552,Data!$A:$AH,MATCH(Country!$A$1,Data!$A$1:$AH$1,),)</f>
        <v/>
      </c>
      <c r="C552" s="59">
        <f>IF(B540&gt;0,(Table2[[#This Row],[Country]]-B540)/B540,0)</f>
        <v/>
      </c>
      <c r="D552" s="59">
        <f>IF(Table2[[#This Row],[Country]]&gt;0,(((Table2[[#This Row],[Country]]-B551)/B551)+1)^12-1,"")</f>
        <v/>
      </c>
    </row>
    <row r="553">
      <c r="A553" s="35" t="n">
        <v>38930</v>
      </c>
      <c r="B553" s="36">
        <f>VLOOKUP(A553,Data!$A:$AH,MATCH(Country!$A$1,Data!$A$1:$AH$1,),)</f>
        <v/>
      </c>
      <c r="C553" s="59">
        <f>IF(B541&gt;0,(Table2[[#This Row],[Country]]-B541)/B541,0)</f>
        <v/>
      </c>
      <c r="D553" s="59">
        <f>IF(Table2[[#This Row],[Country]]&gt;0,(((Table2[[#This Row],[Country]]-B552)/B552)+1)^12-1,"")</f>
        <v/>
      </c>
    </row>
    <row r="554">
      <c r="A554" s="35" t="n">
        <v>38961</v>
      </c>
      <c r="B554" s="36">
        <f>VLOOKUP(A554,Data!$A:$AH,MATCH(Country!$A$1,Data!$A$1:$AH$1,),)</f>
        <v/>
      </c>
      <c r="C554" s="59">
        <f>IF(B542&gt;0,(Table2[[#This Row],[Country]]-B542)/B542,0)</f>
        <v/>
      </c>
      <c r="D554" s="59">
        <f>IF(Table2[[#This Row],[Country]]&gt;0,(((Table2[[#This Row],[Country]]-B553)/B553)+1)^12-1,"")</f>
        <v/>
      </c>
    </row>
    <row r="555">
      <c r="A555" s="35" t="n">
        <v>38991</v>
      </c>
      <c r="B555" s="36">
        <f>VLOOKUP(A555,Data!$A:$AH,MATCH(Country!$A$1,Data!$A$1:$AH$1,),)</f>
        <v/>
      </c>
      <c r="C555" s="59">
        <f>IF(B543&gt;0,(Table2[[#This Row],[Country]]-B543)/B543,0)</f>
        <v/>
      </c>
      <c r="D555" s="59">
        <f>IF(Table2[[#This Row],[Country]]&gt;0,(((Table2[[#This Row],[Country]]-B554)/B554)+1)^12-1,"")</f>
        <v/>
      </c>
    </row>
    <row r="556">
      <c r="A556" s="35" t="n">
        <v>39022</v>
      </c>
      <c r="B556" s="36">
        <f>VLOOKUP(A556,Data!$A:$AH,MATCH(Country!$A$1,Data!$A$1:$AH$1,),)</f>
        <v/>
      </c>
      <c r="C556" s="59">
        <f>IF(B544&gt;0,(Table2[[#This Row],[Country]]-B544)/B544,0)</f>
        <v/>
      </c>
      <c r="D556" s="59">
        <f>IF(Table2[[#This Row],[Country]]&gt;0,(((Table2[[#This Row],[Country]]-B555)/B555)+1)^12-1,"")</f>
        <v/>
      </c>
    </row>
    <row r="557">
      <c r="A557" s="35" t="n">
        <v>39052</v>
      </c>
      <c r="B557" s="36">
        <f>VLOOKUP(A557,Data!$A:$AH,MATCH(Country!$A$1,Data!$A$1:$AH$1,),)</f>
        <v/>
      </c>
      <c r="C557" s="59">
        <f>IF(B545&gt;0,(Table2[[#This Row],[Country]]-B545)/B545,0)</f>
        <v/>
      </c>
      <c r="D557" s="59">
        <f>IF(Table2[[#This Row],[Country]]&gt;0,(((Table2[[#This Row],[Country]]-B556)/B556)+1)^12-1,"")</f>
        <v/>
      </c>
    </row>
    <row r="558">
      <c r="A558" s="35" t="n">
        <v>39083</v>
      </c>
      <c r="B558" s="36">
        <f>VLOOKUP(A558,Data!$A:$AH,MATCH(Country!$A$1,Data!$A$1:$AH$1,),)</f>
        <v/>
      </c>
      <c r="C558" s="59">
        <f>IF(B546&gt;0,(Table2[[#This Row],[Country]]-B546)/B546,0)</f>
        <v/>
      </c>
      <c r="D558" s="59">
        <f>IF(Table2[[#This Row],[Country]]&gt;0,(((Table2[[#This Row],[Country]]-B557)/B557)+1)^12-1,"")</f>
        <v/>
      </c>
    </row>
    <row r="559">
      <c r="A559" s="35" t="n">
        <v>39114</v>
      </c>
      <c r="B559" s="36">
        <f>VLOOKUP(A559,Data!$A:$AH,MATCH(Country!$A$1,Data!$A$1:$AH$1,),)</f>
        <v/>
      </c>
      <c r="C559" s="59">
        <f>IF(B547&gt;0,(Table2[[#This Row],[Country]]-B547)/B547,0)</f>
        <v/>
      </c>
      <c r="D559" s="59">
        <f>IF(Table2[[#This Row],[Country]]&gt;0,(((Table2[[#This Row],[Country]]-B558)/B558)+1)^12-1,"")</f>
        <v/>
      </c>
    </row>
    <row r="560">
      <c r="A560" s="35" t="n">
        <v>39142</v>
      </c>
      <c r="B560" s="36">
        <f>VLOOKUP(A560,Data!$A:$AH,MATCH(Country!$A$1,Data!$A$1:$AH$1,),)</f>
        <v/>
      </c>
      <c r="C560" s="59">
        <f>IF(B548&gt;0,(Table2[[#This Row],[Country]]-B548)/B548,0)</f>
        <v/>
      </c>
      <c r="D560" s="59">
        <f>IF(Table2[[#This Row],[Country]]&gt;0,(((Table2[[#This Row],[Country]]-B559)/B559)+1)^12-1,"")</f>
        <v/>
      </c>
    </row>
    <row r="561">
      <c r="A561" s="35" t="n">
        <v>39173</v>
      </c>
      <c r="B561" s="36">
        <f>VLOOKUP(A561,Data!$A:$AH,MATCH(Country!$A$1,Data!$A$1:$AH$1,),)</f>
        <v/>
      </c>
      <c r="C561" s="59">
        <f>IF(B549&gt;0,(Table2[[#This Row],[Country]]-B549)/B549,0)</f>
        <v/>
      </c>
      <c r="D561" s="59">
        <f>IF(Table2[[#This Row],[Country]]&gt;0,(((Table2[[#This Row],[Country]]-B560)/B560)+1)^12-1,"")</f>
        <v/>
      </c>
    </row>
    <row r="562">
      <c r="A562" s="35" t="n">
        <v>39203</v>
      </c>
      <c r="B562" s="36">
        <f>VLOOKUP(A562,Data!$A:$AH,MATCH(Country!$A$1,Data!$A$1:$AH$1,),)</f>
        <v/>
      </c>
      <c r="C562" s="59">
        <f>IF(B550&gt;0,(Table2[[#This Row],[Country]]-B550)/B550,0)</f>
        <v/>
      </c>
      <c r="D562" s="59">
        <f>IF(Table2[[#This Row],[Country]]&gt;0,(((Table2[[#This Row],[Country]]-B561)/B561)+1)^12-1,"")</f>
        <v/>
      </c>
    </row>
    <row r="563">
      <c r="A563" s="35" t="n">
        <v>39234</v>
      </c>
      <c r="B563" s="36">
        <f>VLOOKUP(A563,Data!$A:$AH,MATCH(Country!$A$1,Data!$A$1:$AH$1,),)</f>
        <v/>
      </c>
      <c r="C563" s="59">
        <f>IF(B551&gt;0,(Table2[[#This Row],[Country]]-B551)/B551,0)</f>
        <v/>
      </c>
      <c r="D563" s="59">
        <f>IF(Table2[[#This Row],[Country]]&gt;0,(((Table2[[#This Row],[Country]]-B562)/B562)+1)^12-1,"")</f>
        <v/>
      </c>
    </row>
    <row r="564">
      <c r="A564" s="35" t="n">
        <v>39264</v>
      </c>
      <c r="B564" s="36">
        <f>VLOOKUP(A564,Data!$A:$AH,MATCH(Country!$A$1,Data!$A$1:$AH$1,),)</f>
        <v/>
      </c>
      <c r="C564" s="59">
        <f>IF(B552&gt;0,(Table2[[#This Row],[Country]]-B552)/B552,0)</f>
        <v/>
      </c>
      <c r="D564" s="59">
        <f>IF(Table2[[#This Row],[Country]]&gt;0,(((Table2[[#This Row],[Country]]-B563)/B563)+1)^12-1,"")</f>
        <v/>
      </c>
    </row>
    <row r="565">
      <c r="A565" s="35" t="n">
        <v>39295</v>
      </c>
      <c r="B565" s="36">
        <f>VLOOKUP(A565,Data!$A:$AH,MATCH(Country!$A$1,Data!$A$1:$AH$1,),)</f>
        <v/>
      </c>
      <c r="C565" s="59">
        <f>IF(B553&gt;0,(Table2[[#This Row],[Country]]-B553)/B553,0)</f>
        <v/>
      </c>
      <c r="D565" s="59">
        <f>IF(Table2[[#This Row],[Country]]&gt;0,(((Table2[[#This Row],[Country]]-B564)/B564)+1)^12-1,"")</f>
        <v/>
      </c>
    </row>
    <row r="566">
      <c r="A566" s="35" t="n">
        <v>39326</v>
      </c>
      <c r="B566" s="36">
        <f>VLOOKUP(A566,Data!$A:$AH,MATCH(Country!$A$1,Data!$A$1:$AH$1,),)</f>
        <v/>
      </c>
      <c r="C566" s="59">
        <f>IF(B554&gt;0,(Table2[[#This Row],[Country]]-B554)/B554,0)</f>
        <v/>
      </c>
      <c r="D566" s="59">
        <f>IF(Table2[[#This Row],[Country]]&gt;0,(((Table2[[#This Row],[Country]]-B565)/B565)+1)^12-1,"")</f>
        <v/>
      </c>
    </row>
    <row r="567">
      <c r="A567" s="35" t="n">
        <v>39356</v>
      </c>
      <c r="B567" s="36">
        <f>VLOOKUP(A567,Data!$A:$AH,MATCH(Country!$A$1,Data!$A$1:$AH$1,),)</f>
        <v/>
      </c>
      <c r="C567" s="59">
        <f>IF(B555&gt;0,(Table2[[#This Row],[Country]]-B555)/B555,0)</f>
        <v/>
      </c>
      <c r="D567" s="59">
        <f>IF(Table2[[#This Row],[Country]]&gt;0,(((Table2[[#This Row],[Country]]-B566)/B566)+1)^12-1,"")</f>
        <v/>
      </c>
    </row>
    <row r="568">
      <c r="A568" s="35" t="n">
        <v>39387</v>
      </c>
      <c r="B568" s="36">
        <f>VLOOKUP(A568,Data!$A:$AH,MATCH(Country!$A$1,Data!$A$1:$AH$1,),)</f>
        <v/>
      </c>
      <c r="C568" s="59">
        <f>IF(B556&gt;0,(Table2[[#This Row],[Country]]-B556)/B556,0)</f>
        <v/>
      </c>
      <c r="D568" s="59">
        <f>IF(Table2[[#This Row],[Country]]&gt;0,(((Table2[[#This Row],[Country]]-B567)/B567)+1)^12-1,"")</f>
        <v/>
      </c>
    </row>
    <row r="569">
      <c r="A569" s="35" t="n">
        <v>39417</v>
      </c>
      <c r="B569" s="36">
        <f>VLOOKUP(A569,Data!$A:$AH,MATCH(Country!$A$1,Data!$A$1:$AH$1,),)</f>
        <v/>
      </c>
      <c r="C569" s="59">
        <f>IF(B557&gt;0,(Table2[[#This Row],[Country]]-B557)/B557,0)</f>
        <v/>
      </c>
      <c r="D569" s="59">
        <f>IF(Table2[[#This Row],[Country]]&gt;0,(((Table2[[#This Row],[Country]]-B568)/B568)+1)^12-1,"")</f>
        <v/>
      </c>
    </row>
    <row r="570">
      <c r="A570" s="35" t="n">
        <v>39448</v>
      </c>
      <c r="B570" s="36">
        <f>VLOOKUP(A570,Data!$A:$AH,MATCH(Country!$A$1,Data!$A$1:$AH$1,),)</f>
        <v/>
      </c>
      <c r="C570" s="59">
        <f>IF(B558&gt;0,(Table2[[#This Row],[Country]]-B558)/B558,0)</f>
        <v/>
      </c>
      <c r="D570" s="59">
        <f>IF(Table2[[#This Row],[Country]]&gt;0,(((Table2[[#This Row],[Country]]-B569)/B569)+1)^12-1,"")</f>
        <v/>
      </c>
    </row>
    <row r="571">
      <c r="A571" s="35" t="n">
        <v>39479</v>
      </c>
      <c r="B571" s="36">
        <f>VLOOKUP(A571,Data!$A:$AH,MATCH(Country!$A$1,Data!$A$1:$AH$1,),)</f>
        <v/>
      </c>
      <c r="C571" s="59">
        <f>IF(B559&gt;0,(Table2[[#This Row],[Country]]-B559)/B559,0)</f>
        <v/>
      </c>
      <c r="D571" s="59">
        <f>IF(Table2[[#This Row],[Country]]&gt;0,(((Table2[[#This Row],[Country]]-B570)/B570)+1)^12-1,"")</f>
        <v/>
      </c>
    </row>
    <row r="572">
      <c r="A572" s="35" t="n">
        <v>39508</v>
      </c>
      <c r="B572" s="36">
        <f>VLOOKUP(A572,Data!$A:$AH,MATCH(Country!$A$1,Data!$A$1:$AH$1,),)</f>
        <v/>
      </c>
      <c r="C572" s="59">
        <f>IF(B560&gt;0,(Table2[[#This Row],[Country]]-B560)/B560,0)</f>
        <v/>
      </c>
      <c r="D572" s="59">
        <f>IF(Table2[[#This Row],[Country]]&gt;0,(((Table2[[#This Row],[Country]]-B571)/B571)+1)^12-1,"")</f>
        <v/>
      </c>
    </row>
    <row r="573">
      <c r="A573" s="35" t="n">
        <v>39539</v>
      </c>
      <c r="B573" s="36">
        <f>VLOOKUP(A573,Data!$A:$AH,MATCH(Country!$A$1,Data!$A$1:$AH$1,),)</f>
        <v/>
      </c>
      <c r="C573" s="59">
        <f>IF(B561&gt;0,(Table2[[#This Row],[Country]]-B561)/B561,0)</f>
        <v/>
      </c>
      <c r="D573" s="59">
        <f>IF(Table2[[#This Row],[Country]]&gt;0,(((Table2[[#This Row],[Country]]-B572)/B572)+1)^12-1,"")</f>
        <v/>
      </c>
    </row>
    <row r="574">
      <c r="A574" s="35" t="n">
        <v>39569</v>
      </c>
      <c r="B574" s="36">
        <f>VLOOKUP(A574,Data!$A:$AH,MATCH(Country!$A$1,Data!$A$1:$AH$1,),)</f>
        <v/>
      </c>
      <c r="C574" s="59">
        <f>IF(B562&gt;0,(Table2[[#This Row],[Country]]-B562)/B562,0)</f>
        <v/>
      </c>
      <c r="D574" s="59">
        <f>IF(Table2[[#This Row],[Country]]&gt;0,(((Table2[[#This Row],[Country]]-B573)/B573)+1)^12-1,"")</f>
        <v/>
      </c>
    </row>
    <row r="575">
      <c r="A575" s="35" t="n">
        <v>39600</v>
      </c>
      <c r="B575" s="36">
        <f>VLOOKUP(A575,Data!$A:$AH,MATCH(Country!$A$1,Data!$A$1:$AH$1,),)</f>
        <v/>
      </c>
      <c r="C575" s="59">
        <f>IF(B563&gt;0,(Table2[[#This Row],[Country]]-B563)/B563,0)</f>
        <v/>
      </c>
      <c r="D575" s="59">
        <f>IF(Table2[[#This Row],[Country]]&gt;0,(((Table2[[#This Row],[Country]]-B574)/B574)+1)^12-1,"")</f>
        <v/>
      </c>
    </row>
    <row r="576">
      <c r="A576" s="35" t="n">
        <v>39630</v>
      </c>
      <c r="B576" s="36">
        <f>VLOOKUP(A576,Data!$A:$AH,MATCH(Country!$A$1,Data!$A$1:$AH$1,),)</f>
        <v/>
      </c>
      <c r="C576" s="59">
        <f>IF(B564&gt;0,(Table2[[#This Row],[Country]]-B564)/B564,0)</f>
        <v/>
      </c>
      <c r="D576" s="59">
        <f>IF(Table2[[#This Row],[Country]]&gt;0,(((Table2[[#This Row],[Country]]-B575)/B575)+1)^12-1,"")</f>
        <v/>
      </c>
    </row>
    <row r="577">
      <c r="A577" s="35" t="n">
        <v>39661</v>
      </c>
      <c r="B577" s="36">
        <f>VLOOKUP(A577,Data!$A:$AH,MATCH(Country!$A$1,Data!$A$1:$AH$1,),)</f>
        <v/>
      </c>
      <c r="C577" s="59">
        <f>IF(B565&gt;0,(Table2[[#This Row],[Country]]-B565)/B565,0)</f>
        <v/>
      </c>
      <c r="D577" s="59">
        <f>IF(Table2[[#This Row],[Country]]&gt;0,(((Table2[[#This Row],[Country]]-B576)/B576)+1)^12-1,"")</f>
        <v/>
      </c>
    </row>
    <row r="578">
      <c r="A578" s="35" t="n">
        <v>39692</v>
      </c>
      <c r="B578" s="36">
        <f>VLOOKUP(A578,Data!$A:$AH,MATCH(Country!$A$1,Data!$A$1:$AH$1,),)</f>
        <v/>
      </c>
      <c r="C578" s="59">
        <f>IF(B566&gt;0,(Table2[[#This Row],[Country]]-B566)/B566,0)</f>
        <v/>
      </c>
      <c r="D578" s="59">
        <f>IF(Table2[[#This Row],[Country]]&gt;0,(((Table2[[#This Row],[Country]]-B577)/B577)+1)^12-1,"")</f>
        <v/>
      </c>
    </row>
    <row r="579">
      <c r="A579" s="35" t="n">
        <v>39722</v>
      </c>
      <c r="B579" s="36">
        <f>VLOOKUP(A579,Data!$A:$AH,MATCH(Country!$A$1,Data!$A$1:$AH$1,),)</f>
        <v/>
      </c>
      <c r="C579" s="59">
        <f>IF(B567&gt;0,(Table2[[#This Row],[Country]]-B567)/B567,0)</f>
        <v/>
      </c>
      <c r="D579" s="59">
        <f>IF(Table2[[#This Row],[Country]]&gt;0,(((Table2[[#This Row],[Country]]-B578)/B578)+1)^12-1,"")</f>
        <v/>
      </c>
    </row>
    <row r="580">
      <c r="A580" s="35" t="n">
        <v>39753</v>
      </c>
      <c r="B580" s="36">
        <f>VLOOKUP(A580,Data!$A:$AH,MATCH(Country!$A$1,Data!$A$1:$AH$1,),)</f>
        <v/>
      </c>
      <c r="C580" s="59">
        <f>IF(B568&gt;0,(Table2[[#This Row],[Country]]-B568)/B568,0)</f>
        <v/>
      </c>
      <c r="D580" s="59">
        <f>IF(Table2[[#This Row],[Country]]&gt;0,(((Table2[[#This Row],[Country]]-B579)/B579)+1)^12-1,"")</f>
        <v/>
      </c>
    </row>
    <row r="581">
      <c r="A581" s="35" t="n">
        <v>39783</v>
      </c>
      <c r="B581" s="36">
        <f>VLOOKUP(A581,Data!$A:$AH,MATCH(Country!$A$1,Data!$A$1:$AH$1,),)</f>
        <v/>
      </c>
      <c r="C581" s="59">
        <f>IF(B569&gt;0,(Table2[[#This Row],[Country]]-B569)/B569,0)</f>
        <v/>
      </c>
      <c r="D581" s="59">
        <f>IF(Table2[[#This Row],[Country]]&gt;0,(((Table2[[#This Row],[Country]]-B580)/B580)+1)^12-1,"")</f>
        <v/>
      </c>
    </row>
    <row r="582">
      <c r="A582" s="35" t="n">
        <v>39814</v>
      </c>
      <c r="B582" s="36">
        <f>VLOOKUP(A582,Data!$A:$AH,MATCH(Country!$A$1,Data!$A$1:$AH$1,),)</f>
        <v/>
      </c>
      <c r="C582" s="59">
        <f>IF(B570&gt;0,(Table2[[#This Row],[Country]]-B570)/B570,0)</f>
        <v/>
      </c>
      <c r="D582" s="59">
        <f>IF(Table2[[#This Row],[Country]]&gt;0,(((Table2[[#This Row],[Country]]-B581)/B581)+1)^12-1,"")</f>
        <v/>
      </c>
    </row>
    <row r="583">
      <c r="A583" s="35" t="n">
        <v>39845</v>
      </c>
      <c r="B583" s="36">
        <f>VLOOKUP(A583,Data!$A:$AH,MATCH(Country!$A$1,Data!$A$1:$AH$1,),)</f>
        <v/>
      </c>
      <c r="C583" s="59">
        <f>IF(B571&gt;0,(Table2[[#This Row],[Country]]-B571)/B571,0)</f>
        <v/>
      </c>
      <c r="D583" s="59">
        <f>IF(Table2[[#This Row],[Country]]&gt;0,(((Table2[[#This Row],[Country]]-B582)/B582)+1)^12-1,"")</f>
        <v/>
      </c>
    </row>
    <row r="584">
      <c r="A584" s="35" t="n">
        <v>39873</v>
      </c>
      <c r="B584" s="36">
        <f>VLOOKUP(A584,Data!$A:$AH,MATCH(Country!$A$1,Data!$A$1:$AH$1,),)</f>
        <v/>
      </c>
      <c r="C584" s="59">
        <f>IF(B572&gt;0,(Table2[[#This Row],[Country]]-B572)/B572,0)</f>
        <v/>
      </c>
      <c r="D584" s="59">
        <f>IF(Table2[[#This Row],[Country]]&gt;0,(((Table2[[#This Row],[Country]]-B583)/B583)+1)^12-1,"")</f>
        <v/>
      </c>
    </row>
    <row r="585">
      <c r="A585" s="35" t="n">
        <v>39904</v>
      </c>
      <c r="B585" s="36">
        <f>VLOOKUP(A585,Data!$A:$AH,MATCH(Country!$A$1,Data!$A$1:$AH$1,),)</f>
        <v/>
      </c>
      <c r="C585" s="59">
        <f>IF(B573&gt;0,(Table2[[#This Row],[Country]]-B573)/B573,0)</f>
        <v/>
      </c>
      <c r="D585" s="59">
        <f>IF(Table2[[#This Row],[Country]]&gt;0,(((Table2[[#This Row],[Country]]-B584)/B584)+1)^12-1,"")</f>
        <v/>
      </c>
    </row>
    <row r="586">
      <c r="A586" s="35" t="n">
        <v>39934</v>
      </c>
      <c r="B586" s="36">
        <f>VLOOKUP(A586,Data!$A:$AH,MATCH(Country!$A$1,Data!$A$1:$AH$1,),)</f>
        <v/>
      </c>
      <c r="C586" s="59">
        <f>IF(B574&gt;0,(Table2[[#This Row],[Country]]-B574)/B574,0)</f>
        <v/>
      </c>
      <c r="D586" s="59">
        <f>IF(Table2[[#This Row],[Country]]&gt;0,(((Table2[[#This Row],[Country]]-B585)/B585)+1)^12-1,"")</f>
        <v/>
      </c>
    </row>
    <row r="587">
      <c r="A587" s="35" t="n">
        <v>39965</v>
      </c>
      <c r="B587" s="36">
        <f>VLOOKUP(A587,Data!$A:$AH,MATCH(Country!$A$1,Data!$A$1:$AH$1,),)</f>
        <v/>
      </c>
      <c r="C587" s="59">
        <f>IF(B575&gt;0,(Table2[[#This Row],[Country]]-B575)/B575,0)</f>
        <v/>
      </c>
      <c r="D587" s="59">
        <f>IF(Table2[[#This Row],[Country]]&gt;0,(((Table2[[#This Row],[Country]]-B586)/B586)+1)^12-1,"")</f>
        <v/>
      </c>
    </row>
    <row r="588">
      <c r="A588" s="35" t="n">
        <v>39995</v>
      </c>
      <c r="B588" s="36">
        <f>VLOOKUP(A588,Data!$A:$AH,MATCH(Country!$A$1,Data!$A$1:$AH$1,),)</f>
        <v/>
      </c>
      <c r="C588" s="59">
        <f>IF(B576&gt;0,(Table2[[#This Row],[Country]]-B576)/B576,0)</f>
        <v/>
      </c>
      <c r="D588" s="59">
        <f>IF(Table2[[#This Row],[Country]]&gt;0,(((Table2[[#This Row],[Country]]-B587)/B587)+1)^12-1,"")</f>
        <v/>
      </c>
    </row>
    <row r="589">
      <c r="A589" s="35" t="n">
        <v>40026</v>
      </c>
      <c r="B589" s="36">
        <f>VLOOKUP(A589,Data!$A:$AH,MATCH(Country!$A$1,Data!$A$1:$AH$1,),)</f>
        <v/>
      </c>
      <c r="C589" s="59">
        <f>IF(B577&gt;0,(Table2[[#This Row],[Country]]-B577)/B577,0)</f>
        <v/>
      </c>
      <c r="D589" s="59">
        <f>IF(Table2[[#This Row],[Country]]&gt;0,(((Table2[[#This Row],[Country]]-B588)/B588)+1)^12-1,"")</f>
        <v/>
      </c>
    </row>
    <row r="590">
      <c r="A590" s="35" t="n">
        <v>40057</v>
      </c>
      <c r="B590" s="36">
        <f>VLOOKUP(A590,Data!$A:$AH,MATCH(Country!$A$1,Data!$A$1:$AH$1,),)</f>
        <v/>
      </c>
      <c r="C590" s="59">
        <f>IF(B578&gt;0,(Table2[[#This Row],[Country]]-B578)/B578,0)</f>
        <v/>
      </c>
      <c r="D590" s="59">
        <f>IF(Table2[[#This Row],[Country]]&gt;0,(((Table2[[#This Row],[Country]]-B589)/B589)+1)^12-1,"")</f>
        <v/>
      </c>
    </row>
    <row r="591">
      <c r="A591" s="35" t="n">
        <v>40087</v>
      </c>
      <c r="B591" s="36">
        <f>VLOOKUP(A591,Data!$A:$AH,MATCH(Country!$A$1,Data!$A$1:$AH$1,),)</f>
        <v/>
      </c>
      <c r="C591" s="59">
        <f>IF(B579&gt;0,(Table2[[#This Row],[Country]]-B579)/B579,0)</f>
        <v/>
      </c>
      <c r="D591" s="59">
        <f>IF(Table2[[#This Row],[Country]]&gt;0,(((Table2[[#This Row],[Country]]-B590)/B590)+1)^12-1,"")</f>
        <v/>
      </c>
    </row>
    <row r="592">
      <c r="A592" s="35" t="n">
        <v>40118</v>
      </c>
      <c r="B592" s="36">
        <f>VLOOKUP(A592,Data!$A:$AH,MATCH(Country!$A$1,Data!$A$1:$AH$1,),)</f>
        <v/>
      </c>
      <c r="C592" s="59">
        <f>IF(B580&gt;0,(Table2[[#This Row],[Country]]-B580)/B580,0)</f>
        <v/>
      </c>
      <c r="D592" s="59">
        <f>IF(Table2[[#This Row],[Country]]&gt;0,(((Table2[[#This Row],[Country]]-B591)/B591)+1)^12-1,"")</f>
        <v/>
      </c>
    </row>
    <row r="593">
      <c r="A593" s="35" t="n">
        <v>40148</v>
      </c>
      <c r="B593" s="36">
        <f>VLOOKUP(A593,Data!$A:$AH,MATCH(Country!$A$1,Data!$A$1:$AH$1,),)</f>
        <v/>
      </c>
      <c r="C593" s="59">
        <f>IF(B581&gt;0,(Table2[[#This Row],[Country]]-B581)/B581,0)</f>
        <v/>
      </c>
      <c r="D593" s="59">
        <f>IF(Table2[[#This Row],[Country]]&gt;0,(((Table2[[#This Row],[Country]]-B592)/B592)+1)^12-1,"")</f>
        <v/>
      </c>
    </row>
    <row r="594">
      <c r="A594" s="35" t="n">
        <v>40179</v>
      </c>
      <c r="B594" s="36">
        <f>VLOOKUP(A594,Data!$A:$AH,MATCH(Country!$A$1,Data!$A$1:$AH$1,),)</f>
        <v/>
      </c>
      <c r="C594" s="59">
        <f>IF(B582&gt;0,(Table2[[#This Row],[Country]]-B582)/B582,0)</f>
        <v/>
      </c>
      <c r="D594" s="59">
        <f>IF(Table2[[#This Row],[Country]]&gt;0,(((Table2[[#This Row],[Country]]-B593)/B593)+1)^12-1,"")</f>
        <v/>
      </c>
    </row>
    <row r="595">
      <c r="A595" s="35" t="n">
        <v>40210</v>
      </c>
      <c r="B595" s="36">
        <f>VLOOKUP(A595,Data!$A:$AH,MATCH(Country!$A$1,Data!$A$1:$AH$1,),)</f>
        <v/>
      </c>
      <c r="C595" s="59">
        <f>IF(B583&gt;0,(Table2[[#This Row],[Country]]-B583)/B583,0)</f>
        <v/>
      </c>
      <c r="D595" s="59">
        <f>IF(Table2[[#This Row],[Country]]&gt;0,(((Table2[[#This Row],[Country]]-B594)/B594)+1)^12-1,"")</f>
        <v/>
      </c>
    </row>
    <row r="596">
      <c r="A596" s="35" t="n">
        <v>40238</v>
      </c>
      <c r="B596" s="36">
        <f>VLOOKUP(A596,Data!$A:$AH,MATCH(Country!$A$1,Data!$A$1:$AH$1,),)</f>
        <v/>
      </c>
      <c r="C596" s="59">
        <f>IF(B584&gt;0,(Table2[[#This Row],[Country]]-B584)/B584,0)</f>
        <v/>
      </c>
      <c r="D596" s="59">
        <f>IF(Table2[[#This Row],[Country]]&gt;0,(((Table2[[#This Row],[Country]]-B595)/B595)+1)^12-1,"")</f>
        <v/>
      </c>
    </row>
    <row r="597">
      <c r="A597" s="35" t="n">
        <v>40269</v>
      </c>
      <c r="B597" s="36">
        <f>VLOOKUP(A597,Data!$A:$AH,MATCH(Country!$A$1,Data!$A$1:$AH$1,),)</f>
        <v/>
      </c>
      <c r="C597" s="59">
        <f>IF(B585&gt;0,(Table2[[#This Row],[Country]]-B585)/B585,0)</f>
        <v/>
      </c>
      <c r="D597" s="59">
        <f>IF(Table2[[#This Row],[Country]]&gt;0,(((Table2[[#This Row],[Country]]-B596)/B596)+1)^12-1,"")</f>
        <v/>
      </c>
    </row>
    <row r="598">
      <c r="A598" s="35" t="n">
        <v>40299</v>
      </c>
      <c r="B598" s="36">
        <f>VLOOKUP(A598,Data!$A:$AH,MATCH(Country!$A$1,Data!$A$1:$AH$1,),)</f>
        <v/>
      </c>
      <c r="C598" s="59">
        <f>IF(B586&gt;0,(Table2[[#This Row],[Country]]-B586)/B586,0)</f>
        <v/>
      </c>
      <c r="D598" s="59">
        <f>IF(Table2[[#This Row],[Country]]&gt;0,(((Table2[[#This Row],[Country]]-B597)/B597)+1)^12-1,"")</f>
        <v/>
      </c>
    </row>
    <row r="599">
      <c r="A599" s="35" t="n">
        <v>40330</v>
      </c>
      <c r="B599" s="36">
        <f>VLOOKUP(A599,Data!$A:$AH,MATCH(Country!$A$1,Data!$A$1:$AH$1,),)</f>
        <v/>
      </c>
      <c r="C599" s="59">
        <f>IF(B587&gt;0,(Table2[[#This Row],[Country]]-B587)/B587,0)</f>
        <v/>
      </c>
      <c r="D599" s="59">
        <f>IF(Table2[[#This Row],[Country]]&gt;0,(((Table2[[#This Row],[Country]]-B598)/B598)+1)^12-1,"")</f>
        <v/>
      </c>
    </row>
    <row r="600">
      <c r="A600" s="35" t="n">
        <v>40360</v>
      </c>
      <c r="B600" s="36">
        <f>VLOOKUP(A600,Data!$A:$AH,MATCH(Country!$A$1,Data!$A$1:$AH$1,),)</f>
        <v/>
      </c>
      <c r="C600" s="59">
        <f>IF(B588&gt;0,(Table2[[#This Row],[Country]]-B588)/B588,0)</f>
        <v/>
      </c>
      <c r="D600" s="59">
        <f>IF(Table2[[#This Row],[Country]]&gt;0,(((Table2[[#This Row],[Country]]-B599)/B599)+1)^12-1,"")</f>
        <v/>
      </c>
    </row>
    <row r="601">
      <c r="A601" s="35" t="n">
        <v>40391</v>
      </c>
      <c r="B601" s="36">
        <f>VLOOKUP(A601,Data!$A:$AH,MATCH(Country!$A$1,Data!$A$1:$AH$1,),)</f>
        <v/>
      </c>
      <c r="C601" s="59">
        <f>IF(B589&gt;0,(Table2[[#This Row],[Country]]-B589)/B589,0)</f>
        <v/>
      </c>
      <c r="D601" s="59">
        <f>IF(Table2[[#This Row],[Country]]&gt;0,(((Table2[[#This Row],[Country]]-B600)/B600)+1)^12-1,"")</f>
        <v/>
      </c>
    </row>
    <row r="602">
      <c r="A602" s="35" t="n">
        <v>40422</v>
      </c>
      <c r="B602" s="36">
        <f>VLOOKUP(A602,Data!$A:$AH,MATCH(Country!$A$1,Data!$A$1:$AH$1,),)</f>
        <v/>
      </c>
      <c r="C602" s="59">
        <f>IF(B590&gt;0,(Table2[[#This Row],[Country]]-B590)/B590,0)</f>
        <v/>
      </c>
      <c r="D602" s="59">
        <f>IF(Table2[[#This Row],[Country]]&gt;0,(((Table2[[#This Row],[Country]]-B601)/B601)+1)^12-1,"")</f>
        <v/>
      </c>
    </row>
    <row r="603">
      <c r="A603" s="35" t="n">
        <v>40452</v>
      </c>
      <c r="B603" s="36">
        <f>VLOOKUP(A603,Data!$A:$AH,MATCH(Country!$A$1,Data!$A$1:$AH$1,),)</f>
        <v/>
      </c>
      <c r="C603" s="59">
        <f>IF(B591&gt;0,(Table2[[#This Row],[Country]]-B591)/B591,0)</f>
        <v/>
      </c>
      <c r="D603" s="59">
        <f>IF(Table2[[#This Row],[Country]]&gt;0,(((Table2[[#This Row],[Country]]-B602)/B602)+1)^12-1,"")</f>
        <v/>
      </c>
    </row>
    <row r="604">
      <c r="A604" s="35" t="n">
        <v>40483</v>
      </c>
      <c r="B604" s="36">
        <f>VLOOKUP(A604,Data!$A:$AH,MATCH(Country!$A$1,Data!$A$1:$AH$1,),)</f>
        <v/>
      </c>
      <c r="C604" s="59">
        <f>IF(B592&gt;0,(Table2[[#This Row],[Country]]-B592)/B592,0)</f>
        <v/>
      </c>
      <c r="D604" s="59">
        <f>IF(Table2[[#This Row],[Country]]&gt;0,(((Table2[[#This Row],[Country]]-B603)/B603)+1)^12-1,"")</f>
        <v/>
      </c>
    </row>
    <row r="605">
      <c r="A605" s="35" t="n">
        <v>40513</v>
      </c>
      <c r="B605" s="36">
        <f>VLOOKUP(A605,Data!$A:$AH,MATCH(Country!$A$1,Data!$A$1:$AH$1,),)</f>
        <v/>
      </c>
      <c r="C605" s="59">
        <f>IF(B593&gt;0,(Table2[[#This Row],[Country]]-B593)/B593,0)</f>
        <v/>
      </c>
      <c r="D605" s="59">
        <f>IF(Table2[[#This Row],[Country]]&gt;0,(((Table2[[#This Row],[Country]]-B604)/B604)+1)^12-1,"")</f>
        <v/>
      </c>
    </row>
    <row r="606">
      <c r="A606" s="35" t="n">
        <v>40544</v>
      </c>
      <c r="B606" s="36">
        <f>VLOOKUP(A606,Data!$A:$AH,MATCH(Country!$A$1,Data!$A$1:$AH$1,),)</f>
        <v/>
      </c>
      <c r="C606" s="59">
        <f>IF(B594&gt;0,(Table2[[#This Row],[Country]]-B594)/B594,0)</f>
        <v/>
      </c>
      <c r="D606" s="59">
        <f>IF(Table2[[#This Row],[Country]]&gt;0,(((Table2[[#This Row],[Country]]-B605)/B605)+1)^12-1,"")</f>
        <v/>
      </c>
    </row>
    <row r="607">
      <c r="A607" s="35" t="n">
        <v>40575</v>
      </c>
      <c r="B607" s="36">
        <f>VLOOKUP(A607,Data!$A:$AH,MATCH(Country!$A$1,Data!$A$1:$AH$1,),)</f>
        <v/>
      </c>
      <c r="C607" s="59">
        <f>IF(B595&gt;0,(Table2[[#This Row],[Country]]-B595)/B595,0)</f>
        <v/>
      </c>
      <c r="D607" s="59">
        <f>IF(Table2[[#This Row],[Country]]&gt;0,(((Table2[[#This Row],[Country]]-B606)/B606)+1)^12-1,"")</f>
        <v/>
      </c>
    </row>
    <row r="608">
      <c r="A608" s="35" t="n">
        <v>40603</v>
      </c>
      <c r="B608" s="36">
        <f>VLOOKUP(A608,Data!$A:$AH,MATCH(Country!$A$1,Data!$A$1:$AH$1,),)</f>
        <v/>
      </c>
      <c r="C608" s="59">
        <f>IF(B596&gt;0,(Table2[[#This Row],[Country]]-B596)/B596,0)</f>
        <v/>
      </c>
      <c r="D608" s="59">
        <f>IF(Table2[[#This Row],[Country]]&gt;0,(((Table2[[#This Row],[Country]]-B607)/B607)+1)^12-1,"")</f>
        <v/>
      </c>
    </row>
    <row r="609">
      <c r="A609" s="35" t="n">
        <v>40634</v>
      </c>
      <c r="B609" s="36">
        <f>VLOOKUP(A609,Data!$A:$AH,MATCH(Country!$A$1,Data!$A$1:$AH$1,),)</f>
        <v/>
      </c>
      <c r="C609" s="59">
        <f>IF(B597&gt;0,(Table2[[#This Row],[Country]]-B597)/B597,0)</f>
        <v/>
      </c>
      <c r="D609" s="59">
        <f>IF(Table2[[#This Row],[Country]]&gt;0,(((Table2[[#This Row],[Country]]-B608)/B608)+1)^12-1,"")</f>
        <v/>
      </c>
    </row>
    <row r="610">
      <c r="A610" s="35" t="n">
        <v>40664</v>
      </c>
      <c r="B610" s="36">
        <f>VLOOKUP(A610,Data!$A:$AH,MATCH(Country!$A$1,Data!$A$1:$AH$1,),)</f>
        <v/>
      </c>
      <c r="C610" s="59">
        <f>IF(B598&gt;0,(Table2[[#This Row],[Country]]-B598)/B598,0)</f>
        <v/>
      </c>
      <c r="D610" s="59">
        <f>IF(Table2[[#This Row],[Country]]&gt;0,(((Table2[[#This Row],[Country]]-B609)/B609)+1)^12-1,"")</f>
        <v/>
      </c>
    </row>
    <row r="611">
      <c r="A611" s="35" t="n">
        <v>40695</v>
      </c>
      <c r="B611" s="36">
        <f>VLOOKUP(A611,Data!$A:$AH,MATCH(Country!$A$1,Data!$A$1:$AH$1,),)</f>
        <v/>
      </c>
      <c r="C611" s="59">
        <f>IF(B599&gt;0,(Table2[[#This Row],[Country]]-B599)/B599,0)</f>
        <v/>
      </c>
      <c r="D611" s="59">
        <f>IF(Table2[[#This Row],[Country]]&gt;0,(((Table2[[#This Row],[Country]]-B610)/B610)+1)^12-1,"")</f>
        <v/>
      </c>
    </row>
    <row r="612">
      <c r="A612" s="35" t="n">
        <v>40725</v>
      </c>
      <c r="B612" s="36">
        <f>VLOOKUP(A612,Data!$A:$AH,MATCH(Country!$A$1,Data!$A$1:$AH$1,),)</f>
        <v/>
      </c>
      <c r="C612" s="59">
        <f>IF(B600&gt;0,(Table2[[#This Row],[Country]]-B600)/B600,0)</f>
        <v/>
      </c>
      <c r="D612" s="59">
        <f>IF(Table2[[#This Row],[Country]]&gt;0,(((Table2[[#This Row],[Country]]-B611)/B611)+1)^12-1,"")</f>
        <v/>
      </c>
    </row>
    <row r="613">
      <c r="A613" s="35" t="n">
        <v>40756</v>
      </c>
      <c r="B613" s="36">
        <f>VLOOKUP(A613,Data!$A:$AH,MATCH(Country!$A$1,Data!$A$1:$AH$1,),)</f>
        <v/>
      </c>
      <c r="C613" s="59">
        <f>IF(B601&gt;0,(Table2[[#This Row],[Country]]-B601)/B601,0)</f>
        <v/>
      </c>
      <c r="D613" s="59">
        <f>IF(Table2[[#This Row],[Country]]&gt;0,(((Table2[[#This Row],[Country]]-B612)/B612)+1)^12-1,"")</f>
        <v/>
      </c>
    </row>
    <row r="614">
      <c r="A614" s="35" t="n">
        <v>40787</v>
      </c>
      <c r="B614" s="36">
        <f>VLOOKUP(A614,Data!$A:$AH,MATCH(Country!$A$1,Data!$A$1:$AH$1,),)</f>
        <v/>
      </c>
      <c r="C614" s="59">
        <f>IF(B602&gt;0,(Table2[[#This Row],[Country]]-B602)/B602,0)</f>
        <v/>
      </c>
      <c r="D614" s="59">
        <f>IF(Table2[[#This Row],[Country]]&gt;0,(((Table2[[#This Row],[Country]]-B613)/B613)+1)^12-1,"")</f>
        <v/>
      </c>
    </row>
    <row r="615">
      <c r="A615" s="35" t="n">
        <v>40817</v>
      </c>
      <c r="B615" s="36">
        <f>VLOOKUP(A615,Data!$A:$AH,MATCH(Country!$A$1,Data!$A$1:$AH$1,),)</f>
        <v/>
      </c>
      <c r="C615" s="59">
        <f>IF(B603&gt;0,(Table2[[#This Row],[Country]]-B603)/B603,0)</f>
        <v/>
      </c>
      <c r="D615" s="59">
        <f>IF(Table2[[#This Row],[Country]]&gt;0,(((Table2[[#This Row],[Country]]-B614)/B614)+1)^12-1,"")</f>
        <v/>
      </c>
    </row>
    <row r="616">
      <c r="A616" s="35" t="n">
        <v>40848</v>
      </c>
      <c r="B616" s="36">
        <f>VLOOKUP(A616,Data!$A:$AH,MATCH(Country!$A$1,Data!$A$1:$AH$1,),)</f>
        <v/>
      </c>
      <c r="C616" s="59">
        <f>IF(B604&gt;0,(Table2[[#This Row],[Country]]-B604)/B604,0)</f>
        <v/>
      </c>
      <c r="D616" s="59">
        <f>IF(Table2[[#This Row],[Country]]&gt;0,(((Table2[[#This Row],[Country]]-B615)/B615)+1)^12-1,"")</f>
        <v/>
      </c>
    </row>
    <row r="617">
      <c r="A617" s="35" t="n">
        <v>40878</v>
      </c>
      <c r="B617" s="36">
        <f>VLOOKUP(A617,Data!$A:$AH,MATCH(Country!$A$1,Data!$A$1:$AH$1,),)</f>
        <v/>
      </c>
      <c r="C617" s="59">
        <f>IF(B605&gt;0,(Table2[[#This Row],[Country]]-B605)/B605,0)</f>
        <v/>
      </c>
      <c r="D617" s="59">
        <f>IF(Table2[[#This Row],[Country]]&gt;0,(((Table2[[#This Row],[Country]]-B616)/B616)+1)^12-1,"")</f>
        <v/>
      </c>
    </row>
    <row r="618">
      <c r="A618" s="35" t="n">
        <v>40909</v>
      </c>
      <c r="B618" s="36">
        <f>VLOOKUP(A618,Data!$A:$AH,MATCH(Country!$A$1,Data!$A$1:$AH$1,),)</f>
        <v/>
      </c>
      <c r="C618" s="59">
        <f>IF(B606&gt;0,(Table2[[#This Row],[Country]]-B606)/B606,0)</f>
        <v/>
      </c>
      <c r="D618" s="59">
        <f>IF(Table2[[#This Row],[Country]]&gt;0,(((Table2[[#This Row],[Country]]-B617)/B617)+1)^12-1,"")</f>
        <v/>
      </c>
    </row>
    <row r="619">
      <c r="A619" s="35" t="n">
        <v>40940</v>
      </c>
      <c r="B619" s="36">
        <f>VLOOKUP(A619,Data!$A:$AH,MATCH(Country!$A$1,Data!$A$1:$AH$1,),)</f>
        <v/>
      </c>
      <c r="C619" s="59">
        <f>IF(B607&gt;0,(Table2[[#This Row],[Country]]-B607)/B607,0)</f>
        <v/>
      </c>
      <c r="D619" s="59">
        <f>IF(Table2[[#This Row],[Country]]&gt;0,(((Table2[[#This Row],[Country]]-B618)/B618)+1)^12-1,"")</f>
        <v/>
      </c>
    </row>
    <row r="620">
      <c r="A620" s="35" t="n">
        <v>40969</v>
      </c>
      <c r="B620" s="36">
        <f>VLOOKUP(A620,Data!$A:$AH,MATCH(Country!$A$1,Data!$A$1:$AH$1,),)</f>
        <v/>
      </c>
      <c r="C620" s="59">
        <f>IF(B608&gt;0,(Table2[[#This Row],[Country]]-B608)/B608,0)</f>
        <v/>
      </c>
      <c r="D620" s="59">
        <f>IF(Table2[[#This Row],[Country]]&gt;0,(((Table2[[#This Row],[Country]]-B619)/B619)+1)^12-1,"")</f>
        <v/>
      </c>
    </row>
    <row r="621">
      <c r="A621" s="35" t="n">
        <v>41000</v>
      </c>
      <c r="B621" s="36">
        <f>VLOOKUP(A621,Data!$A:$AH,MATCH(Country!$A$1,Data!$A$1:$AH$1,),)</f>
        <v/>
      </c>
      <c r="C621" s="59">
        <f>IF(B609&gt;0,(Table2[[#This Row],[Country]]-B609)/B609,0)</f>
        <v/>
      </c>
      <c r="D621" s="59">
        <f>IF(Table2[[#This Row],[Country]]&gt;0,(((Table2[[#This Row],[Country]]-B620)/B620)+1)^12-1,"")</f>
        <v/>
      </c>
    </row>
    <row r="622">
      <c r="A622" s="35" t="n">
        <v>41030</v>
      </c>
      <c r="B622" s="36">
        <f>VLOOKUP(A622,Data!$A:$AH,MATCH(Country!$A$1,Data!$A$1:$AH$1,),)</f>
        <v/>
      </c>
      <c r="C622" s="59">
        <f>IF(B610&gt;0,(Table2[[#This Row],[Country]]-B610)/B610,0)</f>
        <v/>
      </c>
      <c r="D622" s="59">
        <f>IF(Table2[[#This Row],[Country]]&gt;0,(((Table2[[#This Row],[Country]]-B621)/B621)+1)^12-1,"")</f>
        <v/>
      </c>
    </row>
    <row r="623">
      <c r="A623" s="35" t="n">
        <v>41061</v>
      </c>
      <c r="B623" s="36">
        <f>VLOOKUP(A623,Data!$A:$AH,MATCH(Country!$A$1,Data!$A$1:$AH$1,),)</f>
        <v/>
      </c>
      <c r="C623" s="59">
        <f>IF(B611&gt;0,(Table2[[#This Row],[Country]]-B611)/B611,0)</f>
        <v/>
      </c>
      <c r="D623" s="59">
        <f>IF(Table2[[#This Row],[Country]]&gt;0,(((Table2[[#This Row],[Country]]-B622)/B622)+1)^12-1,"")</f>
        <v/>
      </c>
    </row>
    <row r="624">
      <c r="A624" s="35" t="n">
        <v>41091</v>
      </c>
      <c r="B624" s="36">
        <f>VLOOKUP(A624,Data!$A:$AH,MATCH(Country!$A$1,Data!$A$1:$AH$1,),)</f>
        <v/>
      </c>
      <c r="C624" s="59">
        <f>IF(B612&gt;0,(Table2[[#This Row],[Country]]-B612)/B612,0)</f>
        <v/>
      </c>
      <c r="D624" s="59">
        <f>IF(Table2[[#This Row],[Country]]&gt;0,(((Table2[[#This Row],[Country]]-B623)/B623)+1)^12-1,"")</f>
        <v/>
      </c>
    </row>
    <row r="625">
      <c r="A625" s="35" t="n">
        <v>41122</v>
      </c>
      <c r="B625" s="36">
        <f>VLOOKUP(A625,Data!$A:$AH,MATCH(Country!$A$1,Data!$A$1:$AH$1,),)</f>
        <v/>
      </c>
      <c r="C625" s="59">
        <f>IF(B613&gt;0,(Table2[[#This Row],[Country]]-B613)/B613,0)</f>
        <v/>
      </c>
      <c r="D625" s="59">
        <f>IF(Table2[[#This Row],[Country]]&gt;0,(((Table2[[#This Row],[Country]]-B624)/B624)+1)^12-1,"")</f>
        <v/>
      </c>
    </row>
    <row r="626">
      <c r="A626" s="35" t="n">
        <v>41153</v>
      </c>
      <c r="B626" s="36">
        <f>VLOOKUP(A626,Data!$A:$AH,MATCH(Country!$A$1,Data!$A$1:$AH$1,),)</f>
        <v/>
      </c>
      <c r="C626" s="59">
        <f>IF(B614&gt;0,(Table2[[#This Row],[Country]]-B614)/B614,0)</f>
        <v/>
      </c>
      <c r="D626" s="59">
        <f>IF(Table2[[#This Row],[Country]]&gt;0,(((Table2[[#This Row],[Country]]-B625)/B625)+1)^12-1,"")</f>
        <v/>
      </c>
    </row>
    <row r="627">
      <c r="A627" s="35" t="n">
        <v>41183</v>
      </c>
      <c r="B627" s="36">
        <f>VLOOKUP(A627,Data!$A:$AH,MATCH(Country!$A$1,Data!$A$1:$AH$1,),)</f>
        <v/>
      </c>
      <c r="C627" s="59">
        <f>IF(B615&gt;0,(Table2[[#This Row],[Country]]-B615)/B615,0)</f>
        <v/>
      </c>
      <c r="D627" s="59">
        <f>IF(Table2[[#This Row],[Country]]&gt;0,(((Table2[[#This Row],[Country]]-B626)/B626)+1)^12-1,"")</f>
        <v/>
      </c>
    </row>
    <row r="628">
      <c r="A628" s="35" t="n">
        <v>41214</v>
      </c>
      <c r="B628" s="36">
        <f>VLOOKUP(A628,Data!$A:$AH,MATCH(Country!$A$1,Data!$A$1:$AH$1,),)</f>
        <v/>
      </c>
      <c r="C628" s="59">
        <f>IF(B616&gt;0,(Table2[[#This Row],[Country]]-B616)/B616,0)</f>
        <v/>
      </c>
      <c r="D628" s="59">
        <f>IF(Table2[[#This Row],[Country]]&gt;0,(((Table2[[#This Row],[Country]]-B627)/B627)+1)^12-1,"")</f>
        <v/>
      </c>
    </row>
    <row r="629">
      <c r="A629" s="35" t="n">
        <v>41244</v>
      </c>
      <c r="B629" s="36">
        <f>VLOOKUP(A629,Data!$A:$AH,MATCH(Country!$A$1,Data!$A$1:$AH$1,),)</f>
        <v/>
      </c>
      <c r="C629" s="59">
        <f>IF(B617&gt;0,(Table2[[#This Row],[Country]]-B617)/B617,0)</f>
        <v/>
      </c>
      <c r="D629" s="59">
        <f>IF(Table2[[#This Row],[Country]]&gt;0,(((Table2[[#This Row],[Country]]-B628)/B628)+1)^12-1,"")</f>
        <v/>
      </c>
    </row>
    <row r="630">
      <c r="A630" s="35" t="n">
        <v>41275</v>
      </c>
      <c r="B630" s="36">
        <f>VLOOKUP(A630,Data!$A:$AH,MATCH(Country!$A$1,Data!$A$1:$AH$1,),)</f>
        <v/>
      </c>
      <c r="C630" s="59">
        <f>IF(B618&gt;0,(Table2[[#This Row],[Country]]-B618)/B618,0)</f>
        <v/>
      </c>
      <c r="D630" s="59">
        <f>IF(Table2[[#This Row],[Country]]&gt;0,(((Table2[[#This Row],[Country]]-B629)/B629)+1)^12-1,"")</f>
        <v/>
      </c>
    </row>
    <row r="631">
      <c r="A631" s="35" t="n">
        <v>41306</v>
      </c>
      <c r="B631" s="36">
        <f>VLOOKUP(A631,Data!$A:$AH,MATCH(Country!$A$1,Data!$A$1:$AH$1,),)</f>
        <v/>
      </c>
      <c r="C631" s="59">
        <f>IF(B619&gt;0,(Table2[[#This Row],[Country]]-B619)/B619,0)</f>
        <v/>
      </c>
      <c r="D631" s="59">
        <f>IF(Table2[[#This Row],[Country]]&gt;0,(((Table2[[#This Row],[Country]]-B630)/B630)+1)^12-1,"")</f>
        <v/>
      </c>
    </row>
    <row r="632">
      <c r="A632" s="35" t="n">
        <v>41334</v>
      </c>
      <c r="B632" s="36">
        <f>VLOOKUP(A632,Data!$A:$AH,MATCH(Country!$A$1,Data!$A$1:$AH$1,),)</f>
        <v/>
      </c>
      <c r="C632" s="59">
        <f>IF(B620&gt;0,(Table2[[#This Row],[Country]]-B620)/B620,0)</f>
        <v/>
      </c>
      <c r="D632" s="59">
        <f>IF(Table2[[#This Row],[Country]]&gt;0,(((Table2[[#This Row],[Country]]-B631)/B631)+1)^12-1,"")</f>
        <v/>
      </c>
    </row>
    <row r="633">
      <c r="A633" s="35" t="n">
        <v>41365</v>
      </c>
      <c r="B633" s="36">
        <f>VLOOKUP(A633,Data!$A:$AH,MATCH(Country!$A$1,Data!$A$1:$AH$1,),)</f>
        <v/>
      </c>
      <c r="C633" s="59">
        <f>IF(B621&gt;0,(Table2[[#This Row],[Country]]-B621)/B621,0)</f>
        <v/>
      </c>
      <c r="D633" s="59">
        <f>IF(Table2[[#This Row],[Country]]&gt;0,(((Table2[[#This Row],[Country]]-B632)/B632)+1)^12-1,"")</f>
        <v/>
      </c>
    </row>
    <row r="634">
      <c r="A634" s="35" t="n">
        <v>41395</v>
      </c>
      <c r="B634" s="36">
        <f>VLOOKUP(A634,Data!$A:$AH,MATCH(Country!$A$1,Data!$A$1:$AH$1,),)</f>
        <v/>
      </c>
      <c r="C634" s="59">
        <f>IF(B622&gt;0,(Table2[[#This Row],[Country]]-B622)/B622,0)</f>
        <v/>
      </c>
      <c r="D634" s="59">
        <f>IF(Table2[[#This Row],[Country]]&gt;0,(((Table2[[#This Row],[Country]]-B633)/B633)+1)^12-1,"")</f>
        <v/>
      </c>
    </row>
    <row r="635">
      <c r="A635" s="35" t="n">
        <v>41426</v>
      </c>
      <c r="B635" s="36">
        <f>VLOOKUP(A635,Data!$A:$AH,MATCH(Country!$A$1,Data!$A$1:$AH$1,),)</f>
        <v/>
      </c>
      <c r="C635" s="59">
        <f>IF(B623&gt;0,(Table2[[#This Row],[Country]]-B623)/B623,0)</f>
        <v/>
      </c>
      <c r="D635" s="59">
        <f>IF(Table2[[#This Row],[Country]]&gt;0,(((Table2[[#This Row],[Country]]-B634)/B634)+1)^12-1,"")</f>
        <v/>
      </c>
    </row>
    <row r="636">
      <c r="A636" s="35" t="n">
        <v>41456</v>
      </c>
      <c r="B636" s="36">
        <f>VLOOKUP(A636,Data!$A:$AH,MATCH(Country!$A$1,Data!$A$1:$AH$1,),)</f>
        <v/>
      </c>
      <c r="C636" s="59">
        <f>IF(B624&gt;0,(Table2[[#This Row],[Country]]-B624)/B624,0)</f>
        <v/>
      </c>
      <c r="D636" s="59">
        <f>IF(Table2[[#This Row],[Country]]&gt;0,(((Table2[[#This Row],[Country]]-B635)/B635)+1)^12-1,"")</f>
        <v/>
      </c>
    </row>
    <row r="637">
      <c r="A637" s="35" t="n">
        <v>41487</v>
      </c>
      <c r="B637" s="36">
        <f>VLOOKUP(A637,Data!$A:$AH,MATCH(Country!$A$1,Data!$A$1:$AH$1,),)</f>
        <v/>
      </c>
      <c r="C637" s="59">
        <f>IF(B625&gt;0,(Table2[[#This Row],[Country]]-B625)/B625,0)</f>
        <v/>
      </c>
      <c r="D637" s="59">
        <f>IF(Table2[[#This Row],[Country]]&gt;0,(((Table2[[#This Row],[Country]]-B636)/B636)+1)^12-1,"")</f>
        <v/>
      </c>
    </row>
    <row r="638">
      <c r="A638" s="35" t="n">
        <v>41518</v>
      </c>
      <c r="B638" s="36">
        <f>VLOOKUP(A638,Data!$A:$AH,MATCH(Country!$A$1,Data!$A$1:$AH$1,),)</f>
        <v/>
      </c>
      <c r="C638" s="59">
        <f>IF(B626&gt;0,(Table2[[#This Row],[Country]]-B626)/B626,0)</f>
        <v/>
      </c>
      <c r="D638" s="59">
        <f>IF(Table2[[#This Row],[Country]]&gt;0,(((Table2[[#This Row],[Country]]-B637)/B637)+1)^12-1,"")</f>
        <v/>
      </c>
    </row>
    <row r="639">
      <c r="A639" s="35" t="n">
        <v>41548</v>
      </c>
      <c r="B639" s="36">
        <f>VLOOKUP(A639,Data!$A:$AH,MATCH(Country!$A$1,Data!$A$1:$AH$1,),)</f>
        <v/>
      </c>
      <c r="C639" s="59">
        <f>IF(B627&gt;0,(Table2[[#This Row],[Country]]-B627)/B627,0)</f>
        <v/>
      </c>
      <c r="D639" s="59">
        <f>IF(Table2[[#This Row],[Country]]&gt;0,(((Table2[[#This Row],[Country]]-B638)/B638)+1)^12-1,"")</f>
        <v/>
      </c>
    </row>
    <row r="640">
      <c r="A640" s="35" t="n">
        <v>41579</v>
      </c>
      <c r="B640" s="36">
        <f>VLOOKUP(A640,Data!$A:$AH,MATCH(Country!$A$1,Data!$A$1:$AH$1,),)</f>
        <v/>
      </c>
      <c r="C640" s="59">
        <f>IF(B628&gt;0,(Table2[[#This Row],[Country]]-B628)/B628,0)</f>
        <v/>
      </c>
      <c r="D640" s="59">
        <f>IF(Table2[[#This Row],[Country]]&gt;0,(((Table2[[#This Row],[Country]]-B639)/B639)+1)^12-1,"")</f>
        <v/>
      </c>
    </row>
    <row r="641">
      <c r="A641" s="35" t="n">
        <v>41609</v>
      </c>
      <c r="B641" s="36">
        <f>VLOOKUP(A641,Data!$A:$AH,MATCH(Country!$A$1,Data!$A$1:$AH$1,),)</f>
        <v/>
      </c>
      <c r="C641" s="59">
        <f>IF(B629&gt;0,(Table2[[#This Row],[Country]]-B629)/B629,0)</f>
        <v/>
      </c>
      <c r="D641" s="59">
        <f>IF(Table2[[#This Row],[Country]]&gt;0,(((Table2[[#This Row],[Country]]-B640)/B640)+1)^12-1,"")</f>
        <v/>
      </c>
    </row>
    <row r="642">
      <c r="A642" s="35" t="n">
        <v>41640</v>
      </c>
      <c r="B642" s="36">
        <f>VLOOKUP(A642,Data!$A:$AH,MATCH(Country!$A$1,Data!$A$1:$AH$1,),)</f>
        <v/>
      </c>
      <c r="C642" s="59">
        <f>IF(B630&gt;0,(Table2[[#This Row],[Country]]-B630)/B630,0)</f>
        <v/>
      </c>
      <c r="D642" s="59">
        <f>IF(Table2[[#This Row],[Country]]&gt;0,(((Table2[[#This Row],[Country]]-B641)/B641)+1)^12-1,"")</f>
        <v/>
      </c>
    </row>
    <row r="643">
      <c r="A643" s="35" t="n">
        <v>41671</v>
      </c>
      <c r="B643" s="36">
        <f>VLOOKUP(A643,Data!$A:$AH,MATCH(Country!$A$1,Data!$A$1:$AH$1,),)</f>
        <v/>
      </c>
      <c r="C643" s="59">
        <f>IF(B631&gt;0,(Table2[[#This Row],[Country]]-B631)/B631,0)</f>
        <v/>
      </c>
      <c r="D643" s="59">
        <f>IF(Table2[[#This Row],[Country]]&gt;0,(((Table2[[#This Row],[Country]]-B642)/B642)+1)^12-1,"")</f>
        <v/>
      </c>
    </row>
    <row r="644">
      <c r="A644" s="35" t="n">
        <v>41699</v>
      </c>
      <c r="B644" s="36">
        <f>VLOOKUP(A644,Data!$A:$AH,MATCH(Country!$A$1,Data!$A$1:$AH$1,),)</f>
        <v/>
      </c>
      <c r="C644" s="59">
        <f>IF(B632&gt;0,(Table2[[#This Row],[Country]]-B632)/B632,0)</f>
        <v/>
      </c>
      <c r="D644" s="59">
        <f>IF(Table2[[#This Row],[Country]]&gt;0,(((Table2[[#This Row],[Country]]-B643)/B643)+1)^12-1,"")</f>
        <v/>
      </c>
    </row>
    <row r="645">
      <c r="A645" s="35" t="n">
        <v>41730</v>
      </c>
      <c r="B645" s="36">
        <f>VLOOKUP(A645,Data!$A:$AH,MATCH(Country!$A$1,Data!$A$1:$AH$1,),)</f>
        <v/>
      </c>
      <c r="C645" s="59">
        <f>IF(B633&gt;0,(Table2[[#This Row],[Country]]-B633)/B633,0)</f>
        <v/>
      </c>
      <c r="D645" s="59">
        <f>IF(Table2[[#This Row],[Country]]&gt;0,(((Table2[[#This Row],[Country]]-B644)/B644)+1)^12-1,"")</f>
        <v/>
      </c>
    </row>
    <row r="646">
      <c r="A646" s="35" t="n">
        <v>41760</v>
      </c>
      <c r="B646" s="36">
        <f>VLOOKUP(A646,Data!$A:$AH,MATCH(Country!$A$1,Data!$A$1:$AH$1,),)</f>
        <v/>
      </c>
      <c r="C646" s="59">
        <f>IF(B634&gt;0,(Table2[[#This Row],[Country]]-B634)/B634,0)</f>
        <v/>
      </c>
      <c r="D646" s="59">
        <f>IF(Table2[[#This Row],[Country]]&gt;0,(((Table2[[#This Row],[Country]]-B645)/B645)+1)^12-1,"")</f>
        <v/>
      </c>
    </row>
    <row r="647">
      <c r="A647" s="35" t="n">
        <v>41791</v>
      </c>
      <c r="B647" s="36">
        <f>VLOOKUP(A647,Data!$A:$AH,MATCH(Country!$A$1,Data!$A$1:$AH$1,),)</f>
        <v/>
      </c>
      <c r="C647" s="59">
        <f>IF(B635&gt;0,(Table2[[#This Row],[Country]]-B635)/B635,0)</f>
        <v/>
      </c>
      <c r="D647" s="59">
        <f>IF(Table2[[#This Row],[Country]]&gt;0,(((Table2[[#This Row],[Country]]-B646)/B646)+1)^12-1,"")</f>
        <v/>
      </c>
    </row>
    <row r="648">
      <c r="A648" s="35" t="n">
        <v>41821</v>
      </c>
      <c r="B648" s="36">
        <f>VLOOKUP(A648,Data!$A:$AH,MATCH(Country!$A$1,Data!$A$1:$AH$1,),)</f>
        <v/>
      </c>
      <c r="C648" s="59">
        <f>IF(B636&gt;0,(Table2[[#This Row],[Country]]-B636)/B636,0)</f>
        <v/>
      </c>
      <c r="D648" s="59">
        <f>IF(Table2[[#This Row],[Country]]&gt;0,(((Table2[[#This Row],[Country]]-B647)/B647)+1)^12-1,"")</f>
        <v/>
      </c>
    </row>
    <row r="649">
      <c r="A649" s="35" t="n">
        <v>41852</v>
      </c>
      <c r="B649" s="36">
        <f>VLOOKUP(A649,Data!$A:$AH,MATCH(Country!$A$1,Data!$A$1:$AH$1,),)</f>
        <v/>
      </c>
      <c r="C649" s="59">
        <f>IF(B637&gt;0,(Table2[[#This Row],[Country]]-B637)/B637,0)</f>
        <v/>
      </c>
      <c r="D649" s="59">
        <f>IF(Table2[[#This Row],[Country]]&gt;0,(((Table2[[#This Row],[Country]]-B648)/B648)+1)^12-1,"")</f>
        <v/>
      </c>
    </row>
    <row r="650">
      <c r="A650" s="35" t="n">
        <v>41883</v>
      </c>
      <c r="B650" s="36">
        <f>VLOOKUP(A650,Data!$A:$AH,MATCH(Country!$A$1,Data!$A$1:$AH$1,),)</f>
        <v/>
      </c>
      <c r="C650" s="59">
        <f>IF(B638&gt;0,(Table2[[#This Row],[Country]]-B638)/B638,0)</f>
        <v/>
      </c>
      <c r="D650" s="59">
        <f>IF(Table2[[#This Row],[Country]]&gt;0,(((Table2[[#This Row],[Country]]-B649)/B649)+1)^12-1,"")</f>
        <v/>
      </c>
    </row>
    <row r="651">
      <c r="A651" s="35" t="n">
        <v>41913</v>
      </c>
      <c r="B651" s="36">
        <f>VLOOKUP(A651,Data!$A:$AH,MATCH(Country!$A$1,Data!$A$1:$AH$1,),)</f>
        <v/>
      </c>
      <c r="C651" s="59">
        <f>IF(B639&gt;0,(Table2[[#This Row],[Country]]-B639)/B639,0)</f>
        <v/>
      </c>
      <c r="D651" s="59">
        <f>IF(Table2[[#This Row],[Country]]&gt;0,(((Table2[[#This Row],[Country]]-B650)/B650)+1)^12-1,"")</f>
        <v/>
      </c>
    </row>
    <row r="652">
      <c r="A652" s="35" t="n">
        <v>41944</v>
      </c>
      <c r="B652" s="36">
        <f>VLOOKUP(A652,Data!$A:$AH,MATCH(Country!$A$1,Data!$A$1:$AH$1,),)</f>
        <v/>
      </c>
      <c r="C652" s="59">
        <f>IF(B640&gt;0,(Table2[[#This Row],[Country]]-B640)/B640,0)</f>
        <v/>
      </c>
      <c r="D652" s="59">
        <f>IF(Table2[[#This Row],[Country]]&gt;0,(((Table2[[#This Row],[Country]]-B651)/B651)+1)^12-1,"")</f>
        <v/>
      </c>
    </row>
    <row r="653">
      <c r="A653" s="35" t="n">
        <v>41974</v>
      </c>
      <c r="B653" s="36">
        <f>VLOOKUP(A653,Data!$A:$AH,MATCH(Country!$A$1,Data!$A$1:$AH$1,),)</f>
        <v/>
      </c>
      <c r="C653" s="59">
        <f>IF(B641&gt;0,(Table2[[#This Row],[Country]]-B641)/B641,0)</f>
        <v/>
      </c>
      <c r="D653" s="59">
        <f>IF(Table2[[#This Row],[Country]]&gt;0,(((Table2[[#This Row],[Country]]-B652)/B652)+1)^12-1,"")</f>
        <v/>
      </c>
    </row>
    <row r="654">
      <c r="A654" s="35" t="n">
        <v>42005</v>
      </c>
      <c r="B654" s="36">
        <f>VLOOKUP(A654,Data!$A:$AH,MATCH(Country!$A$1,Data!$A$1:$AH$1,),)</f>
        <v/>
      </c>
      <c r="C654" s="59">
        <f>IF(B642&gt;0,(Table2[[#This Row],[Country]]-B642)/B642,0)</f>
        <v/>
      </c>
      <c r="D654" s="59">
        <f>IF(Table2[[#This Row],[Country]]&gt;0,(((Table2[[#This Row],[Country]]-B653)/B653)+1)^12-1,"")</f>
        <v/>
      </c>
    </row>
    <row r="655">
      <c r="A655" s="35" t="n">
        <v>42036</v>
      </c>
      <c r="B655" s="36">
        <f>VLOOKUP(A655,Data!$A:$AH,MATCH(Country!$A$1,Data!$A$1:$AH$1,),)</f>
        <v/>
      </c>
      <c r="C655" s="59">
        <f>IF(B643&gt;0,(Table2[[#This Row],[Country]]-B643)/B643,0)</f>
        <v/>
      </c>
      <c r="D655" s="59">
        <f>IF(Table2[[#This Row],[Country]]&gt;0,(((Table2[[#This Row],[Country]]-B654)/B654)+1)^12-1,"")</f>
        <v/>
      </c>
    </row>
    <row r="656">
      <c r="A656" s="35" t="n">
        <v>42064</v>
      </c>
      <c r="B656" s="36">
        <f>VLOOKUP(A656,Data!$A:$AH,MATCH(Country!$A$1,Data!$A$1:$AH$1,),)</f>
        <v/>
      </c>
      <c r="C656" s="59">
        <f>IF(B644&gt;0,(Table2[[#This Row],[Country]]-B644)/B644,0)</f>
        <v/>
      </c>
      <c r="D656" s="59">
        <f>IF(Table2[[#This Row],[Country]]&gt;0,(((Table2[[#This Row],[Country]]-B655)/B655)+1)^12-1,"")</f>
        <v/>
      </c>
    </row>
    <row r="657">
      <c r="A657" s="35" t="n">
        <v>42095</v>
      </c>
      <c r="B657" s="36">
        <f>VLOOKUP(A657,Data!$A:$AH,MATCH(Country!$A$1,Data!$A$1:$AH$1,),)</f>
        <v/>
      </c>
      <c r="C657" s="59">
        <f>IF(B645&gt;0,(Table2[[#This Row],[Country]]-B645)/B645,0)</f>
        <v/>
      </c>
      <c r="D657" s="59">
        <f>IF(Table2[[#This Row],[Country]]&gt;0,(((Table2[[#This Row],[Country]]-B656)/B656)+1)^12-1,"")</f>
        <v/>
      </c>
    </row>
    <row r="658">
      <c r="A658" s="35" t="n">
        <v>42125</v>
      </c>
      <c r="B658" s="36">
        <f>VLOOKUP(A658,Data!$A:$AH,MATCH(Country!$A$1,Data!$A$1:$AH$1,),)</f>
        <v/>
      </c>
      <c r="C658" s="59">
        <f>IF(B646&gt;0,(Table2[[#This Row],[Country]]-B646)/B646,0)</f>
        <v/>
      </c>
      <c r="D658" s="59">
        <f>IF(Table2[[#This Row],[Country]]&gt;0,(((Table2[[#This Row],[Country]]-B657)/B657)+1)^12-1,"")</f>
        <v/>
      </c>
    </row>
    <row r="659">
      <c r="A659" s="35" t="n">
        <v>42156</v>
      </c>
      <c r="B659" s="36">
        <f>VLOOKUP(A659,Data!$A:$AH,MATCH(Country!$A$1,Data!$A$1:$AH$1,),)</f>
        <v/>
      </c>
      <c r="C659" s="59">
        <f>IF(B647&gt;0,(Table2[[#This Row],[Country]]-B647)/B647,0)</f>
        <v/>
      </c>
      <c r="D659" s="59">
        <f>IF(Table2[[#This Row],[Country]]&gt;0,(((Table2[[#This Row],[Country]]-B658)/B658)+1)^12-1,"")</f>
        <v/>
      </c>
    </row>
    <row r="660">
      <c r="A660" s="35" t="n">
        <v>42186</v>
      </c>
      <c r="B660" s="36">
        <f>VLOOKUP(A660,Data!$A:$AH,MATCH(Country!$A$1,Data!$A$1:$AH$1,),)</f>
        <v/>
      </c>
      <c r="C660" s="59">
        <f>IF(B648&gt;0,(Table2[[#This Row],[Country]]-B648)/B648,0)</f>
        <v/>
      </c>
      <c r="D660" s="59">
        <f>IF(Table2[[#This Row],[Country]]&gt;0,(((Table2[[#This Row],[Country]]-B659)/B659)+1)^12-1,"")</f>
        <v/>
      </c>
    </row>
    <row r="661">
      <c r="A661" s="35" t="n">
        <v>42217</v>
      </c>
      <c r="B661" s="36">
        <f>VLOOKUP(A661,Data!$A:$AH,MATCH(Country!$A$1,Data!$A$1:$AH$1,),)</f>
        <v/>
      </c>
      <c r="C661" s="59">
        <f>IF(B649&gt;0,(Table2[[#This Row],[Country]]-B649)/B649,0)</f>
        <v/>
      </c>
      <c r="D661" s="59">
        <f>IF(Table2[[#This Row],[Country]]&gt;0,(((Table2[[#This Row],[Country]]-B660)/B660)+1)^12-1,"")</f>
        <v/>
      </c>
    </row>
    <row r="662">
      <c r="A662" s="35" t="n">
        <v>42248</v>
      </c>
      <c r="B662" s="36">
        <f>VLOOKUP(A662,Data!$A:$AH,MATCH(Country!$A$1,Data!$A$1:$AH$1,),)</f>
        <v/>
      </c>
      <c r="C662" s="59">
        <f>IF(B650&gt;0,(Table2[[#This Row],[Country]]-B650)/B650,0)</f>
        <v/>
      </c>
      <c r="D662" s="59">
        <f>IF(Table2[[#This Row],[Country]]&gt;0,(((Table2[[#This Row],[Country]]-B661)/B661)+1)^12-1,"")</f>
        <v/>
      </c>
    </row>
    <row r="663">
      <c r="A663" s="35" t="n">
        <v>42278</v>
      </c>
      <c r="B663" s="36">
        <f>VLOOKUP(A663,Data!$A:$AH,MATCH(Country!$A$1,Data!$A$1:$AH$1,),)</f>
        <v/>
      </c>
      <c r="C663" s="59">
        <f>IF(B651&gt;0,(Table2[[#This Row],[Country]]-B651)/B651,0)</f>
        <v/>
      </c>
      <c r="D663" s="59">
        <f>IF(Table2[[#This Row],[Country]]&gt;0,(((Table2[[#This Row],[Country]]-B662)/B662)+1)^12-1,"")</f>
        <v/>
      </c>
    </row>
    <row r="664">
      <c r="A664" s="35" t="n">
        <v>42309</v>
      </c>
      <c r="B664" s="36">
        <f>VLOOKUP(A664,Data!$A:$AH,MATCH(Country!$A$1,Data!$A$1:$AH$1,),)</f>
        <v/>
      </c>
      <c r="C664" s="59">
        <f>IF(B652&gt;0,(Table2[[#This Row],[Country]]-B652)/B652,0)</f>
        <v/>
      </c>
      <c r="D664" s="59">
        <f>IF(Table2[[#This Row],[Country]]&gt;0,(((Table2[[#This Row],[Country]]-B663)/B663)+1)^12-1,"")</f>
        <v/>
      </c>
    </row>
    <row r="665">
      <c r="A665" s="35" t="n">
        <v>42339</v>
      </c>
      <c r="B665" s="36">
        <f>VLOOKUP(A665,Data!$A:$AH,MATCH(Country!$A$1,Data!$A$1:$AH$1,),)</f>
        <v/>
      </c>
      <c r="C665" s="59">
        <f>IF(B653&gt;0,(Table2[[#This Row],[Country]]-B653)/B653,0)</f>
        <v/>
      </c>
      <c r="D665" s="59">
        <f>IF(Table2[[#This Row],[Country]]&gt;0,(((Table2[[#This Row],[Country]]-B664)/B664)+1)^12-1,"")</f>
        <v/>
      </c>
    </row>
    <row r="666">
      <c r="A666" s="35" t="n">
        <v>42370</v>
      </c>
      <c r="B666" s="36">
        <f>VLOOKUP(A666,Data!$A:$AH,MATCH(Country!$A$1,Data!$A$1:$AH$1,),)</f>
        <v/>
      </c>
      <c r="C666" s="59">
        <f>IF(B654&gt;0,(Table2[[#This Row],[Country]]-B654)/B654,0)</f>
        <v/>
      </c>
      <c r="D666" s="59">
        <f>IF(Table2[[#This Row],[Country]]&gt;0,(((Table2[[#This Row],[Country]]-B665)/B665)+1)^12-1,"")</f>
        <v/>
      </c>
    </row>
    <row r="667">
      <c r="A667" s="35" t="n">
        <v>42401</v>
      </c>
      <c r="B667" s="36">
        <f>VLOOKUP(A667,Data!$A:$AH,MATCH(Country!$A$1,Data!$A$1:$AH$1,),)</f>
        <v/>
      </c>
      <c r="C667" s="59">
        <f>IF(B655&gt;0,(Table2[[#This Row],[Country]]-B655)/B655,0)</f>
        <v/>
      </c>
      <c r="D667" s="59">
        <f>IF(Table2[[#This Row],[Country]]&gt;0,(((Table2[[#This Row],[Country]]-B666)/B666)+1)^12-1,"")</f>
        <v/>
      </c>
    </row>
    <row r="668">
      <c r="A668" s="35" t="n">
        <v>42430</v>
      </c>
      <c r="B668" s="36">
        <f>VLOOKUP(A668,Data!$A:$AH,MATCH(Country!$A$1,Data!$A$1:$AH$1,),)</f>
        <v/>
      </c>
      <c r="C668" s="59">
        <f>IF(B656&gt;0,(Table2[[#This Row],[Country]]-B656)/B656,0)</f>
        <v/>
      </c>
      <c r="D668" s="59">
        <f>IF(Table2[[#This Row],[Country]]&gt;0,(((Table2[[#This Row],[Country]]-B667)/B667)+1)^12-1,"")</f>
        <v/>
      </c>
    </row>
    <row r="669">
      <c r="A669" s="35" t="n">
        <v>42461</v>
      </c>
      <c r="B669" s="36">
        <f>VLOOKUP(A669,Data!$A:$AH,MATCH(Country!$A$1,Data!$A$1:$AH$1,),)</f>
        <v/>
      </c>
      <c r="C669" s="59">
        <f>IF(B657&gt;0,(Table2[[#This Row],[Country]]-B657)/B657,0)</f>
        <v/>
      </c>
      <c r="D669" s="59">
        <f>IF(Table2[[#This Row],[Country]]&gt;0,(((Table2[[#This Row],[Country]]-B668)/B668)+1)^12-1,"")</f>
        <v/>
      </c>
    </row>
    <row r="670">
      <c r="A670" s="35" t="n">
        <v>42491</v>
      </c>
      <c r="B670" s="36">
        <f>VLOOKUP(A670,Data!$A:$AH,MATCH(Country!$A$1,Data!$A$1:$AH$1,),)</f>
        <v/>
      </c>
      <c r="C670" s="59">
        <f>IF(B658&gt;0,(Table2[[#This Row],[Country]]-B658)/B658,0)</f>
        <v/>
      </c>
      <c r="D670" s="59">
        <f>IF(Table2[[#This Row],[Country]]&gt;0,(((Table2[[#This Row],[Country]]-B669)/B669)+1)^12-1,"")</f>
        <v/>
      </c>
    </row>
    <row r="671">
      <c r="A671" s="35" t="n">
        <v>42522</v>
      </c>
      <c r="B671" s="36">
        <f>VLOOKUP(A671,Data!$A:$AH,MATCH(Country!$A$1,Data!$A$1:$AH$1,),)</f>
        <v/>
      </c>
      <c r="C671" s="59">
        <f>IF(B659&gt;0,(Table2[[#This Row],[Country]]-B659)/B659,0)</f>
        <v/>
      </c>
      <c r="D671" s="59">
        <f>IF(Table2[[#This Row],[Country]]&gt;0,(((Table2[[#This Row],[Country]]-B670)/B670)+1)^12-1,"")</f>
        <v/>
      </c>
    </row>
    <row r="672">
      <c r="A672" s="35" t="n">
        <v>42552</v>
      </c>
      <c r="B672" s="36">
        <f>VLOOKUP(A672,Data!$A:$AH,MATCH(Country!$A$1,Data!$A$1:$AH$1,),)</f>
        <v/>
      </c>
      <c r="C672" s="59">
        <f>IF(B660&gt;0,(Table2[[#This Row],[Country]]-B660)/B660,0)</f>
        <v/>
      </c>
      <c r="D672" s="59">
        <f>IF(Table2[[#This Row],[Country]]&gt;0,(((Table2[[#This Row],[Country]]-B671)/B671)+1)^12-1,"")</f>
        <v/>
      </c>
    </row>
    <row r="673">
      <c r="A673" s="35" t="n">
        <v>42583</v>
      </c>
      <c r="B673" s="36">
        <f>VLOOKUP(A673,Data!$A:$AH,MATCH(Country!$A$1,Data!$A$1:$AH$1,),)</f>
        <v/>
      </c>
      <c r="C673" s="59">
        <f>IF(B661&gt;0,(Table2[[#This Row],[Country]]-B661)/B661,0)</f>
        <v/>
      </c>
      <c r="D673" s="59">
        <f>IF(Table2[[#This Row],[Country]]&gt;0,(((Table2[[#This Row],[Country]]-B672)/B672)+1)^12-1,"")</f>
        <v/>
      </c>
    </row>
    <row r="674">
      <c r="A674" s="35" t="n">
        <v>42614</v>
      </c>
      <c r="B674" s="36">
        <f>VLOOKUP(A674,Data!$A:$AH,MATCH(Country!$A$1,Data!$A$1:$AH$1,),)</f>
        <v/>
      </c>
      <c r="C674" s="59">
        <f>IF(B662&gt;0,(Table2[[#This Row],[Country]]-B662)/B662,0)</f>
        <v/>
      </c>
      <c r="D674" s="59">
        <f>IF(Table2[[#This Row],[Country]]&gt;0,(((Table2[[#This Row],[Country]]-B673)/B673)+1)^12-1,"")</f>
        <v/>
      </c>
    </row>
    <row r="675">
      <c r="A675" s="35" t="n">
        <v>42644</v>
      </c>
      <c r="B675" s="36">
        <f>VLOOKUP(A675,Data!$A:$AH,MATCH(Country!$A$1,Data!$A$1:$AH$1,),)</f>
        <v/>
      </c>
      <c r="C675" s="59">
        <f>IF(B663&gt;0,(Table2[[#This Row],[Country]]-B663)/B663,0)</f>
        <v/>
      </c>
      <c r="D675" s="59">
        <f>IF(Table2[[#This Row],[Country]]&gt;0,(((Table2[[#This Row],[Country]]-B674)/B674)+1)^12-1,"")</f>
        <v/>
      </c>
    </row>
    <row r="676">
      <c r="A676" s="35" t="n">
        <v>42675</v>
      </c>
      <c r="B676" s="36">
        <f>VLOOKUP(A676,Data!$A:$AH,MATCH(Country!$A$1,Data!$A$1:$AH$1,),)</f>
        <v/>
      </c>
      <c r="C676" s="59">
        <f>IF(B664&gt;0,(Table2[[#This Row],[Country]]-B664)/B664,0)</f>
        <v/>
      </c>
      <c r="D676" s="59">
        <f>IF(Table2[[#This Row],[Country]]&gt;0,(((Table2[[#This Row],[Country]]-B675)/B675)+1)^12-1,"")</f>
        <v/>
      </c>
    </row>
    <row r="677">
      <c r="A677" s="35" t="n">
        <v>42705</v>
      </c>
      <c r="B677" s="36">
        <f>VLOOKUP(A677,Data!$A:$AH,MATCH(Country!$A$1,Data!$A$1:$AH$1,),)</f>
        <v/>
      </c>
      <c r="C677" s="59">
        <f>IF(B665&gt;0,(Table2[[#This Row],[Country]]-B665)/B665,0)</f>
        <v/>
      </c>
      <c r="D677" s="59">
        <f>IF(Table2[[#This Row],[Country]]&gt;0,(((Table2[[#This Row],[Country]]-B676)/B676)+1)^12-1,"")</f>
        <v/>
      </c>
    </row>
    <row r="678">
      <c r="A678" s="35" t="n">
        <v>42736</v>
      </c>
      <c r="B678" s="36">
        <f>VLOOKUP(A678,Data!$A:$AH,MATCH(Country!$A$1,Data!$A$1:$AH$1,),)</f>
        <v/>
      </c>
      <c r="C678" s="59">
        <f>IF(B666&gt;0,(Table2[[#This Row],[Country]]-B666)/B666,0)</f>
        <v/>
      </c>
      <c r="D678" s="59">
        <f>IF(Table2[[#This Row],[Country]]&gt;0,(((Table2[[#This Row],[Country]]-B677)/B677)+1)^12-1,"")</f>
        <v/>
      </c>
    </row>
    <row r="679">
      <c r="A679" s="35" t="n">
        <v>42767</v>
      </c>
      <c r="B679" s="36">
        <f>VLOOKUP(A679,Data!$A:$AH,MATCH(Country!$A$1,Data!$A$1:$AH$1,),)</f>
        <v/>
      </c>
      <c r="C679" s="59">
        <f>IF(B667&gt;0,(Table2[[#This Row],[Country]]-B667)/B667,0)</f>
        <v/>
      </c>
      <c r="D679" s="59">
        <f>IF(Table2[[#This Row],[Country]]&gt;0,(((Table2[[#This Row],[Country]]-B678)/B678)+1)^12-1,"")</f>
        <v/>
      </c>
    </row>
    <row r="680">
      <c r="A680" s="35" t="n">
        <v>42795</v>
      </c>
      <c r="B680" s="36">
        <f>VLOOKUP(A680,Data!$A:$AH,MATCH(Country!$A$1,Data!$A$1:$AH$1,),)</f>
        <v/>
      </c>
      <c r="C680" s="59">
        <f>IF(B668&gt;0,(Table2[[#This Row],[Country]]-B668)/B668,0)</f>
        <v/>
      </c>
      <c r="D680" s="59">
        <f>IF(Table2[[#This Row],[Country]]&gt;0,(((Table2[[#This Row],[Country]]-B679)/B679)+1)^12-1,"")</f>
        <v/>
      </c>
    </row>
    <row r="681">
      <c r="A681" s="35" t="n">
        <v>42826</v>
      </c>
      <c r="B681" s="36">
        <f>VLOOKUP(A681,Data!$A:$AH,MATCH(Country!$A$1,Data!$A$1:$AH$1,),)</f>
        <v/>
      </c>
      <c r="C681" s="59">
        <f>IF(B669&gt;0,(Table2[[#This Row],[Country]]-B669)/B669,0)</f>
        <v/>
      </c>
      <c r="D681" s="59">
        <f>IF(Table2[[#This Row],[Country]]&gt;0,(((Table2[[#This Row],[Country]]-B680)/B680)+1)^12-1,"")</f>
        <v/>
      </c>
    </row>
    <row r="682">
      <c r="A682" s="35" t="n">
        <v>42856</v>
      </c>
      <c r="B682" s="36">
        <f>VLOOKUP(A682,Data!$A:$AH,MATCH(Country!$A$1,Data!$A$1:$AH$1,),)</f>
        <v/>
      </c>
      <c r="C682" s="59">
        <f>IF(B670&gt;0,(Table2[[#This Row],[Country]]-B670)/B670,0)</f>
        <v/>
      </c>
      <c r="D682" s="59">
        <f>IF(Table2[[#This Row],[Country]]&gt;0,(((Table2[[#This Row],[Country]]-B681)/B681)+1)^12-1,"")</f>
        <v/>
      </c>
    </row>
    <row r="683">
      <c r="A683" s="35" t="n">
        <v>42887</v>
      </c>
      <c r="B683" s="36">
        <f>VLOOKUP(A683,Data!$A:$AH,MATCH(Country!$A$1,Data!$A$1:$AH$1,),)</f>
        <v/>
      </c>
      <c r="C683" s="59">
        <f>IF(B671&gt;0,(Table2[[#This Row],[Country]]-B671)/B671,0)</f>
        <v/>
      </c>
      <c r="D683" s="59">
        <f>IF(Table2[[#This Row],[Country]]&gt;0,(((Table2[[#This Row],[Country]]-B682)/B682)+1)^12-1,"")</f>
        <v/>
      </c>
    </row>
    <row r="684">
      <c r="A684" s="35" t="n">
        <v>42917</v>
      </c>
      <c r="B684" s="36">
        <f>VLOOKUP(A684,Data!$A:$AH,MATCH(Country!$A$1,Data!$A$1:$AH$1,),)</f>
        <v/>
      </c>
      <c r="C684" s="59">
        <f>IF(B672&gt;0,(Table2[[#This Row],[Country]]-B672)/B672,0)</f>
        <v/>
      </c>
      <c r="D684" s="59">
        <f>IF(Table2[[#This Row],[Country]]&gt;0,(((Table2[[#This Row],[Country]]-B683)/B683)+1)^12-1,"")</f>
        <v/>
      </c>
    </row>
    <row r="685">
      <c r="A685" s="35" t="n">
        <v>42948</v>
      </c>
      <c r="B685" s="36">
        <f>VLOOKUP(A685,Data!$A:$AH,MATCH(Country!$A$1,Data!$A$1:$AH$1,),)</f>
        <v/>
      </c>
      <c r="C685" s="59">
        <f>IF(B673&gt;0,(Table2[[#This Row],[Country]]-B673)/B673,0)</f>
        <v/>
      </c>
      <c r="D685" s="59">
        <f>IF(Table2[[#This Row],[Country]]&gt;0,(((Table2[[#This Row],[Country]]-B684)/B684)+1)^12-1,"")</f>
        <v/>
      </c>
    </row>
    <row r="686">
      <c r="A686" s="35" t="n">
        <v>42979</v>
      </c>
      <c r="B686" s="36">
        <f>VLOOKUP(A686,Data!$A:$AH,MATCH(Country!$A$1,Data!$A$1:$AH$1,),)</f>
        <v/>
      </c>
      <c r="C686" s="59">
        <f>IF(B674&gt;0,(Table2[[#This Row],[Country]]-B674)/B674,0)</f>
        <v/>
      </c>
      <c r="D686" s="59">
        <f>IF(Table2[[#This Row],[Country]]&gt;0,(((Table2[[#This Row],[Country]]-B685)/B685)+1)^12-1,"")</f>
        <v/>
      </c>
    </row>
    <row r="687">
      <c r="A687" s="35" t="n">
        <v>43009</v>
      </c>
      <c r="B687" s="36">
        <f>VLOOKUP(A687,Data!$A:$AH,MATCH(Country!$A$1,Data!$A$1:$AH$1,),)</f>
        <v/>
      </c>
      <c r="C687" s="59">
        <f>IF(B675&gt;0,(Table2[[#This Row],[Country]]-B675)/B675,0)</f>
        <v/>
      </c>
      <c r="D687" s="59">
        <f>IF(Table2[[#This Row],[Country]]&gt;0,(((Table2[[#This Row],[Country]]-B686)/B686)+1)^12-1,"")</f>
        <v/>
      </c>
    </row>
    <row r="688">
      <c r="A688" s="35" t="n">
        <v>43040</v>
      </c>
      <c r="B688" s="36">
        <f>VLOOKUP(A688,Data!$A:$AH,MATCH(Country!$A$1,Data!$A$1:$AH$1,),)</f>
        <v/>
      </c>
      <c r="C688" s="59">
        <f>IF(B676&gt;0,(Table2[[#This Row],[Country]]-B676)/B676,0)</f>
        <v/>
      </c>
      <c r="D688" s="59">
        <f>IF(Table2[[#This Row],[Country]]&gt;0,(((Table2[[#This Row],[Country]]-B687)/B687)+1)^12-1,"")</f>
        <v/>
      </c>
    </row>
    <row r="689">
      <c r="A689" s="35" t="n">
        <v>43070</v>
      </c>
      <c r="B689" s="36">
        <f>VLOOKUP(A689,Data!$A:$AH,MATCH(Country!$A$1,Data!$A$1:$AH$1,),)</f>
        <v/>
      </c>
      <c r="C689" s="59">
        <f>IF(B677&gt;0,(Table2[[#This Row],[Country]]-B677)/B677,0)</f>
        <v/>
      </c>
      <c r="D689" s="59">
        <f>IF(Table2[[#This Row],[Country]]&gt;0,(((Table2[[#This Row],[Country]]-B688)/B688)+1)^12-1,"")</f>
        <v/>
      </c>
    </row>
    <row r="690">
      <c r="A690" s="35" t="n">
        <v>43101</v>
      </c>
      <c r="B690" s="36">
        <f>VLOOKUP(A690,Data!$A:$AH,MATCH(Country!$A$1,Data!$A$1:$AH$1,),)</f>
        <v/>
      </c>
      <c r="C690" s="59">
        <f>IF(B678&gt;0,(Table2[[#This Row],[Country]]-B678)/B678,0)</f>
        <v/>
      </c>
      <c r="D690" s="59">
        <f>IF(Table2[[#This Row],[Country]]&gt;0,(((Table2[[#This Row],[Country]]-B689)/B689)+1)^12-1,"")</f>
        <v/>
      </c>
    </row>
    <row r="691">
      <c r="A691" s="35" t="n">
        <v>43132</v>
      </c>
      <c r="B691" s="36">
        <f>VLOOKUP(A691,Data!$A:$AH,MATCH(Country!$A$1,Data!$A$1:$AH$1,),)</f>
        <v/>
      </c>
      <c r="C691" s="59">
        <f>IF(B679&gt;0,(Table2[[#This Row],[Country]]-B679)/B679,0)</f>
        <v/>
      </c>
      <c r="D691" s="59">
        <f>IF(Table2[[#This Row],[Country]]&gt;0,(((Table2[[#This Row],[Country]]-B690)/B690)+1)^12-1,"")</f>
        <v/>
      </c>
    </row>
    <row r="692">
      <c r="A692" s="35" t="n">
        <v>43160</v>
      </c>
      <c r="B692" s="36">
        <f>VLOOKUP(A692,Data!$A:$AH,MATCH(Country!$A$1,Data!$A$1:$AH$1,),)</f>
        <v/>
      </c>
      <c r="C692" s="59">
        <f>IF(B680&gt;0,(Table2[[#This Row],[Country]]-B680)/B680,0)</f>
        <v/>
      </c>
      <c r="D692" s="59">
        <f>IF(Table2[[#This Row],[Country]]&gt;0,(((Table2[[#This Row],[Country]]-B691)/B691)+1)^12-1,"")</f>
        <v/>
      </c>
    </row>
    <row r="693">
      <c r="A693" s="35" t="n">
        <v>43191</v>
      </c>
      <c r="B693" s="36">
        <f>VLOOKUP(A693,Data!$A:$AH,MATCH(Country!$A$1,Data!$A$1:$AH$1,),)</f>
        <v/>
      </c>
      <c r="C693" s="59">
        <f>IF(B681&gt;0,(Table2[[#This Row],[Country]]-B681)/B681,0)</f>
        <v/>
      </c>
      <c r="D693" s="59">
        <f>IF(Table2[[#This Row],[Country]]&gt;0,(((Table2[[#This Row],[Country]]-B692)/B692)+1)^12-1,"")</f>
        <v/>
      </c>
    </row>
    <row r="694">
      <c r="A694" s="35" t="n">
        <v>43221</v>
      </c>
      <c r="B694" s="36">
        <f>VLOOKUP(A694,Data!$A:$AH,MATCH(Country!$A$1,Data!$A$1:$AH$1,),)</f>
        <v/>
      </c>
      <c r="C694" s="59">
        <f>IF(B682&gt;0,(Table2[[#This Row],[Country]]-B682)/B682,0)</f>
        <v/>
      </c>
      <c r="D694" s="59">
        <f>IF(Table2[[#This Row],[Country]]&gt;0,(((Table2[[#This Row],[Country]]-B693)/B693)+1)^12-1,"")</f>
        <v/>
      </c>
    </row>
    <row r="695">
      <c r="A695" s="35" t="n">
        <v>43252</v>
      </c>
      <c r="B695" s="36">
        <f>VLOOKUP(A695,Data!$A:$AH,MATCH(Country!$A$1,Data!$A$1:$AH$1,),)</f>
        <v/>
      </c>
      <c r="C695" s="59">
        <f>IF(B683&gt;0,(Table2[[#This Row],[Country]]-B683)/B683,0)</f>
        <v/>
      </c>
      <c r="D695" s="59">
        <f>IF(Table2[[#This Row],[Country]]&gt;0,(((Table2[[#This Row],[Country]]-B694)/B694)+1)^12-1,"")</f>
        <v/>
      </c>
    </row>
    <row r="696">
      <c r="A696" s="35" t="n">
        <v>43282</v>
      </c>
      <c r="B696" s="36">
        <f>VLOOKUP(A696,Data!$A:$AH,MATCH(Country!$A$1,Data!$A$1:$AH$1,),)</f>
        <v/>
      </c>
      <c r="C696" s="59">
        <f>IF(B684&gt;0,(Table2[[#This Row],[Country]]-B684)/B684,0)</f>
        <v/>
      </c>
      <c r="D696" s="59">
        <f>IF(Table2[[#This Row],[Country]]&gt;0,(((Table2[[#This Row],[Country]]-B695)/B695)+1)^12-1,"")</f>
        <v/>
      </c>
    </row>
    <row r="697">
      <c r="A697" s="35" t="n">
        <v>43313</v>
      </c>
      <c r="B697" s="36">
        <f>VLOOKUP(A697,Data!$A:$AH,MATCH(Country!$A$1,Data!$A$1:$AH$1,),)</f>
        <v/>
      </c>
      <c r="C697" s="59">
        <f>IF(B685&gt;0,(Table2[[#This Row],[Country]]-B685)/B685,0)</f>
        <v/>
      </c>
      <c r="D697" s="59">
        <f>IF(Table2[[#This Row],[Country]]&gt;0,(((Table2[[#This Row],[Country]]-B696)/B696)+1)^12-1,"")</f>
        <v/>
      </c>
    </row>
    <row r="698">
      <c r="A698" s="35" t="n">
        <v>43344</v>
      </c>
      <c r="B698" s="36">
        <f>VLOOKUP(A698,Data!$A:$AH,MATCH(Country!$A$1,Data!$A$1:$AH$1,),)</f>
        <v/>
      </c>
      <c r="C698" s="59">
        <f>IF(B686&gt;0,(Table2[[#This Row],[Country]]-B686)/B686,0)</f>
        <v/>
      </c>
      <c r="D698" s="59">
        <f>IF(Table2[[#This Row],[Country]]&gt;0,(((Table2[[#This Row],[Country]]-B697)/B697)+1)^12-1,"")</f>
        <v/>
      </c>
    </row>
    <row r="699">
      <c r="A699" s="35" t="n">
        <v>43374</v>
      </c>
      <c r="B699" s="36">
        <f>VLOOKUP(A699,Data!$A:$AH,MATCH(Country!$A$1,Data!$A$1:$AH$1,),)</f>
        <v/>
      </c>
      <c r="C699" s="59">
        <f>IF(B687&gt;0,(Table2[[#This Row],[Country]]-B687)/B687,0)</f>
        <v/>
      </c>
      <c r="D699" s="59">
        <f>IF(Table2[[#This Row],[Country]]&gt;0,(((Table2[[#This Row],[Country]]-B698)/B698)+1)^12-1,"")</f>
        <v/>
      </c>
    </row>
    <row r="700">
      <c r="A700" s="35" t="n">
        <v>43405</v>
      </c>
      <c r="B700" s="36">
        <f>VLOOKUP(A700,Data!$A:$AH,MATCH(Country!$A$1,Data!$A$1:$AH$1,),)</f>
        <v/>
      </c>
      <c r="C700" s="59">
        <f>IF(B688&gt;0,(Table2[[#This Row],[Country]]-B688)/B688,0)</f>
        <v/>
      </c>
      <c r="D700" s="59">
        <f>IF(Table2[[#This Row],[Country]]&gt;0,(((Table2[[#This Row],[Country]]-B699)/B699)+1)^12-1,"")</f>
        <v/>
      </c>
    </row>
    <row r="701">
      <c r="A701" s="35" t="n">
        <v>43435</v>
      </c>
      <c r="B701" s="36">
        <f>VLOOKUP(A701,Data!$A:$AH,MATCH(Country!$A$1,Data!$A$1:$AH$1,),)</f>
        <v/>
      </c>
      <c r="C701" s="59">
        <f>IF(B689&gt;0,(Table2[[#This Row],[Country]]-B689)/B689,0)</f>
        <v/>
      </c>
      <c r="D701" s="59">
        <f>IF(Table2[[#This Row],[Country]]&gt;0,(((Table2[[#This Row],[Country]]-B700)/B700)+1)^12-1,"")</f>
        <v/>
      </c>
    </row>
    <row r="702">
      <c r="A702" s="35" t="n">
        <v>43466</v>
      </c>
      <c r="B702" s="36">
        <f>VLOOKUP(A702,Data!$A:$AH,MATCH(Country!$A$1,Data!$A$1:$AH$1,),)</f>
        <v/>
      </c>
      <c r="C702" s="59">
        <f>IF(B690&gt;0,(Table2[[#This Row],[Country]]-B690)/B690,0)</f>
        <v/>
      </c>
      <c r="D702" s="59">
        <f>IF(Table2[[#This Row],[Country]]&gt;0,(((Table2[[#This Row],[Country]]-B701)/B701)+1)^12-1,"")</f>
        <v/>
      </c>
    </row>
    <row r="703">
      <c r="A703" s="35" t="n">
        <v>43497</v>
      </c>
      <c r="B703" s="36">
        <f>VLOOKUP(A703,Data!$A:$AH,MATCH(Country!$A$1,Data!$A$1:$AH$1,),)</f>
        <v/>
      </c>
      <c r="C703" s="59">
        <f>IF(B691&gt;0,(Table2[[#This Row],[Country]]-B691)/B691,0)</f>
        <v/>
      </c>
      <c r="D703" s="59">
        <f>IF(Table2[[#This Row],[Country]]&gt;0,(((Table2[[#This Row],[Country]]-B702)/B702)+1)^12-1,"")</f>
        <v/>
      </c>
    </row>
    <row r="704">
      <c r="A704" s="35" t="n">
        <v>43525</v>
      </c>
      <c r="B704" s="36">
        <f>VLOOKUP(A704,Data!$A:$AH,MATCH(Country!$A$1,Data!$A$1:$AH$1,),)</f>
        <v/>
      </c>
      <c r="C704" s="59">
        <f>IF(B692&gt;0,(Table2[[#This Row],[Country]]-B692)/B692,0)</f>
        <v/>
      </c>
      <c r="D704" s="59">
        <f>IF(Table2[[#This Row],[Country]]&gt;0,(((Table2[[#This Row],[Country]]-B703)/B703)+1)^12-1,"")</f>
        <v/>
      </c>
    </row>
    <row r="705">
      <c r="A705" s="35" t="n">
        <v>43556</v>
      </c>
      <c r="B705" s="36">
        <f>VLOOKUP(A705,Data!$A:$AH,MATCH(Country!$A$1,Data!$A$1:$AH$1,),)</f>
        <v/>
      </c>
      <c r="C705" s="59">
        <f>IF(B693&gt;0,(Table2[[#This Row],[Country]]-B693)/B693,0)</f>
        <v/>
      </c>
      <c r="D705" s="59">
        <f>IF(Table2[[#This Row],[Country]]&gt;0,(((Table2[[#This Row],[Country]]-B704)/B704)+1)^12-1,"")</f>
        <v/>
      </c>
    </row>
    <row r="706">
      <c r="A706" s="35" t="n">
        <v>43586</v>
      </c>
      <c r="B706" s="36">
        <f>VLOOKUP(A706,Data!$A:$AH,MATCH(Country!$A$1,Data!$A$1:$AH$1,),)</f>
        <v/>
      </c>
      <c r="C706" s="59">
        <f>IF(B694&gt;0,(Table2[[#This Row],[Country]]-B694)/B694,0)</f>
        <v/>
      </c>
      <c r="D706" s="59">
        <f>IF(Table2[[#This Row],[Country]]&gt;0,(((Table2[[#This Row],[Country]]-B705)/B705)+1)^12-1,"")</f>
        <v/>
      </c>
    </row>
    <row r="707">
      <c r="A707" s="35" t="n">
        <v>43617</v>
      </c>
      <c r="B707" s="36">
        <f>VLOOKUP(A707,Data!$A:$AH,MATCH(Country!$A$1,Data!$A$1:$AH$1,),)</f>
        <v/>
      </c>
      <c r="C707" s="59">
        <f>IF(B695&gt;0,(Table2[[#This Row],[Country]]-B695)/B695,0)</f>
        <v/>
      </c>
      <c r="D707" s="59">
        <f>IF(Table2[[#This Row],[Country]]&gt;0,(((Table2[[#This Row],[Country]]-B706)/B706)+1)^12-1,"")</f>
        <v/>
      </c>
    </row>
    <row r="708">
      <c r="A708" s="35" t="n">
        <v>43647</v>
      </c>
      <c r="B708" s="36">
        <f>VLOOKUP(A708,Data!$A:$AH,MATCH(Country!$A$1,Data!$A$1:$AH$1,),)</f>
        <v/>
      </c>
      <c r="C708" s="59">
        <f>IF(B696&gt;0,(Table2[[#This Row],[Country]]-B696)/B696,0)</f>
        <v/>
      </c>
      <c r="D708" s="59">
        <f>IF(Table2[[#This Row],[Country]]&gt;0,(((Table2[[#This Row],[Country]]-B707)/B707)+1)^12-1,"")</f>
        <v/>
      </c>
    </row>
    <row r="709">
      <c r="A709" s="35" t="n">
        <v>43678</v>
      </c>
      <c r="B709" s="36">
        <f>VLOOKUP(A709,Data!$A:$AH,MATCH(Country!$A$1,Data!$A$1:$AH$1,),)</f>
        <v/>
      </c>
      <c r="C709" s="59">
        <f>IF(B697&gt;0,(Table2[[#This Row],[Country]]-B697)/B697,0)</f>
        <v/>
      </c>
      <c r="D709" s="59">
        <f>IF(Table2[[#This Row],[Country]]&gt;0,(((Table2[[#This Row],[Country]]-B708)/B708)+1)^12-1,"")</f>
        <v/>
      </c>
    </row>
    <row r="710">
      <c r="A710" s="35" t="n">
        <v>43709</v>
      </c>
      <c r="B710" s="36">
        <f>VLOOKUP(A710,Data!$A:$AH,MATCH(Country!$A$1,Data!$A$1:$AH$1,),)</f>
        <v/>
      </c>
      <c r="C710" s="59">
        <f>IF(B698&gt;0,(Table2[[#This Row],[Country]]-B698)/B698,0)</f>
        <v/>
      </c>
      <c r="D710" s="59">
        <f>IF(Table2[[#This Row],[Country]]&gt;0,(((Table2[[#This Row],[Country]]-B709)/B709)+1)^12-1,"")</f>
        <v/>
      </c>
    </row>
    <row r="711">
      <c r="A711" s="35" t="n">
        <v>43739</v>
      </c>
      <c r="B711" s="36">
        <f>VLOOKUP(A711,Data!$A:$AH,MATCH(Country!$A$1,Data!$A$1:$AH$1,),)</f>
        <v/>
      </c>
      <c r="C711" s="59">
        <f>IF(B699&gt;0,(Table2[[#This Row],[Country]]-B699)/B699,0)</f>
        <v/>
      </c>
      <c r="D711" s="59">
        <f>IF(Table2[[#This Row],[Country]]&gt;0,(((Table2[[#This Row],[Country]]-B710)/B710)+1)^12-1,"")</f>
        <v/>
      </c>
    </row>
    <row r="712">
      <c r="A712" s="35" t="n">
        <v>43770</v>
      </c>
      <c r="B712" s="36">
        <f>VLOOKUP(A712,Data!$A:$AH,MATCH(Country!$A$1,Data!$A$1:$AH$1,),)</f>
        <v/>
      </c>
      <c r="C712" s="59">
        <f>IF(B700&gt;0,(Table2[[#This Row],[Country]]-B700)/B700,0)</f>
        <v/>
      </c>
      <c r="D712" s="59">
        <f>IF(Table2[[#This Row],[Country]]&gt;0,(((Table2[[#This Row],[Country]]-B711)/B711)+1)^12-1,"")</f>
        <v/>
      </c>
    </row>
    <row r="713">
      <c r="A713" s="35" t="n">
        <v>43800</v>
      </c>
      <c r="B713" s="36">
        <f>VLOOKUP(A713,Data!$A:$AH,MATCH(Country!$A$1,Data!$A$1:$AH$1,),)</f>
        <v/>
      </c>
      <c r="C713" s="59">
        <f>IF(B701&gt;0,(Table2[[#This Row],[Country]]-B701)/B701,0)</f>
        <v/>
      </c>
      <c r="D713" s="59">
        <f>IF(Table2[[#This Row],[Country]]&gt;0,(((Table2[[#This Row],[Country]]-B712)/B712)+1)^12-1,"")</f>
        <v/>
      </c>
    </row>
    <row r="714">
      <c r="A714" s="35" t="n">
        <v>43831</v>
      </c>
      <c r="B714" s="36">
        <f>VLOOKUP(A714,Data!$A:$AH,MATCH(Country!$A$1,Data!$A$1:$AH$1,),)</f>
        <v/>
      </c>
      <c r="C714" s="59">
        <f>IF(B702&gt;0,(Table2[[#This Row],[Country]]-B702)/B702,0)</f>
        <v/>
      </c>
      <c r="D714" s="59">
        <f>IF(Table2[[#This Row],[Country]]&gt;0,(((Table2[[#This Row],[Country]]-B713)/B713)+1)^12-1,"")</f>
        <v/>
      </c>
    </row>
    <row r="715">
      <c r="A715" s="35" t="n">
        <v>43862</v>
      </c>
      <c r="B715" s="36">
        <f>VLOOKUP(A715,Data!$A:$AH,MATCH(Country!$A$1,Data!$A$1:$AH$1,),)</f>
        <v/>
      </c>
      <c r="C715" s="59">
        <f>IF(B703&gt;0,(Table2[[#This Row],[Country]]-B703)/B703,0)</f>
        <v/>
      </c>
      <c r="D715" s="59">
        <f>IF(Table2[[#This Row],[Country]]&gt;0,(((Table2[[#This Row],[Country]]-B714)/B714)+1)^12-1,"")</f>
        <v/>
      </c>
    </row>
    <row r="716">
      <c r="A716" s="35" t="n">
        <v>43891</v>
      </c>
      <c r="B716" s="36">
        <f>VLOOKUP(A716,Data!$A:$AH,MATCH(Country!$A$1,Data!$A$1:$AH$1,),)</f>
        <v/>
      </c>
      <c r="C716" s="59">
        <f>IF(B704&gt;0,(Table2[[#This Row],[Country]]-B704)/B704,0)</f>
        <v/>
      </c>
      <c r="D716" s="59">
        <f>IF(Table2[[#This Row],[Country]]&gt;0,(((Table2[[#This Row],[Country]]-B715)/B715)+1)^12-1,"")</f>
        <v/>
      </c>
    </row>
    <row r="717">
      <c r="A717" s="35" t="n">
        <v>43922</v>
      </c>
      <c r="B717" s="36">
        <f>VLOOKUP(A717,Data!$A:$AH,MATCH(Country!$A$1,Data!$A$1:$AH$1,),)</f>
        <v/>
      </c>
      <c r="C717" s="59">
        <f>IF(B705&gt;0,(Table2[[#This Row],[Country]]-B705)/B705,0)</f>
        <v/>
      </c>
      <c r="D717" s="59">
        <f>IF(Table2[[#This Row],[Country]]&gt;0,(((Table2[[#This Row],[Country]]-B716)/B716)+1)^12-1,"")</f>
        <v/>
      </c>
    </row>
    <row r="718">
      <c r="A718" s="35" t="n">
        <v>43952</v>
      </c>
      <c r="B718" s="36">
        <f>VLOOKUP(A718,Data!$A:$AH,MATCH(Country!$A$1,Data!$A$1:$AH$1,),)</f>
        <v/>
      </c>
      <c r="C718" s="59">
        <f>IF(B706&gt;0,(Table2[[#This Row],[Country]]-B706)/B706,0)</f>
        <v/>
      </c>
      <c r="D718" s="59">
        <f>IF(Table2[[#This Row],[Country]]&gt;0,(((Table2[[#This Row],[Country]]-B717)/B717)+1)^12-1,"")</f>
        <v/>
      </c>
    </row>
    <row r="719">
      <c r="A719" s="35" t="n">
        <v>43983</v>
      </c>
      <c r="B719" s="36">
        <f>VLOOKUP(A719,Data!$A:$AH,MATCH(Country!$A$1,Data!$A$1:$AH$1,),)</f>
        <v/>
      </c>
      <c r="C719" s="59">
        <f>IF(B707&gt;0,(Table2[[#This Row],[Country]]-B707)/B707,0)</f>
        <v/>
      </c>
      <c r="D719" s="59">
        <f>IF(Table2[[#This Row],[Country]]&gt;0,(((Table2[[#This Row],[Country]]-B718)/B718)+1)^12-1,"")</f>
        <v/>
      </c>
    </row>
    <row r="720">
      <c r="A720" s="35" t="n">
        <v>44013</v>
      </c>
      <c r="B720" s="36">
        <f>VLOOKUP(A720,Data!$A:$AH,MATCH(Country!$A$1,Data!$A$1:$AH$1,),)</f>
        <v/>
      </c>
      <c r="C720" s="59">
        <f>IF(B708&gt;0,(Table2[[#This Row],[Country]]-B708)/B708,0)</f>
        <v/>
      </c>
      <c r="D720" s="59">
        <f>IF(Table2[[#This Row],[Country]]&gt;0,(((Table2[[#This Row],[Country]]-B719)/B719)+1)^12-1,"")</f>
        <v/>
      </c>
    </row>
    <row r="721">
      <c r="A721" s="35" t="n">
        <v>44044</v>
      </c>
      <c r="B721" s="36">
        <f>VLOOKUP(A721,Data!$A:$AH,MATCH(Country!$A$1,Data!$A$1:$AH$1,),)</f>
        <v/>
      </c>
      <c r="C721" s="59">
        <f>IF(B709&gt;0,(Table2[[#This Row],[Country]]-B709)/B709,0)</f>
        <v/>
      </c>
      <c r="D721" s="59">
        <f>IF(Table2[[#This Row],[Country]]&gt;0,(((Table2[[#This Row],[Country]]-B720)/B720)+1)^12-1,"")</f>
        <v/>
      </c>
    </row>
    <row r="722">
      <c r="A722" s="35" t="n">
        <v>44075</v>
      </c>
      <c r="B722" s="36">
        <f>VLOOKUP(A722,Data!$A:$AH,MATCH(Country!$A$1,Data!$A$1:$AH$1,),)</f>
        <v/>
      </c>
      <c r="C722" s="59">
        <f>IF(B710&gt;0,(Table2[[#This Row],[Country]]-B710)/B710,0)</f>
        <v/>
      </c>
      <c r="D722" s="59">
        <f>IF(Table2[[#This Row],[Country]]&gt;0,(((Table2[[#This Row],[Country]]-B721)/B721)+1)^12-1,"")</f>
        <v/>
      </c>
    </row>
    <row r="723">
      <c r="A723" s="35" t="n">
        <v>44105</v>
      </c>
      <c r="B723" s="36">
        <f>VLOOKUP(A723,Data!$A:$AH,MATCH(Country!$A$1,Data!$A$1:$AH$1,),)</f>
        <v/>
      </c>
      <c r="C723" s="59">
        <f>IF(B711&gt;0,(Table2[[#This Row],[Country]]-B711)/B711,0)</f>
        <v/>
      </c>
      <c r="D723" s="59">
        <f>IF(Table2[[#This Row],[Country]]&gt;0,(((Table2[[#This Row],[Country]]-B722)/B722)+1)^12-1,"")</f>
        <v/>
      </c>
    </row>
    <row r="724">
      <c r="A724" s="35" t="n">
        <v>44136</v>
      </c>
      <c r="B724" s="36">
        <f>VLOOKUP(A724,Data!$A:$AH,MATCH(Country!$A$1,Data!$A$1:$AH$1,),)</f>
        <v/>
      </c>
      <c r="C724" s="59">
        <f>IF(B712&gt;0,(Table2[[#This Row],[Country]]-B712)/B712,0)</f>
        <v/>
      </c>
      <c r="D724" s="59">
        <f>IF(Table2[[#This Row],[Country]]&gt;0,(((Table2[[#This Row],[Country]]-B723)/B723)+1)^12-1,"")</f>
        <v/>
      </c>
    </row>
    <row r="725">
      <c r="A725" s="35" t="n">
        <v>44166</v>
      </c>
      <c r="B725" s="36">
        <f>VLOOKUP(A725,Data!$A:$AH,MATCH(Country!$A$1,Data!$A$1:$AH$1,),)</f>
        <v/>
      </c>
      <c r="C725" s="59">
        <f>IF(B713&gt;0,(Table2[[#This Row],[Country]]-B713)/B713,0)</f>
        <v/>
      </c>
      <c r="D725" s="59">
        <f>IF(Table2[[#This Row],[Country]]&gt;0,(((Table2[[#This Row],[Country]]-B724)/B724)+1)^12-1,"")</f>
        <v/>
      </c>
    </row>
    <row r="726">
      <c r="A726" s="35" t="n">
        <v>44197</v>
      </c>
      <c r="B726" s="36">
        <f>VLOOKUP(A726,Data!$A:$AH,MATCH(Country!$A$1,Data!$A$1:$AH$1,),)</f>
        <v/>
      </c>
      <c r="C726" s="59">
        <f>IF(B714&gt;0,(Table2[[#This Row],[Country]]-B714)/B714,0)</f>
        <v/>
      </c>
      <c r="D726" s="59">
        <f>IF(Table2[[#This Row],[Country]]&gt;0,(((Table2[[#This Row],[Country]]-B725)/B725)+1)^12-1,"")</f>
        <v/>
      </c>
    </row>
    <row r="727">
      <c r="A727" s="35" t="n">
        <v>44228</v>
      </c>
      <c r="B727" s="36">
        <f>VLOOKUP(A727,Data!$A:$AH,MATCH(Country!$A$1,Data!$A$1:$AH$1,),)</f>
        <v/>
      </c>
      <c r="C727" s="59">
        <f>IF(B715&gt;0,(Table2[[#This Row],[Country]]-B715)/B715,0)</f>
        <v/>
      </c>
      <c r="D727" s="59">
        <f>IF(Table2[[#This Row],[Country]]&gt;0,(((Table2[[#This Row],[Country]]-B726)/B726)+1)^12-1,"")</f>
        <v/>
      </c>
    </row>
    <row r="728">
      <c r="A728" s="35" t="n">
        <v>44256</v>
      </c>
      <c r="B728" s="36">
        <f>VLOOKUP(A728,Data!$A:$AH,MATCH(Country!$A$1,Data!$A$1:$AH$1,),)</f>
        <v/>
      </c>
      <c r="C728" s="59">
        <f>IF(B716&gt;0,(Table2[[#This Row],[Country]]-B716)/B716,0)</f>
        <v/>
      </c>
      <c r="D728" s="59">
        <f>IF(Table2[[#This Row],[Country]]&gt;0,(((Table2[[#This Row],[Country]]-B727)/B727)+1)^12-1,"")</f>
        <v/>
      </c>
    </row>
    <row r="729">
      <c r="A729" s="35" t="n">
        <v>44287</v>
      </c>
      <c r="B729" s="36">
        <f>VLOOKUP(A729,Data!$A:$AH,MATCH(Country!$A$1,Data!$A$1:$AH$1,),)</f>
        <v/>
      </c>
      <c r="C729" s="59">
        <f>IF(B717&gt;0,(Table2[[#This Row],[Country]]-B717)/B717,0)</f>
        <v/>
      </c>
      <c r="D729" s="59">
        <f>IF(Table2[[#This Row],[Country]]&gt;0,(((Table2[[#This Row],[Country]]-B728)/B728)+1)^12-1,"")</f>
        <v/>
      </c>
    </row>
    <row r="730">
      <c r="A730" s="35" t="n">
        <v>44317</v>
      </c>
      <c r="B730" s="36">
        <f>VLOOKUP(A730,Data!$A:$AH,MATCH(Country!$A$1,Data!$A$1:$AH$1,),)</f>
        <v/>
      </c>
      <c r="C730" s="59">
        <f>IF(B718&gt;0,(Table2[[#This Row],[Country]]-B718)/B718,0)</f>
        <v/>
      </c>
      <c r="D730" s="59">
        <f>IF(Table2[[#This Row],[Country]]&gt;0,(((Table2[[#This Row],[Country]]-B729)/B729)+1)^12-1,"")</f>
        <v/>
      </c>
    </row>
    <row r="731">
      <c r="A731" s="35" t="n">
        <v>44348</v>
      </c>
      <c r="B731" s="36">
        <f>VLOOKUP(A731,Data!$A:$AH,MATCH(Country!$A$1,Data!$A$1:$AH$1,),)</f>
        <v/>
      </c>
      <c r="C731" s="59">
        <f>IF(B719&gt;0,(Table2[[#This Row],[Country]]-B719)/B719,0)</f>
        <v/>
      </c>
      <c r="D731" s="59">
        <f>IF(Table2[[#This Row],[Country]]&gt;0,(((Table2[[#This Row],[Country]]-B730)/B730)+1)^12-1,"")</f>
        <v/>
      </c>
    </row>
    <row r="732">
      <c r="A732" s="35" t="n">
        <v>44378</v>
      </c>
      <c r="B732" s="36">
        <f>VLOOKUP(A732,Data!$A:$AH,MATCH(Country!$A$1,Data!$A$1:$AH$1,),)</f>
        <v/>
      </c>
      <c r="C732" s="59">
        <f>IF(B720&gt;0,(Table2[[#This Row],[Country]]-B720)/B720,0)</f>
        <v/>
      </c>
      <c r="D732" s="59">
        <f>IF(Table2[[#This Row],[Country]]&gt;0,(((Table2[[#This Row],[Country]]-B731)/B731)+1)^12-1,"")</f>
        <v/>
      </c>
    </row>
    <row r="733">
      <c r="A733" s="35" t="n">
        <v>44409</v>
      </c>
      <c r="B733" s="36">
        <f>VLOOKUP(A733,Data!$A:$AH,MATCH(Country!$A$1,Data!$A$1:$AH$1,),)</f>
        <v/>
      </c>
      <c r="C733" s="59">
        <f>IF(B721&gt;0,(Table2[[#This Row],[Country]]-B721)/B721,0)</f>
        <v/>
      </c>
      <c r="D733" s="59">
        <f>IF(Table2[[#This Row],[Country]]&gt;0,(((Table2[[#This Row],[Country]]-B732)/B732)+1)^12-1,"")</f>
        <v/>
      </c>
    </row>
    <row r="734">
      <c r="A734" s="35" t="n">
        <v>44440</v>
      </c>
      <c r="B734" s="36">
        <f>VLOOKUP(A734,Data!$A:$AH,MATCH(Country!$A$1,Data!$A$1:$AH$1,),)</f>
        <v/>
      </c>
      <c r="C734" s="59">
        <f>IF(B722&gt;0,(Table2[[#This Row],[Country]]-B722)/B722,0)</f>
        <v/>
      </c>
      <c r="D734" s="59">
        <f>IF(Table2[[#This Row],[Country]]&gt;0,(((Table2[[#This Row],[Country]]-B733)/B733)+1)^12-1,"")</f>
        <v/>
      </c>
    </row>
    <row r="735">
      <c r="A735" s="35" t="n">
        <v>44470</v>
      </c>
      <c r="B735" s="36">
        <f>VLOOKUP(A735,Data!$A:$AH,MATCH(Country!$A$1,Data!$A$1:$AH$1,),)</f>
        <v/>
      </c>
      <c r="C735" s="59">
        <f>IF(B723&gt;0,(Table2[[#This Row],[Country]]-B723)/B723,0)</f>
        <v/>
      </c>
      <c r="D735" s="59">
        <f>IF(Table2[[#This Row],[Country]]&gt;0,(((Table2[[#This Row],[Country]]-B734)/B734)+1)^12-1,"")</f>
        <v/>
      </c>
    </row>
    <row r="736">
      <c r="A736" s="35" t="n">
        <v>44501</v>
      </c>
      <c r="B736" s="36">
        <f>VLOOKUP(A736,Data!$A:$AH,MATCH(Country!$A$1,Data!$A$1:$AH$1,),)</f>
        <v/>
      </c>
      <c r="C736" s="59">
        <f>IF(B724&gt;0,(Table2[[#This Row],[Country]]-B724)/B724,0)</f>
        <v/>
      </c>
      <c r="D736" s="59">
        <f>IF(Table2[[#This Row],[Country]]&gt;0,(((Table2[[#This Row],[Country]]-B735)/B735)+1)^12-1,"")</f>
        <v/>
      </c>
    </row>
    <row r="737">
      <c r="A737" s="35" t="n">
        <v>44531</v>
      </c>
      <c r="B737" s="36">
        <f>VLOOKUP(A737,Data!$A:$AH,MATCH(Country!$A$1,Data!$A$1:$AH$1,),)</f>
        <v/>
      </c>
      <c r="C737" s="59">
        <f>IF(B725&gt;0,(Table2[[#This Row],[Country]]-B725)/B725,0)</f>
        <v/>
      </c>
      <c r="D737" s="59">
        <f>IF(Table2[[#This Row],[Country]]&gt;0,(((Table2[[#This Row],[Country]]-B736)/B736)+1)^12-1,"")</f>
        <v/>
      </c>
    </row>
    <row r="738">
      <c r="A738" s="35" t="n">
        <v>44562</v>
      </c>
      <c r="B738" s="36">
        <f>VLOOKUP(A738,Data!$A:$AH,MATCH(Country!$A$1,Data!$A$1:$AH$1,),)</f>
        <v/>
      </c>
      <c r="C738" s="59">
        <f>IF(B726&gt;0,(Table2[[#This Row],[Country]]-B726)/B726,0)</f>
        <v/>
      </c>
      <c r="D738" s="59">
        <f>IF(Table2[[#This Row],[Country]]&gt;0,(((Table2[[#This Row],[Country]]-B737)/B737)+1)^12-1,"")</f>
        <v/>
      </c>
    </row>
    <row r="739">
      <c r="A739" s="35" t="n">
        <v>44593</v>
      </c>
      <c r="B739" s="36">
        <f>VLOOKUP(A739,Data!$A:$AH,MATCH(Country!$A$1,Data!$A$1:$AH$1,),)</f>
        <v/>
      </c>
      <c r="C739" s="59">
        <f>IF(B727&gt;0,(Table2[[#This Row],[Country]]-B727)/B727,0)</f>
        <v/>
      </c>
      <c r="D739" s="59">
        <f>IF(Table2[[#This Row],[Country]]&gt;0,(((Table2[[#This Row],[Country]]-B738)/B738)+1)^12-1,"")</f>
        <v/>
      </c>
    </row>
    <row r="740">
      <c r="A740" s="35" t="n">
        <v>44621</v>
      </c>
      <c r="B740" s="36">
        <f>VLOOKUP(A740,Data!$A:$AH,MATCH(Country!$A$1,Data!$A$1:$AH$1,),)</f>
        <v/>
      </c>
      <c r="C740" s="59">
        <f>IF(B728&gt;0,(Table2[[#This Row],[Country]]-B728)/B728,0)</f>
        <v/>
      </c>
      <c r="D740" s="59">
        <f>IF(Table2[[#This Row],[Country]]&gt;0,(((Table2[[#This Row],[Country]]-B739)/B739)+1)^12-1,"")</f>
        <v/>
      </c>
    </row>
    <row r="741">
      <c r="A741" s="35" t="n">
        <v>44652</v>
      </c>
      <c r="B741" s="36">
        <f>VLOOKUP(A741,Data!$A:$AH,MATCH(Country!$A$1,Data!$A$1:$AH$1,),)</f>
        <v/>
      </c>
      <c r="C741" s="59">
        <f>IF(B729&gt;0,(Table2[[#This Row],[Country]]-B729)/B729,0)</f>
        <v/>
      </c>
      <c r="D741" s="59">
        <f>IF(Table2[[#This Row],[Country]]&gt;0,(((Table2[[#This Row],[Country]]-B740)/B740)+1)^12-1,"")</f>
        <v/>
      </c>
    </row>
    <row r="742">
      <c r="A742" s="35" t="n">
        <v>44682</v>
      </c>
      <c r="B742" s="36">
        <f>VLOOKUP(A742,Data!$A:$AH,MATCH(Country!$A$1,Data!$A$1:$AH$1,),)</f>
        <v/>
      </c>
      <c r="C742" s="59">
        <f>IF(B730&gt;0,(Table2[[#This Row],[Country]]-B730)/B730,0)</f>
        <v/>
      </c>
      <c r="D742" s="59">
        <f>IF(Table2[[#This Row],[Country]]&gt;0,(((Table2[[#This Row],[Country]]-B741)/B741)+1)^12-1,"")</f>
        <v/>
      </c>
    </row>
    <row r="743">
      <c r="A743" s="35" t="n">
        <v>44713</v>
      </c>
      <c r="B743" s="36">
        <f>VLOOKUP(A743,Data!$A:$AH,MATCH(Country!$A$1,Data!$A$1:$AH$1,),)</f>
        <v/>
      </c>
      <c r="C743" s="59">
        <f>IF(B731&gt;0,(Table2[[#This Row],[Country]]-B731)/B731,0)</f>
        <v/>
      </c>
      <c r="D743" s="59">
        <f>IF(Table2[[#This Row],[Country]]&gt;0,(((Table2[[#This Row],[Country]]-B742)/B742)+1)^12-1,"")</f>
        <v/>
      </c>
    </row>
    <row r="744">
      <c r="A744" s="35" t="n">
        <v>44743</v>
      </c>
      <c r="B744" s="36">
        <f>VLOOKUP(A744,Data!$A:$AH,MATCH(Country!$A$1,Data!$A$1:$AH$1,),)</f>
        <v/>
      </c>
      <c r="C744" s="59">
        <f>IF(B732&gt;0,(Table2[[#This Row],[Country]]-B732)/B732,0)</f>
        <v/>
      </c>
      <c r="D744" s="59">
        <f>IF(Table2[[#This Row],[Country]]&gt;0,(((Table2[[#This Row],[Country]]-B743)/B743)+1)^12-1,"")</f>
        <v/>
      </c>
    </row>
    <row r="745">
      <c r="A745" s="35" t="n">
        <v>44774</v>
      </c>
      <c r="B745" s="36">
        <f>VLOOKUP(A745,Data!$A:$AH,MATCH(Country!$A$1,Data!$A$1:$AH$1,),)</f>
        <v/>
      </c>
      <c r="C745" s="59">
        <f>IF(B733&gt;0,(Table2[[#This Row],[Country]]-B733)/B733,0)</f>
        <v/>
      </c>
      <c r="D745" s="59">
        <f>IF(Table2[[#This Row],[Country]]&gt;0,(((Table2[[#This Row],[Country]]-B744)/B744)+1)^12-1,"")</f>
        <v/>
      </c>
    </row>
    <row r="746">
      <c r="A746" s="35" t="n">
        <v>44805</v>
      </c>
      <c r="B746" s="36">
        <f>VLOOKUP(A746,Data!$A:$AH,MATCH(Country!$A$1,Data!$A$1:$AH$1,),)</f>
        <v/>
      </c>
      <c r="C746" s="59">
        <f>IF(B734&gt;0,(Table2[[#This Row],[Country]]-B734)/B734,0)</f>
        <v/>
      </c>
      <c r="D746" s="59">
        <f>IF(Table2[[#This Row],[Country]]&gt;0,(((Table2[[#This Row],[Country]]-B745)/B745)+1)^12-1,"")</f>
        <v/>
      </c>
    </row>
    <row r="747">
      <c r="A747" s="35" t="n">
        <v>44835</v>
      </c>
      <c r="B747" s="36">
        <f>VLOOKUP(A747,Data!$A:$AH,MATCH(Country!$A$1,Data!$A$1:$AH$1,),)</f>
        <v/>
      </c>
      <c r="C747" s="59">
        <f>IF(B735&gt;0,(Table2[[#This Row],[Country]]-B735)/B735,0)</f>
        <v/>
      </c>
      <c r="D747" s="59">
        <f>IF(Table2[[#This Row],[Country]]&gt;0,(((Table2[[#This Row],[Country]]-B746)/B746)+1)^12-1,"")</f>
        <v/>
      </c>
    </row>
    <row r="748">
      <c r="A748" s="35" t="n">
        <v>44866</v>
      </c>
      <c r="B748" s="36">
        <f>VLOOKUP(A748,Data!$A:$AH,MATCH(Country!$A$1,Data!$A$1:$AH$1,),)</f>
        <v/>
      </c>
      <c r="C748" s="59">
        <f>IF(B736&gt;0,(Table2[[#This Row],[Country]]-B736)/B736,0)</f>
        <v/>
      </c>
      <c r="D748" s="59">
        <f>IF(Table2[[#This Row],[Country]]&gt;0,(((Table2[[#This Row],[Country]]-B747)/B747)+1)^12-1,"")</f>
        <v/>
      </c>
    </row>
    <row r="749">
      <c r="A749" s="35" t="n">
        <v>44896</v>
      </c>
      <c r="B749" s="36">
        <f>VLOOKUP(A749,Data!$A:$AH,MATCH(Country!$A$1,Data!$A$1:$AH$1,),)</f>
        <v/>
      </c>
      <c r="C749" s="59">
        <f>IF(B737&gt;0,(Table2[[#This Row],[Country]]-B737)/B737,0)</f>
        <v/>
      </c>
      <c r="D749" s="59">
        <f>IF(Table2[[#This Row],[Country]]&gt;0,(((Table2[[#This Row],[Country]]-B748)/B748)+1)^12-1,"")</f>
        <v/>
      </c>
    </row>
    <row r="750">
      <c r="A750" s="35" t="n">
        <v>44927</v>
      </c>
      <c r="B750" s="36">
        <f>VLOOKUP(A750,Data!$A:$AH,MATCH(Country!$A$1,Data!$A$1:$AH$1,),)</f>
        <v/>
      </c>
      <c r="C750" s="59">
        <f>IF(B738&gt;0,(Table2[[#This Row],[Country]]-B738)/B738,0)</f>
        <v/>
      </c>
      <c r="D750" s="59">
        <f>IF(Table2[[#This Row],[Country]]&gt;0,(((Table2[[#This Row],[Country]]-B749)/B749)+1)^12-1,"")</f>
        <v/>
      </c>
    </row>
    <row r="751">
      <c r="A751" s="35" t="n">
        <v>44958</v>
      </c>
      <c r="B751" s="36">
        <f>VLOOKUP(A751,Data!$A:$AH,MATCH(Country!$A$1,Data!$A$1:$AH$1,),)</f>
        <v/>
      </c>
      <c r="C751" s="59">
        <f>IF(B739&gt;0,(Table2[[#This Row],[Country]]-B739)/B739,0)</f>
        <v/>
      </c>
      <c r="D751" s="59">
        <f>IF(Table2[[#This Row],[Country]]&gt;0,(((Table2[[#This Row],[Country]]-B750)/B750)+1)^12-1,"")</f>
        <v/>
      </c>
    </row>
  </sheetData>
  <conditionalFormatting sqref="D7:D751">
    <cfRule type="colorScale" priority="2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g.dupont</dc:creator>
  <dcterms:created xmlns:dcterms="http://purl.org/dc/terms/" xmlns:xsi="http://www.w3.org/2001/XMLSchema-instance" xsi:type="dcterms:W3CDTF">2018-04-17T13:11:44Z</dcterms:created>
  <dcterms:modified xmlns:dcterms="http://purl.org/dc/terms/" xmlns:xsi="http://www.w3.org/2001/XMLSchema-instance" xsi:type="dcterms:W3CDTF">2023-04-16T07:24:21Z</dcterms:modified>
  <cp:lastModifiedBy>Mark Mukherjee</cp:lastModifiedBy>
</cp:coreProperties>
</file>