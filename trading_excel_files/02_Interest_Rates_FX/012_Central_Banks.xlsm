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5720" yWindow="-640" windowWidth="58600" windowHeight="283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Rate'!$A$8:$A$819</f>
              <numCache>
                <formatCode>yyyy\-mm\-dd</formatCode>
                <ptCount val="812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</numCache>
            </numRef>
          </cat>
          <val>
            <numRef>
              <f>'Fed Funds Rate'!$B$8:$B$819</f>
              <numCache>
                <formatCode>0.00</formatCode>
                <ptCount val="812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new'!$A$7:$A$763</f>
              <numCache>
                <formatCode>m/d/yy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'M2 new'!$B$7:$B$763</f>
              <numCache>
                <formatCode>0.0</formatCode>
                <ptCount val="75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new'!$A$692:$A$762</f>
              <numCache>
                <formatCode>m/d/yy</formatCode>
                <ptCount val="71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</numCache>
            </numRef>
          </cat>
          <val>
            <numRef>
              <f>'M2 new'!$D$692:$D$762</f>
              <numCache>
                <formatCode>0.00%</formatCode>
                <ptCount val="71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Change'!$A$12:$A$1012</f>
              <numCache>
                <formatCode>m/d/yy</formatCode>
                <ptCount val="1001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</numCache>
            </numRef>
          </cat>
          <val>
            <numRef>
              <f>'Fed Weekly Change'!$C$12:$C$1012</f>
              <numCache>
                <formatCode>0</formatCode>
                <ptCount val="1001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402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Sheet'!$A$12:$A$1012</f>
              <numCache>
                <formatCode>m/d/yy</formatCode>
                <ptCount val="1001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</numCache>
            </numRef>
          </cat>
          <val>
            <numRef>
              <f>'Fed Balance Sheet'!$B$12:$B$1012</f>
              <numCache>
                <formatCode>0</formatCode>
                <ptCount val="1001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Sheet'!$A$7:$A$365</f>
              <numCache>
                <formatCode>yyyy\-mm\-dd</formatCode>
                <ptCount val="359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</numCache>
            </numRef>
          </cat>
          <val>
            <numRef>
              <f>'ECB Balance Sheet'!$B$7:$B$365</f>
              <numCache>
                <formatCode>0</formatCode>
                <ptCount val="359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55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167123</colOff>
      <row>963</row>
      <rowOff>146538</rowOff>
    </from>
    <to>
      <col>13</col>
      <colOff>29308</colOff>
      <row>986</row>
      <rowOff>156344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194339</colOff>
      <row>987</row>
      <rowOff>144097</rowOff>
    </from>
    <to>
      <col>13</col>
      <colOff>48846</colOff>
      <row>1008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222250</colOff>
      <row>338</row>
      <rowOff>25400</rowOff>
    </from>
    <to>
      <col>12</col>
      <colOff>231775</colOff>
      <row>359</row>
      <rowOff>101600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19" headerRowCount="1" totalsRowShown="0" headerRowDxfId="40" dataDxfId="38" headerRowBorderDxfId="39" tableBorderDxfId="37" totalsRowBorderDxfId="36" headerRowCellStyle="Normal 2" dataCellStyle="Normal 2">
  <autoFilter ref="A7:B819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2" headerRowCount="1" totalsRowShown="0" headerRowDxfId="33" dataDxfId="31" headerRowBorderDxfId="32" dataCellStyle="Normal 2">
  <autoFilter ref="A6:E762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1" headerRowCount="1" totalsRowShown="0" headerRowDxfId="25" dataDxfId="23" headerRowBorderDxfId="24">
  <autoFilter ref="A11:C1011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1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1" headerRowCount="1" totalsRowShown="0" headerRowDxfId="15" dataDxfId="13" headerRowBorderDxfId="14" tableBorderDxfId="12" totalsRowBorderDxfId="11" headerRowCellStyle="Normal 2" dataCellStyle="Normal 2">
  <autoFilter ref="A5:D291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65" headerRowCount="1" totalsRowShown="0" headerRowDxfId="6" dataDxfId="4" headerRowBorderDxfId="5" tableBorderDxfId="3" totalsRowBorderDxfId="2" headerRowCellStyle="Normal 2" dataCellStyle="Normal 2">
  <autoFilter ref="A6:B365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3"/>
    <col width="9.1640625" customWidth="1" style="55" min="24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0"/>
  <sheetViews>
    <sheetView zoomScale="180" zoomScaleNormal="180" workbookViewId="0">
      <pane ySplit="1" topLeftCell="A851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01"/>
  <sheetViews>
    <sheetView zoomScale="190" zoomScaleNormal="190" workbookViewId="0">
      <pane ySplit="1" topLeftCell="A982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0"/>
  <sheetViews>
    <sheetView zoomScale="170" zoomScaleNormal="170" workbookViewId="0">
      <pane ySplit="1" topLeftCell="A314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D336" t="n">
        <v>27821.759765625</v>
      </c>
    </row>
    <row r="337">
      <c r="A337" s="62" t="n">
        <v>44531</v>
      </c>
      <c r="B337" t="n">
        <v>7237659</v>
      </c>
      <c r="D337" t="n">
        <v>28791.7109375</v>
      </c>
    </row>
    <row r="338">
      <c r="A338" s="62" t="n">
        <v>44562</v>
      </c>
      <c r="B338" t="n">
        <v>7251444</v>
      </c>
      <c r="D338" t="n">
        <v>27131.33984375</v>
      </c>
    </row>
    <row r="339">
      <c r="A339" s="62" t="n">
        <v>44593</v>
      </c>
      <c r="D339" t="n">
        <v>27439.990234375</v>
      </c>
    </row>
    <row r="340">
      <c r="A340" s="62" t="n">
        <v>44602</v>
      </c>
      <c r="D340" t="n">
        <v>27696.080078125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07"/>
  <sheetViews>
    <sheetView zoomScale="200" zoomScaleNormal="200" workbookViewId="0">
      <pane ySplit="1" topLeftCell="A1172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40" activePane="bottomLeft" state="frozen"/>
      <selection activeCell="B1" sqref="B1"/>
      <selection pane="bottomLeft" activeCell="B867" sqref="B867"/>
    </sheetView>
  </sheetViews>
  <sheetFormatPr baseColWidth="10" defaultColWidth="9.1640625" defaultRowHeight="15"/>
  <cols>
    <col width="13.83203125" customWidth="1" style="4" min="1" max="2"/>
    <col width="9.1640625" customWidth="1" style="55" min="3" max="15"/>
    <col width="9.1640625" customWidth="1" style="55" min="16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19"/>
  <sheetViews>
    <sheetView zoomScale="170" zoomScaleNormal="170" workbookViewId="0">
      <pane ySplit="7" topLeftCell="A784" activePane="bottomLeft" state="frozen"/>
      <selection pane="bottomLeft" activeCell="F819" sqref="F819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5"/>
    <col width="9.1640625" customWidth="1" style="55" min="16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2"/>
  <sheetViews>
    <sheetView zoomScale="140" zoomScaleNormal="140" workbookViewId="0">
      <pane ySplit="6" topLeftCell="A717" activePane="bottomLeft" state="frozen"/>
      <selection pane="bottomLeft" activeCell="A758" sqref="A758:E762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18"/>
    <col width="9.1640625" customWidth="1" style="55" min="19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1"/>
  <sheetViews>
    <sheetView zoomScale="150" zoomScaleNormal="150" workbookViewId="0">
      <pane ySplit="11" topLeftCell="A976" activePane="bottomLeft" state="frozen"/>
      <selection pane="bottomLeft" activeCell="H1011" sqref="H1011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6"/>
    <col width="9.1640625" customWidth="1" style="55" min="17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1"/>
  <sheetViews>
    <sheetView showGridLines="0" zoomScale="130" zoomScaleNormal="130" workbookViewId="0">
      <pane ySplit="11" topLeftCell="A970" activePane="bottomLeft" state="frozen"/>
      <selection activeCell="G33" sqref="G33"/>
      <selection pane="bottomLeft" activeCell="A1003" sqref="A1003:C1011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2"/>
    <col width="9.1640625" customWidth="1" style="55" min="33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1"/>
  <sheetViews>
    <sheetView zoomScale="110" zoomScaleNormal="110" workbookViewId="0">
      <pane ySplit="5" topLeftCell="A242" activePane="bottomLeft" state="frozen"/>
      <selection pane="bottomLeft" activeCell="K292" sqref="K292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5"/>
    <col width="9.1640625" customWidth="1" style="55" min="16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65"/>
  <sheetViews>
    <sheetView zoomScale="200" zoomScaleNormal="200" workbookViewId="0">
      <pane ySplit="6" topLeftCell="A341" activePane="bottomLeft" state="frozen"/>
      <selection activeCell="J40" sqref="J40"/>
      <selection pane="bottomLeft" activeCell="A358" sqref="A358:B365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5"/>
    <col width="9.1640625" customWidth="1" style="55" min="16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2022-02-14T01:15:41Z</dcterms:modified>
  <cp:lastModifiedBy>Mark Mukherjee</cp:lastModifiedBy>
</cp:coreProperties>
</file>